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735" activeTab="8"/>
  </bookViews>
  <sheets>
    <sheet name="Booth detail" sheetId="23" r:id="rId1"/>
    <sheet name="Candidate List" sheetId="22" r:id="rId2"/>
    <sheet name="Constiuence" sheetId="1" r:id="rId3"/>
    <sheet name="Total Round" sheetId="2" r:id="rId4"/>
    <sheet name="p-20 Hindi" sheetId="31" r:id="rId5"/>
    <sheet name="17G-1" sheetId="27" r:id="rId6"/>
    <sheet name="17G-2" sheetId="28" r:id="rId7"/>
    <sheet name="PB-2" sheetId="26" r:id="rId8"/>
    <sheet name="All Data" sheetId="29" r:id="rId9"/>
    <sheet name="Praroop-20 hindi" sheetId="15" r:id="rId10"/>
    <sheet name="Sheet1" sheetId="30" r:id="rId11"/>
    <sheet name="PB" sheetId="24" r:id="rId12"/>
    <sheet name="PB-1" sheetId="25" r:id="rId13"/>
  </sheets>
  <definedNames>
    <definedName name="_GoBack" localSheetId="2">Constiuence!#REF!</definedName>
    <definedName name="_xlnm.Print_Area" localSheetId="2">Constiuence!$A$1:$S$1220</definedName>
    <definedName name="_xlnm.Print_Titles" localSheetId="9">'Praroop-20 hindi'!$8:$9</definedName>
    <definedName name="_xlnm.Print_Titles" localSheetId="10">Sheet1!$2:$3</definedName>
  </definedNames>
  <calcPr calcId="124519"/>
</workbook>
</file>

<file path=xl/calcChain.xml><?xml version="1.0" encoding="utf-8"?>
<calcChain xmlns="http://schemas.openxmlformats.org/spreadsheetml/2006/main">
  <c r="AQ438" i="29"/>
  <c r="AN438"/>
  <c r="AK438"/>
  <c r="AH438"/>
  <c r="AE438"/>
  <c r="AB438"/>
  <c r="Y438"/>
  <c r="V438"/>
  <c r="S438"/>
  <c r="M438"/>
  <c r="P438"/>
  <c r="Q484" i="31"/>
  <c r="Q483"/>
  <c r="O484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10"/>
  <c r="C482"/>
  <c r="C484" s="1"/>
  <c r="D482"/>
  <c r="D484" s="1"/>
  <c r="E482"/>
  <c r="E484" s="1"/>
  <c r="F482"/>
  <c r="F484" s="1"/>
  <c r="G482"/>
  <c r="G484" s="1"/>
  <c r="H482"/>
  <c r="H484" s="1"/>
  <c r="I482"/>
  <c r="I484" s="1"/>
  <c r="J482"/>
  <c r="J484" s="1"/>
  <c r="K482"/>
  <c r="K484" s="1"/>
  <c r="L482"/>
  <c r="L484" s="1"/>
  <c r="M482"/>
  <c r="M484" s="1"/>
  <c r="P482"/>
  <c r="P484" s="1"/>
  <c r="O482"/>
  <c r="R482"/>
  <c r="R484" s="1"/>
  <c r="R483" i="15"/>
  <c r="P483"/>
  <c r="C482" a="1"/>
  <c r="E482" s="1"/>
  <c r="H482" l="1"/>
  <c r="K482"/>
  <c r="L482"/>
  <c r="G482"/>
  <c r="M482"/>
  <c r="I482"/>
  <c r="N482"/>
  <c r="J482"/>
  <c r="F482"/>
  <c r="C482"/>
  <c r="D482"/>
  <c r="C1165" i="1"/>
  <c r="Q1165" s="1"/>
  <c r="Q1164"/>
  <c r="Q1163"/>
  <c r="Q1162"/>
  <c r="M43" i="2" s="1"/>
  <c r="Q1161" i="1"/>
  <c r="L43" i="2" s="1"/>
  <c r="Q1160" i="1"/>
  <c r="K43" i="2" s="1"/>
  <c r="Q1159" i="1"/>
  <c r="J43" i="2" s="1"/>
  <c r="Q1158" i="1"/>
  <c r="I43" i="2" s="1"/>
  <c r="Q1157" i="1"/>
  <c r="H43" i="2" s="1"/>
  <c r="Q1156" i="1"/>
  <c r="Q1155"/>
  <c r="F43" i="2" s="1"/>
  <c r="Q1154" i="1"/>
  <c r="E43" i="2" s="1"/>
  <c r="Q1153" i="1"/>
  <c r="D43" i="2" s="1"/>
  <c r="Q1152" i="1"/>
  <c r="C43" i="2" s="1"/>
  <c r="C1150" i="1"/>
  <c r="C1149"/>
  <c r="N43" i="2" l="1"/>
  <c r="Q43" s="1"/>
  <c r="O482" i="15"/>
  <c r="Q482" s="1"/>
  <c r="C472" a="1"/>
  <c r="D472" s="1"/>
  <c r="M481" l="1"/>
  <c r="I481"/>
  <c r="E481"/>
  <c r="M480"/>
  <c r="I480"/>
  <c r="E480"/>
  <c r="M479"/>
  <c r="I479"/>
  <c r="E479"/>
  <c r="M478"/>
  <c r="I478"/>
  <c r="E478"/>
  <c r="M477"/>
  <c r="I477"/>
  <c r="E477"/>
  <c r="M476"/>
  <c r="I476"/>
  <c r="E476"/>
  <c r="M475"/>
  <c r="I475"/>
  <c r="E475"/>
  <c r="M474"/>
  <c r="I474"/>
  <c r="E474"/>
  <c r="M473"/>
  <c r="I473"/>
  <c r="E473"/>
  <c r="M472"/>
  <c r="I472"/>
  <c r="E472"/>
  <c r="N481"/>
  <c r="J481"/>
  <c r="F481"/>
  <c r="N480"/>
  <c r="J480"/>
  <c r="F480"/>
  <c r="N479"/>
  <c r="J479"/>
  <c r="F479"/>
  <c r="N478"/>
  <c r="J478"/>
  <c r="F478"/>
  <c r="N477"/>
  <c r="J477"/>
  <c r="F477"/>
  <c r="N476"/>
  <c r="J476"/>
  <c r="F476"/>
  <c r="N475"/>
  <c r="J475"/>
  <c r="F475"/>
  <c r="N474"/>
  <c r="J474"/>
  <c r="F474"/>
  <c r="N473"/>
  <c r="J473"/>
  <c r="F473"/>
  <c r="N472"/>
  <c r="J472"/>
  <c r="F472"/>
  <c r="K481"/>
  <c r="G481"/>
  <c r="C481"/>
  <c r="K480"/>
  <c r="G480"/>
  <c r="C480"/>
  <c r="K479"/>
  <c r="G479"/>
  <c r="C479"/>
  <c r="K478"/>
  <c r="G478"/>
  <c r="C478"/>
  <c r="K477"/>
  <c r="G477"/>
  <c r="C477"/>
  <c r="K476"/>
  <c r="G476"/>
  <c r="C476"/>
  <c r="K475"/>
  <c r="G475"/>
  <c r="C475"/>
  <c r="K474"/>
  <c r="G474"/>
  <c r="C474"/>
  <c r="K473"/>
  <c r="G473"/>
  <c r="C473"/>
  <c r="K472"/>
  <c r="G472"/>
  <c r="C472"/>
  <c r="L481"/>
  <c r="H481"/>
  <c r="D481"/>
  <c r="L480"/>
  <c r="H480"/>
  <c r="D480"/>
  <c r="L479"/>
  <c r="H479"/>
  <c r="D479"/>
  <c r="L478"/>
  <c r="H478"/>
  <c r="D478"/>
  <c r="L477"/>
  <c r="H477"/>
  <c r="D477"/>
  <c r="L476"/>
  <c r="H476"/>
  <c r="D476"/>
  <c r="L475"/>
  <c r="H475"/>
  <c r="D475"/>
  <c r="L474"/>
  <c r="H474"/>
  <c r="D474"/>
  <c r="L473"/>
  <c r="H473"/>
  <c r="D473"/>
  <c r="L472"/>
  <c r="H472"/>
  <c r="A12" i="28"/>
  <c r="A13"/>
  <c r="A14"/>
  <c r="A15"/>
  <c r="A16"/>
  <c r="A17"/>
  <c r="A18"/>
  <c r="A19"/>
  <c r="A20"/>
  <c r="A21"/>
  <c r="A11"/>
  <c r="B12"/>
  <c r="B13"/>
  <c r="B14"/>
  <c r="B15"/>
  <c r="B16"/>
  <c r="B17"/>
  <c r="B18"/>
  <c r="B19"/>
  <c r="B20"/>
  <c r="B21"/>
  <c r="B11"/>
  <c r="I479" i="29"/>
  <c r="G479"/>
  <c r="F479"/>
  <c r="E479"/>
  <c r="H479" s="1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B376" i="1"/>
  <c r="B377"/>
  <c r="B378"/>
  <c r="B379"/>
  <c r="B380"/>
  <c r="B381"/>
  <c r="B382"/>
  <c r="B383"/>
  <c r="B384"/>
  <c r="B385"/>
  <c r="B386"/>
  <c r="B375"/>
  <c r="Q1199" l="1"/>
  <c r="Q1198"/>
  <c r="Q1197"/>
  <c r="M44" i="2" s="1"/>
  <c r="Q1196" i="1"/>
  <c r="L44" i="2" s="1"/>
  <c r="Q1195" i="1"/>
  <c r="K44" i="2" s="1"/>
  <c r="Q1194" i="1"/>
  <c r="J44" i="2" s="1"/>
  <c r="Q1193" i="1"/>
  <c r="I44" i="2" s="1"/>
  <c r="Q1192" i="1"/>
  <c r="H44" i="2" s="1"/>
  <c r="Q1191" i="1"/>
  <c r="G44" i="2" s="1"/>
  <c r="Q1190" i="1"/>
  <c r="F44" i="2" s="1"/>
  <c r="Q1189" i="1"/>
  <c r="E44" i="2" s="1"/>
  <c r="Q1188" i="1"/>
  <c r="D44" i="2" s="1"/>
  <c r="Q1187" i="1"/>
  <c r="C1200"/>
  <c r="Q1200" s="1"/>
  <c r="M469" i="29" l="1"/>
  <c r="C458" i="15" a="1"/>
  <c r="C458" s="1"/>
  <c r="M455" i="29" s="1"/>
  <c r="C444" i="15" a="1"/>
  <c r="F444" s="1"/>
  <c r="V441" i="29" s="1"/>
  <c r="C430" i="15" a="1"/>
  <c r="C430" s="1"/>
  <c r="M427" i="29" s="1"/>
  <c r="C416" i="15" a="1"/>
  <c r="I416" s="1"/>
  <c r="AE413" i="29" s="1"/>
  <c r="C402" i="15" a="1"/>
  <c r="C402" s="1"/>
  <c r="M399" i="29" s="1"/>
  <c r="C388" i="15" a="1"/>
  <c r="E388" s="1"/>
  <c r="S385" i="29" s="1"/>
  <c r="C374" i="15" a="1"/>
  <c r="E374" s="1"/>
  <c r="S371" i="29" s="1"/>
  <c r="C360" i="15" a="1"/>
  <c r="C360" s="1"/>
  <c r="M357" i="29" s="1"/>
  <c r="C346" i="15" a="1"/>
  <c r="C351" s="1"/>
  <c r="M348" i="29" s="1"/>
  <c r="C332" i="15" a="1"/>
  <c r="C332" s="1"/>
  <c r="M329" i="29" s="1"/>
  <c r="C318" i="15" a="1"/>
  <c r="C318" s="1"/>
  <c r="M315" i="29" s="1"/>
  <c r="C304" i="15" a="1"/>
  <c r="C304" s="1"/>
  <c r="M301" i="29" s="1"/>
  <c r="C290" i="15" a="1"/>
  <c r="I290" s="1"/>
  <c r="AE287" i="29" s="1"/>
  <c r="C276" i="15" a="1"/>
  <c r="H283" s="1"/>
  <c r="AB280" i="29" s="1"/>
  <c r="C262" i="15" a="1"/>
  <c r="F262" s="1"/>
  <c r="V259" i="29" s="1"/>
  <c r="C248" i="15" a="1"/>
  <c r="H249" s="1"/>
  <c r="AB246" i="29" s="1"/>
  <c r="C234" i="15" a="1"/>
  <c r="C234" s="1"/>
  <c r="M231" i="29" s="1"/>
  <c r="C220" i="15" a="1"/>
  <c r="C220" s="1"/>
  <c r="M217" i="29" s="1"/>
  <c r="C206" i="15" a="1"/>
  <c r="C206" s="1"/>
  <c r="M203" i="29" s="1"/>
  <c r="C192" i="15" a="1"/>
  <c r="F192" s="1"/>
  <c r="V189" i="29" s="1"/>
  <c r="C178" i="15" a="1"/>
  <c r="C178" s="1"/>
  <c r="M175" i="29" s="1"/>
  <c r="C164" i="15" a="1"/>
  <c r="F164" s="1"/>
  <c r="V161" i="29" s="1"/>
  <c r="C150" i="15" a="1"/>
  <c r="C150" s="1"/>
  <c r="M147" i="29" s="1"/>
  <c r="C136" i="15" a="1"/>
  <c r="C136" s="1"/>
  <c r="M133" i="29" s="1"/>
  <c r="C122" i="15" a="1"/>
  <c r="D122" s="1"/>
  <c r="P119" i="29" s="1"/>
  <c r="C108" i="15" a="1"/>
  <c r="C108" s="1"/>
  <c r="M105" i="29" s="1"/>
  <c r="C94" i="15" a="1"/>
  <c r="H101" s="1"/>
  <c r="AB98" i="29" s="1"/>
  <c r="C80" i="15" a="1"/>
  <c r="C80" s="1"/>
  <c r="M77" i="29" s="1"/>
  <c r="C66" i="15" a="1"/>
  <c r="C66" s="1"/>
  <c r="M63" i="29" s="1"/>
  <c r="C52" i="15" a="1"/>
  <c r="C52" s="1"/>
  <c r="M49" i="29" s="1"/>
  <c r="C38" i="15" a="1"/>
  <c r="C38" s="1"/>
  <c r="M35" i="29" s="1"/>
  <c r="C24" i="15" a="1"/>
  <c r="C24" s="1"/>
  <c r="M21" i="29" s="1"/>
  <c r="C10" i="15" a="1"/>
  <c r="C10" s="1"/>
  <c r="B1198" i="1"/>
  <c r="B1197"/>
  <c r="B1196"/>
  <c r="B1195"/>
  <c r="B1194"/>
  <c r="B1193"/>
  <c r="B1192"/>
  <c r="B1191"/>
  <c r="B1190"/>
  <c r="B1189"/>
  <c r="B1188"/>
  <c r="B1187"/>
  <c r="C44" i="2"/>
  <c r="N44" s="1"/>
  <c r="Q44" s="1"/>
  <c r="E1014" i="1"/>
  <c r="F1014"/>
  <c r="O880"/>
  <c r="P880"/>
  <c r="B1119"/>
  <c r="B1120"/>
  <c r="B1121"/>
  <c r="B1122"/>
  <c r="B1123"/>
  <c r="B1124"/>
  <c r="B1125"/>
  <c r="B1126"/>
  <c r="B1127"/>
  <c r="B1128"/>
  <c r="B1129"/>
  <c r="B1118"/>
  <c r="D1114"/>
  <c r="E1114"/>
  <c r="F1114"/>
  <c r="G1114"/>
  <c r="H1114"/>
  <c r="I1114"/>
  <c r="J1114"/>
  <c r="K1114"/>
  <c r="L1114"/>
  <c r="D1115"/>
  <c r="E1115"/>
  <c r="F1115"/>
  <c r="G1115"/>
  <c r="H1115"/>
  <c r="I1115"/>
  <c r="J1115"/>
  <c r="K1115"/>
  <c r="L1115"/>
  <c r="D1116"/>
  <c r="E1116"/>
  <c r="F1116"/>
  <c r="G1116"/>
  <c r="H1116"/>
  <c r="I1116"/>
  <c r="J1116"/>
  <c r="K1116"/>
  <c r="L1116"/>
  <c r="C1116"/>
  <c r="C1115"/>
  <c r="C1114"/>
  <c r="B1085"/>
  <c r="B1086"/>
  <c r="B1087"/>
  <c r="B1088"/>
  <c r="B1089"/>
  <c r="B1090"/>
  <c r="B1091"/>
  <c r="B1092"/>
  <c r="B1093"/>
  <c r="B1094"/>
  <c r="B1095"/>
  <c r="B1084"/>
  <c r="D1080"/>
  <c r="E1080"/>
  <c r="F1080"/>
  <c r="G1080"/>
  <c r="H1080"/>
  <c r="I1080"/>
  <c r="J1080"/>
  <c r="K1080"/>
  <c r="L1080"/>
  <c r="M1080"/>
  <c r="N1080"/>
  <c r="O1080"/>
  <c r="P1080"/>
  <c r="D1081"/>
  <c r="E1081"/>
  <c r="F1081"/>
  <c r="G1081"/>
  <c r="H1081"/>
  <c r="I1081"/>
  <c r="J1081"/>
  <c r="K1081"/>
  <c r="L1081"/>
  <c r="M1081"/>
  <c r="N1081"/>
  <c r="O1081"/>
  <c r="P1081"/>
  <c r="D1082"/>
  <c r="E1082"/>
  <c r="F1082"/>
  <c r="G1082"/>
  <c r="H1082"/>
  <c r="I1082"/>
  <c r="J1082"/>
  <c r="K1082"/>
  <c r="L1082"/>
  <c r="M1082"/>
  <c r="N1082"/>
  <c r="O1082"/>
  <c r="P1082"/>
  <c r="C1082"/>
  <c r="C1081"/>
  <c r="C1080"/>
  <c r="B1051"/>
  <c r="B1052"/>
  <c r="B1053"/>
  <c r="B1054"/>
  <c r="B1055"/>
  <c r="B1056"/>
  <c r="B1057"/>
  <c r="B1058"/>
  <c r="B1059"/>
  <c r="B1060"/>
  <c r="B1061"/>
  <c r="B1050"/>
  <c r="D1046"/>
  <c r="E1046"/>
  <c r="F1046"/>
  <c r="G1046"/>
  <c r="H1046"/>
  <c r="I1046"/>
  <c r="J1046"/>
  <c r="K1046"/>
  <c r="L1046"/>
  <c r="M1046"/>
  <c r="N1046"/>
  <c r="O1046"/>
  <c r="P1046"/>
  <c r="D1047"/>
  <c r="E1047"/>
  <c r="F1047"/>
  <c r="G1047"/>
  <c r="H1047"/>
  <c r="I1047"/>
  <c r="J1047"/>
  <c r="K1047"/>
  <c r="L1047"/>
  <c r="M1047"/>
  <c r="N1047"/>
  <c r="O1047"/>
  <c r="P1047"/>
  <c r="D1048"/>
  <c r="E1048"/>
  <c r="F1048"/>
  <c r="G1048"/>
  <c r="H1048"/>
  <c r="I1048"/>
  <c r="J1048"/>
  <c r="K1048"/>
  <c r="L1048"/>
  <c r="M1048"/>
  <c r="N1048"/>
  <c r="O1048"/>
  <c r="P1048"/>
  <c r="C1048"/>
  <c r="C1047"/>
  <c r="C1046"/>
  <c r="B1018"/>
  <c r="B1019"/>
  <c r="B1020"/>
  <c r="B1021"/>
  <c r="B1022"/>
  <c r="B1023"/>
  <c r="B1024"/>
  <c r="B1025"/>
  <c r="B1026"/>
  <c r="B1027"/>
  <c r="B1028"/>
  <c r="B1017"/>
  <c r="D1013"/>
  <c r="E1013"/>
  <c r="F1013"/>
  <c r="G1013"/>
  <c r="H1013"/>
  <c r="I1013"/>
  <c r="J1013"/>
  <c r="K1013"/>
  <c r="L1013"/>
  <c r="M1013"/>
  <c r="N1013"/>
  <c r="O1013"/>
  <c r="P1013"/>
  <c r="D1014"/>
  <c r="G1014"/>
  <c r="H1014"/>
  <c r="I1014"/>
  <c r="J1014"/>
  <c r="K1014"/>
  <c r="L1014"/>
  <c r="M1014"/>
  <c r="N1014"/>
  <c r="O1014"/>
  <c r="P1014"/>
  <c r="D1015"/>
  <c r="E1015"/>
  <c r="F1015"/>
  <c r="G1015"/>
  <c r="H1015"/>
  <c r="I1015"/>
  <c r="J1015"/>
  <c r="K1015"/>
  <c r="L1015"/>
  <c r="M1015"/>
  <c r="N1015"/>
  <c r="O1015"/>
  <c r="P1015"/>
  <c r="C1015"/>
  <c r="C1014"/>
  <c r="C1013"/>
  <c r="B985"/>
  <c r="B986"/>
  <c r="B987"/>
  <c r="B988"/>
  <c r="B989"/>
  <c r="B990"/>
  <c r="B991"/>
  <c r="B992"/>
  <c r="B993"/>
  <c r="B994"/>
  <c r="B995"/>
  <c r="B984"/>
  <c r="D980"/>
  <c r="E980"/>
  <c r="F980"/>
  <c r="G980"/>
  <c r="H980"/>
  <c r="I980"/>
  <c r="J980"/>
  <c r="K980"/>
  <c r="L980"/>
  <c r="M980"/>
  <c r="N980"/>
  <c r="O980"/>
  <c r="P980"/>
  <c r="D981"/>
  <c r="E981"/>
  <c r="F981"/>
  <c r="G981"/>
  <c r="H981"/>
  <c r="I981"/>
  <c r="J981"/>
  <c r="K981"/>
  <c r="L981"/>
  <c r="M981"/>
  <c r="N981"/>
  <c r="O981"/>
  <c r="P981"/>
  <c r="D982"/>
  <c r="E982"/>
  <c r="F982"/>
  <c r="G982"/>
  <c r="H982"/>
  <c r="I982"/>
  <c r="J982"/>
  <c r="K982"/>
  <c r="L982"/>
  <c r="M982"/>
  <c r="N982"/>
  <c r="O982"/>
  <c r="P982"/>
  <c r="C982"/>
  <c r="C981"/>
  <c r="C980"/>
  <c r="B951"/>
  <c r="B952"/>
  <c r="B953"/>
  <c r="B954"/>
  <c r="B955"/>
  <c r="B956"/>
  <c r="B957"/>
  <c r="B958"/>
  <c r="B959"/>
  <c r="B960"/>
  <c r="B961"/>
  <c r="B950"/>
  <c r="D946"/>
  <c r="E946"/>
  <c r="F946"/>
  <c r="G946"/>
  <c r="H946"/>
  <c r="I946"/>
  <c r="J946"/>
  <c r="K946"/>
  <c r="L946"/>
  <c r="M946"/>
  <c r="N946"/>
  <c r="O946"/>
  <c r="P946"/>
  <c r="D947"/>
  <c r="E947"/>
  <c r="F947"/>
  <c r="G947"/>
  <c r="H947"/>
  <c r="I947"/>
  <c r="J947"/>
  <c r="K947"/>
  <c r="L947"/>
  <c r="M947"/>
  <c r="N947"/>
  <c r="O947"/>
  <c r="P947"/>
  <c r="D948"/>
  <c r="E948"/>
  <c r="F948"/>
  <c r="G948"/>
  <c r="H948"/>
  <c r="I948"/>
  <c r="J948"/>
  <c r="K948"/>
  <c r="L948"/>
  <c r="M948"/>
  <c r="N948"/>
  <c r="O948"/>
  <c r="P948"/>
  <c r="C948"/>
  <c r="C947"/>
  <c r="C946"/>
  <c r="B917"/>
  <c r="B918"/>
  <c r="B919"/>
  <c r="B920"/>
  <c r="B921"/>
  <c r="B922"/>
  <c r="B923"/>
  <c r="B924"/>
  <c r="B925"/>
  <c r="B926"/>
  <c r="B927"/>
  <c r="B916"/>
  <c r="D912"/>
  <c r="E912"/>
  <c r="F912"/>
  <c r="G912"/>
  <c r="H912"/>
  <c r="I912"/>
  <c r="J912"/>
  <c r="K912"/>
  <c r="L912"/>
  <c r="M912"/>
  <c r="N912"/>
  <c r="O912"/>
  <c r="P912"/>
  <c r="D913"/>
  <c r="E913"/>
  <c r="F913"/>
  <c r="G913"/>
  <c r="H913"/>
  <c r="I913"/>
  <c r="J913"/>
  <c r="K913"/>
  <c r="L913"/>
  <c r="M913"/>
  <c r="N913"/>
  <c r="O913"/>
  <c r="P913"/>
  <c r="D914"/>
  <c r="E914"/>
  <c r="F914"/>
  <c r="G914"/>
  <c r="H914"/>
  <c r="I914"/>
  <c r="J914"/>
  <c r="K914"/>
  <c r="L914"/>
  <c r="M914"/>
  <c r="N914"/>
  <c r="O914"/>
  <c r="P914"/>
  <c r="C914"/>
  <c r="C913"/>
  <c r="C912"/>
  <c r="B884"/>
  <c r="B885"/>
  <c r="B886"/>
  <c r="B887"/>
  <c r="B888"/>
  <c r="B889"/>
  <c r="B890"/>
  <c r="B891"/>
  <c r="B892"/>
  <c r="B893"/>
  <c r="B894"/>
  <c r="B883"/>
  <c r="D879"/>
  <c r="E879"/>
  <c r="F879"/>
  <c r="G879"/>
  <c r="H879"/>
  <c r="I879"/>
  <c r="J879"/>
  <c r="K879"/>
  <c r="L879"/>
  <c r="M879"/>
  <c r="N879"/>
  <c r="O879"/>
  <c r="P879"/>
  <c r="D880"/>
  <c r="E880"/>
  <c r="F880"/>
  <c r="G880"/>
  <c r="H880"/>
  <c r="I880"/>
  <c r="J880"/>
  <c r="K880"/>
  <c r="L880"/>
  <c r="M880"/>
  <c r="N880"/>
  <c r="D881"/>
  <c r="E881"/>
  <c r="F881"/>
  <c r="G881"/>
  <c r="H881"/>
  <c r="I881"/>
  <c r="J881"/>
  <c r="K881"/>
  <c r="L881"/>
  <c r="M881"/>
  <c r="N881"/>
  <c r="O881"/>
  <c r="P881"/>
  <c r="C881"/>
  <c r="C880"/>
  <c r="C879"/>
  <c r="B851"/>
  <c r="B852"/>
  <c r="B853"/>
  <c r="B854"/>
  <c r="B855"/>
  <c r="B856"/>
  <c r="B857"/>
  <c r="B858"/>
  <c r="B859"/>
  <c r="B860"/>
  <c r="B861"/>
  <c r="B850"/>
  <c r="D846"/>
  <c r="E846"/>
  <c r="F846"/>
  <c r="G846"/>
  <c r="H846"/>
  <c r="I846"/>
  <c r="J846"/>
  <c r="K846"/>
  <c r="L846"/>
  <c r="M846"/>
  <c r="N846"/>
  <c r="O846"/>
  <c r="P846"/>
  <c r="D847"/>
  <c r="E847"/>
  <c r="F847"/>
  <c r="G847"/>
  <c r="H847"/>
  <c r="I847"/>
  <c r="J847"/>
  <c r="K847"/>
  <c r="L847"/>
  <c r="M847"/>
  <c r="N847"/>
  <c r="O847"/>
  <c r="P847"/>
  <c r="D848"/>
  <c r="E848"/>
  <c r="F848"/>
  <c r="G848"/>
  <c r="H848"/>
  <c r="I848"/>
  <c r="J848"/>
  <c r="K848"/>
  <c r="L848"/>
  <c r="M848"/>
  <c r="N848"/>
  <c r="O848"/>
  <c r="P848"/>
  <c r="C848"/>
  <c r="C847"/>
  <c r="C846"/>
  <c r="B817"/>
  <c r="B818"/>
  <c r="B819"/>
  <c r="B820"/>
  <c r="B821"/>
  <c r="B822"/>
  <c r="B823"/>
  <c r="B824"/>
  <c r="B825"/>
  <c r="B826"/>
  <c r="B827"/>
  <c r="B816"/>
  <c r="D812"/>
  <c r="E812"/>
  <c r="F812"/>
  <c r="G812"/>
  <c r="H812"/>
  <c r="I812"/>
  <c r="J812"/>
  <c r="K812"/>
  <c r="L812"/>
  <c r="M812"/>
  <c r="N812"/>
  <c r="O812"/>
  <c r="P812"/>
  <c r="D813"/>
  <c r="E813"/>
  <c r="F813"/>
  <c r="G813"/>
  <c r="H813"/>
  <c r="I813"/>
  <c r="J813"/>
  <c r="K813"/>
  <c r="L813"/>
  <c r="M813"/>
  <c r="N813"/>
  <c r="O813"/>
  <c r="P813"/>
  <c r="D814"/>
  <c r="E814"/>
  <c r="F814"/>
  <c r="G814"/>
  <c r="H814"/>
  <c r="I814"/>
  <c r="J814"/>
  <c r="K814"/>
  <c r="L814"/>
  <c r="M814"/>
  <c r="N814"/>
  <c r="O814"/>
  <c r="P814"/>
  <c r="C814"/>
  <c r="C813"/>
  <c r="C812"/>
  <c r="B783"/>
  <c r="B784"/>
  <c r="B785"/>
  <c r="B786"/>
  <c r="B787"/>
  <c r="B788"/>
  <c r="B789"/>
  <c r="B790"/>
  <c r="B791"/>
  <c r="B792"/>
  <c r="B793"/>
  <c r="B782"/>
  <c r="D778"/>
  <c r="E778"/>
  <c r="F778"/>
  <c r="G778"/>
  <c r="H778"/>
  <c r="I778"/>
  <c r="J778"/>
  <c r="K778"/>
  <c r="L778"/>
  <c r="M778"/>
  <c r="N778"/>
  <c r="O778"/>
  <c r="P778"/>
  <c r="D779"/>
  <c r="E779"/>
  <c r="F779"/>
  <c r="G779"/>
  <c r="H779"/>
  <c r="I779"/>
  <c r="J779"/>
  <c r="K779"/>
  <c r="L779"/>
  <c r="M779"/>
  <c r="N779"/>
  <c r="O779"/>
  <c r="P779"/>
  <c r="D780"/>
  <c r="E780"/>
  <c r="F780"/>
  <c r="G780"/>
  <c r="H780"/>
  <c r="I780"/>
  <c r="J780"/>
  <c r="K780"/>
  <c r="L780"/>
  <c r="M780"/>
  <c r="N780"/>
  <c r="O780"/>
  <c r="P780"/>
  <c r="C780"/>
  <c r="C779"/>
  <c r="C778"/>
  <c r="B749"/>
  <c r="B750"/>
  <c r="B751"/>
  <c r="B752"/>
  <c r="B753"/>
  <c r="B754"/>
  <c r="B755"/>
  <c r="B756"/>
  <c r="B757"/>
  <c r="B758"/>
  <c r="B759"/>
  <c r="B748"/>
  <c r="D744"/>
  <c r="E744"/>
  <c r="F744"/>
  <c r="G744"/>
  <c r="H744"/>
  <c r="I744"/>
  <c r="J744"/>
  <c r="K744"/>
  <c r="L744"/>
  <c r="M744"/>
  <c r="N744"/>
  <c r="O744"/>
  <c r="P744"/>
  <c r="D745"/>
  <c r="E745"/>
  <c r="F745"/>
  <c r="G745"/>
  <c r="H745"/>
  <c r="I745"/>
  <c r="J745"/>
  <c r="K745"/>
  <c r="L745"/>
  <c r="M745"/>
  <c r="N745"/>
  <c r="O745"/>
  <c r="P745"/>
  <c r="D746"/>
  <c r="E746"/>
  <c r="F746"/>
  <c r="G746"/>
  <c r="H746"/>
  <c r="I746"/>
  <c r="J746"/>
  <c r="K746"/>
  <c r="L746"/>
  <c r="M746"/>
  <c r="N746"/>
  <c r="O746"/>
  <c r="P746"/>
  <c r="C746"/>
  <c r="C745"/>
  <c r="C744"/>
  <c r="B715"/>
  <c r="B716"/>
  <c r="B717"/>
  <c r="B718"/>
  <c r="B719"/>
  <c r="B720"/>
  <c r="B721"/>
  <c r="B722"/>
  <c r="B723"/>
  <c r="B724"/>
  <c r="B725"/>
  <c r="B714"/>
  <c r="D710"/>
  <c r="E710"/>
  <c r="F710"/>
  <c r="G710"/>
  <c r="H710"/>
  <c r="I710"/>
  <c r="J710"/>
  <c r="K710"/>
  <c r="L710"/>
  <c r="M710"/>
  <c r="N710"/>
  <c r="O710"/>
  <c r="P710"/>
  <c r="D711"/>
  <c r="E711"/>
  <c r="F711"/>
  <c r="G711"/>
  <c r="H711"/>
  <c r="I711"/>
  <c r="J711"/>
  <c r="K711"/>
  <c r="L711"/>
  <c r="M711"/>
  <c r="N711"/>
  <c r="O711"/>
  <c r="P711"/>
  <c r="D712"/>
  <c r="E712"/>
  <c r="F712"/>
  <c r="G712"/>
  <c r="H712"/>
  <c r="I712"/>
  <c r="J712"/>
  <c r="K712"/>
  <c r="L712"/>
  <c r="M712"/>
  <c r="N712"/>
  <c r="O712"/>
  <c r="P712"/>
  <c r="C712"/>
  <c r="C711"/>
  <c r="C710"/>
  <c r="B681"/>
  <c r="B682"/>
  <c r="B683"/>
  <c r="B684"/>
  <c r="B685"/>
  <c r="B686"/>
  <c r="B687"/>
  <c r="B688"/>
  <c r="B689"/>
  <c r="B690"/>
  <c r="B691"/>
  <c r="B680"/>
  <c r="D676"/>
  <c r="E676"/>
  <c r="F676"/>
  <c r="G676"/>
  <c r="H676"/>
  <c r="I676"/>
  <c r="J676"/>
  <c r="K676"/>
  <c r="L676"/>
  <c r="M676"/>
  <c r="N676"/>
  <c r="O676"/>
  <c r="P676"/>
  <c r="D677"/>
  <c r="E677"/>
  <c r="F677"/>
  <c r="G677"/>
  <c r="H677"/>
  <c r="I677"/>
  <c r="J677"/>
  <c r="K677"/>
  <c r="L677"/>
  <c r="M677"/>
  <c r="N677"/>
  <c r="O677"/>
  <c r="P677"/>
  <c r="D678"/>
  <c r="E678"/>
  <c r="F678"/>
  <c r="G678"/>
  <c r="H678"/>
  <c r="I678"/>
  <c r="J678"/>
  <c r="K678"/>
  <c r="L678"/>
  <c r="M678"/>
  <c r="N678"/>
  <c r="O678"/>
  <c r="P678"/>
  <c r="C678"/>
  <c r="C677"/>
  <c r="C676"/>
  <c r="B647"/>
  <c r="B648"/>
  <c r="B649"/>
  <c r="B650"/>
  <c r="B651"/>
  <c r="B652"/>
  <c r="B653"/>
  <c r="B654"/>
  <c r="B655"/>
  <c r="B656"/>
  <c r="B657"/>
  <c r="B646"/>
  <c r="D642"/>
  <c r="E642"/>
  <c r="F642"/>
  <c r="G642"/>
  <c r="H642"/>
  <c r="I642"/>
  <c r="J642"/>
  <c r="K642"/>
  <c r="L642"/>
  <c r="M642"/>
  <c r="N642"/>
  <c r="O642"/>
  <c r="P642"/>
  <c r="D643"/>
  <c r="E643"/>
  <c r="F643"/>
  <c r="G643"/>
  <c r="H643"/>
  <c r="I643"/>
  <c r="J643"/>
  <c r="K643"/>
  <c r="L643"/>
  <c r="M643"/>
  <c r="N643"/>
  <c r="O643"/>
  <c r="P643"/>
  <c r="D644"/>
  <c r="E644"/>
  <c r="F644"/>
  <c r="G644"/>
  <c r="H644"/>
  <c r="I644"/>
  <c r="J644"/>
  <c r="K644"/>
  <c r="L644"/>
  <c r="M644"/>
  <c r="N644"/>
  <c r="O644"/>
  <c r="P644"/>
  <c r="C644"/>
  <c r="C643"/>
  <c r="C642"/>
  <c r="B614"/>
  <c r="B615"/>
  <c r="B616"/>
  <c r="B617"/>
  <c r="B618"/>
  <c r="B619"/>
  <c r="B620"/>
  <c r="B621"/>
  <c r="B622"/>
  <c r="B623"/>
  <c r="B624"/>
  <c r="B613"/>
  <c r="D609"/>
  <c r="E609"/>
  <c r="F609"/>
  <c r="G609"/>
  <c r="H609"/>
  <c r="I609"/>
  <c r="J609"/>
  <c r="K609"/>
  <c r="L609"/>
  <c r="M609"/>
  <c r="N609"/>
  <c r="O609"/>
  <c r="P609"/>
  <c r="D610"/>
  <c r="E610"/>
  <c r="F610"/>
  <c r="G610"/>
  <c r="H610"/>
  <c r="I610"/>
  <c r="J610"/>
  <c r="K610"/>
  <c r="L610"/>
  <c r="M610"/>
  <c r="N610"/>
  <c r="O610"/>
  <c r="P610"/>
  <c r="D611"/>
  <c r="E611"/>
  <c r="F611"/>
  <c r="G611"/>
  <c r="H611"/>
  <c r="I611"/>
  <c r="J611"/>
  <c r="K611"/>
  <c r="L611"/>
  <c r="M611"/>
  <c r="N611"/>
  <c r="O611"/>
  <c r="P611"/>
  <c r="C611"/>
  <c r="C610"/>
  <c r="C609"/>
  <c r="B580"/>
  <c r="B581"/>
  <c r="B582"/>
  <c r="B583"/>
  <c r="B584"/>
  <c r="B585"/>
  <c r="B586"/>
  <c r="B587"/>
  <c r="B588"/>
  <c r="B589"/>
  <c r="B590"/>
  <c r="B579"/>
  <c r="D575"/>
  <c r="E575"/>
  <c r="F575"/>
  <c r="G575"/>
  <c r="H575"/>
  <c r="I575"/>
  <c r="J575"/>
  <c r="K575"/>
  <c r="L575"/>
  <c r="M575"/>
  <c r="N575"/>
  <c r="O575"/>
  <c r="P575"/>
  <c r="D576"/>
  <c r="E576"/>
  <c r="F576"/>
  <c r="G576"/>
  <c r="H576"/>
  <c r="I576"/>
  <c r="J576"/>
  <c r="K576"/>
  <c r="L576"/>
  <c r="M576"/>
  <c r="N576"/>
  <c r="O576"/>
  <c r="P576"/>
  <c r="D577"/>
  <c r="E577"/>
  <c r="F577"/>
  <c r="G577"/>
  <c r="H577"/>
  <c r="I577"/>
  <c r="J577"/>
  <c r="K577"/>
  <c r="L577"/>
  <c r="M577"/>
  <c r="N577"/>
  <c r="O577"/>
  <c r="P577"/>
  <c r="C577"/>
  <c r="C576"/>
  <c r="C575"/>
  <c r="B546"/>
  <c r="B547"/>
  <c r="B548"/>
  <c r="B549"/>
  <c r="B550"/>
  <c r="B551"/>
  <c r="B552"/>
  <c r="B553"/>
  <c r="B554"/>
  <c r="B555"/>
  <c r="B556"/>
  <c r="B545"/>
  <c r="D541"/>
  <c r="E541"/>
  <c r="F541"/>
  <c r="G541"/>
  <c r="H541"/>
  <c r="I541"/>
  <c r="J541"/>
  <c r="K541"/>
  <c r="L541"/>
  <c r="M541"/>
  <c r="N541"/>
  <c r="O541"/>
  <c r="P541"/>
  <c r="D542"/>
  <c r="E542"/>
  <c r="F542"/>
  <c r="G542"/>
  <c r="H542"/>
  <c r="I542"/>
  <c r="J542"/>
  <c r="K542"/>
  <c r="L542"/>
  <c r="M542"/>
  <c r="N542"/>
  <c r="O542"/>
  <c r="P542"/>
  <c r="D543"/>
  <c r="E543"/>
  <c r="F543"/>
  <c r="G543"/>
  <c r="H543"/>
  <c r="I543"/>
  <c r="J543"/>
  <c r="K543"/>
  <c r="L543"/>
  <c r="M543"/>
  <c r="N543"/>
  <c r="O543"/>
  <c r="P543"/>
  <c r="C543"/>
  <c r="C542"/>
  <c r="C541"/>
  <c r="B512"/>
  <c r="B513"/>
  <c r="B514"/>
  <c r="B515"/>
  <c r="B516"/>
  <c r="B517"/>
  <c r="B518"/>
  <c r="B519"/>
  <c r="B520"/>
  <c r="B521"/>
  <c r="B522"/>
  <c r="B511"/>
  <c r="D507"/>
  <c r="E507"/>
  <c r="F507"/>
  <c r="G507"/>
  <c r="H507"/>
  <c r="I507"/>
  <c r="J507"/>
  <c r="K507"/>
  <c r="L507"/>
  <c r="M507"/>
  <c r="N507"/>
  <c r="O507"/>
  <c r="P507"/>
  <c r="D508"/>
  <c r="E508"/>
  <c r="F508"/>
  <c r="G508"/>
  <c r="H508"/>
  <c r="I508"/>
  <c r="J508"/>
  <c r="K508"/>
  <c r="L508"/>
  <c r="M508"/>
  <c r="N508"/>
  <c r="O508"/>
  <c r="P508"/>
  <c r="D509"/>
  <c r="E509"/>
  <c r="F509"/>
  <c r="G509"/>
  <c r="H509"/>
  <c r="I509"/>
  <c r="J509"/>
  <c r="K509"/>
  <c r="L509"/>
  <c r="M509"/>
  <c r="N509"/>
  <c r="O509"/>
  <c r="P509"/>
  <c r="C509"/>
  <c r="C508"/>
  <c r="C507"/>
  <c r="B478"/>
  <c r="B479"/>
  <c r="B480"/>
  <c r="B481"/>
  <c r="B482"/>
  <c r="B483"/>
  <c r="B484"/>
  <c r="B485"/>
  <c r="B486"/>
  <c r="B487"/>
  <c r="B488"/>
  <c r="B477"/>
  <c r="D473"/>
  <c r="E473"/>
  <c r="F473"/>
  <c r="G473"/>
  <c r="H473"/>
  <c r="I473"/>
  <c r="J473"/>
  <c r="K473"/>
  <c r="L473"/>
  <c r="M473"/>
  <c r="N473"/>
  <c r="O473"/>
  <c r="P473"/>
  <c r="D474"/>
  <c r="E474"/>
  <c r="F474"/>
  <c r="G474"/>
  <c r="H474"/>
  <c r="I474"/>
  <c r="J474"/>
  <c r="K474"/>
  <c r="L474"/>
  <c r="M474"/>
  <c r="N474"/>
  <c r="O474"/>
  <c r="P474"/>
  <c r="D475"/>
  <c r="E475"/>
  <c r="F475"/>
  <c r="G475"/>
  <c r="H475"/>
  <c r="I475"/>
  <c r="J475"/>
  <c r="K475"/>
  <c r="L475"/>
  <c r="M475"/>
  <c r="N475"/>
  <c r="O475"/>
  <c r="P475"/>
  <c r="C475"/>
  <c r="C474"/>
  <c r="C473"/>
  <c r="B443"/>
  <c r="B444"/>
  <c r="B445"/>
  <c r="B446"/>
  <c r="B447"/>
  <c r="B448"/>
  <c r="B449"/>
  <c r="B450"/>
  <c r="B451"/>
  <c r="B452"/>
  <c r="B453"/>
  <c r="B442"/>
  <c r="D438"/>
  <c r="E438"/>
  <c r="F438"/>
  <c r="G438"/>
  <c r="H438"/>
  <c r="I438"/>
  <c r="J438"/>
  <c r="K438"/>
  <c r="L438"/>
  <c r="M438"/>
  <c r="N438"/>
  <c r="O438"/>
  <c r="P438"/>
  <c r="D439"/>
  <c r="E439"/>
  <c r="F439"/>
  <c r="G439"/>
  <c r="H439"/>
  <c r="I439"/>
  <c r="J439"/>
  <c r="K439"/>
  <c r="L439"/>
  <c r="M439"/>
  <c r="N439"/>
  <c r="O439"/>
  <c r="P439"/>
  <c r="D440"/>
  <c r="E440"/>
  <c r="F440"/>
  <c r="G440"/>
  <c r="H440"/>
  <c r="I440"/>
  <c r="J440"/>
  <c r="K440"/>
  <c r="L440"/>
  <c r="M440"/>
  <c r="N440"/>
  <c r="O440"/>
  <c r="P440"/>
  <c r="C440"/>
  <c r="C439"/>
  <c r="C438"/>
  <c r="B410"/>
  <c r="B411"/>
  <c r="B412"/>
  <c r="B413"/>
  <c r="B414"/>
  <c r="B415"/>
  <c r="B416"/>
  <c r="B417"/>
  <c r="B418"/>
  <c r="B419"/>
  <c r="B420"/>
  <c r="B409"/>
  <c r="D405"/>
  <c r="E405"/>
  <c r="F405"/>
  <c r="G405"/>
  <c r="H405"/>
  <c r="I405"/>
  <c r="J405"/>
  <c r="K405"/>
  <c r="L405"/>
  <c r="M405"/>
  <c r="N405"/>
  <c r="O405"/>
  <c r="P405"/>
  <c r="D406"/>
  <c r="E406"/>
  <c r="F406"/>
  <c r="G406"/>
  <c r="H406"/>
  <c r="I406"/>
  <c r="J406"/>
  <c r="K406"/>
  <c r="L406"/>
  <c r="M406"/>
  <c r="N406"/>
  <c r="O406"/>
  <c r="P406"/>
  <c r="D407"/>
  <c r="E407"/>
  <c r="F407"/>
  <c r="G407"/>
  <c r="H407"/>
  <c r="I407"/>
  <c r="J407"/>
  <c r="K407"/>
  <c r="L407"/>
  <c r="M407"/>
  <c r="N407"/>
  <c r="O407"/>
  <c r="P407"/>
  <c r="C407"/>
  <c r="C406"/>
  <c r="C405"/>
  <c r="D371"/>
  <c r="E371"/>
  <c r="F371"/>
  <c r="G371"/>
  <c r="H371"/>
  <c r="I371"/>
  <c r="J371"/>
  <c r="K371"/>
  <c r="L371"/>
  <c r="M371"/>
  <c r="N371"/>
  <c r="O371"/>
  <c r="P371"/>
  <c r="D372"/>
  <c r="E372"/>
  <c r="F372"/>
  <c r="G372"/>
  <c r="H372"/>
  <c r="I372"/>
  <c r="J372"/>
  <c r="K372"/>
  <c r="L372"/>
  <c r="M372"/>
  <c r="N372"/>
  <c r="O372"/>
  <c r="P372"/>
  <c r="D373"/>
  <c r="E373"/>
  <c r="F373"/>
  <c r="G373"/>
  <c r="H373"/>
  <c r="I373"/>
  <c r="J373"/>
  <c r="K373"/>
  <c r="L373"/>
  <c r="M373"/>
  <c r="N373"/>
  <c r="O373"/>
  <c r="P373"/>
  <c r="C373"/>
  <c r="C372"/>
  <c r="C371"/>
  <c r="B341"/>
  <c r="B342"/>
  <c r="B343"/>
  <c r="B344"/>
  <c r="B345"/>
  <c r="B346"/>
  <c r="B347"/>
  <c r="B348"/>
  <c r="B349"/>
  <c r="B350"/>
  <c r="B351"/>
  <c r="B340"/>
  <c r="D336"/>
  <c r="E336"/>
  <c r="F336"/>
  <c r="G336"/>
  <c r="H336"/>
  <c r="I336"/>
  <c r="J336"/>
  <c r="K336"/>
  <c r="L336"/>
  <c r="M336"/>
  <c r="N336"/>
  <c r="O336"/>
  <c r="P336"/>
  <c r="D337"/>
  <c r="E337"/>
  <c r="F337"/>
  <c r="G337"/>
  <c r="H337"/>
  <c r="I337"/>
  <c r="J337"/>
  <c r="K337"/>
  <c r="L337"/>
  <c r="M337"/>
  <c r="N337"/>
  <c r="O337"/>
  <c r="P337"/>
  <c r="D338"/>
  <c r="E338"/>
  <c r="F338"/>
  <c r="G338"/>
  <c r="H338"/>
  <c r="I338"/>
  <c r="J338"/>
  <c r="K338"/>
  <c r="L338"/>
  <c r="M338"/>
  <c r="N338"/>
  <c r="O338"/>
  <c r="P338"/>
  <c r="C338"/>
  <c r="C337"/>
  <c r="C336"/>
  <c r="B307"/>
  <c r="B308"/>
  <c r="B309"/>
  <c r="B310"/>
  <c r="B311"/>
  <c r="B312"/>
  <c r="B313"/>
  <c r="B314"/>
  <c r="B315"/>
  <c r="B316"/>
  <c r="B317"/>
  <c r="B306"/>
  <c r="D302"/>
  <c r="E302"/>
  <c r="F302"/>
  <c r="G302"/>
  <c r="H302"/>
  <c r="I302"/>
  <c r="J302"/>
  <c r="K302"/>
  <c r="L302"/>
  <c r="M302"/>
  <c r="N302"/>
  <c r="O302"/>
  <c r="P302"/>
  <c r="D303"/>
  <c r="E303"/>
  <c r="F303"/>
  <c r="G303"/>
  <c r="H303"/>
  <c r="I303"/>
  <c r="J303"/>
  <c r="K303"/>
  <c r="L303"/>
  <c r="M303"/>
  <c r="N303"/>
  <c r="O303"/>
  <c r="P303"/>
  <c r="D304"/>
  <c r="E304"/>
  <c r="F304"/>
  <c r="G304"/>
  <c r="H304"/>
  <c r="I304"/>
  <c r="J304"/>
  <c r="K304"/>
  <c r="L304"/>
  <c r="M304"/>
  <c r="N304"/>
  <c r="O304"/>
  <c r="P304"/>
  <c r="C304"/>
  <c r="C303"/>
  <c r="C302"/>
  <c r="B272"/>
  <c r="B273"/>
  <c r="B274"/>
  <c r="B275"/>
  <c r="B276"/>
  <c r="B277"/>
  <c r="B278"/>
  <c r="B279"/>
  <c r="B280"/>
  <c r="B281"/>
  <c r="B282"/>
  <c r="B271"/>
  <c r="D267"/>
  <c r="E267"/>
  <c r="F267"/>
  <c r="G267"/>
  <c r="H267"/>
  <c r="I267"/>
  <c r="J267"/>
  <c r="K267"/>
  <c r="L267"/>
  <c r="M267"/>
  <c r="N267"/>
  <c r="O267"/>
  <c r="P267"/>
  <c r="D268"/>
  <c r="E268"/>
  <c r="F268"/>
  <c r="G268"/>
  <c r="H268"/>
  <c r="I268"/>
  <c r="J268"/>
  <c r="K268"/>
  <c r="L268"/>
  <c r="M268"/>
  <c r="N268"/>
  <c r="O268"/>
  <c r="P268"/>
  <c r="D269"/>
  <c r="E269"/>
  <c r="F269"/>
  <c r="G269"/>
  <c r="H269"/>
  <c r="I269"/>
  <c r="J269"/>
  <c r="K269"/>
  <c r="L269"/>
  <c r="M269"/>
  <c r="N269"/>
  <c r="O269"/>
  <c r="P269"/>
  <c r="C269"/>
  <c r="C268"/>
  <c r="C267"/>
  <c r="B239"/>
  <c r="B240"/>
  <c r="B241"/>
  <c r="B242"/>
  <c r="B243"/>
  <c r="B244"/>
  <c r="B245"/>
  <c r="B246"/>
  <c r="B247"/>
  <c r="B248"/>
  <c r="B249"/>
  <c r="B238"/>
  <c r="D234"/>
  <c r="E234"/>
  <c r="F234"/>
  <c r="G234"/>
  <c r="H234"/>
  <c r="I234"/>
  <c r="J234"/>
  <c r="K234"/>
  <c r="L234"/>
  <c r="M234"/>
  <c r="N234"/>
  <c r="O234"/>
  <c r="P234"/>
  <c r="D235"/>
  <c r="E235"/>
  <c r="F235"/>
  <c r="G235"/>
  <c r="H235"/>
  <c r="I235"/>
  <c r="J235"/>
  <c r="K235"/>
  <c r="L235"/>
  <c r="M235"/>
  <c r="N235"/>
  <c r="O235"/>
  <c r="P235"/>
  <c r="D236"/>
  <c r="E236"/>
  <c r="F236"/>
  <c r="G236"/>
  <c r="H236"/>
  <c r="I236"/>
  <c r="J236"/>
  <c r="K236"/>
  <c r="L236"/>
  <c r="M236"/>
  <c r="N236"/>
  <c r="O236"/>
  <c r="P236"/>
  <c r="C236"/>
  <c r="C235"/>
  <c r="C234"/>
  <c r="B206"/>
  <c r="B207"/>
  <c r="B208"/>
  <c r="B209"/>
  <c r="B210"/>
  <c r="B211"/>
  <c r="B212"/>
  <c r="B213"/>
  <c r="B214"/>
  <c r="B215"/>
  <c r="B216"/>
  <c r="B205"/>
  <c r="D201"/>
  <c r="E201"/>
  <c r="F201"/>
  <c r="G201"/>
  <c r="H201"/>
  <c r="I201"/>
  <c r="J201"/>
  <c r="K201"/>
  <c r="L201"/>
  <c r="M201"/>
  <c r="N201"/>
  <c r="O201"/>
  <c r="P201"/>
  <c r="D202"/>
  <c r="E202"/>
  <c r="F202"/>
  <c r="G202"/>
  <c r="H202"/>
  <c r="I202"/>
  <c r="J202"/>
  <c r="K202"/>
  <c r="L202"/>
  <c r="M202"/>
  <c r="N202"/>
  <c r="O202"/>
  <c r="P202"/>
  <c r="D203"/>
  <c r="E203"/>
  <c r="F203"/>
  <c r="G203"/>
  <c r="H203"/>
  <c r="I203"/>
  <c r="J203"/>
  <c r="K203"/>
  <c r="L203"/>
  <c r="M203"/>
  <c r="N203"/>
  <c r="O203"/>
  <c r="P203"/>
  <c r="C203"/>
  <c r="C202"/>
  <c r="C201"/>
  <c r="B173"/>
  <c r="B174"/>
  <c r="B175"/>
  <c r="B176"/>
  <c r="B177"/>
  <c r="B178"/>
  <c r="B179"/>
  <c r="B180"/>
  <c r="B181"/>
  <c r="B182"/>
  <c r="B183"/>
  <c r="B172"/>
  <c r="D169"/>
  <c r="E169"/>
  <c r="F169"/>
  <c r="G169"/>
  <c r="H169"/>
  <c r="I169"/>
  <c r="J169"/>
  <c r="K169"/>
  <c r="L169"/>
  <c r="M169"/>
  <c r="N169"/>
  <c r="O169"/>
  <c r="P169"/>
  <c r="D170"/>
  <c r="E170"/>
  <c r="F170"/>
  <c r="G170"/>
  <c r="H170"/>
  <c r="I170"/>
  <c r="J170"/>
  <c r="K170"/>
  <c r="L170"/>
  <c r="M170"/>
  <c r="N170"/>
  <c r="O170"/>
  <c r="P170"/>
  <c r="C170"/>
  <c r="C169"/>
  <c r="D168"/>
  <c r="E168"/>
  <c r="F168"/>
  <c r="G168"/>
  <c r="H168"/>
  <c r="I168"/>
  <c r="J168"/>
  <c r="K168"/>
  <c r="L168"/>
  <c r="M168"/>
  <c r="N168"/>
  <c r="O168"/>
  <c r="P168"/>
  <c r="C168"/>
  <c r="B140"/>
  <c r="B141"/>
  <c r="B142"/>
  <c r="B143"/>
  <c r="B144"/>
  <c r="B145"/>
  <c r="B146"/>
  <c r="B147"/>
  <c r="B148"/>
  <c r="B149"/>
  <c r="B150"/>
  <c r="B139"/>
  <c r="D135"/>
  <c r="E135"/>
  <c r="F135"/>
  <c r="G135"/>
  <c r="H135"/>
  <c r="I135"/>
  <c r="J135"/>
  <c r="K135"/>
  <c r="L135"/>
  <c r="M135"/>
  <c r="N135"/>
  <c r="O135"/>
  <c r="P135"/>
  <c r="D136"/>
  <c r="E136"/>
  <c r="F136"/>
  <c r="G136"/>
  <c r="H136"/>
  <c r="I136"/>
  <c r="J136"/>
  <c r="K136"/>
  <c r="L136"/>
  <c r="M136"/>
  <c r="N136"/>
  <c r="O136"/>
  <c r="P136"/>
  <c r="D137"/>
  <c r="E137"/>
  <c r="F137"/>
  <c r="G137"/>
  <c r="H137"/>
  <c r="I137"/>
  <c r="J137"/>
  <c r="K137"/>
  <c r="L137"/>
  <c r="M137"/>
  <c r="N137"/>
  <c r="O137"/>
  <c r="P137"/>
  <c r="C137"/>
  <c r="C136"/>
  <c r="C135"/>
  <c r="D104"/>
  <c r="E104"/>
  <c r="F104"/>
  <c r="G104"/>
  <c r="H104"/>
  <c r="I104"/>
  <c r="J104"/>
  <c r="K104"/>
  <c r="L104"/>
  <c r="M104"/>
  <c r="N104"/>
  <c r="O104"/>
  <c r="P104"/>
  <c r="C104"/>
  <c r="D103"/>
  <c r="E103"/>
  <c r="F103"/>
  <c r="G103"/>
  <c r="H103"/>
  <c r="I103"/>
  <c r="J103"/>
  <c r="K103"/>
  <c r="L103"/>
  <c r="M103"/>
  <c r="N103"/>
  <c r="O103"/>
  <c r="P103"/>
  <c r="C103"/>
  <c r="D102"/>
  <c r="E102"/>
  <c r="F102"/>
  <c r="G102"/>
  <c r="H102"/>
  <c r="I102"/>
  <c r="J102"/>
  <c r="K102"/>
  <c r="L102"/>
  <c r="M102"/>
  <c r="N102"/>
  <c r="O102"/>
  <c r="P102"/>
  <c r="C102"/>
  <c r="B107"/>
  <c r="B108"/>
  <c r="B109"/>
  <c r="B110"/>
  <c r="B111"/>
  <c r="B112"/>
  <c r="B113"/>
  <c r="B114"/>
  <c r="B115"/>
  <c r="B116"/>
  <c r="B117"/>
  <c r="B106"/>
  <c r="D71"/>
  <c r="E71"/>
  <c r="F71"/>
  <c r="G71"/>
  <c r="H71"/>
  <c r="I71"/>
  <c r="J71"/>
  <c r="K71"/>
  <c r="L71"/>
  <c r="M71"/>
  <c r="N71"/>
  <c r="O71"/>
  <c r="P71"/>
  <c r="C71"/>
  <c r="D70"/>
  <c r="E70"/>
  <c r="F70"/>
  <c r="G70"/>
  <c r="H70"/>
  <c r="I70"/>
  <c r="J70"/>
  <c r="K70"/>
  <c r="L70"/>
  <c r="M70"/>
  <c r="N70"/>
  <c r="O70"/>
  <c r="P70"/>
  <c r="C70"/>
  <c r="D69"/>
  <c r="E69"/>
  <c r="F69"/>
  <c r="G69"/>
  <c r="H69"/>
  <c r="I69"/>
  <c r="J69"/>
  <c r="K69"/>
  <c r="L69"/>
  <c r="M69"/>
  <c r="N69"/>
  <c r="O69"/>
  <c r="P69"/>
  <c r="C69"/>
  <c r="B74"/>
  <c r="B75"/>
  <c r="B76"/>
  <c r="B77"/>
  <c r="B78"/>
  <c r="B79"/>
  <c r="B80"/>
  <c r="B81"/>
  <c r="B82"/>
  <c r="B83"/>
  <c r="B84"/>
  <c r="B73"/>
  <c r="D36"/>
  <c r="E36"/>
  <c r="F36"/>
  <c r="G36"/>
  <c r="H36"/>
  <c r="I36"/>
  <c r="J36"/>
  <c r="K36"/>
  <c r="L36"/>
  <c r="M36"/>
  <c r="N36"/>
  <c r="O36"/>
  <c r="P36"/>
  <c r="C36"/>
  <c r="B41"/>
  <c r="B42"/>
  <c r="B43"/>
  <c r="B44"/>
  <c r="B45"/>
  <c r="B46"/>
  <c r="B47"/>
  <c r="B48"/>
  <c r="B49"/>
  <c r="B50"/>
  <c r="B51"/>
  <c r="B40"/>
  <c r="D38"/>
  <c r="E38"/>
  <c r="F38"/>
  <c r="G38"/>
  <c r="H38"/>
  <c r="I38"/>
  <c r="J38"/>
  <c r="K38"/>
  <c r="L38"/>
  <c r="M38"/>
  <c r="N38"/>
  <c r="O38"/>
  <c r="P38"/>
  <c r="C38"/>
  <c r="D37"/>
  <c r="E37"/>
  <c r="F37"/>
  <c r="G37"/>
  <c r="H37"/>
  <c r="I37"/>
  <c r="J37"/>
  <c r="K37"/>
  <c r="L37"/>
  <c r="M37"/>
  <c r="N37"/>
  <c r="O37"/>
  <c r="P37"/>
  <c r="C37"/>
  <c r="D6"/>
  <c r="E6"/>
  <c r="F6"/>
  <c r="G6"/>
  <c r="H6"/>
  <c r="I6"/>
  <c r="J6"/>
  <c r="K6"/>
  <c r="L6"/>
  <c r="M6"/>
  <c r="N6"/>
  <c r="O6"/>
  <c r="P6"/>
  <c r="C6"/>
  <c r="D5"/>
  <c r="E5"/>
  <c r="F5"/>
  <c r="G5"/>
  <c r="H5"/>
  <c r="I5"/>
  <c r="J5"/>
  <c r="K5"/>
  <c r="L5"/>
  <c r="M5"/>
  <c r="N5"/>
  <c r="O5"/>
  <c r="P5"/>
  <c r="C5"/>
  <c r="D4"/>
  <c r="E4"/>
  <c r="F4"/>
  <c r="G4"/>
  <c r="H4"/>
  <c r="I4"/>
  <c r="J4"/>
  <c r="K4"/>
  <c r="L4"/>
  <c r="M4"/>
  <c r="N4"/>
  <c r="O4"/>
  <c r="P4"/>
  <c r="C4"/>
  <c r="B9"/>
  <c r="B10"/>
  <c r="B11"/>
  <c r="B12"/>
  <c r="B13"/>
  <c r="B14"/>
  <c r="B15"/>
  <c r="B16"/>
  <c r="B17"/>
  <c r="B18"/>
  <c r="B19"/>
  <c r="B8"/>
  <c r="A9"/>
  <c r="A10"/>
  <c r="A11"/>
  <c r="A12"/>
  <c r="A13"/>
  <c r="A14"/>
  <c r="A15"/>
  <c r="A16"/>
  <c r="A17"/>
  <c r="A18"/>
  <c r="A19"/>
  <c r="A8"/>
  <c r="L1131"/>
  <c r="K1131"/>
  <c r="J1131"/>
  <c r="I1131"/>
  <c r="H1131"/>
  <c r="G1131"/>
  <c r="F1131"/>
  <c r="E1131"/>
  <c r="D1131"/>
  <c r="C1131"/>
  <c r="Q1130"/>
  <c r="Q1129"/>
  <c r="Q1128"/>
  <c r="M42" i="2" s="1"/>
  <c r="Q1127" i="1"/>
  <c r="L42" i="2" s="1"/>
  <c r="Q1126" i="1"/>
  <c r="K42" i="2" s="1"/>
  <c r="Q1125" i="1"/>
  <c r="J42" i="2" s="1"/>
  <c r="Q1124" i="1"/>
  <c r="I42" i="2" s="1"/>
  <c r="Q1123" i="1"/>
  <c r="H42" i="2" s="1"/>
  <c r="Q1122" i="1"/>
  <c r="G42" i="2" s="1"/>
  <c r="Q1121" i="1"/>
  <c r="F42" i="2" s="1"/>
  <c r="Q1120" i="1"/>
  <c r="E42" i="2" s="1"/>
  <c r="Q1119" i="1"/>
  <c r="D42" i="2" s="1"/>
  <c r="Q1118" i="1"/>
  <c r="C42" i="2" s="1"/>
  <c r="P1097" i="1"/>
  <c r="O1097"/>
  <c r="N1097"/>
  <c r="M1097"/>
  <c r="L1097"/>
  <c r="K1097"/>
  <c r="J1097"/>
  <c r="I1097"/>
  <c r="H1097"/>
  <c r="G1097"/>
  <c r="F1097"/>
  <c r="E1097"/>
  <c r="D1097"/>
  <c r="C1097"/>
  <c r="Q1096"/>
  <c r="Q1095"/>
  <c r="Q1094"/>
  <c r="M41" i="2" s="1"/>
  <c r="Q1093" i="1"/>
  <c r="L41" i="2" s="1"/>
  <c r="Q1092" i="1"/>
  <c r="K41" i="2" s="1"/>
  <c r="Q1091" i="1"/>
  <c r="J41" i="2" s="1"/>
  <c r="Q1090" i="1"/>
  <c r="I41" i="2" s="1"/>
  <c r="Q1089" i="1"/>
  <c r="H41" i="2" s="1"/>
  <c r="Q1088" i="1"/>
  <c r="G41" i="2" s="1"/>
  <c r="Q1087" i="1"/>
  <c r="F41" i="2" s="1"/>
  <c r="Q1086" i="1"/>
  <c r="E41" i="2" s="1"/>
  <c r="Q1085" i="1"/>
  <c r="D41" i="2" s="1"/>
  <c r="Q1084" i="1"/>
  <c r="C41" i="2" s="1"/>
  <c r="N41" s="1"/>
  <c r="Q41" s="1"/>
  <c r="P1063" i="1"/>
  <c r="O1063"/>
  <c r="N1063"/>
  <c r="M1063"/>
  <c r="L1063"/>
  <c r="K1063"/>
  <c r="J1063"/>
  <c r="I1063"/>
  <c r="H1063"/>
  <c r="G1063"/>
  <c r="F1063"/>
  <c r="E1063"/>
  <c r="D1063"/>
  <c r="C1063"/>
  <c r="Q1062"/>
  <c r="Q1061"/>
  <c r="Q1060"/>
  <c r="M40" i="2" s="1"/>
  <c r="Q1059" i="1"/>
  <c r="L40" i="2" s="1"/>
  <c r="Q1058" i="1"/>
  <c r="K40" i="2" s="1"/>
  <c r="Q1057" i="1"/>
  <c r="J40" i="2" s="1"/>
  <c r="Q1056" i="1"/>
  <c r="I40" i="2" s="1"/>
  <c r="Q1055" i="1"/>
  <c r="H40" i="2" s="1"/>
  <c r="Q1054" i="1"/>
  <c r="G40" i="2" s="1"/>
  <c r="Q1053" i="1"/>
  <c r="F40" i="2" s="1"/>
  <c r="Q1052" i="1"/>
  <c r="E40" i="2" s="1"/>
  <c r="Q1051" i="1"/>
  <c r="D40" i="2" s="1"/>
  <c r="Q1050" i="1"/>
  <c r="C40" i="2" s="1"/>
  <c r="P1030" i="1"/>
  <c r="O1030"/>
  <c r="N1030"/>
  <c r="M1030"/>
  <c r="L1030"/>
  <c r="K1030"/>
  <c r="J1030"/>
  <c r="I1030"/>
  <c r="H1030"/>
  <c r="G1030"/>
  <c r="F1030"/>
  <c r="E1030"/>
  <c r="D1030"/>
  <c r="C1030"/>
  <c r="Q1029"/>
  <c r="Q1028"/>
  <c r="Q1027"/>
  <c r="M39" i="2" s="1"/>
  <c r="Q1026" i="1"/>
  <c r="L39" i="2" s="1"/>
  <c r="Q1025" i="1"/>
  <c r="K39" i="2" s="1"/>
  <c r="Q1024" i="1"/>
  <c r="J39" i="2" s="1"/>
  <c r="Q1023" i="1"/>
  <c r="I39" i="2" s="1"/>
  <c r="Q1022" i="1"/>
  <c r="H39" i="2" s="1"/>
  <c r="Q1021" i="1"/>
  <c r="G39" i="2" s="1"/>
  <c r="Q1020" i="1"/>
  <c r="F39" i="2" s="1"/>
  <c r="Q1019" i="1"/>
  <c r="E39" i="2" s="1"/>
  <c r="Q1018" i="1"/>
  <c r="D39" i="2" s="1"/>
  <c r="Q1017" i="1"/>
  <c r="C39" i="2" s="1"/>
  <c r="P997" i="1"/>
  <c r="O997"/>
  <c r="N997"/>
  <c r="M997"/>
  <c r="L997"/>
  <c r="K997"/>
  <c r="J997"/>
  <c r="I997"/>
  <c r="H997"/>
  <c r="G997"/>
  <c r="F997"/>
  <c r="E997"/>
  <c r="D997"/>
  <c r="C997"/>
  <c r="Q996"/>
  <c r="Q995"/>
  <c r="Q994"/>
  <c r="M38" i="2" s="1"/>
  <c r="Q993" i="1"/>
  <c r="L38" i="2" s="1"/>
  <c r="Q992" i="1"/>
  <c r="K38" i="2" s="1"/>
  <c r="Q991" i="1"/>
  <c r="J38" i="2" s="1"/>
  <c r="Q990" i="1"/>
  <c r="I38" i="2" s="1"/>
  <c r="Q989" i="1"/>
  <c r="H38" i="2" s="1"/>
  <c r="Q988" i="1"/>
  <c r="G38" i="2" s="1"/>
  <c r="Q987" i="1"/>
  <c r="F38" i="2" s="1"/>
  <c r="Q986" i="1"/>
  <c r="E38" i="2" s="1"/>
  <c r="Q985" i="1"/>
  <c r="D38" i="2" s="1"/>
  <c r="Q984" i="1"/>
  <c r="C38" i="2" s="1"/>
  <c r="P963" i="1"/>
  <c r="O963"/>
  <c r="N963"/>
  <c r="M963"/>
  <c r="L963"/>
  <c r="K963"/>
  <c r="J963"/>
  <c r="I963"/>
  <c r="H963"/>
  <c r="G963"/>
  <c r="F963"/>
  <c r="E963"/>
  <c r="D963"/>
  <c r="C963"/>
  <c r="Q962"/>
  <c r="Q961"/>
  <c r="Q960"/>
  <c r="M37" i="2" s="1"/>
  <c r="Q959" i="1"/>
  <c r="L37" i="2" s="1"/>
  <c r="Q958" i="1"/>
  <c r="K37" i="2" s="1"/>
  <c r="Q957" i="1"/>
  <c r="J37" i="2" s="1"/>
  <c r="Q956" i="1"/>
  <c r="I37" i="2" s="1"/>
  <c r="Q955" i="1"/>
  <c r="H37" i="2" s="1"/>
  <c r="Q954" i="1"/>
  <c r="G37" i="2" s="1"/>
  <c r="Q953" i="1"/>
  <c r="F37" i="2" s="1"/>
  <c r="Q952" i="1"/>
  <c r="E37" i="2" s="1"/>
  <c r="Q951" i="1"/>
  <c r="D37" i="2" s="1"/>
  <c r="Q950" i="1"/>
  <c r="C37" i="2" s="1"/>
  <c r="N37" s="1"/>
  <c r="Q37" s="1"/>
  <c r="P929" i="1"/>
  <c r="O929"/>
  <c r="N929"/>
  <c r="M929"/>
  <c r="L929"/>
  <c r="K929"/>
  <c r="J929"/>
  <c r="I929"/>
  <c r="H929"/>
  <c r="G929"/>
  <c r="F929"/>
  <c r="E929"/>
  <c r="D929"/>
  <c r="C929"/>
  <c r="Q928"/>
  <c r="Q927"/>
  <c r="Q926"/>
  <c r="M36" i="2" s="1"/>
  <c r="Q925" i="1"/>
  <c r="L36" i="2" s="1"/>
  <c r="Q924" i="1"/>
  <c r="K36" i="2" s="1"/>
  <c r="Q923" i="1"/>
  <c r="J36" i="2" s="1"/>
  <c r="Q922" i="1"/>
  <c r="I36" i="2" s="1"/>
  <c r="Q921" i="1"/>
  <c r="H36" i="2" s="1"/>
  <c r="Q920" i="1"/>
  <c r="G36" i="2" s="1"/>
  <c r="Q919" i="1"/>
  <c r="F36" i="2" s="1"/>
  <c r="Q918" i="1"/>
  <c r="E36" i="2" s="1"/>
  <c r="Q917" i="1"/>
  <c r="D36" i="2" s="1"/>
  <c r="Q916" i="1"/>
  <c r="C36" i="2" s="1"/>
  <c r="P896" i="1"/>
  <c r="O896"/>
  <c r="N896"/>
  <c r="M896"/>
  <c r="L896"/>
  <c r="K896"/>
  <c r="J896"/>
  <c r="I896"/>
  <c r="H896"/>
  <c r="G896"/>
  <c r="F896"/>
  <c r="E896"/>
  <c r="D896"/>
  <c r="C896"/>
  <c r="Q895"/>
  <c r="Q894"/>
  <c r="Q893"/>
  <c r="M35" i="2" s="1"/>
  <c r="Q892" i="1"/>
  <c r="L35" i="2" s="1"/>
  <c r="Q891" i="1"/>
  <c r="K35" i="2" s="1"/>
  <c r="Q890" i="1"/>
  <c r="J35" i="2" s="1"/>
  <c r="Q889" i="1"/>
  <c r="I35" i="2" s="1"/>
  <c r="Q888" i="1"/>
  <c r="H35" i="2" s="1"/>
  <c r="Q887" i="1"/>
  <c r="G35" i="2" s="1"/>
  <c r="Q886" i="1"/>
  <c r="F35" i="2" s="1"/>
  <c r="Q885" i="1"/>
  <c r="E35" i="2" s="1"/>
  <c r="Q884" i="1"/>
  <c r="D35" i="2" s="1"/>
  <c r="Q883" i="1"/>
  <c r="C35" i="2" s="1"/>
  <c r="P863" i="1"/>
  <c r="O863"/>
  <c r="N863"/>
  <c r="M863"/>
  <c r="L863"/>
  <c r="K863"/>
  <c r="J863"/>
  <c r="I863"/>
  <c r="H863"/>
  <c r="G863"/>
  <c r="F863"/>
  <c r="E863"/>
  <c r="D863"/>
  <c r="C863"/>
  <c r="Q862"/>
  <c r="Q861"/>
  <c r="Q860"/>
  <c r="M34" i="2" s="1"/>
  <c r="Q859" i="1"/>
  <c r="L34" i="2" s="1"/>
  <c r="Q858" i="1"/>
  <c r="K34" i="2" s="1"/>
  <c r="Q857" i="1"/>
  <c r="J34" i="2" s="1"/>
  <c r="Q856" i="1"/>
  <c r="I34" i="2" s="1"/>
  <c r="Q855" i="1"/>
  <c r="H34" i="2" s="1"/>
  <c r="Q854" i="1"/>
  <c r="G34" i="2" s="1"/>
  <c r="Q853" i="1"/>
  <c r="F34" i="2" s="1"/>
  <c r="Q852" i="1"/>
  <c r="E34" i="2" s="1"/>
  <c r="Q851" i="1"/>
  <c r="D34" i="2" s="1"/>
  <c r="Q850" i="1"/>
  <c r="C34" i="2" s="1"/>
  <c r="P829" i="1"/>
  <c r="O829"/>
  <c r="N829"/>
  <c r="M829"/>
  <c r="L829"/>
  <c r="K829"/>
  <c r="J829"/>
  <c r="I829"/>
  <c r="H829"/>
  <c r="G829"/>
  <c r="F829"/>
  <c r="E829"/>
  <c r="D829"/>
  <c r="C829"/>
  <c r="Q828"/>
  <c r="Q827"/>
  <c r="Q826"/>
  <c r="M33" i="2" s="1"/>
  <c r="Q825" i="1"/>
  <c r="L33" i="2" s="1"/>
  <c r="Q824" i="1"/>
  <c r="K33" i="2" s="1"/>
  <c r="Q823" i="1"/>
  <c r="J33" i="2" s="1"/>
  <c r="Q822" i="1"/>
  <c r="I33" i="2" s="1"/>
  <c r="Q821" i="1"/>
  <c r="H33" i="2" s="1"/>
  <c r="Q820" i="1"/>
  <c r="G33" i="2" s="1"/>
  <c r="Q819" i="1"/>
  <c r="F33" i="2" s="1"/>
  <c r="Q818" i="1"/>
  <c r="E33" i="2" s="1"/>
  <c r="Q817" i="1"/>
  <c r="D33" i="2" s="1"/>
  <c r="Q816" i="1"/>
  <c r="C33" i="2" s="1"/>
  <c r="P795" i="1"/>
  <c r="O795"/>
  <c r="N795"/>
  <c r="M795"/>
  <c r="L795"/>
  <c r="K795"/>
  <c r="J795"/>
  <c r="I795"/>
  <c r="H795"/>
  <c r="G795"/>
  <c r="F795"/>
  <c r="E795"/>
  <c r="D795"/>
  <c r="C795"/>
  <c r="Q794"/>
  <c r="Q793"/>
  <c r="Q792"/>
  <c r="M32" i="2" s="1"/>
  <c r="Q791" i="1"/>
  <c r="L32" i="2" s="1"/>
  <c r="Q790" i="1"/>
  <c r="K32" i="2" s="1"/>
  <c r="Q789" i="1"/>
  <c r="J32" i="2" s="1"/>
  <c r="Q788" i="1"/>
  <c r="I32" i="2" s="1"/>
  <c r="Q787" i="1"/>
  <c r="H32" i="2" s="1"/>
  <c r="Q786" i="1"/>
  <c r="G32" i="2" s="1"/>
  <c r="Q785" i="1"/>
  <c r="F32" i="2" s="1"/>
  <c r="Q784" i="1"/>
  <c r="E32" i="2" s="1"/>
  <c r="Q783" i="1"/>
  <c r="D32" i="2" s="1"/>
  <c r="Q782" i="1"/>
  <c r="C32" i="2" s="1"/>
  <c r="P761" i="1"/>
  <c r="O761"/>
  <c r="N761"/>
  <c r="M761"/>
  <c r="L761"/>
  <c r="K761"/>
  <c r="J761"/>
  <c r="I761"/>
  <c r="H761"/>
  <c r="G761"/>
  <c r="F761"/>
  <c r="E761"/>
  <c r="D761"/>
  <c r="C761"/>
  <c r="Q760"/>
  <c r="Q759"/>
  <c r="Q758"/>
  <c r="M31" i="2" s="1"/>
  <c r="Q757" i="1"/>
  <c r="L31" i="2" s="1"/>
  <c r="Q756" i="1"/>
  <c r="K31" i="2" s="1"/>
  <c r="Q755" i="1"/>
  <c r="Q754"/>
  <c r="I31" i="2" s="1"/>
  <c r="Q753" i="1"/>
  <c r="H31" i="2" s="1"/>
  <c r="Q752" i="1"/>
  <c r="G31" i="2" s="1"/>
  <c r="Q751" i="1"/>
  <c r="F31" i="2" s="1"/>
  <c r="Q750" i="1"/>
  <c r="E31" i="2" s="1"/>
  <c r="Q749" i="1"/>
  <c r="D31" i="2" s="1"/>
  <c r="Q748" i="1"/>
  <c r="C31" i="2" s="1"/>
  <c r="P727" i="1"/>
  <c r="O727"/>
  <c r="N727"/>
  <c r="M727"/>
  <c r="L727"/>
  <c r="K727"/>
  <c r="J727"/>
  <c r="I727"/>
  <c r="H727"/>
  <c r="G727"/>
  <c r="F727"/>
  <c r="E727"/>
  <c r="D727"/>
  <c r="C727"/>
  <c r="Q726"/>
  <c r="Q725"/>
  <c r="Q724"/>
  <c r="M30" i="2" s="1"/>
  <c r="Q723" i="1"/>
  <c r="L30" i="2" s="1"/>
  <c r="Q722" i="1"/>
  <c r="K30" i="2" s="1"/>
  <c r="Q721" i="1"/>
  <c r="Q720"/>
  <c r="I30" i="2" s="1"/>
  <c r="Q719" i="1"/>
  <c r="H30" i="2" s="1"/>
  <c r="Q718" i="1"/>
  <c r="G30" i="2" s="1"/>
  <c r="Q717" i="1"/>
  <c r="F30" i="2" s="1"/>
  <c r="Q716" i="1"/>
  <c r="E30" i="2" s="1"/>
  <c r="Q715" i="1"/>
  <c r="D30" i="2" s="1"/>
  <c r="Q714" i="1"/>
  <c r="C30" i="2" s="1"/>
  <c r="P693" i="1"/>
  <c r="O693"/>
  <c r="N693"/>
  <c r="M693"/>
  <c r="L693"/>
  <c r="K693"/>
  <c r="J693"/>
  <c r="I693"/>
  <c r="H693"/>
  <c r="G693"/>
  <c r="F693"/>
  <c r="E693"/>
  <c r="D693"/>
  <c r="C693"/>
  <c r="Q692"/>
  <c r="Q691"/>
  <c r="Q690"/>
  <c r="M29" i="2" s="1"/>
  <c r="Q689" i="1"/>
  <c r="L29" i="2" s="1"/>
  <c r="Q688" i="1"/>
  <c r="K29" i="2" s="1"/>
  <c r="Q687" i="1"/>
  <c r="J29" i="2" s="1"/>
  <c r="Q686" i="1"/>
  <c r="I29" i="2" s="1"/>
  <c r="Q685" i="1"/>
  <c r="H29" i="2" s="1"/>
  <c r="Q684" i="1"/>
  <c r="G29" i="2" s="1"/>
  <c r="Q683" i="1"/>
  <c r="F29" i="2" s="1"/>
  <c r="Q682" i="1"/>
  <c r="E29" i="2" s="1"/>
  <c r="Q681" i="1"/>
  <c r="D29" i="2" s="1"/>
  <c r="Q680" i="1"/>
  <c r="C29" i="2" s="1"/>
  <c r="N29" s="1"/>
  <c r="Q29" s="1"/>
  <c r="P659" i="1"/>
  <c r="O659"/>
  <c r="N659"/>
  <c r="M659"/>
  <c r="L659"/>
  <c r="K659"/>
  <c r="J659"/>
  <c r="I659"/>
  <c r="H659"/>
  <c r="G659"/>
  <c r="F659"/>
  <c r="E659"/>
  <c r="D659"/>
  <c r="C659"/>
  <c r="Q658"/>
  <c r="Q657"/>
  <c r="Q656"/>
  <c r="M28" i="2" s="1"/>
  <c r="Q655" i="1"/>
  <c r="L28" i="2" s="1"/>
  <c r="Q654" i="1"/>
  <c r="K28" i="2" s="1"/>
  <c r="Q653" i="1"/>
  <c r="J28" i="2" s="1"/>
  <c r="Q652" i="1"/>
  <c r="I28" i="2" s="1"/>
  <c r="Q651" i="1"/>
  <c r="H28" i="2" s="1"/>
  <c r="Q650" i="1"/>
  <c r="G28" i="2" s="1"/>
  <c r="Q649" i="1"/>
  <c r="F28" i="2" s="1"/>
  <c r="Q648" i="1"/>
  <c r="E28" i="2" s="1"/>
  <c r="Q647" i="1"/>
  <c r="D28" i="2" s="1"/>
  <c r="Q646" i="1"/>
  <c r="C28" i="2" s="1"/>
  <c r="P626" i="1"/>
  <c r="O626"/>
  <c r="N626"/>
  <c r="M626"/>
  <c r="L626"/>
  <c r="K626"/>
  <c r="J626"/>
  <c r="I626"/>
  <c r="H626"/>
  <c r="G626"/>
  <c r="F626"/>
  <c r="E626"/>
  <c r="D626"/>
  <c r="C626"/>
  <c r="Q625"/>
  <c r="Q624"/>
  <c r="Q623"/>
  <c r="M27" i="2" s="1"/>
  <c r="Q622" i="1"/>
  <c r="L27" i="2" s="1"/>
  <c r="Q621" i="1"/>
  <c r="K27" i="2" s="1"/>
  <c r="Q620" i="1"/>
  <c r="J27" i="2" s="1"/>
  <c r="Q619" i="1"/>
  <c r="I27" i="2" s="1"/>
  <c r="Q618" i="1"/>
  <c r="H27" i="2" s="1"/>
  <c r="Q617" i="1"/>
  <c r="G27" i="2" s="1"/>
  <c r="Q616" i="1"/>
  <c r="F27" i="2" s="1"/>
  <c r="Q615" i="1"/>
  <c r="E27" i="2" s="1"/>
  <c r="Q614" i="1"/>
  <c r="D27" i="2" s="1"/>
  <c r="Q613" i="1"/>
  <c r="C27" i="2" s="1"/>
  <c r="P592" i="1"/>
  <c r="O592"/>
  <c r="N592"/>
  <c r="M592"/>
  <c r="L592"/>
  <c r="K592"/>
  <c r="J592"/>
  <c r="I592"/>
  <c r="H592"/>
  <c r="G592"/>
  <c r="F592"/>
  <c r="E592"/>
  <c r="D592"/>
  <c r="C592"/>
  <c r="Q591"/>
  <c r="Q590"/>
  <c r="Q589"/>
  <c r="M26" i="2" s="1"/>
  <c r="Q588" i="1"/>
  <c r="L26" i="2" s="1"/>
  <c r="Q587" i="1"/>
  <c r="K26" i="2" s="1"/>
  <c r="Q586" i="1"/>
  <c r="J26" i="2" s="1"/>
  <c r="Q585" i="1"/>
  <c r="I26" i="2" s="1"/>
  <c r="Q584" i="1"/>
  <c r="H26" i="2" s="1"/>
  <c r="Q583" i="1"/>
  <c r="G26" i="2" s="1"/>
  <c r="Q582" i="1"/>
  <c r="F26" i="2" s="1"/>
  <c r="Q581" i="1"/>
  <c r="E26" i="2" s="1"/>
  <c r="Q580" i="1"/>
  <c r="D26" i="2" s="1"/>
  <c r="Q579" i="1"/>
  <c r="C26" i="2" s="1"/>
  <c r="P558" i="1"/>
  <c r="O558"/>
  <c r="N558"/>
  <c r="M558"/>
  <c r="L558"/>
  <c r="K558"/>
  <c r="J558"/>
  <c r="I558"/>
  <c r="H558"/>
  <c r="G558"/>
  <c r="F558"/>
  <c r="E558"/>
  <c r="D558"/>
  <c r="C558"/>
  <c r="Q557"/>
  <c r="Q556"/>
  <c r="Q555"/>
  <c r="M25" i="2" s="1"/>
  <c r="Q554" i="1"/>
  <c r="L25" i="2" s="1"/>
  <c r="Q553" i="1"/>
  <c r="K25" i="2" s="1"/>
  <c r="Q552" i="1"/>
  <c r="J25" i="2" s="1"/>
  <c r="Q551" i="1"/>
  <c r="I25" i="2" s="1"/>
  <c r="Q550" i="1"/>
  <c r="H25" i="2" s="1"/>
  <c r="Q549" i="1"/>
  <c r="G25" i="2" s="1"/>
  <c r="Q548" i="1"/>
  <c r="F25" i="2" s="1"/>
  <c r="Q547" i="1"/>
  <c r="E25" i="2" s="1"/>
  <c r="Q546" i="1"/>
  <c r="D25" i="2" s="1"/>
  <c r="Q545" i="1"/>
  <c r="C25" i="2" s="1"/>
  <c r="N25" s="1"/>
  <c r="Q25" s="1"/>
  <c r="P524" i="1"/>
  <c r="O524"/>
  <c r="N524"/>
  <c r="M524"/>
  <c r="L524"/>
  <c r="K524"/>
  <c r="J524"/>
  <c r="I524"/>
  <c r="H524"/>
  <c r="G524"/>
  <c r="F524"/>
  <c r="E524"/>
  <c r="D524"/>
  <c r="C524"/>
  <c r="Q523"/>
  <c r="Q522"/>
  <c r="Q521"/>
  <c r="M24" i="2" s="1"/>
  <c r="Q520" i="1"/>
  <c r="L24" i="2" s="1"/>
  <c r="Q519" i="1"/>
  <c r="K24" i="2" s="1"/>
  <c r="Q518" i="1"/>
  <c r="J24" i="2" s="1"/>
  <c r="Q517" i="1"/>
  <c r="I24" i="2" s="1"/>
  <c r="Q516" i="1"/>
  <c r="H24" i="2" s="1"/>
  <c r="Q515" i="1"/>
  <c r="G24" i="2" s="1"/>
  <c r="Q514" i="1"/>
  <c r="F24" i="2" s="1"/>
  <c r="Q513" i="1"/>
  <c r="E24" i="2" s="1"/>
  <c r="Q512" i="1"/>
  <c r="D24" i="2" s="1"/>
  <c r="Q511" i="1"/>
  <c r="C24" i="2" s="1"/>
  <c r="P490" i="1"/>
  <c r="O490"/>
  <c r="N490"/>
  <c r="M490"/>
  <c r="L490"/>
  <c r="K490"/>
  <c r="J490"/>
  <c r="I490"/>
  <c r="H490"/>
  <c r="G490"/>
  <c r="F490"/>
  <c r="E490"/>
  <c r="D490"/>
  <c r="C490"/>
  <c r="Q489"/>
  <c r="Q488"/>
  <c r="Q487"/>
  <c r="M23" i="2" s="1"/>
  <c r="Q486" i="1"/>
  <c r="L23" i="2" s="1"/>
  <c r="Q485" i="1"/>
  <c r="K23" i="2" s="1"/>
  <c r="Q484" i="1"/>
  <c r="J23" i="2" s="1"/>
  <c r="Q483" i="1"/>
  <c r="I23" i="2" s="1"/>
  <c r="Q482" i="1"/>
  <c r="H23" i="2" s="1"/>
  <c r="Q481" i="1"/>
  <c r="G23" i="2" s="1"/>
  <c r="Q480" i="1"/>
  <c r="F23" i="2" s="1"/>
  <c r="Q479" i="1"/>
  <c r="E23" i="2" s="1"/>
  <c r="Q478" i="1"/>
  <c r="D23" i="2" s="1"/>
  <c r="Q477" i="1"/>
  <c r="C23" i="2" s="1"/>
  <c r="P455" i="1"/>
  <c r="O455"/>
  <c r="N455"/>
  <c r="M455"/>
  <c r="L455"/>
  <c r="K455"/>
  <c r="J455"/>
  <c r="I455"/>
  <c r="H455"/>
  <c r="G455"/>
  <c r="F455"/>
  <c r="E455"/>
  <c r="D455"/>
  <c r="C455"/>
  <c r="Q454"/>
  <c r="Q453"/>
  <c r="Q452"/>
  <c r="M22" i="2" s="1"/>
  <c r="Q451" i="1"/>
  <c r="L22" i="2" s="1"/>
  <c r="Q450" i="1"/>
  <c r="K22" i="2" s="1"/>
  <c r="Q449" i="1"/>
  <c r="J22" i="2" s="1"/>
  <c r="Q448" i="1"/>
  <c r="I22" i="2" s="1"/>
  <c r="Q447" i="1"/>
  <c r="H22" i="2" s="1"/>
  <c r="Q446" i="1"/>
  <c r="G22" i="2" s="1"/>
  <c r="Q445" i="1"/>
  <c r="F22" i="2" s="1"/>
  <c r="Q444" i="1"/>
  <c r="E22" i="2" s="1"/>
  <c r="Q443" i="1"/>
  <c r="D22" i="2" s="1"/>
  <c r="Q442" i="1"/>
  <c r="C22" i="2" s="1"/>
  <c r="P422" i="1"/>
  <c r="O422"/>
  <c r="N422"/>
  <c r="M422"/>
  <c r="L422"/>
  <c r="K422"/>
  <c r="J422"/>
  <c r="I422"/>
  <c r="H422"/>
  <c r="G422"/>
  <c r="F422"/>
  <c r="E422"/>
  <c r="D422"/>
  <c r="C422"/>
  <c r="Q421"/>
  <c r="Q420"/>
  <c r="Q419"/>
  <c r="M21" i="2" s="1"/>
  <c r="Q418" i="1"/>
  <c r="L21" i="2" s="1"/>
  <c r="Q417" i="1"/>
  <c r="K21" i="2" s="1"/>
  <c r="Q416" i="1"/>
  <c r="J21" i="2" s="1"/>
  <c r="Q415" i="1"/>
  <c r="I21" i="2" s="1"/>
  <c r="Q414" i="1"/>
  <c r="H21" i="2" s="1"/>
  <c r="Q413" i="1"/>
  <c r="G21" i="2" s="1"/>
  <c r="Q412" i="1"/>
  <c r="F21" i="2" s="1"/>
  <c r="Q411" i="1"/>
  <c r="E21" i="2" s="1"/>
  <c r="Q410" i="1"/>
  <c r="D21" i="2" s="1"/>
  <c r="Q409" i="1"/>
  <c r="C21" i="2" s="1"/>
  <c r="N21" s="1"/>
  <c r="Q21" s="1"/>
  <c r="P388" i="1"/>
  <c r="O388"/>
  <c r="N388"/>
  <c r="M388"/>
  <c r="L388"/>
  <c r="K388"/>
  <c r="J388"/>
  <c r="I388"/>
  <c r="H388"/>
  <c r="G388"/>
  <c r="F388"/>
  <c r="E388"/>
  <c r="D388"/>
  <c r="C388"/>
  <c r="Q387"/>
  <c r="Q386"/>
  <c r="Q385"/>
  <c r="M20" i="2" s="1"/>
  <c r="Q384" i="1"/>
  <c r="L20" i="2" s="1"/>
  <c r="Q383" i="1"/>
  <c r="K20" i="2" s="1"/>
  <c r="Q382" i="1"/>
  <c r="J20" i="2" s="1"/>
  <c r="Q381" i="1"/>
  <c r="I20" i="2" s="1"/>
  <c r="Q380" i="1"/>
  <c r="H20" i="2" s="1"/>
  <c r="Q379" i="1"/>
  <c r="G20" i="2" s="1"/>
  <c r="Q378" i="1"/>
  <c r="F20" i="2" s="1"/>
  <c r="Q377" i="1"/>
  <c r="E20" i="2" s="1"/>
  <c r="Q376" i="1"/>
  <c r="D20" i="2" s="1"/>
  <c r="Q375" i="1"/>
  <c r="C20" i="2" s="1"/>
  <c r="P353" i="1"/>
  <c r="O353"/>
  <c r="N353"/>
  <c r="M353"/>
  <c r="L353"/>
  <c r="K353"/>
  <c r="J353"/>
  <c r="I353"/>
  <c r="H353"/>
  <c r="G353"/>
  <c r="F353"/>
  <c r="E353"/>
  <c r="D353"/>
  <c r="C353"/>
  <c r="Q352"/>
  <c r="Q351"/>
  <c r="Q350"/>
  <c r="M19" i="2" s="1"/>
  <c r="Q349" i="1"/>
  <c r="L19" i="2" s="1"/>
  <c r="Q348" i="1"/>
  <c r="K19" i="2" s="1"/>
  <c r="Q347" i="1"/>
  <c r="J19" i="2" s="1"/>
  <c r="Q346" i="1"/>
  <c r="I19" i="2" s="1"/>
  <c r="Q345" i="1"/>
  <c r="H19" i="2" s="1"/>
  <c r="Q344" i="1"/>
  <c r="G19" i="2" s="1"/>
  <c r="Q343" i="1"/>
  <c r="F19" i="2" s="1"/>
  <c r="Q342" i="1"/>
  <c r="E19" i="2" s="1"/>
  <c r="Q341" i="1"/>
  <c r="D19" i="2" s="1"/>
  <c r="Q340" i="1"/>
  <c r="C19" i="2" s="1"/>
  <c r="P319" i="1"/>
  <c r="O319"/>
  <c r="N319"/>
  <c r="M319"/>
  <c r="L319"/>
  <c r="K319"/>
  <c r="J319"/>
  <c r="I319"/>
  <c r="H319"/>
  <c r="G319"/>
  <c r="F319"/>
  <c r="E319"/>
  <c r="D319"/>
  <c r="C319"/>
  <c r="Q318"/>
  <c r="Q317"/>
  <c r="Q316"/>
  <c r="M18" i="2" s="1"/>
  <c r="Q315" i="1"/>
  <c r="L18" i="2" s="1"/>
  <c r="Q314" i="1"/>
  <c r="K18" i="2" s="1"/>
  <c r="Q313" i="1"/>
  <c r="J18" i="2" s="1"/>
  <c r="Q312" i="1"/>
  <c r="I18" i="2" s="1"/>
  <c r="Q311" i="1"/>
  <c r="H18" i="2" s="1"/>
  <c r="Q310" i="1"/>
  <c r="G18" i="2" s="1"/>
  <c r="Q309" i="1"/>
  <c r="F18" i="2" s="1"/>
  <c r="Q308" i="1"/>
  <c r="E18" i="2" s="1"/>
  <c r="Q307" i="1"/>
  <c r="D18" i="2" s="1"/>
  <c r="Q306" i="1"/>
  <c r="C18" i="2" s="1"/>
  <c r="P284" i="1"/>
  <c r="O284"/>
  <c r="N284"/>
  <c r="M284"/>
  <c r="L284"/>
  <c r="K284"/>
  <c r="J284"/>
  <c r="I284"/>
  <c r="H284"/>
  <c r="G284"/>
  <c r="F284"/>
  <c r="E284"/>
  <c r="D284"/>
  <c r="C284"/>
  <c r="Q283"/>
  <c r="Q282"/>
  <c r="Q281"/>
  <c r="M17" i="2" s="1"/>
  <c r="Q280" i="1"/>
  <c r="L17" i="2" s="1"/>
  <c r="Q279" i="1"/>
  <c r="K17" i="2" s="1"/>
  <c r="Q278" i="1"/>
  <c r="J17" i="2" s="1"/>
  <c r="Q277" i="1"/>
  <c r="I17" i="2" s="1"/>
  <c r="Q276" i="1"/>
  <c r="H17" i="2" s="1"/>
  <c r="Q275" i="1"/>
  <c r="G17" i="2" s="1"/>
  <c r="Q274" i="1"/>
  <c r="F17" i="2" s="1"/>
  <c r="Q273" i="1"/>
  <c r="E17" i="2" s="1"/>
  <c r="Q272" i="1"/>
  <c r="D17" i="2" s="1"/>
  <c r="Q271" i="1"/>
  <c r="C17" i="2" s="1"/>
  <c r="N17" s="1"/>
  <c r="Q17" s="1"/>
  <c r="P251" i="1"/>
  <c r="O251"/>
  <c r="N251"/>
  <c r="M251"/>
  <c r="L251"/>
  <c r="K251"/>
  <c r="J251"/>
  <c r="I251"/>
  <c r="H251"/>
  <c r="G251"/>
  <c r="F251"/>
  <c r="E251"/>
  <c r="D251"/>
  <c r="C251"/>
  <c r="Q250"/>
  <c r="Q249"/>
  <c r="Q248"/>
  <c r="M16" i="2" s="1"/>
  <c r="Q247" i="1"/>
  <c r="L16" i="2" s="1"/>
  <c r="Q246" i="1"/>
  <c r="K16" i="2" s="1"/>
  <c r="Q245" i="1"/>
  <c r="J16" i="2" s="1"/>
  <c r="Q244" i="1"/>
  <c r="I16" i="2" s="1"/>
  <c r="Q243" i="1"/>
  <c r="H16" i="2" s="1"/>
  <c r="Q242" i="1"/>
  <c r="G16" i="2" s="1"/>
  <c r="Q241" i="1"/>
  <c r="F16" i="2" s="1"/>
  <c r="Q240" i="1"/>
  <c r="E16" i="2" s="1"/>
  <c r="Q239" i="1"/>
  <c r="D16" i="2" s="1"/>
  <c r="Q238" i="1"/>
  <c r="C16" i="2" s="1"/>
  <c r="P218" i="1"/>
  <c r="O218"/>
  <c r="N218"/>
  <c r="M218"/>
  <c r="L218"/>
  <c r="K218"/>
  <c r="J218"/>
  <c r="I218"/>
  <c r="H218"/>
  <c r="G218"/>
  <c r="F218"/>
  <c r="E218"/>
  <c r="D218"/>
  <c r="C218"/>
  <c r="Q217"/>
  <c r="Q216"/>
  <c r="Q215"/>
  <c r="M15" i="2" s="1"/>
  <c r="Q214" i="1"/>
  <c r="L15" i="2" s="1"/>
  <c r="Q213" i="1"/>
  <c r="K15" i="2" s="1"/>
  <c r="Q212" i="1"/>
  <c r="J15" i="2" s="1"/>
  <c r="Q211" i="1"/>
  <c r="I15" i="2" s="1"/>
  <c r="Q210" i="1"/>
  <c r="H15" i="2" s="1"/>
  <c r="Q209" i="1"/>
  <c r="G15" i="2" s="1"/>
  <c r="Q208" i="1"/>
  <c r="F15" i="2" s="1"/>
  <c r="Q207" i="1"/>
  <c r="E15" i="2" s="1"/>
  <c r="Q206" i="1"/>
  <c r="D15" i="2" s="1"/>
  <c r="Q205" i="1"/>
  <c r="C15" i="2" s="1"/>
  <c r="P185" i="1"/>
  <c r="O185"/>
  <c r="N185"/>
  <c r="M185"/>
  <c r="L185"/>
  <c r="K185"/>
  <c r="J185"/>
  <c r="I185"/>
  <c r="H185"/>
  <c r="G185"/>
  <c r="F185"/>
  <c r="E185"/>
  <c r="D185"/>
  <c r="C185"/>
  <c r="Q184"/>
  <c r="Q183"/>
  <c r="Q182"/>
  <c r="M14" i="2" s="1"/>
  <c r="Q181" i="1"/>
  <c r="L14" i="2" s="1"/>
  <c r="Q180" i="1"/>
  <c r="K14" i="2" s="1"/>
  <c r="Q179" i="1"/>
  <c r="J14" i="2" s="1"/>
  <c r="Q178" i="1"/>
  <c r="I14" i="2" s="1"/>
  <c r="Q177" i="1"/>
  <c r="H14" i="2" s="1"/>
  <c r="Q176" i="1"/>
  <c r="G14" i="2" s="1"/>
  <c r="Q175" i="1"/>
  <c r="F14" i="2" s="1"/>
  <c r="Q174" i="1"/>
  <c r="E14" i="2" s="1"/>
  <c r="Q173" i="1"/>
  <c r="D14" i="2" s="1"/>
  <c r="Q172" i="1"/>
  <c r="C14" i="2" s="1"/>
  <c r="P152" i="1"/>
  <c r="O152"/>
  <c r="N152"/>
  <c r="M152"/>
  <c r="L152"/>
  <c r="K152"/>
  <c r="J152"/>
  <c r="I152"/>
  <c r="H152"/>
  <c r="G152"/>
  <c r="F152"/>
  <c r="E152"/>
  <c r="D152"/>
  <c r="C152"/>
  <c r="Q151"/>
  <c r="Q150"/>
  <c r="Q149"/>
  <c r="M13" i="2" s="1"/>
  <c r="Q148" i="1"/>
  <c r="L13" i="2" s="1"/>
  <c r="Q147" i="1"/>
  <c r="K13" i="2" s="1"/>
  <c r="Q146" i="1"/>
  <c r="J13" i="2" s="1"/>
  <c r="Q145" i="1"/>
  <c r="I13" i="2" s="1"/>
  <c r="Q144" i="1"/>
  <c r="H13" i="2" s="1"/>
  <c r="Q143" i="1"/>
  <c r="G13" i="2" s="1"/>
  <c r="Q142" i="1"/>
  <c r="F13" i="2" s="1"/>
  <c r="Q141" i="1"/>
  <c r="E13" i="2" s="1"/>
  <c r="Q140" i="1"/>
  <c r="D13" i="2" s="1"/>
  <c r="Q139" i="1"/>
  <c r="C13" i="2" s="1"/>
  <c r="N13" s="1"/>
  <c r="Q13" s="1"/>
  <c r="P119" i="1"/>
  <c r="O119"/>
  <c r="N119"/>
  <c r="M119"/>
  <c r="L119"/>
  <c r="K119"/>
  <c r="J119"/>
  <c r="I119"/>
  <c r="H119"/>
  <c r="G119"/>
  <c r="F119"/>
  <c r="E119"/>
  <c r="D119"/>
  <c r="C119"/>
  <c r="Q118"/>
  <c r="Q117"/>
  <c r="Q116"/>
  <c r="M12" i="2" s="1"/>
  <c r="Q115" i="1"/>
  <c r="L12" i="2" s="1"/>
  <c r="Q114" i="1"/>
  <c r="K12" i="2" s="1"/>
  <c r="Q113" i="1"/>
  <c r="J12" i="2" s="1"/>
  <c r="Q112" i="1"/>
  <c r="I12" i="2" s="1"/>
  <c r="Q111" i="1"/>
  <c r="H12" i="2" s="1"/>
  <c r="Q110" i="1"/>
  <c r="G12" i="2" s="1"/>
  <c r="Q109" i="1"/>
  <c r="F12" i="2" s="1"/>
  <c r="Q108" i="1"/>
  <c r="E12" i="2" s="1"/>
  <c r="Q107" i="1"/>
  <c r="D12" i="2" s="1"/>
  <c r="Q106" i="1"/>
  <c r="C12" i="2" s="1"/>
  <c r="P86" i="1"/>
  <c r="O86"/>
  <c r="N86"/>
  <c r="M86"/>
  <c r="L86"/>
  <c r="K86"/>
  <c r="J86"/>
  <c r="I86"/>
  <c r="H86"/>
  <c r="G86"/>
  <c r="F86"/>
  <c r="E86"/>
  <c r="D86"/>
  <c r="C86"/>
  <c r="Q85"/>
  <c r="Q84"/>
  <c r="Q83"/>
  <c r="M11" i="2" s="1"/>
  <c r="Q82" i="1"/>
  <c r="L11" i="2" s="1"/>
  <c r="Q81" i="1"/>
  <c r="K11" i="2" s="1"/>
  <c r="Q80" i="1"/>
  <c r="J11" i="2" s="1"/>
  <c r="Q79" i="1"/>
  <c r="I11" i="2" s="1"/>
  <c r="Q78" i="1"/>
  <c r="H11" i="2" s="1"/>
  <c r="Q77" i="1"/>
  <c r="G11" i="2" s="1"/>
  <c r="Q76" i="1"/>
  <c r="F11" i="2" s="1"/>
  <c r="Q75" i="1"/>
  <c r="E11" i="2" s="1"/>
  <c r="Q74" i="1"/>
  <c r="D11" i="2" s="1"/>
  <c r="Q73" i="1"/>
  <c r="C11" i="2" s="1"/>
  <c r="P53" i="1"/>
  <c r="O53"/>
  <c r="N53"/>
  <c r="M53"/>
  <c r="L53"/>
  <c r="K53"/>
  <c r="J53"/>
  <c r="I53"/>
  <c r="H53"/>
  <c r="G53"/>
  <c r="F53"/>
  <c r="E53"/>
  <c r="D53"/>
  <c r="C53"/>
  <c r="Q52"/>
  <c r="Q51"/>
  <c r="Q50"/>
  <c r="M10" i="2" s="1"/>
  <c r="Q49" i="1"/>
  <c r="L10" i="2" s="1"/>
  <c r="Q48" i="1"/>
  <c r="K10" i="2" s="1"/>
  <c r="Q47" i="1"/>
  <c r="J10" i="2" s="1"/>
  <c r="Q46" i="1"/>
  <c r="I10" i="2" s="1"/>
  <c r="Q45" i="1"/>
  <c r="H10" i="2" s="1"/>
  <c r="Q44" i="1"/>
  <c r="G10" i="2" s="1"/>
  <c r="Q43" i="1"/>
  <c r="F10" i="2" s="1"/>
  <c r="Q42" i="1"/>
  <c r="E10" i="2" s="1"/>
  <c r="Q41" i="1"/>
  <c r="D10" i="2" s="1"/>
  <c r="Q40" i="1"/>
  <c r="C10" i="2" s="1"/>
  <c r="Q9" i="1"/>
  <c r="D9" i="2" s="1"/>
  <c r="Q10" i="1"/>
  <c r="E9" i="2" s="1"/>
  <c r="Q11" i="1"/>
  <c r="F9" i="2" s="1"/>
  <c r="F45" s="1"/>
  <c r="Q12" i="1"/>
  <c r="G9" i="2" s="1"/>
  <c r="Q13" i="1"/>
  <c r="H9" i="2" s="1"/>
  <c r="Q14" i="1"/>
  <c r="I9" i="2" s="1"/>
  <c r="Q15" i="1"/>
  <c r="J9" i="2" s="1"/>
  <c r="Q16" i="1"/>
  <c r="K9" i="2" s="1"/>
  <c r="Q17" i="1"/>
  <c r="L9" i="2" s="1"/>
  <c r="Q18" i="1"/>
  <c r="M9" i="2" s="1"/>
  <c r="Q19" i="1"/>
  <c r="S19" s="1"/>
  <c r="R51" s="1"/>
  <c r="Q20"/>
  <c r="S20" s="1"/>
  <c r="R52" s="1"/>
  <c r="N33" i="2" l="1"/>
  <c r="Q33" s="1"/>
  <c r="K45"/>
  <c r="G45"/>
  <c r="N10"/>
  <c r="Q10" s="1"/>
  <c r="N14"/>
  <c r="Q14" s="1"/>
  <c r="N18"/>
  <c r="Q18" s="1"/>
  <c r="N22"/>
  <c r="Q22" s="1"/>
  <c r="N26"/>
  <c r="Q26" s="1"/>
  <c r="N30"/>
  <c r="Q30" s="1"/>
  <c r="N34"/>
  <c r="Q34" s="1"/>
  <c r="N38"/>
  <c r="Q38" s="1"/>
  <c r="N42"/>
  <c r="Q42" s="1"/>
  <c r="H45"/>
  <c r="N11"/>
  <c r="Q11" s="1"/>
  <c r="N15"/>
  <c r="Q15" s="1"/>
  <c r="N19"/>
  <c r="Q19" s="1"/>
  <c r="N23"/>
  <c r="Q23" s="1"/>
  <c r="N27"/>
  <c r="Q27" s="1"/>
  <c r="N35"/>
  <c r="Q35" s="1"/>
  <c r="N39"/>
  <c r="Q39" s="1"/>
  <c r="D45"/>
  <c r="L45"/>
  <c r="M45"/>
  <c r="I45"/>
  <c r="E45"/>
  <c r="N12"/>
  <c r="Q12" s="1"/>
  <c r="N16"/>
  <c r="Q16" s="1"/>
  <c r="N20"/>
  <c r="Q20" s="1"/>
  <c r="N24"/>
  <c r="Q24" s="1"/>
  <c r="N28"/>
  <c r="Q28" s="1"/>
  <c r="N32"/>
  <c r="Q32" s="1"/>
  <c r="N36"/>
  <c r="Q36" s="1"/>
  <c r="N40"/>
  <c r="Q40" s="1"/>
  <c r="M7" i="29"/>
  <c r="J31" i="2"/>
  <c r="J45" s="1"/>
  <c r="S18" i="1"/>
  <c r="R50" s="1"/>
  <c r="S17"/>
  <c r="R49" s="1"/>
  <c r="S16"/>
  <c r="R48" s="1"/>
  <c r="S15"/>
  <c r="R47" s="1"/>
  <c r="S14"/>
  <c r="R46" s="1"/>
  <c r="S13"/>
  <c r="R45" s="1"/>
  <c r="S12"/>
  <c r="R44" s="1"/>
  <c r="S11"/>
  <c r="R43" s="1"/>
  <c r="S10"/>
  <c r="R42" s="1"/>
  <c r="S9"/>
  <c r="R41" s="1"/>
  <c r="N365" i="15"/>
  <c r="H328"/>
  <c r="AB325" i="29" s="1"/>
  <c r="N393" i="15"/>
  <c r="N413"/>
  <c r="N323"/>
  <c r="D204"/>
  <c r="P201" i="29" s="1"/>
  <c r="N273" i="15"/>
  <c r="N320"/>
  <c r="N399"/>
  <c r="N392"/>
  <c r="D196"/>
  <c r="P193" i="29" s="1"/>
  <c r="N326" i="15"/>
  <c r="M384"/>
  <c r="AQ381" i="29" s="1"/>
  <c r="N396" i="15"/>
  <c r="H388"/>
  <c r="AB385" i="29" s="1"/>
  <c r="M406" i="15"/>
  <c r="AQ403" i="29" s="1"/>
  <c r="E200" i="15"/>
  <c r="S197" i="29" s="1"/>
  <c r="N398" i="15"/>
  <c r="N390"/>
  <c r="N410"/>
  <c r="G379"/>
  <c r="Y376" i="29" s="1"/>
  <c r="K205" i="15"/>
  <c r="AK202" i="29" s="1"/>
  <c r="N200" i="15"/>
  <c r="N196"/>
  <c r="D193"/>
  <c r="P190" i="29" s="1"/>
  <c r="N329" i="15"/>
  <c r="H322"/>
  <c r="AB319" i="29" s="1"/>
  <c r="H358" i="15"/>
  <c r="AB355" i="29" s="1"/>
  <c r="N362" i="15"/>
  <c r="M381"/>
  <c r="AQ378" i="29" s="1"/>
  <c r="N401" i="15"/>
  <c r="N395"/>
  <c r="N389"/>
  <c r="N441"/>
  <c r="J202"/>
  <c r="AH199" i="29" s="1"/>
  <c r="M197" i="15"/>
  <c r="AQ194" i="29" s="1"/>
  <c r="K193" i="15"/>
  <c r="AK190" i="29" s="1"/>
  <c r="G203" i="15"/>
  <c r="Y200" i="29" s="1"/>
  <c r="G199" i="15"/>
  <c r="Y196" i="29" s="1"/>
  <c r="I194" i="15"/>
  <c r="AE191" i="29" s="1"/>
  <c r="G216" i="15"/>
  <c r="Y213" i="29" s="1"/>
  <c r="N371" i="15"/>
  <c r="G387"/>
  <c r="Y384" i="29" s="1"/>
  <c r="M376" i="15"/>
  <c r="AQ373" i="29" s="1"/>
  <c r="C452" i="15"/>
  <c r="M449" i="29" s="1"/>
  <c r="M158" i="15"/>
  <c r="AQ155" i="29" s="1"/>
  <c r="N180" i="15"/>
  <c r="M211"/>
  <c r="AQ208" i="29" s="1"/>
  <c r="N267" i="15"/>
  <c r="H300"/>
  <c r="AB297" i="29" s="1"/>
  <c r="E348" i="15"/>
  <c r="S345" i="29" s="1"/>
  <c r="N368" i="15"/>
  <c r="M387"/>
  <c r="AQ384" i="29" s="1"/>
  <c r="G385" i="15"/>
  <c r="Y382" i="29" s="1"/>
  <c r="M382" i="15"/>
  <c r="AQ379" i="29" s="1"/>
  <c r="M379" i="15"/>
  <c r="AQ376" i="29" s="1"/>
  <c r="G377" i="15"/>
  <c r="Y374" i="29" s="1"/>
  <c r="M374" i="15"/>
  <c r="AQ371" i="29" s="1"/>
  <c r="H400" i="15"/>
  <c r="AB397" i="29" s="1"/>
  <c r="H397" i="15"/>
  <c r="AB394" i="29" s="1"/>
  <c r="H394" i="15"/>
  <c r="AB391" i="29" s="1"/>
  <c r="H391" i="15"/>
  <c r="AB388" i="29" s="1"/>
  <c r="G436" i="15"/>
  <c r="Y433" i="29" s="1"/>
  <c r="M456" i="15"/>
  <c r="AQ453" i="29" s="1"/>
  <c r="N447" i="15"/>
  <c r="N189"/>
  <c r="C205"/>
  <c r="M202" i="29" s="1"/>
  <c r="K201" i="15"/>
  <c r="AK198" i="29" s="1"/>
  <c r="I198" i="15"/>
  <c r="AE195" i="29" s="1"/>
  <c r="H195" i="15"/>
  <c r="AB192" i="29" s="1"/>
  <c r="I192" i="15"/>
  <c r="AE189" i="29" s="1"/>
  <c r="N213" i="15"/>
  <c r="I271"/>
  <c r="AE268" i="29" s="1"/>
  <c r="H331" i="15"/>
  <c r="AB328" i="29" s="1"/>
  <c r="H325" i="15"/>
  <c r="AB322" i="29" s="1"/>
  <c r="H319" i="15"/>
  <c r="AB316" i="29" s="1"/>
  <c r="M351" i="15"/>
  <c r="AQ348" i="29" s="1"/>
  <c r="M385" i="15"/>
  <c r="AQ382" i="29" s="1"/>
  <c r="G383" i="15"/>
  <c r="Y380" i="29" s="1"/>
  <c r="M380" i="15"/>
  <c r="AQ377" i="29" s="1"/>
  <c r="M377" i="15"/>
  <c r="AQ374" i="29" s="1"/>
  <c r="G375" i="15"/>
  <c r="Y372" i="29" s="1"/>
  <c r="H401" i="15"/>
  <c r="AB398" i="29" s="1"/>
  <c r="H398" i="15"/>
  <c r="AB395" i="29" s="1"/>
  <c r="H395" i="15"/>
  <c r="AB392" i="29" s="1"/>
  <c r="H392" i="15"/>
  <c r="AB389" i="29" s="1"/>
  <c r="H389" i="15"/>
  <c r="AB386" i="29" s="1"/>
  <c r="M412" i="15"/>
  <c r="AQ409" i="29" s="1"/>
  <c r="N404" i="15"/>
  <c r="H437"/>
  <c r="AB434" i="29" s="1"/>
  <c r="I457" i="15"/>
  <c r="AE454" i="29" s="1"/>
  <c r="K448" i="15"/>
  <c r="AK445" i="29" s="1"/>
  <c r="M386" i="15"/>
  <c r="AQ383" i="29" s="1"/>
  <c r="M383" i="15"/>
  <c r="AQ380" i="29" s="1"/>
  <c r="G381" i="15"/>
  <c r="Y378" i="29" s="1"/>
  <c r="M378" i="15"/>
  <c r="AQ375" i="29" s="1"/>
  <c r="M375" i="15"/>
  <c r="AQ372" i="29" s="1"/>
  <c r="N133" i="15"/>
  <c r="H219"/>
  <c r="AB216" i="29" s="1"/>
  <c r="N207" i="15"/>
  <c r="G264"/>
  <c r="Y261" i="29" s="1"/>
  <c r="C346" i="15"/>
  <c r="M343" i="29" s="1"/>
  <c r="N407" i="15"/>
  <c r="G433"/>
  <c r="Y430" i="29" s="1"/>
  <c r="I453" i="15"/>
  <c r="AE450" i="29" s="1"/>
  <c r="M444" i="15"/>
  <c r="AQ441" i="29" s="1"/>
  <c r="N127" i="15"/>
  <c r="N161"/>
  <c r="N152"/>
  <c r="H294"/>
  <c r="AB291" i="29" s="1"/>
  <c r="N130" i="15"/>
  <c r="N155"/>
  <c r="I204"/>
  <c r="AE201" i="29" s="1"/>
  <c r="N202" i="15"/>
  <c r="H201"/>
  <c r="AB198" i="29" s="1"/>
  <c r="K199" i="15"/>
  <c r="AK196" i="29" s="1"/>
  <c r="D198" i="15"/>
  <c r="P195" i="29" s="1"/>
  <c r="J196" i="15"/>
  <c r="AH193" i="29" s="1"/>
  <c r="N194" i="15"/>
  <c r="H193"/>
  <c r="AB190" i="29" s="1"/>
  <c r="E192" i="15"/>
  <c r="S189" i="29" s="1"/>
  <c r="N217" i="15"/>
  <c r="N211"/>
  <c r="H207"/>
  <c r="AB204" i="29" s="1"/>
  <c r="D269" i="15"/>
  <c r="P266" i="29" s="1"/>
  <c r="D263" i="15"/>
  <c r="P260" i="29" s="1"/>
  <c r="N298" i="15"/>
  <c r="M358"/>
  <c r="AQ355" i="29" s="1"/>
  <c r="N353" i="15"/>
  <c r="N348"/>
  <c r="G354"/>
  <c r="Y351" i="29" s="1"/>
  <c r="C350" i="15"/>
  <c r="M347" i="29" s="1"/>
  <c r="M346" i="15"/>
  <c r="AQ343" i="29" s="1"/>
  <c r="J400" i="15"/>
  <c r="AH397" i="29" s="1"/>
  <c r="D399" i="15"/>
  <c r="P396" i="29" s="1"/>
  <c r="J397" i="15"/>
  <c r="AH394" i="29" s="1"/>
  <c r="D396" i="15"/>
  <c r="P393" i="29" s="1"/>
  <c r="J394" i="15"/>
  <c r="AH391" i="29" s="1"/>
  <c r="D393" i="15"/>
  <c r="P390" i="29" s="1"/>
  <c r="J391" i="15"/>
  <c r="AH388" i="29" s="1"/>
  <c r="D390" i="15"/>
  <c r="P387" i="29" s="1"/>
  <c r="J388" i="15"/>
  <c r="AH385" i="29" s="1"/>
  <c r="H454" i="15"/>
  <c r="AB451" i="29" s="1"/>
  <c r="G450" i="15"/>
  <c r="Y447" i="29" s="1"/>
  <c r="I445" i="15"/>
  <c r="AE442" i="29" s="1"/>
  <c r="M462" i="15"/>
  <c r="AQ459" i="29" s="1"/>
  <c r="N124" i="15"/>
  <c r="N158"/>
  <c r="M152"/>
  <c r="AQ149" i="29" s="1"/>
  <c r="N183" i="15"/>
  <c r="G205"/>
  <c r="Y202" i="29" s="1"/>
  <c r="M203" i="15"/>
  <c r="AQ200" i="29" s="1"/>
  <c r="D202" i="15"/>
  <c r="P199" i="29" s="1"/>
  <c r="I200" i="15"/>
  <c r="AE197" i="29" s="1"/>
  <c r="C199" i="15"/>
  <c r="M196" i="29" s="1"/>
  <c r="G197" i="15"/>
  <c r="Y194" i="29" s="1"/>
  <c r="K195" i="15"/>
  <c r="AK192" i="29" s="1"/>
  <c r="E194" i="15"/>
  <c r="S191" i="29" s="1"/>
  <c r="M192" i="15"/>
  <c r="AQ189" i="29" s="1"/>
  <c r="N219" i="15"/>
  <c r="H215"/>
  <c r="AB212" i="29" s="1"/>
  <c r="G210" i="15"/>
  <c r="Y207" i="29" s="1"/>
  <c r="K272" i="15"/>
  <c r="AK269" i="29" s="1"/>
  <c r="K266" i="15"/>
  <c r="AK263" i="29" s="1"/>
  <c r="N292" i="15"/>
  <c r="M355"/>
  <c r="AQ352" i="29" s="1"/>
  <c r="H350" i="15"/>
  <c r="AB347" i="29" s="1"/>
  <c r="M347" i="15"/>
  <c r="AQ344" i="29" s="1"/>
  <c r="G386" i="15"/>
  <c r="Y383" i="29" s="1"/>
  <c r="G384" i="15"/>
  <c r="Y381" i="29" s="1"/>
  <c r="G382" i="15"/>
  <c r="Y379" i="29" s="1"/>
  <c r="G380" i="15"/>
  <c r="Y377" i="29" s="1"/>
  <c r="G378" i="15"/>
  <c r="Y375" i="29" s="1"/>
  <c r="G376" i="15"/>
  <c r="Y373" i="29" s="1"/>
  <c r="G374" i="15"/>
  <c r="Y371" i="29" s="1"/>
  <c r="D401" i="15"/>
  <c r="P398" i="29" s="1"/>
  <c r="J399" i="15"/>
  <c r="AH396" i="29" s="1"/>
  <c r="D398" i="15"/>
  <c r="P395" i="29" s="1"/>
  <c r="J396" i="15"/>
  <c r="AH393" i="29" s="1"/>
  <c r="D395" i="15"/>
  <c r="P392" i="29" s="1"/>
  <c r="J393" i="15"/>
  <c r="AH390" i="29" s="1"/>
  <c r="D392" i="15"/>
  <c r="P389" i="29" s="1"/>
  <c r="J390" i="15"/>
  <c r="AH387" i="29" s="1"/>
  <c r="D389" i="15"/>
  <c r="P386" i="29" s="1"/>
  <c r="M415" i="15"/>
  <c r="AQ412" i="29" s="1"/>
  <c r="M409" i="15"/>
  <c r="AQ406" i="29" s="1"/>
  <c r="M403" i="15"/>
  <c r="AQ400" i="29" s="1"/>
  <c r="H440" i="15"/>
  <c r="AB437" i="29" s="1"/>
  <c r="N432" i="15"/>
  <c r="D455"/>
  <c r="P452" i="29" s="1"/>
  <c r="D451" i="15"/>
  <c r="P448" i="29" s="1"/>
  <c r="E447" i="15"/>
  <c r="S444" i="29" s="1"/>
  <c r="M468" i="15"/>
  <c r="AQ465" i="29" s="1"/>
  <c r="G177" i="15"/>
  <c r="Y174" i="29" s="1"/>
  <c r="I175" i="15"/>
  <c r="AE172" i="29" s="1"/>
  <c r="D174" i="15"/>
  <c r="P171" i="29" s="1"/>
  <c r="I172" i="15"/>
  <c r="AE169" i="29" s="1"/>
  <c r="G171" i="15"/>
  <c r="Y168" i="29" s="1"/>
  <c r="E170" i="15"/>
  <c r="S167" i="29" s="1"/>
  <c r="G169" i="15"/>
  <c r="Y166" i="29" s="1"/>
  <c r="D168" i="15"/>
  <c r="P165" i="29" s="1"/>
  <c r="D167" i="15"/>
  <c r="P164" i="29" s="1"/>
  <c r="C166" i="15"/>
  <c r="M163" i="29" s="1"/>
  <c r="M164" i="15"/>
  <c r="AQ161" i="29" s="1"/>
  <c r="N223" i="15"/>
  <c r="N231"/>
  <c r="N227"/>
  <c r="N429"/>
  <c r="N425"/>
  <c r="G422"/>
  <c r="Y419" i="29" s="1"/>
  <c r="G418" i="15"/>
  <c r="Y415" i="29" s="1"/>
  <c r="N144" i="15"/>
  <c r="N147"/>
  <c r="N137"/>
  <c r="K177"/>
  <c r="AK174" i="29" s="1"/>
  <c r="D176" i="15"/>
  <c r="P173" i="29" s="1"/>
  <c r="G174" i="15"/>
  <c r="Y171" i="29" s="1"/>
  <c r="N172" i="15"/>
  <c r="K171"/>
  <c r="AK168" i="29" s="1"/>
  <c r="I170" i="15"/>
  <c r="AE167" i="29" s="1"/>
  <c r="I169" i="15"/>
  <c r="AE166" i="29" s="1"/>
  <c r="H168" i="15"/>
  <c r="AB165" i="29" s="1"/>
  <c r="E167" i="15"/>
  <c r="S164" i="29" s="1"/>
  <c r="G166" i="15"/>
  <c r="Y163" i="29" s="1"/>
  <c r="G165" i="15"/>
  <c r="Y162" i="29" s="1"/>
  <c r="D164" i="15"/>
  <c r="P161" i="29" s="1"/>
  <c r="N232" i="15"/>
  <c r="N228"/>
  <c r="N224"/>
  <c r="N220"/>
  <c r="M244"/>
  <c r="AQ241" i="29" s="1"/>
  <c r="N239" i="15"/>
  <c r="G235"/>
  <c r="Y232" i="29" s="1"/>
  <c r="N281" i="15"/>
  <c r="N426"/>
  <c r="N422"/>
  <c r="G419"/>
  <c r="Y416" i="29" s="1"/>
  <c r="H416" i="15"/>
  <c r="AB413" i="29" s="1"/>
  <c r="N469" i="15"/>
  <c r="N463"/>
  <c r="M139"/>
  <c r="AQ136" i="29" s="1"/>
  <c r="M161" i="15"/>
  <c r="AQ158" i="29" s="1"/>
  <c r="M155" i="15"/>
  <c r="AQ152" i="29" s="1"/>
  <c r="N177" i="15"/>
  <c r="I176"/>
  <c r="AE173" i="29" s="1"/>
  <c r="N174" i="15"/>
  <c r="D173"/>
  <c r="P170" i="29" s="1"/>
  <c r="N171" i="15"/>
  <c r="M170"/>
  <c r="AQ167" i="29" s="1"/>
  <c r="J169" i="15"/>
  <c r="AH166" i="29" s="1"/>
  <c r="K168" i="15"/>
  <c r="AK165" i="29" s="1"/>
  <c r="K167" i="15"/>
  <c r="AK164" i="29" s="1"/>
  <c r="I166" i="15"/>
  <c r="AE163" i="29" s="1"/>
  <c r="H165" i="15"/>
  <c r="AB162" i="29" s="1"/>
  <c r="I164" i="15"/>
  <c r="AE161" i="29" s="1"/>
  <c r="N186" i="15"/>
  <c r="M217"/>
  <c r="AQ214" i="29" s="1"/>
  <c r="H213" i="15"/>
  <c r="AB210" i="29" s="1"/>
  <c r="H209" i="15"/>
  <c r="AB206" i="29" s="1"/>
  <c r="N233" i="15"/>
  <c r="N229"/>
  <c r="N225"/>
  <c r="N221"/>
  <c r="N245"/>
  <c r="G241"/>
  <c r="Y238" i="29" s="1"/>
  <c r="H236" i="15"/>
  <c r="AB233" i="29" s="1"/>
  <c r="D275" i="15"/>
  <c r="P272" i="29" s="1"/>
  <c r="G270" i="15"/>
  <c r="Y267" i="29" s="1"/>
  <c r="I265" i="15"/>
  <c r="AE262" i="29" s="1"/>
  <c r="N284" i="15"/>
  <c r="N301"/>
  <c r="N295"/>
  <c r="M290"/>
  <c r="AQ287" i="29" s="1"/>
  <c r="G356" i="15"/>
  <c r="Y353" i="29" s="1"/>
  <c r="H352" i="15"/>
  <c r="AB349" i="29" s="1"/>
  <c r="C349" i="15"/>
  <c r="M346" i="29" s="1"/>
  <c r="C347" i="15"/>
  <c r="M344" i="29" s="1"/>
  <c r="I387" i="15"/>
  <c r="AE384" i="29" s="1"/>
  <c r="C387" i="15"/>
  <c r="M384" i="29" s="1"/>
  <c r="I386" i="15"/>
  <c r="AE383" i="29" s="1"/>
  <c r="C386" i="15"/>
  <c r="M383" i="29" s="1"/>
  <c r="I385" i="15"/>
  <c r="AE382" i="29" s="1"/>
  <c r="C385" i="15"/>
  <c r="M382" i="29" s="1"/>
  <c r="I384" i="15"/>
  <c r="AE381" i="29" s="1"/>
  <c r="C384" i="15"/>
  <c r="M381" i="29" s="1"/>
  <c r="I383" i="15"/>
  <c r="AE380" i="29" s="1"/>
  <c r="C383" i="15"/>
  <c r="M380" i="29" s="1"/>
  <c r="I382" i="15"/>
  <c r="AE379" i="29" s="1"/>
  <c r="C382" i="15"/>
  <c r="M379" i="29" s="1"/>
  <c r="I381" i="15"/>
  <c r="AE378" i="29" s="1"/>
  <c r="C381" i="15"/>
  <c r="M378" i="29" s="1"/>
  <c r="I380" i="15"/>
  <c r="AE377" i="29" s="1"/>
  <c r="C380" i="15"/>
  <c r="M377" i="29" s="1"/>
  <c r="I379" i="15"/>
  <c r="AE376" i="29" s="1"/>
  <c r="C379" i="15"/>
  <c r="M376" i="29" s="1"/>
  <c r="I378" i="15"/>
  <c r="AE375" i="29" s="1"/>
  <c r="C378" i="15"/>
  <c r="M375" i="29" s="1"/>
  <c r="I377" i="15"/>
  <c r="AE374" i="29" s="1"/>
  <c r="C377" i="15"/>
  <c r="M374" i="29" s="1"/>
  <c r="I376" i="15"/>
  <c r="AE373" i="29" s="1"/>
  <c r="C376" i="15"/>
  <c r="M373" i="29" s="1"/>
  <c r="I375" i="15"/>
  <c r="AE372" i="29" s="1"/>
  <c r="C375" i="15"/>
  <c r="M372" i="29" s="1"/>
  <c r="I374" i="15"/>
  <c r="AE371" i="29" s="1"/>
  <c r="C374" i="15"/>
  <c r="M371" i="29" s="1"/>
  <c r="I401" i="15"/>
  <c r="AE398" i="29" s="1"/>
  <c r="M400" i="15"/>
  <c r="AQ397" i="29" s="1"/>
  <c r="C400" i="15"/>
  <c r="M397" i="29" s="1"/>
  <c r="G399" i="15"/>
  <c r="Y396" i="29" s="1"/>
  <c r="I398" i="15"/>
  <c r="AE395" i="29" s="1"/>
  <c r="M397" i="15"/>
  <c r="AQ394" i="29" s="1"/>
  <c r="C397" i="15"/>
  <c r="M394" i="29" s="1"/>
  <c r="G396" i="15"/>
  <c r="Y393" i="29" s="1"/>
  <c r="I395" i="15"/>
  <c r="AE392" i="29" s="1"/>
  <c r="M394" i="15"/>
  <c r="AQ391" i="29" s="1"/>
  <c r="C394" i="15"/>
  <c r="M391" i="29" s="1"/>
  <c r="G393" i="15"/>
  <c r="Y390" i="29" s="1"/>
  <c r="I392" i="15"/>
  <c r="AE389" i="29" s="1"/>
  <c r="M391" i="15"/>
  <c r="AQ388" i="29" s="1"/>
  <c r="C391" i="15"/>
  <c r="M388" i="29" s="1"/>
  <c r="G390" i="15"/>
  <c r="Y387" i="29" s="1"/>
  <c r="I389" i="15"/>
  <c r="AE386" i="29" s="1"/>
  <c r="M388" i="15"/>
  <c r="AQ385" i="29" s="1"/>
  <c r="C388" i="15"/>
  <c r="M385" i="29" s="1"/>
  <c r="G414" i="15"/>
  <c r="Y411" i="29" s="1"/>
  <c r="G411" i="15"/>
  <c r="Y408" i="29" s="1"/>
  <c r="G408" i="15"/>
  <c r="Y405" i="29" s="1"/>
  <c r="G405" i="15"/>
  <c r="Y402" i="29" s="1"/>
  <c r="G402" i="15"/>
  <c r="Y399" i="29" s="1"/>
  <c r="G428" i="15"/>
  <c r="Y425" i="29" s="1"/>
  <c r="N423" i="15"/>
  <c r="N419"/>
  <c r="E417"/>
  <c r="S414" i="29" s="1"/>
  <c r="G442" i="15"/>
  <c r="Y439" i="29" s="1"/>
  <c r="N438" i="15"/>
  <c r="H434"/>
  <c r="AB431" i="29" s="1"/>
  <c r="G430" i="15"/>
  <c r="Y427" i="29" s="1"/>
  <c r="N455" i="15"/>
  <c r="K452"/>
  <c r="AK449" i="29" s="1"/>
  <c r="J449" i="15"/>
  <c r="AH446" i="29" s="1"/>
  <c r="G446" i="15"/>
  <c r="Y443" i="29" s="1"/>
  <c r="M471" i="15"/>
  <c r="AQ468" i="29" s="1"/>
  <c r="M465" i="15"/>
  <c r="AQ462" i="29" s="1"/>
  <c r="M459" i="15"/>
  <c r="AQ456" i="29" s="1"/>
  <c r="H243" i="15"/>
  <c r="AB240" i="29" s="1"/>
  <c r="M238" i="15"/>
  <c r="AQ235" i="29" s="1"/>
  <c r="N387" i="15"/>
  <c r="H387"/>
  <c r="AB384" i="29" s="1"/>
  <c r="N386" i="15"/>
  <c r="H386"/>
  <c r="AB383" i="29" s="1"/>
  <c r="N385" i="15"/>
  <c r="H385"/>
  <c r="AB382" i="29" s="1"/>
  <c r="N384" i="15"/>
  <c r="H384"/>
  <c r="AB381" i="29" s="1"/>
  <c r="N383" i="15"/>
  <c r="H383"/>
  <c r="AB380" i="29" s="1"/>
  <c r="N382" i="15"/>
  <c r="H382"/>
  <c r="AB379" i="29" s="1"/>
  <c r="N381" i="15"/>
  <c r="H381"/>
  <c r="AB378" i="29" s="1"/>
  <c r="N380" i="15"/>
  <c r="H380"/>
  <c r="AB377" i="29" s="1"/>
  <c r="N379" i="15"/>
  <c r="H379"/>
  <c r="AB376" i="29" s="1"/>
  <c r="N378" i="15"/>
  <c r="H378"/>
  <c r="AB375" i="29" s="1"/>
  <c r="N377" i="15"/>
  <c r="H377"/>
  <c r="AB374" i="29" s="1"/>
  <c r="N376" i="15"/>
  <c r="H376"/>
  <c r="AB373" i="29" s="1"/>
  <c r="N375" i="15"/>
  <c r="H375"/>
  <c r="AB372" i="29" s="1"/>
  <c r="N374" i="15"/>
  <c r="H374"/>
  <c r="AB371" i="29" s="1"/>
  <c r="N141" i="15"/>
  <c r="K176"/>
  <c r="AK173" i="29" s="1"/>
  <c r="G175" i="15"/>
  <c r="Y172" i="29" s="1"/>
  <c r="K173" i="15"/>
  <c r="AK170" i="29" s="1"/>
  <c r="C172" i="15"/>
  <c r="M169" i="29" s="1"/>
  <c r="D171" i="15"/>
  <c r="P168" i="29" s="1"/>
  <c r="D170" i="15"/>
  <c r="P167" i="29" s="1"/>
  <c r="N168" i="15"/>
  <c r="M167"/>
  <c r="AQ164" i="29" s="1"/>
  <c r="N166" i="15"/>
  <c r="K165"/>
  <c r="AK162" i="29" s="1"/>
  <c r="K164" i="15"/>
  <c r="AK161" i="29" s="1"/>
  <c r="N230" i="15"/>
  <c r="N226"/>
  <c r="N222"/>
  <c r="G247"/>
  <c r="Y244" i="29" s="1"/>
  <c r="H242" i="15"/>
  <c r="AB239" i="29" s="1"/>
  <c r="H237" i="15"/>
  <c r="AB234" i="29" s="1"/>
  <c r="H303" i="15"/>
  <c r="AB300" i="29" s="1"/>
  <c r="H297" i="15"/>
  <c r="AB294" i="29" s="1"/>
  <c r="M291" i="15"/>
  <c r="AQ288" i="29" s="1"/>
  <c r="J387" i="15"/>
  <c r="AH384" i="29" s="1"/>
  <c r="D387" i="15"/>
  <c r="P384" i="29" s="1"/>
  <c r="J386" i="15"/>
  <c r="AH383" i="29" s="1"/>
  <c r="D386" i="15"/>
  <c r="P383" i="29" s="1"/>
  <c r="J385" i="15"/>
  <c r="AH382" i="29" s="1"/>
  <c r="D385" i="15"/>
  <c r="P382" i="29" s="1"/>
  <c r="J384" i="15"/>
  <c r="AH381" i="29" s="1"/>
  <c r="D384" i="15"/>
  <c r="P381" i="29" s="1"/>
  <c r="J383" i="15"/>
  <c r="AH380" i="29" s="1"/>
  <c r="D383" i="15"/>
  <c r="P380" i="29" s="1"/>
  <c r="J382" i="15"/>
  <c r="AH379" i="29" s="1"/>
  <c r="D382" i="15"/>
  <c r="P379" i="29" s="1"/>
  <c r="J381" i="15"/>
  <c r="AH378" i="29" s="1"/>
  <c r="D381" i="15"/>
  <c r="P378" i="29" s="1"/>
  <c r="J380" i="15"/>
  <c r="AH377" i="29" s="1"/>
  <c r="D380" i="15"/>
  <c r="P377" i="29" s="1"/>
  <c r="J379" i="15"/>
  <c r="AH376" i="29" s="1"/>
  <c r="D379" i="15"/>
  <c r="P376" i="29" s="1"/>
  <c r="J378" i="15"/>
  <c r="AH375" i="29" s="1"/>
  <c r="D378" i="15"/>
  <c r="P375" i="29" s="1"/>
  <c r="J377" i="15"/>
  <c r="AH374" i="29" s="1"/>
  <c r="D377" i="15"/>
  <c r="P374" i="29" s="1"/>
  <c r="J376" i="15"/>
  <c r="AH373" i="29" s="1"/>
  <c r="D376" i="15"/>
  <c r="P373" i="29" s="1"/>
  <c r="J375" i="15"/>
  <c r="AH372" i="29" s="1"/>
  <c r="D375" i="15"/>
  <c r="P372" i="29" s="1"/>
  <c r="J374" i="15"/>
  <c r="AH371" i="29" s="1"/>
  <c r="D374" i="15"/>
  <c r="P371" i="29" s="1"/>
  <c r="J401" i="15"/>
  <c r="AH398" i="29" s="1"/>
  <c r="N400" i="15"/>
  <c r="D400"/>
  <c r="P397" i="29" s="1"/>
  <c r="H399" i="15"/>
  <c r="AB396" i="29" s="1"/>
  <c r="J398" i="15"/>
  <c r="AH395" i="29" s="1"/>
  <c r="N397" i="15"/>
  <c r="D397"/>
  <c r="P394" i="29" s="1"/>
  <c r="H396" i="15"/>
  <c r="AB393" i="29" s="1"/>
  <c r="J395" i="15"/>
  <c r="AH392" i="29" s="1"/>
  <c r="N394" i="15"/>
  <c r="D394"/>
  <c r="P391" i="29" s="1"/>
  <c r="H393" i="15"/>
  <c r="AB390" i="29" s="1"/>
  <c r="J392" i="15"/>
  <c r="AH389" i="29" s="1"/>
  <c r="N391" i="15"/>
  <c r="D391"/>
  <c r="P388" i="29" s="1"/>
  <c r="H390" i="15"/>
  <c r="AB387" i="29" s="1"/>
  <c r="J389" i="15"/>
  <c r="AH386" i="29" s="1"/>
  <c r="N388" i="15"/>
  <c r="D388"/>
  <c r="P385" i="29" s="1"/>
  <c r="H415" i="15"/>
  <c r="AB412" i="29" s="1"/>
  <c r="H412" i="15"/>
  <c r="AB409" i="29" s="1"/>
  <c r="H409" i="15"/>
  <c r="AB406" i="29" s="1"/>
  <c r="H406" i="15"/>
  <c r="AB403" i="29" s="1"/>
  <c r="H403" i="15"/>
  <c r="AB400" i="29" s="1"/>
  <c r="N428" i="15"/>
  <c r="G425"/>
  <c r="Y422" i="29" s="1"/>
  <c r="N420" i="15"/>
  <c r="K417"/>
  <c r="AK414" i="29" s="1"/>
  <c r="H443" i="15"/>
  <c r="AB440" i="29" s="1"/>
  <c r="G439" i="15"/>
  <c r="Y436" i="29" s="1"/>
  <c r="N435" i="15"/>
  <c r="H431"/>
  <c r="AB428" i="29" s="1"/>
  <c r="N466" i="15"/>
  <c r="N460"/>
  <c r="I133"/>
  <c r="AE130" i="29" s="1"/>
  <c r="I130" i="15"/>
  <c r="AE127" i="29" s="1"/>
  <c r="I127" i="15"/>
  <c r="AE124" i="29" s="1"/>
  <c r="I124" i="15"/>
  <c r="AE121" i="29" s="1"/>
  <c r="N149" i="15"/>
  <c r="N146"/>
  <c r="N143"/>
  <c r="G141"/>
  <c r="Y138" i="29" s="1"/>
  <c r="H139" i="15"/>
  <c r="AB136" i="29" s="1"/>
  <c r="H137" i="15"/>
  <c r="AB134" i="29" s="1"/>
  <c r="H163" i="15"/>
  <c r="AB160" i="29" s="1"/>
  <c r="H160" i="15"/>
  <c r="AB157" i="29" s="1"/>
  <c r="H157" i="15"/>
  <c r="AB154" i="29" s="1"/>
  <c r="H154" i="15"/>
  <c r="AB151" i="29" s="1"/>
  <c r="H151" i="15"/>
  <c r="AB148" i="29" s="1"/>
  <c r="M189" i="15"/>
  <c r="AQ186" i="29" s="1"/>
  <c r="M186" i="15"/>
  <c r="AQ183" i="29" s="1"/>
  <c r="M183" i="15"/>
  <c r="AQ180" i="29" s="1"/>
  <c r="M180" i="15"/>
  <c r="AQ177" i="29" s="1"/>
  <c r="N205" i="15"/>
  <c r="D205"/>
  <c r="P202" i="29" s="1"/>
  <c r="H204" i="15"/>
  <c r="AB201" i="29" s="1"/>
  <c r="I203" i="15"/>
  <c r="AE200" i="29" s="1"/>
  <c r="K202" i="15"/>
  <c r="AK199" i="29" s="1"/>
  <c r="C202" i="15"/>
  <c r="M199" i="29" s="1"/>
  <c r="D201" i="15"/>
  <c r="P198" i="29" s="1"/>
  <c r="G200" i="15"/>
  <c r="Y197" i="29" s="1"/>
  <c r="J199" i="15"/>
  <c r="AH196" i="29" s="1"/>
  <c r="K198" i="15"/>
  <c r="AK195" i="29" s="1"/>
  <c r="N197" i="15"/>
  <c r="E197"/>
  <c r="S194" i="29" s="1"/>
  <c r="G196" i="15"/>
  <c r="Y193" i="29" s="1"/>
  <c r="I195" i="15"/>
  <c r="AE192" i="29" s="1"/>
  <c r="M194" i="15"/>
  <c r="AQ191" i="29" s="1"/>
  <c r="N193" i="15"/>
  <c r="G193"/>
  <c r="Y190" i="29" s="1"/>
  <c r="K192" i="15"/>
  <c r="AK189" i="29" s="1"/>
  <c r="D192" i="15"/>
  <c r="P189" i="29" s="1"/>
  <c r="G219" i="15"/>
  <c r="Y216" i="29" s="1"/>
  <c r="N216" i="15"/>
  <c r="N214"/>
  <c r="G213"/>
  <c r="Y210" i="29" s="1"/>
  <c r="N210" i="15"/>
  <c r="N208"/>
  <c r="G207"/>
  <c r="Y204" i="29" s="1"/>
  <c r="M233" i="15"/>
  <c r="AQ230" i="29" s="1"/>
  <c r="M232" i="15"/>
  <c r="AQ229" i="29" s="1"/>
  <c r="M231" i="15"/>
  <c r="AQ228" i="29" s="1"/>
  <c r="M230" i="15"/>
  <c r="AQ227" i="29" s="1"/>
  <c r="M229" i="15"/>
  <c r="AQ226" i="29" s="1"/>
  <c r="M228" i="15"/>
  <c r="AQ225" i="29" s="1"/>
  <c r="M227" i="15"/>
  <c r="AQ224" i="29" s="1"/>
  <c r="M226" i="15"/>
  <c r="AQ223" i="29" s="1"/>
  <c r="M225" i="15"/>
  <c r="AQ222" i="29" s="1"/>
  <c r="M224" i="15"/>
  <c r="AQ221" i="29" s="1"/>
  <c r="M223" i="15"/>
  <c r="AQ220" i="29" s="1"/>
  <c r="M222" i="15"/>
  <c r="AQ219" i="29" s="1"/>
  <c r="M221" i="15"/>
  <c r="AQ218" i="29" s="1"/>
  <c r="M220" i="15"/>
  <c r="AQ217" i="29" s="1"/>
  <c r="N247" i="15"/>
  <c r="N246"/>
  <c r="M245"/>
  <c r="AQ242" i="29" s="1"/>
  <c r="H244" i="15"/>
  <c r="AB241" i="29" s="1"/>
  <c r="G243" i="15"/>
  <c r="Y240" i="29" s="1"/>
  <c r="N241" i="15"/>
  <c r="N240"/>
  <c r="M239"/>
  <c r="AQ236" i="29" s="1"/>
  <c r="H238" i="15"/>
  <c r="AB235" i="29" s="1"/>
  <c r="G237" i="15"/>
  <c r="Y234" i="29" s="1"/>
  <c r="N235" i="15"/>
  <c r="N234"/>
  <c r="M274"/>
  <c r="AQ271" i="29" s="1"/>
  <c r="J273" i="15"/>
  <c r="AH270" i="29" s="1"/>
  <c r="H272" i="15"/>
  <c r="AB269" i="29" s="1"/>
  <c r="E271" i="15"/>
  <c r="S268" i="29" s="1"/>
  <c r="C270" i="15"/>
  <c r="M267" i="29" s="1"/>
  <c r="M268" i="15"/>
  <c r="AQ265" i="29" s="1"/>
  <c r="J267" i="15"/>
  <c r="AH264" i="29" s="1"/>
  <c r="H266" i="15"/>
  <c r="AB263" i="29" s="1"/>
  <c r="E265" i="15"/>
  <c r="S262" i="29" s="1"/>
  <c r="C264" i="15"/>
  <c r="M261" i="29" s="1"/>
  <c r="M262" i="15"/>
  <c r="AQ259" i="29" s="1"/>
  <c r="H289" i="15"/>
  <c r="AB286" i="29" s="1"/>
  <c r="H280" i="15"/>
  <c r="AB277" i="29" s="1"/>
  <c r="G303" i="15"/>
  <c r="Y300" i="29" s="1"/>
  <c r="M301" i="15"/>
  <c r="AQ298" i="29" s="1"/>
  <c r="G300" i="15"/>
  <c r="Y297" i="29" s="1"/>
  <c r="M298" i="15"/>
  <c r="AQ295" i="29" s="1"/>
  <c r="G297" i="15"/>
  <c r="Y294" i="29" s="1"/>
  <c r="M295" i="15"/>
  <c r="AQ292" i="29" s="1"/>
  <c r="G294" i="15"/>
  <c r="Y291" i="29" s="1"/>
  <c r="M292" i="15"/>
  <c r="AQ289" i="29" s="1"/>
  <c r="K291" i="15"/>
  <c r="AK288" i="29" s="1"/>
  <c r="K290" i="15"/>
  <c r="AK287" i="29" s="1"/>
  <c r="M330" i="15"/>
  <c r="AQ327" i="29" s="1"/>
  <c r="G329" i="15"/>
  <c r="Y326" i="29" s="1"/>
  <c r="M327" i="15"/>
  <c r="AQ324" i="29" s="1"/>
  <c r="G326" i="15"/>
  <c r="Y323" i="29" s="1"/>
  <c r="M324" i="15"/>
  <c r="AQ321" i="29" s="1"/>
  <c r="G323" i="15"/>
  <c r="Y320" i="29" s="1"/>
  <c r="M321" i="15"/>
  <c r="AQ318" i="29" s="1"/>
  <c r="G320" i="15"/>
  <c r="Y317" i="29" s="1"/>
  <c r="M318" i="15"/>
  <c r="AQ315" i="29" s="1"/>
  <c r="N359" i="15"/>
  <c r="N356"/>
  <c r="M354"/>
  <c r="AQ351" i="29" s="1"/>
  <c r="M352" i="15"/>
  <c r="AQ349" i="29" s="1"/>
  <c r="N350" i="15"/>
  <c r="H349"/>
  <c r="AB346" i="29" s="1"/>
  <c r="G348" i="15"/>
  <c r="Y345" i="29" s="1"/>
  <c r="H347" i="15"/>
  <c r="AB344" i="29" s="1"/>
  <c r="G346" i="15"/>
  <c r="Y343" i="29" s="1"/>
  <c r="N372" i="15"/>
  <c r="N369"/>
  <c r="N366"/>
  <c r="N363"/>
  <c r="N360"/>
  <c r="H428"/>
  <c r="AB425" i="29" s="1"/>
  <c r="M426" i="15"/>
  <c r="AQ423" i="29" s="1"/>
  <c r="H424" i="15"/>
  <c r="AB421" i="29" s="1"/>
  <c r="H422" i="15"/>
  <c r="AB419" i="29" s="1"/>
  <c r="M420" i="15"/>
  <c r="AQ417" i="29" s="1"/>
  <c r="K418" i="15"/>
  <c r="AK415" i="29" s="1"/>
  <c r="G417" i="15"/>
  <c r="Y414" i="29" s="1"/>
  <c r="G416" i="15"/>
  <c r="Y413" i="29" s="1"/>
  <c r="H457" i="15"/>
  <c r="AB454" i="29" s="1"/>
  <c r="I456" i="15"/>
  <c r="AE453" i="29" s="1"/>
  <c r="K455" i="15"/>
  <c r="AK452" i="29" s="1"/>
  <c r="C455" i="15"/>
  <c r="M452" i="29" s="1"/>
  <c r="D454" i="15"/>
  <c r="P451" i="29" s="1"/>
  <c r="G453" i="15"/>
  <c r="Y450" i="29" s="1"/>
  <c r="J452" i="15"/>
  <c r="AH449" i="29" s="1"/>
  <c r="K451" i="15"/>
  <c r="AK448" i="29" s="1"/>
  <c r="N450" i="15"/>
  <c r="E450"/>
  <c r="S447" i="29" s="1"/>
  <c r="G449" i="15"/>
  <c r="Y446" i="29" s="1"/>
  <c r="I448" i="15"/>
  <c r="AE445" i="29" s="1"/>
  <c r="M447" i="15"/>
  <c r="AQ444" i="29" s="1"/>
  <c r="N446" i="15"/>
  <c r="D446"/>
  <c r="P443" i="29" s="1"/>
  <c r="H445" i="15"/>
  <c r="AB442" i="29" s="1"/>
  <c r="I444" i="15"/>
  <c r="AE441" i="29" s="1"/>
  <c r="G331" i="15"/>
  <c r="Y328" i="29" s="1"/>
  <c r="M329" i="15"/>
  <c r="AQ326" i="29" s="1"/>
  <c r="G328" i="15"/>
  <c r="Y325" i="29" s="1"/>
  <c r="M326" i="15"/>
  <c r="AQ323" i="29" s="1"/>
  <c r="G325" i="15"/>
  <c r="Y322" i="29" s="1"/>
  <c r="M323" i="15"/>
  <c r="AQ320" i="29" s="1"/>
  <c r="G322" i="15"/>
  <c r="Y319" i="29" s="1"/>
  <c r="M320" i="15"/>
  <c r="AQ317" i="29" s="1"/>
  <c r="G319" i="15"/>
  <c r="Y316" i="29" s="1"/>
  <c r="G357" i="15"/>
  <c r="Y354" i="29" s="1"/>
  <c r="H355" i="15"/>
  <c r="AB352" i="29" s="1"/>
  <c r="G353" i="15"/>
  <c r="Y350" i="29" s="1"/>
  <c r="G351" i="15"/>
  <c r="Y348" i="29" s="1"/>
  <c r="N349" i="15"/>
  <c r="I348"/>
  <c r="AE345" i="29" s="1"/>
  <c r="I347" i="15"/>
  <c r="AE344" i="29" s="1"/>
  <c r="K346" i="15"/>
  <c r="AK343" i="29" s="1"/>
  <c r="H373" i="15"/>
  <c r="AB370" i="29" s="1"/>
  <c r="H370" i="15"/>
  <c r="AB367" i="29" s="1"/>
  <c r="H367" i="15"/>
  <c r="AB364" i="29" s="1"/>
  <c r="H364" i="15"/>
  <c r="AB361" i="29" s="1"/>
  <c r="H361" i="15"/>
  <c r="AB358" i="29" s="1"/>
  <c r="H98" i="15"/>
  <c r="AB95" i="29" s="1"/>
  <c r="C135" i="15"/>
  <c r="M132" i="29" s="1"/>
  <c r="C132" i="15"/>
  <c r="M129" i="29" s="1"/>
  <c r="C129" i="15"/>
  <c r="M126" i="29" s="1"/>
  <c r="C126" i="15"/>
  <c r="M123" i="29" s="1"/>
  <c r="C123" i="15"/>
  <c r="M120" i="29" s="1"/>
  <c r="H148" i="15"/>
  <c r="AB145" i="29" s="1"/>
  <c r="H145" i="15"/>
  <c r="AB142" i="29" s="1"/>
  <c r="H142" i="15"/>
  <c r="AB139" i="29" s="1"/>
  <c r="H140" i="15"/>
  <c r="AB137" i="29" s="1"/>
  <c r="G138" i="15"/>
  <c r="Y135" i="29" s="1"/>
  <c r="H136" i="15"/>
  <c r="AB133" i="29" s="1"/>
  <c r="D177" i="15"/>
  <c r="P174" i="29" s="1"/>
  <c r="N175" i="15"/>
  <c r="K174"/>
  <c r="AK171" i="29" s="1"/>
  <c r="I173" i="15"/>
  <c r="AE170" i="29" s="1"/>
  <c r="G172" i="15"/>
  <c r="Y169" i="29" s="1"/>
  <c r="H171" i="15"/>
  <c r="AB168" i="29" s="1"/>
  <c r="K170" i="15"/>
  <c r="AK167" i="29" s="1"/>
  <c r="N169" i="15"/>
  <c r="C169"/>
  <c r="M166" i="29" s="1"/>
  <c r="G168" i="15"/>
  <c r="Y165" i="29" s="1"/>
  <c r="I167" i="15"/>
  <c r="AE164" i="29" s="1"/>
  <c r="J166" i="15"/>
  <c r="AH163" i="29" s="1"/>
  <c r="N165" i="15"/>
  <c r="D165"/>
  <c r="P162" i="29" s="1"/>
  <c r="E164" i="15"/>
  <c r="S161" i="29" s="1"/>
  <c r="G191" i="15"/>
  <c r="Y188" i="29" s="1"/>
  <c r="G188" i="15"/>
  <c r="Y185" i="29" s="1"/>
  <c r="G185" i="15"/>
  <c r="Y182" i="29" s="1"/>
  <c r="G182" i="15"/>
  <c r="Y179" i="29" s="1"/>
  <c r="G179" i="15"/>
  <c r="Y176" i="29" s="1"/>
  <c r="J205" i="15"/>
  <c r="AH202" i="29" s="1"/>
  <c r="K204" i="15"/>
  <c r="AK201" i="29" s="1"/>
  <c r="N203" i="15"/>
  <c r="E203"/>
  <c r="S200" i="29" s="1"/>
  <c r="G202" i="15"/>
  <c r="Y199" i="29" s="1"/>
  <c r="I201" i="15"/>
  <c r="AE198" i="29" s="1"/>
  <c r="M200" i="15"/>
  <c r="AQ197" i="29" s="1"/>
  <c r="N199" i="15"/>
  <c r="D199"/>
  <c r="P196" i="29" s="1"/>
  <c r="H198" i="15"/>
  <c r="AB195" i="29" s="1"/>
  <c r="I197" i="15"/>
  <c r="AE194" i="29" s="1"/>
  <c r="K196" i="15"/>
  <c r="AK193" i="29" s="1"/>
  <c r="C196" i="15"/>
  <c r="M193" i="29" s="1"/>
  <c r="D195" i="15"/>
  <c r="P192" i="29" s="1"/>
  <c r="G194" i="15"/>
  <c r="Y191" i="29" s="1"/>
  <c r="J193" i="15"/>
  <c r="AH190" i="29" s="1"/>
  <c r="C193" i="15"/>
  <c r="M190" i="29" s="1"/>
  <c r="H192" i="15"/>
  <c r="AB189" i="29" s="1"/>
  <c r="G233" i="15"/>
  <c r="Y230" i="29" s="1"/>
  <c r="G232" i="15"/>
  <c r="Y229" i="29" s="1"/>
  <c r="G231" i="15"/>
  <c r="Y228" i="29" s="1"/>
  <c r="G230" i="15"/>
  <c r="Y227" i="29" s="1"/>
  <c r="G229" i="15"/>
  <c r="Y226" i="29" s="1"/>
  <c r="G228" i="15"/>
  <c r="Y225" i="29" s="1"/>
  <c r="G227" i="15"/>
  <c r="Y224" i="29" s="1"/>
  <c r="G226" i="15"/>
  <c r="Y223" i="29" s="1"/>
  <c r="G225" i="15"/>
  <c r="Y222" i="29" s="1"/>
  <c r="G224" i="15"/>
  <c r="Y221" i="29" s="1"/>
  <c r="G223" i="15"/>
  <c r="Y220" i="29" s="1"/>
  <c r="G222" i="15"/>
  <c r="Y219" i="29" s="1"/>
  <c r="G221" i="15"/>
  <c r="Y218" i="29" s="1"/>
  <c r="G220" i="15"/>
  <c r="Y217" i="29" s="1"/>
  <c r="H247" i="15"/>
  <c r="AB244" i="29" s="1"/>
  <c r="G246" i="15"/>
  <c r="Y243" i="29" s="1"/>
  <c r="N244" i="15"/>
  <c r="N243"/>
  <c r="M242"/>
  <c r="AQ239" i="29" s="1"/>
  <c r="H241" i="15"/>
  <c r="AB238" i="29" s="1"/>
  <c r="G240" i="15"/>
  <c r="Y237" i="29" s="1"/>
  <c r="N238" i="15"/>
  <c r="N237"/>
  <c r="M236"/>
  <c r="AQ233" i="29" s="1"/>
  <c r="H235" i="15"/>
  <c r="AB232" i="29" s="1"/>
  <c r="G234" i="15"/>
  <c r="Y231" i="29" s="1"/>
  <c r="H275" i="15"/>
  <c r="AB272" i="29" s="1"/>
  <c r="E274" i="15"/>
  <c r="S271" i="29" s="1"/>
  <c r="C273" i="15"/>
  <c r="M270" i="29" s="1"/>
  <c r="M271" i="15"/>
  <c r="AQ268" i="29" s="1"/>
  <c r="J270" i="15"/>
  <c r="AH267" i="29" s="1"/>
  <c r="H269" i="15"/>
  <c r="AB266" i="29" s="1"/>
  <c r="E268" i="15"/>
  <c r="S265" i="29" s="1"/>
  <c r="C267" i="15"/>
  <c r="M264" i="29" s="1"/>
  <c r="M265" i="15"/>
  <c r="AQ262" i="29" s="1"/>
  <c r="J264" i="15"/>
  <c r="AH261" i="29" s="1"/>
  <c r="H263" i="15"/>
  <c r="AB260" i="29" s="1"/>
  <c r="E262" i="15"/>
  <c r="S259" i="29" s="1"/>
  <c r="N303" i="15"/>
  <c r="H302"/>
  <c r="AB299" i="29" s="1"/>
  <c r="N300" i="15"/>
  <c r="H299"/>
  <c r="AB296" i="29" s="1"/>
  <c r="N297" i="15"/>
  <c r="H296"/>
  <c r="AB293" i="29" s="1"/>
  <c r="N294" i="15"/>
  <c r="H293"/>
  <c r="AB290" i="29" s="1"/>
  <c r="G292" i="15"/>
  <c r="Y289" i="29" s="1"/>
  <c r="E291" i="15"/>
  <c r="S288" i="29" s="1"/>
  <c r="E290" i="15"/>
  <c r="S287" i="29" s="1"/>
  <c r="H371" i="15"/>
  <c r="AB368" i="29" s="1"/>
  <c r="H368" i="15"/>
  <c r="AB365" i="29" s="1"/>
  <c r="H365" i="15"/>
  <c r="AB362" i="29" s="1"/>
  <c r="H362" i="15"/>
  <c r="AB359" i="29" s="1"/>
  <c r="N414" i="15"/>
  <c r="H413"/>
  <c r="AB410" i="29" s="1"/>
  <c r="N411" i="15"/>
  <c r="H410"/>
  <c r="AB407" i="29" s="1"/>
  <c r="N408" i="15"/>
  <c r="H407"/>
  <c r="AB404" i="29" s="1"/>
  <c r="N405" i="15"/>
  <c r="H404"/>
  <c r="AB401" i="29" s="1"/>
  <c r="N402" i="15"/>
  <c r="M429"/>
  <c r="AQ426" i="29" s="1"/>
  <c r="H427" i="15"/>
  <c r="AB424" i="29" s="1"/>
  <c r="H425" i="15"/>
  <c r="AB422" i="29" s="1"/>
  <c r="M423" i="15"/>
  <c r="AQ420" i="29" s="1"/>
  <c r="H421" i="15"/>
  <c r="AB418" i="29" s="1"/>
  <c r="H419" i="15"/>
  <c r="AB416" i="29" s="1"/>
  <c r="E418" i="15"/>
  <c r="S415" i="29" s="1"/>
  <c r="M416" i="15"/>
  <c r="AQ413" i="29" s="1"/>
  <c r="M443" i="15"/>
  <c r="AQ440" i="29" s="1"/>
  <c r="M440" i="15"/>
  <c r="AQ437" i="29" s="1"/>
  <c r="M437" i="15"/>
  <c r="AQ434" i="29" s="1"/>
  <c r="M434" i="15"/>
  <c r="AQ431" i="29" s="1"/>
  <c r="M431" i="15"/>
  <c r="AQ428" i="29" s="1"/>
  <c r="K457" i="15"/>
  <c r="AK454" i="29" s="1"/>
  <c r="N456" i="15"/>
  <c r="E456"/>
  <c r="S453" i="29" s="1"/>
  <c r="G455" i="15"/>
  <c r="Y452" i="29" s="1"/>
  <c r="I454" i="15"/>
  <c r="AE451" i="29" s="1"/>
  <c r="M453" i="15"/>
  <c r="AQ450" i="29" s="1"/>
  <c r="N452" i="15"/>
  <c r="D452"/>
  <c r="P449" i="29" s="1"/>
  <c r="H451" i="15"/>
  <c r="AB448" i="29" s="1"/>
  <c r="I450" i="15"/>
  <c r="AE447" i="29" s="1"/>
  <c r="K449" i="15"/>
  <c r="AK446" i="29" s="1"/>
  <c r="C449" i="15"/>
  <c r="M446" i="29" s="1"/>
  <c r="D448" i="15"/>
  <c r="P445" i="29" s="1"/>
  <c r="G447" i="15"/>
  <c r="Y444" i="29" s="1"/>
  <c r="J446" i="15"/>
  <c r="AH443" i="29" s="1"/>
  <c r="K445" i="15"/>
  <c r="AK442" i="29" s="1"/>
  <c r="N444" i="15"/>
  <c r="E444"/>
  <c r="S441" i="29" s="1"/>
  <c r="G470" i="15"/>
  <c r="Y467" i="29" s="1"/>
  <c r="G467" i="15"/>
  <c r="Y464" i="29" s="1"/>
  <c r="G464" i="15"/>
  <c r="Y461" i="29" s="1"/>
  <c r="G461" i="15"/>
  <c r="Y458" i="29" s="1"/>
  <c r="G458" i="15"/>
  <c r="Y455" i="29" s="1"/>
  <c r="H107" i="15"/>
  <c r="AB104" i="29" s="1"/>
  <c r="H135" i="15"/>
  <c r="AB132" i="29" s="1"/>
  <c r="H132" i="15"/>
  <c r="AB129" i="29" s="1"/>
  <c r="H129" i="15"/>
  <c r="AB126" i="29" s="1"/>
  <c r="H126" i="15"/>
  <c r="AB123" i="29" s="1"/>
  <c r="H123" i="15"/>
  <c r="AB120" i="29" s="1"/>
  <c r="H149" i="15"/>
  <c r="AB146" i="29" s="1"/>
  <c r="H146" i="15"/>
  <c r="AB143" i="29" s="1"/>
  <c r="H143" i="15"/>
  <c r="AB140" i="29" s="1"/>
  <c r="N140" i="15"/>
  <c r="N138"/>
  <c r="M136"/>
  <c r="AQ133" i="29" s="1"/>
  <c r="G163" i="15"/>
  <c r="Y160" i="29" s="1"/>
  <c r="G160" i="15"/>
  <c r="Y157" i="29" s="1"/>
  <c r="G157" i="15"/>
  <c r="Y154" i="29" s="1"/>
  <c r="G154" i="15"/>
  <c r="Y151" i="29" s="1"/>
  <c r="G151" i="15"/>
  <c r="Y148" i="29" s="1"/>
  <c r="H191" i="15"/>
  <c r="AB188" i="29" s="1"/>
  <c r="H188" i="15"/>
  <c r="AB185" i="29" s="1"/>
  <c r="H185" i="15"/>
  <c r="AB182" i="29" s="1"/>
  <c r="H182" i="15"/>
  <c r="AB179" i="29" s="1"/>
  <c r="H179" i="15"/>
  <c r="AB176" i="29" s="1"/>
  <c r="H218" i="15"/>
  <c r="AB215" i="29" s="1"/>
  <c r="H216" i="15"/>
  <c r="AB213" i="29" s="1"/>
  <c r="M214" i="15"/>
  <c r="AQ211" i="29" s="1"/>
  <c r="H212" i="15"/>
  <c r="AB209" i="29" s="1"/>
  <c r="H210" i="15"/>
  <c r="AB207" i="29" s="1"/>
  <c r="M208" i="15"/>
  <c r="AQ205" i="29" s="1"/>
  <c r="H206" i="15"/>
  <c r="AB203" i="29" s="1"/>
  <c r="H233" i="15"/>
  <c r="AB230" i="29" s="1"/>
  <c r="H232" i="15"/>
  <c r="AB229" i="29" s="1"/>
  <c r="H231" i="15"/>
  <c r="AB228" i="29" s="1"/>
  <c r="H230" i="15"/>
  <c r="AB227" i="29" s="1"/>
  <c r="H229" i="15"/>
  <c r="AB226" i="29" s="1"/>
  <c r="H228" i="15"/>
  <c r="AB225" i="29" s="1"/>
  <c r="H227" i="15"/>
  <c r="AB224" i="29" s="1"/>
  <c r="H226" i="15"/>
  <c r="AB223" i="29" s="1"/>
  <c r="H225" i="15"/>
  <c r="AB222" i="29" s="1"/>
  <c r="H224" i="15"/>
  <c r="AB221" i="29" s="1"/>
  <c r="H223" i="15"/>
  <c r="AB220" i="29" s="1"/>
  <c r="H222" i="15"/>
  <c r="AB219" i="29" s="1"/>
  <c r="H221" i="15"/>
  <c r="AB218" i="29" s="1"/>
  <c r="H220" i="15"/>
  <c r="AB217" i="29" s="1"/>
  <c r="M247" i="15"/>
  <c r="AQ244" i="29" s="1"/>
  <c r="H246" i="15"/>
  <c r="AB243" i="29" s="1"/>
  <c r="H245" i="15"/>
  <c r="AB242" i="29" s="1"/>
  <c r="G244" i="15"/>
  <c r="Y241" i="29" s="1"/>
  <c r="N242" i="15"/>
  <c r="M241"/>
  <c r="AQ238" i="29" s="1"/>
  <c r="H240" i="15"/>
  <c r="AB237" i="29" s="1"/>
  <c r="H239" i="15"/>
  <c r="AB236" i="29" s="1"/>
  <c r="G238" i="15"/>
  <c r="Y235" i="29" s="1"/>
  <c r="N236" i="15"/>
  <c r="M235"/>
  <c r="AQ232" i="29" s="1"/>
  <c r="H234" i="15"/>
  <c r="AB231" i="29" s="1"/>
  <c r="K275" i="15"/>
  <c r="AK272" i="29" s="1"/>
  <c r="I274" i="15"/>
  <c r="AE271" i="29" s="1"/>
  <c r="G273" i="15"/>
  <c r="Y270" i="29" s="1"/>
  <c r="D272" i="15"/>
  <c r="P269" i="29" s="1"/>
  <c r="N270" i="15"/>
  <c r="K269"/>
  <c r="AK266" i="29" s="1"/>
  <c r="I268" i="15"/>
  <c r="AE265" i="29" s="1"/>
  <c r="G267" i="15"/>
  <c r="Y264" i="29" s="1"/>
  <c r="D266" i="15"/>
  <c r="P263" i="29" s="1"/>
  <c r="N264" i="15"/>
  <c r="K263"/>
  <c r="AK260" i="29" s="1"/>
  <c r="I262" i="15"/>
  <c r="AE259" i="29" s="1"/>
  <c r="M302" i="15"/>
  <c r="AQ299" i="29" s="1"/>
  <c r="G301" i="15"/>
  <c r="Y298" i="29" s="1"/>
  <c r="M299" i="15"/>
  <c r="AQ296" i="29" s="1"/>
  <c r="G298" i="15"/>
  <c r="Y295" i="29" s="1"/>
  <c r="M296" i="15"/>
  <c r="AQ293" i="29" s="1"/>
  <c r="G295" i="15"/>
  <c r="Y292" i="29" s="1"/>
  <c r="M293" i="15"/>
  <c r="AQ290" i="29" s="1"/>
  <c r="H292" i="15"/>
  <c r="AB289" i="29" s="1"/>
  <c r="G291" i="15"/>
  <c r="Y288" i="29" s="1"/>
  <c r="G290" i="15"/>
  <c r="Y287" i="29" s="1"/>
  <c r="N331" i="15"/>
  <c r="H330"/>
  <c r="AB327" i="29" s="1"/>
  <c r="N328" i="15"/>
  <c r="H327"/>
  <c r="AB324" i="29" s="1"/>
  <c r="N325" i="15"/>
  <c r="H324"/>
  <c r="AB321" i="29" s="1"/>
  <c r="N322" i="15"/>
  <c r="H321"/>
  <c r="AB318" i="29" s="1"/>
  <c r="N319" i="15"/>
  <c r="H318"/>
  <c r="AB315" i="29" s="1"/>
  <c r="G415" i="15"/>
  <c r="Y412" i="29" s="1"/>
  <c r="M413" i="15"/>
  <c r="AQ410" i="29" s="1"/>
  <c r="G412" i="15"/>
  <c r="Y409" i="29" s="1"/>
  <c r="M410" i="15"/>
  <c r="AQ407" i="29" s="1"/>
  <c r="G409" i="15"/>
  <c r="Y406" i="29" s="1"/>
  <c r="M407" i="15"/>
  <c r="AQ404" i="29" s="1"/>
  <c r="G406" i="15"/>
  <c r="Y403" i="29" s="1"/>
  <c r="M404" i="15"/>
  <c r="AQ401" i="29" s="1"/>
  <c r="G403" i="15"/>
  <c r="Y400" i="29" s="1"/>
  <c r="D457" i="15"/>
  <c r="P454" i="29" s="1"/>
  <c r="G456" i="15"/>
  <c r="Y453" i="29" s="1"/>
  <c r="J455" i="15"/>
  <c r="AH452" i="29" s="1"/>
  <c r="K454" i="15"/>
  <c r="AK451" i="29" s="1"/>
  <c r="N453" i="15"/>
  <c r="E453"/>
  <c r="S450" i="29" s="1"/>
  <c r="G452" i="15"/>
  <c r="Y449" i="29" s="1"/>
  <c r="I451" i="15"/>
  <c r="AE448" i="29" s="1"/>
  <c r="M450" i="15"/>
  <c r="AQ447" i="29" s="1"/>
  <c r="N449" i="15"/>
  <c r="D449"/>
  <c r="P446" i="29" s="1"/>
  <c r="H448" i="15"/>
  <c r="AB445" i="29" s="1"/>
  <c r="I447" i="15"/>
  <c r="AE444" i="29" s="1"/>
  <c r="K446" i="15"/>
  <c r="AK443" i="29" s="1"/>
  <c r="C446" i="15"/>
  <c r="M443" i="29" s="1"/>
  <c r="D445" i="15"/>
  <c r="P442" i="29" s="1"/>
  <c r="G444" i="15"/>
  <c r="Y441" i="29" s="1"/>
  <c r="H471" i="15"/>
  <c r="AB468" i="29" s="1"/>
  <c r="H468" i="15"/>
  <c r="AB465" i="29" s="1"/>
  <c r="H465" i="15"/>
  <c r="AB462" i="29" s="1"/>
  <c r="H462" i="15"/>
  <c r="AB459" i="29" s="1"/>
  <c r="H459" i="15"/>
  <c r="AB456" i="29" s="1"/>
  <c r="M69" i="15"/>
  <c r="AQ66" i="29" s="1"/>
  <c r="M78" i="15"/>
  <c r="AQ75" i="29" s="1"/>
  <c r="H84" i="15"/>
  <c r="AB81" i="29" s="1"/>
  <c r="H79" i="15"/>
  <c r="AB76" i="29" s="1"/>
  <c r="H93" i="15"/>
  <c r="AB90" i="29" s="1"/>
  <c r="H70" i="15"/>
  <c r="AB67" i="29" s="1"/>
  <c r="N85" i="15"/>
  <c r="G74"/>
  <c r="Y71" i="29" s="1"/>
  <c r="N88" i="15"/>
  <c r="N74"/>
  <c r="H90"/>
  <c r="AB87" i="29" s="1"/>
  <c r="H81" i="15"/>
  <c r="AB78" i="29" s="1"/>
  <c r="N99" i="15"/>
  <c r="H260"/>
  <c r="AB257" i="29" s="1"/>
  <c r="H257" i="15"/>
  <c r="AB254" i="29" s="1"/>
  <c r="H254" i="15"/>
  <c r="AB251" i="29" s="1"/>
  <c r="H251" i="15"/>
  <c r="AB248" i="29" s="1"/>
  <c r="H248" i="15"/>
  <c r="AB245" i="29" s="1"/>
  <c r="N259" i="15"/>
  <c r="N256"/>
  <c r="N250"/>
  <c r="N260"/>
  <c r="N257"/>
  <c r="N254"/>
  <c r="N251"/>
  <c r="N248"/>
  <c r="C94"/>
  <c r="M91" i="29" s="1"/>
  <c r="G95" i="15"/>
  <c r="Y92" i="29" s="1"/>
  <c r="M96" i="15"/>
  <c r="AQ93" i="29" s="1"/>
  <c r="G98" i="15"/>
  <c r="Y95" i="29" s="1"/>
  <c r="M99" i="15"/>
  <c r="AQ96" i="29" s="1"/>
  <c r="G101" i="15"/>
  <c r="Y98" i="29" s="1"/>
  <c r="M102" i="15"/>
  <c r="AQ99" i="29" s="1"/>
  <c r="G104" i="15"/>
  <c r="Y101" i="29" s="1"/>
  <c r="M105" i="15"/>
  <c r="AQ102" i="29" s="1"/>
  <c r="G107" i="15"/>
  <c r="Y104" i="29" s="1"/>
  <c r="N94" i="15"/>
  <c r="H96"/>
  <c r="AB93" i="29" s="1"/>
  <c r="N97" i="15"/>
  <c r="H99"/>
  <c r="AB96" i="29" s="1"/>
  <c r="N100" i="15"/>
  <c r="H102"/>
  <c r="AB99" i="29" s="1"/>
  <c r="N103" i="15"/>
  <c r="H105"/>
  <c r="AB102" i="29" s="1"/>
  <c r="N106" i="15"/>
  <c r="M94"/>
  <c r="AQ91" i="29" s="1"/>
  <c r="G96" i="15"/>
  <c r="Y93" i="29" s="1"/>
  <c r="M97" i="15"/>
  <c r="AQ94" i="29" s="1"/>
  <c r="G99" i="15"/>
  <c r="Y96" i="29" s="1"/>
  <c r="M100" i="15"/>
  <c r="AQ97" i="29" s="1"/>
  <c r="G102" i="15"/>
  <c r="Y99" i="29" s="1"/>
  <c r="M103" i="15"/>
  <c r="AQ100" i="29" s="1"/>
  <c r="G105" i="15"/>
  <c r="Y102" i="29" s="1"/>
  <c r="M106" i="15"/>
  <c r="AQ103" i="29" s="1"/>
  <c r="H94" i="15"/>
  <c r="AB91" i="29" s="1"/>
  <c r="N95" i="15"/>
  <c r="H97"/>
  <c r="AB94" i="29" s="1"/>
  <c r="N98" i="15"/>
  <c r="H100"/>
  <c r="AB97" i="29" s="1"/>
  <c r="N101" i="15"/>
  <c r="H103"/>
  <c r="AB100" i="29" s="1"/>
  <c r="N104" i="15"/>
  <c r="H106"/>
  <c r="AB103" i="29" s="1"/>
  <c r="N107" i="15"/>
  <c r="G94"/>
  <c r="Y91" i="29" s="1"/>
  <c r="M95" i="15"/>
  <c r="AQ92" i="29" s="1"/>
  <c r="G97" i="15"/>
  <c r="Y94" i="29" s="1"/>
  <c r="M98" i="15"/>
  <c r="AQ95" i="29" s="1"/>
  <c r="G100" i="15"/>
  <c r="Y97" i="29" s="1"/>
  <c r="M101" i="15"/>
  <c r="AQ98" i="29" s="1"/>
  <c r="G103" i="15"/>
  <c r="Y100" i="29" s="1"/>
  <c r="M104" i="15"/>
  <c r="AQ101" i="29" s="1"/>
  <c r="G106" i="15"/>
  <c r="Y103" i="29" s="1"/>
  <c r="M107" i="15"/>
  <c r="AQ104" i="29" s="1"/>
  <c r="C276" i="15"/>
  <c r="M273" i="29" s="1"/>
  <c r="G277" i="15"/>
  <c r="Y274" i="29" s="1"/>
  <c r="M278" i="15"/>
  <c r="AQ275" i="29" s="1"/>
  <c r="G280" i="15"/>
  <c r="Y277" i="29" s="1"/>
  <c r="M281" i="15"/>
  <c r="AQ278" i="29" s="1"/>
  <c r="G283" i="15"/>
  <c r="Y280" i="29" s="1"/>
  <c r="M284" i="15"/>
  <c r="AQ281" i="29" s="1"/>
  <c r="G286" i="15"/>
  <c r="Y283" i="29" s="1"/>
  <c r="M287" i="15"/>
  <c r="AQ284" i="29" s="1"/>
  <c r="G289" i="15"/>
  <c r="Y286" i="29" s="1"/>
  <c r="N276" i="15"/>
  <c r="H278"/>
  <c r="AB275" i="29" s="1"/>
  <c r="N279" i="15"/>
  <c r="H281"/>
  <c r="AB278" i="29" s="1"/>
  <c r="N282" i="15"/>
  <c r="H284"/>
  <c r="AB281" i="29" s="1"/>
  <c r="N285" i="15"/>
  <c r="H287"/>
  <c r="AB284" i="29" s="1"/>
  <c r="N288" i="15"/>
  <c r="M276"/>
  <c r="AQ273" i="29" s="1"/>
  <c r="G278" i="15"/>
  <c r="Y275" i="29" s="1"/>
  <c r="M279" i="15"/>
  <c r="AQ276" i="29" s="1"/>
  <c r="G281" i="15"/>
  <c r="Y278" i="29" s="1"/>
  <c r="M282" i="15"/>
  <c r="AQ279" i="29" s="1"/>
  <c r="G284" i="15"/>
  <c r="Y281" i="29" s="1"/>
  <c r="M285" i="15"/>
  <c r="AQ282" i="29" s="1"/>
  <c r="G287" i="15"/>
  <c r="Y284" i="29" s="1"/>
  <c r="M288" i="15"/>
  <c r="AQ285" i="29" s="1"/>
  <c r="H276" i="15"/>
  <c r="AB273" i="29" s="1"/>
  <c r="N277" i="15"/>
  <c r="H279"/>
  <c r="AB276" i="29" s="1"/>
  <c r="N280" i="15"/>
  <c r="H282"/>
  <c r="AB279" i="29" s="1"/>
  <c r="N283" i="15"/>
  <c r="H285"/>
  <c r="AB282" i="29" s="1"/>
  <c r="N286" i="15"/>
  <c r="H288"/>
  <c r="AB285" i="29" s="1"/>
  <c r="N289" i="15"/>
  <c r="G276"/>
  <c r="Y273" i="29" s="1"/>
  <c r="M277" i="15"/>
  <c r="AQ274" i="29" s="1"/>
  <c r="G279" i="15"/>
  <c r="Y276" i="29" s="1"/>
  <c r="M280" i="15"/>
  <c r="AQ277" i="29" s="1"/>
  <c r="G282" i="15"/>
  <c r="Y279" i="29" s="1"/>
  <c r="M283" i="15"/>
  <c r="AQ280" i="29" s="1"/>
  <c r="G285" i="15"/>
  <c r="Y282" i="29" s="1"/>
  <c r="M286" i="15"/>
  <c r="AQ283" i="29" s="1"/>
  <c r="G288" i="15"/>
  <c r="Y285" i="29" s="1"/>
  <c r="M289" i="15"/>
  <c r="AQ286" i="29" s="1"/>
  <c r="N253" i="15"/>
  <c r="H261"/>
  <c r="AB258" i="29" s="1"/>
  <c r="H258" i="15"/>
  <c r="AB255" i="29" s="1"/>
  <c r="H255" i="15"/>
  <c r="AB252" i="29" s="1"/>
  <c r="H252" i="15"/>
  <c r="AB249" i="29" s="1"/>
  <c r="G248" i="15"/>
  <c r="Y245" i="29" s="1"/>
  <c r="M248" i="15"/>
  <c r="AQ245" i="29" s="1"/>
  <c r="G249" i="15"/>
  <c r="Y246" i="29" s="1"/>
  <c r="M249" i="15"/>
  <c r="AQ246" i="29" s="1"/>
  <c r="G250" i="15"/>
  <c r="Y247" i="29" s="1"/>
  <c r="M250" i="15"/>
  <c r="AQ247" i="29" s="1"/>
  <c r="G251" i="15"/>
  <c r="Y248" i="29" s="1"/>
  <c r="M251" i="15"/>
  <c r="AQ248" i="29" s="1"/>
  <c r="G252" i="15"/>
  <c r="Y249" i="29" s="1"/>
  <c r="M252" i="15"/>
  <c r="AQ249" i="29" s="1"/>
  <c r="G253" i="15"/>
  <c r="Y250" i="29" s="1"/>
  <c r="M253" i="15"/>
  <c r="AQ250" i="29" s="1"/>
  <c r="G254" i="15"/>
  <c r="Y251" i="29" s="1"/>
  <c r="M254" i="15"/>
  <c r="AQ251" i="29" s="1"/>
  <c r="G255" i="15"/>
  <c r="Y252" i="29" s="1"/>
  <c r="M255" i="15"/>
  <c r="AQ252" i="29" s="1"/>
  <c r="G256" i="15"/>
  <c r="Y253" i="29" s="1"/>
  <c r="M256" i="15"/>
  <c r="AQ253" i="29" s="1"/>
  <c r="G257" i="15"/>
  <c r="Y254" i="29" s="1"/>
  <c r="M257" i="15"/>
  <c r="AQ254" i="29" s="1"/>
  <c r="G258" i="15"/>
  <c r="Y255" i="29" s="1"/>
  <c r="M258" i="15"/>
  <c r="AQ255" i="29" s="1"/>
  <c r="G259" i="15"/>
  <c r="Y256" i="29" s="1"/>
  <c r="M259" i="15"/>
  <c r="AQ256" i="29" s="1"/>
  <c r="G260" i="15"/>
  <c r="Y257" i="29" s="1"/>
  <c r="M260" i="15"/>
  <c r="AQ257" i="29" s="1"/>
  <c r="G261" i="15"/>
  <c r="Y258" i="29" s="1"/>
  <c r="M261" i="15"/>
  <c r="AQ258" i="29" s="1"/>
  <c r="F248" i="15"/>
  <c r="V245" i="29" s="1"/>
  <c r="L248" i="15"/>
  <c r="AN245" i="29" s="1"/>
  <c r="F249" i="15"/>
  <c r="V246" i="29" s="1"/>
  <c r="L249" i="15"/>
  <c r="AN246" i="29" s="1"/>
  <c r="F250" i="15"/>
  <c r="V247" i="29" s="1"/>
  <c r="L250" i="15"/>
  <c r="AN247" i="29" s="1"/>
  <c r="F251" i="15"/>
  <c r="V248" i="29" s="1"/>
  <c r="L251" i="15"/>
  <c r="AN248" i="29" s="1"/>
  <c r="F252" i="15"/>
  <c r="V249" i="29" s="1"/>
  <c r="L252" i="15"/>
  <c r="AN249" i="29" s="1"/>
  <c r="F253" i="15"/>
  <c r="V250" i="29" s="1"/>
  <c r="L253" i="15"/>
  <c r="AN250" i="29" s="1"/>
  <c r="F254" i="15"/>
  <c r="V251" i="29" s="1"/>
  <c r="L254" i="15"/>
  <c r="AN251" i="29" s="1"/>
  <c r="F255" i="15"/>
  <c r="V252" i="29" s="1"/>
  <c r="L255" i="15"/>
  <c r="AN252" i="29" s="1"/>
  <c r="F256" i="15"/>
  <c r="V253" i="29" s="1"/>
  <c r="L256" i="15"/>
  <c r="AN253" i="29" s="1"/>
  <c r="F257" i="15"/>
  <c r="V254" i="29" s="1"/>
  <c r="L257" i="15"/>
  <c r="AN254" i="29" s="1"/>
  <c r="F258" i="15"/>
  <c r="V255" i="29" s="1"/>
  <c r="L258" i="15"/>
  <c r="AN255" i="29" s="1"/>
  <c r="F259" i="15"/>
  <c r="V256" i="29" s="1"/>
  <c r="L259" i="15"/>
  <c r="AN256" i="29" s="1"/>
  <c r="F260" i="15"/>
  <c r="V257" i="29" s="1"/>
  <c r="L260" i="15"/>
  <c r="AN257" i="29" s="1"/>
  <c r="F261" i="15"/>
  <c r="V258" i="29" s="1"/>
  <c r="L261" i="15"/>
  <c r="AN258" i="29" s="1"/>
  <c r="E248" i="15"/>
  <c r="S245" i="29" s="1"/>
  <c r="K248" i="15"/>
  <c r="AK245" i="29" s="1"/>
  <c r="E249" i="15"/>
  <c r="S246" i="29" s="1"/>
  <c r="K249" i="15"/>
  <c r="AK246" i="29" s="1"/>
  <c r="E250" i="15"/>
  <c r="S247" i="29" s="1"/>
  <c r="K250" i="15"/>
  <c r="AK247" i="29" s="1"/>
  <c r="E251" i="15"/>
  <c r="S248" i="29" s="1"/>
  <c r="K251" i="15"/>
  <c r="AK248" i="29" s="1"/>
  <c r="E252" i="15"/>
  <c r="S249" i="29" s="1"/>
  <c r="K252" i="15"/>
  <c r="AK249" i="29" s="1"/>
  <c r="E253" i="15"/>
  <c r="S250" i="29" s="1"/>
  <c r="K253" i="15"/>
  <c r="AK250" i="29" s="1"/>
  <c r="E254" i="15"/>
  <c r="S251" i="29" s="1"/>
  <c r="K254" i="15"/>
  <c r="AK251" i="29" s="1"/>
  <c r="E255" i="15"/>
  <c r="S252" i="29" s="1"/>
  <c r="K255" i="15"/>
  <c r="AK252" i="29" s="1"/>
  <c r="E256" i="15"/>
  <c r="S253" i="29" s="1"/>
  <c r="K256" i="15"/>
  <c r="AK253" i="29" s="1"/>
  <c r="E257" i="15"/>
  <c r="S254" i="29" s="1"/>
  <c r="K257" i="15"/>
  <c r="AK254" i="29" s="1"/>
  <c r="E258" i="15"/>
  <c r="S255" i="29" s="1"/>
  <c r="K258" i="15"/>
  <c r="AK255" i="29" s="1"/>
  <c r="E259" i="15"/>
  <c r="S256" i="29" s="1"/>
  <c r="K259" i="15"/>
  <c r="AK256" i="29" s="1"/>
  <c r="E260" i="15"/>
  <c r="S257" i="29" s="1"/>
  <c r="K260" i="15"/>
  <c r="AK257" i="29" s="1"/>
  <c r="E261" i="15"/>
  <c r="S258" i="29" s="1"/>
  <c r="K261" i="15"/>
  <c r="AK258" i="29" s="1"/>
  <c r="D248" i="15"/>
  <c r="P245" i="29" s="1"/>
  <c r="J248" i="15"/>
  <c r="AH245" i="29" s="1"/>
  <c r="D249" i="15"/>
  <c r="P246" i="29" s="1"/>
  <c r="J249" i="15"/>
  <c r="AH246" i="29" s="1"/>
  <c r="D250" i="15"/>
  <c r="P247" i="29" s="1"/>
  <c r="J250" i="15"/>
  <c r="AH247" i="29" s="1"/>
  <c r="D251" i="15"/>
  <c r="P248" i="29" s="1"/>
  <c r="J251" i="15"/>
  <c r="AH248" i="29" s="1"/>
  <c r="D252" i="15"/>
  <c r="P249" i="29" s="1"/>
  <c r="J252" i="15"/>
  <c r="AH249" i="29" s="1"/>
  <c r="D253" i="15"/>
  <c r="P250" i="29" s="1"/>
  <c r="J253" i="15"/>
  <c r="AH250" i="29" s="1"/>
  <c r="D254" i="15"/>
  <c r="P251" i="29" s="1"/>
  <c r="J254" i="15"/>
  <c r="AH251" i="29" s="1"/>
  <c r="D255" i="15"/>
  <c r="P252" i="29" s="1"/>
  <c r="J255" i="15"/>
  <c r="AH252" i="29" s="1"/>
  <c r="D256" i="15"/>
  <c r="P253" i="29" s="1"/>
  <c r="J256" i="15"/>
  <c r="AH253" i="29" s="1"/>
  <c r="D257" i="15"/>
  <c r="P254" i="29" s="1"/>
  <c r="J257" i="15"/>
  <c r="AH254" i="29" s="1"/>
  <c r="D258" i="15"/>
  <c r="P255" i="29" s="1"/>
  <c r="J258" i="15"/>
  <c r="AH255" i="29" s="1"/>
  <c r="D259" i="15"/>
  <c r="P256" i="29" s="1"/>
  <c r="J259" i="15"/>
  <c r="AH256" i="29" s="1"/>
  <c r="D260" i="15"/>
  <c r="P257" i="29" s="1"/>
  <c r="J260" i="15"/>
  <c r="AH257" i="29" s="1"/>
  <c r="D261" i="15"/>
  <c r="P258" i="29" s="1"/>
  <c r="J261" i="15"/>
  <c r="AH258" i="29" s="1"/>
  <c r="C248" i="15"/>
  <c r="M245" i="29" s="1"/>
  <c r="I248" i="15"/>
  <c r="AE245" i="29" s="1"/>
  <c r="C249" i="15"/>
  <c r="M246" i="29" s="1"/>
  <c r="I249" i="15"/>
  <c r="AE246" i="29" s="1"/>
  <c r="C250" i="15"/>
  <c r="M247" i="29" s="1"/>
  <c r="I250" i="15"/>
  <c r="AE247" i="29" s="1"/>
  <c r="C251" i="15"/>
  <c r="M248" i="29" s="1"/>
  <c r="I251" i="15"/>
  <c r="AE248" i="29" s="1"/>
  <c r="C252" i="15"/>
  <c r="M249" i="29" s="1"/>
  <c r="I252" i="15"/>
  <c r="AE249" i="29" s="1"/>
  <c r="C253" i="15"/>
  <c r="M250" i="29" s="1"/>
  <c r="I253" i="15"/>
  <c r="AE250" i="29" s="1"/>
  <c r="C254" i="15"/>
  <c r="M251" i="29" s="1"/>
  <c r="I254" i="15"/>
  <c r="AE251" i="29" s="1"/>
  <c r="C255" i="15"/>
  <c r="M252" i="29" s="1"/>
  <c r="I255" i="15"/>
  <c r="AE252" i="29" s="1"/>
  <c r="C256" i="15"/>
  <c r="M253" i="29" s="1"/>
  <c r="I256" i="15"/>
  <c r="AE253" i="29" s="1"/>
  <c r="C257" i="15"/>
  <c r="M254" i="29" s="1"/>
  <c r="I257" i="15"/>
  <c r="AE254" i="29" s="1"/>
  <c r="C258" i="15"/>
  <c r="M255" i="29" s="1"/>
  <c r="I258" i="15"/>
  <c r="AE255" i="29" s="1"/>
  <c r="C259" i="15"/>
  <c r="M256" i="29" s="1"/>
  <c r="I259" i="15"/>
  <c r="AE256" i="29" s="1"/>
  <c r="C260" i="15"/>
  <c r="M257" i="29" s="1"/>
  <c r="I260" i="15"/>
  <c r="AE257" i="29" s="1"/>
  <c r="C261" i="15"/>
  <c r="M258" i="29" s="1"/>
  <c r="I261" i="15"/>
  <c r="AE258" i="29" s="1"/>
  <c r="N102" i="15"/>
  <c r="H104"/>
  <c r="AB101" i="29" s="1"/>
  <c r="H95" i="15"/>
  <c r="AB92" i="29" s="1"/>
  <c r="N261" i="15"/>
  <c r="N258"/>
  <c r="N255"/>
  <c r="N252"/>
  <c r="N249"/>
  <c r="H286"/>
  <c r="AB283" i="29" s="1"/>
  <c r="H277" i="15"/>
  <c r="AB274" i="29" s="1"/>
  <c r="N105" i="15"/>
  <c r="N96"/>
  <c r="H259"/>
  <c r="AB256" i="29" s="1"/>
  <c r="H256" i="15"/>
  <c r="AB253" i="29" s="1"/>
  <c r="H253" i="15"/>
  <c r="AB250" i="29" s="1"/>
  <c r="H250" i="15"/>
  <c r="AB247" i="29" s="1"/>
  <c r="N287" i="15"/>
  <c r="N278"/>
  <c r="AB476" i="29"/>
  <c r="M148" i="15"/>
  <c r="AQ145" i="29" s="1"/>
  <c r="G147" i="15"/>
  <c r="Y144" i="29" s="1"/>
  <c r="M145" i="15"/>
  <c r="AQ142" i="29" s="1"/>
  <c r="G144" i="15"/>
  <c r="Y141" i="29" s="1"/>
  <c r="M142" i="15"/>
  <c r="AQ139" i="29" s="1"/>
  <c r="H177" i="15"/>
  <c r="AB174" i="29" s="1"/>
  <c r="M176" i="15"/>
  <c r="AQ173" i="29" s="1"/>
  <c r="E176" i="15"/>
  <c r="S173" i="29" s="1"/>
  <c r="J175" i="15"/>
  <c r="AH172" i="29" s="1"/>
  <c r="C175" i="15"/>
  <c r="M172" i="29" s="1"/>
  <c r="H174" i="15"/>
  <c r="AB171" i="29" s="1"/>
  <c r="M173" i="15"/>
  <c r="AQ170" i="29" s="1"/>
  <c r="E173" i="15"/>
  <c r="S170" i="29" s="1"/>
  <c r="J172" i="15"/>
  <c r="AH169" i="29" s="1"/>
  <c r="H205" i="15"/>
  <c r="AB202" i="29" s="1"/>
  <c r="M204" i="15"/>
  <c r="AQ201" i="29" s="1"/>
  <c r="E204" i="15"/>
  <c r="S201" i="29" s="1"/>
  <c r="J203" i="15"/>
  <c r="AH200" i="29" s="1"/>
  <c r="C203" i="15"/>
  <c r="M200" i="29" s="1"/>
  <c r="H202" i="15"/>
  <c r="AB199" i="29" s="1"/>
  <c r="M201" i="15"/>
  <c r="AQ198" i="29" s="1"/>
  <c r="E201" i="15"/>
  <c r="S198" i="29" s="1"/>
  <c r="J200" i="15"/>
  <c r="AH197" i="29" s="1"/>
  <c r="C200" i="15"/>
  <c r="M197" i="29" s="1"/>
  <c r="H199" i="15"/>
  <c r="AB196" i="29" s="1"/>
  <c r="M198" i="15"/>
  <c r="AQ195" i="29" s="1"/>
  <c r="E198" i="15"/>
  <c r="S195" i="29" s="1"/>
  <c r="J197" i="15"/>
  <c r="AH194" i="29" s="1"/>
  <c r="C197" i="15"/>
  <c r="M194" i="29" s="1"/>
  <c r="H196" i="15"/>
  <c r="AB193" i="29" s="1"/>
  <c r="M195" i="15"/>
  <c r="AQ192" i="29" s="1"/>
  <c r="E195" i="15"/>
  <c r="S192" i="29" s="1"/>
  <c r="J194" i="15"/>
  <c r="AH191" i="29" s="1"/>
  <c r="C194" i="15"/>
  <c r="M191" i="29" s="1"/>
  <c r="I275" i="15"/>
  <c r="AE272" i="29" s="1"/>
  <c r="N274" i="15"/>
  <c r="G274"/>
  <c r="Y271" i="29" s="1"/>
  <c r="K273" i="15"/>
  <c r="AK270" i="29" s="1"/>
  <c r="D273" i="15"/>
  <c r="P270" i="29" s="1"/>
  <c r="I272" i="15"/>
  <c r="AE269" i="29" s="1"/>
  <c r="N271" i="15"/>
  <c r="G271"/>
  <c r="Y268" i="29" s="1"/>
  <c r="K270" i="15"/>
  <c r="AK267" i="29" s="1"/>
  <c r="D270" i="15"/>
  <c r="P267" i="29" s="1"/>
  <c r="I269" i="15"/>
  <c r="AE266" i="29" s="1"/>
  <c r="N268" i="15"/>
  <c r="G268"/>
  <c r="Y265" i="29" s="1"/>
  <c r="K267" i="15"/>
  <c r="AK264" i="29" s="1"/>
  <c r="D267" i="15"/>
  <c r="P264" i="29" s="1"/>
  <c r="I266" i="15"/>
  <c r="AE263" i="29" s="1"/>
  <c r="N265" i="15"/>
  <c r="G265"/>
  <c r="Y262" i="29" s="1"/>
  <c r="K264" i="15"/>
  <c r="AK261" i="29" s="1"/>
  <c r="D264" i="15"/>
  <c r="P261" i="29" s="1"/>
  <c r="I263" i="15"/>
  <c r="AE260" i="29" s="1"/>
  <c r="N262" i="15"/>
  <c r="G262"/>
  <c r="Y259" i="29" s="1"/>
  <c r="N302" i="15"/>
  <c r="H301"/>
  <c r="AB298" i="29" s="1"/>
  <c r="N299" i="15"/>
  <c r="H298"/>
  <c r="AB295" i="29" s="1"/>
  <c r="N296" i="15"/>
  <c r="H295"/>
  <c r="AB292" i="29" s="1"/>
  <c r="N293" i="15"/>
  <c r="K292"/>
  <c r="AK289" i="29" s="1"/>
  <c r="H291" i="15"/>
  <c r="AB288" i="29" s="1"/>
  <c r="H290" i="15"/>
  <c r="AB287" i="29" s="1"/>
  <c r="M317" i="15"/>
  <c r="AQ314" i="29" s="1"/>
  <c r="G316" i="15"/>
  <c r="Y313" i="29" s="1"/>
  <c r="M314" i="15"/>
  <c r="AQ311" i="29" s="1"/>
  <c r="G313" i="15"/>
  <c r="Y310" i="29" s="1"/>
  <c r="M311" i="15"/>
  <c r="AQ308" i="29" s="1"/>
  <c r="G310" i="15"/>
  <c r="Y307" i="29" s="1"/>
  <c r="M308" i="15"/>
  <c r="AQ305" i="29" s="1"/>
  <c r="G307" i="15"/>
  <c r="Y304" i="29" s="1"/>
  <c r="M305" i="15"/>
  <c r="AQ302" i="29" s="1"/>
  <c r="G304" i="15"/>
  <c r="Y301" i="29" s="1"/>
  <c r="N330" i="15"/>
  <c r="H329"/>
  <c r="AB326" i="29" s="1"/>
  <c r="N327" i="15"/>
  <c r="H326"/>
  <c r="AB323" i="29" s="1"/>
  <c r="N324" i="15"/>
  <c r="H323"/>
  <c r="AB320" i="29" s="1"/>
  <c r="N321" i="15"/>
  <c r="H320"/>
  <c r="AB317" i="29" s="1"/>
  <c r="N318" i="15"/>
  <c r="M345"/>
  <c r="AQ342" i="29" s="1"/>
  <c r="G344" i="15"/>
  <c r="Y341" i="29" s="1"/>
  <c r="M342" i="15"/>
  <c r="AQ339" i="29" s="1"/>
  <c r="G341" i="15"/>
  <c r="Y338" i="29" s="1"/>
  <c r="M339" i="15"/>
  <c r="AQ336" i="29" s="1"/>
  <c r="G338" i="15"/>
  <c r="Y335" i="29" s="1"/>
  <c r="M336" i="15"/>
  <c r="AQ333" i="29" s="1"/>
  <c r="G335" i="15"/>
  <c r="Y332" i="29" s="1"/>
  <c r="M333" i="15"/>
  <c r="AQ330" i="29" s="1"/>
  <c r="G332" i="15"/>
  <c r="Y329" i="29" s="1"/>
  <c r="N358" i="15"/>
  <c r="H357"/>
  <c r="AB354" i="29" s="1"/>
  <c r="N355" i="15"/>
  <c r="H354"/>
  <c r="AB351" i="29" s="1"/>
  <c r="N352" i="15"/>
  <c r="H351"/>
  <c r="AB348" i="29" s="1"/>
  <c r="G350" i="15"/>
  <c r="Y347" i="29" s="1"/>
  <c r="G349" i="15"/>
  <c r="Y346" i="29" s="1"/>
  <c r="H348" i="15"/>
  <c r="AB345" i="29" s="1"/>
  <c r="K347" i="15"/>
  <c r="AK344" i="29" s="1"/>
  <c r="N346" i="15"/>
  <c r="E346"/>
  <c r="S343" i="29" s="1"/>
  <c r="G373" i="15"/>
  <c r="Y370" i="29" s="1"/>
  <c r="M371" i="15"/>
  <c r="AQ368" i="29" s="1"/>
  <c r="G370" i="15"/>
  <c r="Y367" i="29" s="1"/>
  <c r="M368" i="15"/>
  <c r="AQ365" i="29" s="1"/>
  <c r="G367" i="15"/>
  <c r="Y364" i="29" s="1"/>
  <c r="M365" i="15"/>
  <c r="AQ362" i="29" s="1"/>
  <c r="G364" i="15"/>
  <c r="Y361" i="29" s="1"/>
  <c r="M362" i="15"/>
  <c r="AQ359" i="29" s="1"/>
  <c r="G361" i="15"/>
  <c r="Y358" i="29" s="1"/>
  <c r="M401" i="15"/>
  <c r="AQ398" i="29" s="1"/>
  <c r="C401" i="15"/>
  <c r="M398" i="29" s="1"/>
  <c r="G400" i="15"/>
  <c r="Y397" i="29" s="1"/>
  <c r="I399" i="15"/>
  <c r="AE396" i="29" s="1"/>
  <c r="M398" i="15"/>
  <c r="AQ395" i="29" s="1"/>
  <c r="C398" i="15"/>
  <c r="M395" i="29" s="1"/>
  <c r="G397" i="15"/>
  <c r="Y394" i="29" s="1"/>
  <c r="I396" i="15"/>
  <c r="AE393" i="29" s="1"/>
  <c r="M395" i="15"/>
  <c r="AQ392" i="29" s="1"/>
  <c r="C395" i="15"/>
  <c r="M392" i="29" s="1"/>
  <c r="G394" i="15"/>
  <c r="Y391" i="29" s="1"/>
  <c r="I393" i="15"/>
  <c r="AE390" i="29" s="1"/>
  <c r="M392" i="15"/>
  <c r="AQ389" i="29" s="1"/>
  <c r="C392" i="15"/>
  <c r="M389" i="29" s="1"/>
  <c r="G391" i="15"/>
  <c r="Y388" i="29" s="1"/>
  <c r="I390" i="15"/>
  <c r="AE387" i="29" s="1"/>
  <c r="M389" i="15"/>
  <c r="AQ386" i="29" s="1"/>
  <c r="C389" i="15"/>
  <c r="M386" i="29" s="1"/>
  <c r="G388" i="15"/>
  <c r="Y385" i="29" s="1"/>
  <c r="M428" i="15"/>
  <c r="AQ425" i="29" s="1"/>
  <c r="G427" i="15"/>
  <c r="Y424" i="29" s="1"/>
  <c r="M425" i="15"/>
  <c r="AQ422" i="29" s="1"/>
  <c r="G424" i="15"/>
  <c r="Y421" i="29" s="1"/>
  <c r="M422" i="15"/>
  <c r="AQ419" i="29" s="1"/>
  <c r="G421" i="15"/>
  <c r="Y418" i="29" s="1"/>
  <c r="M419" i="15"/>
  <c r="AQ416" i="29" s="1"/>
  <c r="H418" i="15"/>
  <c r="AB415" i="29" s="1"/>
  <c r="H417" i="15"/>
  <c r="AB414" i="29" s="1"/>
  <c r="K416" i="15"/>
  <c r="AK413" i="29" s="1"/>
  <c r="N443" i="15"/>
  <c r="H442"/>
  <c r="AB439" i="29" s="1"/>
  <c r="N440" i="15"/>
  <c r="H439"/>
  <c r="AB436" i="29" s="1"/>
  <c r="N437" i="15"/>
  <c r="H436"/>
  <c r="AB433" i="29" s="1"/>
  <c r="N434" i="15"/>
  <c r="H433"/>
  <c r="AB430" i="29" s="1"/>
  <c r="N431" i="15"/>
  <c r="H430"/>
  <c r="AB427" i="29" s="1"/>
  <c r="J457" i="15"/>
  <c r="AH454" i="29" s="1"/>
  <c r="C457" i="15"/>
  <c r="M454" i="29" s="1"/>
  <c r="H456" i="15"/>
  <c r="AB453" i="29" s="1"/>
  <c r="M455" i="15"/>
  <c r="AQ452" i="29" s="1"/>
  <c r="E455" i="15"/>
  <c r="S452" i="29" s="1"/>
  <c r="J454" i="15"/>
  <c r="AH451" i="29" s="1"/>
  <c r="C454" i="15"/>
  <c r="M451" i="29" s="1"/>
  <c r="H453" i="15"/>
  <c r="AB450" i="29" s="1"/>
  <c r="M452" i="15"/>
  <c r="AQ449" i="29" s="1"/>
  <c r="E452" i="15"/>
  <c r="S449" i="29" s="1"/>
  <c r="J451" i="15"/>
  <c r="AH448" i="29" s="1"/>
  <c r="C451" i="15"/>
  <c r="M448" i="29" s="1"/>
  <c r="H450" i="15"/>
  <c r="AB447" i="29" s="1"/>
  <c r="M449" i="15"/>
  <c r="AQ446" i="29" s="1"/>
  <c r="E449" i="15"/>
  <c r="S446" i="29" s="1"/>
  <c r="J448" i="15"/>
  <c r="AH445" i="29" s="1"/>
  <c r="C448" i="15"/>
  <c r="M445" i="29" s="1"/>
  <c r="H447" i="15"/>
  <c r="AB444" i="29" s="1"/>
  <c r="M446" i="15"/>
  <c r="AQ443" i="29" s="1"/>
  <c r="E446" i="15"/>
  <c r="S443" i="29" s="1"/>
  <c r="J445" i="15"/>
  <c r="AH442" i="29" s="1"/>
  <c r="C445" i="15"/>
  <c r="M442" i="29" s="1"/>
  <c r="H444" i="15"/>
  <c r="AB441" i="29" s="1"/>
  <c r="N471" i="15"/>
  <c r="H470"/>
  <c r="AB467" i="29" s="1"/>
  <c r="N468" i="15"/>
  <c r="H467"/>
  <c r="AB464" i="29" s="1"/>
  <c r="N465" i="15"/>
  <c r="H464"/>
  <c r="AB461" i="29" s="1"/>
  <c r="N462" i="15"/>
  <c r="H461"/>
  <c r="AB458" i="29" s="1"/>
  <c r="N459" i="15"/>
  <c r="H458"/>
  <c r="AB455" i="29" s="1"/>
  <c r="Y478"/>
  <c r="AQ476"/>
  <c r="Y475"/>
  <c r="AQ473"/>
  <c r="Y472"/>
  <c r="AQ470"/>
  <c r="Y469"/>
  <c r="H345" i="15"/>
  <c r="AB342" i="29" s="1"/>
  <c r="N340" i="15"/>
  <c r="H336"/>
  <c r="AB333" i="29" s="1"/>
  <c r="AB470"/>
  <c r="M75" i="15"/>
  <c r="AQ72" i="29" s="1"/>
  <c r="G71" i="15"/>
  <c r="Y68" i="29" s="1"/>
  <c r="M66" i="15"/>
  <c r="AQ63" i="29" s="1"/>
  <c r="H87" i="15"/>
  <c r="AB84" i="29" s="1"/>
  <c r="I135" i="15"/>
  <c r="AE132" i="29" s="1"/>
  <c r="C134" i="15"/>
  <c r="M131" i="29" s="1"/>
  <c r="I132" i="15"/>
  <c r="AE129" i="29" s="1"/>
  <c r="C131" i="15"/>
  <c r="I129"/>
  <c r="AE126" i="29" s="1"/>
  <c r="C128" i="15"/>
  <c r="M125" i="29" s="1"/>
  <c r="I126" i="15"/>
  <c r="AE123" i="29" s="1"/>
  <c r="C125" i="15"/>
  <c r="M122" i="29" s="1"/>
  <c r="I123" i="15"/>
  <c r="AE120" i="29" s="1"/>
  <c r="C122" i="15"/>
  <c r="M119" i="29" s="1"/>
  <c r="N148" i="15"/>
  <c r="H147"/>
  <c r="AB144" i="29" s="1"/>
  <c r="N145" i="15"/>
  <c r="H144"/>
  <c r="AB141" i="29" s="1"/>
  <c r="N142" i="15"/>
  <c r="H141"/>
  <c r="AB138" i="29" s="1"/>
  <c r="N139" i="15"/>
  <c r="H138"/>
  <c r="AB135" i="29" s="1"/>
  <c r="N136" i="15"/>
  <c r="M163"/>
  <c r="AQ160" i="29" s="1"/>
  <c r="G162" i="15"/>
  <c r="Y159" i="29" s="1"/>
  <c r="M160" i="15"/>
  <c r="AQ157" i="29" s="1"/>
  <c r="G159" i="15"/>
  <c r="Y156" i="29" s="1"/>
  <c r="M157" i="15"/>
  <c r="AQ154" i="29" s="1"/>
  <c r="G156" i="15"/>
  <c r="Y153" i="29" s="1"/>
  <c r="M154" i="15"/>
  <c r="AQ151" i="29" s="1"/>
  <c r="G153" i="15"/>
  <c r="Y150" i="29" s="1"/>
  <c r="M151" i="15"/>
  <c r="AQ148" i="29" s="1"/>
  <c r="G150" i="15"/>
  <c r="Y147" i="29" s="1"/>
  <c r="I177" i="15"/>
  <c r="AE174" i="29" s="1"/>
  <c r="N176" i="15"/>
  <c r="G176"/>
  <c r="Y173" i="29" s="1"/>
  <c r="K175" i="15"/>
  <c r="AK172" i="29" s="1"/>
  <c r="D175" i="15"/>
  <c r="P172" i="29" s="1"/>
  <c r="I174" i="15"/>
  <c r="AE171" i="29" s="1"/>
  <c r="N173" i="15"/>
  <c r="G173"/>
  <c r="Y170" i="29" s="1"/>
  <c r="K172" i="15"/>
  <c r="AK169" i="29" s="1"/>
  <c r="D172" i="15"/>
  <c r="P169" i="29" s="1"/>
  <c r="I171" i="15"/>
  <c r="AE168" i="29" s="1"/>
  <c r="N170" i="15"/>
  <c r="G170"/>
  <c r="Y167" i="29" s="1"/>
  <c r="K169" i="15"/>
  <c r="AK166" i="29" s="1"/>
  <c r="D169" i="15"/>
  <c r="P166" i="29" s="1"/>
  <c r="I168" i="15"/>
  <c r="AE165" i="29" s="1"/>
  <c r="N167" i="15"/>
  <c r="G167"/>
  <c r="Y164" i="29" s="1"/>
  <c r="K166" i="15"/>
  <c r="AK163" i="29" s="1"/>
  <c r="D166" i="15"/>
  <c r="P163" i="29" s="1"/>
  <c r="I165" i="15"/>
  <c r="AE162" i="29" s="1"/>
  <c r="N164" i="15"/>
  <c r="G164"/>
  <c r="M191"/>
  <c r="AQ188" i="29" s="1"/>
  <c r="G190" i="15"/>
  <c r="Y187" i="29" s="1"/>
  <c r="M188" i="15"/>
  <c r="AQ185" i="29" s="1"/>
  <c r="G187" i="15"/>
  <c r="Y184" i="29" s="1"/>
  <c r="M185" i="15"/>
  <c r="AQ182" i="29" s="1"/>
  <c r="G184" i="15"/>
  <c r="Y181" i="29" s="1"/>
  <c r="M182" i="15"/>
  <c r="AQ179" i="29" s="1"/>
  <c r="G181" i="15"/>
  <c r="Y178" i="29" s="1"/>
  <c r="M179" i="15"/>
  <c r="AQ176" i="29" s="1"/>
  <c r="G178" i="15"/>
  <c r="Y175" i="29" s="1"/>
  <c r="I205" i="15"/>
  <c r="AE202" i="29" s="1"/>
  <c r="N204" i="15"/>
  <c r="G204"/>
  <c r="Y201" i="29" s="1"/>
  <c r="K203" i="15"/>
  <c r="AK200" i="29" s="1"/>
  <c r="D203" i="15"/>
  <c r="P200" i="29" s="1"/>
  <c r="I202" i="15"/>
  <c r="AE199" i="29" s="1"/>
  <c r="N201" i="15"/>
  <c r="G201"/>
  <c r="Y198" i="29" s="1"/>
  <c r="K200" i="15"/>
  <c r="AK197" i="29" s="1"/>
  <c r="D200" i="15"/>
  <c r="P197" i="29" s="1"/>
  <c r="I199" i="15"/>
  <c r="AE196" i="29" s="1"/>
  <c r="N198" i="15"/>
  <c r="G198"/>
  <c r="Y195" i="29" s="1"/>
  <c r="K197" i="15"/>
  <c r="AK194" i="29" s="1"/>
  <c r="D197" i="15"/>
  <c r="P194" i="29" s="1"/>
  <c r="I196" i="15"/>
  <c r="AE193" i="29" s="1"/>
  <c r="N195" i="15"/>
  <c r="G195"/>
  <c r="Y192" i="29" s="1"/>
  <c r="K194" i="15"/>
  <c r="AK191" i="29" s="1"/>
  <c r="D194" i="15"/>
  <c r="P191" i="29" s="1"/>
  <c r="I193" i="15"/>
  <c r="AE190" i="29" s="1"/>
  <c r="N192" i="15"/>
  <c r="G192"/>
  <c r="Y189" i="29" s="1"/>
  <c r="M219" i="15"/>
  <c r="AQ216" i="29" s="1"/>
  <c r="G218" i="15"/>
  <c r="Y215" i="29" s="1"/>
  <c r="M216" i="15"/>
  <c r="AQ213" i="29" s="1"/>
  <c r="G215" i="15"/>
  <c r="Y212" i="29" s="1"/>
  <c r="M213" i="15"/>
  <c r="AQ210" i="29" s="1"/>
  <c r="G212" i="15"/>
  <c r="Y209" i="29" s="1"/>
  <c r="M210" i="15"/>
  <c r="AQ207" i="29" s="1"/>
  <c r="G209" i="15"/>
  <c r="Y206" i="29" s="1"/>
  <c r="M207" i="15"/>
  <c r="AQ204" i="29" s="1"/>
  <c r="G206" i="15"/>
  <c r="Y203" i="29" s="1"/>
  <c r="J275" i="15"/>
  <c r="AH272" i="29" s="1"/>
  <c r="C275" i="15"/>
  <c r="M272" i="29" s="1"/>
  <c r="H274" i="15"/>
  <c r="AB271" i="29" s="1"/>
  <c r="M273" i="15"/>
  <c r="AQ270" i="29" s="1"/>
  <c r="E273" i="15"/>
  <c r="S270" i="29" s="1"/>
  <c r="J272" i="15"/>
  <c r="AH269" i="29" s="1"/>
  <c r="C272" i="15"/>
  <c r="M269" i="29" s="1"/>
  <c r="H271" i="15"/>
  <c r="AB268" i="29" s="1"/>
  <c r="M270" i="15"/>
  <c r="AQ267" i="29" s="1"/>
  <c r="E270" i="15"/>
  <c r="S267" i="29" s="1"/>
  <c r="J269" i="15"/>
  <c r="AH266" i="29" s="1"/>
  <c r="C269" i="15"/>
  <c r="M266" i="29" s="1"/>
  <c r="H268" i="15"/>
  <c r="AB265" i="29" s="1"/>
  <c r="M267" i="15"/>
  <c r="AQ264" i="29" s="1"/>
  <c r="E267" i="15"/>
  <c r="S264" i="29" s="1"/>
  <c r="J266" i="15"/>
  <c r="AH263" i="29" s="1"/>
  <c r="C266" i="15"/>
  <c r="M263" i="29" s="1"/>
  <c r="H265" i="15"/>
  <c r="AB262" i="29" s="1"/>
  <c r="M264" i="15"/>
  <c r="AQ261" i="29" s="1"/>
  <c r="E264" i="15"/>
  <c r="S261" i="29" s="1"/>
  <c r="J263" i="15"/>
  <c r="AH260" i="29" s="1"/>
  <c r="C263" i="15"/>
  <c r="M260" i="29" s="1"/>
  <c r="H262" i="15"/>
  <c r="AB259" i="29" s="1"/>
  <c r="N317" i="15"/>
  <c r="H316"/>
  <c r="AB313" i="29" s="1"/>
  <c r="N314" i="15"/>
  <c r="H313"/>
  <c r="AB310" i="29" s="1"/>
  <c r="N311" i="15"/>
  <c r="H310"/>
  <c r="AB307" i="29" s="1"/>
  <c r="N308" i="15"/>
  <c r="H307"/>
  <c r="AB304" i="29" s="1"/>
  <c r="N305" i="15"/>
  <c r="H304"/>
  <c r="AB301" i="29" s="1"/>
  <c r="N345" i="15"/>
  <c r="H344"/>
  <c r="AB341" i="29" s="1"/>
  <c r="N342" i="15"/>
  <c r="H341"/>
  <c r="AB338" i="29" s="1"/>
  <c r="N339" i="15"/>
  <c r="H338"/>
  <c r="AB335" i="29" s="1"/>
  <c r="N336" i="15"/>
  <c r="H335"/>
  <c r="AB332" i="29" s="1"/>
  <c r="N333" i="15"/>
  <c r="H332"/>
  <c r="AB329" i="29" s="1"/>
  <c r="G359" i="15"/>
  <c r="Y356" i="29" s="1"/>
  <c r="M357" i="15"/>
  <c r="AQ354" i="29" s="1"/>
  <c r="M442" i="15"/>
  <c r="AQ439" i="29" s="1"/>
  <c r="G441" i="15"/>
  <c r="M439"/>
  <c r="AQ436" i="29" s="1"/>
  <c r="G438" i="15"/>
  <c r="Y435" i="29" s="1"/>
  <c r="M436" i="15"/>
  <c r="AQ433" i="29" s="1"/>
  <c r="G435" i="15"/>
  <c r="Y432" i="29" s="1"/>
  <c r="M433" i="15"/>
  <c r="AQ430" i="29" s="1"/>
  <c r="G432" i="15"/>
  <c r="Y429" i="29" s="1"/>
  <c r="M430" i="15"/>
  <c r="AQ427" i="29" s="1"/>
  <c r="M470" i="15"/>
  <c r="AQ467" i="29" s="1"/>
  <c r="G469" i="15"/>
  <c r="Y466" i="29" s="1"/>
  <c r="M467" i="15"/>
  <c r="AQ464" i="29" s="1"/>
  <c r="G466" i="15"/>
  <c r="Y463" i="29" s="1"/>
  <c r="M464" i="15"/>
  <c r="AQ461" i="29" s="1"/>
  <c r="G463" i="15"/>
  <c r="Y460" i="29" s="1"/>
  <c r="M461" i="15"/>
  <c r="AQ458" i="29" s="1"/>
  <c r="G460" i="15"/>
  <c r="Y457" i="29" s="1"/>
  <c r="M458" i="15"/>
  <c r="AQ455" i="29" s="1"/>
  <c r="AB478"/>
  <c r="AB475"/>
  <c r="AB472"/>
  <c r="AB469"/>
  <c r="H76" i="15"/>
  <c r="AB73" i="29" s="1"/>
  <c r="N71" i="15"/>
  <c r="H67"/>
  <c r="AB64" i="29" s="1"/>
  <c r="N135" i="15"/>
  <c r="H134"/>
  <c r="AB131" i="29" s="1"/>
  <c r="N132" i="15"/>
  <c r="H131"/>
  <c r="AB128" i="29" s="1"/>
  <c r="N129" i="15"/>
  <c r="H128"/>
  <c r="AB125" i="29" s="1"/>
  <c r="N126" i="15"/>
  <c r="H125"/>
  <c r="AB122" i="29" s="1"/>
  <c r="N123" i="15"/>
  <c r="H122"/>
  <c r="AB119" i="29" s="1"/>
  <c r="G149" i="15"/>
  <c r="Y146" i="29" s="1"/>
  <c r="M147" i="15"/>
  <c r="AQ144" i="29" s="1"/>
  <c r="G146" i="15"/>
  <c r="Y143" i="29" s="1"/>
  <c r="M144" i="15"/>
  <c r="AQ141" i="29" s="1"/>
  <c r="G143" i="15"/>
  <c r="Y140" i="29" s="1"/>
  <c r="M141" i="15"/>
  <c r="AQ138" i="29" s="1"/>
  <c r="G140" i="15"/>
  <c r="Y137" i="29" s="1"/>
  <c r="M138" i="15"/>
  <c r="AQ135" i="29" s="1"/>
  <c r="G137" i="15"/>
  <c r="Y134" i="29" s="1"/>
  <c r="N163" i="15"/>
  <c r="H162"/>
  <c r="AB159" i="29" s="1"/>
  <c r="N160" i="15"/>
  <c r="H159"/>
  <c r="AB156" i="29" s="1"/>
  <c r="N157" i="15"/>
  <c r="H156"/>
  <c r="AB153" i="29" s="1"/>
  <c r="N154" i="15"/>
  <c r="H153"/>
  <c r="AB150" i="29" s="1"/>
  <c r="N151" i="15"/>
  <c r="H150"/>
  <c r="AB147" i="29" s="1"/>
  <c r="J177" i="15"/>
  <c r="AH174" i="29" s="1"/>
  <c r="C177" i="15"/>
  <c r="M174" i="29" s="1"/>
  <c r="H176" i="15"/>
  <c r="AB173" i="29" s="1"/>
  <c r="M175" i="15"/>
  <c r="AQ172" i="29" s="1"/>
  <c r="E175" i="15"/>
  <c r="S172" i="29" s="1"/>
  <c r="J174" i="15"/>
  <c r="AH171" i="29" s="1"/>
  <c r="C174" i="15"/>
  <c r="M171" i="29" s="1"/>
  <c r="H173" i="15"/>
  <c r="AB170" i="29" s="1"/>
  <c r="M172" i="15"/>
  <c r="AQ169" i="29" s="1"/>
  <c r="E172" i="15"/>
  <c r="S169" i="29" s="1"/>
  <c r="J171" i="15"/>
  <c r="AH168" i="29" s="1"/>
  <c r="C171" i="15"/>
  <c r="M168" i="29" s="1"/>
  <c r="H170" i="15"/>
  <c r="AB167" i="29" s="1"/>
  <c r="M169" i="15"/>
  <c r="AQ166" i="29" s="1"/>
  <c r="E169" i="15"/>
  <c r="S166" i="29" s="1"/>
  <c r="J168" i="15"/>
  <c r="AH165" i="29" s="1"/>
  <c r="C168" i="15"/>
  <c r="M165" i="29" s="1"/>
  <c r="H167" i="15"/>
  <c r="AB164" i="29" s="1"/>
  <c r="M166" i="15"/>
  <c r="AQ163" i="29" s="1"/>
  <c r="E166" i="15"/>
  <c r="S163" i="29" s="1"/>
  <c r="J165" i="15"/>
  <c r="AH162" i="29" s="1"/>
  <c r="C165" i="15"/>
  <c r="M162" i="29" s="1"/>
  <c r="H164" i="15"/>
  <c r="AB161" i="29" s="1"/>
  <c r="N191" i="15"/>
  <c r="H190"/>
  <c r="AB187" i="29" s="1"/>
  <c r="N188" i="15"/>
  <c r="H187"/>
  <c r="AB184" i="29" s="1"/>
  <c r="N185" i="15"/>
  <c r="H184"/>
  <c r="AB181" i="29" s="1"/>
  <c r="N182" i="15"/>
  <c r="H181"/>
  <c r="AB178" i="29" s="1"/>
  <c r="N179" i="15"/>
  <c r="H178"/>
  <c r="AB175" i="29" s="1"/>
  <c r="M316" i="15"/>
  <c r="AQ313" i="29" s="1"/>
  <c r="G315" i="15"/>
  <c r="Y312" i="29" s="1"/>
  <c r="M313" i="15"/>
  <c r="AQ310" i="29" s="1"/>
  <c r="G312" i="15"/>
  <c r="Y309" i="29" s="1"/>
  <c r="M310" i="15"/>
  <c r="AQ307" i="29" s="1"/>
  <c r="G309" i="15"/>
  <c r="Y306" i="29" s="1"/>
  <c r="M307" i="15"/>
  <c r="AQ304" i="29" s="1"/>
  <c r="G306" i="15"/>
  <c r="Y303" i="29" s="1"/>
  <c r="M304" i="15"/>
  <c r="AQ301" i="29" s="1"/>
  <c r="M344" i="15"/>
  <c r="AQ341" i="29" s="1"/>
  <c r="G343" i="15"/>
  <c r="Y340" i="29" s="1"/>
  <c r="M341" i="15"/>
  <c r="AQ338" i="29" s="1"/>
  <c r="G340" i="15"/>
  <c r="Y337" i="29" s="1"/>
  <c r="M338" i="15"/>
  <c r="AQ335" i="29" s="1"/>
  <c r="G337" i="15"/>
  <c r="Y334" i="29" s="1"/>
  <c r="M335" i="15"/>
  <c r="AQ332" i="29" s="1"/>
  <c r="G334" i="15"/>
  <c r="Y331" i="29" s="1"/>
  <c r="M332" i="15"/>
  <c r="AQ329" i="29" s="1"/>
  <c r="H359" i="15"/>
  <c r="AB356" i="29" s="1"/>
  <c r="N357" i="15"/>
  <c r="H356"/>
  <c r="AB353" i="29" s="1"/>
  <c r="N354" i="15"/>
  <c r="H353"/>
  <c r="AB350" i="29" s="1"/>
  <c r="N351" i="15"/>
  <c r="I350"/>
  <c r="AE347" i="29" s="1"/>
  <c r="I349" i="15"/>
  <c r="AE346" i="29" s="1"/>
  <c r="K348" i="15"/>
  <c r="AK345" i="29" s="1"/>
  <c r="N347" i="15"/>
  <c r="E347"/>
  <c r="S344" i="29" s="1"/>
  <c r="H346" i="15"/>
  <c r="AB343" i="29" s="1"/>
  <c r="M373" i="15"/>
  <c r="AQ370" i="29" s="1"/>
  <c r="G372" i="15"/>
  <c r="Y369" i="29" s="1"/>
  <c r="M370" i="15"/>
  <c r="AQ367" i="29" s="1"/>
  <c r="G369" i="15"/>
  <c r="Y366" i="29" s="1"/>
  <c r="M367" i="15"/>
  <c r="AQ364" i="29" s="1"/>
  <c r="G366" i="15"/>
  <c r="Y363" i="29" s="1"/>
  <c r="M364" i="15"/>
  <c r="AQ361" i="29" s="1"/>
  <c r="G363" i="15"/>
  <c r="Y360" i="29" s="1"/>
  <c r="M361" i="15"/>
  <c r="AQ358" i="29" s="1"/>
  <c r="G360" i="15"/>
  <c r="Y357" i="29" s="1"/>
  <c r="G401" i="15"/>
  <c r="Y398" i="29" s="1"/>
  <c r="I400" i="15"/>
  <c r="AE397" i="29" s="1"/>
  <c r="M399" i="15"/>
  <c r="AQ396" i="29" s="1"/>
  <c r="C399" i="15"/>
  <c r="M396" i="29" s="1"/>
  <c r="G398" i="15"/>
  <c r="Y395" i="29" s="1"/>
  <c r="I397" i="15"/>
  <c r="AE394" i="29" s="1"/>
  <c r="M396" i="15"/>
  <c r="AQ393" i="29" s="1"/>
  <c r="C396" i="15"/>
  <c r="M393" i="29" s="1"/>
  <c r="G395" i="15"/>
  <c r="Y392" i="29" s="1"/>
  <c r="I394" i="15"/>
  <c r="AE391" i="29" s="1"/>
  <c r="M393" i="15"/>
  <c r="AQ390" i="29" s="1"/>
  <c r="C393" i="15"/>
  <c r="M390" i="29" s="1"/>
  <c r="G392" i="15"/>
  <c r="Y389" i="29" s="1"/>
  <c r="I391" i="15"/>
  <c r="AE388" i="29" s="1"/>
  <c r="M390" i="15"/>
  <c r="AQ387" i="29" s="1"/>
  <c r="C390" i="15"/>
  <c r="M387" i="29" s="1"/>
  <c r="G389" i="15"/>
  <c r="Y386" i="29" s="1"/>
  <c r="I388" i="15"/>
  <c r="AE385" i="29" s="1"/>
  <c r="N415" i="15"/>
  <c r="H414"/>
  <c r="AB411" i="29" s="1"/>
  <c r="N412" i="15"/>
  <c r="H411"/>
  <c r="AB408" i="29" s="1"/>
  <c r="N409" i="15"/>
  <c r="H408"/>
  <c r="AB405" i="29" s="1"/>
  <c r="N406" i="15"/>
  <c r="H405"/>
  <c r="AB402" i="29" s="1"/>
  <c r="N403" i="15"/>
  <c r="H402"/>
  <c r="AB399" i="29" s="1"/>
  <c r="G429" i="15"/>
  <c r="Y426" i="29" s="1"/>
  <c r="M427" i="15"/>
  <c r="AQ424" i="29" s="1"/>
  <c r="G426" i="15"/>
  <c r="Y423" i="29" s="1"/>
  <c r="M424" i="15"/>
  <c r="AQ421" i="29" s="1"/>
  <c r="G423" i="15"/>
  <c r="Y420" i="29" s="1"/>
  <c r="M421" i="15"/>
  <c r="AQ418" i="29" s="1"/>
  <c r="G420" i="15"/>
  <c r="Y417" i="29" s="1"/>
  <c r="M418" i="15"/>
  <c r="AQ415" i="29" s="1"/>
  <c r="M417" i="15"/>
  <c r="AQ414" i="29" s="1"/>
  <c r="N416" i="15"/>
  <c r="C416"/>
  <c r="M413" i="29" s="1"/>
  <c r="N442" i="15"/>
  <c r="H441"/>
  <c r="N439"/>
  <c r="H438"/>
  <c r="AB435" i="29" s="1"/>
  <c r="N436" i="15"/>
  <c r="H435"/>
  <c r="AB432" i="29" s="1"/>
  <c r="N433" i="15"/>
  <c r="H432"/>
  <c r="AB429" i="29" s="1"/>
  <c r="N430" i="15"/>
  <c r="M457"/>
  <c r="AQ454" i="29" s="1"/>
  <c r="E457" i="15"/>
  <c r="S454" i="29" s="1"/>
  <c r="J456" i="15"/>
  <c r="AH453" i="29" s="1"/>
  <c r="C456" i="15"/>
  <c r="M453" i="29" s="1"/>
  <c r="H455" i="15"/>
  <c r="AB452" i="29" s="1"/>
  <c r="M454" i="15"/>
  <c r="AQ451" i="29" s="1"/>
  <c r="E454" i="15"/>
  <c r="S451" i="29" s="1"/>
  <c r="J453" i="15"/>
  <c r="AH450" i="29" s="1"/>
  <c r="C453" i="15"/>
  <c r="M450" i="29" s="1"/>
  <c r="H452" i="15"/>
  <c r="AB449" i="29" s="1"/>
  <c r="M451" i="15"/>
  <c r="AQ448" i="29" s="1"/>
  <c r="E451" i="15"/>
  <c r="S448" i="29" s="1"/>
  <c r="J450" i="15"/>
  <c r="AH447" i="29" s="1"/>
  <c r="C450" i="15"/>
  <c r="M447" i="29" s="1"/>
  <c r="H449" i="15"/>
  <c r="AB446" i="29" s="1"/>
  <c r="M448" i="15"/>
  <c r="AQ445" i="29" s="1"/>
  <c r="E448" i="15"/>
  <c r="S445" i="29" s="1"/>
  <c r="J447" i="15"/>
  <c r="AH444" i="29" s="1"/>
  <c r="C447" i="15"/>
  <c r="M444" i="29" s="1"/>
  <c r="H446" i="15"/>
  <c r="AB443" i="29" s="1"/>
  <c r="M445" i="15"/>
  <c r="AQ442" i="29" s="1"/>
  <c r="E445" i="15"/>
  <c r="S442" i="29" s="1"/>
  <c r="J444" i="15"/>
  <c r="AH441" i="29" s="1"/>
  <c r="C444" i="15"/>
  <c r="M441" i="29" s="1"/>
  <c r="N470" i="15"/>
  <c r="H469"/>
  <c r="AB466" i="29" s="1"/>
  <c r="N467" i="15"/>
  <c r="H466"/>
  <c r="AB463" i="29" s="1"/>
  <c r="N464" i="15"/>
  <c r="H463"/>
  <c r="AB460" i="29" s="1"/>
  <c r="N461" i="15"/>
  <c r="H460"/>
  <c r="AB457" i="29" s="1"/>
  <c r="N458" i="15"/>
  <c r="AQ478" i="29"/>
  <c r="Y477"/>
  <c r="AQ475"/>
  <c r="Y474"/>
  <c r="AQ472"/>
  <c r="Y471"/>
  <c r="AQ469"/>
  <c r="H317" i="15"/>
  <c r="AB314" i="29" s="1"/>
  <c r="H314" i="15"/>
  <c r="AB311" i="29" s="1"/>
  <c r="N309" i="15"/>
  <c r="N306"/>
  <c r="N343"/>
  <c r="H339"/>
  <c r="AB336" i="29" s="1"/>
  <c r="N334" i="15"/>
  <c r="G77"/>
  <c r="Y74" i="29" s="1"/>
  <c r="M72" i="15"/>
  <c r="AQ69" i="29" s="1"/>
  <c r="G68" i="15"/>
  <c r="Y65" i="29" s="1"/>
  <c r="I134" i="15"/>
  <c r="AE131" i="29" s="1"/>
  <c r="C133" i="15"/>
  <c r="M130" i="29" s="1"/>
  <c r="I131" i="15"/>
  <c r="AE128" i="29" s="1"/>
  <c r="C130" i="15"/>
  <c r="M127" i="29" s="1"/>
  <c r="I128" i="15"/>
  <c r="AE125" i="29" s="1"/>
  <c r="C127" i="15"/>
  <c r="M124" i="29" s="1"/>
  <c r="I125" i="15"/>
  <c r="AE122" i="29" s="1"/>
  <c r="C124" i="15"/>
  <c r="M121" i="29" s="1"/>
  <c r="I122" i="15"/>
  <c r="AE119" i="29" s="1"/>
  <c r="M162" i="15"/>
  <c r="AQ159" i="29" s="1"/>
  <c r="G161" i="15"/>
  <c r="Y158" i="29" s="1"/>
  <c r="M159" i="15"/>
  <c r="AQ156" i="29" s="1"/>
  <c r="G158" i="15"/>
  <c r="Y155" i="29" s="1"/>
  <c r="M156" i="15"/>
  <c r="AQ153" i="29" s="1"/>
  <c r="G155" i="15"/>
  <c r="Y152" i="29" s="1"/>
  <c r="M153" i="15"/>
  <c r="AQ150" i="29" s="1"/>
  <c r="G152" i="15"/>
  <c r="Y149" i="29" s="1"/>
  <c r="M150" i="15"/>
  <c r="AQ147" i="29" s="1"/>
  <c r="M190" i="15"/>
  <c r="AQ187" i="29" s="1"/>
  <c r="G189" i="15"/>
  <c r="Y186" i="29" s="1"/>
  <c r="M187" i="15"/>
  <c r="AQ184" i="29" s="1"/>
  <c r="G186" i="15"/>
  <c r="Y183" i="29" s="1"/>
  <c r="M184" i="15"/>
  <c r="AQ181" i="29" s="1"/>
  <c r="G183" i="15"/>
  <c r="Y180" i="29" s="1"/>
  <c r="M181" i="15"/>
  <c r="AQ178" i="29" s="1"/>
  <c r="G180" i="15"/>
  <c r="Y177" i="29" s="1"/>
  <c r="M178" i="15"/>
  <c r="AQ175" i="29" s="1"/>
  <c r="M218" i="15"/>
  <c r="AQ215" i="29" s="1"/>
  <c r="G217" i="15"/>
  <c r="Y214" i="29" s="1"/>
  <c r="M215" i="15"/>
  <c r="AQ212" i="29" s="1"/>
  <c r="G214" i="15"/>
  <c r="Y211" i="29" s="1"/>
  <c r="M212" i="15"/>
  <c r="AQ209" i="29" s="1"/>
  <c r="G211" i="15"/>
  <c r="Y208" i="29" s="1"/>
  <c r="M209" i="15"/>
  <c r="AQ206" i="29" s="1"/>
  <c r="G208" i="15"/>
  <c r="Y205" i="29" s="1"/>
  <c r="M206" i="15"/>
  <c r="AQ203" i="29" s="1"/>
  <c r="M246" i="15"/>
  <c r="AQ243" i="29" s="1"/>
  <c r="G245" i="15"/>
  <c r="Y242" i="29" s="1"/>
  <c r="M243" i="15"/>
  <c r="AQ240" i="29" s="1"/>
  <c r="G242" i="15"/>
  <c r="Y239" i="29" s="1"/>
  <c r="M240" i="15"/>
  <c r="AQ237" i="29" s="1"/>
  <c r="G239" i="15"/>
  <c r="Y236" i="29" s="1"/>
  <c r="M237" i="15"/>
  <c r="AQ234" i="29" s="1"/>
  <c r="G236" i="15"/>
  <c r="Y233" i="29" s="1"/>
  <c r="M234" i="15"/>
  <c r="AQ231" i="29" s="1"/>
  <c r="M275" i="15"/>
  <c r="AQ272" i="29" s="1"/>
  <c r="E275" i="15"/>
  <c r="S272" i="29" s="1"/>
  <c r="J274" i="15"/>
  <c r="AH271" i="29" s="1"/>
  <c r="C274" i="15"/>
  <c r="M271" i="29" s="1"/>
  <c r="H273" i="15"/>
  <c r="AB270" i="29" s="1"/>
  <c r="M272" i="15"/>
  <c r="AQ269" i="29" s="1"/>
  <c r="E272" i="15"/>
  <c r="S269" i="29" s="1"/>
  <c r="J271" i="15"/>
  <c r="AH268" i="29" s="1"/>
  <c r="C271" i="15"/>
  <c r="M268" i="29" s="1"/>
  <c r="H270" i="15"/>
  <c r="AB267" i="29" s="1"/>
  <c r="M269" i="15"/>
  <c r="AQ266" i="29" s="1"/>
  <c r="E269" i="15"/>
  <c r="S266" i="29" s="1"/>
  <c r="J268" i="15"/>
  <c r="AH265" i="29" s="1"/>
  <c r="C268" i="15"/>
  <c r="M265" i="29" s="1"/>
  <c r="H267" i="15"/>
  <c r="AB264" i="29" s="1"/>
  <c r="M266" i="15"/>
  <c r="AQ263" i="29" s="1"/>
  <c r="E266" i="15"/>
  <c r="S263" i="29" s="1"/>
  <c r="J265" i="15"/>
  <c r="AH262" i="29" s="1"/>
  <c r="C265" i="15"/>
  <c r="M262" i="29" s="1"/>
  <c r="H264" i="15"/>
  <c r="AB261" i="29" s="1"/>
  <c r="M263" i="15"/>
  <c r="AQ260" i="29" s="1"/>
  <c r="E263" i="15"/>
  <c r="S260" i="29" s="1"/>
  <c r="J262" i="15"/>
  <c r="AH259" i="29" s="1"/>
  <c r="C262" i="15"/>
  <c r="M259" i="29" s="1"/>
  <c r="M303" i="15"/>
  <c r="AQ300" i="29" s="1"/>
  <c r="G302" i="15"/>
  <c r="Y299" i="29" s="1"/>
  <c r="M300" i="15"/>
  <c r="AQ297" i="29" s="1"/>
  <c r="G299" i="15"/>
  <c r="Y296" i="29" s="1"/>
  <c r="M297" i="15"/>
  <c r="AQ294" i="29" s="1"/>
  <c r="G296" i="15"/>
  <c r="Y293" i="29" s="1"/>
  <c r="M294" i="15"/>
  <c r="AQ291" i="29" s="1"/>
  <c r="G293" i="15"/>
  <c r="Y290" i="29" s="1"/>
  <c r="N291" i="15"/>
  <c r="N290"/>
  <c r="C290"/>
  <c r="M287" i="29" s="1"/>
  <c r="N316" i="15"/>
  <c r="H315"/>
  <c r="AB312" i="29" s="1"/>
  <c r="N313" i="15"/>
  <c r="H312"/>
  <c r="AB309" i="29" s="1"/>
  <c r="N310" i="15"/>
  <c r="H309"/>
  <c r="AB306" i="29" s="1"/>
  <c r="N307" i="15"/>
  <c r="H306"/>
  <c r="AB303" i="29" s="1"/>
  <c r="N304" i="15"/>
  <c r="M331"/>
  <c r="AQ328" i="29" s="1"/>
  <c r="G330" i="15"/>
  <c r="Y327" i="29" s="1"/>
  <c r="M328" i="15"/>
  <c r="AQ325" i="29" s="1"/>
  <c r="G327" i="15"/>
  <c r="Y324" i="29" s="1"/>
  <c r="M325" i="15"/>
  <c r="AQ322" i="29" s="1"/>
  <c r="G324" i="15"/>
  <c r="Y321" i="29" s="1"/>
  <c r="M322" i="15"/>
  <c r="AQ319" i="29" s="1"/>
  <c r="G321" i="15"/>
  <c r="Y318" i="29" s="1"/>
  <c r="M319" i="15"/>
  <c r="AQ316" i="29" s="1"/>
  <c r="G318" i="15"/>
  <c r="Y315" i="29" s="1"/>
  <c r="N344" i="15"/>
  <c r="H343"/>
  <c r="AB340" i="29" s="1"/>
  <c r="N341" i="15"/>
  <c r="H340"/>
  <c r="AB337" i="29" s="1"/>
  <c r="N338" i="15"/>
  <c r="H337"/>
  <c r="AB334" i="29" s="1"/>
  <c r="N335" i="15"/>
  <c r="H334"/>
  <c r="AB331" i="29" s="1"/>
  <c r="N332" i="15"/>
  <c r="M359"/>
  <c r="AQ356" i="29" s="1"/>
  <c r="G358" i="15"/>
  <c r="Y355" i="29" s="1"/>
  <c r="M356" i="15"/>
  <c r="AQ353" i="29" s="1"/>
  <c r="G355" i="15"/>
  <c r="Y352" i="29" s="1"/>
  <c r="M353" i="15"/>
  <c r="AQ350" i="29" s="1"/>
  <c r="G352" i="15"/>
  <c r="Y349" i="29" s="1"/>
  <c r="M350" i="15"/>
  <c r="AQ347" i="29" s="1"/>
  <c r="M349" i="15"/>
  <c r="AQ346" i="29" s="1"/>
  <c r="M348" i="15"/>
  <c r="AQ345" i="29" s="1"/>
  <c r="C348" i="15"/>
  <c r="M345" i="29" s="1"/>
  <c r="G347" i="15"/>
  <c r="Y344" i="29" s="1"/>
  <c r="I346" i="15"/>
  <c r="AE343" i="29" s="1"/>
  <c r="N373" i="15"/>
  <c r="H372"/>
  <c r="AB369" i="29" s="1"/>
  <c r="N370" i="15"/>
  <c r="H369"/>
  <c r="AB366" i="29" s="1"/>
  <c r="N367" i="15"/>
  <c r="H366"/>
  <c r="AB363" i="29" s="1"/>
  <c r="N364" i="15"/>
  <c r="H363"/>
  <c r="AB360" i="29" s="1"/>
  <c r="N361" i="15"/>
  <c r="H360"/>
  <c r="AB357" i="29" s="1"/>
  <c r="M414" i="15"/>
  <c r="AQ411" i="29" s="1"/>
  <c r="G413" i="15"/>
  <c r="Y410" i="29" s="1"/>
  <c r="M411" i="15"/>
  <c r="AQ408" i="29" s="1"/>
  <c r="G410" i="15"/>
  <c r="Y407" i="29" s="1"/>
  <c r="M408" i="15"/>
  <c r="AQ405" i="29" s="1"/>
  <c r="G407" i="15"/>
  <c r="Y404" i="29" s="1"/>
  <c r="M405" i="15"/>
  <c r="AQ402" i="29" s="1"/>
  <c r="G404" i="15"/>
  <c r="Y401" i="29" s="1"/>
  <c r="M402" i="15"/>
  <c r="AQ399" i="29" s="1"/>
  <c r="H429" i="15"/>
  <c r="AB426" i="29" s="1"/>
  <c r="N427" i="15"/>
  <c r="H426"/>
  <c r="AB423" i="29" s="1"/>
  <c r="N424" i="15"/>
  <c r="H423"/>
  <c r="AB420" i="29" s="1"/>
  <c r="N421" i="15"/>
  <c r="H420"/>
  <c r="AB417" i="29" s="1"/>
  <c r="N418" i="15"/>
  <c r="N417"/>
  <c r="C417"/>
  <c r="M414" i="29" s="1"/>
  <c r="E416" i="15"/>
  <c r="S413" i="29" s="1"/>
  <c r="G443" i="15"/>
  <c r="Y440" i="29" s="1"/>
  <c r="M441" i="15"/>
  <c r="G440"/>
  <c r="Y437" i="29" s="1"/>
  <c r="M438" i="15"/>
  <c r="AQ435" i="29" s="1"/>
  <c r="G437" i="15"/>
  <c r="Y434" i="29" s="1"/>
  <c r="M435" i="15"/>
  <c r="AQ432" i="29" s="1"/>
  <c r="G434" i="15"/>
  <c r="Y431" i="29" s="1"/>
  <c r="M432" i="15"/>
  <c r="AQ429" i="29" s="1"/>
  <c r="G431" i="15"/>
  <c r="Y428" i="29" s="1"/>
  <c r="N457" i="15"/>
  <c r="G457"/>
  <c r="Y454" i="29" s="1"/>
  <c r="K456" i="15"/>
  <c r="AK453" i="29" s="1"/>
  <c r="D456" i="15"/>
  <c r="P453" i="29" s="1"/>
  <c r="I455" i="15"/>
  <c r="AE452" i="29" s="1"/>
  <c r="N454" i="15"/>
  <c r="G454"/>
  <c r="Y451" i="29" s="1"/>
  <c r="K453" i="15"/>
  <c r="AK450" i="29" s="1"/>
  <c r="D453" i="15"/>
  <c r="P450" i="29" s="1"/>
  <c r="I452" i="15"/>
  <c r="AE449" i="29" s="1"/>
  <c r="N451" i="15"/>
  <c r="G451"/>
  <c r="Y448" i="29" s="1"/>
  <c r="K450" i="15"/>
  <c r="AK447" i="29" s="1"/>
  <c r="D450" i="15"/>
  <c r="P447" i="29" s="1"/>
  <c r="I449" i="15"/>
  <c r="AE446" i="29" s="1"/>
  <c r="N448" i="15"/>
  <c r="G448"/>
  <c r="Y445" i="29" s="1"/>
  <c r="K447" i="15"/>
  <c r="AK444" i="29" s="1"/>
  <c r="D447" i="15"/>
  <c r="P444" i="29" s="1"/>
  <c r="I446" i="15"/>
  <c r="AE443" i="29" s="1"/>
  <c r="N445" i="15"/>
  <c r="G445"/>
  <c r="Y442" i="29" s="1"/>
  <c r="K444" i="15"/>
  <c r="AK441" i="29" s="1"/>
  <c r="D444" i="15"/>
  <c r="P441" i="29" s="1"/>
  <c r="G471" i="15"/>
  <c r="Y468" i="29" s="1"/>
  <c r="M469" i="15"/>
  <c r="AQ466" i="29" s="1"/>
  <c r="G468" i="15"/>
  <c r="Y465" i="29" s="1"/>
  <c r="M466" i="15"/>
  <c r="AQ463" i="29" s="1"/>
  <c r="G465" i="15"/>
  <c r="Y462" i="29" s="1"/>
  <c r="M463" i="15"/>
  <c r="AQ460" i="29" s="1"/>
  <c r="G462" i="15"/>
  <c r="Y459" i="29" s="1"/>
  <c r="M460" i="15"/>
  <c r="AQ457" i="29" s="1"/>
  <c r="G459" i="15"/>
  <c r="Y456" i="29" s="1"/>
  <c r="AB477"/>
  <c r="AB474"/>
  <c r="AB471"/>
  <c r="N315" i="15"/>
  <c r="N312"/>
  <c r="H311"/>
  <c r="AB308" i="29" s="1"/>
  <c r="H308" i="15"/>
  <c r="AB305" i="29" s="1"/>
  <c r="H305" i="15"/>
  <c r="AB302" i="29" s="1"/>
  <c r="H342" i="15"/>
  <c r="AB339" i="29" s="1"/>
  <c r="N337" i="15"/>
  <c r="H333"/>
  <c r="AB330" i="29" s="1"/>
  <c r="AB473"/>
  <c r="N77" i="15"/>
  <c r="H73"/>
  <c r="AB70" i="29" s="1"/>
  <c r="N68" i="15"/>
  <c r="N91"/>
  <c r="N82"/>
  <c r="H121"/>
  <c r="AB118" i="29" s="1"/>
  <c r="N134" i="15"/>
  <c r="H133"/>
  <c r="AB130" i="29" s="1"/>
  <c r="N131" i="15"/>
  <c r="H130"/>
  <c r="AB127" i="29" s="1"/>
  <c r="N128" i="15"/>
  <c r="H127"/>
  <c r="AB124" i="29" s="1"/>
  <c r="N125" i="15"/>
  <c r="H124"/>
  <c r="AB121" i="29" s="1"/>
  <c r="N122" i="15"/>
  <c r="M149"/>
  <c r="AQ146" i="29" s="1"/>
  <c r="G148" i="15"/>
  <c r="Y145" i="29" s="1"/>
  <c r="M146" i="15"/>
  <c r="AQ143" i="29" s="1"/>
  <c r="G145" i="15"/>
  <c r="Y142" i="29" s="1"/>
  <c r="M143" i="15"/>
  <c r="AQ140" i="29" s="1"/>
  <c r="G142" i="15"/>
  <c r="Y139" i="29" s="1"/>
  <c r="M140" i="15"/>
  <c r="AQ137" i="29" s="1"/>
  <c r="G139" i="15"/>
  <c r="Y136" i="29" s="1"/>
  <c r="M137" i="15"/>
  <c r="AQ134" i="29" s="1"/>
  <c r="G136" i="15"/>
  <c r="Y133" i="29" s="1"/>
  <c r="N162" i="15"/>
  <c r="H161"/>
  <c r="AB158" i="29" s="1"/>
  <c r="N159" i="15"/>
  <c r="H158"/>
  <c r="AB155" i="29" s="1"/>
  <c r="N156" i="15"/>
  <c r="H155"/>
  <c r="AB152" i="29" s="1"/>
  <c r="N153" i="15"/>
  <c r="H152"/>
  <c r="AB149" i="29" s="1"/>
  <c r="N150" i="15"/>
  <c r="M177"/>
  <c r="AQ174" i="29" s="1"/>
  <c r="E177" i="15"/>
  <c r="S174" i="29" s="1"/>
  <c r="J176" i="15"/>
  <c r="AH173" i="29" s="1"/>
  <c r="C176" i="15"/>
  <c r="M173" i="29" s="1"/>
  <c r="H175" i="15"/>
  <c r="AB172" i="29" s="1"/>
  <c r="M174" i="15"/>
  <c r="AQ171" i="29" s="1"/>
  <c r="E174" i="15"/>
  <c r="S171" i="29" s="1"/>
  <c r="J173" i="15"/>
  <c r="AH170" i="29" s="1"/>
  <c r="C173" i="15"/>
  <c r="M170" i="29" s="1"/>
  <c r="H172" i="15"/>
  <c r="AB169" i="29" s="1"/>
  <c r="M171" i="15"/>
  <c r="AQ168" i="29" s="1"/>
  <c r="E171" i="15"/>
  <c r="S168" i="29" s="1"/>
  <c r="J170" i="15"/>
  <c r="AH167" i="29" s="1"/>
  <c r="C170" i="15"/>
  <c r="M167" i="29" s="1"/>
  <c r="H169" i="15"/>
  <c r="AB166" i="29" s="1"/>
  <c r="M168" i="15"/>
  <c r="AQ165" i="29" s="1"/>
  <c r="E168" i="15"/>
  <c r="S165" i="29" s="1"/>
  <c r="J167" i="15"/>
  <c r="AH164" i="29" s="1"/>
  <c r="C167" i="15"/>
  <c r="M164" i="29" s="1"/>
  <c r="H166" i="15"/>
  <c r="AB163" i="29" s="1"/>
  <c r="M165" i="15"/>
  <c r="AQ162" i="29" s="1"/>
  <c r="E165" i="15"/>
  <c r="S162" i="29" s="1"/>
  <c r="J164" i="15"/>
  <c r="AH161" i="29" s="1"/>
  <c r="C164" i="15"/>
  <c r="M161" i="29" s="1"/>
  <c r="N190" i="15"/>
  <c r="H189"/>
  <c r="AB186" i="29" s="1"/>
  <c r="N187" i="15"/>
  <c r="H186"/>
  <c r="AB183" i="29" s="1"/>
  <c r="N184" i="15"/>
  <c r="H183"/>
  <c r="AB180" i="29" s="1"/>
  <c r="N181" i="15"/>
  <c r="H180"/>
  <c r="AB177" i="29" s="1"/>
  <c r="N178" i="15"/>
  <c r="M205"/>
  <c r="AQ202" i="29" s="1"/>
  <c r="E205" i="15"/>
  <c r="S202" i="29" s="1"/>
  <c r="J204" i="15"/>
  <c r="AH201" i="29" s="1"/>
  <c r="C204" i="15"/>
  <c r="M201" i="29" s="1"/>
  <c r="H203" i="15"/>
  <c r="AB200" i="29" s="1"/>
  <c r="M202" i="15"/>
  <c r="AQ199" i="29" s="1"/>
  <c r="E202" i="15"/>
  <c r="S199" i="29" s="1"/>
  <c r="J201" i="15"/>
  <c r="AH198" i="29" s="1"/>
  <c r="C201" i="15"/>
  <c r="M198" i="29" s="1"/>
  <c r="H200" i="15"/>
  <c r="AB197" i="29" s="1"/>
  <c r="M199" i="15"/>
  <c r="AQ196" i="29" s="1"/>
  <c r="E199" i="15"/>
  <c r="S196" i="29" s="1"/>
  <c r="J198" i="15"/>
  <c r="AH195" i="29" s="1"/>
  <c r="C198" i="15"/>
  <c r="M195" i="29" s="1"/>
  <c r="H197" i="15"/>
  <c r="AB194" i="29" s="1"/>
  <c r="M196" i="15"/>
  <c r="AQ193" i="29" s="1"/>
  <c r="E196" i="15"/>
  <c r="S193" i="29" s="1"/>
  <c r="J195" i="15"/>
  <c r="AH192" i="29" s="1"/>
  <c r="C195" i="15"/>
  <c r="M192" i="29" s="1"/>
  <c r="H194" i="15"/>
  <c r="AB191" i="29" s="1"/>
  <c r="M193" i="15"/>
  <c r="AQ190" i="29" s="1"/>
  <c r="E193" i="15"/>
  <c r="S190" i="29" s="1"/>
  <c r="J192" i="15"/>
  <c r="AH189" i="29" s="1"/>
  <c r="C192" i="15"/>
  <c r="M189" i="29" s="1"/>
  <c r="N218" i="15"/>
  <c r="H217"/>
  <c r="AB214" i="29" s="1"/>
  <c r="N215" i="15"/>
  <c r="H214"/>
  <c r="AB211" i="29" s="1"/>
  <c r="N212" i="15"/>
  <c r="H211"/>
  <c r="AB208" i="29" s="1"/>
  <c r="N209" i="15"/>
  <c r="H208"/>
  <c r="AB205" i="29" s="1"/>
  <c r="N206" i="15"/>
  <c r="N275"/>
  <c r="G275"/>
  <c r="Y272" i="29" s="1"/>
  <c r="K274" i="15"/>
  <c r="AK271" i="29" s="1"/>
  <c r="D274" i="15"/>
  <c r="P271" i="29" s="1"/>
  <c r="I273" i="15"/>
  <c r="AE270" i="29" s="1"/>
  <c r="N272" i="15"/>
  <c r="G272"/>
  <c r="Y269" i="29" s="1"/>
  <c r="K271" i="15"/>
  <c r="AK268" i="29" s="1"/>
  <c r="D271" i="15"/>
  <c r="P268" i="29" s="1"/>
  <c r="I270" i="15"/>
  <c r="AE267" i="29" s="1"/>
  <c r="N269" i="15"/>
  <c r="G269"/>
  <c r="Y266" i="29" s="1"/>
  <c r="K268" i="15"/>
  <c r="AK265" i="29" s="1"/>
  <c r="D268" i="15"/>
  <c r="P265" i="29" s="1"/>
  <c r="I267" i="15"/>
  <c r="AE264" i="29" s="1"/>
  <c r="N266" i="15"/>
  <c r="G266"/>
  <c r="Y263" i="29" s="1"/>
  <c r="K265" i="15"/>
  <c r="AK262" i="29" s="1"/>
  <c r="D265" i="15"/>
  <c r="P262" i="29" s="1"/>
  <c r="I264" i="15"/>
  <c r="AE261" i="29" s="1"/>
  <c r="N263" i="15"/>
  <c r="G263"/>
  <c r="Y260" i="29" s="1"/>
  <c r="K262" i="15"/>
  <c r="AK259" i="29" s="1"/>
  <c r="D262" i="15"/>
  <c r="P259" i="29" s="1"/>
  <c r="G317" i="15"/>
  <c r="Y314" i="29" s="1"/>
  <c r="M315" i="15"/>
  <c r="AQ312" i="29" s="1"/>
  <c r="G314" i="15"/>
  <c r="Y311" i="29" s="1"/>
  <c r="M312" i="15"/>
  <c r="AQ309" i="29" s="1"/>
  <c r="G311" i="15"/>
  <c r="Y308" i="29" s="1"/>
  <c r="M309" i="15"/>
  <c r="AQ306" i="29" s="1"/>
  <c r="G308" i="15"/>
  <c r="Y305" i="29" s="1"/>
  <c r="M306" i="15"/>
  <c r="AQ303" i="29" s="1"/>
  <c r="G305" i="15"/>
  <c r="Y302" i="29" s="1"/>
  <c r="G345" i="15"/>
  <c r="Y342" i="29" s="1"/>
  <c r="M343" i="15"/>
  <c r="AQ340" i="29" s="1"/>
  <c r="G342" i="15"/>
  <c r="Y339" i="29" s="1"/>
  <c r="M340" i="15"/>
  <c r="AQ337" i="29" s="1"/>
  <c r="G339" i="15"/>
  <c r="Y336" i="29" s="1"/>
  <c r="M337" i="15"/>
  <c r="AQ334" i="29" s="1"/>
  <c r="G336" i="15"/>
  <c r="Y333" i="29" s="1"/>
  <c r="M334" i="15"/>
  <c r="AQ331" i="29" s="1"/>
  <c r="G333" i="15"/>
  <c r="Y330" i="29" s="1"/>
  <c r="M372" i="15"/>
  <c r="AQ369" i="29" s="1"/>
  <c r="G371" i="15"/>
  <c r="Y368" i="29" s="1"/>
  <c r="M369" i="15"/>
  <c r="AQ366" i="29" s="1"/>
  <c r="G368" i="15"/>
  <c r="Y365" i="29" s="1"/>
  <c r="M366" i="15"/>
  <c r="AQ363" i="29" s="1"/>
  <c r="G365" i="15"/>
  <c r="Y362" i="29" s="1"/>
  <c r="M363" i="15"/>
  <c r="AQ360" i="29" s="1"/>
  <c r="G362" i="15"/>
  <c r="Y359" i="29" s="1"/>
  <c r="M360" i="15"/>
  <c r="AQ357" i="29" s="1"/>
  <c r="AQ477"/>
  <c r="Y476"/>
  <c r="AQ474"/>
  <c r="Y473"/>
  <c r="AQ471"/>
  <c r="Y470"/>
  <c r="M64" i="15"/>
  <c r="AQ61" i="29" s="1"/>
  <c r="G63" i="15"/>
  <c r="Y60" i="29" s="1"/>
  <c r="G60" i="15"/>
  <c r="Y57" i="29" s="1"/>
  <c r="M58" i="15"/>
  <c r="AQ55" i="29" s="1"/>
  <c r="G57" i="15"/>
  <c r="Y54" i="29" s="1"/>
  <c r="G54" i="15"/>
  <c r="Y51" i="29" s="1"/>
  <c r="M52" i="15"/>
  <c r="AQ49" i="29" s="1"/>
  <c r="M92" i="15"/>
  <c r="AQ89" i="29" s="1"/>
  <c r="G91" i="15"/>
  <c r="Y88" i="29" s="1"/>
  <c r="M89" i="15"/>
  <c r="AQ86" i="29" s="1"/>
  <c r="G88" i="15"/>
  <c r="Y85" i="29" s="1"/>
  <c r="M86" i="15"/>
  <c r="AQ83" i="29" s="1"/>
  <c r="G85" i="15"/>
  <c r="Y82" i="29" s="1"/>
  <c r="M83" i="15"/>
  <c r="AQ80" i="29" s="1"/>
  <c r="G82" i="15"/>
  <c r="Y79" i="29" s="1"/>
  <c r="M80" i="15"/>
  <c r="AQ77" i="29" s="1"/>
  <c r="H23" i="15"/>
  <c r="AB20" i="29" s="1"/>
  <c r="N21" i="15"/>
  <c r="H20"/>
  <c r="AB17" i="29" s="1"/>
  <c r="N18" i="15"/>
  <c r="H17"/>
  <c r="AB14" i="29" s="1"/>
  <c r="N15" i="15"/>
  <c r="H14"/>
  <c r="AB11" i="29" s="1"/>
  <c r="N12" i="15"/>
  <c r="H11"/>
  <c r="AB8" i="29" s="1"/>
  <c r="M36" i="15"/>
  <c r="AQ33" i="29" s="1"/>
  <c r="M33" i="15"/>
  <c r="AQ30" i="29" s="1"/>
  <c r="M30" i="15"/>
  <c r="AQ27" i="29" s="1"/>
  <c r="M27" i="15"/>
  <c r="AQ24" i="29" s="1"/>
  <c r="M24" i="15"/>
  <c r="AQ21" i="29" s="1"/>
  <c r="N49" i="15"/>
  <c r="N46"/>
  <c r="N43"/>
  <c r="H42"/>
  <c r="AB39" i="29" s="1"/>
  <c r="N40" i="15"/>
  <c r="M61"/>
  <c r="AQ58" i="29" s="1"/>
  <c r="M23" i="15"/>
  <c r="AQ20" i="29" s="1"/>
  <c r="G22" i="15"/>
  <c r="Y19" i="29" s="1"/>
  <c r="M20" i="15"/>
  <c r="AQ17" i="29" s="1"/>
  <c r="G19" i="15"/>
  <c r="Y16" i="29" s="1"/>
  <c r="M17" i="15"/>
  <c r="AQ14" i="29" s="1"/>
  <c r="G16" i="15"/>
  <c r="Y13" i="29" s="1"/>
  <c r="M14" i="15"/>
  <c r="AQ11" i="29" s="1"/>
  <c r="G13" i="15"/>
  <c r="Y10" i="29" s="1"/>
  <c r="M11" i="15"/>
  <c r="AQ8" i="29" s="1"/>
  <c r="G10" i="15"/>
  <c r="N36"/>
  <c r="H35"/>
  <c r="AB32" i="29" s="1"/>
  <c r="N33" i="15"/>
  <c r="H32"/>
  <c r="AB29" i="29" s="1"/>
  <c r="N30" i="15"/>
  <c r="H29"/>
  <c r="AB26" i="29" s="1"/>
  <c r="N27" i="15"/>
  <c r="H26"/>
  <c r="AB23" i="29" s="1"/>
  <c r="N24" i="15"/>
  <c r="M51"/>
  <c r="AQ48" i="29" s="1"/>
  <c r="G50" i="15"/>
  <c r="Y47" i="29" s="1"/>
  <c r="M48" i="15"/>
  <c r="AQ45" i="29" s="1"/>
  <c r="G47" i="15"/>
  <c r="Y44" i="29" s="1"/>
  <c r="M45" i="15"/>
  <c r="AQ42" i="29" s="1"/>
  <c r="G44" i="15"/>
  <c r="Y41" i="29" s="1"/>
  <c r="M42" i="15"/>
  <c r="AQ39" i="29" s="1"/>
  <c r="G41" i="15"/>
  <c r="Y38" i="29" s="1"/>
  <c r="M39" i="15"/>
  <c r="AQ36" i="29" s="1"/>
  <c r="G38" i="15"/>
  <c r="Y35" i="29" s="1"/>
  <c r="N64" i="15"/>
  <c r="H63"/>
  <c r="AB60" i="29" s="1"/>
  <c r="N61" i="15"/>
  <c r="H60"/>
  <c r="AB57" i="29" s="1"/>
  <c r="N58" i="15"/>
  <c r="H57"/>
  <c r="AB54" i="29" s="1"/>
  <c r="N55" i="15"/>
  <c r="H54"/>
  <c r="AB51" i="29" s="1"/>
  <c r="N52" i="15"/>
  <c r="M79"/>
  <c r="AQ76" i="29" s="1"/>
  <c r="G78" i="15"/>
  <c r="Y75" i="29" s="1"/>
  <c r="M76" i="15"/>
  <c r="AQ73" i="29" s="1"/>
  <c r="G75" i="15"/>
  <c r="Y72" i="29" s="1"/>
  <c r="M73" i="15"/>
  <c r="AQ70" i="29" s="1"/>
  <c r="G72" i="15"/>
  <c r="Y69" i="29" s="1"/>
  <c r="M70" i="15"/>
  <c r="AQ67" i="29" s="1"/>
  <c r="G69" i="15"/>
  <c r="Y66" i="29" s="1"/>
  <c r="M67" i="15"/>
  <c r="AQ64" i="29" s="1"/>
  <c r="G66" i="15"/>
  <c r="Y63" i="29" s="1"/>
  <c r="N92" i="15"/>
  <c r="H91"/>
  <c r="AB88" i="29" s="1"/>
  <c r="N89" i="15"/>
  <c r="H88"/>
  <c r="AB85" i="29" s="1"/>
  <c r="N86" i="15"/>
  <c r="H85"/>
  <c r="AB82" i="29" s="1"/>
  <c r="N83" i="15"/>
  <c r="H82"/>
  <c r="AB79" i="29" s="1"/>
  <c r="N80" i="15"/>
  <c r="G35"/>
  <c r="Y32" i="29" s="1"/>
  <c r="G32" i="15"/>
  <c r="Y29" i="29" s="1"/>
  <c r="G29" i="15"/>
  <c r="Y26" i="29" s="1"/>
  <c r="G26" i="15"/>
  <c r="Y23" i="29" s="1"/>
  <c r="H51" i="15"/>
  <c r="AB48" i="29" s="1"/>
  <c r="H48" i="15"/>
  <c r="AB45" i="29" s="1"/>
  <c r="H45" i="15"/>
  <c r="AB42" i="29" s="1"/>
  <c r="H39" i="15"/>
  <c r="AB36" i="29" s="1"/>
  <c r="M55" i="15"/>
  <c r="AQ52" i="29" s="1"/>
  <c r="N23" i="15"/>
  <c r="H22"/>
  <c r="AB19" i="29" s="1"/>
  <c r="N20" i="15"/>
  <c r="H19"/>
  <c r="AB16" i="29" s="1"/>
  <c r="N17" i="15"/>
  <c r="H16"/>
  <c r="AB13" i="29" s="1"/>
  <c r="N14" i="15"/>
  <c r="H13"/>
  <c r="AB10" i="29" s="1"/>
  <c r="N11" i="15"/>
  <c r="H10"/>
  <c r="G37"/>
  <c r="Y34" i="29" s="1"/>
  <c r="M35" i="15"/>
  <c r="AQ32" i="29" s="1"/>
  <c r="G34" i="15"/>
  <c r="Y31" i="29" s="1"/>
  <c r="M32" i="15"/>
  <c r="AQ29" i="29" s="1"/>
  <c r="G31" i="15"/>
  <c r="Y28" i="29" s="1"/>
  <c r="M29" i="15"/>
  <c r="AQ26" i="29" s="1"/>
  <c r="G28" i="15"/>
  <c r="Y25" i="29" s="1"/>
  <c r="M26" i="15"/>
  <c r="AQ23" i="29" s="1"/>
  <c r="G25" i="15"/>
  <c r="Y22" i="29" s="1"/>
  <c r="N51" i="15"/>
  <c r="H50"/>
  <c r="AB47" i="29" s="1"/>
  <c r="N48" i="15"/>
  <c r="H47"/>
  <c r="AB44" i="29" s="1"/>
  <c r="N45" i="15"/>
  <c r="H44"/>
  <c r="AB41" i="29" s="1"/>
  <c r="N42" i="15"/>
  <c r="H41"/>
  <c r="AB38" i="29" s="1"/>
  <c r="N39" i="15"/>
  <c r="H38"/>
  <c r="AB35" i="29" s="1"/>
  <c r="G65" i="15"/>
  <c r="Y62" i="29" s="1"/>
  <c r="M63" i="15"/>
  <c r="AQ60" i="29" s="1"/>
  <c r="G62" i="15"/>
  <c r="Y59" i="29" s="1"/>
  <c r="M60" i="15"/>
  <c r="AQ57" i="29" s="1"/>
  <c r="G59" i="15"/>
  <c r="Y56" i="29" s="1"/>
  <c r="M57" i="15"/>
  <c r="AQ54" i="29" s="1"/>
  <c r="G56" i="15"/>
  <c r="Y53" i="29" s="1"/>
  <c r="M54" i="15"/>
  <c r="AQ51" i="29" s="1"/>
  <c r="G53" i="15"/>
  <c r="Y50" i="29" s="1"/>
  <c r="N79" i="15"/>
  <c r="H78"/>
  <c r="AB75" i="29" s="1"/>
  <c r="N76" i="15"/>
  <c r="H75"/>
  <c r="AB72" i="29" s="1"/>
  <c r="N73" i="15"/>
  <c r="H72"/>
  <c r="AB69" i="29" s="1"/>
  <c r="N70" i="15"/>
  <c r="H69"/>
  <c r="AB66" i="29" s="1"/>
  <c r="N67" i="15"/>
  <c r="H66"/>
  <c r="AB63" i="29" s="1"/>
  <c r="G93" i="15"/>
  <c r="Y90" i="29" s="1"/>
  <c r="M91" i="15"/>
  <c r="AQ88" i="29" s="1"/>
  <c r="G90" i="15"/>
  <c r="Y87" i="29" s="1"/>
  <c r="M88" i="15"/>
  <c r="AQ85" i="29" s="1"/>
  <c r="G87" i="15"/>
  <c r="Y84" i="29" s="1"/>
  <c r="M85" i="15"/>
  <c r="AQ82" i="29" s="1"/>
  <c r="G84" i="15"/>
  <c r="Y81" i="29" s="1"/>
  <c r="M82" i="15"/>
  <c r="AQ79" i="29" s="1"/>
  <c r="G81" i="15"/>
  <c r="Y78" i="29" s="1"/>
  <c r="M22" i="15"/>
  <c r="AQ19" i="29" s="1"/>
  <c r="G21" i="15"/>
  <c r="Y18" i="29" s="1"/>
  <c r="M19" i="15"/>
  <c r="AQ16" i="29" s="1"/>
  <c r="G18" i="15"/>
  <c r="Y15" i="29" s="1"/>
  <c r="M16" i="15"/>
  <c r="AQ13" i="29" s="1"/>
  <c r="G15" i="15"/>
  <c r="Y12" i="29" s="1"/>
  <c r="M13" i="15"/>
  <c r="AQ10" i="29" s="1"/>
  <c r="G12" i="15"/>
  <c r="Y9" i="29" s="1"/>
  <c r="M10" i="15"/>
  <c r="H37"/>
  <c r="AB34" i="29" s="1"/>
  <c r="N35" i="15"/>
  <c r="H34"/>
  <c r="AB31" i="29" s="1"/>
  <c r="N32" i="15"/>
  <c r="H31"/>
  <c r="AB28" i="29" s="1"/>
  <c r="N29" i="15"/>
  <c r="H28"/>
  <c r="AB25" i="29" s="1"/>
  <c r="N26" i="15"/>
  <c r="H25"/>
  <c r="AB22" i="29" s="1"/>
  <c r="M50" i="15"/>
  <c r="AQ47" i="29" s="1"/>
  <c r="M47" i="15"/>
  <c r="AQ44" i="29" s="1"/>
  <c r="M44" i="15"/>
  <c r="AQ41" i="29" s="1"/>
  <c r="M41" i="15"/>
  <c r="AQ38" i="29" s="1"/>
  <c r="M38" i="15"/>
  <c r="AQ35" i="29" s="1"/>
  <c r="N63" i="15"/>
  <c r="N60"/>
  <c r="N57"/>
  <c r="N54"/>
  <c r="N22"/>
  <c r="H21"/>
  <c r="AB18" i="29" s="1"/>
  <c r="N19" i="15"/>
  <c r="H18"/>
  <c r="AB15" i="29" s="1"/>
  <c r="N16" i="15"/>
  <c r="H15"/>
  <c r="AB12" i="29" s="1"/>
  <c r="N13" i="15"/>
  <c r="H12"/>
  <c r="AB9" i="29" s="1"/>
  <c r="N10" i="15"/>
  <c r="M37"/>
  <c r="AQ34" i="29" s="1"/>
  <c r="G36" i="15"/>
  <c r="Y33" i="29" s="1"/>
  <c r="M34" i="15"/>
  <c r="AQ31" i="29" s="1"/>
  <c r="G33" i="15"/>
  <c r="Y30" i="29" s="1"/>
  <c r="M31" i="15"/>
  <c r="AQ28" i="29" s="1"/>
  <c r="G30" i="15"/>
  <c r="Y27" i="29" s="1"/>
  <c r="M28" i="15"/>
  <c r="AQ25" i="29" s="1"/>
  <c r="G27" i="15"/>
  <c r="Y24" i="29" s="1"/>
  <c r="M25" i="15"/>
  <c r="AQ22" i="29" s="1"/>
  <c r="G24" i="15"/>
  <c r="Y21" i="29" s="1"/>
  <c r="N50" i="15"/>
  <c r="H49"/>
  <c r="AB46" i="29" s="1"/>
  <c r="N47" i="15"/>
  <c r="H46"/>
  <c r="AB43" i="29" s="1"/>
  <c r="N44" i="15"/>
  <c r="H43"/>
  <c r="AB40" i="29" s="1"/>
  <c r="N41" i="15"/>
  <c r="H40"/>
  <c r="AB37" i="29" s="1"/>
  <c r="N38" i="15"/>
  <c r="M65"/>
  <c r="AQ62" i="29" s="1"/>
  <c r="G64" i="15"/>
  <c r="Y61" i="29" s="1"/>
  <c r="M62" i="15"/>
  <c r="AQ59" i="29" s="1"/>
  <c r="G61" i="15"/>
  <c r="Y58" i="29" s="1"/>
  <c r="M59" i="15"/>
  <c r="AQ56" i="29" s="1"/>
  <c r="G58" i="15"/>
  <c r="Y55" i="29" s="1"/>
  <c r="M56" i="15"/>
  <c r="AQ53" i="29" s="1"/>
  <c r="G55" i="15"/>
  <c r="Y52" i="29" s="1"/>
  <c r="M53" i="15"/>
  <c r="AQ50" i="29" s="1"/>
  <c r="G52" i="15"/>
  <c r="Y49" i="29" s="1"/>
  <c r="N78" i="15"/>
  <c r="H77"/>
  <c r="AB74" i="29" s="1"/>
  <c r="N75" i="15"/>
  <c r="H74"/>
  <c r="AB71" i="29" s="1"/>
  <c r="N72" i="15"/>
  <c r="H71"/>
  <c r="AB68" i="29" s="1"/>
  <c r="N69" i="15"/>
  <c r="H68"/>
  <c r="AB65" i="29" s="1"/>
  <c r="N66" i="15"/>
  <c r="M93"/>
  <c r="AQ90" i="29" s="1"/>
  <c r="G92" i="15"/>
  <c r="Y89" i="29" s="1"/>
  <c r="M90" i="15"/>
  <c r="AQ87" i="29" s="1"/>
  <c r="G89" i="15"/>
  <c r="Y86" i="29" s="1"/>
  <c r="M87" i="15"/>
  <c r="AQ84" i="29" s="1"/>
  <c r="G86" i="15"/>
  <c r="Y83" i="29" s="1"/>
  <c r="M84" i="15"/>
  <c r="AQ81" i="29" s="1"/>
  <c r="G83" i="15"/>
  <c r="Y80" i="29" s="1"/>
  <c r="M81" i="15"/>
  <c r="AQ78" i="29" s="1"/>
  <c r="G80" i="15"/>
  <c r="Y77" i="29" s="1"/>
  <c r="G49" i="15"/>
  <c r="Y46" i="29" s="1"/>
  <c r="G46" i="15"/>
  <c r="Y43" i="29" s="1"/>
  <c r="G43" i="15"/>
  <c r="Y40" i="29" s="1"/>
  <c r="G40" i="15"/>
  <c r="Y37" i="29" s="1"/>
  <c r="H65" i="15"/>
  <c r="AB62" i="29" s="1"/>
  <c r="H62" i="15"/>
  <c r="AB59" i="29" s="1"/>
  <c r="H59" i="15"/>
  <c r="AB56" i="29" s="1"/>
  <c r="H56" i="15"/>
  <c r="AB53" i="29" s="1"/>
  <c r="H53" i="15"/>
  <c r="AB50" i="29" s="1"/>
  <c r="G23" i="15"/>
  <c r="Y20" i="29" s="1"/>
  <c r="M21" i="15"/>
  <c r="AQ18" i="29" s="1"/>
  <c r="G20" i="15"/>
  <c r="Y17" i="29" s="1"/>
  <c r="M18" i="15"/>
  <c r="AQ15" i="29" s="1"/>
  <c r="G17" i="15"/>
  <c r="Y14" i="29" s="1"/>
  <c r="M15" i="15"/>
  <c r="AQ12" i="29" s="1"/>
  <c r="G14" i="15"/>
  <c r="Y11" i="29" s="1"/>
  <c r="M12" i="15"/>
  <c r="AQ9" i="29" s="1"/>
  <c r="G11" i="15"/>
  <c r="Y8" i="29" s="1"/>
  <c r="N37" i="15"/>
  <c r="H36"/>
  <c r="AB33" i="29" s="1"/>
  <c r="N34" i="15"/>
  <c r="H33"/>
  <c r="AB30" i="29" s="1"/>
  <c r="N31" i="15"/>
  <c r="H30"/>
  <c r="AB27" i="29" s="1"/>
  <c r="N28" i="15"/>
  <c r="H27"/>
  <c r="AB24" i="29" s="1"/>
  <c r="N25" i="15"/>
  <c r="H24"/>
  <c r="AB21" i="29" s="1"/>
  <c r="G51" i="15"/>
  <c r="Y48" i="29" s="1"/>
  <c r="M49" i="15"/>
  <c r="AQ46" i="29" s="1"/>
  <c r="G48" i="15"/>
  <c r="Y45" i="29" s="1"/>
  <c r="M46" i="15"/>
  <c r="AQ43" i="29" s="1"/>
  <c r="G45" i="15"/>
  <c r="Y42" i="29" s="1"/>
  <c r="M43" i="15"/>
  <c r="AQ40" i="29" s="1"/>
  <c r="G42" i="15"/>
  <c r="Y39" i="29" s="1"/>
  <c r="M40" i="15"/>
  <c r="AQ37" i="29" s="1"/>
  <c r="G39" i="15"/>
  <c r="Y36" i="29" s="1"/>
  <c r="N65" i="15"/>
  <c r="H64"/>
  <c r="AB61" i="29" s="1"/>
  <c r="N62" i="15"/>
  <c r="H61"/>
  <c r="AB58" i="29" s="1"/>
  <c r="N59" i="15"/>
  <c r="H58"/>
  <c r="AB55" i="29" s="1"/>
  <c r="N56" i="15"/>
  <c r="H55"/>
  <c r="AB52" i="29" s="1"/>
  <c r="N53" i="15"/>
  <c r="H52"/>
  <c r="AB49" i="29" s="1"/>
  <c r="G79" i="15"/>
  <c r="Y76" i="29" s="1"/>
  <c r="M77" i="15"/>
  <c r="AQ74" i="29" s="1"/>
  <c r="G76" i="15"/>
  <c r="Y73" i="29" s="1"/>
  <c r="M74" i="15"/>
  <c r="AQ71" i="29" s="1"/>
  <c r="G73" i="15"/>
  <c r="Y70" i="29" s="1"/>
  <c r="M71" i="15"/>
  <c r="AQ68" i="29" s="1"/>
  <c r="G70" i="15"/>
  <c r="Y67" i="29" s="1"/>
  <c r="M68" i="15"/>
  <c r="AQ65" i="29" s="1"/>
  <c r="G67" i="15"/>
  <c r="Y64" i="29" s="1"/>
  <c r="N93" i="15"/>
  <c r="H92"/>
  <c r="AB89" i="29" s="1"/>
  <c r="N90" i="15"/>
  <c r="H89"/>
  <c r="AB86" i="29" s="1"/>
  <c r="N87" i="15"/>
  <c r="H86"/>
  <c r="AB83" i="29" s="1"/>
  <c r="N84" i="15"/>
  <c r="H83"/>
  <c r="AB80" i="29" s="1"/>
  <c r="N81" i="15"/>
  <c r="H80"/>
  <c r="AB77" i="29" s="1"/>
  <c r="AN478"/>
  <c r="V478"/>
  <c r="AN477"/>
  <c r="V477"/>
  <c r="AN476"/>
  <c r="V476"/>
  <c r="AN475"/>
  <c r="V475"/>
  <c r="AN474"/>
  <c r="V474"/>
  <c r="AN473"/>
  <c r="V473"/>
  <c r="AN472"/>
  <c r="V472"/>
  <c r="AN471"/>
  <c r="V471"/>
  <c r="AN470"/>
  <c r="V470"/>
  <c r="AN469"/>
  <c r="V469"/>
  <c r="AK478"/>
  <c r="S478"/>
  <c r="AK477"/>
  <c r="S477"/>
  <c r="AK476"/>
  <c r="S476"/>
  <c r="AK475"/>
  <c r="S475"/>
  <c r="AK474"/>
  <c r="S474"/>
  <c r="AK473"/>
  <c r="S473"/>
  <c r="AK472"/>
  <c r="S472"/>
  <c r="AK471"/>
  <c r="S471"/>
  <c r="AK470"/>
  <c r="S470"/>
  <c r="AK469"/>
  <c r="S469"/>
  <c r="AH478"/>
  <c r="P478"/>
  <c r="AH477"/>
  <c r="P477"/>
  <c r="AH476"/>
  <c r="P476"/>
  <c r="AH475"/>
  <c r="P475"/>
  <c r="AH474"/>
  <c r="P474"/>
  <c r="AH473"/>
  <c r="P473"/>
  <c r="AH472"/>
  <c r="P472"/>
  <c r="AH471"/>
  <c r="P471"/>
  <c r="AH470"/>
  <c r="P470"/>
  <c r="AH469"/>
  <c r="P469"/>
  <c r="AE478"/>
  <c r="M478"/>
  <c r="AE477"/>
  <c r="M477"/>
  <c r="AE476"/>
  <c r="M476"/>
  <c r="AE475"/>
  <c r="M475"/>
  <c r="AE474"/>
  <c r="M474"/>
  <c r="AE473"/>
  <c r="M473"/>
  <c r="AE472"/>
  <c r="M472"/>
  <c r="AE471"/>
  <c r="M471"/>
  <c r="AE470"/>
  <c r="M470"/>
  <c r="AE469"/>
  <c r="L471" i="15"/>
  <c r="AN468" i="29" s="1"/>
  <c r="F471" i="15"/>
  <c r="V468" i="29" s="1"/>
  <c r="L470" i="15"/>
  <c r="AN467" i="29" s="1"/>
  <c r="F470" i="15"/>
  <c r="V467" i="29" s="1"/>
  <c r="L469" i="15"/>
  <c r="AN466" i="29" s="1"/>
  <c r="F469" i="15"/>
  <c r="V466" i="29" s="1"/>
  <c r="L468" i="15"/>
  <c r="AN465" i="29" s="1"/>
  <c r="F468" i="15"/>
  <c r="V465" i="29" s="1"/>
  <c r="L467" i="15"/>
  <c r="AN464" i="29" s="1"/>
  <c r="F467" i="15"/>
  <c r="V464" i="29" s="1"/>
  <c r="L466" i="15"/>
  <c r="AN463" i="29" s="1"/>
  <c r="F466" i="15"/>
  <c r="V463" i="29" s="1"/>
  <c r="L465" i="15"/>
  <c r="AN462" i="29" s="1"/>
  <c r="F465" i="15"/>
  <c r="V462" i="29" s="1"/>
  <c r="L464" i="15"/>
  <c r="AN461" i="29" s="1"/>
  <c r="F464" i="15"/>
  <c r="V461" i="29" s="1"/>
  <c r="L463" i="15"/>
  <c r="AN460" i="29" s="1"/>
  <c r="F463" i="15"/>
  <c r="V460" i="29" s="1"/>
  <c r="L462" i="15"/>
  <c r="AN459" i="29" s="1"/>
  <c r="F462" i="15"/>
  <c r="V459" i="29" s="1"/>
  <c r="L461" i="15"/>
  <c r="AN458" i="29" s="1"/>
  <c r="F461" i="15"/>
  <c r="V458" i="29" s="1"/>
  <c r="L460" i="15"/>
  <c r="AN457" i="29" s="1"/>
  <c r="F460" i="15"/>
  <c r="V457" i="29" s="1"/>
  <c r="L459" i="15"/>
  <c r="AN456" i="29" s="1"/>
  <c r="F459" i="15"/>
  <c r="V456" i="29" s="1"/>
  <c r="L458" i="15"/>
  <c r="AN455" i="29" s="1"/>
  <c r="F458" i="15"/>
  <c r="V455" i="29" s="1"/>
  <c r="K471" i="15"/>
  <c r="AK468" i="29" s="1"/>
  <c r="E471" i="15"/>
  <c r="S468" i="29" s="1"/>
  <c r="K470" i="15"/>
  <c r="AK467" i="29" s="1"/>
  <c r="E470" i="15"/>
  <c r="S467" i="29" s="1"/>
  <c r="K469" i="15"/>
  <c r="AK466" i="29" s="1"/>
  <c r="E469" i="15"/>
  <c r="S466" i="29" s="1"/>
  <c r="K468" i="15"/>
  <c r="AK465" i="29" s="1"/>
  <c r="E468" i="15"/>
  <c r="S465" i="29" s="1"/>
  <c r="K467" i="15"/>
  <c r="AK464" i="29" s="1"/>
  <c r="E467" i="15"/>
  <c r="S464" i="29" s="1"/>
  <c r="K466" i="15"/>
  <c r="AK463" i="29" s="1"/>
  <c r="E466" i="15"/>
  <c r="S463" i="29" s="1"/>
  <c r="K465" i="15"/>
  <c r="AK462" i="29" s="1"/>
  <c r="E465" i="15"/>
  <c r="S462" i="29" s="1"/>
  <c r="K464" i="15"/>
  <c r="AK461" i="29" s="1"/>
  <c r="E464" i="15"/>
  <c r="S461" i="29" s="1"/>
  <c r="K463" i="15"/>
  <c r="AK460" i="29" s="1"/>
  <c r="E463" i="15"/>
  <c r="S460" i="29" s="1"/>
  <c r="K462" i="15"/>
  <c r="AK459" i="29" s="1"/>
  <c r="E462" i="15"/>
  <c r="S459" i="29" s="1"/>
  <c r="K461" i="15"/>
  <c r="AK458" i="29" s="1"/>
  <c r="E461" i="15"/>
  <c r="S458" i="29" s="1"/>
  <c r="K460" i="15"/>
  <c r="AK457" i="29" s="1"/>
  <c r="E460" i="15"/>
  <c r="S457" i="29" s="1"/>
  <c r="K459" i="15"/>
  <c r="AK456" i="29" s="1"/>
  <c r="E459" i="15"/>
  <c r="S456" i="29" s="1"/>
  <c r="K458" i="15"/>
  <c r="AK455" i="29" s="1"/>
  <c r="E458" i="15"/>
  <c r="S455" i="29" s="1"/>
  <c r="J471" i="15"/>
  <c r="AH468" i="29" s="1"/>
  <c r="D471" i="15"/>
  <c r="P468" i="29" s="1"/>
  <c r="J470" i="15"/>
  <c r="AH467" i="29" s="1"/>
  <c r="D470" i="15"/>
  <c r="P467" i="29" s="1"/>
  <c r="J469" i="15"/>
  <c r="AH466" i="29" s="1"/>
  <c r="D469" i="15"/>
  <c r="P466" i="29" s="1"/>
  <c r="J468" i="15"/>
  <c r="AH465" i="29" s="1"/>
  <c r="D468" i="15"/>
  <c r="P465" i="29" s="1"/>
  <c r="J467" i="15"/>
  <c r="AH464" i="29" s="1"/>
  <c r="D467" i="15"/>
  <c r="P464" i="29" s="1"/>
  <c r="J466" i="15"/>
  <c r="AH463" i="29" s="1"/>
  <c r="D466" i="15"/>
  <c r="P463" i="29" s="1"/>
  <c r="J465" i="15"/>
  <c r="AH462" i="29" s="1"/>
  <c r="D465" i="15"/>
  <c r="P462" i="29" s="1"/>
  <c r="J464" i="15"/>
  <c r="AH461" i="29" s="1"/>
  <c r="D464" i="15"/>
  <c r="P461" i="29" s="1"/>
  <c r="J463" i="15"/>
  <c r="AH460" i="29" s="1"/>
  <c r="D463" i="15"/>
  <c r="P460" i="29" s="1"/>
  <c r="J462" i="15"/>
  <c r="AH459" i="29" s="1"/>
  <c r="D462" i="15"/>
  <c r="P459" i="29" s="1"/>
  <c r="J461" i="15"/>
  <c r="AH458" i="29" s="1"/>
  <c r="D461" i="15"/>
  <c r="P458" i="29" s="1"/>
  <c r="J460" i="15"/>
  <c r="AH457" i="29" s="1"/>
  <c r="D460" i="15"/>
  <c r="P457" i="29" s="1"/>
  <c r="J459" i="15"/>
  <c r="AH456" i="29" s="1"/>
  <c r="D459" i="15"/>
  <c r="P456" i="29" s="1"/>
  <c r="J458" i="15"/>
  <c r="AH455" i="29" s="1"/>
  <c r="D458" i="15"/>
  <c r="P455" i="29" s="1"/>
  <c r="I471" i="15"/>
  <c r="AE468" i="29" s="1"/>
  <c r="C471" i="15"/>
  <c r="M468" i="29" s="1"/>
  <c r="I470" i="15"/>
  <c r="AE467" i="29" s="1"/>
  <c r="C470" i="15"/>
  <c r="M467" i="29" s="1"/>
  <c r="I469" i="15"/>
  <c r="AE466" i="29" s="1"/>
  <c r="C469" i="15"/>
  <c r="M466" i="29" s="1"/>
  <c r="I468" i="15"/>
  <c r="AE465" i="29" s="1"/>
  <c r="C468" i="15"/>
  <c r="M465" i="29" s="1"/>
  <c r="I467" i="15"/>
  <c r="AE464" i="29" s="1"/>
  <c r="C467" i="15"/>
  <c r="M464" i="29" s="1"/>
  <c r="I466" i="15"/>
  <c r="AE463" i="29" s="1"/>
  <c r="C466" i="15"/>
  <c r="M463" i="29" s="1"/>
  <c r="I465" i="15"/>
  <c r="AE462" i="29" s="1"/>
  <c r="C465" i="15"/>
  <c r="M462" i="29" s="1"/>
  <c r="I464" i="15"/>
  <c r="AE461" i="29" s="1"/>
  <c r="C464" i="15"/>
  <c r="M461" i="29" s="1"/>
  <c r="I463" i="15"/>
  <c r="AE460" i="29" s="1"/>
  <c r="C463" i="15"/>
  <c r="M460" i="29" s="1"/>
  <c r="I462" i="15"/>
  <c r="AE459" i="29" s="1"/>
  <c r="C462" i="15"/>
  <c r="M459" i="29" s="1"/>
  <c r="I461" i="15"/>
  <c r="AE458" i="29" s="1"/>
  <c r="C461" i="15"/>
  <c r="M458" i="29" s="1"/>
  <c r="I460" i="15"/>
  <c r="AE457" i="29" s="1"/>
  <c r="C460" i="15"/>
  <c r="M457" i="29" s="1"/>
  <c r="I459" i="15"/>
  <c r="AE456" i="29" s="1"/>
  <c r="C459" i="15"/>
  <c r="M456" i="29" s="1"/>
  <c r="I458" i="15"/>
  <c r="AE455" i="29" s="1"/>
  <c r="L457" i="15"/>
  <c r="AN454" i="29" s="1"/>
  <c r="F457" i="15"/>
  <c r="V454" i="29" s="1"/>
  <c r="L456" i="15"/>
  <c r="AN453" i="29" s="1"/>
  <c r="F456" i="15"/>
  <c r="V453" i="29" s="1"/>
  <c r="L455" i="15"/>
  <c r="AN452" i="29" s="1"/>
  <c r="F455" i="15"/>
  <c r="V452" i="29" s="1"/>
  <c r="L454" i="15"/>
  <c r="AN451" i="29" s="1"/>
  <c r="F454" i="15"/>
  <c r="V451" i="29" s="1"/>
  <c r="L453" i="15"/>
  <c r="AN450" i="29" s="1"/>
  <c r="F453" i="15"/>
  <c r="V450" i="29" s="1"/>
  <c r="L452" i="15"/>
  <c r="AN449" i="29" s="1"/>
  <c r="F452" i="15"/>
  <c r="V449" i="29" s="1"/>
  <c r="L451" i="15"/>
  <c r="AN448" i="29" s="1"/>
  <c r="F451" i="15"/>
  <c r="V448" i="29" s="1"/>
  <c r="L450" i="15"/>
  <c r="AN447" i="29" s="1"/>
  <c r="F450" i="15"/>
  <c r="V447" i="29" s="1"/>
  <c r="L449" i="15"/>
  <c r="AN446" i="29" s="1"/>
  <c r="F449" i="15"/>
  <c r="V446" i="29" s="1"/>
  <c r="L448" i="15"/>
  <c r="AN445" i="29" s="1"/>
  <c r="F448" i="15"/>
  <c r="V445" i="29" s="1"/>
  <c r="L447" i="15"/>
  <c r="AN444" i="29" s="1"/>
  <c r="F447" i="15"/>
  <c r="V444" i="29" s="1"/>
  <c r="L446" i="15"/>
  <c r="AN443" i="29" s="1"/>
  <c r="F446" i="15"/>
  <c r="L445"/>
  <c r="AN442" i="29" s="1"/>
  <c r="F445" i="15"/>
  <c r="V442" i="29" s="1"/>
  <c r="L444" i="15"/>
  <c r="L443"/>
  <c r="AN440" i="29" s="1"/>
  <c r="F443" i="15"/>
  <c r="V440" i="29" s="1"/>
  <c r="L442" i="15"/>
  <c r="AN439" i="29" s="1"/>
  <c r="F442" i="15"/>
  <c r="V439" i="29" s="1"/>
  <c r="L441" i="15"/>
  <c r="F441"/>
  <c r="L440"/>
  <c r="AN437" i="29" s="1"/>
  <c r="F440" i="15"/>
  <c r="V437" i="29" s="1"/>
  <c r="L439" i="15"/>
  <c r="AN436" i="29" s="1"/>
  <c r="F439" i="15"/>
  <c r="V436" i="29" s="1"/>
  <c r="L438" i="15"/>
  <c r="AN435" i="29" s="1"/>
  <c r="F438" i="15"/>
  <c r="V435" i="29" s="1"/>
  <c r="L437" i="15"/>
  <c r="AN434" i="29" s="1"/>
  <c r="F437" i="15"/>
  <c r="V434" i="29" s="1"/>
  <c r="L436" i="15"/>
  <c r="AN433" i="29" s="1"/>
  <c r="F436" i="15"/>
  <c r="V433" i="29" s="1"/>
  <c r="L435" i="15"/>
  <c r="AN432" i="29" s="1"/>
  <c r="F435" i="15"/>
  <c r="V432" i="29" s="1"/>
  <c r="L434" i="15"/>
  <c r="AN431" i="29" s="1"/>
  <c r="F434" i="15"/>
  <c r="V431" i="29" s="1"/>
  <c r="L433" i="15"/>
  <c r="AN430" i="29" s="1"/>
  <c r="F433" i="15"/>
  <c r="V430" i="29" s="1"/>
  <c r="L432" i="15"/>
  <c r="AN429" i="29" s="1"/>
  <c r="F432" i="15"/>
  <c r="V429" i="29" s="1"/>
  <c r="L431" i="15"/>
  <c r="AN428" i="29" s="1"/>
  <c r="F431" i="15"/>
  <c r="V428" i="29" s="1"/>
  <c r="L430" i="15"/>
  <c r="AN427" i="29" s="1"/>
  <c r="F430" i="15"/>
  <c r="V427" i="29" s="1"/>
  <c r="K443" i="15"/>
  <c r="AK440" i="29" s="1"/>
  <c r="E443" i="15"/>
  <c r="S440" i="29" s="1"/>
  <c r="K442" i="15"/>
  <c r="AK439" i="29" s="1"/>
  <c r="E442" i="15"/>
  <c r="S439" i="29" s="1"/>
  <c r="K441" i="15"/>
  <c r="E441"/>
  <c r="K440"/>
  <c r="AK437" i="29" s="1"/>
  <c r="E440" i="15"/>
  <c r="S437" i="29" s="1"/>
  <c r="K439" i="15"/>
  <c r="AK436" i="29" s="1"/>
  <c r="E439" i="15"/>
  <c r="S436" i="29" s="1"/>
  <c r="K438" i="15"/>
  <c r="AK435" i="29" s="1"/>
  <c r="E438" i="15"/>
  <c r="S435" i="29" s="1"/>
  <c r="K437" i="15"/>
  <c r="AK434" i="29" s="1"/>
  <c r="E437" i="15"/>
  <c r="S434" i="29" s="1"/>
  <c r="K436" i="15"/>
  <c r="AK433" i="29" s="1"/>
  <c r="E436" i="15"/>
  <c r="S433" i="29" s="1"/>
  <c r="K435" i="15"/>
  <c r="AK432" i="29" s="1"/>
  <c r="E435" i="15"/>
  <c r="S432" i="29" s="1"/>
  <c r="K434" i="15"/>
  <c r="AK431" i="29" s="1"/>
  <c r="E434" i="15"/>
  <c r="S431" i="29" s="1"/>
  <c r="K433" i="15"/>
  <c r="AK430" i="29" s="1"/>
  <c r="E433" i="15"/>
  <c r="S430" i="29" s="1"/>
  <c r="K432" i="15"/>
  <c r="AK429" i="29" s="1"/>
  <c r="E432" i="15"/>
  <c r="S429" i="29" s="1"/>
  <c r="K431" i="15"/>
  <c r="AK428" i="29" s="1"/>
  <c r="E431" i="15"/>
  <c r="S428" i="29" s="1"/>
  <c r="K430" i="15"/>
  <c r="AK427" i="29" s="1"/>
  <c r="E430" i="15"/>
  <c r="S427" i="29" s="1"/>
  <c r="J443" i="15"/>
  <c r="AH440" i="29" s="1"/>
  <c r="D443" i="15"/>
  <c r="P440" i="29" s="1"/>
  <c r="J442" i="15"/>
  <c r="AH439" i="29" s="1"/>
  <c r="D442" i="15"/>
  <c r="P439" i="29" s="1"/>
  <c r="J441" i="15"/>
  <c r="D441"/>
  <c r="J440"/>
  <c r="AH437" i="29" s="1"/>
  <c r="D440" i="15"/>
  <c r="P437" i="29" s="1"/>
  <c r="J439" i="15"/>
  <c r="AH436" i="29" s="1"/>
  <c r="D439" i="15"/>
  <c r="P436" i="29" s="1"/>
  <c r="J438" i="15"/>
  <c r="AH435" i="29" s="1"/>
  <c r="D438" i="15"/>
  <c r="P435" i="29" s="1"/>
  <c r="J437" i="15"/>
  <c r="AH434" i="29" s="1"/>
  <c r="D437" i="15"/>
  <c r="P434" i="29" s="1"/>
  <c r="J436" i="15"/>
  <c r="AH433" i="29" s="1"/>
  <c r="D436" i="15"/>
  <c r="P433" i="29" s="1"/>
  <c r="J435" i="15"/>
  <c r="AH432" i="29" s="1"/>
  <c r="D435" i="15"/>
  <c r="P432" i="29" s="1"/>
  <c r="J434" i="15"/>
  <c r="AH431" i="29" s="1"/>
  <c r="D434" i="15"/>
  <c r="P431" i="29" s="1"/>
  <c r="J433" i="15"/>
  <c r="AH430" i="29" s="1"/>
  <c r="D433" i="15"/>
  <c r="P430" i="29" s="1"/>
  <c r="J432" i="15"/>
  <c r="AH429" i="29" s="1"/>
  <c r="D432" i="15"/>
  <c r="P429" i="29" s="1"/>
  <c r="J431" i="15"/>
  <c r="AH428" i="29" s="1"/>
  <c r="D431" i="15"/>
  <c r="P428" i="29" s="1"/>
  <c r="J430" i="15"/>
  <c r="AH427" i="29" s="1"/>
  <c r="D430" i="15"/>
  <c r="P427" i="29" s="1"/>
  <c r="I443" i="15"/>
  <c r="AE440" i="29" s="1"/>
  <c r="C443" i="15"/>
  <c r="M440" i="29" s="1"/>
  <c r="I442" i="15"/>
  <c r="AE439" i="29" s="1"/>
  <c r="C442" i="15"/>
  <c r="M439" i="29" s="1"/>
  <c r="I441" i="15"/>
  <c r="C441"/>
  <c r="I440"/>
  <c r="AE437" i="29" s="1"/>
  <c r="C440" i="15"/>
  <c r="M437" i="29" s="1"/>
  <c r="I439" i="15"/>
  <c r="AE436" i="29" s="1"/>
  <c r="C439" i="15"/>
  <c r="M436" i="29" s="1"/>
  <c r="I438" i="15"/>
  <c r="AE435" i="29" s="1"/>
  <c r="C438" i="15"/>
  <c r="M435" i="29" s="1"/>
  <c r="I437" i="15"/>
  <c r="AE434" i="29" s="1"/>
  <c r="C437" i="15"/>
  <c r="M434" i="29" s="1"/>
  <c r="I436" i="15"/>
  <c r="AE433" i="29" s="1"/>
  <c r="C436" i="15"/>
  <c r="M433" i="29" s="1"/>
  <c r="I435" i="15"/>
  <c r="AE432" i="29" s="1"/>
  <c r="C435" i="15"/>
  <c r="M432" i="29" s="1"/>
  <c r="I434" i="15"/>
  <c r="AE431" i="29" s="1"/>
  <c r="C434" i="15"/>
  <c r="M431" i="29" s="1"/>
  <c r="I433" i="15"/>
  <c r="AE430" i="29" s="1"/>
  <c r="C433" i="15"/>
  <c r="M430" i="29" s="1"/>
  <c r="I432" i="15"/>
  <c r="AE429" i="29" s="1"/>
  <c r="C432" i="15"/>
  <c r="M429" i="29" s="1"/>
  <c r="I431" i="15"/>
  <c r="AE428" i="29" s="1"/>
  <c r="C431" i="15"/>
  <c r="M428" i="29" s="1"/>
  <c r="I430" i="15"/>
  <c r="AE427" i="29" s="1"/>
  <c r="L429" i="15"/>
  <c r="AN426" i="29" s="1"/>
  <c r="F429" i="15"/>
  <c r="V426" i="29" s="1"/>
  <c r="L428" i="15"/>
  <c r="AN425" i="29" s="1"/>
  <c r="F428" i="15"/>
  <c r="V425" i="29" s="1"/>
  <c r="L427" i="15"/>
  <c r="AN424" i="29" s="1"/>
  <c r="F427" i="15"/>
  <c r="V424" i="29" s="1"/>
  <c r="L426" i="15"/>
  <c r="AN423" i="29" s="1"/>
  <c r="F426" i="15"/>
  <c r="V423" i="29" s="1"/>
  <c r="L425" i="15"/>
  <c r="AN422" i="29" s="1"/>
  <c r="F425" i="15"/>
  <c r="V422" i="29" s="1"/>
  <c r="L424" i="15"/>
  <c r="AN421" i="29" s="1"/>
  <c r="F424" i="15"/>
  <c r="V421" i="29" s="1"/>
  <c r="L423" i="15"/>
  <c r="AN420" i="29" s="1"/>
  <c r="F423" i="15"/>
  <c r="V420" i="29" s="1"/>
  <c r="L422" i="15"/>
  <c r="AN419" i="29" s="1"/>
  <c r="F422" i="15"/>
  <c r="V419" i="29" s="1"/>
  <c r="L421" i="15"/>
  <c r="AN418" i="29" s="1"/>
  <c r="F421" i="15"/>
  <c r="V418" i="29" s="1"/>
  <c r="L420" i="15"/>
  <c r="AN417" i="29" s="1"/>
  <c r="F420" i="15"/>
  <c r="V417" i="29" s="1"/>
  <c r="L419" i="15"/>
  <c r="AN416" i="29" s="1"/>
  <c r="F419" i="15"/>
  <c r="V416" i="29" s="1"/>
  <c r="L418" i="15"/>
  <c r="AN415" i="29" s="1"/>
  <c r="F418" i="15"/>
  <c r="V415" i="29" s="1"/>
  <c r="L417" i="15"/>
  <c r="AN414" i="29" s="1"/>
  <c r="F417" i="15"/>
  <c r="V414" i="29" s="1"/>
  <c r="L416" i="15"/>
  <c r="AN413" i="29" s="1"/>
  <c r="F416" i="15"/>
  <c r="V413" i="29" s="1"/>
  <c r="K429" i="15"/>
  <c r="AK426" i="29" s="1"/>
  <c r="E429" i="15"/>
  <c r="S426" i="29" s="1"/>
  <c r="K428" i="15"/>
  <c r="AK425" i="29" s="1"/>
  <c r="E428" i="15"/>
  <c r="S425" i="29" s="1"/>
  <c r="K427" i="15"/>
  <c r="AK424" i="29" s="1"/>
  <c r="E427" i="15"/>
  <c r="S424" i="29" s="1"/>
  <c r="K426" i="15"/>
  <c r="AK423" i="29" s="1"/>
  <c r="E426" i="15"/>
  <c r="S423" i="29" s="1"/>
  <c r="K425" i="15"/>
  <c r="AK422" i="29" s="1"/>
  <c r="E425" i="15"/>
  <c r="S422" i="29" s="1"/>
  <c r="K424" i="15"/>
  <c r="AK421" i="29" s="1"/>
  <c r="E424" i="15"/>
  <c r="S421" i="29" s="1"/>
  <c r="K423" i="15"/>
  <c r="AK420" i="29" s="1"/>
  <c r="E423" i="15"/>
  <c r="S420" i="29" s="1"/>
  <c r="K422" i="15"/>
  <c r="AK419" i="29" s="1"/>
  <c r="E422" i="15"/>
  <c r="S419" i="29" s="1"/>
  <c r="K421" i="15"/>
  <c r="AK418" i="29" s="1"/>
  <c r="E421" i="15"/>
  <c r="S418" i="29" s="1"/>
  <c r="K420" i="15"/>
  <c r="AK417" i="29" s="1"/>
  <c r="E420" i="15"/>
  <c r="S417" i="29" s="1"/>
  <c r="K419" i="15"/>
  <c r="AK416" i="29" s="1"/>
  <c r="E419" i="15"/>
  <c r="S416" i="29" s="1"/>
  <c r="J429" i="15"/>
  <c r="AH426" i="29" s="1"/>
  <c r="D429" i="15"/>
  <c r="P426" i="29" s="1"/>
  <c r="J428" i="15"/>
  <c r="AH425" i="29" s="1"/>
  <c r="D428" i="15"/>
  <c r="P425" i="29" s="1"/>
  <c r="J427" i="15"/>
  <c r="AH424" i="29" s="1"/>
  <c r="D427" i="15"/>
  <c r="P424" i="29" s="1"/>
  <c r="J426" i="15"/>
  <c r="AH423" i="29" s="1"/>
  <c r="D426" i="15"/>
  <c r="P423" i="29" s="1"/>
  <c r="J425" i="15"/>
  <c r="AH422" i="29" s="1"/>
  <c r="D425" i="15"/>
  <c r="P422" i="29" s="1"/>
  <c r="J424" i="15"/>
  <c r="AH421" i="29" s="1"/>
  <c r="D424" i="15"/>
  <c r="P421" i="29" s="1"/>
  <c r="J423" i="15"/>
  <c r="AH420" i="29" s="1"/>
  <c r="D423" i="15"/>
  <c r="P420" i="29" s="1"/>
  <c r="J422" i="15"/>
  <c r="AH419" i="29" s="1"/>
  <c r="D422" i="15"/>
  <c r="P419" i="29" s="1"/>
  <c r="J421" i="15"/>
  <c r="AH418" i="29" s="1"/>
  <c r="D421" i="15"/>
  <c r="P418" i="29" s="1"/>
  <c r="J420" i="15"/>
  <c r="AH417" i="29" s="1"/>
  <c r="D420" i="15"/>
  <c r="P417" i="29" s="1"/>
  <c r="J419" i="15"/>
  <c r="AH416" i="29" s="1"/>
  <c r="D419" i="15"/>
  <c r="P416" i="29" s="1"/>
  <c r="J418" i="15"/>
  <c r="AH415" i="29" s="1"/>
  <c r="D418" i="15"/>
  <c r="P415" i="29" s="1"/>
  <c r="J417" i="15"/>
  <c r="AH414" i="29" s="1"/>
  <c r="D417" i="15"/>
  <c r="P414" i="29" s="1"/>
  <c r="J416" i="15"/>
  <c r="AH413" i="29" s="1"/>
  <c r="D416" i="15"/>
  <c r="P413" i="29" s="1"/>
  <c r="I429" i="15"/>
  <c r="AE426" i="29" s="1"/>
  <c r="C429" i="15"/>
  <c r="M426" i="29" s="1"/>
  <c r="I428" i="15"/>
  <c r="AE425" i="29" s="1"/>
  <c r="C428" i="15"/>
  <c r="M425" i="29" s="1"/>
  <c r="I427" i="15"/>
  <c r="AE424" i="29" s="1"/>
  <c r="C427" i="15"/>
  <c r="M424" i="29" s="1"/>
  <c r="I426" i="15"/>
  <c r="AE423" i="29" s="1"/>
  <c r="C426" i="15"/>
  <c r="M423" i="29" s="1"/>
  <c r="I425" i="15"/>
  <c r="AE422" i="29" s="1"/>
  <c r="C425" i="15"/>
  <c r="M422" i="29" s="1"/>
  <c r="I424" i="15"/>
  <c r="AE421" i="29" s="1"/>
  <c r="C424" i="15"/>
  <c r="M421" i="29" s="1"/>
  <c r="I423" i="15"/>
  <c r="AE420" i="29" s="1"/>
  <c r="C423" i="15"/>
  <c r="M420" i="29" s="1"/>
  <c r="I422" i="15"/>
  <c r="AE419" i="29" s="1"/>
  <c r="C422" i="15"/>
  <c r="M419" i="29" s="1"/>
  <c r="I421" i="15"/>
  <c r="AE418" i="29" s="1"/>
  <c r="C421" i="15"/>
  <c r="M418" i="29" s="1"/>
  <c r="I420" i="15"/>
  <c r="AE417" i="29" s="1"/>
  <c r="C420" i="15"/>
  <c r="M417" i="29" s="1"/>
  <c r="I419" i="15"/>
  <c r="AE416" i="29" s="1"/>
  <c r="C419" i="15"/>
  <c r="M416" i="29" s="1"/>
  <c r="I418" i="15"/>
  <c r="AE415" i="29" s="1"/>
  <c r="C418" i="15"/>
  <c r="M415" i="29" s="1"/>
  <c r="I417" i="15"/>
  <c r="AE414" i="29" s="1"/>
  <c r="L415" i="15"/>
  <c r="AN412" i="29" s="1"/>
  <c r="F415" i="15"/>
  <c r="V412" i="29" s="1"/>
  <c r="L414" i="15"/>
  <c r="AN411" i="29" s="1"/>
  <c r="F414" i="15"/>
  <c r="V411" i="29" s="1"/>
  <c r="L413" i="15"/>
  <c r="AN410" i="29" s="1"/>
  <c r="F413" i="15"/>
  <c r="V410" i="29" s="1"/>
  <c r="L412" i="15"/>
  <c r="AN409" i="29" s="1"/>
  <c r="F412" i="15"/>
  <c r="V409" i="29" s="1"/>
  <c r="L411" i="15"/>
  <c r="AN408" i="29" s="1"/>
  <c r="F411" i="15"/>
  <c r="V408" i="29" s="1"/>
  <c r="L410" i="15"/>
  <c r="AN407" i="29" s="1"/>
  <c r="F410" i="15"/>
  <c r="V407" i="29" s="1"/>
  <c r="L409" i="15"/>
  <c r="AN406" i="29" s="1"/>
  <c r="F409" i="15"/>
  <c r="V406" i="29" s="1"/>
  <c r="L408" i="15"/>
  <c r="AN405" i="29" s="1"/>
  <c r="F408" i="15"/>
  <c r="V405" i="29" s="1"/>
  <c r="L407" i="15"/>
  <c r="AN404" i="29" s="1"/>
  <c r="F407" i="15"/>
  <c r="V404" i="29" s="1"/>
  <c r="L406" i="15"/>
  <c r="AN403" i="29" s="1"/>
  <c r="F406" i="15"/>
  <c r="V403" i="29" s="1"/>
  <c r="L405" i="15"/>
  <c r="AN402" i="29" s="1"/>
  <c r="F405" i="15"/>
  <c r="V402" i="29" s="1"/>
  <c r="L404" i="15"/>
  <c r="AN401" i="29" s="1"/>
  <c r="F404" i="15"/>
  <c r="V401" i="29" s="1"/>
  <c r="L403" i="15"/>
  <c r="AN400" i="29" s="1"/>
  <c r="F403" i="15"/>
  <c r="V400" i="29" s="1"/>
  <c r="L402" i="15"/>
  <c r="AN399" i="29" s="1"/>
  <c r="F402" i="15"/>
  <c r="V399" i="29" s="1"/>
  <c r="K415" i="15"/>
  <c r="AK412" i="29" s="1"/>
  <c r="E415" i="15"/>
  <c r="S412" i="29" s="1"/>
  <c r="K414" i="15"/>
  <c r="AK411" i="29" s="1"/>
  <c r="E414" i="15"/>
  <c r="S411" i="29" s="1"/>
  <c r="K413" i="15"/>
  <c r="AK410" i="29" s="1"/>
  <c r="E413" i="15"/>
  <c r="S410" i="29" s="1"/>
  <c r="K412" i="15"/>
  <c r="AK409" i="29" s="1"/>
  <c r="E412" i="15"/>
  <c r="S409" i="29" s="1"/>
  <c r="K411" i="15"/>
  <c r="AK408" i="29" s="1"/>
  <c r="E411" i="15"/>
  <c r="S408" i="29" s="1"/>
  <c r="K410" i="15"/>
  <c r="AK407" i="29" s="1"/>
  <c r="E410" i="15"/>
  <c r="S407" i="29" s="1"/>
  <c r="K409" i="15"/>
  <c r="AK406" i="29" s="1"/>
  <c r="E409" i="15"/>
  <c r="S406" i="29" s="1"/>
  <c r="K408" i="15"/>
  <c r="AK405" i="29" s="1"/>
  <c r="E408" i="15"/>
  <c r="S405" i="29" s="1"/>
  <c r="K407" i="15"/>
  <c r="AK404" i="29" s="1"/>
  <c r="E407" i="15"/>
  <c r="S404" i="29" s="1"/>
  <c r="K406" i="15"/>
  <c r="AK403" i="29" s="1"/>
  <c r="E406" i="15"/>
  <c r="S403" i="29" s="1"/>
  <c r="K405" i="15"/>
  <c r="AK402" i="29" s="1"/>
  <c r="E405" i="15"/>
  <c r="S402" i="29" s="1"/>
  <c r="K404" i="15"/>
  <c r="AK401" i="29" s="1"/>
  <c r="E404" i="15"/>
  <c r="S401" i="29" s="1"/>
  <c r="K403" i="15"/>
  <c r="AK400" i="29" s="1"/>
  <c r="E403" i="15"/>
  <c r="S400" i="29" s="1"/>
  <c r="K402" i="15"/>
  <c r="AK399" i="29" s="1"/>
  <c r="E402" i="15"/>
  <c r="S399" i="29" s="1"/>
  <c r="J415" i="15"/>
  <c r="AH412" i="29" s="1"/>
  <c r="D415" i="15"/>
  <c r="P412" i="29" s="1"/>
  <c r="J414" i="15"/>
  <c r="AH411" i="29" s="1"/>
  <c r="D414" i="15"/>
  <c r="P411" i="29" s="1"/>
  <c r="J413" i="15"/>
  <c r="AH410" i="29" s="1"/>
  <c r="D413" i="15"/>
  <c r="P410" i="29" s="1"/>
  <c r="J412" i="15"/>
  <c r="AH409" i="29" s="1"/>
  <c r="D412" i="15"/>
  <c r="P409" i="29" s="1"/>
  <c r="J411" i="15"/>
  <c r="AH408" i="29" s="1"/>
  <c r="D411" i="15"/>
  <c r="P408" i="29" s="1"/>
  <c r="J410" i="15"/>
  <c r="AH407" i="29" s="1"/>
  <c r="D410" i="15"/>
  <c r="P407" i="29" s="1"/>
  <c r="J409" i="15"/>
  <c r="AH406" i="29" s="1"/>
  <c r="D409" i="15"/>
  <c r="P406" i="29" s="1"/>
  <c r="J408" i="15"/>
  <c r="AH405" i="29" s="1"/>
  <c r="D408" i="15"/>
  <c r="P405" i="29" s="1"/>
  <c r="J407" i="15"/>
  <c r="AH404" i="29" s="1"/>
  <c r="D407" i="15"/>
  <c r="P404" i="29" s="1"/>
  <c r="J406" i="15"/>
  <c r="AH403" i="29" s="1"/>
  <c r="D406" i="15"/>
  <c r="P403" i="29" s="1"/>
  <c r="J405" i="15"/>
  <c r="AH402" i="29" s="1"/>
  <c r="D405" i="15"/>
  <c r="P402" i="29" s="1"/>
  <c r="J404" i="15"/>
  <c r="AH401" i="29" s="1"/>
  <c r="D404" i="15"/>
  <c r="P401" i="29" s="1"/>
  <c r="J403" i="15"/>
  <c r="AH400" i="29" s="1"/>
  <c r="D403" i="15"/>
  <c r="P400" i="29" s="1"/>
  <c r="J402" i="15"/>
  <c r="AH399" i="29" s="1"/>
  <c r="D402" i="15"/>
  <c r="I415"/>
  <c r="AE412" i="29" s="1"/>
  <c r="C415" i="15"/>
  <c r="M412" i="29" s="1"/>
  <c r="I414" i="15"/>
  <c r="AE411" i="29" s="1"/>
  <c r="C414" i="15"/>
  <c r="M411" i="29" s="1"/>
  <c r="I413" i="15"/>
  <c r="AE410" i="29" s="1"/>
  <c r="C413" i="15"/>
  <c r="M410" i="29" s="1"/>
  <c r="I412" i="15"/>
  <c r="AE409" i="29" s="1"/>
  <c r="C412" i="15"/>
  <c r="M409" i="29" s="1"/>
  <c r="I411" i="15"/>
  <c r="AE408" i="29" s="1"/>
  <c r="C411" i="15"/>
  <c r="M408" i="29" s="1"/>
  <c r="I410" i="15"/>
  <c r="AE407" i="29" s="1"/>
  <c r="C410" i="15"/>
  <c r="M407" i="29" s="1"/>
  <c r="I409" i="15"/>
  <c r="AE406" i="29" s="1"/>
  <c r="C409" i="15"/>
  <c r="M406" i="29" s="1"/>
  <c r="I408" i="15"/>
  <c r="AE405" i="29" s="1"/>
  <c r="C408" i="15"/>
  <c r="M405" i="29" s="1"/>
  <c r="I407" i="15"/>
  <c r="AE404" i="29" s="1"/>
  <c r="C407" i="15"/>
  <c r="M404" i="29" s="1"/>
  <c r="I406" i="15"/>
  <c r="AE403" i="29" s="1"/>
  <c r="C406" i="15"/>
  <c r="M403" i="29" s="1"/>
  <c r="I405" i="15"/>
  <c r="AE402" i="29" s="1"/>
  <c r="C405" i="15"/>
  <c r="M402" i="29" s="1"/>
  <c r="I404" i="15"/>
  <c r="AE401" i="29" s="1"/>
  <c r="C404" i="15"/>
  <c r="M401" i="29" s="1"/>
  <c r="I403" i="15"/>
  <c r="AE400" i="29" s="1"/>
  <c r="C403" i="15"/>
  <c r="M400" i="29" s="1"/>
  <c r="I402" i="15"/>
  <c r="AE399" i="29" s="1"/>
  <c r="L401" i="15"/>
  <c r="AN398" i="29" s="1"/>
  <c r="F401" i="15"/>
  <c r="V398" i="29" s="1"/>
  <c r="L400" i="15"/>
  <c r="AN397" i="29" s="1"/>
  <c r="F400" i="15"/>
  <c r="V397" i="29" s="1"/>
  <c r="L399" i="15"/>
  <c r="AN396" i="29" s="1"/>
  <c r="F399" i="15"/>
  <c r="V396" i="29" s="1"/>
  <c r="L398" i="15"/>
  <c r="AN395" i="29" s="1"/>
  <c r="F398" i="15"/>
  <c r="V395" i="29" s="1"/>
  <c r="L397" i="15"/>
  <c r="AN394" i="29" s="1"/>
  <c r="F397" i="15"/>
  <c r="V394" i="29" s="1"/>
  <c r="L396" i="15"/>
  <c r="AN393" i="29" s="1"/>
  <c r="F396" i="15"/>
  <c r="V393" i="29" s="1"/>
  <c r="L395" i="15"/>
  <c r="AN392" i="29" s="1"/>
  <c r="F395" i="15"/>
  <c r="V392" i="29" s="1"/>
  <c r="L394" i="15"/>
  <c r="AN391" i="29" s="1"/>
  <c r="F394" i="15"/>
  <c r="V391" i="29" s="1"/>
  <c r="L393" i="15"/>
  <c r="AN390" i="29" s="1"/>
  <c r="F393" i="15"/>
  <c r="V390" i="29" s="1"/>
  <c r="L392" i="15"/>
  <c r="AN389" i="29" s="1"/>
  <c r="F392" i="15"/>
  <c r="V389" i="29" s="1"/>
  <c r="L391" i="15"/>
  <c r="AN388" i="29" s="1"/>
  <c r="F391" i="15"/>
  <c r="V388" i="29" s="1"/>
  <c r="L390" i="15"/>
  <c r="AN387" i="29" s="1"/>
  <c r="F390" i="15"/>
  <c r="V387" i="29" s="1"/>
  <c r="L389" i="15"/>
  <c r="AN386" i="29" s="1"/>
  <c r="F389" i="15"/>
  <c r="V386" i="29" s="1"/>
  <c r="L388" i="15"/>
  <c r="AN385" i="29" s="1"/>
  <c r="F388" i="15"/>
  <c r="V385" i="29" s="1"/>
  <c r="K401" i="15"/>
  <c r="AK398" i="29" s="1"/>
  <c r="E401" i="15"/>
  <c r="S398" i="29" s="1"/>
  <c r="K400" i="15"/>
  <c r="AK397" i="29" s="1"/>
  <c r="E400" i="15"/>
  <c r="S397" i="29" s="1"/>
  <c r="K399" i="15"/>
  <c r="AK396" i="29" s="1"/>
  <c r="E399" i="15"/>
  <c r="S396" i="29" s="1"/>
  <c r="K398" i="15"/>
  <c r="AK395" i="29" s="1"/>
  <c r="E398" i="15"/>
  <c r="S395" i="29" s="1"/>
  <c r="K397" i="15"/>
  <c r="AK394" i="29" s="1"/>
  <c r="E397" i="15"/>
  <c r="S394" i="29" s="1"/>
  <c r="K396" i="15"/>
  <c r="AK393" i="29" s="1"/>
  <c r="E396" i="15"/>
  <c r="S393" i="29" s="1"/>
  <c r="K395" i="15"/>
  <c r="AK392" i="29" s="1"/>
  <c r="E395" i="15"/>
  <c r="S392" i="29" s="1"/>
  <c r="K394" i="15"/>
  <c r="AK391" i="29" s="1"/>
  <c r="E394" i="15"/>
  <c r="S391" i="29" s="1"/>
  <c r="K393" i="15"/>
  <c r="AK390" i="29" s="1"/>
  <c r="E393" i="15"/>
  <c r="S390" i="29" s="1"/>
  <c r="K392" i="15"/>
  <c r="AK389" i="29" s="1"/>
  <c r="E392" i="15"/>
  <c r="S389" i="29" s="1"/>
  <c r="K391" i="15"/>
  <c r="AK388" i="29" s="1"/>
  <c r="E391" i="15"/>
  <c r="S388" i="29" s="1"/>
  <c r="K390" i="15"/>
  <c r="AK387" i="29" s="1"/>
  <c r="E390" i="15"/>
  <c r="S387" i="29" s="1"/>
  <c r="K389" i="15"/>
  <c r="AK386" i="29" s="1"/>
  <c r="E389" i="15"/>
  <c r="S386" i="29" s="1"/>
  <c r="K388" i="15"/>
  <c r="AK385" i="29" s="1"/>
  <c r="L387" i="15"/>
  <c r="AN384" i="29" s="1"/>
  <c r="F387" i="15"/>
  <c r="V384" i="29" s="1"/>
  <c r="L386" i="15"/>
  <c r="AN383" i="29" s="1"/>
  <c r="F386" i="15"/>
  <c r="V383" i="29" s="1"/>
  <c r="L385" i="15"/>
  <c r="AN382" i="29" s="1"/>
  <c r="F385" i="15"/>
  <c r="V382" i="29" s="1"/>
  <c r="L384" i="15"/>
  <c r="AN381" i="29" s="1"/>
  <c r="F384" i="15"/>
  <c r="V381" i="29" s="1"/>
  <c r="L383" i="15"/>
  <c r="AN380" i="29" s="1"/>
  <c r="F383" i="15"/>
  <c r="V380" i="29" s="1"/>
  <c r="L382" i="15"/>
  <c r="AN379" i="29" s="1"/>
  <c r="F382" i="15"/>
  <c r="V379" i="29" s="1"/>
  <c r="L381" i="15"/>
  <c r="AN378" i="29" s="1"/>
  <c r="F381" i="15"/>
  <c r="V378" i="29" s="1"/>
  <c r="L380" i="15"/>
  <c r="AN377" i="29" s="1"/>
  <c r="F380" i="15"/>
  <c r="V377" i="29" s="1"/>
  <c r="L379" i="15"/>
  <c r="F379"/>
  <c r="V376" i="29" s="1"/>
  <c r="L378" i="15"/>
  <c r="AN375" i="29" s="1"/>
  <c r="F378" i="15"/>
  <c r="V375" i="29" s="1"/>
  <c r="L377" i="15"/>
  <c r="AN374" i="29" s="1"/>
  <c r="F377" i="15"/>
  <c r="V374" i="29" s="1"/>
  <c r="L376" i="15"/>
  <c r="AN373" i="29" s="1"/>
  <c r="F376" i="15"/>
  <c r="V373" i="29" s="1"/>
  <c r="L375" i="15"/>
  <c r="AN372" i="29" s="1"/>
  <c r="F375" i="15"/>
  <c r="V372" i="29" s="1"/>
  <c r="L374" i="15"/>
  <c r="AN371" i="29" s="1"/>
  <c r="F374" i="15"/>
  <c r="V371" i="29" s="1"/>
  <c r="K387" i="15"/>
  <c r="AK384" i="29" s="1"/>
  <c r="E387" i="15"/>
  <c r="S384" i="29" s="1"/>
  <c r="K386" i="15"/>
  <c r="AK383" i="29" s="1"/>
  <c r="E386" i="15"/>
  <c r="S383" i="29" s="1"/>
  <c r="K385" i="15"/>
  <c r="AK382" i="29" s="1"/>
  <c r="E385" i="15"/>
  <c r="S382" i="29" s="1"/>
  <c r="K384" i="15"/>
  <c r="AK381" i="29" s="1"/>
  <c r="E384" i="15"/>
  <c r="S381" i="29" s="1"/>
  <c r="K383" i="15"/>
  <c r="AK380" i="29" s="1"/>
  <c r="E383" i="15"/>
  <c r="S380" i="29" s="1"/>
  <c r="K382" i="15"/>
  <c r="AK379" i="29" s="1"/>
  <c r="E382" i="15"/>
  <c r="S379" i="29" s="1"/>
  <c r="K381" i="15"/>
  <c r="AK378" i="29" s="1"/>
  <c r="E381" i="15"/>
  <c r="S378" i="29" s="1"/>
  <c r="K380" i="15"/>
  <c r="AK377" i="29" s="1"/>
  <c r="E380" i="15"/>
  <c r="S377" i="29" s="1"/>
  <c r="K379" i="15"/>
  <c r="AK376" i="29" s="1"/>
  <c r="E379" i="15"/>
  <c r="S376" i="29" s="1"/>
  <c r="K378" i="15"/>
  <c r="AK375" i="29" s="1"/>
  <c r="E378" i="15"/>
  <c r="S375" i="29" s="1"/>
  <c r="K377" i="15"/>
  <c r="AK374" i="29" s="1"/>
  <c r="E377" i="15"/>
  <c r="K376"/>
  <c r="AK373" i="29" s="1"/>
  <c r="E376" i="15"/>
  <c r="S373" i="29" s="1"/>
  <c r="K375" i="15"/>
  <c r="AK372" i="29" s="1"/>
  <c r="E375" i="15"/>
  <c r="S372" i="29" s="1"/>
  <c r="K374" i="15"/>
  <c r="AK371" i="29" s="1"/>
  <c r="L373" i="15"/>
  <c r="AN370" i="29" s="1"/>
  <c r="F373" i="15"/>
  <c r="V370" i="29" s="1"/>
  <c r="L372" i="15"/>
  <c r="AN369" i="29" s="1"/>
  <c r="F372" i="15"/>
  <c r="V369" i="29" s="1"/>
  <c r="L371" i="15"/>
  <c r="AN368" i="29" s="1"/>
  <c r="F371" i="15"/>
  <c r="V368" i="29" s="1"/>
  <c r="L370" i="15"/>
  <c r="AN367" i="29" s="1"/>
  <c r="F370" i="15"/>
  <c r="V367" i="29" s="1"/>
  <c r="L369" i="15"/>
  <c r="AN366" i="29" s="1"/>
  <c r="F369" i="15"/>
  <c r="V366" i="29" s="1"/>
  <c r="L368" i="15"/>
  <c r="AN365" i="29" s="1"/>
  <c r="F368" i="15"/>
  <c r="V365" i="29" s="1"/>
  <c r="L367" i="15"/>
  <c r="AN364" i="29" s="1"/>
  <c r="F367" i="15"/>
  <c r="V364" i="29" s="1"/>
  <c r="L366" i="15"/>
  <c r="AN363" i="29" s="1"/>
  <c r="F366" i="15"/>
  <c r="V363" i="29" s="1"/>
  <c r="L365" i="15"/>
  <c r="AN362" i="29" s="1"/>
  <c r="F365" i="15"/>
  <c r="V362" i="29" s="1"/>
  <c r="L364" i="15"/>
  <c r="AN361" i="29" s="1"/>
  <c r="F364" i="15"/>
  <c r="V361" i="29" s="1"/>
  <c r="L363" i="15"/>
  <c r="AN360" i="29" s="1"/>
  <c r="F363" i="15"/>
  <c r="V360" i="29" s="1"/>
  <c r="L362" i="15"/>
  <c r="AN359" i="29" s="1"/>
  <c r="F362" i="15"/>
  <c r="V359" i="29" s="1"/>
  <c r="L361" i="15"/>
  <c r="AN358" i="29" s="1"/>
  <c r="F361" i="15"/>
  <c r="V358" i="29" s="1"/>
  <c r="L360" i="15"/>
  <c r="AN357" i="29" s="1"/>
  <c r="F360" i="15"/>
  <c r="V357" i="29" s="1"/>
  <c r="K373" i="15"/>
  <c r="AK370" i="29" s="1"/>
  <c r="E373" i="15"/>
  <c r="S370" i="29" s="1"/>
  <c r="K372" i="15"/>
  <c r="AK369" i="29" s="1"/>
  <c r="E372" i="15"/>
  <c r="S369" i="29" s="1"/>
  <c r="K371" i="15"/>
  <c r="AK368" i="29" s="1"/>
  <c r="E371" i="15"/>
  <c r="S368" i="29" s="1"/>
  <c r="K370" i="15"/>
  <c r="AK367" i="29" s="1"/>
  <c r="E370" i="15"/>
  <c r="S367" i="29" s="1"/>
  <c r="K369" i="15"/>
  <c r="AK366" i="29" s="1"/>
  <c r="E369" i="15"/>
  <c r="S366" i="29" s="1"/>
  <c r="K368" i="15"/>
  <c r="AK365" i="29" s="1"/>
  <c r="E368" i="15"/>
  <c r="S365" i="29" s="1"/>
  <c r="K367" i="15"/>
  <c r="AK364" i="29" s="1"/>
  <c r="E367" i="15"/>
  <c r="S364" i="29" s="1"/>
  <c r="K366" i="15"/>
  <c r="AK363" i="29" s="1"/>
  <c r="E366" i="15"/>
  <c r="S363" i="29" s="1"/>
  <c r="K365" i="15"/>
  <c r="AK362" i="29" s="1"/>
  <c r="E365" i="15"/>
  <c r="S362" i="29" s="1"/>
  <c r="K364" i="15"/>
  <c r="AK361" i="29" s="1"/>
  <c r="E364" i="15"/>
  <c r="S361" i="29" s="1"/>
  <c r="K363" i="15"/>
  <c r="AK360" i="29" s="1"/>
  <c r="E363" i="15"/>
  <c r="S360" i="29" s="1"/>
  <c r="K362" i="15"/>
  <c r="AK359" i="29" s="1"/>
  <c r="E362" i="15"/>
  <c r="S359" i="29" s="1"/>
  <c r="K361" i="15"/>
  <c r="AK358" i="29" s="1"/>
  <c r="E361" i="15"/>
  <c r="S358" i="29" s="1"/>
  <c r="K360" i="15"/>
  <c r="AK357" i="29" s="1"/>
  <c r="E360" i="15"/>
  <c r="S357" i="29" s="1"/>
  <c r="J373" i="15"/>
  <c r="AH370" i="29" s="1"/>
  <c r="D373" i="15"/>
  <c r="P370" i="29" s="1"/>
  <c r="J372" i="15"/>
  <c r="AH369" i="29" s="1"/>
  <c r="D372" i="15"/>
  <c r="P369" i="29" s="1"/>
  <c r="J371" i="15"/>
  <c r="AH368" i="29" s="1"/>
  <c r="D371" i="15"/>
  <c r="P368" i="29" s="1"/>
  <c r="J370" i="15"/>
  <c r="AH367" i="29" s="1"/>
  <c r="D370" i="15"/>
  <c r="P367" i="29" s="1"/>
  <c r="J369" i="15"/>
  <c r="AH366" i="29" s="1"/>
  <c r="D369" i="15"/>
  <c r="P366" i="29" s="1"/>
  <c r="J368" i="15"/>
  <c r="AH365" i="29" s="1"/>
  <c r="D368" i="15"/>
  <c r="P365" i="29" s="1"/>
  <c r="J367" i="15"/>
  <c r="AH364" i="29" s="1"/>
  <c r="D367" i="15"/>
  <c r="P364" i="29" s="1"/>
  <c r="J366" i="15"/>
  <c r="AH363" i="29" s="1"/>
  <c r="D366" i="15"/>
  <c r="P363" i="29" s="1"/>
  <c r="J365" i="15"/>
  <c r="AH362" i="29" s="1"/>
  <c r="D365" i="15"/>
  <c r="P362" i="29" s="1"/>
  <c r="J364" i="15"/>
  <c r="AH361" i="29" s="1"/>
  <c r="D364" i="15"/>
  <c r="P361" i="29" s="1"/>
  <c r="J363" i="15"/>
  <c r="AH360" i="29" s="1"/>
  <c r="D363" i="15"/>
  <c r="P360" i="29" s="1"/>
  <c r="J362" i="15"/>
  <c r="AH359" i="29" s="1"/>
  <c r="D362" i="15"/>
  <c r="P359" i="29" s="1"/>
  <c r="J361" i="15"/>
  <c r="AH358" i="29" s="1"/>
  <c r="D361" i="15"/>
  <c r="P358" i="29" s="1"/>
  <c r="J360" i="15"/>
  <c r="AH357" i="29" s="1"/>
  <c r="D360" i="15"/>
  <c r="P357" i="29" s="1"/>
  <c r="I373" i="15"/>
  <c r="AE370" i="29" s="1"/>
  <c r="C373" i="15"/>
  <c r="M370" i="29" s="1"/>
  <c r="I372" i="15"/>
  <c r="AE369" i="29" s="1"/>
  <c r="C372" i="15"/>
  <c r="M369" i="29" s="1"/>
  <c r="I371" i="15"/>
  <c r="AE368" i="29" s="1"/>
  <c r="C371" i="15"/>
  <c r="M368" i="29" s="1"/>
  <c r="I370" i="15"/>
  <c r="AE367" i="29" s="1"/>
  <c r="C370" i="15"/>
  <c r="M367" i="29" s="1"/>
  <c r="I369" i="15"/>
  <c r="AE366" i="29" s="1"/>
  <c r="C369" i="15"/>
  <c r="M366" i="29" s="1"/>
  <c r="I368" i="15"/>
  <c r="AE365" i="29" s="1"/>
  <c r="C368" i="15"/>
  <c r="M365" i="29" s="1"/>
  <c r="I367" i="15"/>
  <c r="AE364" i="29" s="1"/>
  <c r="C367" i="15"/>
  <c r="M364" i="29" s="1"/>
  <c r="I366" i="15"/>
  <c r="AE363" i="29" s="1"/>
  <c r="C366" i="15"/>
  <c r="M363" i="29" s="1"/>
  <c r="I365" i="15"/>
  <c r="AE362" i="29" s="1"/>
  <c r="C365" i="15"/>
  <c r="M362" i="29" s="1"/>
  <c r="I364" i="15"/>
  <c r="AE361" i="29" s="1"/>
  <c r="C364" i="15"/>
  <c r="M361" i="29" s="1"/>
  <c r="I363" i="15"/>
  <c r="AE360" i="29" s="1"/>
  <c r="C363" i="15"/>
  <c r="M360" i="29" s="1"/>
  <c r="I362" i="15"/>
  <c r="AE359" i="29" s="1"/>
  <c r="C362" i="15"/>
  <c r="M359" i="29" s="1"/>
  <c r="I361" i="15"/>
  <c r="AE358" i="29" s="1"/>
  <c r="C361" i="15"/>
  <c r="M358" i="29" s="1"/>
  <c r="I360" i="15"/>
  <c r="AE357" i="29" s="1"/>
  <c r="L359" i="15"/>
  <c r="AN356" i="29" s="1"/>
  <c r="F359" i="15"/>
  <c r="V356" i="29" s="1"/>
  <c r="L358" i="15"/>
  <c r="AN355" i="29" s="1"/>
  <c r="F358" i="15"/>
  <c r="V355" i="29" s="1"/>
  <c r="L357" i="15"/>
  <c r="AN354" i="29" s="1"/>
  <c r="F357" i="15"/>
  <c r="V354" i="29" s="1"/>
  <c r="L356" i="15"/>
  <c r="AN353" i="29" s="1"/>
  <c r="F356" i="15"/>
  <c r="V353" i="29" s="1"/>
  <c r="L355" i="15"/>
  <c r="AN352" i="29" s="1"/>
  <c r="F355" i="15"/>
  <c r="V352" i="29" s="1"/>
  <c r="L354" i="15"/>
  <c r="AN351" i="29" s="1"/>
  <c r="F354" i="15"/>
  <c r="V351" i="29" s="1"/>
  <c r="L353" i="15"/>
  <c r="AN350" i="29" s="1"/>
  <c r="F353" i="15"/>
  <c r="V350" i="29" s="1"/>
  <c r="L352" i="15"/>
  <c r="AN349" i="29" s="1"/>
  <c r="F352" i="15"/>
  <c r="V349" i="29" s="1"/>
  <c r="L351" i="15"/>
  <c r="AN348" i="29" s="1"/>
  <c r="F351" i="15"/>
  <c r="V348" i="29" s="1"/>
  <c r="L350" i="15"/>
  <c r="AN347" i="29" s="1"/>
  <c r="F350" i="15"/>
  <c r="V347" i="29" s="1"/>
  <c r="L349" i="15"/>
  <c r="AN346" i="29" s="1"/>
  <c r="F349" i="15"/>
  <c r="V346" i="29" s="1"/>
  <c r="L348" i="15"/>
  <c r="AN345" i="29" s="1"/>
  <c r="F348" i="15"/>
  <c r="V345" i="29" s="1"/>
  <c r="L347" i="15"/>
  <c r="AN344" i="29" s="1"/>
  <c r="F347" i="15"/>
  <c r="V344" i="29" s="1"/>
  <c r="L346" i="15"/>
  <c r="AN343" i="29" s="1"/>
  <c r="F346" i="15"/>
  <c r="V343" i="29" s="1"/>
  <c r="K359" i="15"/>
  <c r="AK356" i="29" s="1"/>
  <c r="E359" i="15"/>
  <c r="S356" i="29" s="1"/>
  <c r="K358" i="15"/>
  <c r="AK355" i="29" s="1"/>
  <c r="E358" i="15"/>
  <c r="S355" i="29" s="1"/>
  <c r="K357" i="15"/>
  <c r="AK354" i="29" s="1"/>
  <c r="E357" i="15"/>
  <c r="S354" i="29" s="1"/>
  <c r="K356" i="15"/>
  <c r="AK353" i="29" s="1"/>
  <c r="E356" i="15"/>
  <c r="S353" i="29" s="1"/>
  <c r="K355" i="15"/>
  <c r="AK352" i="29" s="1"/>
  <c r="E355" i="15"/>
  <c r="S352" i="29" s="1"/>
  <c r="K354" i="15"/>
  <c r="AK351" i="29" s="1"/>
  <c r="E354" i="15"/>
  <c r="S351" i="29" s="1"/>
  <c r="K353" i="15"/>
  <c r="AK350" i="29" s="1"/>
  <c r="E353" i="15"/>
  <c r="S350" i="29" s="1"/>
  <c r="K352" i="15"/>
  <c r="AK349" i="29" s="1"/>
  <c r="E352" i="15"/>
  <c r="S349" i="29" s="1"/>
  <c r="K351" i="15"/>
  <c r="AK348" i="29" s="1"/>
  <c r="E351" i="15"/>
  <c r="S348" i="29" s="1"/>
  <c r="K350" i="15"/>
  <c r="AK347" i="29" s="1"/>
  <c r="E350" i="15"/>
  <c r="S347" i="29" s="1"/>
  <c r="K349" i="15"/>
  <c r="AK346" i="29" s="1"/>
  <c r="E349" i="15"/>
  <c r="S346" i="29" s="1"/>
  <c r="J359" i="15"/>
  <c r="AH356" i="29" s="1"/>
  <c r="D359" i="15"/>
  <c r="P356" i="29" s="1"/>
  <c r="J358" i="15"/>
  <c r="AH355" i="29" s="1"/>
  <c r="D358" i="15"/>
  <c r="P355" i="29" s="1"/>
  <c r="J357" i="15"/>
  <c r="AH354" i="29" s="1"/>
  <c r="D357" i="15"/>
  <c r="P354" i="29" s="1"/>
  <c r="J356" i="15"/>
  <c r="AH353" i="29" s="1"/>
  <c r="D356" i="15"/>
  <c r="P353" i="29" s="1"/>
  <c r="J355" i="15"/>
  <c r="AH352" i="29" s="1"/>
  <c r="D355" i="15"/>
  <c r="P352" i="29" s="1"/>
  <c r="J354" i="15"/>
  <c r="AH351" i="29" s="1"/>
  <c r="D354" i="15"/>
  <c r="P351" i="29" s="1"/>
  <c r="J353" i="15"/>
  <c r="AH350" i="29" s="1"/>
  <c r="D353" i="15"/>
  <c r="P350" i="29" s="1"/>
  <c r="J352" i="15"/>
  <c r="AH349" i="29" s="1"/>
  <c r="D352" i="15"/>
  <c r="P349" i="29" s="1"/>
  <c r="J351" i="15"/>
  <c r="AH348" i="29" s="1"/>
  <c r="D351" i="15"/>
  <c r="P348" i="29" s="1"/>
  <c r="J350" i="15"/>
  <c r="AH347" i="29" s="1"/>
  <c r="D350" i="15"/>
  <c r="P347" i="29" s="1"/>
  <c r="J349" i="15"/>
  <c r="AH346" i="29" s="1"/>
  <c r="D349" i="15"/>
  <c r="P346" i="29" s="1"/>
  <c r="J348" i="15"/>
  <c r="AH345" i="29" s="1"/>
  <c r="D348" i="15"/>
  <c r="P345" i="29" s="1"/>
  <c r="J347" i="15"/>
  <c r="D347"/>
  <c r="P344" i="29" s="1"/>
  <c r="J346" i="15"/>
  <c r="AH343" i="29" s="1"/>
  <c r="D346" i="15"/>
  <c r="P343" i="29" s="1"/>
  <c r="I359" i="15"/>
  <c r="AE356" i="29" s="1"/>
  <c r="C359" i="15"/>
  <c r="M356" i="29" s="1"/>
  <c r="I358" i="15"/>
  <c r="AE355" i="29" s="1"/>
  <c r="C358" i="15"/>
  <c r="M355" i="29" s="1"/>
  <c r="I357" i="15"/>
  <c r="AE354" i="29" s="1"/>
  <c r="C357" i="15"/>
  <c r="M354" i="29" s="1"/>
  <c r="I356" i="15"/>
  <c r="AE353" i="29" s="1"/>
  <c r="C356" i="15"/>
  <c r="M353" i="29" s="1"/>
  <c r="I355" i="15"/>
  <c r="AE352" i="29" s="1"/>
  <c r="C355" i="15"/>
  <c r="M352" i="29" s="1"/>
  <c r="I354" i="15"/>
  <c r="AE351" i="29" s="1"/>
  <c r="C354" i="15"/>
  <c r="M351" i="29" s="1"/>
  <c r="I353" i="15"/>
  <c r="AE350" i="29" s="1"/>
  <c r="C353" i="15"/>
  <c r="M350" i="29" s="1"/>
  <c r="I352" i="15"/>
  <c r="AE349" i="29" s="1"/>
  <c r="C352" i="15"/>
  <c r="M349" i="29" s="1"/>
  <c r="I351" i="15"/>
  <c r="AE348" i="29" s="1"/>
  <c r="L345" i="15"/>
  <c r="AN342" i="29" s="1"/>
  <c r="F345" i="15"/>
  <c r="V342" i="29" s="1"/>
  <c r="L344" i="15"/>
  <c r="AN341" i="29" s="1"/>
  <c r="F344" i="15"/>
  <c r="V341" i="29" s="1"/>
  <c r="L343" i="15"/>
  <c r="AN340" i="29" s="1"/>
  <c r="F343" i="15"/>
  <c r="V340" i="29" s="1"/>
  <c r="L342" i="15"/>
  <c r="AN339" i="29" s="1"/>
  <c r="F342" i="15"/>
  <c r="V339" i="29" s="1"/>
  <c r="L341" i="15"/>
  <c r="AN338" i="29" s="1"/>
  <c r="F341" i="15"/>
  <c r="V338" i="29" s="1"/>
  <c r="L340" i="15"/>
  <c r="AN337" i="29" s="1"/>
  <c r="F340" i="15"/>
  <c r="V337" i="29" s="1"/>
  <c r="L339" i="15"/>
  <c r="AN336" i="29" s="1"/>
  <c r="F339" i="15"/>
  <c r="V336" i="29" s="1"/>
  <c r="L338" i="15"/>
  <c r="AN335" i="29" s="1"/>
  <c r="F338" i="15"/>
  <c r="V335" i="29" s="1"/>
  <c r="L337" i="15"/>
  <c r="AN334" i="29" s="1"/>
  <c r="F337" i="15"/>
  <c r="V334" i="29" s="1"/>
  <c r="L336" i="15"/>
  <c r="AN333" i="29" s="1"/>
  <c r="F336" i="15"/>
  <c r="V333" i="29" s="1"/>
  <c r="L335" i="15"/>
  <c r="AN332" i="29" s="1"/>
  <c r="F335" i="15"/>
  <c r="V332" i="29" s="1"/>
  <c r="L334" i="15"/>
  <c r="AN331" i="29" s="1"/>
  <c r="F334" i="15"/>
  <c r="V331" i="29" s="1"/>
  <c r="L333" i="15"/>
  <c r="AN330" i="29" s="1"/>
  <c r="F333" i="15"/>
  <c r="V330" i="29" s="1"/>
  <c r="L332" i="15"/>
  <c r="AN329" i="29" s="1"/>
  <c r="F332" i="15"/>
  <c r="V329" i="29" s="1"/>
  <c r="K345" i="15"/>
  <c r="AK342" i="29" s="1"/>
  <c r="E345" i="15"/>
  <c r="S342" i="29" s="1"/>
  <c r="K344" i="15"/>
  <c r="AK341" i="29" s="1"/>
  <c r="E344" i="15"/>
  <c r="S341" i="29" s="1"/>
  <c r="K343" i="15"/>
  <c r="AK340" i="29" s="1"/>
  <c r="E343" i="15"/>
  <c r="S340" i="29" s="1"/>
  <c r="K342" i="15"/>
  <c r="AK339" i="29" s="1"/>
  <c r="E342" i="15"/>
  <c r="S339" i="29" s="1"/>
  <c r="K341" i="15"/>
  <c r="AK338" i="29" s="1"/>
  <c r="E341" i="15"/>
  <c r="S338" i="29" s="1"/>
  <c r="K340" i="15"/>
  <c r="AK337" i="29" s="1"/>
  <c r="E340" i="15"/>
  <c r="S337" i="29" s="1"/>
  <c r="K339" i="15"/>
  <c r="AK336" i="29" s="1"/>
  <c r="E339" i="15"/>
  <c r="S336" i="29" s="1"/>
  <c r="K338" i="15"/>
  <c r="AK335" i="29" s="1"/>
  <c r="E338" i="15"/>
  <c r="S335" i="29" s="1"/>
  <c r="K337" i="15"/>
  <c r="AK334" i="29" s="1"/>
  <c r="E337" i="15"/>
  <c r="S334" i="29" s="1"/>
  <c r="K336" i="15"/>
  <c r="AK333" i="29" s="1"/>
  <c r="E336" i="15"/>
  <c r="S333" i="29" s="1"/>
  <c r="K335" i="15"/>
  <c r="AK332" i="29" s="1"/>
  <c r="E335" i="15"/>
  <c r="S332" i="29" s="1"/>
  <c r="K334" i="15"/>
  <c r="AK331" i="29" s="1"/>
  <c r="E334" i="15"/>
  <c r="S331" i="29" s="1"/>
  <c r="K333" i="15"/>
  <c r="AK330" i="29" s="1"/>
  <c r="E333" i="15"/>
  <c r="S330" i="29" s="1"/>
  <c r="K332" i="15"/>
  <c r="AK329" i="29" s="1"/>
  <c r="E332" i="15"/>
  <c r="S329" i="29" s="1"/>
  <c r="J345" i="15"/>
  <c r="AH342" i="29" s="1"/>
  <c r="D345" i="15"/>
  <c r="P342" i="29" s="1"/>
  <c r="J344" i="15"/>
  <c r="AH341" i="29" s="1"/>
  <c r="D344" i="15"/>
  <c r="P341" i="29" s="1"/>
  <c r="J343" i="15"/>
  <c r="AH340" i="29" s="1"/>
  <c r="D343" i="15"/>
  <c r="P340" i="29" s="1"/>
  <c r="J342" i="15"/>
  <c r="AH339" i="29" s="1"/>
  <c r="D342" i="15"/>
  <c r="P339" i="29" s="1"/>
  <c r="J341" i="15"/>
  <c r="AH338" i="29" s="1"/>
  <c r="D341" i="15"/>
  <c r="P338" i="29" s="1"/>
  <c r="J340" i="15"/>
  <c r="AH337" i="29" s="1"/>
  <c r="D340" i="15"/>
  <c r="P337" i="29" s="1"/>
  <c r="J339" i="15"/>
  <c r="AH336" i="29" s="1"/>
  <c r="D339" i="15"/>
  <c r="P336" i="29" s="1"/>
  <c r="J338" i="15"/>
  <c r="AH335" i="29" s="1"/>
  <c r="D338" i="15"/>
  <c r="P335" i="29" s="1"/>
  <c r="J337" i="15"/>
  <c r="AH334" i="29" s="1"/>
  <c r="D337" i="15"/>
  <c r="P334" i="29" s="1"/>
  <c r="J336" i="15"/>
  <c r="AH333" i="29" s="1"/>
  <c r="D336" i="15"/>
  <c r="P333" i="29" s="1"/>
  <c r="J335" i="15"/>
  <c r="AH332" i="29" s="1"/>
  <c r="D335" i="15"/>
  <c r="P332" i="29" s="1"/>
  <c r="J334" i="15"/>
  <c r="AH331" i="29" s="1"/>
  <c r="D334" i="15"/>
  <c r="P331" i="29" s="1"/>
  <c r="J333" i="15"/>
  <c r="AH330" i="29" s="1"/>
  <c r="D333" i="15"/>
  <c r="P330" i="29" s="1"/>
  <c r="J332" i="15"/>
  <c r="AH329" i="29" s="1"/>
  <c r="D332" i="15"/>
  <c r="P329" i="29" s="1"/>
  <c r="I345" i="15"/>
  <c r="AE342" i="29" s="1"/>
  <c r="C345" i="15"/>
  <c r="M342" i="29" s="1"/>
  <c r="I344" i="15"/>
  <c r="AE341" i="29" s="1"/>
  <c r="C344" i="15"/>
  <c r="M341" i="29" s="1"/>
  <c r="I343" i="15"/>
  <c r="AE340" i="29" s="1"/>
  <c r="C343" i="15"/>
  <c r="M340" i="29" s="1"/>
  <c r="I342" i="15"/>
  <c r="AE339" i="29" s="1"/>
  <c r="C342" i="15"/>
  <c r="M339" i="29" s="1"/>
  <c r="I341" i="15"/>
  <c r="AE338" i="29" s="1"/>
  <c r="C341" i="15"/>
  <c r="M338" i="29" s="1"/>
  <c r="I340" i="15"/>
  <c r="AE337" i="29" s="1"/>
  <c r="C340" i="15"/>
  <c r="M337" i="29" s="1"/>
  <c r="I339" i="15"/>
  <c r="AE336" i="29" s="1"/>
  <c r="C339" i="15"/>
  <c r="M336" i="29" s="1"/>
  <c r="I338" i="15"/>
  <c r="AE335" i="29" s="1"/>
  <c r="C338" i="15"/>
  <c r="M335" i="29" s="1"/>
  <c r="I337" i="15"/>
  <c r="AE334" i="29" s="1"/>
  <c r="C337" i="15"/>
  <c r="M334" i="29" s="1"/>
  <c r="I336" i="15"/>
  <c r="AE333" i="29" s="1"/>
  <c r="C336" i="15"/>
  <c r="M333" i="29" s="1"/>
  <c r="I335" i="15"/>
  <c r="AE332" i="29" s="1"/>
  <c r="C335" i="15"/>
  <c r="M332" i="29" s="1"/>
  <c r="I334" i="15"/>
  <c r="AE331" i="29" s="1"/>
  <c r="C334" i="15"/>
  <c r="M331" i="29" s="1"/>
  <c r="I333" i="15"/>
  <c r="AE330" i="29" s="1"/>
  <c r="C333" i="15"/>
  <c r="M330" i="29" s="1"/>
  <c r="I332" i="15"/>
  <c r="AE329" i="29" s="1"/>
  <c r="L331" i="15"/>
  <c r="AN328" i="29" s="1"/>
  <c r="F331" i="15"/>
  <c r="V328" i="29" s="1"/>
  <c r="L330" i="15"/>
  <c r="AN327" i="29" s="1"/>
  <c r="F330" i="15"/>
  <c r="V327" i="29" s="1"/>
  <c r="L329" i="15"/>
  <c r="AN326" i="29" s="1"/>
  <c r="F329" i="15"/>
  <c r="V326" i="29" s="1"/>
  <c r="L328" i="15"/>
  <c r="AN325" i="29" s="1"/>
  <c r="F328" i="15"/>
  <c r="V325" i="29" s="1"/>
  <c r="L327" i="15"/>
  <c r="AN324" i="29" s="1"/>
  <c r="F327" i="15"/>
  <c r="V324" i="29" s="1"/>
  <c r="L326" i="15"/>
  <c r="AN323" i="29" s="1"/>
  <c r="F326" i="15"/>
  <c r="V323" i="29" s="1"/>
  <c r="L325" i="15"/>
  <c r="AN322" i="29" s="1"/>
  <c r="F325" i="15"/>
  <c r="V322" i="29" s="1"/>
  <c r="L324" i="15"/>
  <c r="AN321" i="29" s="1"/>
  <c r="F324" i="15"/>
  <c r="V321" i="29" s="1"/>
  <c r="L323" i="15"/>
  <c r="AN320" i="29" s="1"/>
  <c r="F323" i="15"/>
  <c r="V320" i="29" s="1"/>
  <c r="L322" i="15"/>
  <c r="AN319" i="29" s="1"/>
  <c r="F322" i="15"/>
  <c r="V319" i="29" s="1"/>
  <c r="L321" i="15"/>
  <c r="AN318" i="29" s="1"/>
  <c r="F321" i="15"/>
  <c r="V318" i="29" s="1"/>
  <c r="L320" i="15"/>
  <c r="AN317" i="29" s="1"/>
  <c r="F320" i="15"/>
  <c r="V317" i="29" s="1"/>
  <c r="L319" i="15"/>
  <c r="AN316" i="29" s="1"/>
  <c r="F319" i="15"/>
  <c r="V316" i="29" s="1"/>
  <c r="L318" i="15"/>
  <c r="AN315" i="29" s="1"/>
  <c r="F318" i="15"/>
  <c r="V315" i="29" s="1"/>
  <c r="K331" i="15"/>
  <c r="AK328" i="29" s="1"/>
  <c r="E331" i="15"/>
  <c r="S328" i="29" s="1"/>
  <c r="K330" i="15"/>
  <c r="AK327" i="29" s="1"/>
  <c r="E330" i="15"/>
  <c r="S327" i="29" s="1"/>
  <c r="K329" i="15"/>
  <c r="AK326" i="29" s="1"/>
  <c r="E329" i="15"/>
  <c r="S326" i="29" s="1"/>
  <c r="K328" i="15"/>
  <c r="AK325" i="29" s="1"/>
  <c r="E328" i="15"/>
  <c r="S325" i="29" s="1"/>
  <c r="K327" i="15"/>
  <c r="AK324" i="29" s="1"/>
  <c r="E327" i="15"/>
  <c r="S324" i="29" s="1"/>
  <c r="K326" i="15"/>
  <c r="AK323" i="29" s="1"/>
  <c r="E326" i="15"/>
  <c r="S323" i="29" s="1"/>
  <c r="K325" i="15"/>
  <c r="AK322" i="29" s="1"/>
  <c r="E325" i="15"/>
  <c r="S322" i="29" s="1"/>
  <c r="K324" i="15"/>
  <c r="AK321" i="29" s="1"/>
  <c r="E324" i="15"/>
  <c r="S321" i="29" s="1"/>
  <c r="K323" i="15"/>
  <c r="AK320" i="29" s="1"/>
  <c r="E323" i="15"/>
  <c r="S320" i="29" s="1"/>
  <c r="K322" i="15"/>
  <c r="AK319" i="29" s="1"/>
  <c r="E322" i="15"/>
  <c r="S319" i="29" s="1"/>
  <c r="K321" i="15"/>
  <c r="AK318" i="29" s="1"/>
  <c r="E321" i="15"/>
  <c r="S318" i="29" s="1"/>
  <c r="K320" i="15"/>
  <c r="AK317" i="29" s="1"/>
  <c r="E320" i="15"/>
  <c r="S317" i="29" s="1"/>
  <c r="K319" i="15"/>
  <c r="AK316" i="29" s="1"/>
  <c r="E319" i="15"/>
  <c r="S316" i="29" s="1"/>
  <c r="K318" i="15"/>
  <c r="AK315" i="29" s="1"/>
  <c r="E318" i="15"/>
  <c r="S315" i="29" s="1"/>
  <c r="J331" i="15"/>
  <c r="AH328" i="29" s="1"/>
  <c r="D331" i="15"/>
  <c r="P328" i="29" s="1"/>
  <c r="J330" i="15"/>
  <c r="AH327" i="29" s="1"/>
  <c r="D330" i="15"/>
  <c r="P327" i="29" s="1"/>
  <c r="J329" i="15"/>
  <c r="AH326" i="29" s="1"/>
  <c r="D329" i="15"/>
  <c r="P326" i="29" s="1"/>
  <c r="J328" i="15"/>
  <c r="AH325" i="29" s="1"/>
  <c r="D328" i="15"/>
  <c r="P325" i="29" s="1"/>
  <c r="J327" i="15"/>
  <c r="AH324" i="29" s="1"/>
  <c r="D327" i="15"/>
  <c r="P324" i="29" s="1"/>
  <c r="J326" i="15"/>
  <c r="AH323" i="29" s="1"/>
  <c r="D326" i="15"/>
  <c r="P323" i="29" s="1"/>
  <c r="J325" i="15"/>
  <c r="AH322" i="29" s="1"/>
  <c r="D325" i="15"/>
  <c r="P322" i="29" s="1"/>
  <c r="J324" i="15"/>
  <c r="AH321" i="29" s="1"/>
  <c r="D324" i="15"/>
  <c r="P321" i="29" s="1"/>
  <c r="J323" i="15"/>
  <c r="AH320" i="29" s="1"/>
  <c r="D323" i="15"/>
  <c r="P320" i="29" s="1"/>
  <c r="J322" i="15"/>
  <c r="AH319" i="29" s="1"/>
  <c r="D322" i="15"/>
  <c r="P319" i="29" s="1"/>
  <c r="J321" i="15"/>
  <c r="AH318" i="29" s="1"/>
  <c r="D321" i="15"/>
  <c r="P318" i="29" s="1"/>
  <c r="J320" i="15"/>
  <c r="AH317" i="29" s="1"/>
  <c r="D320" i="15"/>
  <c r="P317" i="29" s="1"/>
  <c r="J319" i="15"/>
  <c r="AH316" i="29" s="1"/>
  <c r="D319" i="15"/>
  <c r="P316" i="29" s="1"/>
  <c r="J318" i="15"/>
  <c r="AH315" i="29" s="1"/>
  <c r="D318" i="15"/>
  <c r="P315" i="29" s="1"/>
  <c r="I331" i="15"/>
  <c r="AE328" i="29" s="1"/>
  <c r="C331" i="15"/>
  <c r="M328" i="29" s="1"/>
  <c r="I330" i="15"/>
  <c r="AE327" i="29" s="1"/>
  <c r="C330" i="15"/>
  <c r="M327" i="29" s="1"/>
  <c r="I329" i="15"/>
  <c r="AE326" i="29" s="1"/>
  <c r="C329" i="15"/>
  <c r="M326" i="29" s="1"/>
  <c r="I328" i="15"/>
  <c r="AE325" i="29" s="1"/>
  <c r="C328" i="15"/>
  <c r="M325" i="29" s="1"/>
  <c r="I327" i="15"/>
  <c r="AE324" i="29" s="1"/>
  <c r="C327" i="15"/>
  <c r="M324" i="29" s="1"/>
  <c r="I326" i="15"/>
  <c r="AE323" i="29" s="1"/>
  <c r="C326" i="15"/>
  <c r="M323" i="29" s="1"/>
  <c r="I325" i="15"/>
  <c r="AE322" i="29" s="1"/>
  <c r="C325" i="15"/>
  <c r="M322" i="29" s="1"/>
  <c r="I324" i="15"/>
  <c r="AE321" i="29" s="1"/>
  <c r="C324" i="15"/>
  <c r="M321" i="29" s="1"/>
  <c r="I323" i="15"/>
  <c r="AE320" i="29" s="1"/>
  <c r="C323" i="15"/>
  <c r="M320" i="29" s="1"/>
  <c r="I322" i="15"/>
  <c r="AE319" i="29" s="1"/>
  <c r="C322" i="15"/>
  <c r="M319" i="29" s="1"/>
  <c r="I321" i="15"/>
  <c r="AE318" i="29" s="1"/>
  <c r="C321" i="15"/>
  <c r="M318" i="29" s="1"/>
  <c r="I320" i="15"/>
  <c r="AE317" i="29" s="1"/>
  <c r="C320" i="15"/>
  <c r="M317" i="29" s="1"/>
  <c r="I319" i="15"/>
  <c r="AE316" i="29" s="1"/>
  <c r="C319" i="15"/>
  <c r="M316" i="29" s="1"/>
  <c r="I318" i="15"/>
  <c r="AE315" i="29" s="1"/>
  <c r="L317" i="15"/>
  <c r="AN314" i="29" s="1"/>
  <c r="F317" i="15"/>
  <c r="V314" i="29" s="1"/>
  <c r="L316" i="15"/>
  <c r="AN313" i="29" s="1"/>
  <c r="F316" i="15"/>
  <c r="V313" i="29" s="1"/>
  <c r="L315" i="15"/>
  <c r="AN312" i="29" s="1"/>
  <c r="F315" i="15"/>
  <c r="V312" i="29" s="1"/>
  <c r="L314" i="15"/>
  <c r="AN311" i="29" s="1"/>
  <c r="F314" i="15"/>
  <c r="V311" i="29" s="1"/>
  <c r="L313" i="15"/>
  <c r="AN310" i="29" s="1"/>
  <c r="F313" i="15"/>
  <c r="V310" i="29" s="1"/>
  <c r="L312" i="15"/>
  <c r="AN309" i="29" s="1"/>
  <c r="F312" i="15"/>
  <c r="V309" i="29" s="1"/>
  <c r="L311" i="15"/>
  <c r="AN308" i="29" s="1"/>
  <c r="F311" i="15"/>
  <c r="V308" i="29" s="1"/>
  <c r="L310" i="15"/>
  <c r="AN307" i="29" s="1"/>
  <c r="F310" i="15"/>
  <c r="V307" i="29" s="1"/>
  <c r="L309" i="15"/>
  <c r="AN306" i="29" s="1"/>
  <c r="F309" i="15"/>
  <c r="V306" i="29" s="1"/>
  <c r="L308" i="15"/>
  <c r="AN305" i="29" s="1"/>
  <c r="F308" i="15"/>
  <c r="V305" i="29" s="1"/>
  <c r="L307" i="15"/>
  <c r="AN304" i="29" s="1"/>
  <c r="F307" i="15"/>
  <c r="V304" i="29" s="1"/>
  <c r="L306" i="15"/>
  <c r="AN303" i="29" s="1"/>
  <c r="F306" i="15"/>
  <c r="V303" i="29" s="1"/>
  <c r="L305" i="15"/>
  <c r="AN302" i="29" s="1"/>
  <c r="F305" i="15"/>
  <c r="V302" i="29" s="1"/>
  <c r="L304" i="15"/>
  <c r="AN301" i="29" s="1"/>
  <c r="F304" i="15"/>
  <c r="V301" i="29" s="1"/>
  <c r="K317" i="15"/>
  <c r="AK314" i="29" s="1"/>
  <c r="E317" i="15"/>
  <c r="S314" i="29" s="1"/>
  <c r="K316" i="15"/>
  <c r="AK313" i="29" s="1"/>
  <c r="E316" i="15"/>
  <c r="S313" i="29" s="1"/>
  <c r="K315" i="15"/>
  <c r="AK312" i="29" s="1"/>
  <c r="E315" i="15"/>
  <c r="S312" i="29" s="1"/>
  <c r="K314" i="15"/>
  <c r="AK311" i="29" s="1"/>
  <c r="E314" i="15"/>
  <c r="S311" i="29" s="1"/>
  <c r="K313" i="15"/>
  <c r="AK310" i="29" s="1"/>
  <c r="E313" i="15"/>
  <c r="S310" i="29" s="1"/>
  <c r="K312" i="15"/>
  <c r="AK309" i="29" s="1"/>
  <c r="E312" i="15"/>
  <c r="S309" i="29" s="1"/>
  <c r="K311" i="15"/>
  <c r="AK308" i="29" s="1"/>
  <c r="E311" i="15"/>
  <c r="S308" i="29" s="1"/>
  <c r="K310" i="15"/>
  <c r="AK307" i="29" s="1"/>
  <c r="E310" i="15"/>
  <c r="S307" i="29" s="1"/>
  <c r="K309" i="15"/>
  <c r="AK306" i="29" s="1"/>
  <c r="E309" i="15"/>
  <c r="S306" i="29" s="1"/>
  <c r="K308" i="15"/>
  <c r="AK305" i="29" s="1"/>
  <c r="E308" i="15"/>
  <c r="S305" i="29" s="1"/>
  <c r="K307" i="15"/>
  <c r="AK304" i="29" s="1"/>
  <c r="E307" i="15"/>
  <c r="S304" i="29" s="1"/>
  <c r="K306" i="15"/>
  <c r="AK303" i="29" s="1"/>
  <c r="E306" i="15"/>
  <c r="S303" i="29" s="1"/>
  <c r="K305" i="15"/>
  <c r="AK302" i="29" s="1"/>
  <c r="E305" i="15"/>
  <c r="S302" i="29" s="1"/>
  <c r="K304" i="15"/>
  <c r="AK301" i="29" s="1"/>
  <c r="E304" i="15"/>
  <c r="S301" i="29" s="1"/>
  <c r="J317" i="15"/>
  <c r="AH314" i="29" s="1"/>
  <c r="D317" i="15"/>
  <c r="P314" i="29" s="1"/>
  <c r="J316" i="15"/>
  <c r="AH313" i="29" s="1"/>
  <c r="D316" i="15"/>
  <c r="P313" i="29" s="1"/>
  <c r="J315" i="15"/>
  <c r="AH312" i="29" s="1"/>
  <c r="D315" i="15"/>
  <c r="P312" i="29" s="1"/>
  <c r="J314" i="15"/>
  <c r="AH311" i="29" s="1"/>
  <c r="D314" i="15"/>
  <c r="P311" i="29" s="1"/>
  <c r="J313" i="15"/>
  <c r="AH310" i="29" s="1"/>
  <c r="D313" i="15"/>
  <c r="P310" i="29" s="1"/>
  <c r="J312" i="15"/>
  <c r="AH309" i="29" s="1"/>
  <c r="D312" i="15"/>
  <c r="P309" i="29" s="1"/>
  <c r="J311" i="15"/>
  <c r="AH308" i="29" s="1"/>
  <c r="D311" i="15"/>
  <c r="P308" i="29" s="1"/>
  <c r="J310" i="15"/>
  <c r="AH307" i="29" s="1"/>
  <c r="D310" i="15"/>
  <c r="P307" i="29" s="1"/>
  <c r="J309" i="15"/>
  <c r="AH306" i="29" s="1"/>
  <c r="D309" i="15"/>
  <c r="P306" i="29" s="1"/>
  <c r="J308" i="15"/>
  <c r="AH305" i="29" s="1"/>
  <c r="D308" i="15"/>
  <c r="P305" i="29" s="1"/>
  <c r="J307" i="15"/>
  <c r="AH304" i="29" s="1"/>
  <c r="D307" i="15"/>
  <c r="P304" i="29" s="1"/>
  <c r="J306" i="15"/>
  <c r="AH303" i="29" s="1"/>
  <c r="D306" i="15"/>
  <c r="P303" i="29" s="1"/>
  <c r="J305" i="15"/>
  <c r="AH302" i="29" s="1"/>
  <c r="D305" i="15"/>
  <c r="P302" i="29" s="1"/>
  <c r="J304" i="15"/>
  <c r="AH301" i="29" s="1"/>
  <c r="D304" i="15"/>
  <c r="P301" i="29" s="1"/>
  <c r="I317" i="15"/>
  <c r="AE314" i="29" s="1"/>
  <c r="C317" i="15"/>
  <c r="M314" i="29" s="1"/>
  <c r="I316" i="15"/>
  <c r="AE313" i="29" s="1"/>
  <c r="C316" i="15"/>
  <c r="M313" i="29" s="1"/>
  <c r="I315" i="15"/>
  <c r="AE312" i="29" s="1"/>
  <c r="C315" i="15"/>
  <c r="M312" i="29" s="1"/>
  <c r="I314" i="15"/>
  <c r="AE311" i="29" s="1"/>
  <c r="C314" i="15"/>
  <c r="M311" i="29" s="1"/>
  <c r="I313" i="15"/>
  <c r="AE310" i="29" s="1"/>
  <c r="C313" i="15"/>
  <c r="M310" i="29" s="1"/>
  <c r="I312" i="15"/>
  <c r="AE309" i="29" s="1"/>
  <c r="C312" i="15"/>
  <c r="M309" i="29" s="1"/>
  <c r="I311" i="15"/>
  <c r="AE308" i="29" s="1"/>
  <c r="C311" i="15"/>
  <c r="M308" i="29" s="1"/>
  <c r="I310" i="15"/>
  <c r="AE307" i="29" s="1"/>
  <c r="C310" i="15"/>
  <c r="M307" i="29" s="1"/>
  <c r="I309" i="15"/>
  <c r="AE306" i="29" s="1"/>
  <c r="C309" i="15"/>
  <c r="M306" i="29" s="1"/>
  <c r="I308" i="15"/>
  <c r="AE305" i="29" s="1"/>
  <c r="C308" i="15"/>
  <c r="M305" i="29" s="1"/>
  <c r="I307" i="15"/>
  <c r="AE304" i="29" s="1"/>
  <c r="C307" i="15"/>
  <c r="M304" i="29" s="1"/>
  <c r="I306" i="15"/>
  <c r="AE303" i="29" s="1"/>
  <c r="C306" i="15"/>
  <c r="M303" i="29" s="1"/>
  <c r="I305" i="15"/>
  <c r="AE302" i="29" s="1"/>
  <c r="C305" i="15"/>
  <c r="M302" i="29" s="1"/>
  <c r="I304" i="15"/>
  <c r="AE301" i="29" s="1"/>
  <c r="L303" i="15"/>
  <c r="AN300" i="29" s="1"/>
  <c r="F303" i="15"/>
  <c r="V300" i="29" s="1"/>
  <c r="L302" i="15"/>
  <c r="AN299" i="29" s="1"/>
  <c r="F302" i="15"/>
  <c r="V299" i="29" s="1"/>
  <c r="L301" i="15"/>
  <c r="AN298" i="29" s="1"/>
  <c r="F301" i="15"/>
  <c r="V298" i="29" s="1"/>
  <c r="L300" i="15"/>
  <c r="AN297" i="29" s="1"/>
  <c r="F300" i="15"/>
  <c r="V297" i="29" s="1"/>
  <c r="L299" i="15"/>
  <c r="AN296" i="29" s="1"/>
  <c r="F299" i="15"/>
  <c r="V296" i="29" s="1"/>
  <c r="L298" i="15"/>
  <c r="AN295" i="29" s="1"/>
  <c r="F298" i="15"/>
  <c r="V295" i="29" s="1"/>
  <c r="L297" i="15"/>
  <c r="AN294" i="29" s="1"/>
  <c r="F297" i="15"/>
  <c r="V294" i="29" s="1"/>
  <c r="L296" i="15"/>
  <c r="AN293" i="29" s="1"/>
  <c r="F296" i="15"/>
  <c r="V293" i="29" s="1"/>
  <c r="L295" i="15"/>
  <c r="AN292" i="29" s="1"/>
  <c r="F295" i="15"/>
  <c r="V292" i="29" s="1"/>
  <c r="L294" i="15"/>
  <c r="AN291" i="29" s="1"/>
  <c r="F294" i="15"/>
  <c r="V291" i="29" s="1"/>
  <c r="L293" i="15"/>
  <c r="AN290" i="29" s="1"/>
  <c r="F293" i="15"/>
  <c r="V290" i="29" s="1"/>
  <c r="L292" i="15"/>
  <c r="AN289" i="29" s="1"/>
  <c r="F292" i="15"/>
  <c r="V289" i="29" s="1"/>
  <c r="L291" i="15"/>
  <c r="AN288" i="29" s="1"/>
  <c r="F291" i="15"/>
  <c r="V288" i="29" s="1"/>
  <c r="L290" i="15"/>
  <c r="AN287" i="29" s="1"/>
  <c r="F290" i="15"/>
  <c r="V287" i="29" s="1"/>
  <c r="K303" i="15"/>
  <c r="AK300" i="29" s="1"/>
  <c r="E303" i="15"/>
  <c r="S300" i="29" s="1"/>
  <c r="K302" i="15"/>
  <c r="AK299" i="29" s="1"/>
  <c r="E302" i="15"/>
  <c r="S299" i="29" s="1"/>
  <c r="K301" i="15"/>
  <c r="AK298" i="29" s="1"/>
  <c r="E301" i="15"/>
  <c r="S298" i="29" s="1"/>
  <c r="K300" i="15"/>
  <c r="AK297" i="29" s="1"/>
  <c r="E300" i="15"/>
  <c r="S297" i="29" s="1"/>
  <c r="K299" i="15"/>
  <c r="AK296" i="29" s="1"/>
  <c r="E299" i="15"/>
  <c r="S296" i="29" s="1"/>
  <c r="K298" i="15"/>
  <c r="AK295" i="29" s="1"/>
  <c r="E298" i="15"/>
  <c r="S295" i="29" s="1"/>
  <c r="K297" i="15"/>
  <c r="AK294" i="29" s="1"/>
  <c r="E297" i="15"/>
  <c r="S294" i="29" s="1"/>
  <c r="K296" i="15"/>
  <c r="AK293" i="29" s="1"/>
  <c r="E296" i="15"/>
  <c r="S293" i="29" s="1"/>
  <c r="K295" i="15"/>
  <c r="AK292" i="29" s="1"/>
  <c r="E295" i="15"/>
  <c r="S292" i="29" s="1"/>
  <c r="K294" i="15"/>
  <c r="AK291" i="29" s="1"/>
  <c r="E294" i="15"/>
  <c r="S291" i="29" s="1"/>
  <c r="K293" i="15"/>
  <c r="AK290" i="29" s="1"/>
  <c r="E293" i="15"/>
  <c r="S290" i="29" s="1"/>
  <c r="E292" i="15"/>
  <c r="S289" i="29" s="1"/>
  <c r="J303" i="15"/>
  <c r="AH300" i="29" s="1"/>
  <c r="D303" i="15"/>
  <c r="P300" i="29" s="1"/>
  <c r="J302" i="15"/>
  <c r="AH299" i="29" s="1"/>
  <c r="D302" i="15"/>
  <c r="P299" i="29" s="1"/>
  <c r="J301" i="15"/>
  <c r="AH298" i="29" s="1"/>
  <c r="D301" i="15"/>
  <c r="P298" i="29" s="1"/>
  <c r="J300" i="15"/>
  <c r="AH297" i="29" s="1"/>
  <c r="D300" i="15"/>
  <c r="P297" i="29" s="1"/>
  <c r="J299" i="15"/>
  <c r="AH296" i="29" s="1"/>
  <c r="D299" i="15"/>
  <c r="P296" i="29" s="1"/>
  <c r="J298" i="15"/>
  <c r="AH295" i="29" s="1"/>
  <c r="D298" i="15"/>
  <c r="P295" i="29" s="1"/>
  <c r="J297" i="15"/>
  <c r="AH294" i="29" s="1"/>
  <c r="D297" i="15"/>
  <c r="P294" i="29" s="1"/>
  <c r="J296" i="15"/>
  <c r="AH293" i="29" s="1"/>
  <c r="D296" i="15"/>
  <c r="P293" i="29" s="1"/>
  <c r="J295" i="15"/>
  <c r="AH292" i="29" s="1"/>
  <c r="D295" i="15"/>
  <c r="P292" i="29" s="1"/>
  <c r="J294" i="15"/>
  <c r="AH291" i="29" s="1"/>
  <c r="D294" i="15"/>
  <c r="P291" i="29" s="1"/>
  <c r="J293" i="15"/>
  <c r="AH290" i="29" s="1"/>
  <c r="D293" i="15"/>
  <c r="P290" i="29" s="1"/>
  <c r="J292" i="15"/>
  <c r="AH289" i="29" s="1"/>
  <c r="D292" i="15"/>
  <c r="P289" i="29" s="1"/>
  <c r="J291" i="15"/>
  <c r="AH288" i="29" s="1"/>
  <c r="D291" i="15"/>
  <c r="P288" i="29" s="1"/>
  <c r="J290" i="15"/>
  <c r="AH287" i="29" s="1"/>
  <c r="D290" i="15"/>
  <c r="P287" i="29" s="1"/>
  <c r="I303" i="15"/>
  <c r="AE300" i="29" s="1"/>
  <c r="C303" i="15"/>
  <c r="M300" i="29" s="1"/>
  <c r="I302" i="15"/>
  <c r="AE299" i="29" s="1"/>
  <c r="C302" i="15"/>
  <c r="M299" i="29" s="1"/>
  <c r="I301" i="15"/>
  <c r="AE298" i="29" s="1"/>
  <c r="C301" i="15"/>
  <c r="M298" i="29" s="1"/>
  <c r="I300" i="15"/>
  <c r="AE297" i="29" s="1"/>
  <c r="C300" i="15"/>
  <c r="M297" i="29" s="1"/>
  <c r="I299" i="15"/>
  <c r="AE296" i="29" s="1"/>
  <c r="C299" i="15"/>
  <c r="M296" i="29" s="1"/>
  <c r="I298" i="15"/>
  <c r="AE295" i="29" s="1"/>
  <c r="C298" i="15"/>
  <c r="M295" i="29" s="1"/>
  <c r="I297" i="15"/>
  <c r="AE294" i="29" s="1"/>
  <c r="C297" i="15"/>
  <c r="M294" i="29" s="1"/>
  <c r="I296" i="15"/>
  <c r="AE293" i="29" s="1"/>
  <c r="C296" i="15"/>
  <c r="M293" i="29" s="1"/>
  <c r="I295" i="15"/>
  <c r="AE292" i="29" s="1"/>
  <c r="C295" i="15"/>
  <c r="M292" i="29" s="1"/>
  <c r="I294" i="15"/>
  <c r="AE291" i="29" s="1"/>
  <c r="C294" i="15"/>
  <c r="M291" i="29" s="1"/>
  <c r="I293" i="15"/>
  <c r="AE290" i="29" s="1"/>
  <c r="C293" i="15"/>
  <c r="M290" i="29" s="1"/>
  <c r="I292" i="15"/>
  <c r="AE289" i="29" s="1"/>
  <c r="C292" i="15"/>
  <c r="M289" i="29" s="1"/>
  <c r="I291" i="15"/>
  <c r="AE288" i="29" s="1"/>
  <c r="C291" i="15"/>
  <c r="M288" i="29" s="1"/>
  <c r="L289" i="15"/>
  <c r="AN286" i="29" s="1"/>
  <c r="F289" i="15"/>
  <c r="V286" i="29" s="1"/>
  <c r="L288" i="15"/>
  <c r="AN285" i="29" s="1"/>
  <c r="F288" i="15"/>
  <c r="V285" i="29" s="1"/>
  <c r="L287" i="15"/>
  <c r="AN284" i="29" s="1"/>
  <c r="F287" i="15"/>
  <c r="V284" i="29" s="1"/>
  <c r="L286" i="15"/>
  <c r="AN283" i="29" s="1"/>
  <c r="F286" i="15"/>
  <c r="V283" i="29" s="1"/>
  <c r="L285" i="15"/>
  <c r="AN282" i="29" s="1"/>
  <c r="F285" i="15"/>
  <c r="V282" i="29" s="1"/>
  <c r="L284" i="15"/>
  <c r="AN281" i="29" s="1"/>
  <c r="F284" i="15"/>
  <c r="V281" i="29" s="1"/>
  <c r="L283" i="15"/>
  <c r="AN280" i="29" s="1"/>
  <c r="F283" i="15"/>
  <c r="V280" i="29" s="1"/>
  <c r="L282" i="15"/>
  <c r="AN279" i="29" s="1"/>
  <c r="F282" i="15"/>
  <c r="V279" i="29" s="1"/>
  <c r="L281" i="15"/>
  <c r="AN278" i="29" s="1"/>
  <c r="F281" i="15"/>
  <c r="V278" i="29" s="1"/>
  <c r="L280" i="15"/>
  <c r="AN277" i="29" s="1"/>
  <c r="F280" i="15"/>
  <c r="V277" i="29" s="1"/>
  <c r="L279" i="15"/>
  <c r="AN276" i="29" s="1"/>
  <c r="F279" i="15"/>
  <c r="V276" i="29" s="1"/>
  <c r="L278" i="15"/>
  <c r="AN275" i="29" s="1"/>
  <c r="F278" i="15"/>
  <c r="V275" i="29" s="1"/>
  <c r="L277" i="15"/>
  <c r="AN274" i="29" s="1"/>
  <c r="F277" i="15"/>
  <c r="V274" i="29" s="1"/>
  <c r="L276" i="15"/>
  <c r="AN273" i="29" s="1"/>
  <c r="F276" i="15"/>
  <c r="V273" i="29" s="1"/>
  <c r="K289" i="15"/>
  <c r="AK286" i="29" s="1"/>
  <c r="E289" i="15"/>
  <c r="S286" i="29" s="1"/>
  <c r="K288" i="15"/>
  <c r="AK285" i="29" s="1"/>
  <c r="E288" i="15"/>
  <c r="S285" i="29" s="1"/>
  <c r="K287" i="15"/>
  <c r="AK284" i="29" s="1"/>
  <c r="E287" i="15"/>
  <c r="S284" i="29" s="1"/>
  <c r="K286" i="15"/>
  <c r="AK283" i="29" s="1"/>
  <c r="E286" i="15"/>
  <c r="S283" i="29" s="1"/>
  <c r="K285" i="15"/>
  <c r="AK282" i="29" s="1"/>
  <c r="E285" i="15"/>
  <c r="S282" i="29" s="1"/>
  <c r="K284" i="15"/>
  <c r="AK281" i="29" s="1"/>
  <c r="E284" i="15"/>
  <c r="S281" i="29" s="1"/>
  <c r="K283" i="15"/>
  <c r="AK280" i="29" s="1"/>
  <c r="E283" i="15"/>
  <c r="S280" i="29" s="1"/>
  <c r="K282" i="15"/>
  <c r="AK279" i="29" s="1"/>
  <c r="E282" i="15"/>
  <c r="S279" i="29" s="1"/>
  <c r="K281" i="15"/>
  <c r="AK278" i="29" s="1"/>
  <c r="E281" i="15"/>
  <c r="S278" i="29" s="1"/>
  <c r="K280" i="15"/>
  <c r="AK277" i="29" s="1"/>
  <c r="E280" i="15"/>
  <c r="S277" i="29" s="1"/>
  <c r="K279" i="15"/>
  <c r="AK276" i="29" s="1"/>
  <c r="E279" i="15"/>
  <c r="S276" i="29" s="1"/>
  <c r="K278" i="15"/>
  <c r="AK275" i="29" s="1"/>
  <c r="E278" i="15"/>
  <c r="S275" i="29" s="1"/>
  <c r="K277" i="15"/>
  <c r="AK274" i="29" s="1"/>
  <c r="E277" i="15"/>
  <c r="S274" i="29" s="1"/>
  <c r="K276" i="15"/>
  <c r="AK273" i="29" s="1"/>
  <c r="E276" i="15"/>
  <c r="S273" i="29" s="1"/>
  <c r="J289" i="15"/>
  <c r="AH286" i="29" s="1"/>
  <c r="D289" i="15"/>
  <c r="P286" i="29" s="1"/>
  <c r="J288" i="15"/>
  <c r="AH285" i="29" s="1"/>
  <c r="D288" i="15"/>
  <c r="P285" i="29" s="1"/>
  <c r="J287" i="15"/>
  <c r="AH284" i="29" s="1"/>
  <c r="D287" i="15"/>
  <c r="P284" i="29" s="1"/>
  <c r="J286" i="15"/>
  <c r="AH283" i="29" s="1"/>
  <c r="D286" i="15"/>
  <c r="P283" i="29" s="1"/>
  <c r="J285" i="15"/>
  <c r="AH282" i="29" s="1"/>
  <c r="D285" i="15"/>
  <c r="P282" i="29" s="1"/>
  <c r="J284" i="15"/>
  <c r="AH281" i="29" s="1"/>
  <c r="D284" i="15"/>
  <c r="P281" i="29" s="1"/>
  <c r="J283" i="15"/>
  <c r="AH280" i="29" s="1"/>
  <c r="D283" i="15"/>
  <c r="P280" i="29" s="1"/>
  <c r="J282" i="15"/>
  <c r="AH279" i="29" s="1"/>
  <c r="D282" i="15"/>
  <c r="P279" i="29" s="1"/>
  <c r="J281" i="15"/>
  <c r="AH278" i="29" s="1"/>
  <c r="D281" i="15"/>
  <c r="P278" i="29" s="1"/>
  <c r="J280" i="15"/>
  <c r="AH277" i="29" s="1"/>
  <c r="D280" i="15"/>
  <c r="P277" i="29" s="1"/>
  <c r="J279" i="15"/>
  <c r="AH276" i="29" s="1"/>
  <c r="D279" i="15"/>
  <c r="P276" i="29" s="1"/>
  <c r="J278" i="15"/>
  <c r="AH275" i="29" s="1"/>
  <c r="D278" i="15"/>
  <c r="P275" i="29" s="1"/>
  <c r="J277" i="15"/>
  <c r="AH274" i="29" s="1"/>
  <c r="D277" i="15"/>
  <c r="P274" i="29" s="1"/>
  <c r="J276" i="15"/>
  <c r="AH273" i="29" s="1"/>
  <c r="D276" i="15"/>
  <c r="P273" i="29" s="1"/>
  <c r="I289" i="15"/>
  <c r="AE286" i="29" s="1"/>
  <c r="C289" i="15"/>
  <c r="M286" i="29" s="1"/>
  <c r="I288" i="15"/>
  <c r="AE285" i="29" s="1"/>
  <c r="C288" i="15"/>
  <c r="M285" i="29" s="1"/>
  <c r="I287" i="15"/>
  <c r="AE284" i="29" s="1"/>
  <c r="C287" i="15"/>
  <c r="M284" i="29" s="1"/>
  <c r="I286" i="15"/>
  <c r="AE283" i="29" s="1"/>
  <c r="C286" i="15"/>
  <c r="M283" i="29" s="1"/>
  <c r="I285" i="15"/>
  <c r="AE282" i="29" s="1"/>
  <c r="C285" i="15"/>
  <c r="M282" i="29" s="1"/>
  <c r="I284" i="15"/>
  <c r="AE281" i="29" s="1"/>
  <c r="C284" i="15"/>
  <c r="M281" i="29" s="1"/>
  <c r="I283" i="15"/>
  <c r="AE280" i="29" s="1"/>
  <c r="C283" i="15"/>
  <c r="M280" i="29" s="1"/>
  <c r="I282" i="15"/>
  <c r="AE279" i="29" s="1"/>
  <c r="C282" i="15"/>
  <c r="M279" i="29" s="1"/>
  <c r="I281" i="15"/>
  <c r="AE278" i="29" s="1"/>
  <c r="C281" i="15"/>
  <c r="M278" i="29" s="1"/>
  <c r="I280" i="15"/>
  <c r="AE277" i="29" s="1"/>
  <c r="C280" i="15"/>
  <c r="M277" i="29" s="1"/>
  <c r="I279" i="15"/>
  <c r="AE276" i="29" s="1"/>
  <c r="C279" i="15"/>
  <c r="M276" i="29" s="1"/>
  <c r="I278" i="15"/>
  <c r="AE275" i="29" s="1"/>
  <c r="C278" i="15"/>
  <c r="M275" i="29" s="1"/>
  <c r="I277" i="15"/>
  <c r="AE274" i="29" s="1"/>
  <c r="C277" i="15"/>
  <c r="M274" i="29" s="1"/>
  <c r="I276" i="15"/>
  <c r="AE273" i="29" s="1"/>
  <c r="L275" i="15"/>
  <c r="AN272" i="29" s="1"/>
  <c r="F275" i="15"/>
  <c r="V272" i="29" s="1"/>
  <c r="L274" i="15"/>
  <c r="AN271" i="29" s="1"/>
  <c r="F274" i="15"/>
  <c r="V271" i="29" s="1"/>
  <c r="L273" i="15"/>
  <c r="AN270" i="29" s="1"/>
  <c r="F273" i="15"/>
  <c r="L272"/>
  <c r="AN269" i="29" s="1"/>
  <c r="F272" i="15"/>
  <c r="V269" i="29" s="1"/>
  <c r="L271" i="15"/>
  <c r="AN268" i="29" s="1"/>
  <c r="F271" i="15"/>
  <c r="V268" i="29" s="1"/>
  <c r="L270" i="15"/>
  <c r="AN267" i="29" s="1"/>
  <c r="F270" i="15"/>
  <c r="L269"/>
  <c r="AN266" i="29" s="1"/>
  <c r="F269" i="15"/>
  <c r="V266" i="29" s="1"/>
  <c r="L268" i="15"/>
  <c r="AN265" i="29" s="1"/>
  <c r="F268" i="15"/>
  <c r="V265" i="29" s="1"/>
  <c r="L267" i="15"/>
  <c r="AN264" i="29" s="1"/>
  <c r="F267" i="15"/>
  <c r="L266"/>
  <c r="AN263" i="29" s="1"/>
  <c r="F266" i="15"/>
  <c r="V263" i="29" s="1"/>
  <c r="L265" i="15"/>
  <c r="AN262" i="29" s="1"/>
  <c r="F265" i="15"/>
  <c r="V262" i="29" s="1"/>
  <c r="L264" i="15"/>
  <c r="AN261" i="29" s="1"/>
  <c r="F264" i="15"/>
  <c r="L263"/>
  <c r="AN260" i="29" s="1"/>
  <c r="F263" i="15"/>
  <c r="V260" i="29" s="1"/>
  <c r="L262" i="15"/>
  <c r="AN259" i="29" s="1"/>
  <c r="L247" i="15"/>
  <c r="AN244" i="29" s="1"/>
  <c r="F247" i="15"/>
  <c r="V244" i="29" s="1"/>
  <c r="L246" i="15"/>
  <c r="AN243" i="29" s="1"/>
  <c r="F246" i="15"/>
  <c r="V243" i="29" s="1"/>
  <c r="L245" i="15"/>
  <c r="AN242" i="29" s="1"/>
  <c r="F245" i="15"/>
  <c r="V242" i="29" s="1"/>
  <c r="L244" i="15"/>
  <c r="AN241" i="29" s="1"/>
  <c r="F244" i="15"/>
  <c r="V241" i="29" s="1"/>
  <c r="L243" i="15"/>
  <c r="AN240" i="29" s="1"/>
  <c r="F243" i="15"/>
  <c r="V240" i="29" s="1"/>
  <c r="L242" i="15"/>
  <c r="AN239" i="29" s="1"/>
  <c r="F242" i="15"/>
  <c r="V239" i="29" s="1"/>
  <c r="L241" i="15"/>
  <c r="AN238" i="29" s="1"/>
  <c r="F241" i="15"/>
  <c r="V238" i="29" s="1"/>
  <c r="L240" i="15"/>
  <c r="AN237" i="29" s="1"/>
  <c r="F240" i="15"/>
  <c r="V237" i="29" s="1"/>
  <c r="L239" i="15"/>
  <c r="AN236" i="29" s="1"/>
  <c r="F239" i="15"/>
  <c r="V236" i="29" s="1"/>
  <c r="L238" i="15"/>
  <c r="AN235" i="29" s="1"/>
  <c r="F238" i="15"/>
  <c r="V235" i="29" s="1"/>
  <c r="L237" i="15"/>
  <c r="AN234" i="29" s="1"/>
  <c r="F237" i="15"/>
  <c r="V234" i="29" s="1"/>
  <c r="L236" i="15"/>
  <c r="AN233" i="29" s="1"/>
  <c r="F236" i="15"/>
  <c r="V233" i="29" s="1"/>
  <c r="L235" i="15"/>
  <c r="AN232" i="29" s="1"/>
  <c r="F235" i="15"/>
  <c r="V232" i="29" s="1"/>
  <c r="L234" i="15"/>
  <c r="AN231" i="29" s="1"/>
  <c r="F234" i="15"/>
  <c r="V231" i="29" s="1"/>
  <c r="K247" i="15"/>
  <c r="AK244" i="29" s="1"/>
  <c r="E247" i="15"/>
  <c r="S244" i="29" s="1"/>
  <c r="K246" i="15"/>
  <c r="AK243" i="29" s="1"/>
  <c r="E246" i="15"/>
  <c r="S243" i="29" s="1"/>
  <c r="K245" i="15"/>
  <c r="AK242" i="29" s="1"/>
  <c r="E245" i="15"/>
  <c r="S242" i="29" s="1"/>
  <c r="K244" i="15"/>
  <c r="AK241" i="29" s="1"/>
  <c r="E244" i="15"/>
  <c r="S241" i="29" s="1"/>
  <c r="K243" i="15"/>
  <c r="AK240" i="29" s="1"/>
  <c r="E243" i="15"/>
  <c r="S240" i="29" s="1"/>
  <c r="K242" i="15"/>
  <c r="AK239" i="29" s="1"/>
  <c r="E242" i="15"/>
  <c r="S239" i="29" s="1"/>
  <c r="K241" i="15"/>
  <c r="AK238" i="29" s="1"/>
  <c r="E241" i="15"/>
  <c r="S238" i="29" s="1"/>
  <c r="K240" i="15"/>
  <c r="AK237" i="29" s="1"/>
  <c r="E240" i="15"/>
  <c r="S237" i="29" s="1"/>
  <c r="K239" i="15"/>
  <c r="AK236" i="29" s="1"/>
  <c r="E239" i="15"/>
  <c r="S236" i="29" s="1"/>
  <c r="K238" i="15"/>
  <c r="AK235" i="29" s="1"/>
  <c r="E238" i="15"/>
  <c r="S235" i="29" s="1"/>
  <c r="K237" i="15"/>
  <c r="AK234" i="29" s="1"/>
  <c r="E237" i="15"/>
  <c r="S234" i="29" s="1"/>
  <c r="K236" i="15"/>
  <c r="AK233" i="29" s="1"/>
  <c r="E236" i="15"/>
  <c r="S233" i="29" s="1"/>
  <c r="K235" i="15"/>
  <c r="AK232" i="29" s="1"/>
  <c r="E235" i="15"/>
  <c r="S232" i="29" s="1"/>
  <c r="K234" i="15"/>
  <c r="AK231" i="29" s="1"/>
  <c r="E234" i="15"/>
  <c r="S231" i="29" s="1"/>
  <c r="J247" i="15"/>
  <c r="AH244" i="29" s="1"/>
  <c r="D247" i="15"/>
  <c r="P244" i="29" s="1"/>
  <c r="J246" i="15"/>
  <c r="AH243" i="29" s="1"/>
  <c r="D246" i="15"/>
  <c r="P243" i="29" s="1"/>
  <c r="J245" i="15"/>
  <c r="AH242" i="29" s="1"/>
  <c r="D245" i="15"/>
  <c r="P242" i="29" s="1"/>
  <c r="J244" i="15"/>
  <c r="AH241" i="29" s="1"/>
  <c r="D244" i="15"/>
  <c r="P241" i="29" s="1"/>
  <c r="J243" i="15"/>
  <c r="AH240" i="29" s="1"/>
  <c r="D243" i="15"/>
  <c r="P240" i="29" s="1"/>
  <c r="J242" i="15"/>
  <c r="AH239" i="29" s="1"/>
  <c r="D242" i="15"/>
  <c r="P239" i="29" s="1"/>
  <c r="J241" i="15"/>
  <c r="AH238" i="29" s="1"/>
  <c r="D241" i="15"/>
  <c r="P238" i="29" s="1"/>
  <c r="J240" i="15"/>
  <c r="AH237" i="29" s="1"/>
  <c r="D240" i="15"/>
  <c r="P237" i="29" s="1"/>
  <c r="J239" i="15"/>
  <c r="AH236" i="29" s="1"/>
  <c r="D239" i="15"/>
  <c r="P236" i="29" s="1"/>
  <c r="J238" i="15"/>
  <c r="AH235" i="29" s="1"/>
  <c r="D238" i="15"/>
  <c r="P235" i="29" s="1"/>
  <c r="J237" i="15"/>
  <c r="AH234" i="29" s="1"/>
  <c r="D237" i="15"/>
  <c r="P234" i="29" s="1"/>
  <c r="J236" i="15"/>
  <c r="AH233" i="29" s="1"/>
  <c r="D236" i="15"/>
  <c r="P233" i="29" s="1"/>
  <c r="J235" i="15"/>
  <c r="AH232" i="29" s="1"/>
  <c r="D235" i="15"/>
  <c r="P232" i="29" s="1"/>
  <c r="J234" i="15"/>
  <c r="AH231" i="29" s="1"/>
  <c r="D234" i="15"/>
  <c r="P231" i="29" s="1"/>
  <c r="I247" i="15"/>
  <c r="AE244" i="29" s="1"/>
  <c r="C247" i="15"/>
  <c r="M244" i="29" s="1"/>
  <c r="I246" i="15"/>
  <c r="AE243" i="29" s="1"/>
  <c r="C246" i="15"/>
  <c r="M243" i="29" s="1"/>
  <c r="I245" i="15"/>
  <c r="AE242" i="29" s="1"/>
  <c r="C245" i="15"/>
  <c r="M242" i="29" s="1"/>
  <c r="I244" i="15"/>
  <c r="AE241" i="29" s="1"/>
  <c r="C244" i="15"/>
  <c r="M241" i="29" s="1"/>
  <c r="I243" i="15"/>
  <c r="AE240" i="29" s="1"/>
  <c r="C243" i="15"/>
  <c r="M240" i="29" s="1"/>
  <c r="I242" i="15"/>
  <c r="AE239" i="29" s="1"/>
  <c r="C242" i="15"/>
  <c r="M239" i="29" s="1"/>
  <c r="I241" i="15"/>
  <c r="AE238" i="29" s="1"/>
  <c r="C241" i="15"/>
  <c r="M238" i="29" s="1"/>
  <c r="I240" i="15"/>
  <c r="AE237" i="29" s="1"/>
  <c r="C240" i="15"/>
  <c r="M237" i="29" s="1"/>
  <c r="I239" i="15"/>
  <c r="AE236" i="29" s="1"/>
  <c r="C239" i="15"/>
  <c r="M236" i="29" s="1"/>
  <c r="I238" i="15"/>
  <c r="AE235" i="29" s="1"/>
  <c r="C238" i="15"/>
  <c r="M235" i="29" s="1"/>
  <c r="I237" i="15"/>
  <c r="AE234" i="29" s="1"/>
  <c r="C237" i="15"/>
  <c r="M234" i="29" s="1"/>
  <c r="I236" i="15"/>
  <c r="AE233" i="29" s="1"/>
  <c r="C236" i="15"/>
  <c r="M233" i="29" s="1"/>
  <c r="I235" i="15"/>
  <c r="AE232" i="29" s="1"/>
  <c r="C235" i="15"/>
  <c r="M232" i="29" s="1"/>
  <c r="I234" i="15"/>
  <c r="AE231" i="29" s="1"/>
  <c r="L233" i="15"/>
  <c r="AN230" i="29" s="1"/>
  <c r="F233" i="15"/>
  <c r="V230" i="29" s="1"/>
  <c r="L232" i="15"/>
  <c r="AN229" i="29" s="1"/>
  <c r="F232" i="15"/>
  <c r="V229" i="29" s="1"/>
  <c r="L231" i="15"/>
  <c r="AN228" i="29" s="1"/>
  <c r="F231" i="15"/>
  <c r="V228" i="29" s="1"/>
  <c r="L230" i="15"/>
  <c r="AN227" i="29" s="1"/>
  <c r="F230" i="15"/>
  <c r="V227" i="29" s="1"/>
  <c r="L229" i="15"/>
  <c r="AN226" i="29" s="1"/>
  <c r="F229" i="15"/>
  <c r="V226" i="29" s="1"/>
  <c r="L228" i="15"/>
  <c r="AN225" i="29" s="1"/>
  <c r="F228" i="15"/>
  <c r="V225" i="29" s="1"/>
  <c r="L227" i="15"/>
  <c r="AN224" i="29" s="1"/>
  <c r="F227" i="15"/>
  <c r="V224" i="29" s="1"/>
  <c r="L226" i="15"/>
  <c r="AN223" i="29" s="1"/>
  <c r="F226" i="15"/>
  <c r="V223" i="29" s="1"/>
  <c r="L225" i="15"/>
  <c r="AN222" i="29" s="1"/>
  <c r="F225" i="15"/>
  <c r="V222" i="29" s="1"/>
  <c r="L224" i="15"/>
  <c r="AN221" i="29" s="1"/>
  <c r="F224" i="15"/>
  <c r="V221" i="29" s="1"/>
  <c r="L223" i="15"/>
  <c r="AN220" i="29" s="1"/>
  <c r="F223" i="15"/>
  <c r="V220" i="29" s="1"/>
  <c r="L222" i="15"/>
  <c r="AN219" i="29" s="1"/>
  <c r="F222" i="15"/>
  <c r="V219" i="29" s="1"/>
  <c r="L221" i="15"/>
  <c r="AN218" i="29" s="1"/>
  <c r="F221" i="15"/>
  <c r="V218" i="29" s="1"/>
  <c r="L220" i="15"/>
  <c r="AN217" i="29" s="1"/>
  <c r="F220" i="15"/>
  <c r="V217" i="29" s="1"/>
  <c r="K233" i="15"/>
  <c r="AK230" i="29" s="1"/>
  <c r="E233" i="15"/>
  <c r="S230" i="29" s="1"/>
  <c r="K232" i="15"/>
  <c r="AK229" i="29" s="1"/>
  <c r="E232" i="15"/>
  <c r="S229" i="29" s="1"/>
  <c r="K231" i="15"/>
  <c r="AK228" i="29" s="1"/>
  <c r="E231" i="15"/>
  <c r="S228" i="29" s="1"/>
  <c r="K230" i="15"/>
  <c r="AK227" i="29" s="1"/>
  <c r="E230" i="15"/>
  <c r="S227" i="29" s="1"/>
  <c r="K229" i="15"/>
  <c r="AK226" i="29" s="1"/>
  <c r="E229" i="15"/>
  <c r="S226" i="29" s="1"/>
  <c r="K228" i="15"/>
  <c r="AK225" i="29" s="1"/>
  <c r="E228" i="15"/>
  <c r="S225" i="29" s="1"/>
  <c r="K227" i="15"/>
  <c r="AK224" i="29" s="1"/>
  <c r="E227" i="15"/>
  <c r="S224" i="29" s="1"/>
  <c r="K226" i="15"/>
  <c r="AK223" i="29" s="1"/>
  <c r="E226" i="15"/>
  <c r="S223" i="29" s="1"/>
  <c r="K225" i="15"/>
  <c r="AK222" i="29" s="1"/>
  <c r="E225" i="15"/>
  <c r="S222" i="29" s="1"/>
  <c r="K224" i="15"/>
  <c r="AK221" i="29" s="1"/>
  <c r="E224" i="15"/>
  <c r="S221" i="29" s="1"/>
  <c r="K223" i="15"/>
  <c r="AK220" i="29" s="1"/>
  <c r="E223" i="15"/>
  <c r="S220" i="29" s="1"/>
  <c r="K222" i="15"/>
  <c r="AK219" i="29" s="1"/>
  <c r="E222" i="15"/>
  <c r="S219" i="29" s="1"/>
  <c r="K221" i="15"/>
  <c r="AK218" i="29" s="1"/>
  <c r="E221" i="15"/>
  <c r="S218" i="29" s="1"/>
  <c r="K220" i="15"/>
  <c r="AK217" i="29" s="1"/>
  <c r="E220" i="15"/>
  <c r="S217" i="29" s="1"/>
  <c r="J233" i="15"/>
  <c r="AH230" i="29" s="1"/>
  <c r="D233" i="15"/>
  <c r="P230" i="29" s="1"/>
  <c r="J232" i="15"/>
  <c r="AH229" i="29" s="1"/>
  <c r="D232" i="15"/>
  <c r="P229" i="29" s="1"/>
  <c r="J231" i="15"/>
  <c r="AH228" i="29" s="1"/>
  <c r="D231" i="15"/>
  <c r="P228" i="29" s="1"/>
  <c r="J230" i="15"/>
  <c r="AH227" i="29" s="1"/>
  <c r="D230" i="15"/>
  <c r="P227" i="29" s="1"/>
  <c r="J229" i="15"/>
  <c r="AH226" i="29" s="1"/>
  <c r="D229" i="15"/>
  <c r="P226" i="29" s="1"/>
  <c r="J228" i="15"/>
  <c r="AH225" i="29" s="1"/>
  <c r="D228" i="15"/>
  <c r="P225" i="29" s="1"/>
  <c r="J227" i="15"/>
  <c r="AH224" i="29" s="1"/>
  <c r="D227" i="15"/>
  <c r="P224" i="29" s="1"/>
  <c r="J226" i="15"/>
  <c r="AH223" i="29" s="1"/>
  <c r="D226" i="15"/>
  <c r="P223" i="29" s="1"/>
  <c r="J225" i="15"/>
  <c r="AH222" i="29" s="1"/>
  <c r="D225" i="15"/>
  <c r="P222" i="29" s="1"/>
  <c r="J224" i="15"/>
  <c r="AH221" i="29" s="1"/>
  <c r="D224" i="15"/>
  <c r="P221" i="29" s="1"/>
  <c r="J223" i="15"/>
  <c r="AH220" i="29" s="1"/>
  <c r="D223" i="15"/>
  <c r="P220" i="29" s="1"/>
  <c r="J222" i="15"/>
  <c r="AH219" i="29" s="1"/>
  <c r="D222" i="15"/>
  <c r="P219" i="29" s="1"/>
  <c r="J221" i="15"/>
  <c r="AH218" i="29" s="1"/>
  <c r="D221" i="15"/>
  <c r="P218" i="29" s="1"/>
  <c r="J220" i="15"/>
  <c r="AH217" i="29" s="1"/>
  <c r="D220" i="15"/>
  <c r="I233"/>
  <c r="AE230" i="29" s="1"/>
  <c r="C233" i="15"/>
  <c r="M230" i="29" s="1"/>
  <c r="I232" i="15"/>
  <c r="AE229" i="29" s="1"/>
  <c r="C232" i="15"/>
  <c r="M229" i="29" s="1"/>
  <c r="I231" i="15"/>
  <c r="AE228" i="29" s="1"/>
  <c r="C231" i="15"/>
  <c r="M228" i="29" s="1"/>
  <c r="I230" i="15"/>
  <c r="AE227" i="29" s="1"/>
  <c r="C230" i="15"/>
  <c r="M227" i="29" s="1"/>
  <c r="I229" i="15"/>
  <c r="AE226" i="29" s="1"/>
  <c r="C229" i="15"/>
  <c r="M226" i="29" s="1"/>
  <c r="I228" i="15"/>
  <c r="AE225" i="29" s="1"/>
  <c r="C228" i="15"/>
  <c r="M225" i="29" s="1"/>
  <c r="I227" i="15"/>
  <c r="AE224" i="29" s="1"/>
  <c r="C227" i="15"/>
  <c r="M224" i="29" s="1"/>
  <c r="I226" i="15"/>
  <c r="AE223" i="29" s="1"/>
  <c r="C226" i="15"/>
  <c r="M223" i="29" s="1"/>
  <c r="I225" i="15"/>
  <c r="AE222" i="29" s="1"/>
  <c r="C225" i="15"/>
  <c r="M222" i="29" s="1"/>
  <c r="I224" i="15"/>
  <c r="AE221" i="29" s="1"/>
  <c r="C224" i="15"/>
  <c r="M221" i="29" s="1"/>
  <c r="I223" i="15"/>
  <c r="AE220" i="29" s="1"/>
  <c r="C223" i="15"/>
  <c r="M220" i="29" s="1"/>
  <c r="I222" i="15"/>
  <c r="AE219" i="29" s="1"/>
  <c r="C222" i="15"/>
  <c r="M219" i="29" s="1"/>
  <c r="I221" i="15"/>
  <c r="AE218" i="29" s="1"/>
  <c r="C221" i="15"/>
  <c r="M218" i="29" s="1"/>
  <c r="I220" i="15"/>
  <c r="AE217" i="29" s="1"/>
  <c r="L219" i="15"/>
  <c r="AN216" i="29" s="1"/>
  <c r="F219" i="15"/>
  <c r="V216" i="29" s="1"/>
  <c r="L218" i="15"/>
  <c r="AN215" i="29" s="1"/>
  <c r="F218" i="15"/>
  <c r="V215" i="29" s="1"/>
  <c r="L217" i="15"/>
  <c r="AN214" i="29" s="1"/>
  <c r="F217" i="15"/>
  <c r="V214" i="29" s="1"/>
  <c r="L216" i="15"/>
  <c r="AN213" i="29" s="1"/>
  <c r="F216" i="15"/>
  <c r="V213" i="29" s="1"/>
  <c r="L215" i="15"/>
  <c r="AN212" i="29" s="1"/>
  <c r="F215" i="15"/>
  <c r="V212" i="29" s="1"/>
  <c r="L214" i="15"/>
  <c r="AN211" i="29" s="1"/>
  <c r="F214" i="15"/>
  <c r="V211" i="29" s="1"/>
  <c r="L213" i="15"/>
  <c r="AN210" i="29" s="1"/>
  <c r="F213" i="15"/>
  <c r="V210" i="29" s="1"/>
  <c r="L212" i="15"/>
  <c r="AN209" i="29" s="1"/>
  <c r="F212" i="15"/>
  <c r="V209" i="29" s="1"/>
  <c r="L211" i="15"/>
  <c r="AN208" i="29" s="1"/>
  <c r="F211" i="15"/>
  <c r="V208" i="29" s="1"/>
  <c r="L210" i="15"/>
  <c r="AN207" i="29" s="1"/>
  <c r="F210" i="15"/>
  <c r="V207" i="29" s="1"/>
  <c r="L209" i="15"/>
  <c r="AN206" i="29" s="1"/>
  <c r="F209" i="15"/>
  <c r="V206" i="29" s="1"/>
  <c r="L208" i="15"/>
  <c r="AN205" i="29" s="1"/>
  <c r="F208" i="15"/>
  <c r="V205" i="29" s="1"/>
  <c r="L207" i="15"/>
  <c r="AN204" i="29" s="1"/>
  <c r="F207" i="15"/>
  <c r="V204" i="29" s="1"/>
  <c r="L206" i="15"/>
  <c r="AN203" i="29" s="1"/>
  <c r="F206" i="15"/>
  <c r="V203" i="29" s="1"/>
  <c r="K219" i="15"/>
  <c r="AK216" i="29" s="1"/>
  <c r="E219" i="15"/>
  <c r="S216" i="29" s="1"/>
  <c r="K218" i="15"/>
  <c r="AK215" i="29" s="1"/>
  <c r="E218" i="15"/>
  <c r="S215" i="29" s="1"/>
  <c r="K217" i="15"/>
  <c r="AK214" i="29" s="1"/>
  <c r="E217" i="15"/>
  <c r="S214" i="29" s="1"/>
  <c r="K216" i="15"/>
  <c r="AK213" i="29" s="1"/>
  <c r="E216" i="15"/>
  <c r="S213" i="29" s="1"/>
  <c r="K215" i="15"/>
  <c r="AK212" i="29" s="1"/>
  <c r="E215" i="15"/>
  <c r="S212" i="29" s="1"/>
  <c r="K214" i="15"/>
  <c r="AK211" i="29" s="1"/>
  <c r="E214" i="15"/>
  <c r="S211" i="29" s="1"/>
  <c r="K213" i="15"/>
  <c r="AK210" i="29" s="1"/>
  <c r="E213" i="15"/>
  <c r="S210" i="29" s="1"/>
  <c r="K212" i="15"/>
  <c r="AK209" i="29" s="1"/>
  <c r="E212" i="15"/>
  <c r="S209" i="29" s="1"/>
  <c r="K211" i="15"/>
  <c r="AK208" i="29" s="1"/>
  <c r="E211" i="15"/>
  <c r="S208" i="29" s="1"/>
  <c r="K210" i="15"/>
  <c r="AK207" i="29" s="1"/>
  <c r="E210" i="15"/>
  <c r="S207" i="29" s="1"/>
  <c r="K209" i="15"/>
  <c r="AK206" i="29" s="1"/>
  <c r="E209" i="15"/>
  <c r="S206" i="29" s="1"/>
  <c r="K208" i="15"/>
  <c r="AK205" i="29" s="1"/>
  <c r="E208" i="15"/>
  <c r="S205" i="29" s="1"/>
  <c r="K207" i="15"/>
  <c r="AK204" i="29" s="1"/>
  <c r="E207" i="15"/>
  <c r="S204" i="29" s="1"/>
  <c r="K206" i="15"/>
  <c r="AK203" i="29" s="1"/>
  <c r="E206" i="15"/>
  <c r="S203" i="29" s="1"/>
  <c r="J219" i="15"/>
  <c r="AH216" i="29" s="1"/>
  <c r="D219" i="15"/>
  <c r="P216" i="29" s="1"/>
  <c r="J218" i="15"/>
  <c r="AH215" i="29" s="1"/>
  <c r="D218" i="15"/>
  <c r="P215" i="29" s="1"/>
  <c r="J217" i="15"/>
  <c r="AH214" i="29" s="1"/>
  <c r="D217" i="15"/>
  <c r="P214" i="29" s="1"/>
  <c r="J216" i="15"/>
  <c r="AH213" i="29" s="1"/>
  <c r="D216" i="15"/>
  <c r="P213" i="29" s="1"/>
  <c r="J215" i="15"/>
  <c r="AH212" i="29" s="1"/>
  <c r="D215" i="15"/>
  <c r="P212" i="29" s="1"/>
  <c r="J214" i="15"/>
  <c r="AH211" i="29" s="1"/>
  <c r="D214" i="15"/>
  <c r="P211" i="29" s="1"/>
  <c r="J213" i="15"/>
  <c r="AH210" i="29" s="1"/>
  <c r="D213" i="15"/>
  <c r="P210" i="29" s="1"/>
  <c r="J212" i="15"/>
  <c r="AH209" i="29" s="1"/>
  <c r="D212" i="15"/>
  <c r="P209" i="29" s="1"/>
  <c r="J211" i="15"/>
  <c r="AH208" i="29" s="1"/>
  <c r="D211" i="15"/>
  <c r="P208" i="29" s="1"/>
  <c r="J210" i="15"/>
  <c r="AH207" i="29" s="1"/>
  <c r="D210" i="15"/>
  <c r="P207" i="29" s="1"/>
  <c r="J209" i="15"/>
  <c r="AH206" i="29" s="1"/>
  <c r="D209" i="15"/>
  <c r="P206" i="29" s="1"/>
  <c r="J208" i="15"/>
  <c r="AH205" i="29" s="1"/>
  <c r="D208" i="15"/>
  <c r="P205" i="29" s="1"/>
  <c r="J207" i="15"/>
  <c r="AH204" i="29" s="1"/>
  <c r="D207" i="15"/>
  <c r="P204" i="29" s="1"/>
  <c r="J206" i="15"/>
  <c r="AH203" i="29" s="1"/>
  <c r="D206" i="15"/>
  <c r="P203" i="29" s="1"/>
  <c r="I219" i="15"/>
  <c r="AE216" i="29" s="1"/>
  <c r="C219" i="15"/>
  <c r="M216" i="29" s="1"/>
  <c r="I218" i="15"/>
  <c r="AE215" i="29" s="1"/>
  <c r="C218" i="15"/>
  <c r="M215" i="29" s="1"/>
  <c r="I217" i="15"/>
  <c r="AE214" i="29" s="1"/>
  <c r="C217" i="15"/>
  <c r="M214" i="29" s="1"/>
  <c r="I216" i="15"/>
  <c r="AE213" i="29" s="1"/>
  <c r="C216" i="15"/>
  <c r="M213" i="29" s="1"/>
  <c r="I215" i="15"/>
  <c r="AE212" i="29" s="1"/>
  <c r="C215" i="15"/>
  <c r="M212" i="29" s="1"/>
  <c r="I214" i="15"/>
  <c r="AE211" i="29" s="1"/>
  <c r="C214" i="15"/>
  <c r="M211" i="29" s="1"/>
  <c r="I213" i="15"/>
  <c r="AE210" i="29" s="1"/>
  <c r="C213" i="15"/>
  <c r="M210" i="29" s="1"/>
  <c r="I212" i="15"/>
  <c r="AE209" i="29" s="1"/>
  <c r="C212" i="15"/>
  <c r="M209" i="29" s="1"/>
  <c r="I211" i="15"/>
  <c r="AE208" i="29" s="1"/>
  <c r="C211" i="15"/>
  <c r="M208" i="29" s="1"/>
  <c r="I210" i="15"/>
  <c r="AE207" i="29" s="1"/>
  <c r="C210" i="15"/>
  <c r="M207" i="29" s="1"/>
  <c r="I209" i="15"/>
  <c r="AE206" i="29" s="1"/>
  <c r="C209" i="15"/>
  <c r="M206" i="29" s="1"/>
  <c r="I208" i="15"/>
  <c r="AE205" i="29" s="1"/>
  <c r="C208" i="15"/>
  <c r="M205" i="29" s="1"/>
  <c r="I207" i="15"/>
  <c r="AE204" i="29" s="1"/>
  <c r="C207" i="15"/>
  <c r="M204" i="29" s="1"/>
  <c r="I206" i="15"/>
  <c r="AE203" i="29" s="1"/>
  <c r="L205" i="15"/>
  <c r="AN202" i="29" s="1"/>
  <c r="F205" i="15"/>
  <c r="V202" i="29" s="1"/>
  <c r="L204" i="15"/>
  <c r="AN201" i="29" s="1"/>
  <c r="F204" i="15"/>
  <c r="V201" i="29" s="1"/>
  <c r="L203" i="15"/>
  <c r="AN200" i="29" s="1"/>
  <c r="F203" i="15"/>
  <c r="V200" i="29" s="1"/>
  <c r="L202" i="15"/>
  <c r="AN199" i="29" s="1"/>
  <c r="F202" i="15"/>
  <c r="V199" i="29" s="1"/>
  <c r="L201" i="15"/>
  <c r="AN198" i="29" s="1"/>
  <c r="F201" i="15"/>
  <c r="V198" i="29" s="1"/>
  <c r="L200" i="15"/>
  <c r="AN197" i="29" s="1"/>
  <c r="F200" i="15"/>
  <c r="V197" i="29" s="1"/>
  <c r="L199" i="15"/>
  <c r="AN196" i="29" s="1"/>
  <c r="F199" i="15"/>
  <c r="V196" i="29" s="1"/>
  <c r="L198" i="15"/>
  <c r="AN195" i="29" s="1"/>
  <c r="F198" i="15"/>
  <c r="V195" i="29" s="1"/>
  <c r="L197" i="15"/>
  <c r="AN194" i="29" s="1"/>
  <c r="F197" i="15"/>
  <c r="V194" i="29" s="1"/>
  <c r="L196" i="15"/>
  <c r="AN193" i="29" s="1"/>
  <c r="F196" i="15"/>
  <c r="V193" i="29" s="1"/>
  <c r="L195" i="15"/>
  <c r="AN192" i="29" s="1"/>
  <c r="F195" i="15"/>
  <c r="V192" i="29" s="1"/>
  <c r="L194" i="15"/>
  <c r="AN191" i="29" s="1"/>
  <c r="F194" i="15"/>
  <c r="V191" i="29" s="1"/>
  <c r="L193" i="15"/>
  <c r="AN190" i="29" s="1"/>
  <c r="F193" i="15"/>
  <c r="V190" i="29" s="1"/>
  <c r="L192" i="15"/>
  <c r="L191"/>
  <c r="AN188" i="29" s="1"/>
  <c r="F191" i="15"/>
  <c r="V188" i="29" s="1"/>
  <c r="L190" i="15"/>
  <c r="AN187" i="29" s="1"/>
  <c r="F190" i="15"/>
  <c r="V187" i="29" s="1"/>
  <c r="L189" i="15"/>
  <c r="AN186" i="29" s="1"/>
  <c r="F189" i="15"/>
  <c r="V186" i="29" s="1"/>
  <c r="L188" i="15"/>
  <c r="AN185" i="29" s="1"/>
  <c r="F188" i="15"/>
  <c r="V185" i="29" s="1"/>
  <c r="L187" i="15"/>
  <c r="AN184" i="29" s="1"/>
  <c r="F187" i="15"/>
  <c r="V184" i="29" s="1"/>
  <c r="L186" i="15"/>
  <c r="AN183" i="29" s="1"/>
  <c r="F186" i="15"/>
  <c r="V183" i="29" s="1"/>
  <c r="L185" i="15"/>
  <c r="AN182" i="29" s="1"/>
  <c r="F185" i="15"/>
  <c r="V182" i="29" s="1"/>
  <c r="L184" i="15"/>
  <c r="AN181" i="29" s="1"/>
  <c r="F184" i="15"/>
  <c r="V181" i="29" s="1"/>
  <c r="L183" i="15"/>
  <c r="AN180" i="29" s="1"/>
  <c r="F183" i="15"/>
  <c r="V180" i="29" s="1"/>
  <c r="L182" i="15"/>
  <c r="AN179" i="29" s="1"/>
  <c r="F182" i="15"/>
  <c r="V179" i="29" s="1"/>
  <c r="L181" i="15"/>
  <c r="AN178" i="29" s="1"/>
  <c r="F181" i="15"/>
  <c r="V178" i="29" s="1"/>
  <c r="L180" i="15"/>
  <c r="AN177" i="29" s="1"/>
  <c r="F180" i="15"/>
  <c r="V177" i="29" s="1"/>
  <c r="L179" i="15"/>
  <c r="AN176" i="29" s="1"/>
  <c r="F179" i="15"/>
  <c r="V176" i="29" s="1"/>
  <c r="L178" i="15"/>
  <c r="AN175" i="29" s="1"/>
  <c r="F178" i="15"/>
  <c r="V175" i="29" s="1"/>
  <c r="K191" i="15"/>
  <c r="AK188" i="29" s="1"/>
  <c r="E191" i="15"/>
  <c r="S188" i="29" s="1"/>
  <c r="K190" i="15"/>
  <c r="AK187" i="29" s="1"/>
  <c r="E190" i="15"/>
  <c r="S187" i="29" s="1"/>
  <c r="K189" i="15"/>
  <c r="AK186" i="29" s="1"/>
  <c r="E189" i="15"/>
  <c r="S186" i="29" s="1"/>
  <c r="K188" i="15"/>
  <c r="AK185" i="29" s="1"/>
  <c r="E188" i="15"/>
  <c r="S185" i="29" s="1"/>
  <c r="K187" i="15"/>
  <c r="AK184" i="29" s="1"/>
  <c r="E187" i="15"/>
  <c r="S184" i="29" s="1"/>
  <c r="K186" i="15"/>
  <c r="AK183" i="29" s="1"/>
  <c r="E186" i="15"/>
  <c r="S183" i="29" s="1"/>
  <c r="K185" i="15"/>
  <c r="AK182" i="29" s="1"/>
  <c r="E185" i="15"/>
  <c r="S182" i="29" s="1"/>
  <c r="K184" i="15"/>
  <c r="AK181" i="29" s="1"/>
  <c r="E184" i="15"/>
  <c r="S181" i="29" s="1"/>
  <c r="K183" i="15"/>
  <c r="AK180" i="29" s="1"/>
  <c r="E183" i="15"/>
  <c r="S180" i="29" s="1"/>
  <c r="K182" i="15"/>
  <c r="AK179" i="29" s="1"/>
  <c r="E182" i="15"/>
  <c r="S179" i="29" s="1"/>
  <c r="K181" i="15"/>
  <c r="AK178" i="29" s="1"/>
  <c r="E181" i="15"/>
  <c r="S178" i="29" s="1"/>
  <c r="K180" i="15"/>
  <c r="AK177" i="29" s="1"/>
  <c r="E180" i="15"/>
  <c r="S177" i="29" s="1"/>
  <c r="K179" i="15"/>
  <c r="AK176" i="29" s="1"/>
  <c r="E179" i="15"/>
  <c r="S176" i="29" s="1"/>
  <c r="K178" i="15"/>
  <c r="AK175" i="29" s="1"/>
  <c r="E178" i="15"/>
  <c r="S175" i="29" s="1"/>
  <c r="J191" i="15"/>
  <c r="AH188" i="29" s="1"/>
  <c r="D191" i="15"/>
  <c r="P188" i="29" s="1"/>
  <c r="J190" i="15"/>
  <c r="AH187" i="29" s="1"/>
  <c r="D190" i="15"/>
  <c r="P187" i="29" s="1"/>
  <c r="J189" i="15"/>
  <c r="AH186" i="29" s="1"/>
  <c r="D189" i="15"/>
  <c r="P186" i="29" s="1"/>
  <c r="J188" i="15"/>
  <c r="AH185" i="29" s="1"/>
  <c r="D188" i="15"/>
  <c r="P185" i="29" s="1"/>
  <c r="J187" i="15"/>
  <c r="AH184" i="29" s="1"/>
  <c r="D187" i="15"/>
  <c r="P184" i="29" s="1"/>
  <c r="J186" i="15"/>
  <c r="AH183" i="29" s="1"/>
  <c r="D186" i="15"/>
  <c r="P183" i="29" s="1"/>
  <c r="J185" i="15"/>
  <c r="AH182" i="29" s="1"/>
  <c r="D185" i="15"/>
  <c r="P182" i="29" s="1"/>
  <c r="J184" i="15"/>
  <c r="AH181" i="29" s="1"/>
  <c r="D184" i="15"/>
  <c r="P181" i="29" s="1"/>
  <c r="J183" i="15"/>
  <c r="AH180" i="29" s="1"/>
  <c r="D183" i="15"/>
  <c r="P180" i="29" s="1"/>
  <c r="J182" i="15"/>
  <c r="AH179" i="29" s="1"/>
  <c r="D182" i="15"/>
  <c r="P179" i="29" s="1"/>
  <c r="J181" i="15"/>
  <c r="AH178" i="29" s="1"/>
  <c r="D181" i="15"/>
  <c r="P178" i="29" s="1"/>
  <c r="J180" i="15"/>
  <c r="AH177" i="29" s="1"/>
  <c r="D180" i="15"/>
  <c r="P177" i="29" s="1"/>
  <c r="J179" i="15"/>
  <c r="AH176" i="29" s="1"/>
  <c r="D179" i="15"/>
  <c r="P176" i="29" s="1"/>
  <c r="J178" i="15"/>
  <c r="AH175" i="29" s="1"/>
  <c r="D178" i="15"/>
  <c r="P175" i="29" s="1"/>
  <c r="I191" i="15"/>
  <c r="AE188" i="29" s="1"/>
  <c r="C191" i="15"/>
  <c r="M188" i="29" s="1"/>
  <c r="I190" i="15"/>
  <c r="AE187" i="29" s="1"/>
  <c r="C190" i="15"/>
  <c r="M187" i="29" s="1"/>
  <c r="I189" i="15"/>
  <c r="AE186" i="29" s="1"/>
  <c r="C189" i="15"/>
  <c r="M186" i="29" s="1"/>
  <c r="I188" i="15"/>
  <c r="AE185" i="29" s="1"/>
  <c r="C188" i="15"/>
  <c r="M185" i="29" s="1"/>
  <c r="I187" i="15"/>
  <c r="AE184" i="29" s="1"/>
  <c r="C187" i="15"/>
  <c r="M184" i="29" s="1"/>
  <c r="I186" i="15"/>
  <c r="AE183" i="29" s="1"/>
  <c r="C186" i="15"/>
  <c r="M183" i="29" s="1"/>
  <c r="I185" i="15"/>
  <c r="AE182" i="29" s="1"/>
  <c r="C185" i="15"/>
  <c r="M182" i="29" s="1"/>
  <c r="I184" i="15"/>
  <c r="AE181" i="29" s="1"/>
  <c r="C184" i="15"/>
  <c r="M181" i="29" s="1"/>
  <c r="I183" i="15"/>
  <c r="AE180" i="29" s="1"/>
  <c r="C183" i="15"/>
  <c r="M180" i="29" s="1"/>
  <c r="I182" i="15"/>
  <c r="AE179" i="29" s="1"/>
  <c r="C182" i="15"/>
  <c r="M179" i="29" s="1"/>
  <c r="I181" i="15"/>
  <c r="AE178" i="29" s="1"/>
  <c r="C181" i="15"/>
  <c r="M178" i="29" s="1"/>
  <c r="I180" i="15"/>
  <c r="AE177" i="29" s="1"/>
  <c r="C180" i="15"/>
  <c r="M177" i="29" s="1"/>
  <c r="I179" i="15"/>
  <c r="AE176" i="29" s="1"/>
  <c r="C179" i="15"/>
  <c r="M176" i="29" s="1"/>
  <c r="I178" i="15"/>
  <c r="AE175" i="29" s="1"/>
  <c r="L177" i="15"/>
  <c r="AN174" i="29" s="1"/>
  <c r="F177" i="15"/>
  <c r="L176"/>
  <c r="AN173" i="29" s="1"/>
  <c r="F176" i="15"/>
  <c r="V173" i="29" s="1"/>
  <c r="L175" i="15"/>
  <c r="AN172" i="29" s="1"/>
  <c r="F175" i="15"/>
  <c r="V172" i="29" s="1"/>
  <c r="L174" i="15"/>
  <c r="AN171" i="29" s="1"/>
  <c r="F174" i="15"/>
  <c r="L173"/>
  <c r="AN170" i="29" s="1"/>
  <c r="F173" i="15"/>
  <c r="V170" i="29" s="1"/>
  <c r="L172" i="15"/>
  <c r="AN169" i="29" s="1"/>
  <c r="F172" i="15"/>
  <c r="V169" i="29" s="1"/>
  <c r="L171" i="15"/>
  <c r="AN168" i="29" s="1"/>
  <c r="F171" i="15"/>
  <c r="V168" i="29" s="1"/>
  <c r="L170" i="15"/>
  <c r="AN167" i="29" s="1"/>
  <c r="F170" i="15"/>
  <c r="L169"/>
  <c r="AN166" i="29" s="1"/>
  <c r="F169" i="15"/>
  <c r="V166" i="29" s="1"/>
  <c r="L168" i="15"/>
  <c r="AN165" i="29" s="1"/>
  <c r="F168" i="15"/>
  <c r="V165" i="29" s="1"/>
  <c r="L167" i="15"/>
  <c r="AN164" i="29" s="1"/>
  <c r="F167" i="15"/>
  <c r="V164" i="29" s="1"/>
  <c r="L166" i="15"/>
  <c r="AN163" i="29" s="1"/>
  <c r="F166" i="15"/>
  <c r="V163" i="29" s="1"/>
  <c r="L165" i="15"/>
  <c r="AN162" i="29" s="1"/>
  <c r="F165" i="15"/>
  <c r="V162" i="29" s="1"/>
  <c r="L164" i="15"/>
  <c r="AN161" i="29" s="1"/>
  <c r="L163" i="15"/>
  <c r="AN160" i="29" s="1"/>
  <c r="F163" i="15"/>
  <c r="V160" i="29" s="1"/>
  <c r="L162" i="15"/>
  <c r="AN159" i="29" s="1"/>
  <c r="F162" i="15"/>
  <c r="V159" i="29" s="1"/>
  <c r="L161" i="15"/>
  <c r="AN158" i="29" s="1"/>
  <c r="F161" i="15"/>
  <c r="V158" i="29" s="1"/>
  <c r="L160" i="15"/>
  <c r="AN157" i="29" s="1"/>
  <c r="F160" i="15"/>
  <c r="V157" i="29" s="1"/>
  <c r="L159" i="15"/>
  <c r="AN156" i="29" s="1"/>
  <c r="F159" i="15"/>
  <c r="V156" i="29" s="1"/>
  <c r="L158" i="15"/>
  <c r="AN155" i="29" s="1"/>
  <c r="F158" i="15"/>
  <c r="V155" i="29" s="1"/>
  <c r="L157" i="15"/>
  <c r="AN154" i="29" s="1"/>
  <c r="F157" i="15"/>
  <c r="V154" i="29" s="1"/>
  <c r="L156" i="15"/>
  <c r="AN153" i="29" s="1"/>
  <c r="F156" i="15"/>
  <c r="V153" i="29" s="1"/>
  <c r="L155" i="15"/>
  <c r="AN152" i="29" s="1"/>
  <c r="F155" i="15"/>
  <c r="V152" i="29" s="1"/>
  <c r="L154" i="15"/>
  <c r="AN151" i="29" s="1"/>
  <c r="F154" i="15"/>
  <c r="V151" i="29" s="1"/>
  <c r="L153" i="15"/>
  <c r="AN150" i="29" s="1"/>
  <c r="F153" i="15"/>
  <c r="V150" i="29" s="1"/>
  <c r="L152" i="15"/>
  <c r="AN149" i="29" s="1"/>
  <c r="F152" i="15"/>
  <c r="V149" i="29" s="1"/>
  <c r="L151" i="15"/>
  <c r="AN148" i="29" s="1"/>
  <c r="F151" i="15"/>
  <c r="V148" i="29" s="1"/>
  <c r="L150" i="15"/>
  <c r="AN147" i="29" s="1"/>
  <c r="F150" i="15"/>
  <c r="V147" i="29" s="1"/>
  <c r="K163" i="15"/>
  <c r="AK160" i="29" s="1"/>
  <c r="E163" i="15"/>
  <c r="S160" i="29" s="1"/>
  <c r="K162" i="15"/>
  <c r="AK159" i="29" s="1"/>
  <c r="E162" i="15"/>
  <c r="S159" i="29" s="1"/>
  <c r="K161" i="15"/>
  <c r="AK158" i="29" s="1"/>
  <c r="E161" i="15"/>
  <c r="S158" i="29" s="1"/>
  <c r="K160" i="15"/>
  <c r="AK157" i="29" s="1"/>
  <c r="E160" i="15"/>
  <c r="S157" i="29" s="1"/>
  <c r="K159" i="15"/>
  <c r="AK156" i="29" s="1"/>
  <c r="E159" i="15"/>
  <c r="S156" i="29" s="1"/>
  <c r="K158" i="15"/>
  <c r="AK155" i="29" s="1"/>
  <c r="E158" i="15"/>
  <c r="S155" i="29" s="1"/>
  <c r="K157" i="15"/>
  <c r="AK154" i="29" s="1"/>
  <c r="E157" i="15"/>
  <c r="S154" i="29" s="1"/>
  <c r="K156" i="15"/>
  <c r="AK153" i="29" s="1"/>
  <c r="E156" i="15"/>
  <c r="S153" i="29" s="1"/>
  <c r="K155" i="15"/>
  <c r="AK152" i="29" s="1"/>
  <c r="E155" i="15"/>
  <c r="S152" i="29" s="1"/>
  <c r="K154" i="15"/>
  <c r="AK151" i="29" s="1"/>
  <c r="E154" i="15"/>
  <c r="S151" i="29" s="1"/>
  <c r="K153" i="15"/>
  <c r="AK150" i="29" s="1"/>
  <c r="E153" i="15"/>
  <c r="S150" i="29" s="1"/>
  <c r="K152" i="15"/>
  <c r="AK149" i="29" s="1"/>
  <c r="E152" i="15"/>
  <c r="S149" i="29" s="1"/>
  <c r="K151" i="15"/>
  <c r="AK148" i="29" s="1"/>
  <c r="E151" i="15"/>
  <c r="S148" i="29" s="1"/>
  <c r="K150" i="15"/>
  <c r="AK147" i="29" s="1"/>
  <c r="E150" i="15"/>
  <c r="S147" i="29" s="1"/>
  <c r="J163" i="15"/>
  <c r="AH160" i="29" s="1"/>
  <c r="D163" i="15"/>
  <c r="P160" i="29" s="1"/>
  <c r="J162" i="15"/>
  <c r="AH159" i="29" s="1"/>
  <c r="D162" i="15"/>
  <c r="P159" i="29" s="1"/>
  <c r="J161" i="15"/>
  <c r="AH158" i="29" s="1"/>
  <c r="D161" i="15"/>
  <c r="P158" i="29" s="1"/>
  <c r="J160" i="15"/>
  <c r="AH157" i="29" s="1"/>
  <c r="D160" i="15"/>
  <c r="P157" i="29" s="1"/>
  <c r="J159" i="15"/>
  <c r="AH156" i="29" s="1"/>
  <c r="D159" i="15"/>
  <c r="P156" i="29" s="1"/>
  <c r="J158" i="15"/>
  <c r="AH155" i="29" s="1"/>
  <c r="D158" i="15"/>
  <c r="P155" i="29" s="1"/>
  <c r="J157" i="15"/>
  <c r="AH154" i="29" s="1"/>
  <c r="D157" i="15"/>
  <c r="P154" i="29" s="1"/>
  <c r="J156" i="15"/>
  <c r="AH153" i="29" s="1"/>
  <c r="D156" i="15"/>
  <c r="P153" i="29" s="1"/>
  <c r="J155" i="15"/>
  <c r="AH152" i="29" s="1"/>
  <c r="D155" i="15"/>
  <c r="P152" i="29" s="1"/>
  <c r="J154" i="15"/>
  <c r="AH151" i="29" s="1"/>
  <c r="D154" i="15"/>
  <c r="P151" i="29" s="1"/>
  <c r="J153" i="15"/>
  <c r="AH150" i="29" s="1"/>
  <c r="D153" i="15"/>
  <c r="P150" i="29" s="1"/>
  <c r="J152" i="15"/>
  <c r="AH149" i="29" s="1"/>
  <c r="D152" i="15"/>
  <c r="P149" i="29" s="1"/>
  <c r="J151" i="15"/>
  <c r="AH148" i="29" s="1"/>
  <c r="D151" i="15"/>
  <c r="P148" i="29" s="1"/>
  <c r="J150" i="15"/>
  <c r="AH147" i="29" s="1"/>
  <c r="D150" i="15"/>
  <c r="I163"/>
  <c r="AE160" i="29" s="1"/>
  <c r="C163" i="15"/>
  <c r="M160" i="29" s="1"/>
  <c r="I162" i="15"/>
  <c r="AE159" i="29" s="1"/>
  <c r="C162" i="15"/>
  <c r="M159" i="29" s="1"/>
  <c r="I161" i="15"/>
  <c r="AE158" i="29" s="1"/>
  <c r="C161" i="15"/>
  <c r="M158" i="29" s="1"/>
  <c r="I160" i="15"/>
  <c r="AE157" i="29" s="1"/>
  <c r="C160" i="15"/>
  <c r="M157" i="29" s="1"/>
  <c r="I159" i="15"/>
  <c r="AE156" i="29" s="1"/>
  <c r="C159" i="15"/>
  <c r="M156" i="29" s="1"/>
  <c r="I158" i="15"/>
  <c r="AE155" i="29" s="1"/>
  <c r="C158" i="15"/>
  <c r="M155" i="29" s="1"/>
  <c r="I157" i="15"/>
  <c r="AE154" i="29" s="1"/>
  <c r="C157" i="15"/>
  <c r="M154" i="29" s="1"/>
  <c r="I156" i="15"/>
  <c r="AE153" i="29" s="1"/>
  <c r="C156" i="15"/>
  <c r="M153" i="29" s="1"/>
  <c r="I155" i="15"/>
  <c r="AE152" i="29" s="1"/>
  <c r="C155" i="15"/>
  <c r="M152" i="29" s="1"/>
  <c r="I154" i="15"/>
  <c r="AE151" i="29" s="1"/>
  <c r="C154" i="15"/>
  <c r="M151" i="29" s="1"/>
  <c r="I153" i="15"/>
  <c r="AE150" i="29" s="1"/>
  <c r="C153" i="15"/>
  <c r="M150" i="29" s="1"/>
  <c r="I152" i="15"/>
  <c r="AE149" i="29" s="1"/>
  <c r="C152" i="15"/>
  <c r="M149" i="29" s="1"/>
  <c r="I151" i="15"/>
  <c r="AE148" i="29" s="1"/>
  <c r="C151" i="15"/>
  <c r="M148" i="29" s="1"/>
  <c r="I150" i="15"/>
  <c r="AE147" i="29" s="1"/>
  <c r="L149" i="15"/>
  <c r="AN146" i="29" s="1"/>
  <c r="F149" i="15"/>
  <c r="V146" i="29" s="1"/>
  <c r="L148" i="15"/>
  <c r="AN145" i="29" s="1"/>
  <c r="F148" i="15"/>
  <c r="V145" i="29" s="1"/>
  <c r="L147" i="15"/>
  <c r="AN144" i="29" s="1"/>
  <c r="F147" i="15"/>
  <c r="V144" i="29" s="1"/>
  <c r="L146" i="15"/>
  <c r="AN143" i="29" s="1"/>
  <c r="F146" i="15"/>
  <c r="V143" i="29" s="1"/>
  <c r="L145" i="15"/>
  <c r="AN142" i="29" s="1"/>
  <c r="F145" i="15"/>
  <c r="V142" i="29" s="1"/>
  <c r="L144" i="15"/>
  <c r="AN141" i="29" s="1"/>
  <c r="F144" i="15"/>
  <c r="V141" i="29" s="1"/>
  <c r="L143" i="15"/>
  <c r="AN140" i="29" s="1"/>
  <c r="F143" i="15"/>
  <c r="V140" i="29" s="1"/>
  <c r="L142" i="15"/>
  <c r="AN139" i="29" s="1"/>
  <c r="F142" i="15"/>
  <c r="V139" i="29" s="1"/>
  <c r="L141" i="15"/>
  <c r="AN138" i="29" s="1"/>
  <c r="F141" i="15"/>
  <c r="V138" i="29" s="1"/>
  <c r="L140" i="15"/>
  <c r="AN137" i="29" s="1"/>
  <c r="F140" i="15"/>
  <c r="V137" i="29" s="1"/>
  <c r="L139" i="15"/>
  <c r="AN136" i="29" s="1"/>
  <c r="F139" i="15"/>
  <c r="V136" i="29" s="1"/>
  <c r="L138" i="15"/>
  <c r="AN135" i="29" s="1"/>
  <c r="F138" i="15"/>
  <c r="V135" i="29" s="1"/>
  <c r="L137" i="15"/>
  <c r="AN134" i="29" s="1"/>
  <c r="F137" i="15"/>
  <c r="V134" i="29" s="1"/>
  <c r="L136" i="15"/>
  <c r="AN133" i="29" s="1"/>
  <c r="F136" i="15"/>
  <c r="V133" i="29" s="1"/>
  <c r="K149" i="15"/>
  <c r="AK146" i="29" s="1"/>
  <c r="E149" i="15"/>
  <c r="S146" i="29" s="1"/>
  <c r="K148" i="15"/>
  <c r="AK145" i="29" s="1"/>
  <c r="E148" i="15"/>
  <c r="S145" i="29" s="1"/>
  <c r="K147" i="15"/>
  <c r="AK144" i="29" s="1"/>
  <c r="E147" i="15"/>
  <c r="S144" i="29" s="1"/>
  <c r="K146" i="15"/>
  <c r="AK143" i="29" s="1"/>
  <c r="E146" i="15"/>
  <c r="S143" i="29" s="1"/>
  <c r="K145" i="15"/>
  <c r="AK142" i="29" s="1"/>
  <c r="E145" i="15"/>
  <c r="S142" i="29" s="1"/>
  <c r="K144" i="15"/>
  <c r="AK141" i="29" s="1"/>
  <c r="E144" i="15"/>
  <c r="S141" i="29" s="1"/>
  <c r="K143" i="15"/>
  <c r="AK140" i="29" s="1"/>
  <c r="E143" i="15"/>
  <c r="S140" i="29" s="1"/>
  <c r="K142" i="15"/>
  <c r="AK139" i="29" s="1"/>
  <c r="E142" i="15"/>
  <c r="S139" i="29" s="1"/>
  <c r="K141" i="15"/>
  <c r="AK138" i="29" s="1"/>
  <c r="E141" i="15"/>
  <c r="S138" i="29" s="1"/>
  <c r="K140" i="15"/>
  <c r="AK137" i="29" s="1"/>
  <c r="E140" i="15"/>
  <c r="S137" i="29" s="1"/>
  <c r="K139" i="15"/>
  <c r="AK136" i="29" s="1"/>
  <c r="E139" i="15"/>
  <c r="S136" i="29" s="1"/>
  <c r="K138" i="15"/>
  <c r="AK135" i="29" s="1"/>
  <c r="E138" i="15"/>
  <c r="S135" i="29" s="1"/>
  <c r="K137" i="15"/>
  <c r="AK134" i="29" s="1"/>
  <c r="E137" i="15"/>
  <c r="S134" i="29" s="1"/>
  <c r="K136" i="15"/>
  <c r="AK133" i="29" s="1"/>
  <c r="E136" i="15"/>
  <c r="S133" i="29" s="1"/>
  <c r="J149" i="15"/>
  <c r="AH146" i="29" s="1"/>
  <c r="D149" i="15"/>
  <c r="P146" i="29" s="1"/>
  <c r="J148" i="15"/>
  <c r="AH145" i="29" s="1"/>
  <c r="D148" i="15"/>
  <c r="P145" i="29" s="1"/>
  <c r="J147" i="15"/>
  <c r="AH144" i="29" s="1"/>
  <c r="D147" i="15"/>
  <c r="P144" i="29" s="1"/>
  <c r="J146" i="15"/>
  <c r="AH143" i="29" s="1"/>
  <c r="D146" i="15"/>
  <c r="P143" i="29" s="1"/>
  <c r="J145" i="15"/>
  <c r="AH142" i="29" s="1"/>
  <c r="D145" i="15"/>
  <c r="P142" i="29" s="1"/>
  <c r="J144" i="15"/>
  <c r="AH141" i="29" s="1"/>
  <c r="D144" i="15"/>
  <c r="P141" i="29" s="1"/>
  <c r="J143" i="15"/>
  <c r="AH140" i="29" s="1"/>
  <c r="D143" i="15"/>
  <c r="P140" i="29" s="1"/>
  <c r="J142" i="15"/>
  <c r="AH139" i="29" s="1"/>
  <c r="D142" i="15"/>
  <c r="P139" i="29" s="1"/>
  <c r="J141" i="15"/>
  <c r="AH138" i="29" s="1"/>
  <c r="D141" i="15"/>
  <c r="P138" i="29" s="1"/>
  <c r="J140" i="15"/>
  <c r="AH137" i="29" s="1"/>
  <c r="D140" i="15"/>
  <c r="P137" i="29" s="1"/>
  <c r="J139" i="15"/>
  <c r="AH136" i="29" s="1"/>
  <c r="D139" i="15"/>
  <c r="P136" i="29" s="1"/>
  <c r="J138" i="15"/>
  <c r="AH135" i="29" s="1"/>
  <c r="D138" i="15"/>
  <c r="P135" i="29" s="1"/>
  <c r="J137" i="15"/>
  <c r="AH134" i="29" s="1"/>
  <c r="D137" i="15"/>
  <c r="P134" i="29" s="1"/>
  <c r="J136" i="15"/>
  <c r="AH133" i="29" s="1"/>
  <c r="D136" i="15"/>
  <c r="P133" i="29" s="1"/>
  <c r="I149" i="15"/>
  <c r="AE146" i="29" s="1"/>
  <c r="C149" i="15"/>
  <c r="M146" i="29" s="1"/>
  <c r="I148" i="15"/>
  <c r="AE145" i="29" s="1"/>
  <c r="C148" i="15"/>
  <c r="M145" i="29" s="1"/>
  <c r="I147" i="15"/>
  <c r="AE144" i="29" s="1"/>
  <c r="C147" i="15"/>
  <c r="M144" i="29" s="1"/>
  <c r="I146" i="15"/>
  <c r="AE143" i="29" s="1"/>
  <c r="C146" i="15"/>
  <c r="M143" i="29" s="1"/>
  <c r="I145" i="15"/>
  <c r="AE142" i="29" s="1"/>
  <c r="C145" i="15"/>
  <c r="M142" i="29" s="1"/>
  <c r="I144" i="15"/>
  <c r="AE141" i="29" s="1"/>
  <c r="C144" i="15"/>
  <c r="M141" i="29" s="1"/>
  <c r="I143" i="15"/>
  <c r="AE140" i="29" s="1"/>
  <c r="C143" i="15"/>
  <c r="M140" i="29" s="1"/>
  <c r="I142" i="15"/>
  <c r="AE139" i="29" s="1"/>
  <c r="C142" i="15"/>
  <c r="M139" i="29" s="1"/>
  <c r="I141" i="15"/>
  <c r="AE138" i="29" s="1"/>
  <c r="C141" i="15"/>
  <c r="M138" i="29" s="1"/>
  <c r="I140" i="15"/>
  <c r="AE137" i="29" s="1"/>
  <c r="C140" i="15"/>
  <c r="M137" i="29" s="1"/>
  <c r="I139" i="15"/>
  <c r="AE136" i="29" s="1"/>
  <c r="C139" i="15"/>
  <c r="M136" i="29" s="1"/>
  <c r="I138" i="15"/>
  <c r="AE135" i="29" s="1"/>
  <c r="C138" i="15"/>
  <c r="M135" i="29" s="1"/>
  <c r="I137" i="15"/>
  <c r="AE134" i="29" s="1"/>
  <c r="C137" i="15"/>
  <c r="M134" i="29" s="1"/>
  <c r="I136" i="15"/>
  <c r="AE133" i="29" s="1"/>
  <c r="M135" i="15"/>
  <c r="AQ132" i="29" s="1"/>
  <c r="G135" i="15"/>
  <c r="Y132" i="29" s="1"/>
  <c r="M134" i="15"/>
  <c r="AQ131" i="29" s="1"/>
  <c r="G134" i="15"/>
  <c r="Y131" i="29" s="1"/>
  <c r="M133" i="15"/>
  <c r="AQ130" i="29" s="1"/>
  <c r="G133" i="15"/>
  <c r="Y130" i="29" s="1"/>
  <c r="M132" i="15"/>
  <c r="AQ129" i="29" s="1"/>
  <c r="G132" i="15"/>
  <c r="Y129" i="29" s="1"/>
  <c r="M131" i="15"/>
  <c r="AQ128" i="29" s="1"/>
  <c r="G131" i="15"/>
  <c r="Y128" i="29" s="1"/>
  <c r="M130" i="15"/>
  <c r="AQ127" i="29" s="1"/>
  <c r="G130" i="15"/>
  <c r="Y127" i="29" s="1"/>
  <c r="M129" i="15"/>
  <c r="AQ126" i="29" s="1"/>
  <c r="G129" i="15"/>
  <c r="Y126" i="29" s="1"/>
  <c r="M128" i="15"/>
  <c r="AQ125" i="29" s="1"/>
  <c r="G128" i="15"/>
  <c r="Y125" i="29" s="1"/>
  <c r="M127" i="15"/>
  <c r="AQ124" i="29" s="1"/>
  <c r="G127" i="15"/>
  <c r="Y124" i="29" s="1"/>
  <c r="M126" i="15"/>
  <c r="AQ123" i="29" s="1"/>
  <c r="G126" i="15"/>
  <c r="Y123" i="29" s="1"/>
  <c r="M125" i="15"/>
  <c r="AQ122" i="29" s="1"/>
  <c r="G125" i="15"/>
  <c r="Y122" i="29" s="1"/>
  <c r="M124" i="15"/>
  <c r="AQ121" i="29" s="1"/>
  <c r="G124" i="15"/>
  <c r="Y121" i="29" s="1"/>
  <c r="M123" i="15"/>
  <c r="AQ120" i="29" s="1"/>
  <c r="G123" i="15"/>
  <c r="Y120" i="29" s="1"/>
  <c r="M122" i="15"/>
  <c r="AQ119" i="29" s="1"/>
  <c r="G122" i="15"/>
  <c r="Y119" i="29" s="1"/>
  <c r="L135" i="15"/>
  <c r="AN132" i="29" s="1"/>
  <c r="F135" i="15"/>
  <c r="V132" i="29" s="1"/>
  <c r="L134" i="15"/>
  <c r="AN131" i="29" s="1"/>
  <c r="F134" i="15"/>
  <c r="V131" i="29" s="1"/>
  <c r="L133" i="15"/>
  <c r="AN130" i="29" s="1"/>
  <c r="F133" i="15"/>
  <c r="V130" i="29" s="1"/>
  <c r="L132" i="15"/>
  <c r="AN129" i="29" s="1"/>
  <c r="F132" i="15"/>
  <c r="V129" i="29" s="1"/>
  <c r="L131" i="15"/>
  <c r="AN128" i="29" s="1"/>
  <c r="F131" i="15"/>
  <c r="V128" i="29" s="1"/>
  <c r="L130" i="15"/>
  <c r="AN127" i="29" s="1"/>
  <c r="F130" i="15"/>
  <c r="V127" i="29" s="1"/>
  <c r="L129" i="15"/>
  <c r="AN126" i="29" s="1"/>
  <c r="F129" i="15"/>
  <c r="V126" i="29" s="1"/>
  <c r="L128" i="15"/>
  <c r="AN125" i="29" s="1"/>
  <c r="F128" i="15"/>
  <c r="V125" i="29" s="1"/>
  <c r="L127" i="15"/>
  <c r="AN124" i="29" s="1"/>
  <c r="F127" i="15"/>
  <c r="V124" i="29" s="1"/>
  <c r="L126" i="15"/>
  <c r="AN123" i="29" s="1"/>
  <c r="F126" i="15"/>
  <c r="V123" i="29" s="1"/>
  <c r="L125" i="15"/>
  <c r="AN122" i="29" s="1"/>
  <c r="F125" i="15"/>
  <c r="V122" i="29" s="1"/>
  <c r="L124" i="15"/>
  <c r="AN121" i="29" s="1"/>
  <c r="F124" i="15"/>
  <c r="V121" i="29" s="1"/>
  <c r="L123" i="15"/>
  <c r="AN120" i="29" s="1"/>
  <c r="F123" i="15"/>
  <c r="V120" i="29" s="1"/>
  <c r="L122" i="15"/>
  <c r="AN119" i="29" s="1"/>
  <c r="F122" i="15"/>
  <c r="K135"/>
  <c r="AK132" i="29" s="1"/>
  <c r="E135" i="15"/>
  <c r="S132" i="29" s="1"/>
  <c r="K134" i="15"/>
  <c r="AK131" i="29" s="1"/>
  <c r="E134" i="15"/>
  <c r="S131" i="29" s="1"/>
  <c r="K133" i="15"/>
  <c r="AK130" i="29" s="1"/>
  <c r="E133" i="15"/>
  <c r="S130" i="29" s="1"/>
  <c r="K132" i="15"/>
  <c r="AK129" i="29" s="1"/>
  <c r="E132" i="15"/>
  <c r="S129" i="29" s="1"/>
  <c r="K131" i="15"/>
  <c r="AK128" i="29" s="1"/>
  <c r="E131" i="15"/>
  <c r="S128" i="29" s="1"/>
  <c r="K130" i="15"/>
  <c r="AK127" i="29" s="1"/>
  <c r="E130" i="15"/>
  <c r="K129"/>
  <c r="AK126" i="29" s="1"/>
  <c r="E129" i="15"/>
  <c r="S126" i="29" s="1"/>
  <c r="K128" i="15"/>
  <c r="AK125" i="29" s="1"/>
  <c r="E128" i="15"/>
  <c r="S125" i="29" s="1"/>
  <c r="K127" i="15"/>
  <c r="AK124" i="29" s="1"/>
  <c r="E127" i="15"/>
  <c r="S124" i="29" s="1"/>
  <c r="K126" i="15"/>
  <c r="AK123" i="29" s="1"/>
  <c r="E126" i="15"/>
  <c r="S123" i="29" s="1"/>
  <c r="K125" i="15"/>
  <c r="AK122" i="29" s="1"/>
  <c r="E125" i="15"/>
  <c r="S122" i="29" s="1"/>
  <c r="K124" i="15"/>
  <c r="AK121" i="29" s="1"/>
  <c r="E124" i="15"/>
  <c r="K123"/>
  <c r="AK120" i="29" s="1"/>
  <c r="E123" i="15"/>
  <c r="S120" i="29" s="1"/>
  <c r="K122" i="15"/>
  <c r="AK119" i="29" s="1"/>
  <c r="E122" i="15"/>
  <c r="S119" i="29" s="1"/>
  <c r="J135" i="15"/>
  <c r="AH132" i="29" s="1"/>
  <c r="D135" i="15"/>
  <c r="J134"/>
  <c r="AH131" i="29" s="1"/>
  <c r="D134" i="15"/>
  <c r="P131" i="29" s="1"/>
  <c r="J133" i="15"/>
  <c r="AH130" i="29" s="1"/>
  <c r="D133" i="15"/>
  <c r="P130" i="29" s="1"/>
  <c r="J132" i="15"/>
  <c r="AH129" i="29" s="1"/>
  <c r="D132" i="15"/>
  <c r="P129" i="29" s="1"/>
  <c r="J131" i="15"/>
  <c r="AH128" i="29" s="1"/>
  <c r="D131" i="15"/>
  <c r="P128" i="29" s="1"/>
  <c r="J130" i="15"/>
  <c r="AH127" i="29" s="1"/>
  <c r="D130" i="15"/>
  <c r="P127" i="29" s="1"/>
  <c r="J129" i="15"/>
  <c r="AH126" i="29" s="1"/>
  <c r="D129" i="15"/>
  <c r="P126" i="29" s="1"/>
  <c r="J128" i="15"/>
  <c r="AH125" i="29" s="1"/>
  <c r="D128" i="15"/>
  <c r="P125" i="29" s="1"/>
  <c r="J127" i="15"/>
  <c r="AH124" i="29" s="1"/>
  <c r="D127" i="15"/>
  <c r="P124" i="29" s="1"/>
  <c r="J126" i="15"/>
  <c r="AH123" i="29" s="1"/>
  <c r="D126" i="15"/>
  <c r="J125"/>
  <c r="AH122" i="29" s="1"/>
  <c r="D125" i="15"/>
  <c r="P122" i="29" s="1"/>
  <c r="J124" i="15"/>
  <c r="AH121" i="29" s="1"/>
  <c r="D124" i="15"/>
  <c r="P121" i="29" s="1"/>
  <c r="J123" i="15"/>
  <c r="AH120" i="29" s="1"/>
  <c r="D123" i="15"/>
  <c r="J122"/>
  <c r="AH119" i="29" s="1"/>
  <c r="M114" i="15"/>
  <c r="AQ111" i="29" s="1"/>
  <c r="G110" i="15"/>
  <c r="Y107" i="29" s="1"/>
  <c r="G119" i="15"/>
  <c r="Y116" i="29" s="1"/>
  <c r="N116" i="15"/>
  <c r="H112"/>
  <c r="AB109" i="29" s="1"/>
  <c r="M120" i="15"/>
  <c r="AQ117" i="29" s="1"/>
  <c r="G116" i="15"/>
  <c r="Y113" i="29" s="1"/>
  <c r="M111" i="15"/>
  <c r="AQ108" i="29" s="1"/>
  <c r="N119" i="15"/>
  <c r="H115"/>
  <c r="AB112" i="29" s="1"/>
  <c r="N110" i="15"/>
  <c r="H118"/>
  <c r="AB115" i="29" s="1"/>
  <c r="N113" i="15"/>
  <c r="H109"/>
  <c r="AB106" i="29" s="1"/>
  <c r="M117" i="15"/>
  <c r="AQ114" i="29" s="1"/>
  <c r="G113" i="15"/>
  <c r="Y110" i="29" s="1"/>
  <c r="M108" i="15"/>
  <c r="AQ105" i="29" s="1"/>
  <c r="G121" i="15"/>
  <c r="Y118" i="29" s="1"/>
  <c r="M119" i="15"/>
  <c r="AQ116" i="29" s="1"/>
  <c r="G118" i="15"/>
  <c r="Y115" i="29" s="1"/>
  <c r="M116" i="15"/>
  <c r="AQ113" i="29" s="1"/>
  <c r="G115" i="15"/>
  <c r="Y112" i="29" s="1"/>
  <c r="M113" i="15"/>
  <c r="AQ110" i="29" s="1"/>
  <c r="G112" i="15"/>
  <c r="Y109" i="29" s="1"/>
  <c r="M110" i="15"/>
  <c r="AQ107" i="29" s="1"/>
  <c r="G109" i="15"/>
  <c r="Y106" i="29" s="1"/>
  <c r="N120" i="15"/>
  <c r="H119"/>
  <c r="AB116" i="29" s="1"/>
  <c r="N117" i="15"/>
  <c r="H116"/>
  <c r="AB113" i="29" s="1"/>
  <c r="N114" i="15"/>
  <c r="H113"/>
  <c r="AB110" i="29" s="1"/>
  <c r="N111" i="15"/>
  <c r="H110"/>
  <c r="AB107" i="29" s="1"/>
  <c r="N108" i="15"/>
  <c r="N121"/>
  <c r="H120"/>
  <c r="AB117" i="29" s="1"/>
  <c r="N118" i="15"/>
  <c r="H117"/>
  <c r="AB114" i="29" s="1"/>
  <c r="N115" i="15"/>
  <c r="H114"/>
  <c r="AB111" i="29" s="1"/>
  <c r="N112" i="15"/>
  <c r="H111"/>
  <c r="AB108" i="29" s="1"/>
  <c r="N109" i="15"/>
  <c r="H108"/>
  <c r="AB105" i="29" s="1"/>
  <c r="M121" i="15"/>
  <c r="AQ118" i="29" s="1"/>
  <c r="G120" i="15"/>
  <c r="Y117" i="29" s="1"/>
  <c r="M118" i="15"/>
  <c r="AQ115" i="29" s="1"/>
  <c r="G117" i="15"/>
  <c r="Y114" i="29" s="1"/>
  <c r="M115" i="15"/>
  <c r="AQ112" i="29" s="1"/>
  <c r="G114" i="15"/>
  <c r="Y111" i="29" s="1"/>
  <c r="M112" i="15"/>
  <c r="AQ109" i="29" s="1"/>
  <c r="G111" i="15"/>
  <c r="Y108" i="29" s="1"/>
  <c r="M109" i="15"/>
  <c r="AQ106" i="29" s="1"/>
  <c r="G108" i="15"/>
  <c r="Y105" i="29" s="1"/>
  <c r="L121" i="15"/>
  <c r="AN118" i="29" s="1"/>
  <c r="F121" i="15"/>
  <c r="V118" i="29" s="1"/>
  <c r="L120" i="15"/>
  <c r="AN117" i="29" s="1"/>
  <c r="F120" i="15"/>
  <c r="V117" i="29" s="1"/>
  <c r="L119" i="15"/>
  <c r="AN116" i="29" s="1"/>
  <c r="F119" i="15"/>
  <c r="V116" i="29" s="1"/>
  <c r="L118" i="15"/>
  <c r="AN115" i="29" s="1"/>
  <c r="F118" i="15"/>
  <c r="V115" i="29" s="1"/>
  <c r="L117" i="15"/>
  <c r="AN114" i="29" s="1"/>
  <c r="F117" i="15"/>
  <c r="V114" i="29" s="1"/>
  <c r="L116" i="15"/>
  <c r="AN113" i="29" s="1"/>
  <c r="F116" i="15"/>
  <c r="V113" i="29" s="1"/>
  <c r="L115" i="15"/>
  <c r="AN112" i="29" s="1"/>
  <c r="F115" i="15"/>
  <c r="V112" i="29" s="1"/>
  <c r="L114" i="15"/>
  <c r="AN111" i="29" s="1"/>
  <c r="F114" i="15"/>
  <c r="V111" i="29" s="1"/>
  <c r="L113" i="15"/>
  <c r="AN110" i="29" s="1"/>
  <c r="F113" i="15"/>
  <c r="V110" i="29" s="1"/>
  <c r="L112" i="15"/>
  <c r="AN109" i="29" s="1"/>
  <c r="F112" i="15"/>
  <c r="V109" i="29" s="1"/>
  <c r="L111" i="15"/>
  <c r="AN108" i="29" s="1"/>
  <c r="F111" i="15"/>
  <c r="V108" i="29" s="1"/>
  <c r="L110" i="15"/>
  <c r="AN107" i="29" s="1"/>
  <c r="F110" i="15"/>
  <c r="V107" i="29" s="1"/>
  <c r="L109" i="15"/>
  <c r="AN106" i="29" s="1"/>
  <c r="F109" i="15"/>
  <c r="V106" i="29" s="1"/>
  <c r="L108" i="15"/>
  <c r="AN105" i="29" s="1"/>
  <c r="F108" i="15"/>
  <c r="V105" i="29" s="1"/>
  <c r="K121" i="15"/>
  <c r="AK118" i="29" s="1"/>
  <c r="E121" i="15"/>
  <c r="S118" i="29" s="1"/>
  <c r="K120" i="15"/>
  <c r="AK117" i="29" s="1"/>
  <c r="E120" i="15"/>
  <c r="S117" i="29" s="1"/>
  <c r="K119" i="15"/>
  <c r="AK116" i="29" s="1"/>
  <c r="E119" i="15"/>
  <c r="S116" i="29" s="1"/>
  <c r="K118" i="15"/>
  <c r="AK115" i="29" s="1"/>
  <c r="E118" i="15"/>
  <c r="S115" i="29" s="1"/>
  <c r="K117" i="15"/>
  <c r="AK114" i="29" s="1"/>
  <c r="E117" i="15"/>
  <c r="S114" i="29" s="1"/>
  <c r="K116" i="15"/>
  <c r="AK113" i="29" s="1"/>
  <c r="E116" i="15"/>
  <c r="S113" i="29" s="1"/>
  <c r="K115" i="15"/>
  <c r="AK112" i="29" s="1"/>
  <c r="E115" i="15"/>
  <c r="S112" i="29" s="1"/>
  <c r="K114" i="15"/>
  <c r="AK111" i="29" s="1"/>
  <c r="E114" i="15"/>
  <c r="S111" i="29" s="1"/>
  <c r="K113" i="15"/>
  <c r="AK110" i="29" s="1"/>
  <c r="E113" i="15"/>
  <c r="S110" i="29" s="1"/>
  <c r="K112" i="15"/>
  <c r="AK109" i="29" s="1"/>
  <c r="E112" i="15"/>
  <c r="S109" i="29" s="1"/>
  <c r="K111" i="15"/>
  <c r="AK108" i="29" s="1"/>
  <c r="E111" i="15"/>
  <c r="S108" i="29" s="1"/>
  <c r="K110" i="15"/>
  <c r="AK107" i="29" s="1"/>
  <c r="E110" i="15"/>
  <c r="S107" i="29" s="1"/>
  <c r="K109" i="15"/>
  <c r="AK106" i="29" s="1"/>
  <c r="E109" i="15"/>
  <c r="S106" i="29" s="1"/>
  <c r="K108" i="15"/>
  <c r="AK105" i="29" s="1"/>
  <c r="E108" i="15"/>
  <c r="S105" i="29" s="1"/>
  <c r="J121" i="15"/>
  <c r="AH118" i="29" s="1"/>
  <c r="D121" i="15"/>
  <c r="P118" i="29" s="1"/>
  <c r="J120" i="15"/>
  <c r="AH117" i="29" s="1"/>
  <c r="D120" i="15"/>
  <c r="P117" i="29" s="1"/>
  <c r="J119" i="15"/>
  <c r="AH116" i="29" s="1"/>
  <c r="D119" i="15"/>
  <c r="P116" i="29" s="1"/>
  <c r="J118" i="15"/>
  <c r="AH115" i="29" s="1"/>
  <c r="D118" i="15"/>
  <c r="P115" i="29" s="1"/>
  <c r="J117" i="15"/>
  <c r="AH114" i="29" s="1"/>
  <c r="D117" i="15"/>
  <c r="P114" i="29" s="1"/>
  <c r="J116" i="15"/>
  <c r="AH113" i="29" s="1"/>
  <c r="D116" i="15"/>
  <c r="P113" i="29" s="1"/>
  <c r="J115" i="15"/>
  <c r="AH112" i="29" s="1"/>
  <c r="D115" i="15"/>
  <c r="P112" i="29" s="1"/>
  <c r="J114" i="15"/>
  <c r="AH111" i="29" s="1"/>
  <c r="D114" i="15"/>
  <c r="P111" i="29" s="1"/>
  <c r="J113" i="15"/>
  <c r="AH110" i="29" s="1"/>
  <c r="D113" i="15"/>
  <c r="P110" i="29" s="1"/>
  <c r="J112" i="15"/>
  <c r="AH109" i="29" s="1"/>
  <c r="D112" i="15"/>
  <c r="P109" i="29" s="1"/>
  <c r="J111" i="15"/>
  <c r="AH108" i="29" s="1"/>
  <c r="D111" i="15"/>
  <c r="P108" i="29" s="1"/>
  <c r="J110" i="15"/>
  <c r="AH107" i="29" s="1"/>
  <c r="D110" i="15"/>
  <c r="P107" i="29" s="1"/>
  <c r="J109" i="15"/>
  <c r="AH106" i="29" s="1"/>
  <c r="D109" i="15"/>
  <c r="P106" i="29" s="1"/>
  <c r="J108" i="15"/>
  <c r="AH105" i="29" s="1"/>
  <c r="D108" i="15"/>
  <c r="P105" i="29" s="1"/>
  <c r="I121" i="15"/>
  <c r="AE118" i="29" s="1"/>
  <c r="C121" i="15"/>
  <c r="M118" i="29" s="1"/>
  <c r="I120" i="15"/>
  <c r="AE117" i="29" s="1"/>
  <c r="C120" i="15"/>
  <c r="M117" i="29" s="1"/>
  <c r="I119" i="15"/>
  <c r="AE116" i="29" s="1"/>
  <c r="C119" i="15"/>
  <c r="M116" i="29" s="1"/>
  <c r="I118" i="15"/>
  <c r="AE115" i="29" s="1"/>
  <c r="C118" i="15"/>
  <c r="M115" i="29" s="1"/>
  <c r="I117" i="15"/>
  <c r="AE114" i="29" s="1"/>
  <c r="C117" i="15"/>
  <c r="M114" i="29" s="1"/>
  <c r="I116" i="15"/>
  <c r="AE113" i="29" s="1"/>
  <c r="C116" i="15"/>
  <c r="M113" i="29" s="1"/>
  <c r="I115" i="15"/>
  <c r="AE112" i="29" s="1"/>
  <c r="C115" i="15"/>
  <c r="M112" i="29" s="1"/>
  <c r="I114" i="15"/>
  <c r="AE111" i="29" s="1"/>
  <c r="C114" i="15"/>
  <c r="M111" i="29" s="1"/>
  <c r="I113" i="15"/>
  <c r="AE110" i="29" s="1"/>
  <c r="C113" i="15"/>
  <c r="M110" i="29" s="1"/>
  <c r="I112" i="15"/>
  <c r="AE109" i="29" s="1"/>
  <c r="C112" i="15"/>
  <c r="M109" i="29" s="1"/>
  <c r="I111" i="15"/>
  <c r="AE108" i="29" s="1"/>
  <c r="C111" i="15"/>
  <c r="M108" i="29" s="1"/>
  <c r="I110" i="15"/>
  <c r="AE107" i="29" s="1"/>
  <c r="C110" i="15"/>
  <c r="M107" i="29" s="1"/>
  <c r="I109" i="15"/>
  <c r="AE106" i="29" s="1"/>
  <c r="C109" i="15"/>
  <c r="M106" i="29" s="1"/>
  <c r="I108" i="15"/>
  <c r="AE105" i="29" s="1"/>
  <c r="L107" i="15"/>
  <c r="AN104" i="29" s="1"/>
  <c r="F107" i="15"/>
  <c r="V104" i="29" s="1"/>
  <c r="L106" i="15"/>
  <c r="AN103" i="29" s="1"/>
  <c r="F106" i="15"/>
  <c r="V103" i="29" s="1"/>
  <c r="L105" i="15"/>
  <c r="AN102" i="29" s="1"/>
  <c r="F105" i="15"/>
  <c r="V102" i="29" s="1"/>
  <c r="L104" i="15"/>
  <c r="AN101" i="29" s="1"/>
  <c r="F104" i="15"/>
  <c r="V101" i="29" s="1"/>
  <c r="L103" i="15"/>
  <c r="AN100" i="29" s="1"/>
  <c r="F103" i="15"/>
  <c r="V100" i="29" s="1"/>
  <c r="L102" i="15"/>
  <c r="AN99" i="29" s="1"/>
  <c r="F102" i="15"/>
  <c r="V99" i="29" s="1"/>
  <c r="L101" i="15"/>
  <c r="AN98" i="29" s="1"/>
  <c r="F101" i="15"/>
  <c r="V98" i="29" s="1"/>
  <c r="L100" i="15"/>
  <c r="AN97" i="29" s="1"/>
  <c r="F100" i="15"/>
  <c r="V97" i="29" s="1"/>
  <c r="L99" i="15"/>
  <c r="AN96" i="29" s="1"/>
  <c r="F99" i="15"/>
  <c r="V96" i="29" s="1"/>
  <c r="L98" i="15"/>
  <c r="AN95" i="29" s="1"/>
  <c r="F98" i="15"/>
  <c r="V95" i="29" s="1"/>
  <c r="L97" i="15"/>
  <c r="AN94" i="29" s="1"/>
  <c r="F97" i="15"/>
  <c r="V94" i="29" s="1"/>
  <c r="L96" i="15"/>
  <c r="AN93" i="29" s="1"/>
  <c r="F96" i="15"/>
  <c r="V93" i="29" s="1"/>
  <c r="L95" i="15"/>
  <c r="AN92" i="29" s="1"/>
  <c r="F95" i="15"/>
  <c r="V92" i="29" s="1"/>
  <c r="L94" i="15"/>
  <c r="AN91" i="29" s="1"/>
  <c r="F94" i="15"/>
  <c r="V91" i="29" s="1"/>
  <c r="K107" i="15"/>
  <c r="AK104" i="29" s="1"/>
  <c r="E107" i="15"/>
  <c r="S104" i="29" s="1"/>
  <c r="K106" i="15"/>
  <c r="AK103" i="29" s="1"/>
  <c r="E106" i="15"/>
  <c r="S103" i="29" s="1"/>
  <c r="K105" i="15"/>
  <c r="AK102" i="29" s="1"/>
  <c r="E105" i="15"/>
  <c r="S102" i="29" s="1"/>
  <c r="K104" i="15"/>
  <c r="AK101" i="29" s="1"/>
  <c r="E104" i="15"/>
  <c r="S101" i="29" s="1"/>
  <c r="K103" i="15"/>
  <c r="AK100" i="29" s="1"/>
  <c r="E103" i="15"/>
  <c r="S100" i="29" s="1"/>
  <c r="K102" i="15"/>
  <c r="AK99" i="29" s="1"/>
  <c r="E102" i="15"/>
  <c r="S99" i="29" s="1"/>
  <c r="K101" i="15"/>
  <c r="AK98" i="29" s="1"/>
  <c r="E101" i="15"/>
  <c r="S98" i="29" s="1"/>
  <c r="K100" i="15"/>
  <c r="AK97" i="29" s="1"/>
  <c r="E100" i="15"/>
  <c r="S97" i="29" s="1"/>
  <c r="K99" i="15"/>
  <c r="AK96" i="29" s="1"/>
  <c r="E99" i="15"/>
  <c r="S96" i="29" s="1"/>
  <c r="K98" i="15"/>
  <c r="AK95" i="29" s="1"/>
  <c r="E98" i="15"/>
  <c r="S95" i="29" s="1"/>
  <c r="K97" i="15"/>
  <c r="AK94" i="29" s="1"/>
  <c r="E97" i="15"/>
  <c r="S94" i="29" s="1"/>
  <c r="K96" i="15"/>
  <c r="AK93" i="29" s="1"/>
  <c r="E96" i="15"/>
  <c r="S93" i="29" s="1"/>
  <c r="K95" i="15"/>
  <c r="AK92" i="29" s="1"/>
  <c r="E95" i="15"/>
  <c r="S92" i="29" s="1"/>
  <c r="K94" i="15"/>
  <c r="AK91" i="29" s="1"/>
  <c r="E94" i="15"/>
  <c r="S91" i="29" s="1"/>
  <c r="J107" i="15"/>
  <c r="AH104" i="29" s="1"/>
  <c r="D107" i="15"/>
  <c r="P104" i="29" s="1"/>
  <c r="J106" i="15"/>
  <c r="AH103" i="29" s="1"/>
  <c r="D106" i="15"/>
  <c r="P103" i="29" s="1"/>
  <c r="J105" i="15"/>
  <c r="AH102" i="29" s="1"/>
  <c r="D105" i="15"/>
  <c r="P102" i="29" s="1"/>
  <c r="J104" i="15"/>
  <c r="AH101" i="29" s="1"/>
  <c r="D104" i="15"/>
  <c r="P101" i="29" s="1"/>
  <c r="J103" i="15"/>
  <c r="AH100" i="29" s="1"/>
  <c r="D103" i="15"/>
  <c r="P100" i="29" s="1"/>
  <c r="J102" i="15"/>
  <c r="AH99" i="29" s="1"/>
  <c r="D102" i="15"/>
  <c r="P99" i="29" s="1"/>
  <c r="J101" i="15"/>
  <c r="AH98" i="29" s="1"/>
  <c r="D101" i="15"/>
  <c r="P98" i="29" s="1"/>
  <c r="J100" i="15"/>
  <c r="AH97" i="29" s="1"/>
  <c r="D100" i="15"/>
  <c r="P97" i="29" s="1"/>
  <c r="J99" i="15"/>
  <c r="AH96" i="29" s="1"/>
  <c r="D99" i="15"/>
  <c r="P96" i="29" s="1"/>
  <c r="J98" i="15"/>
  <c r="AH95" i="29" s="1"/>
  <c r="D98" i="15"/>
  <c r="P95" i="29" s="1"/>
  <c r="J97" i="15"/>
  <c r="AH94" i="29" s="1"/>
  <c r="D97" i="15"/>
  <c r="P94" i="29" s="1"/>
  <c r="J96" i="15"/>
  <c r="AH93" i="29" s="1"/>
  <c r="D96" i="15"/>
  <c r="P93" i="29" s="1"/>
  <c r="J95" i="15"/>
  <c r="AH92" i="29" s="1"/>
  <c r="D95" i="15"/>
  <c r="P92" i="29" s="1"/>
  <c r="J94" i="15"/>
  <c r="AH91" i="29" s="1"/>
  <c r="D94" i="15"/>
  <c r="P91" i="29" s="1"/>
  <c r="I107" i="15"/>
  <c r="AE104" i="29" s="1"/>
  <c r="C107" i="15"/>
  <c r="M104" i="29" s="1"/>
  <c r="I106" i="15"/>
  <c r="AE103" i="29" s="1"/>
  <c r="C106" i="15"/>
  <c r="M103" i="29" s="1"/>
  <c r="I105" i="15"/>
  <c r="AE102" i="29" s="1"/>
  <c r="C105" i="15"/>
  <c r="M102" i="29" s="1"/>
  <c r="I104" i="15"/>
  <c r="AE101" i="29" s="1"/>
  <c r="C104" i="15"/>
  <c r="M101" i="29" s="1"/>
  <c r="I103" i="15"/>
  <c r="AE100" i="29" s="1"/>
  <c r="C103" i="15"/>
  <c r="M100" i="29" s="1"/>
  <c r="I102" i="15"/>
  <c r="AE99" i="29" s="1"/>
  <c r="C102" i="15"/>
  <c r="M99" i="29" s="1"/>
  <c r="I101" i="15"/>
  <c r="AE98" i="29" s="1"/>
  <c r="C101" i="15"/>
  <c r="M98" i="29" s="1"/>
  <c r="I100" i="15"/>
  <c r="AE97" i="29" s="1"/>
  <c r="C100" i="15"/>
  <c r="M97" i="29" s="1"/>
  <c r="I99" i="15"/>
  <c r="AE96" i="29" s="1"/>
  <c r="C99" i="15"/>
  <c r="M96" i="29" s="1"/>
  <c r="I98" i="15"/>
  <c r="AE95" i="29" s="1"/>
  <c r="C98" i="15"/>
  <c r="M95" i="29" s="1"/>
  <c r="I97" i="15"/>
  <c r="AE94" i="29" s="1"/>
  <c r="C97" i="15"/>
  <c r="M94" i="29" s="1"/>
  <c r="I96" i="15"/>
  <c r="AE93" i="29" s="1"/>
  <c r="C96" i="15"/>
  <c r="M93" i="29" s="1"/>
  <c r="I95" i="15"/>
  <c r="AE92" i="29" s="1"/>
  <c r="C95" i="15"/>
  <c r="M92" i="29" s="1"/>
  <c r="I94" i="15"/>
  <c r="AE91" i="29" s="1"/>
  <c r="L93" i="15"/>
  <c r="AN90" i="29" s="1"/>
  <c r="F93" i="15"/>
  <c r="V90" i="29" s="1"/>
  <c r="L92" i="15"/>
  <c r="AN89" i="29" s="1"/>
  <c r="F92" i="15"/>
  <c r="V89" i="29" s="1"/>
  <c r="L91" i="15"/>
  <c r="AN88" i="29" s="1"/>
  <c r="F91" i="15"/>
  <c r="V88" i="29" s="1"/>
  <c r="L90" i="15"/>
  <c r="AN87" i="29" s="1"/>
  <c r="F90" i="15"/>
  <c r="V87" i="29" s="1"/>
  <c r="L89" i="15"/>
  <c r="AN86" i="29" s="1"/>
  <c r="F89" i="15"/>
  <c r="V86" i="29" s="1"/>
  <c r="L88" i="15"/>
  <c r="AN85" i="29" s="1"/>
  <c r="F88" i="15"/>
  <c r="V85" i="29" s="1"/>
  <c r="L87" i="15"/>
  <c r="AN84" i="29" s="1"/>
  <c r="F87" i="15"/>
  <c r="V84" i="29" s="1"/>
  <c r="L86" i="15"/>
  <c r="AN83" i="29" s="1"/>
  <c r="F86" i="15"/>
  <c r="V83" i="29" s="1"/>
  <c r="L85" i="15"/>
  <c r="AN82" i="29" s="1"/>
  <c r="F85" i="15"/>
  <c r="V82" i="29" s="1"/>
  <c r="L84" i="15"/>
  <c r="AN81" i="29" s="1"/>
  <c r="F84" i="15"/>
  <c r="V81" i="29" s="1"/>
  <c r="L83" i="15"/>
  <c r="AN80" i="29" s="1"/>
  <c r="F83" i="15"/>
  <c r="V80" i="29" s="1"/>
  <c r="L82" i="15"/>
  <c r="AN79" i="29" s="1"/>
  <c r="F82" i="15"/>
  <c r="V79" i="29" s="1"/>
  <c r="L81" i="15"/>
  <c r="AN78" i="29" s="1"/>
  <c r="F81" i="15"/>
  <c r="V78" i="29" s="1"/>
  <c r="L80" i="15"/>
  <c r="AN77" i="29" s="1"/>
  <c r="F80" i="15"/>
  <c r="V77" i="29" s="1"/>
  <c r="K93" i="15"/>
  <c r="AK90" i="29" s="1"/>
  <c r="E93" i="15"/>
  <c r="S90" i="29" s="1"/>
  <c r="K92" i="15"/>
  <c r="AK89" i="29" s="1"/>
  <c r="E92" i="15"/>
  <c r="S89" i="29" s="1"/>
  <c r="K91" i="15"/>
  <c r="AK88" i="29" s="1"/>
  <c r="E91" i="15"/>
  <c r="S88" i="29" s="1"/>
  <c r="K90" i="15"/>
  <c r="AK87" i="29" s="1"/>
  <c r="E90" i="15"/>
  <c r="S87" i="29" s="1"/>
  <c r="K89" i="15"/>
  <c r="AK86" i="29" s="1"/>
  <c r="E89" i="15"/>
  <c r="S86" i="29" s="1"/>
  <c r="K88" i="15"/>
  <c r="AK85" i="29" s="1"/>
  <c r="E88" i="15"/>
  <c r="S85" i="29" s="1"/>
  <c r="K87" i="15"/>
  <c r="AK84" i="29" s="1"/>
  <c r="E87" i="15"/>
  <c r="S84" i="29" s="1"/>
  <c r="K86" i="15"/>
  <c r="AK83" i="29" s="1"/>
  <c r="E86" i="15"/>
  <c r="S83" i="29" s="1"/>
  <c r="K85" i="15"/>
  <c r="AK82" i="29" s="1"/>
  <c r="E85" i="15"/>
  <c r="S82" i="29" s="1"/>
  <c r="K84" i="15"/>
  <c r="AK81" i="29" s="1"/>
  <c r="E84" i="15"/>
  <c r="S81" i="29" s="1"/>
  <c r="K83" i="15"/>
  <c r="AK80" i="29" s="1"/>
  <c r="E83" i="15"/>
  <c r="S80" i="29" s="1"/>
  <c r="K82" i="15"/>
  <c r="AK79" i="29" s="1"/>
  <c r="E82" i="15"/>
  <c r="S79" i="29" s="1"/>
  <c r="K81" i="15"/>
  <c r="AK78" i="29" s="1"/>
  <c r="E81" i="15"/>
  <c r="S78" i="29" s="1"/>
  <c r="K80" i="15"/>
  <c r="AK77" i="29" s="1"/>
  <c r="E80" i="15"/>
  <c r="S77" i="29" s="1"/>
  <c r="J93" i="15"/>
  <c r="AH90" i="29" s="1"/>
  <c r="D93" i="15"/>
  <c r="P90" i="29" s="1"/>
  <c r="J92" i="15"/>
  <c r="AH89" i="29" s="1"/>
  <c r="D92" i="15"/>
  <c r="P89" i="29" s="1"/>
  <c r="J91" i="15"/>
  <c r="AH88" i="29" s="1"/>
  <c r="D91" i="15"/>
  <c r="P88" i="29" s="1"/>
  <c r="J90" i="15"/>
  <c r="AH87" i="29" s="1"/>
  <c r="D90" i="15"/>
  <c r="P87" i="29" s="1"/>
  <c r="J89" i="15"/>
  <c r="AH86" i="29" s="1"/>
  <c r="D89" i="15"/>
  <c r="P86" i="29" s="1"/>
  <c r="J88" i="15"/>
  <c r="AH85" i="29" s="1"/>
  <c r="D88" i="15"/>
  <c r="P85" i="29" s="1"/>
  <c r="J87" i="15"/>
  <c r="AH84" i="29" s="1"/>
  <c r="D87" i="15"/>
  <c r="P84" i="29" s="1"/>
  <c r="J86" i="15"/>
  <c r="AH83" i="29" s="1"/>
  <c r="D86" i="15"/>
  <c r="P83" i="29" s="1"/>
  <c r="J85" i="15"/>
  <c r="AH82" i="29" s="1"/>
  <c r="D85" i="15"/>
  <c r="P82" i="29" s="1"/>
  <c r="J84" i="15"/>
  <c r="AH81" i="29" s="1"/>
  <c r="D84" i="15"/>
  <c r="P81" i="29" s="1"/>
  <c r="J83" i="15"/>
  <c r="AH80" i="29" s="1"/>
  <c r="D83" i="15"/>
  <c r="P80" i="29" s="1"/>
  <c r="J82" i="15"/>
  <c r="AH79" i="29" s="1"/>
  <c r="D82" i="15"/>
  <c r="P79" i="29" s="1"/>
  <c r="J81" i="15"/>
  <c r="AH78" i="29" s="1"/>
  <c r="D81" i="15"/>
  <c r="P78" i="29" s="1"/>
  <c r="J80" i="15"/>
  <c r="AH77" i="29" s="1"/>
  <c r="D80" i="15"/>
  <c r="P77" i="29" s="1"/>
  <c r="I93" i="15"/>
  <c r="AE90" i="29" s="1"/>
  <c r="C93" i="15"/>
  <c r="M90" i="29" s="1"/>
  <c r="I92" i="15"/>
  <c r="AE89" i="29" s="1"/>
  <c r="C92" i="15"/>
  <c r="M89" i="29" s="1"/>
  <c r="I91" i="15"/>
  <c r="AE88" i="29" s="1"/>
  <c r="C91" i="15"/>
  <c r="M88" i="29" s="1"/>
  <c r="I90" i="15"/>
  <c r="AE87" i="29" s="1"/>
  <c r="C90" i="15"/>
  <c r="M87" i="29" s="1"/>
  <c r="I89" i="15"/>
  <c r="AE86" i="29" s="1"/>
  <c r="C89" i="15"/>
  <c r="M86" i="29" s="1"/>
  <c r="I88" i="15"/>
  <c r="AE85" i="29" s="1"/>
  <c r="C88" i="15"/>
  <c r="M85" i="29" s="1"/>
  <c r="I87" i="15"/>
  <c r="AE84" i="29" s="1"/>
  <c r="C87" i="15"/>
  <c r="M84" i="29" s="1"/>
  <c r="I86" i="15"/>
  <c r="AE83" i="29" s="1"/>
  <c r="C86" i="15"/>
  <c r="M83" i="29" s="1"/>
  <c r="I85" i="15"/>
  <c r="AE82" i="29" s="1"/>
  <c r="C85" i="15"/>
  <c r="M82" i="29" s="1"/>
  <c r="I84" i="15"/>
  <c r="AE81" i="29" s="1"/>
  <c r="C84" i="15"/>
  <c r="M81" i="29" s="1"/>
  <c r="I83" i="15"/>
  <c r="AE80" i="29" s="1"/>
  <c r="C83" i="15"/>
  <c r="M80" i="29" s="1"/>
  <c r="I82" i="15"/>
  <c r="AE79" i="29" s="1"/>
  <c r="C82" i="15"/>
  <c r="M79" i="29" s="1"/>
  <c r="I81" i="15"/>
  <c r="AE78" i="29" s="1"/>
  <c r="C81" i="15"/>
  <c r="M78" i="29" s="1"/>
  <c r="I80" i="15"/>
  <c r="AE77" i="29" s="1"/>
  <c r="L79" i="15"/>
  <c r="AN76" i="29" s="1"/>
  <c r="F79" i="15"/>
  <c r="V76" i="29" s="1"/>
  <c r="L78" i="15"/>
  <c r="AN75" i="29" s="1"/>
  <c r="F78" i="15"/>
  <c r="V75" i="29" s="1"/>
  <c r="L77" i="15"/>
  <c r="AN74" i="29" s="1"/>
  <c r="F77" i="15"/>
  <c r="V74" i="29" s="1"/>
  <c r="L76" i="15"/>
  <c r="AN73" i="29" s="1"/>
  <c r="F76" i="15"/>
  <c r="V73" i="29" s="1"/>
  <c r="L75" i="15"/>
  <c r="AN72" i="29" s="1"/>
  <c r="F75" i="15"/>
  <c r="V72" i="29" s="1"/>
  <c r="L74" i="15"/>
  <c r="AN71" i="29" s="1"/>
  <c r="F74" i="15"/>
  <c r="V71" i="29" s="1"/>
  <c r="L73" i="15"/>
  <c r="AN70" i="29" s="1"/>
  <c r="F73" i="15"/>
  <c r="V70" i="29" s="1"/>
  <c r="L72" i="15"/>
  <c r="AN69" i="29" s="1"/>
  <c r="F72" i="15"/>
  <c r="V69" i="29" s="1"/>
  <c r="L71" i="15"/>
  <c r="AN68" i="29" s="1"/>
  <c r="F71" i="15"/>
  <c r="V68" i="29" s="1"/>
  <c r="L70" i="15"/>
  <c r="AN67" i="29" s="1"/>
  <c r="F70" i="15"/>
  <c r="V67" i="29" s="1"/>
  <c r="L69" i="15"/>
  <c r="AN66" i="29" s="1"/>
  <c r="F69" i="15"/>
  <c r="V66" i="29" s="1"/>
  <c r="L68" i="15"/>
  <c r="AN65" i="29" s="1"/>
  <c r="F68" i="15"/>
  <c r="V65" i="29" s="1"/>
  <c r="L67" i="15"/>
  <c r="AN64" i="29" s="1"/>
  <c r="F67" i="15"/>
  <c r="V64" i="29" s="1"/>
  <c r="L66" i="15"/>
  <c r="AN63" i="29" s="1"/>
  <c r="F66" i="15"/>
  <c r="V63" i="29" s="1"/>
  <c r="K79" i="15"/>
  <c r="AK76" i="29" s="1"/>
  <c r="E79" i="15"/>
  <c r="S76" i="29" s="1"/>
  <c r="K78" i="15"/>
  <c r="AK75" i="29" s="1"/>
  <c r="E78" i="15"/>
  <c r="S75" i="29" s="1"/>
  <c r="K77" i="15"/>
  <c r="AK74" i="29" s="1"/>
  <c r="E77" i="15"/>
  <c r="S74" i="29" s="1"/>
  <c r="K76" i="15"/>
  <c r="AK73" i="29" s="1"/>
  <c r="E76" i="15"/>
  <c r="S73" i="29" s="1"/>
  <c r="K75" i="15"/>
  <c r="AK72" i="29" s="1"/>
  <c r="E75" i="15"/>
  <c r="S72" i="29" s="1"/>
  <c r="K74" i="15"/>
  <c r="AK71" i="29" s="1"/>
  <c r="E74" i="15"/>
  <c r="S71" i="29" s="1"/>
  <c r="K73" i="15"/>
  <c r="AK70" i="29" s="1"/>
  <c r="E73" i="15"/>
  <c r="S70" i="29" s="1"/>
  <c r="K72" i="15"/>
  <c r="AK69" i="29" s="1"/>
  <c r="E72" i="15"/>
  <c r="S69" i="29" s="1"/>
  <c r="K71" i="15"/>
  <c r="AK68" i="29" s="1"/>
  <c r="E71" i="15"/>
  <c r="S68" i="29" s="1"/>
  <c r="K70" i="15"/>
  <c r="AK67" i="29" s="1"/>
  <c r="E70" i="15"/>
  <c r="S67" i="29" s="1"/>
  <c r="K69" i="15"/>
  <c r="AK66" i="29" s="1"/>
  <c r="E69" i="15"/>
  <c r="S66" i="29" s="1"/>
  <c r="K68" i="15"/>
  <c r="AK65" i="29" s="1"/>
  <c r="E68" i="15"/>
  <c r="S65" i="29" s="1"/>
  <c r="K67" i="15"/>
  <c r="AK64" i="29" s="1"/>
  <c r="E67" i="15"/>
  <c r="S64" i="29" s="1"/>
  <c r="K66" i="15"/>
  <c r="AK63" i="29" s="1"/>
  <c r="E66" i="15"/>
  <c r="S63" i="29" s="1"/>
  <c r="J79" i="15"/>
  <c r="AH76" i="29" s="1"/>
  <c r="D79" i="15"/>
  <c r="P76" i="29" s="1"/>
  <c r="J78" i="15"/>
  <c r="AH75" i="29" s="1"/>
  <c r="D78" i="15"/>
  <c r="P75" i="29" s="1"/>
  <c r="J77" i="15"/>
  <c r="AH74" i="29" s="1"/>
  <c r="D77" i="15"/>
  <c r="P74" i="29" s="1"/>
  <c r="J76" i="15"/>
  <c r="AH73" i="29" s="1"/>
  <c r="D76" i="15"/>
  <c r="P73" i="29" s="1"/>
  <c r="J75" i="15"/>
  <c r="AH72" i="29" s="1"/>
  <c r="D75" i="15"/>
  <c r="P72" i="29" s="1"/>
  <c r="J74" i="15"/>
  <c r="AH71" i="29" s="1"/>
  <c r="D74" i="15"/>
  <c r="P71" i="29" s="1"/>
  <c r="J73" i="15"/>
  <c r="AH70" i="29" s="1"/>
  <c r="D73" i="15"/>
  <c r="P70" i="29" s="1"/>
  <c r="J72" i="15"/>
  <c r="AH69" i="29" s="1"/>
  <c r="D72" i="15"/>
  <c r="P69" i="29" s="1"/>
  <c r="J71" i="15"/>
  <c r="AH68" i="29" s="1"/>
  <c r="D71" i="15"/>
  <c r="P68" i="29" s="1"/>
  <c r="J70" i="15"/>
  <c r="AH67" i="29" s="1"/>
  <c r="D70" i="15"/>
  <c r="P67" i="29" s="1"/>
  <c r="J69" i="15"/>
  <c r="AH66" i="29" s="1"/>
  <c r="D69" i="15"/>
  <c r="P66" i="29" s="1"/>
  <c r="J68" i="15"/>
  <c r="AH65" i="29" s="1"/>
  <c r="D68" i="15"/>
  <c r="P65" i="29" s="1"/>
  <c r="J67" i="15"/>
  <c r="AH64" i="29" s="1"/>
  <c r="D67" i="15"/>
  <c r="P64" i="29" s="1"/>
  <c r="J66" i="15"/>
  <c r="AH63" i="29" s="1"/>
  <c r="D66" i="15"/>
  <c r="P63" i="29" s="1"/>
  <c r="I79" i="15"/>
  <c r="AE76" i="29" s="1"/>
  <c r="C79" i="15"/>
  <c r="M76" i="29" s="1"/>
  <c r="I78" i="15"/>
  <c r="AE75" i="29" s="1"/>
  <c r="C78" i="15"/>
  <c r="M75" i="29" s="1"/>
  <c r="I77" i="15"/>
  <c r="AE74" i="29" s="1"/>
  <c r="C77" i="15"/>
  <c r="M74" i="29" s="1"/>
  <c r="I76" i="15"/>
  <c r="AE73" i="29" s="1"/>
  <c r="C76" i="15"/>
  <c r="M73" i="29" s="1"/>
  <c r="I75" i="15"/>
  <c r="AE72" i="29" s="1"/>
  <c r="C75" i="15"/>
  <c r="M72" i="29" s="1"/>
  <c r="I74" i="15"/>
  <c r="AE71" i="29" s="1"/>
  <c r="C74" i="15"/>
  <c r="M71" i="29" s="1"/>
  <c r="I73" i="15"/>
  <c r="AE70" i="29" s="1"/>
  <c r="C73" i="15"/>
  <c r="M70" i="29" s="1"/>
  <c r="I72" i="15"/>
  <c r="AE69" i="29" s="1"/>
  <c r="C72" i="15"/>
  <c r="M69" i="29" s="1"/>
  <c r="I71" i="15"/>
  <c r="AE68" i="29" s="1"/>
  <c r="C71" i="15"/>
  <c r="M68" i="29" s="1"/>
  <c r="I70" i="15"/>
  <c r="AE67" i="29" s="1"/>
  <c r="C70" i="15"/>
  <c r="M67" i="29" s="1"/>
  <c r="I69" i="15"/>
  <c r="AE66" i="29" s="1"/>
  <c r="C69" i="15"/>
  <c r="M66" i="29" s="1"/>
  <c r="I68" i="15"/>
  <c r="AE65" i="29" s="1"/>
  <c r="C68" i="15"/>
  <c r="M65" i="29" s="1"/>
  <c r="I67" i="15"/>
  <c r="AE64" i="29" s="1"/>
  <c r="C67" i="15"/>
  <c r="M64" i="29" s="1"/>
  <c r="I66" i="15"/>
  <c r="AE63" i="29" s="1"/>
  <c r="L65" i="15"/>
  <c r="AN62" i="29" s="1"/>
  <c r="F65" i="15"/>
  <c r="V62" i="29" s="1"/>
  <c r="L64" i="15"/>
  <c r="AN61" i="29" s="1"/>
  <c r="F64" i="15"/>
  <c r="V61" i="29" s="1"/>
  <c r="L63" i="15"/>
  <c r="AN60" i="29" s="1"/>
  <c r="F63" i="15"/>
  <c r="V60" i="29" s="1"/>
  <c r="L62" i="15"/>
  <c r="AN59" i="29" s="1"/>
  <c r="F62" i="15"/>
  <c r="V59" i="29" s="1"/>
  <c r="L61" i="15"/>
  <c r="AN58" i="29" s="1"/>
  <c r="F61" i="15"/>
  <c r="V58" i="29" s="1"/>
  <c r="L60" i="15"/>
  <c r="AN57" i="29" s="1"/>
  <c r="F60" i="15"/>
  <c r="V57" i="29" s="1"/>
  <c r="L59" i="15"/>
  <c r="AN56" i="29" s="1"/>
  <c r="F59" i="15"/>
  <c r="V56" i="29" s="1"/>
  <c r="L58" i="15"/>
  <c r="AN55" i="29" s="1"/>
  <c r="F58" i="15"/>
  <c r="V55" i="29" s="1"/>
  <c r="L57" i="15"/>
  <c r="AN54" i="29" s="1"/>
  <c r="F57" i="15"/>
  <c r="V54" i="29" s="1"/>
  <c r="L56" i="15"/>
  <c r="AN53" i="29" s="1"/>
  <c r="F56" i="15"/>
  <c r="V53" i="29" s="1"/>
  <c r="L55" i="15"/>
  <c r="AN52" i="29" s="1"/>
  <c r="F55" i="15"/>
  <c r="V52" i="29" s="1"/>
  <c r="L54" i="15"/>
  <c r="AN51" i="29" s="1"/>
  <c r="F54" i="15"/>
  <c r="V51" i="29" s="1"/>
  <c r="L53" i="15"/>
  <c r="AN50" i="29" s="1"/>
  <c r="F53" i="15"/>
  <c r="V50" i="29" s="1"/>
  <c r="L52" i="15"/>
  <c r="AN49" i="29" s="1"/>
  <c r="F52" i="15"/>
  <c r="V49" i="29" s="1"/>
  <c r="K65" i="15"/>
  <c r="AK62" i="29" s="1"/>
  <c r="E65" i="15"/>
  <c r="S62" i="29" s="1"/>
  <c r="K64" i="15"/>
  <c r="AK61" i="29" s="1"/>
  <c r="E64" i="15"/>
  <c r="S61" i="29" s="1"/>
  <c r="K63" i="15"/>
  <c r="AK60" i="29" s="1"/>
  <c r="E63" i="15"/>
  <c r="S60" i="29" s="1"/>
  <c r="K62" i="15"/>
  <c r="AK59" i="29" s="1"/>
  <c r="E62" i="15"/>
  <c r="S59" i="29" s="1"/>
  <c r="K61" i="15"/>
  <c r="AK58" i="29" s="1"/>
  <c r="E61" i="15"/>
  <c r="S58" i="29" s="1"/>
  <c r="K60" i="15"/>
  <c r="AK57" i="29" s="1"/>
  <c r="E60" i="15"/>
  <c r="S57" i="29" s="1"/>
  <c r="K59" i="15"/>
  <c r="AK56" i="29" s="1"/>
  <c r="E59" i="15"/>
  <c r="S56" i="29" s="1"/>
  <c r="K58" i="15"/>
  <c r="AK55" i="29" s="1"/>
  <c r="E58" i="15"/>
  <c r="S55" i="29" s="1"/>
  <c r="K57" i="15"/>
  <c r="AK54" i="29" s="1"/>
  <c r="E57" i="15"/>
  <c r="S54" i="29" s="1"/>
  <c r="K56" i="15"/>
  <c r="AK53" i="29" s="1"/>
  <c r="E56" i="15"/>
  <c r="S53" i="29" s="1"/>
  <c r="K55" i="15"/>
  <c r="AK52" i="29" s="1"/>
  <c r="E55" i="15"/>
  <c r="S52" i="29" s="1"/>
  <c r="K54" i="15"/>
  <c r="AK51" i="29" s="1"/>
  <c r="E54" i="15"/>
  <c r="S51" i="29" s="1"/>
  <c r="K53" i="15"/>
  <c r="AK50" i="29" s="1"/>
  <c r="E53" i="15"/>
  <c r="S50" i="29" s="1"/>
  <c r="K52" i="15"/>
  <c r="AK49" i="29" s="1"/>
  <c r="E52" i="15"/>
  <c r="S49" i="29" s="1"/>
  <c r="J65" i="15"/>
  <c r="AH62" i="29" s="1"/>
  <c r="D65" i="15"/>
  <c r="P62" i="29" s="1"/>
  <c r="J64" i="15"/>
  <c r="AH61" i="29" s="1"/>
  <c r="D64" i="15"/>
  <c r="P61" i="29" s="1"/>
  <c r="J63" i="15"/>
  <c r="AH60" i="29" s="1"/>
  <c r="D63" i="15"/>
  <c r="P60" i="29" s="1"/>
  <c r="J62" i="15"/>
  <c r="AH59" i="29" s="1"/>
  <c r="D62" i="15"/>
  <c r="P59" i="29" s="1"/>
  <c r="J61" i="15"/>
  <c r="AH58" i="29" s="1"/>
  <c r="D61" i="15"/>
  <c r="P58" i="29" s="1"/>
  <c r="J60" i="15"/>
  <c r="AH57" i="29" s="1"/>
  <c r="D60" i="15"/>
  <c r="P57" i="29" s="1"/>
  <c r="J59" i="15"/>
  <c r="AH56" i="29" s="1"/>
  <c r="D59" i="15"/>
  <c r="P56" i="29" s="1"/>
  <c r="J58" i="15"/>
  <c r="AH55" i="29" s="1"/>
  <c r="D58" i="15"/>
  <c r="P55" i="29" s="1"/>
  <c r="J57" i="15"/>
  <c r="AH54" i="29" s="1"/>
  <c r="D57" i="15"/>
  <c r="P54" i="29" s="1"/>
  <c r="J56" i="15"/>
  <c r="AH53" i="29" s="1"/>
  <c r="D56" i="15"/>
  <c r="P53" i="29" s="1"/>
  <c r="J55" i="15"/>
  <c r="AH52" i="29" s="1"/>
  <c r="D55" i="15"/>
  <c r="P52" i="29" s="1"/>
  <c r="J54" i="15"/>
  <c r="AH51" i="29" s="1"/>
  <c r="D54" i="15"/>
  <c r="P51" i="29" s="1"/>
  <c r="J53" i="15"/>
  <c r="AH50" i="29" s="1"/>
  <c r="D53" i="15"/>
  <c r="P50" i="29" s="1"/>
  <c r="J52" i="15"/>
  <c r="AH49" i="29" s="1"/>
  <c r="D52" i="15"/>
  <c r="P49" i="29" s="1"/>
  <c r="I65" i="15"/>
  <c r="AE62" i="29" s="1"/>
  <c r="C65" i="15"/>
  <c r="M62" i="29" s="1"/>
  <c r="I64" i="15"/>
  <c r="AE61" i="29" s="1"/>
  <c r="C64" i="15"/>
  <c r="M61" i="29" s="1"/>
  <c r="I63" i="15"/>
  <c r="AE60" i="29" s="1"/>
  <c r="C63" i="15"/>
  <c r="M60" i="29" s="1"/>
  <c r="I62" i="15"/>
  <c r="AE59" i="29" s="1"/>
  <c r="C62" i="15"/>
  <c r="M59" i="29" s="1"/>
  <c r="I61" i="15"/>
  <c r="AE58" i="29" s="1"/>
  <c r="C61" i="15"/>
  <c r="M58" i="29" s="1"/>
  <c r="I60" i="15"/>
  <c r="AE57" i="29" s="1"/>
  <c r="C60" i="15"/>
  <c r="M57" i="29" s="1"/>
  <c r="I59" i="15"/>
  <c r="AE56" i="29" s="1"/>
  <c r="C59" i="15"/>
  <c r="M56" i="29" s="1"/>
  <c r="I58" i="15"/>
  <c r="AE55" i="29" s="1"/>
  <c r="C58" i="15"/>
  <c r="M55" i="29" s="1"/>
  <c r="I57" i="15"/>
  <c r="AE54" i="29" s="1"/>
  <c r="C57" i="15"/>
  <c r="M54" i="29" s="1"/>
  <c r="I56" i="15"/>
  <c r="AE53" i="29" s="1"/>
  <c r="C56" i="15"/>
  <c r="M53" i="29" s="1"/>
  <c r="I55" i="15"/>
  <c r="AE52" i="29" s="1"/>
  <c r="C55" i="15"/>
  <c r="M52" i="29" s="1"/>
  <c r="I54" i="15"/>
  <c r="AE51" i="29" s="1"/>
  <c r="C54" i="15"/>
  <c r="M51" i="29" s="1"/>
  <c r="I53" i="15"/>
  <c r="AE50" i="29" s="1"/>
  <c r="C53" i="15"/>
  <c r="M50" i="29" s="1"/>
  <c r="I52" i="15"/>
  <c r="AE49" i="29" s="1"/>
  <c r="L51" i="15"/>
  <c r="AN48" i="29" s="1"/>
  <c r="F51" i="15"/>
  <c r="V48" i="29" s="1"/>
  <c r="L50" i="15"/>
  <c r="AN47" i="29" s="1"/>
  <c r="F50" i="15"/>
  <c r="V47" i="29" s="1"/>
  <c r="L49" i="15"/>
  <c r="AN46" i="29" s="1"/>
  <c r="F49" i="15"/>
  <c r="V46" i="29" s="1"/>
  <c r="L48" i="15"/>
  <c r="AN45" i="29" s="1"/>
  <c r="F48" i="15"/>
  <c r="V45" i="29" s="1"/>
  <c r="L47" i="15"/>
  <c r="AN44" i="29" s="1"/>
  <c r="F47" i="15"/>
  <c r="V44" i="29" s="1"/>
  <c r="L46" i="15"/>
  <c r="AN43" i="29" s="1"/>
  <c r="F46" i="15"/>
  <c r="V43" i="29" s="1"/>
  <c r="L45" i="15"/>
  <c r="AN42" i="29" s="1"/>
  <c r="F45" i="15"/>
  <c r="V42" i="29" s="1"/>
  <c r="L44" i="15"/>
  <c r="AN41" i="29" s="1"/>
  <c r="F44" i="15"/>
  <c r="V41" i="29" s="1"/>
  <c r="L43" i="15"/>
  <c r="AN40" i="29" s="1"/>
  <c r="F43" i="15"/>
  <c r="V40" i="29" s="1"/>
  <c r="L42" i="15"/>
  <c r="AN39" i="29" s="1"/>
  <c r="F42" i="15"/>
  <c r="V39" i="29" s="1"/>
  <c r="L41" i="15"/>
  <c r="AN38" i="29" s="1"/>
  <c r="F41" i="15"/>
  <c r="V38" i="29" s="1"/>
  <c r="L40" i="15"/>
  <c r="AN37" i="29" s="1"/>
  <c r="F40" i="15"/>
  <c r="V37" i="29" s="1"/>
  <c r="L39" i="15"/>
  <c r="AN36" i="29" s="1"/>
  <c r="F39" i="15"/>
  <c r="V36" i="29" s="1"/>
  <c r="L38" i="15"/>
  <c r="AN35" i="29" s="1"/>
  <c r="F38" i="15"/>
  <c r="V35" i="29" s="1"/>
  <c r="K51" i="15"/>
  <c r="AK48" i="29" s="1"/>
  <c r="E51" i="15"/>
  <c r="S48" i="29" s="1"/>
  <c r="K50" i="15"/>
  <c r="AK47" i="29" s="1"/>
  <c r="E50" i="15"/>
  <c r="S47" i="29" s="1"/>
  <c r="K49" i="15"/>
  <c r="AK46" i="29" s="1"/>
  <c r="E49" i="15"/>
  <c r="S46" i="29" s="1"/>
  <c r="K48" i="15"/>
  <c r="AK45" i="29" s="1"/>
  <c r="E48" i="15"/>
  <c r="S45" i="29" s="1"/>
  <c r="K47" i="15"/>
  <c r="AK44" i="29" s="1"/>
  <c r="E47" i="15"/>
  <c r="S44" i="29" s="1"/>
  <c r="K46" i="15"/>
  <c r="AK43" i="29" s="1"/>
  <c r="E46" i="15"/>
  <c r="S43" i="29" s="1"/>
  <c r="K45" i="15"/>
  <c r="AK42" i="29" s="1"/>
  <c r="E45" i="15"/>
  <c r="S42" i="29" s="1"/>
  <c r="K44" i="15"/>
  <c r="AK41" i="29" s="1"/>
  <c r="E44" i="15"/>
  <c r="S41" i="29" s="1"/>
  <c r="K43" i="15"/>
  <c r="AK40" i="29" s="1"/>
  <c r="E43" i="15"/>
  <c r="S40" i="29" s="1"/>
  <c r="K42" i="15"/>
  <c r="AK39" i="29" s="1"/>
  <c r="E42" i="15"/>
  <c r="S39" i="29" s="1"/>
  <c r="K41" i="15"/>
  <c r="AK38" i="29" s="1"/>
  <c r="E41" i="15"/>
  <c r="S38" i="29" s="1"/>
  <c r="K40" i="15"/>
  <c r="AK37" i="29" s="1"/>
  <c r="E40" i="15"/>
  <c r="S37" i="29" s="1"/>
  <c r="K39" i="15"/>
  <c r="AK36" i="29" s="1"/>
  <c r="E39" i="15"/>
  <c r="S36" i="29" s="1"/>
  <c r="K38" i="15"/>
  <c r="AK35" i="29" s="1"/>
  <c r="E38" i="15"/>
  <c r="S35" i="29" s="1"/>
  <c r="J51" i="15"/>
  <c r="AH48" i="29" s="1"/>
  <c r="D51" i="15"/>
  <c r="P48" i="29" s="1"/>
  <c r="J50" i="15"/>
  <c r="AH47" i="29" s="1"/>
  <c r="D50" i="15"/>
  <c r="P47" i="29" s="1"/>
  <c r="J49" i="15"/>
  <c r="AH46" i="29" s="1"/>
  <c r="D49" i="15"/>
  <c r="P46" i="29" s="1"/>
  <c r="J48" i="15"/>
  <c r="AH45" i="29" s="1"/>
  <c r="D48" i="15"/>
  <c r="P45" i="29" s="1"/>
  <c r="J47" i="15"/>
  <c r="AH44" i="29" s="1"/>
  <c r="D47" i="15"/>
  <c r="P44" i="29" s="1"/>
  <c r="J46" i="15"/>
  <c r="AH43" i="29" s="1"/>
  <c r="D46" i="15"/>
  <c r="P43" i="29" s="1"/>
  <c r="J45" i="15"/>
  <c r="AH42" i="29" s="1"/>
  <c r="D45" i="15"/>
  <c r="P42" i="29" s="1"/>
  <c r="J44" i="15"/>
  <c r="AH41" i="29" s="1"/>
  <c r="D44" i="15"/>
  <c r="P41" i="29" s="1"/>
  <c r="J43" i="15"/>
  <c r="AH40" i="29" s="1"/>
  <c r="D43" i="15"/>
  <c r="P40" i="29" s="1"/>
  <c r="J42" i="15"/>
  <c r="AH39" i="29" s="1"/>
  <c r="D42" i="15"/>
  <c r="P39" i="29" s="1"/>
  <c r="J41" i="15"/>
  <c r="AH38" i="29" s="1"/>
  <c r="D41" i="15"/>
  <c r="P38" i="29" s="1"/>
  <c r="J40" i="15"/>
  <c r="AH37" i="29" s="1"/>
  <c r="D40" i="15"/>
  <c r="P37" i="29" s="1"/>
  <c r="J39" i="15"/>
  <c r="AH36" i="29" s="1"/>
  <c r="D39" i="15"/>
  <c r="P36" i="29" s="1"/>
  <c r="J38" i="15"/>
  <c r="AH35" i="29" s="1"/>
  <c r="D38" i="15"/>
  <c r="P35" i="29" s="1"/>
  <c r="I51" i="15"/>
  <c r="AE48" i="29" s="1"/>
  <c r="C51" i="15"/>
  <c r="M48" i="29" s="1"/>
  <c r="I50" i="15"/>
  <c r="AE47" i="29" s="1"/>
  <c r="C50" i="15"/>
  <c r="M47" i="29" s="1"/>
  <c r="I49" i="15"/>
  <c r="AE46" i="29" s="1"/>
  <c r="C49" i="15"/>
  <c r="M46" i="29" s="1"/>
  <c r="I48" i="15"/>
  <c r="AE45" i="29" s="1"/>
  <c r="C48" i="15"/>
  <c r="M45" i="29" s="1"/>
  <c r="I47" i="15"/>
  <c r="AE44" i="29" s="1"/>
  <c r="C47" i="15"/>
  <c r="M44" i="29" s="1"/>
  <c r="I46" i="15"/>
  <c r="AE43" i="29" s="1"/>
  <c r="C46" i="15"/>
  <c r="M43" i="29" s="1"/>
  <c r="I45" i="15"/>
  <c r="AE42" i="29" s="1"/>
  <c r="C45" i="15"/>
  <c r="M42" i="29" s="1"/>
  <c r="I44" i="15"/>
  <c r="AE41" i="29" s="1"/>
  <c r="C44" i="15"/>
  <c r="M41" i="29" s="1"/>
  <c r="I43" i="15"/>
  <c r="AE40" i="29" s="1"/>
  <c r="C43" i="15"/>
  <c r="M40" i="29" s="1"/>
  <c r="I42" i="15"/>
  <c r="AE39" i="29" s="1"/>
  <c r="C42" i="15"/>
  <c r="M39" i="29" s="1"/>
  <c r="I41" i="15"/>
  <c r="AE38" i="29" s="1"/>
  <c r="C41" i="15"/>
  <c r="M38" i="29" s="1"/>
  <c r="I40" i="15"/>
  <c r="AE37" i="29" s="1"/>
  <c r="C40" i="15"/>
  <c r="M37" i="29" s="1"/>
  <c r="I39" i="15"/>
  <c r="AE36" i="29" s="1"/>
  <c r="C39" i="15"/>
  <c r="M36" i="29" s="1"/>
  <c r="I38" i="15"/>
  <c r="AE35" i="29" s="1"/>
  <c r="L37" i="15"/>
  <c r="AN34" i="29" s="1"/>
  <c r="F37" i="15"/>
  <c r="V34" i="29" s="1"/>
  <c r="L36" i="15"/>
  <c r="AN33" i="29" s="1"/>
  <c r="F36" i="15"/>
  <c r="V33" i="29" s="1"/>
  <c r="L35" i="15"/>
  <c r="AN32" i="29" s="1"/>
  <c r="F35" i="15"/>
  <c r="V32" i="29" s="1"/>
  <c r="L34" i="15"/>
  <c r="AN31" i="29" s="1"/>
  <c r="F34" i="15"/>
  <c r="V31" i="29" s="1"/>
  <c r="L33" i="15"/>
  <c r="AN30" i="29" s="1"/>
  <c r="F33" i="15"/>
  <c r="V30" i="29" s="1"/>
  <c r="L32" i="15"/>
  <c r="AN29" i="29" s="1"/>
  <c r="F32" i="15"/>
  <c r="V29" i="29" s="1"/>
  <c r="L31" i="15"/>
  <c r="AN28" i="29" s="1"/>
  <c r="F31" i="15"/>
  <c r="V28" i="29" s="1"/>
  <c r="L30" i="15"/>
  <c r="AN27" i="29" s="1"/>
  <c r="F30" i="15"/>
  <c r="V27" i="29" s="1"/>
  <c r="L29" i="15"/>
  <c r="AN26" i="29" s="1"/>
  <c r="F29" i="15"/>
  <c r="V26" i="29" s="1"/>
  <c r="L28" i="15"/>
  <c r="AN25" i="29" s="1"/>
  <c r="F28" i="15"/>
  <c r="V25" i="29" s="1"/>
  <c r="L27" i="15"/>
  <c r="AN24" i="29" s="1"/>
  <c r="F27" i="15"/>
  <c r="V24" i="29" s="1"/>
  <c r="L26" i="15"/>
  <c r="AN23" i="29" s="1"/>
  <c r="F26" i="15"/>
  <c r="V23" i="29" s="1"/>
  <c r="L25" i="15"/>
  <c r="AN22" i="29" s="1"/>
  <c r="F25" i="15"/>
  <c r="V22" i="29" s="1"/>
  <c r="L24" i="15"/>
  <c r="AN21" i="29" s="1"/>
  <c r="F24" i="15"/>
  <c r="V21" i="29" s="1"/>
  <c r="K37" i="15"/>
  <c r="AK34" i="29" s="1"/>
  <c r="E37" i="15"/>
  <c r="S34" i="29" s="1"/>
  <c r="K36" i="15"/>
  <c r="AK33" i="29" s="1"/>
  <c r="E36" i="15"/>
  <c r="S33" i="29" s="1"/>
  <c r="K35" i="15"/>
  <c r="AK32" i="29" s="1"/>
  <c r="E35" i="15"/>
  <c r="S32" i="29" s="1"/>
  <c r="K34" i="15"/>
  <c r="AK31" i="29" s="1"/>
  <c r="E34" i="15"/>
  <c r="S31" i="29" s="1"/>
  <c r="K33" i="15"/>
  <c r="AK30" i="29" s="1"/>
  <c r="E33" i="15"/>
  <c r="S30" i="29" s="1"/>
  <c r="K32" i="15"/>
  <c r="AK29" i="29" s="1"/>
  <c r="E32" i="15"/>
  <c r="S29" i="29" s="1"/>
  <c r="K31" i="15"/>
  <c r="AK28" i="29" s="1"/>
  <c r="E31" i="15"/>
  <c r="S28" i="29" s="1"/>
  <c r="K30" i="15"/>
  <c r="AK27" i="29" s="1"/>
  <c r="E30" i="15"/>
  <c r="S27" i="29" s="1"/>
  <c r="K29" i="15"/>
  <c r="AK26" i="29" s="1"/>
  <c r="E29" i="15"/>
  <c r="S26" i="29" s="1"/>
  <c r="K28" i="15"/>
  <c r="AK25" i="29" s="1"/>
  <c r="E28" i="15"/>
  <c r="S25" i="29" s="1"/>
  <c r="K27" i="15"/>
  <c r="AK24" i="29" s="1"/>
  <c r="E27" i="15"/>
  <c r="S24" i="29" s="1"/>
  <c r="K26" i="15"/>
  <c r="AK23" i="29" s="1"/>
  <c r="E26" i="15"/>
  <c r="S23" i="29" s="1"/>
  <c r="K25" i="15"/>
  <c r="AK22" i="29" s="1"/>
  <c r="E25" i="15"/>
  <c r="S22" i="29" s="1"/>
  <c r="K24" i="15"/>
  <c r="AK21" i="29" s="1"/>
  <c r="E24" i="15"/>
  <c r="S21" i="29" s="1"/>
  <c r="J37" i="15"/>
  <c r="AH34" i="29" s="1"/>
  <c r="D37" i="15"/>
  <c r="P34" i="29" s="1"/>
  <c r="J36" i="15"/>
  <c r="AH33" i="29" s="1"/>
  <c r="D36" i="15"/>
  <c r="P33" i="29" s="1"/>
  <c r="J35" i="15"/>
  <c r="AH32" i="29" s="1"/>
  <c r="D35" i="15"/>
  <c r="P32" i="29" s="1"/>
  <c r="J34" i="15"/>
  <c r="AH31" i="29" s="1"/>
  <c r="D34" i="15"/>
  <c r="P31" i="29" s="1"/>
  <c r="J33" i="15"/>
  <c r="AH30" i="29" s="1"/>
  <c r="D33" i="15"/>
  <c r="P30" i="29" s="1"/>
  <c r="J32" i="15"/>
  <c r="AH29" i="29" s="1"/>
  <c r="D32" i="15"/>
  <c r="P29" i="29" s="1"/>
  <c r="J31" i="15"/>
  <c r="AH28" i="29" s="1"/>
  <c r="D31" i="15"/>
  <c r="P28" i="29" s="1"/>
  <c r="J30" i="15"/>
  <c r="AH27" i="29" s="1"/>
  <c r="D30" i="15"/>
  <c r="P27" i="29" s="1"/>
  <c r="J29" i="15"/>
  <c r="AH26" i="29" s="1"/>
  <c r="D29" i="15"/>
  <c r="P26" i="29" s="1"/>
  <c r="J28" i="15"/>
  <c r="AH25" i="29" s="1"/>
  <c r="D28" i="15"/>
  <c r="P25" i="29" s="1"/>
  <c r="J27" i="15"/>
  <c r="AH24" i="29" s="1"/>
  <c r="D27" i="15"/>
  <c r="P24" i="29" s="1"/>
  <c r="J26" i="15"/>
  <c r="AH23" i="29" s="1"/>
  <c r="D26" i="15"/>
  <c r="P23" i="29" s="1"/>
  <c r="J25" i="15"/>
  <c r="AH22" i="29" s="1"/>
  <c r="D25" i="15"/>
  <c r="P22" i="29" s="1"/>
  <c r="J24" i="15"/>
  <c r="AH21" i="29" s="1"/>
  <c r="D24" i="15"/>
  <c r="P21" i="29" s="1"/>
  <c r="I37" i="15"/>
  <c r="AE34" i="29" s="1"/>
  <c r="C37" i="15"/>
  <c r="M34" i="29" s="1"/>
  <c r="I36" i="15"/>
  <c r="AE33" i="29" s="1"/>
  <c r="C36" i="15"/>
  <c r="M33" i="29" s="1"/>
  <c r="I35" i="15"/>
  <c r="AE32" i="29" s="1"/>
  <c r="C35" i="15"/>
  <c r="M32" i="29" s="1"/>
  <c r="I34" i="15"/>
  <c r="AE31" i="29" s="1"/>
  <c r="C34" i="15"/>
  <c r="M31" i="29" s="1"/>
  <c r="I33" i="15"/>
  <c r="AE30" i="29" s="1"/>
  <c r="C33" i="15"/>
  <c r="M30" i="29" s="1"/>
  <c r="I32" i="15"/>
  <c r="AE29" i="29" s="1"/>
  <c r="C32" i="15"/>
  <c r="M29" i="29" s="1"/>
  <c r="I31" i="15"/>
  <c r="AE28" i="29" s="1"/>
  <c r="C31" i="15"/>
  <c r="M28" i="29" s="1"/>
  <c r="I30" i="15"/>
  <c r="AE27" i="29" s="1"/>
  <c r="C30" i="15"/>
  <c r="M27" i="29" s="1"/>
  <c r="I29" i="15"/>
  <c r="AE26" i="29" s="1"/>
  <c r="C29" i="15"/>
  <c r="M26" i="29" s="1"/>
  <c r="I28" i="15"/>
  <c r="AE25" i="29" s="1"/>
  <c r="C28" i="15"/>
  <c r="M25" i="29" s="1"/>
  <c r="I27" i="15"/>
  <c r="AE24" i="29" s="1"/>
  <c r="C27" i="15"/>
  <c r="M24" i="29" s="1"/>
  <c r="I26" i="15"/>
  <c r="AE23" i="29" s="1"/>
  <c r="C26" i="15"/>
  <c r="M23" i="29" s="1"/>
  <c r="I25" i="15"/>
  <c r="AE22" i="29" s="1"/>
  <c r="C25" i="15"/>
  <c r="M22" i="29" s="1"/>
  <c r="I24" i="15"/>
  <c r="AE21" i="29" s="1"/>
  <c r="L23" i="15"/>
  <c r="AN20" i="29" s="1"/>
  <c r="F23" i="15"/>
  <c r="V20" i="29" s="1"/>
  <c r="L22" i="15"/>
  <c r="AN19" i="29" s="1"/>
  <c r="F22" i="15"/>
  <c r="V19" i="29" s="1"/>
  <c r="L21" i="15"/>
  <c r="AN18" i="29" s="1"/>
  <c r="F21" i="15"/>
  <c r="V18" i="29" s="1"/>
  <c r="L20" i="15"/>
  <c r="AN17" i="29" s="1"/>
  <c r="F20" i="15"/>
  <c r="V17" i="29" s="1"/>
  <c r="L19" i="15"/>
  <c r="AN16" i="29" s="1"/>
  <c r="F19" i="15"/>
  <c r="V16" i="29" s="1"/>
  <c r="L18" i="15"/>
  <c r="AN15" i="29" s="1"/>
  <c r="F18" i="15"/>
  <c r="V15" i="29" s="1"/>
  <c r="L17" i="15"/>
  <c r="AN14" i="29" s="1"/>
  <c r="F17" i="15"/>
  <c r="V14" i="29" s="1"/>
  <c r="L16" i="15"/>
  <c r="AN13" i="29" s="1"/>
  <c r="F16" i="15"/>
  <c r="V13" i="29" s="1"/>
  <c r="L15" i="15"/>
  <c r="AN12" i="29" s="1"/>
  <c r="F15" i="15"/>
  <c r="V12" i="29" s="1"/>
  <c r="L14" i="15"/>
  <c r="AN11" i="29" s="1"/>
  <c r="F14" i="15"/>
  <c r="V11" i="29" s="1"/>
  <c r="L13" i="15"/>
  <c r="AN10" i="29" s="1"/>
  <c r="F13" i="15"/>
  <c r="V10" i="29" s="1"/>
  <c r="L12" i="15"/>
  <c r="AN9" i="29" s="1"/>
  <c r="F12" i="15"/>
  <c r="V9" i="29" s="1"/>
  <c r="L11" i="15"/>
  <c r="AN8" i="29" s="1"/>
  <c r="F11" i="15"/>
  <c r="V8" i="29" s="1"/>
  <c r="L10" i="15"/>
  <c r="F10"/>
  <c r="K23"/>
  <c r="AK20" i="29" s="1"/>
  <c r="E23" i="15"/>
  <c r="S20" i="29" s="1"/>
  <c r="K22" i="15"/>
  <c r="AK19" i="29" s="1"/>
  <c r="E22" i="15"/>
  <c r="S19" i="29" s="1"/>
  <c r="K21" i="15"/>
  <c r="AK18" i="29" s="1"/>
  <c r="E21" i="15"/>
  <c r="S18" i="29" s="1"/>
  <c r="K20" i="15"/>
  <c r="AK17" i="29" s="1"/>
  <c r="E20" i="15"/>
  <c r="S17" i="29" s="1"/>
  <c r="K19" i="15"/>
  <c r="AK16" i="29" s="1"/>
  <c r="E19" i="15"/>
  <c r="S16" i="29" s="1"/>
  <c r="K18" i="15"/>
  <c r="AK15" i="29" s="1"/>
  <c r="E18" i="15"/>
  <c r="S15" i="29" s="1"/>
  <c r="K17" i="15"/>
  <c r="AK14" i="29" s="1"/>
  <c r="E17" i="15"/>
  <c r="S14" i="29" s="1"/>
  <c r="K16" i="15"/>
  <c r="AK13" i="29" s="1"/>
  <c r="E16" i="15"/>
  <c r="S13" i="29" s="1"/>
  <c r="K15" i="15"/>
  <c r="AK12" i="29" s="1"/>
  <c r="E15" i="15"/>
  <c r="S12" i="29" s="1"/>
  <c r="K14" i="15"/>
  <c r="AK11" i="29" s="1"/>
  <c r="E14" i="15"/>
  <c r="S11" i="29" s="1"/>
  <c r="K13" i="15"/>
  <c r="AK10" i="29" s="1"/>
  <c r="E13" i="15"/>
  <c r="S10" i="29" s="1"/>
  <c r="K12" i="15"/>
  <c r="AK9" i="29" s="1"/>
  <c r="E12" i="15"/>
  <c r="S9" i="29" s="1"/>
  <c r="K11" i="15"/>
  <c r="AK8" i="29" s="1"/>
  <c r="E11" i="15"/>
  <c r="S8" i="29" s="1"/>
  <c r="K10" i="15"/>
  <c r="E10"/>
  <c r="J23"/>
  <c r="AH20" i="29" s="1"/>
  <c r="D23" i="15"/>
  <c r="P20" i="29" s="1"/>
  <c r="J22" i="15"/>
  <c r="AH19" i="29" s="1"/>
  <c r="D22" i="15"/>
  <c r="P19" i="29" s="1"/>
  <c r="J21" i="15"/>
  <c r="AH18" i="29" s="1"/>
  <c r="D21" i="15"/>
  <c r="P18" i="29" s="1"/>
  <c r="J20" i="15"/>
  <c r="AH17" i="29" s="1"/>
  <c r="D20" i="15"/>
  <c r="P17" i="29" s="1"/>
  <c r="J19" i="15"/>
  <c r="AH16" i="29" s="1"/>
  <c r="D19" i="15"/>
  <c r="P16" i="29" s="1"/>
  <c r="J18" i="15"/>
  <c r="AH15" i="29" s="1"/>
  <c r="D18" i="15"/>
  <c r="P15" i="29" s="1"/>
  <c r="J17" i="15"/>
  <c r="AH14" i="29" s="1"/>
  <c r="D17" i="15"/>
  <c r="P14" i="29" s="1"/>
  <c r="J16" i="15"/>
  <c r="AH13" i="29" s="1"/>
  <c r="D16" i="15"/>
  <c r="P13" i="29" s="1"/>
  <c r="J15" i="15"/>
  <c r="AH12" i="29" s="1"/>
  <c r="D15" i="15"/>
  <c r="P12" i="29" s="1"/>
  <c r="J14" i="15"/>
  <c r="AH11" i="29" s="1"/>
  <c r="D14" i="15"/>
  <c r="P11" i="29" s="1"/>
  <c r="J13" i="15"/>
  <c r="AH10" i="29" s="1"/>
  <c r="D13" i="15"/>
  <c r="P10" i="29" s="1"/>
  <c r="J12" i="15"/>
  <c r="AH9" i="29" s="1"/>
  <c r="D12" i="15"/>
  <c r="P9" i="29" s="1"/>
  <c r="J11" i="15"/>
  <c r="AH8" i="29" s="1"/>
  <c r="D11" i="15"/>
  <c r="P8" i="29" s="1"/>
  <c r="J10" i="15"/>
  <c r="D10"/>
  <c r="I23"/>
  <c r="AE20" i="29" s="1"/>
  <c r="C23" i="15"/>
  <c r="M20" i="29" s="1"/>
  <c r="I22" i="15"/>
  <c r="AE19" i="29" s="1"/>
  <c r="C22" i="15"/>
  <c r="M19" i="29" s="1"/>
  <c r="I21" i="15"/>
  <c r="AE18" i="29" s="1"/>
  <c r="C21" i="15"/>
  <c r="M18" i="29" s="1"/>
  <c r="I20" i="15"/>
  <c r="AE17" i="29" s="1"/>
  <c r="C20" i="15"/>
  <c r="M17" i="29" s="1"/>
  <c r="I19" i="15"/>
  <c r="AE16" i="29" s="1"/>
  <c r="C19" i="15"/>
  <c r="M16" i="29" s="1"/>
  <c r="I18" i="15"/>
  <c r="AE15" i="29" s="1"/>
  <c r="C18" i="15"/>
  <c r="M15" i="29" s="1"/>
  <c r="I17" i="15"/>
  <c r="AE14" i="29" s="1"/>
  <c r="C17" i="15"/>
  <c r="M14" i="29" s="1"/>
  <c r="I16" i="15"/>
  <c r="AE13" i="29" s="1"/>
  <c r="C16" i="15"/>
  <c r="M13" i="29" s="1"/>
  <c r="I15" i="15"/>
  <c r="AE12" i="29" s="1"/>
  <c r="C15" i="15"/>
  <c r="M12" i="29" s="1"/>
  <c r="I14" i="15"/>
  <c r="AE11" i="29" s="1"/>
  <c r="C14" i="15"/>
  <c r="M11" i="29" s="1"/>
  <c r="I13" i="15"/>
  <c r="AE10" i="29" s="1"/>
  <c r="C13" i="15"/>
  <c r="M10" i="29" s="1"/>
  <c r="I12" i="15"/>
  <c r="AE9" i="29" s="1"/>
  <c r="C12" i="15"/>
  <c r="M9" i="29" s="1"/>
  <c r="I11" i="15"/>
  <c r="AE8" i="29" s="1"/>
  <c r="C11" i="15"/>
  <c r="M8" i="29" s="1"/>
  <c r="I10" i="15"/>
  <c r="Q997" i="1"/>
  <c r="Q761"/>
  <c r="Q1030"/>
  <c r="Q524"/>
  <c r="Q693"/>
  <c r="Q829"/>
  <c r="Q863"/>
  <c r="Q963"/>
  <c r="Q1097"/>
  <c r="Q455"/>
  <c r="Q558"/>
  <c r="Q659"/>
  <c r="Q929"/>
  <c r="Q1063"/>
  <c r="Q152"/>
  <c r="Q592"/>
  <c r="Q896"/>
  <c r="Q490"/>
  <c r="Q626"/>
  <c r="Q727"/>
  <c r="Q795"/>
  <c r="Q1131"/>
  <c r="Q353"/>
  <c r="S45"/>
  <c r="R78" s="1"/>
  <c r="Q218"/>
  <c r="Q422"/>
  <c r="Q284"/>
  <c r="Q319"/>
  <c r="Q185"/>
  <c r="Q388"/>
  <c r="Q86"/>
  <c r="S52"/>
  <c r="R85" s="1"/>
  <c r="S51"/>
  <c r="S46"/>
  <c r="R79" s="1"/>
  <c r="Q119"/>
  <c r="Q251"/>
  <c r="S48"/>
  <c r="R81" s="1"/>
  <c r="S43"/>
  <c r="R76" s="1"/>
  <c r="S49"/>
  <c r="R82" s="1"/>
  <c r="S47"/>
  <c r="R80" s="1"/>
  <c r="S42"/>
  <c r="R75" s="1"/>
  <c r="S50"/>
  <c r="R83" s="1"/>
  <c r="Q53"/>
  <c r="S41"/>
  <c r="R74" s="1"/>
  <c r="S44"/>
  <c r="R77" s="1"/>
  <c r="N31" i="2" l="1"/>
  <c r="Q31" s="1"/>
  <c r="P7" i="29"/>
  <c r="D483" i="15"/>
  <c r="S7" i="29"/>
  <c r="E483" i="15"/>
  <c r="V7" i="29"/>
  <c r="F483" i="15"/>
  <c r="Y7" i="29"/>
  <c r="G483" i="15"/>
  <c r="N483"/>
  <c r="C483"/>
  <c r="AQ7" i="29"/>
  <c r="M483" i="15"/>
  <c r="AB7" i="29"/>
  <c r="H483" i="15"/>
  <c r="AE7" i="29"/>
  <c r="I483" i="15"/>
  <c r="AH7" i="29"/>
  <c r="J483" i="15"/>
  <c r="AK7" i="29"/>
  <c r="K483" i="15"/>
  <c r="AN7" i="29"/>
  <c r="L483" i="15"/>
  <c r="AR358" i="29"/>
  <c r="AR333"/>
  <c r="AR306"/>
  <c r="AR312"/>
  <c r="AR274"/>
  <c r="AR276"/>
  <c r="AR278"/>
  <c r="AR280"/>
  <c r="AR282"/>
  <c r="AR284"/>
  <c r="AR286"/>
  <c r="AR203"/>
  <c r="AR275"/>
  <c r="AR277"/>
  <c r="AR279"/>
  <c r="AR281"/>
  <c r="AR283"/>
  <c r="AR285"/>
  <c r="AR288"/>
  <c r="AR290"/>
  <c r="AR292"/>
  <c r="AR294"/>
  <c r="AR296"/>
  <c r="AR298"/>
  <c r="AR300"/>
  <c r="AR303"/>
  <c r="AR305"/>
  <c r="AR307"/>
  <c r="AR309"/>
  <c r="AR311"/>
  <c r="AR313"/>
  <c r="AR301"/>
  <c r="AR330"/>
  <c r="AR332"/>
  <c r="AR334"/>
  <c r="AR336"/>
  <c r="AR338"/>
  <c r="AR340"/>
  <c r="AR342"/>
  <c r="AR359"/>
  <c r="AR361"/>
  <c r="AR363"/>
  <c r="AR365"/>
  <c r="AR367"/>
  <c r="AR369"/>
  <c r="AR231"/>
  <c r="AR302"/>
  <c r="AR304"/>
  <c r="AR308"/>
  <c r="AR310"/>
  <c r="AR314"/>
  <c r="AR331"/>
  <c r="AR335"/>
  <c r="AR337"/>
  <c r="AR339"/>
  <c r="AR341"/>
  <c r="AR329"/>
  <c r="AR357"/>
  <c r="AR388"/>
  <c r="AR394"/>
  <c r="AR416"/>
  <c r="AR418"/>
  <c r="AR420"/>
  <c r="AR422"/>
  <c r="AR424"/>
  <c r="AR426"/>
  <c r="AR471"/>
  <c r="AR473"/>
  <c r="AR475"/>
  <c r="AR477"/>
  <c r="AR360"/>
  <c r="AR362"/>
  <c r="AR364"/>
  <c r="AR366"/>
  <c r="AR368"/>
  <c r="AR370"/>
  <c r="AR391"/>
  <c r="AR397"/>
  <c r="AR385"/>
  <c r="AR470"/>
  <c r="AR472"/>
  <c r="AR478"/>
  <c r="AR93"/>
  <c r="AR95"/>
  <c r="AR97"/>
  <c r="AR99"/>
  <c r="AR101"/>
  <c r="AR103"/>
  <c r="AR92"/>
  <c r="AR94"/>
  <c r="AR96"/>
  <c r="AR98"/>
  <c r="AR100"/>
  <c r="AR102"/>
  <c r="AR104"/>
  <c r="AR289"/>
  <c r="AR291"/>
  <c r="AR293"/>
  <c r="AR295"/>
  <c r="AR297"/>
  <c r="AR299"/>
  <c r="AR415"/>
  <c r="AR417"/>
  <c r="AR419"/>
  <c r="AR421"/>
  <c r="AR423"/>
  <c r="AR425"/>
  <c r="AR474"/>
  <c r="AR476"/>
  <c r="AR469"/>
  <c r="AR169"/>
  <c r="AR449"/>
  <c r="AR196"/>
  <c r="AR135"/>
  <c r="AR137"/>
  <c r="AR139"/>
  <c r="AR141"/>
  <c r="AR143"/>
  <c r="AR145"/>
  <c r="AR133"/>
  <c r="O152" i="15"/>
  <c r="Q152" s="1"/>
  <c r="AR149" i="29"/>
  <c r="AR151"/>
  <c r="AR153"/>
  <c r="AR155"/>
  <c r="AR157"/>
  <c r="AR159"/>
  <c r="AR176"/>
  <c r="AR178"/>
  <c r="AR180"/>
  <c r="AR182"/>
  <c r="AR184"/>
  <c r="AR186"/>
  <c r="AR188"/>
  <c r="AR219"/>
  <c r="AR221"/>
  <c r="AR223"/>
  <c r="AR225"/>
  <c r="AR227"/>
  <c r="AR229"/>
  <c r="AR315"/>
  <c r="AR343"/>
  <c r="AR347"/>
  <c r="AR373"/>
  <c r="AR375"/>
  <c r="AR377"/>
  <c r="AR379"/>
  <c r="AR381"/>
  <c r="AR383"/>
  <c r="AR371"/>
  <c r="AR427"/>
  <c r="AR105"/>
  <c r="AR163"/>
  <c r="AR134"/>
  <c r="AR136"/>
  <c r="AR138"/>
  <c r="AR140"/>
  <c r="AR142"/>
  <c r="AR144"/>
  <c r="AR146"/>
  <c r="AR148"/>
  <c r="AR150"/>
  <c r="AR152"/>
  <c r="AR154"/>
  <c r="AR156"/>
  <c r="AR158"/>
  <c r="AR160"/>
  <c r="AR177"/>
  <c r="AR179"/>
  <c r="AR181"/>
  <c r="AR183"/>
  <c r="AR185"/>
  <c r="AR187"/>
  <c r="AR175"/>
  <c r="O193" i="15"/>
  <c r="Q193" s="1"/>
  <c r="AR218" i="29"/>
  <c r="AR220"/>
  <c r="AR222"/>
  <c r="AR224"/>
  <c r="AR226"/>
  <c r="AR228"/>
  <c r="AR230"/>
  <c r="AR346"/>
  <c r="AR348"/>
  <c r="AR372"/>
  <c r="AR378"/>
  <c r="AR380"/>
  <c r="AR382"/>
  <c r="AR384"/>
  <c r="AR455"/>
  <c r="AR202"/>
  <c r="O123" i="15"/>
  <c r="Q123" s="1"/>
  <c r="P120" i="29"/>
  <c r="AR120" s="1"/>
  <c r="O135" i="15"/>
  <c r="P132" i="29"/>
  <c r="AR132" s="1"/>
  <c r="O170" i="15"/>
  <c r="Q170" s="1"/>
  <c r="V167" i="29"/>
  <c r="AR167" s="1"/>
  <c r="O174" i="15"/>
  <c r="V171" i="29"/>
  <c r="AR171" s="1"/>
  <c r="O192" i="15"/>
  <c r="Q192" s="1"/>
  <c r="AN189" i="29"/>
  <c r="AR189" s="1"/>
  <c r="O377" i="15"/>
  <c r="S374" i="29"/>
  <c r="AR374" s="1"/>
  <c r="O402" i="15"/>
  <c r="P399" i="29"/>
  <c r="AR399" s="1"/>
  <c r="AR49"/>
  <c r="AR78"/>
  <c r="AR80"/>
  <c r="AR82"/>
  <c r="AR107"/>
  <c r="AR109"/>
  <c r="AR111"/>
  <c r="AR113"/>
  <c r="AR115"/>
  <c r="AR117"/>
  <c r="AR204"/>
  <c r="AR206"/>
  <c r="AR208"/>
  <c r="AR210"/>
  <c r="AR212"/>
  <c r="AR214"/>
  <c r="AR216"/>
  <c r="AR233"/>
  <c r="AR235"/>
  <c r="AR237"/>
  <c r="AR239"/>
  <c r="AR241"/>
  <c r="AR243"/>
  <c r="AR316"/>
  <c r="AR318"/>
  <c r="AR320"/>
  <c r="AR322"/>
  <c r="AR324"/>
  <c r="AR326"/>
  <c r="AR328"/>
  <c r="AR350"/>
  <c r="AR352"/>
  <c r="AR354"/>
  <c r="AR356"/>
  <c r="AR401"/>
  <c r="AR403"/>
  <c r="AR405"/>
  <c r="AR407"/>
  <c r="AR409"/>
  <c r="AR411"/>
  <c r="AR428"/>
  <c r="AR430"/>
  <c r="AR432"/>
  <c r="AR434"/>
  <c r="AR436"/>
  <c r="AR438"/>
  <c r="AR440"/>
  <c r="AR457"/>
  <c r="AR459"/>
  <c r="AR461"/>
  <c r="AR463"/>
  <c r="AR465"/>
  <c r="AR467"/>
  <c r="AR195"/>
  <c r="AR164"/>
  <c r="AR414"/>
  <c r="AR259"/>
  <c r="AR271"/>
  <c r="AR453"/>
  <c r="AR387"/>
  <c r="AR390"/>
  <c r="AR393"/>
  <c r="AR396"/>
  <c r="AR165"/>
  <c r="AR269"/>
  <c r="AR125"/>
  <c r="AR131"/>
  <c r="AR442"/>
  <c r="AR454"/>
  <c r="AR191"/>
  <c r="AR172"/>
  <c r="AR258"/>
  <c r="AR256"/>
  <c r="AR254"/>
  <c r="AR252"/>
  <c r="AR250"/>
  <c r="AR248"/>
  <c r="AR246"/>
  <c r="AR129"/>
  <c r="O264" i="15"/>
  <c r="V261" i="29"/>
  <c r="AR261" s="1"/>
  <c r="O270" i="15"/>
  <c r="V267" i="29"/>
  <c r="AR267" s="1"/>
  <c r="O263" i="15"/>
  <c r="Q263" s="1"/>
  <c r="AR192" i="29"/>
  <c r="AR173"/>
  <c r="AR345"/>
  <c r="AR268"/>
  <c r="AR124"/>
  <c r="AR130"/>
  <c r="AR450"/>
  <c r="AR162"/>
  <c r="AR266"/>
  <c r="AR451"/>
  <c r="AR386"/>
  <c r="AR389"/>
  <c r="AR392"/>
  <c r="AR395"/>
  <c r="AR398"/>
  <c r="AR200"/>
  <c r="AR273"/>
  <c r="AR91"/>
  <c r="AR126"/>
  <c r="AR199"/>
  <c r="O126" i="15"/>
  <c r="P123" i="29"/>
  <c r="AR123" s="1"/>
  <c r="O124" i="15"/>
  <c r="Q124" s="1"/>
  <c r="S121" i="29"/>
  <c r="AR121" s="1"/>
  <c r="O130" i="15"/>
  <c r="Q130" s="1"/>
  <c r="S127" i="29"/>
  <c r="AR127" s="1"/>
  <c r="O122" i="15"/>
  <c r="Q122" s="1"/>
  <c r="V119" i="29"/>
  <c r="AR119" s="1"/>
  <c r="O177" i="15"/>
  <c r="Q177" s="1"/>
  <c r="V174" i="29"/>
  <c r="AR174" s="1"/>
  <c r="O444" i="15"/>
  <c r="Q444" s="1"/>
  <c r="AN441" i="29"/>
  <c r="AR441" s="1"/>
  <c r="O164" i="15"/>
  <c r="Q164" s="1"/>
  <c r="Y161" i="29"/>
  <c r="AR161" s="1"/>
  <c r="O131" i="15"/>
  <c r="Q131" s="1"/>
  <c r="M128" i="29"/>
  <c r="AR128" s="1"/>
  <c r="AR23"/>
  <c r="AR25"/>
  <c r="AR27"/>
  <c r="AR29"/>
  <c r="AR31"/>
  <c r="AR33"/>
  <c r="AR50"/>
  <c r="AR52"/>
  <c r="AR54"/>
  <c r="AR79"/>
  <c r="AR81"/>
  <c r="AR83"/>
  <c r="AR85"/>
  <c r="AR87"/>
  <c r="AR89"/>
  <c r="AR106"/>
  <c r="AR108"/>
  <c r="AR110"/>
  <c r="AR112"/>
  <c r="AR114"/>
  <c r="AR116"/>
  <c r="AR118"/>
  <c r="AR205"/>
  <c r="AR207"/>
  <c r="AR209"/>
  <c r="AR211"/>
  <c r="AR213"/>
  <c r="AR215"/>
  <c r="AR232"/>
  <c r="AR234"/>
  <c r="AR236"/>
  <c r="AR238"/>
  <c r="AR240"/>
  <c r="AR242"/>
  <c r="AR244"/>
  <c r="AR317"/>
  <c r="AR319"/>
  <c r="AR321"/>
  <c r="AR323"/>
  <c r="AR325"/>
  <c r="AR327"/>
  <c r="AR349"/>
  <c r="AR351"/>
  <c r="AR353"/>
  <c r="AR355"/>
  <c r="AR400"/>
  <c r="AR402"/>
  <c r="AR404"/>
  <c r="AR406"/>
  <c r="AR408"/>
  <c r="AR410"/>
  <c r="AR412"/>
  <c r="AR429"/>
  <c r="AR431"/>
  <c r="AR433"/>
  <c r="AR435"/>
  <c r="AR437"/>
  <c r="AR439"/>
  <c r="AR456"/>
  <c r="AR458"/>
  <c r="AR460"/>
  <c r="AR462"/>
  <c r="AR464"/>
  <c r="AR466"/>
  <c r="AR468"/>
  <c r="AR201"/>
  <c r="AR170"/>
  <c r="AR265"/>
  <c r="AR447"/>
  <c r="AR263"/>
  <c r="AR122"/>
  <c r="AR448"/>
  <c r="AR197"/>
  <c r="AR257"/>
  <c r="AR255"/>
  <c r="AR253"/>
  <c r="AR251"/>
  <c r="AR249"/>
  <c r="AR247"/>
  <c r="AR245"/>
  <c r="O150" i="15"/>
  <c r="P147" i="29"/>
  <c r="AR147" s="1"/>
  <c r="O220" i="15"/>
  <c r="P217" i="29"/>
  <c r="AR217" s="1"/>
  <c r="O267" i="15"/>
  <c r="Q267" s="1"/>
  <c r="V264" i="29"/>
  <c r="O273" i="15"/>
  <c r="V270" i="29"/>
  <c r="AR270" s="1"/>
  <c r="O347" i="15"/>
  <c r="Q347" s="1"/>
  <c r="AH344" i="29"/>
  <c r="AR344" s="1"/>
  <c r="O379" i="15"/>
  <c r="Q379" s="1"/>
  <c r="AN376" i="29"/>
  <c r="AR376" s="1"/>
  <c r="O446" i="15"/>
  <c r="Q446" s="1"/>
  <c r="V443" i="29"/>
  <c r="AR443" s="1"/>
  <c r="AR198"/>
  <c r="AR287"/>
  <c r="AR262"/>
  <c r="AR444"/>
  <c r="AR413"/>
  <c r="AR168"/>
  <c r="AR260"/>
  <c r="AR272"/>
  <c r="AR445"/>
  <c r="AR194"/>
  <c r="AR446"/>
  <c r="AR264"/>
  <c r="AR190"/>
  <c r="AR193"/>
  <c r="AR166"/>
  <c r="AR452"/>
  <c r="AR21"/>
  <c r="AR84"/>
  <c r="AR7"/>
  <c r="AR35"/>
  <c r="AR63"/>
  <c r="AR56"/>
  <c r="AR58"/>
  <c r="AR60"/>
  <c r="AR62"/>
  <c r="AR77"/>
  <c r="AR10"/>
  <c r="AR16"/>
  <c r="AR9"/>
  <c r="AR11"/>
  <c r="AR13"/>
  <c r="AR15"/>
  <c r="AR17"/>
  <c r="AR19"/>
  <c r="AR36"/>
  <c r="AR38"/>
  <c r="AR40"/>
  <c r="AR42"/>
  <c r="AR44"/>
  <c r="AR46"/>
  <c r="AR48"/>
  <c r="AR65"/>
  <c r="AR67"/>
  <c r="AR69"/>
  <c r="AR71"/>
  <c r="AR73"/>
  <c r="AR75"/>
  <c r="AR8"/>
  <c r="AR12"/>
  <c r="AR18"/>
  <c r="AR20"/>
  <c r="AR37"/>
  <c r="AR39"/>
  <c r="AR41"/>
  <c r="AR43"/>
  <c r="AR45"/>
  <c r="AR47"/>
  <c r="AR64"/>
  <c r="AR66"/>
  <c r="AR68"/>
  <c r="AR70"/>
  <c r="AR72"/>
  <c r="AR74"/>
  <c r="AR76"/>
  <c r="AR14"/>
  <c r="AR22"/>
  <c r="AR24"/>
  <c r="AR26"/>
  <c r="AR28"/>
  <c r="AR30"/>
  <c r="AR32"/>
  <c r="AR34"/>
  <c r="AR51"/>
  <c r="AR53"/>
  <c r="AR55"/>
  <c r="AR57"/>
  <c r="AR59"/>
  <c r="AR61"/>
  <c r="AR86"/>
  <c r="AR88"/>
  <c r="AR90"/>
  <c r="O261" i="15"/>
  <c r="O258"/>
  <c r="Q258" s="1"/>
  <c r="O255"/>
  <c r="Q255" s="1"/>
  <c r="O252"/>
  <c r="O249"/>
  <c r="Q249" s="1"/>
  <c r="O136"/>
  <c r="O206"/>
  <c r="Q206" s="1"/>
  <c r="O262"/>
  <c r="O354"/>
  <c r="Q354" s="1"/>
  <c r="O357"/>
  <c r="O346"/>
  <c r="O349"/>
  <c r="Q349" s="1"/>
  <c r="O351"/>
  <c r="Q351" s="1"/>
  <c r="O419"/>
  <c r="Q419" s="1"/>
  <c r="O422"/>
  <c r="Q422" s="1"/>
  <c r="O425"/>
  <c r="Q425" s="1"/>
  <c r="O428"/>
  <c r="Q428" s="1"/>
  <c r="O417"/>
  <c r="Q417" s="1"/>
  <c r="O475"/>
  <c r="Q475" s="1"/>
  <c r="O478"/>
  <c r="Q478" s="1"/>
  <c r="O481"/>
  <c r="Q481" s="1"/>
  <c r="O155"/>
  <c r="O158"/>
  <c r="O161"/>
  <c r="Q161" s="1"/>
  <c r="O265"/>
  <c r="Q265" s="1"/>
  <c r="O268"/>
  <c r="O271"/>
  <c r="Q271" s="1"/>
  <c r="O305"/>
  <c r="Q305" s="1"/>
  <c r="O308"/>
  <c r="Q308" s="1"/>
  <c r="O311"/>
  <c r="Q311" s="1"/>
  <c r="O314"/>
  <c r="O317"/>
  <c r="Q317" s="1"/>
  <c r="O304"/>
  <c r="Q304" s="1"/>
  <c r="O376"/>
  <c r="Q376" s="1"/>
  <c r="O431"/>
  <c r="Q431" s="1"/>
  <c r="O434"/>
  <c r="Q434" s="1"/>
  <c r="O437"/>
  <c r="Q437" s="1"/>
  <c r="O440"/>
  <c r="Q440" s="1"/>
  <c r="O459"/>
  <c r="Q459" s="1"/>
  <c r="O462"/>
  <c r="Q462" s="1"/>
  <c r="O465"/>
  <c r="Q465" s="1"/>
  <c r="O468"/>
  <c r="Q468" s="1"/>
  <c r="O471"/>
  <c r="Q471" s="1"/>
  <c r="O257"/>
  <c r="Q257" s="1"/>
  <c r="O251"/>
  <c r="Q251" s="1"/>
  <c r="O38"/>
  <c r="Q38" s="1"/>
  <c r="O66"/>
  <c r="O94"/>
  <c r="Q94" s="1"/>
  <c r="O168"/>
  <c r="Q168" s="1"/>
  <c r="O171"/>
  <c r="O178"/>
  <c r="Q178" s="1"/>
  <c r="O235"/>
  <c r="Q235" s="1"/>
  <c r="O238"/>
  <c r="Q238" s="1"/>
  <c r="O241"/>
  <c r="O244"/>
  <c r="Q244" s="1"/>
  <c r="O247"/>
  <c r="Q247" s="1"/>
  <c r="O234"/>
  <c r="Q234" s="1"/>
  <c r="O318"/>
  <c r="Q318" s="1"/>
  <c r="O360"/>
  <c r="O380"/>
  <c r="Q380" s="1"/>
  <c r="O383"/>
  <c r="Q383" s="1"/>
  <c r="O386"/>
  <c r="Q386" s="1"/>
  <c r="O391"/>
  <c r="O394"/>
  <c r="Q394" s="1"/>
  <c r="O397"/>
  <c r="Q397" s="1"/>
  <c r="O400"/>
  <c r="O449"/>
  <c r="Q449" s="1"/>
  <c r="O452"/>
  <c r="Q452" s="1"/>
  <c r="O455"/>
  <c r="Q455" s="1"/>
  <c r="O42"/>
  <c r="Q42" s="1"/>
  <c r="O167"/>
  <c r="Q167" s="1"/>
  <c r="O173"/>
  <c r="Q173" s="1"/>
  <c r="O176"/>
  <c r="Q176" s="1"/>
  <c r="O179"/>
  <c r="O182"/>
  <c r="Q182" s="1"/>
  <c r="O185"/>
  <c r="Q185" s="1"/>
  <c r="O188"/>
  <c r="Q188" s="1"/>
  <c r="O388"/>
  <c r="O420"/>
  <c r="Q420" s="1"/>
  <c r="O423"/>
  <c r="Q423" s="1"/>
  <c r="O426"/>
  <c r="Q426" s="1"/>
  <c r="O429"/>
  <c r="Q429" s="1"/>
  <c r="O445"/>
  <c r="Q445" s="1"/>
  <c r="O448"/>
  <c r="Q448" s="1"/>
  <c r="O451"/>
  <c r="Q451" s="1"/>
  <c r="O454"/>
  <c r="Q454" s="1"/>
  <c r="O457"/>
  <c r="Q457" s="1"/>
  <c r="O472"/>
  <c r="Q472" s="1"/>
  <c r="O125"/>
  <c r="Q125" s="1"/>
  <c r="O128"/>
  <c r="O134"/>
  <c r="O129"/>
  <c r="Q129" s="1"/>
  <c r="O132"/>
  <c r="Q132" s="1"/>
  <c r="O169"/>
  <c r="Q169" s="1"/>
  <c r="O175"/>
  <c r="Q175" s="1"/>
  <c r="O196"/>
  <c r="Q196" s="1"/>
  <c r="O202"/>
  <c r="Q202" s="1"/>
  <c r="O205"/>
  <c r="Q205" s="1"/>
  <c r="O221"/>
  <c r="Q221" s="1"/>
  <c r="O224"/>
  <c r="Q224" s="1"/>
  <c r="O227"/>
  <c r="Q227" s="1"/>
  <c r="O266"/>
  <c r="O269"/>
  <c r="Q269" s="1"/>
  <c r="O272"/>
  <c r="Q272" s="1"/>
  <c r="O275"/>
  <c r="O276"/>
  <c r="Q276" s="1"/>
  <c r="O291"/>
  <c r="O294"/>
  <c r="Q294" s="1"/>
  <c r="O297"/>
  <c r="Q297" s="1"/>
  <c r="O300"/>
  <c r="O303"/>
  <c r="O332"/>
  <c r="Q332" s="1"/>
  <c r="O382"/>
  <c r="O374"/>
  <c r="Q374" s="1"/>
  <c r="O403"/>
  <c r="O406"/>
  <c r="Q406" s="1"/>
  <c r="O409"/>
  <c r="Q409" s="1"/>
  <c r="O430"/>
  <c r="Q430" s="1"/>
  <c r="O458"/>
  <c r="Q458" s="1"/>
  <c r="O260"/>
  <c r="O254"/>
  <c r="Q254" s="1"/>
  <c r="O248"/>
  <c r="Q248" s="1"/>
  <c r="O259"/>
  <c r="Q259" s="1"/>
  <c r="O256"/>
  <c r="Q256" s="1"/>
  <c r="O253"/>
  <c r="Q253" s="1"/>
  <c r="O250"/>
  <c r="O11"/>
  <c r="O39"/>
  <c r="Q39" s="1"/>
  <c r="O45"/>
  <c r="Q45" s="1"/>
  <c r="O48"/>
  <c r="Q48" s="1"/>
  <c r="O51"/>
  <c r="O24"/>
  <c r="Q24" s="1"/>
  <c r="O52"/>
  <c r="Q52" s="1"/>
  <c r="O80"/>
  <c r="Q80" s="1"/>
  <c r="O25"/>
  <c r="Q25" s="1"/>
  <c r="O28"/>
  <c r="Q28" s="1"/>
  <c r="O31"/>
  <c r="Q31" s="1"/>
  <c r="O34"/>
  <c r="Q34" s="1"/>
  <c r="O37"/>
  <c r="Q37" s="1"/>
  <c r="O53"/>
  <c r="Q53" s="1"/>
  <c r="O56"/>
  <c r="Q56" s="1"/>
  <c r="O59"/>
  <c r="Q59" s="1"/>
  <c r="O62"/>
  <c r="Q62" s="1"/>
  <c r="O65"/>
  <c r="Q65" s="1"/>
  <c r="O474"/>
  <c r="Q474" s="1"/>
  <c r="O477"/>
  <c r="Q477" s="1"/>
  <c r="O480"/>
  <c r="Q480" s="1"/>
  <c r="O473"/>
  <c r="Q473" s="1"/>
  <c r="O476"/>
  <c r="Q476" s="1"/>
  <c r="O479"/>
  <c r="Q479" s="1"/>
  <c r="O461"/>
  <c r="Q461" s="1"/>
  <c r="O464"/>
  <c r="Q464" s="1"/>
  <c r="O467"/>
  <c r="Q467" s="1"/>
  <c r="O470"/>
  <c r="Q470" s="1"/>
  <c r="O460"/>
  <c r="Q460" s="1"/>
  <c r="O463"/>
  <c r="Q463" s="1"/>
  <c r="O466"/>
  <c r="Q466" s="1"/>
  <c r="O469"/>
  <c r="Q469" s="1"/>
  <c r="O447"/>
  <c r="Q447" s="1"/>
  <c r="O450"/>
  <c r="Q450" s="1"/>
  <c r="O453"/>
  <c r="Q453" s="1"/>
  <c r="O456"/>
  <c r="Q456" s="1"/>
  <c r="O433"/>
  <c r="Q433" s="1"/>
  <c r="O436"/>
  <c r="Q436" s="1"/>
  <c r="O439"/>
  <c r="Q439" s="1"/>
  <c r="O442"/>
  <c r="Q442" s="1"/>
  <c r="O443"/>
  <c r="Q443" s="1"/>
  <c r="O432"/>
  <c r="Q432" s="1"/>
  <c r="O435"/>
  <c r="Q435" s="1"/>
  <c r="O438"/>
  <c r="Q438" s="1"/>
  <c r="O441"/>
  <c r="Q441" s="1"/>
  <c r="O418"/>
  <c r="Q418" s="1"/>
  <c r="O421"/>
  <c r="Q421" s="1"/>
  <c r="O424"/>
  <c r="Q424" s="1"/>
  <c r="O427"/>
  <c r="Q427" s="1"/>
  <c r="O416"/>
  <c r="Q416" s="1"/>
  <c r="O405"/>
  <c r="Q405" s="1"/>
  <c r="O408"/>
  <c r="Q408" s="1"/>
  <c r="O411"/>
  <c r="O414"/>
  <c r="Q414" s="1"/>
  <c r="O412"/>
  <c r="Q412" s="1"/>
  <c r="O415"/>
  <c r="Q415" s="1"/>
  <c r="O404"/>
  <c r="O407"/>
  <c r="Q407" s="1"/>
  <c r="O410"/>
  <c r="Q410" s="1"/>
  <c r="O413"/>
  <c r="Q413" s="1"/>
  <c r="O390"/>
  <c r="O393"/>
  <c r="Q393" s="1"/>
  <c r="O396"/>
  <c r="Q396" s="1"/>
  <c r="O399"/>
  <c r="O389"/>
  <c r="O392"/>
  <c r="Q392" s="1"/>
  <c r="O395"/>
  <c r="Q395" s="1"/>
  <c r="O398"/>
  <c r="Q398" s="1"/>
  <c r="O401"/>
  <c r="O385"/>
  <c r="Q385" s="1"/>
  <c r="O375"/>
  <c r="Q375" s="1"/>
  <c r="O378"/>
  <c r="Q378" s="1"/>
  <c r="O381"/>
  <c r="Q381" s="1"/>
  <c r="O384"/>
  <c r="Q384" s="1"/>
  <c r="O387"/>
  <c r="Q387" s="1"/>
  <c r="O363"/>
  <c r="Q363" s="1"/>
  <c r="O366"/>
  <c r="O369"/>
  <c r="Q369" s="1"/>
  <c r="O372"/>
  <c r="Q372" s="1"/>
  <c r="O361"/>
  <c r="Q361" s="1"/>
  <c r="O364"/>
  <c r="O367"/>
  <c r="Q367" s="1"/>
  <c r="O370"/>
  <c r="Q370" s="1"/>
  <c r="O373"/>
  <c r="Q373" s="1"/>
  <c r="O362"/>
  <c r="O365"/>
  <c r="O368"/>
  <c r="Q368" s="1"/>
  <c r="O371"/>
  <c r="Q371" s="1"/>
  <c r="O352"/>
  <c r="O355"/>
  <c r="Q355" s="1"/>
  <c r="O358"/>
  <c r="Q358" s="1"/>
  <c r="O350"/>
  <c r="Q350" s="1"/>
  <c r="O353"/>
  <c r="O356"/>
  <c r="Q356" s="1"/>
  <c r="O359"/>
  <c r="Q359" s="1"/>
  <c r="O348"/>
  <c r="O335"/>
  <c r="O338"/>
  <c r="Q338" s="1"/>
  <c r="O341"/>
  <c r="Q341" s="1"/>
  <c r="O344"/>
  <c r="Q344" s="1"/>
  <c r="O333"/>
  <c r="O336"/>
  <c r="Q336" s="1"/>
  <c r="O339"/>
  <c r="Q339" s="1"/>
  <c r="O342"/>
  <c r="O345"/>
  <c r="Q345" s="1"/>
  <c r="O334"/>
  <c r="Q334" s="1"/>
  <c r="O337"/>
  <c r="Q337" s="1"/>
  <c r="O340"/>
  <c r="O343"/>
  <c r="O321"/>
  <c r="Q321" s="1"/>
  <c r="O324"/>
  <c r="Q324" s="1"/>
  <c r="O327"/>
  <c r="Q327" s="1"/>
  <c r="O330"/>
  <c r="Q330" s="1"/>
  <c r="O319"/>
  <c r="Q319" s="1"/>
  <c r="O322"/>
  <c r="Q322" s="1"/>
  <c r="O325"/>
  <c r="Q325" s="1"/>
  <c r="O328"/>
  <c r="O331"/>
  <c r="Q331" s="1"/>
  <c r="O320"/>
  <c r="Q320" s="1"/>
  <c r="O323"/>
  <c r="Q323" s="1"/>
  <c r="O326"/>
  <c r="O329"/>
  <c r="Q329" s="1"/>
  <c r="O307"/>
  <c r="Q307" s="1"/>
  <c r="O310"/>
  <c r="Q310" s="1"/>
  <c r="O313"/>
  <c r="O316"/>
  <c r="Q316" s="1"/>
  <c r="O306"/>
  <c r="Q306" s="1"/>
  <c r="O309"/>
  <c r="Q309" s="1"/>
  <c r="O312"/>
  <c r="Q312" s="1"/>
  <c r="O315"/>
  <c r="Q315" s="1"/>
  <c r="O293"/>
  <c r="Q293" s="1"/>
  <c r="O296"/>
  <c r="O299"/>
  <c r="O302"/>
  <c r="Q302" s="1"/>
  <c r="O292"/>
  <c r="Q292" s="1"/>
  <c r="O295"/>
  <c r="Q295" s="1"/>
  <c r="O298"/>
  <c r="Q298" s="1"/>
  <c r="O301"/>
  <c r="Q301" s="1"/>
  <c r="O290"/>
  <c r="Q290" s="1"/>
  <c r="O279"/>
  <c r="O282"/>
  <c r="Q282" s="1"/>
  <c r="O285"/>
  <c r="Q285" s="1"/>
  <c r="O288"/>
  <c r="Q288" s="1"/>
  <c r="O277"/>
  <c r="O280"/>
  <c r="Q280" s="1"/>
  <c r="O283"/>
  <c r="Q283" s="1"/>
  <c r="O286"/>
  <c r="Q286" s="1"/>
  <c r="O289"/>
  <c r="Q289" s="1"/>
  <c r="O278"/>
  <c r="Q278" s="1"/>
  <c r="O281"/>
  <c r="Q281" s="1"/>
  <c r="O284"/>
  <c r="Q284" s="1"/>
  <c r="O287"/>
  <c r="O274"/>
  <c r="Q274" s="1"/>
  <c r="O237"/>
  <c r="Q237" s="1"/>
  <c r="O240"/>
  <c r="Q240" s="1"/>
  <c r="O243"/>
  <c r="Q243" s="1"/>
  <c r="O246"/>
  <c r="Q246" s="1"/>
  <c r="O236"/>
  <c r="Q236" s="1"/>
  <c r="O239"/>
  <c r="Q239" s="1"/>
  <c r="O242"/>
  <c r="Q242" s="1"/>
  <c r="O245"/>
  <c r="O222"/>
  <c r="O225"/>
  <c r="Q225" s="1"/>
  <c r="O228"/>
  <c r="Q228" s="1"/>
  <c r="O231"/>
  <c r="Q231" s="1"/>
  <c r="O223"/>
  <c r="Q223" s="1"/>
  <c r="O226"/>
  <c r="Q226" s="1"/>
  <c r="O229"/>
  <c r="Q229" s="1"/>
  <c r="O232"/>
  <c r="Q232" s="1"/>
  <c r="O230"/>
  <c r="Q230" s="1"/>
  <c r="O233"/>
  <c r="Q233" s="1"/>
  <c r="O208"/>
  <c r="Q208" s="1"/>
  <c r="O211"/>
  <c r="Q211" s="1"/>
  <c r="O214"/>
  <c r="Q214" s="1"/>
  <c r="O217"/>
  <c r="Q217" s="1"/>
  <c r="O209"/>
  <c r="Q209" s="1"/>
  <c r="O212"/>
  <c r="Q212" s="1"/>
  <c r="O215"/>
  <c r="Q215" s="1"/>
  <c r="O218"/>
  <c r="Q218" s="1"/>
  <c r="O207"/>
  <c r="Q207" s="1"/>
  <c r="O210"/>
  <c r="Q210" s="1"/>
  <c r="O213"/>
  <c r="O216"/>
  <c r="Q216" s="1"/>
  <c r="O219"/>
  <c r="Q219" s="1"/>
  <c r="O194"/>
  <c r="Q194" s="1"/>
  <c r="O197"/>
  <c r="Q197" s="1"/>
  <c r="O200"/>
  <c r="Q200" s="1"/>
  <c r="O203"/>
  <c r="Q203" s="1"/>
  <c r="O195"/>
  <c r="Q195" s="1"/>
  <c r="O198"/>
  <c r="Q198" s="1"/>
  <c r="O201"/>
  <c r="Q201" s="1"/>
  <c r="O204"/>
  <c r="O199"/>
  <c r="Q199" s="1"/>
  <c r="O180"/>
  <c r="Q180" s="1"/>
  <c r="O183"/>
  <c r="Q183" s="1"/>
  <c r="O186"/>
  <c r="Q186" s="1"/>
  <c r="O189"/>
  <c r="Q189" s="1"/>
  <c r="O181"/>
  <c r="Q181" s="1"/>
  <c r="O184"/>
  <c r="Q184" s="1"/>
  <c r="O187"/>
  <c r="Q187" s="1"/>
  <c r="O190"/>
  <c r="Q190" s="1"/>
  <c r="O191"/>
  <c r="Q191" s="1"/>
  <c r="O172"/>
  <c r="Q172" s="1"/>
  <c r="O151"/>
  <c r="Q151" s="1"/>
  <c r="O154"/>
  <c r="Q154" s="1"/>
  <c r="O157"/>
  <c r="Q157" s="1"/>
  <c r="O160"/>
  <c r="Q160" s="1"/>
  <c r="O163"/>
  <c r="Q163" s="1"/>
  <c r="O166"/>
  <c r="Q166" s="1"/>
  <c r="O153"/>
  <c r="Q153" s="1"/>
  <c r="O156"/>
  <c r="Q156" s="1"/>
  <c r="O159"/>
  <c r="Q159" s="1"/>
  <c r="O162"/>
  <c r="Q162" s="1"/>
  <c r="O165"/>
  <c r="Q165" s="1"/>
  <c r="O144"/>
  <c r="Q144" s="1"/>
  <c r="O139"/>
  <c r="O142"/>
  <c r="Q142" s="1"/>
  <c r="O145"/>
  <c r="Q145" s="1"/>
  <c r="O148"/>
  <c r="Q148" s="1"/>
  <c r="O137"/>
  <c r="Q137" s="1"/>
  <c r="O140"/>
  <c r="Q140" s="1"/>
  <c r="O143"/>
  <c r="Q143" s="1"/>
  <c r="O146"/>
  <c r="Q146" s="1"/>
  <c r="O149"/>
  <c r="Q149" s="1"/>
  <c r="O138"/>
  <c r="Q138" s="1"/>
  <c r="O141"/>
  <c r="Q141" s="1"/>
  <c r="O147"/>
  <c r="Q147" s="1"/>
  <c r="O127"/>
  <c r="O133"/>
  <c r="Q133" s="1"/>
  <c r="AB479" i="29"/>
  <c r="Y479"/>
  <c r="AQ479"/>
  <c r="O108" i="15"/>
  <c r="Q108" s="1"/>
  <c r="O111"/>
  <c r="Q111" s="1"/>
  <c r="O114"/>
  <c r="Q114" s="1"/>
  <c r="O117"/>
  <c r="Q117" s="1"/>
  <c r="O120"/>
  <c r="Q120" s="1"/>
  <c r="O109"/>
  <c r="Q109" s="1"/>
  <c r="O112"/>
  <c r="Q112" s="1"/>
  <c r="O115"/>
  <c r="Q115" s="1"/>
  <c r="O118"/>
  <c r="Q118" s="1"/>
  <c r="O121"/>
  <c r="Q121" s="1"/>
  <c r="O110"/>
  <c r="Q110" s="1"/>
  <c r="O113"/>
  <c r="Q113" s="1"/>
  <c r="O116"/>
  <c r="Q116" s="1"/>
  <c r="O119"/>
  <c r="Q119" s="1"/>
  <c r="O95"/>
  <c r="Q95" s="1"/>
  <c r="O98"/>
  <c r="Q98" s="1"/>
  <c r="O101"/>
  <c r="Q101" s="1"/>
  <c r="O104"/>
  <c r="Q104" s="1"/>
  <c r="O107"/>
  <c r="Q107" s="1"/>
  <c r="O96"/>
  <c r="Q96" s="1"/>
  <c r="O99"/>
  <c r="Q99" s="1"/>
  <c r="O102"/>
  <c r="Q102" s="1"/>
  <c r="O105"/>
  <c r="Q105" s="1"/>
  <c r="O97"/>
  <c r="Q97" s="1"/>
  <c r="O100"/>
  <c r="Q100" s="1"/>
  <c r="O103"/>
  <c r="Q103" s="1"/>
  <c r="O106"/>
  <c r="Q106" s="1"/>
  <c r="O83"/>
  <c r="Q83" s="1"/>
  <c r="O86"/>
  <c r="Q86" s="1"/>
  <c r="O89"/>
  <c r="Q89" s="1"/>
  <c r="O92"/>
  <c r="Q92" s="1"/>
  <c r="O81"/>
  <c r="Q81" s="1"/>
  <c r="O84"/>
  <c r="Q84" s="1"/>
  <c r="O87"/>
  <c r="Q87" s="1"/>
  <c r="O90"/>
  <c r="Q90" s="1"/>
  <c r="O93"/>
  <c r="Q93" s="1"/>
  <c r="O82"/>
  <c r="Q82" s="1"/>
  <c r="O85"/>
  <c r="Q85" s="1"/>
  <c r="O88"/>
  <c r="O91"/>
  <c r="Q91" s="1"/>
  <c r="O67"/>
  <c r="Q67" s="1"/>
  <c r="O73"/>
  <c r="Q73" s="1"/>
  <c r="O79"/>
  <c r="Q79" s="1"/>
  <c r="O69"/>
  <c r="Q69" s="1"/>
  <c r="O72"/>
  <c r="Q72" s="1"/>
  <c r="O75"/>
  <c r="Q75" s="1"/>
  <c r="O78"/>
  <c r="Q78" s="1"/>
  <c r="O70"/>
  <c r="Q70" s="1"/>
  <c r="O76"/>
  <c r="Q76" s="1"/>
  <c r="O68"/>
  <c r="Q68" s="1"/>
  <c r="O71"/>
  <c r="Q71" s="1"/>
  <c r="O74"/>
  <c r="Q74" s="1"/>
  <c r="O77"/>
  <c r="Q77" s="1"/>
  <c r="O60"/>
  <c r="Q60" s="1"/>
  <c r="S479" i="29"/>
  <c r="O55" i="15"/>
  <c r="Q55" s="1"/>
  <c r="O58"/>
  <c r="O61"/>
  <c r="Q61" s="1"/>
  <c r="O64"/>
  <c r="Q64" s="1"/>
  <c r="O54"/>
  <c r="Q54" s="1"/>
  <c r="O57"/>
  <c r="Q57" s="1"/>
  <c r="O63"/>
  <c r="Q63" s="1"/>
  <c r="O40"/>
  <c r="Q40" s="1"/>
  <c r="O43"/>
  <c r="Q43" s="1"/>
  <c r="O46"/>
  <c r="Q46" s="1"/>
  <c r="O49"/>
  <c r="Q49" s="1"/>
  <c r="O41"/>
  <c r="Q41" s="1"/>
  <c r="O44"/>
  <c r="Q44" s="1"/>
  <c r="O47"/>
  <c r="Q47" s="1"/>
  <c r="O50"/>
  <c r="Q50" s="1"/>
  <c r="AE479" i="29"/>
  <c r="AH479"/>
  <c r="AN479"/>
  <c r="O26" i="15"/>
  <c r="Q26" s="1"/>
  <c r="O29"/>
  <c r="Q29" s="1"/>
  <c r="O32"/>
  <c r="Q32" s="1"/>
  <c r="O35"/>
  <c r="Q35" s="1"/>
  <c r="O27"/>
  <c r="Q27" s="1"/>
  <c r="O30"/>
  <c r="Q30" s="1"/>
  <c r="O33"/>
  <c r="Q33" s="1"/>
  <c r="O36"/>
  <c r="Q36" s="1"/>
  <c r="O14"/>
  <c r="Q14" s="1"/>
  <c r="O17"/>
  <c r="Q17" s="1"/>
  <c r="O20"/>
  <c r="Q20" s="1"/>
  <c r="O23"/>
  <c r="Q23" s="1"/>
  <c r="AK479" i="29"/>
  <c r="O12" i="15"/>
  <c r="Q12" s="1"/>
  <c r="O15"/>
  <c r="Q15" s="1"/>
  <c r="O18"/>
  <c r="Q18" s="1"/>
  <c r="O21"/>
  <c r="Q21" s="1"/>
  <c r="P479" i="29"/>
  <c r="O10" i="15"/>
  <c r="Q10" s="1"/>
  <c r="M479" i="29"/>
  <c r="O13" i="15"/>
  <c r="Q13" s="1"/>
  <c r="O16"/>
  <c r="Q16" s="1"/>
  <c r="O19"/>
  <c r="Q19" s="1"/>
  <c r="O22"/>
  <c r="Q22" s="1"/>
  <c r="V479" i="29"/>
  <c r="R84" i="1"/>
  <c r="S84" s="1"/>
  <c r="S78"/>
  <c r="R111" s="1"/>
  <c r="S79"/>
  <c r="R112" s="1"/>
  <c r="S81"/>
  <c r="R114" s="1"/>
  <c r="S77"/>
  <c r="R110" s="1"/>
  <c r="S76"/>
  <c r="R109" s="1"/>
  <c r="S80"/>
  <c r="R113" s="1"/>
  <c r="S74"/>
  <c r="R107" s="1"/>
  <c r="S75"/>
  <c r="R108" s="1"/>
  <c r="S82"/>
  <c r="R115" s="1"/>
  <c r="S83"/>
  <c r="R116" s="1"/>
  <c r="Q11" i="15"/>
  <c r="Q51"/>
  <c r="Q127"/>
  <c r="Q135"/>
  <c r="Q139"/>
  <c r="Q155"/>
  <c r="Q171"/>
  <c r="Q179"/>
  <c r="Q213"/>
  <c r="Q241"/>
  <c r="Q245"/>
  <c r="Q261"/>
  <c r="Q273"/>
  <c r="Q275"/>
  <c r="Q277"/>
  <c r="Q279"/>
  <c r="Q287"/>
  <c r="Q291"/>
  <c r="Q299"/>
  <c r="Q303"/>
  <c r="Q313"/>
  <c r="Q333"/>
  <c r="Q335"/>
  <c r="Q343"/>
  <c r="Q353"/>
  <c r="Q357"/>
  <c r="Q365"/>
  <c r="Q377"/>
  <c r="Q389"/>
  <c r="Q391"/>
  <c r="Q399"/>
  <c r="Q401"/>
  <c r="Q403"/>
  <c r="Q411"/>
  <c r="Q58"/>
  <c r="Q66"/>
  <c r="Q88"/>
  <c r="Q126"/>
  <c r="Q128"/>
  <c r="Q134"/>
  <c r="Q136"/>
  <c r="Q150"/>
  <c r="Q158"/>
  <c r="Q174"/>
  <c r="Q204"/>
  <c r="Q220"/>
  <c r="Q222"/>
  <c r="Q250"/>
  <c r="Q252"/>
  <c r="Q260"/>
  <c r="Q262"/>
  <c r="Q264"/>
  <c r="Q266"/>
  <c r="Q268"/>
  <c r="Q270"/>
  <c r="Q296"/>
  <c r="Q300"/>
  <c r="Q314"/>
  <c r="Q326"/>
  <c r="Q328"/>
  <c r="Q340"/>
  <c r="Q342"/>
  <c r="Q346"/>
  <c r="Q348"/>
  <c r="Q352"/>
  <c r="Q360"/>
  <c r="Q362"/>
  <c r="Q364"/>
  <c r="Q366"/>
  <c r="Q382"/>
  <c r="Q388"/>
  <c r="Q390"/>
  <c r="Q400"/>
  <c r="Q402"/>
  <c r="Q404"/>
  <c r="O483" l="1"/>
  <c r="Q483"/>
  <c r="AR479" i="29"/>
  <c r="R117" i="1"/>
  <c r="S117" s="1"/>
  <c r="R150" s="1"/>
  <c r="S107"/>
  <c r="S112"/>
  <c r="S110"/>
  <c r="S115"/>
  <c r="S111"/>
  <c r="S116"/>
  <c r="R149" s="1"/>
  <c r="S108"/>
  <c r="S109"/>
  <c r="S114"/>
  <c r="P21"/>
  <c r="O21"/>
  <c r="N21"/>
  <c r="M21"/>
  <c r="L21"/>
  <c r="K21"/>
  <c r="J21"/>
  <c r="I21"/>
  <c r="H21"/>
  <c r="G21"/>
  <c r="F21"/>
  <c r="E21"/>
  <c r="D21"/>
  <c r="C21"/>
  <c r="Q8"/>
  <c r="C9" i="2" s="1"/>
  <c r="C45" l="1"/>
  <c r="N45" s="1"/>
  <c r="Q45" s="1"/>
  <c r="N9"/>
  <c r="Q9" s="1"/>
  <c r="S8" i="1"/>
  <c r="R40" s="1"/>
  <c r="S40" s="1"/>
  <c r="R73" s="1"/>
  <c r="S73" s="1"/>
  <c r="R142"/>
  <c r="S142" s="1"/>
  <c r="R175" s="1"/>
  <c r="S175" s="1"/>
  <c r="S149"/>
  <c r="R145"/>
  <c r="S145" s="1"/>
  <c r="R147"/>
  <c r="S147" s="1"/>
  <c r="R143"/>
  <c r="R148"/>
  <c r="S148" s="1"/>
  <c r="R144"/>
  <c r="S144" s="1"/>
  <c r="R141"/>
  <c r="S141" s="1"/>
  <c r="R140"/>
  <c r="S140" s="1"/>
  <c r="Q21"/>
  <c r="S21" s="1"/>
  <c r="R53" s="1"/>
  <c r="R208" l="1"/>
  <c r="R181"/>
  <c r="S181" s="1"/>
  <c r="R177"/>
  <c r="S177" s="1"/>
  <c r="R106"/>
  <c r="S106" s="1"/>
  <c r="R180"/>
  <c r="S180" s="1"/>
  <c r="R173"/>
  <c r="S173" s="1"/>
  <c r="R178"/>
  <c r="S178" s="1"/>
  <c r="R182"/>
  <c r="S182" s="1"/>
  <c r="R174"/>
  <c r="S174" s="1"/>
  <c r="S53"/>
  <c r="R207" l="1"/>
  <c r="R213"/>
  <c r="S213" s="1"/>
  <c r="S208"/>
  <c r="R206"/>
  <c r="S206" s="1"/>
  <c r="R239" s="1"/>
  <c r="S239" s="1"/>
  <c r="R214"/>
  <c r="R210"/>
  <c r="S210" s="1"/>
  <c r="R211"/>
  <c r="R215"/>
  <c r="S215" s="1"/>
  <c r="S143"/>
  <c r="R139"/>
  <c r="S139" s="1"/>
  <c r="R172" s="1"/>
  <c r="S172" s="1"/>
  <c r="S85"/>
  <c r="R118" s="1"/>
  <c r="R86"/>
  <c r="S86" s="1"/>
  <c r="R119" s="1"/>
  <c r="R248" l="1"/>
  <c r="S248" s="1"/>
  <c r="R246"/>
  <c r="S246" s="1"/>
  <c r="S207"/>
  <c r="R205"/>
  <c r="S205" s="1"/>
  <c r="R243"/>
  <c r="S243" s="1"/>
  <c r="R241"/>
  <c r="S241" s="1"/>
  <c r="R272"/>
  <c r="R176"/>
  <c r="S176" s="1"/>
  <c r="S119"/>
  <c r="R152" s="1"/>
  <c r="S152" s="1"/>
  <c r="S113"/>
  <c r="S118"/>
  <c r="R151" s="1"/>
  <c r="S151" s="1"/>
  <c r="S211" l="1"/>
  <c r="R209"/>
  <c r="S209" s="1"/>
  <c r="R276"/>
  <c r="R281"/>
  <c r="R238"/>
  <c r="S238" s="1"/>
  <c r="R274"/>
  <c r="R279"/>
  <c r="R240"/>
  <c r="S240" s="1"/>
  <c r="S150"/>
  <c r="R146"/>
  <c r="S146" s="1"/>
  <c r="R184"/>
  <c r="S184" s="1"/>
  <c r="R217" s="1"/>
  <c r="S217" s="1"/>
  <c r="R185"/>
  <c r="S185" s="1"/>
  <c r="R218" s="1"/>
  <c r="S274" l="1"/>
  <c r="R273"/>
  <c r="S273" s="1"/>
  <c r="R242"/>
  <c r="S242" s="1"/>
  <c r="S272"/>
  <c r="R271"/>
  <c r="S271" s="1"/>
  <c r="R250"/>
  <c r="S250" s="1"/>
  <c r="R244"/>
  <c r="S244" s="1"/>
  <c r="R179"/>
  <c r="S179" s="1"/>
  <c r="R183"/>
  <c r="S183" s="1"/>
  <c r="S218" l="1"/>
  <c r="R216"/>
  <c r="S216" s="1"/>
  <c r="R283"/>
  <c r="R309"/>
  <c r="S309" s="1"/>
  <c r="R308"/>
  <c r="S308" s="1"/>
  <c r="R277"/>
  <c r="S277" s="1"/>
  <c r="S276"/>
  <c r="R275"/>
  <c r="S275" s="1"/>
  <c r="S214"/>
  <c r="R212"/>
  <c r="S212" s="1"/>
  <c r="R307"/>
  <c r="S307" s="1"/>
  <c r="R306"/>
  <c r="S306" s="1"/>
  <c r="R251" l="1"/>
  <c r="S251" s="1"/>
  <c r="R284" s="1"/>
  <c r="S284" s="1"/>
  <c r="R247"/>
  <c r="S247" s="1"/>
  <c r="R245"/>
  <c r="S245" s="1"/>
  <c r="R311"/>
  <c r="S311" s="1"/>
  <c r="R342"/>
  <c r="S342" s="1"/>
  <c r="R377" s="1"/>
  <c r="S377" s="1"/>
  <c r="R411" s="1"/>
  <c r="S411" s="1"/>
  <c r="R444" s="1"/>
  <c r="S444" s="1"/>
  <c r="R249"/>
  <c r="S249" s="1"/>
  <c r="R341"/>
  <c r="S341" s="1"/>
  <c r="R376" s="1"/>
  <c r="S376" s="1"/>
  <c r="R410" s="1"/>
  <c r="S410" s="1"/>
  <c r="R443" s="1"/>
  <c r="S443" s="1"/>
  <c r="R312"/>
  <c r="S312" s="1"/>
  <c r="R340"/>
  <c r="S340" s="1"/>
  <c r="R375" s="1"/>
  <c r="S375" s="1"/>
  <c r="R343"/>
  <c r="S343" s="1"/>
  <c r="R310"/>
  <c r="S310" s="1"/>
  <c r="R319" l="1"/>
  <c r="S319" s="1"/>
  <c r="R344"/>
  <c r="S344" s="1"/>
  <c r="R378"/>
  <c r="S378" s="1"/>
  <c r="R479"/>
  <c r="S479" s="1"/>
  <c r="R409"/>
  <c r="S409" s="1"/>
  <c r="S283"/>
  <c r="R282"/>
  <c r="S282" s="1"/>
  <c r="S279"/>
  <c r="R278"/>
  <c r="S278" s="1"/>
  <c r="R478"/>
  <c r="S478" s="1"/>
  <c r="R345"/>
  <c r="S345" s="1"/>
  <c r="R346"/>
  <c r="S346" s="1"/>
  <c r="S281"/>
  <c r="R280"/>
  <c r="S280" s="1"/>
  <c r="R381" l="1"/>
  <c r="S381" s="1"/>
  <c r="R513"/>
  <c r="S513" s="1"/>
  <c r="R313"/>
  <c r="S313" s="1"/>
  <c r="R512"/>
  <c r="S512" s="1"/>
  <c r="R315"/>
  <c r="S315" s="1"/>
  <c r="R412"/>
  <c r="S412" s="1"/>
  <c r="R314"/>
  <c r="S314" s="1"/>
  <c r="R353"/>
  <c r="S353" s="1"/>
  <c r="R316"/>
  <c r="S316" s="1"/>
  <c r="R442"/>
  <c r="S442" s="1"/>
  <c r="R379"/>
  <c r="S379" s="1"/>
  <c r="R380"/>
  <c r="S380" s="1"/>
  <c r="R318"/>
  <c r="S318" s="1"/>
  <c r="R317"/>
  <c r="S317" s="1"/>
  <c r="R348" l="1"/>
  <c r="S348" s="1"/>
  <c r="R477"/>
  <c r="S477" s="1"/>
  <c r="R546"/>
  <c r="S546" s="1"/>
  <c r="R413"/>
  <c r="S413" s="1"/>
  <c r="R349"/>
  <c r="S349" s="1"/>
  <c r="R350"/>
  <c r="S350" s="1"/>
  <c r="R347"/>
  <c r="S347" s="1"/>
  <c r="R352"/>
  <c r="S352" s="1"/>
  <c r="R415"/>
  <c r="S415" s="1"/>
  <c r="R351"/>
  <c r="S351" s="1"/>
  <c r="R388"/>
  <c r="S388" s="1"/>
  <c r="R547"/>
  <c r="S547" s="1"/>
  <c r="R414"/>
  <c r="S414" s="1"/>
  <c r="R445"/>
  <c r="S445" s="1"/>
  <c r="R382" l="1"/>
  <c r="S382" s="1"/>
  <c r="R447"/>
  <c r="S447" s="1"/>
  <c r="R446"/>
  <c r="S446" s="1"/>
  <c r="R384"/>
  <c r="S384" s="1"/>
  <c r="R385"/>
  <c r="S385" s="1"/>
  <c r="R386"/>
  <c r="S386" s="1"/>
  <c r="R383"/>
  <c r="S383" s="1"/>
  <c r="R480"/>
  <c r="S480" s="1"/>
  <c r="R422"/>
  <c r="S422" s="1"/>
  <c r="R387"/>
  <c r="S387" s="1"/>
  <c r="R511"/>
  <c r="S511" s="1"/>
  <c r="R581"/>
  <c r="S581" s="1"/>
  <c r="R448"/>
  <c r="S448" s="1"/>
  <c r="R580"/>
  <c r="S580" s="1"/>
  <c r="R417" l="1"/>
  <c r="S417" s="1"/>
  <c r="R450" s="1"/>
  <c r="S450" s="1"/>
  <c r="R421"/>
  <c r="S421" s="1"/>
  <c r="R454" s="1"/>
  <c r="S454" s="1"/>
  <c r="R418"/>
  <c r="S418" s="1"/>
  <c r="R451" s="1"/>
  <c r="S451" s="1"/>
  <c r="R545"/>
  <c r="S545" s="1"/>
  <c r="R419"/>
  <c r="S419" s="1"/>
  <c r="R615"/>
  <c r="S615" s="1"/>
  <c r="R481"/>
  <c r="S481" s="1"/>
  <c r="R483"/>
  <c r="S483" s="1"/>
  <c r="R416"/>
  <c r="S416" s="1"/>
  <c r="R614"/>
  <c r="S614" s="1"/>
  <c r="R514"/>
  <c r="S514" s="1"/>
  <c r="R482"/>
  <c r="S482" s="1"/>
  <c r="R455"/>
  <c r="S455" s="1"/>
  <c r="R420"/>
  <c r="S420" s="1"/>
  <c r="R453" s="1"/>
  <c r="S453" s="1"/>
  <c r="R515" l="1"/>
  <c r="S515" s="1"/>
  <c r="R490"/>
  <c r="S490" s="1"/>
  <c r="R579"/>
  <c r="S579" s="1"/>
  <c r="R488"/>
  <c r="S488" s="1"/>
  <c r="R489"/>
  <c r="S489" s="1"/>
  <c r="R648"/>
  <c r="S648" s="1"/>
  <c r="R682" s="1"/>
  <c r="S682" s="1"/>
  <c r="R716" s="1"/>
  <c r="S716" s="1"/>
  <c r="R750" s="1"/>
  <c r="S750" s="1"/>
  <c r="R784" s="1"/>
  <c r="S784" s="1"/>
  <c r="R818" s="1"/>
  <c r="S818" s="1"/>
  <c r="R852" s="1"/>
  <c r="S852" s="1"/>
  <c r="R885" s="1"/>
  <c r="S885" s="1"/>
  <c r="R918" s="1"/>
  <c r="S918" s="1"/>
  <c r="R952" s="1"/>
  <c r="S952" s="1"/>
  <c r="R986" s="1"/>
  <c r="S986" s="1"/>
  <c r="R1019" s="1"/>
  <c r="S1019" s="1"/>
  <c r="R1052" s="1"/>
  <c r="S1052" s="1"/>
  <c r="R1086" s="1"/>
  <c r="S1086" s="1"/>
  <c r="R1120" s="1"/>
  <c r="S1120" s="1"/>
  <c r="R1154" s="1"/>
  <c r="S1154" s="1"/>
  <c r="R1189" s="1"/>
  <c r="R647"/>
  <c r="S647" s="1"/>
  <c r="R681" s="1"/>
  <c r="S681" s="1"/>
  <c r="R715" s="1"/>
  <c r="S715" s="1"/>
  <c r="R749" s="1"/>
  <c r="S749" s="1"/>
  <c r="R783" s="1"/>
  <c r="S783" s="1"/>
  <c r="R817" s="1"/>
  <c r="S817" s="1"/>
  <c r="R851" s="1"/>
  <c r="S851" s="1"/>
  <c r="R884" s="1"/>
  <c r="S884" s="1"/>
  <c r="R917" s="1"/>
  <c r="S917" s="1"/>
  <c r="R951" s="1"/>
  <c r="S951" s="1"/>
  <c r="R985" s="1"/>
  <c r="S985" s="1"/>
  <c r="R1018" s="1"/>
  <c r="S1018" s="1"/>
  <c r="R1051" s="1"/>
  <c r="S1051" s="1"/>
  <c r="R1085" s="1"/>
  <c r="S1085" s="1"/>
  <c r="R1119" s="1"/>
  <c r="R485"/>
  <c r="S485" s="1"/>
  <c r="R548"/>
  <c r="S548" s="1"/>
  <c r="R517"/>
  <c r="S517" s="1"/>
  <c r="R452"/>
  <c r="S452" s="1"/>
  <c r="R516"/>
  <c r="S516" s="1"/>
  <c r="R449"/>
  <c r="S449" s="1"/>
  <c r="R486"/>
  <c r="S486" s="1"/>
  <c r="S1119" l="1"/>
  <c r="S1189"/>
  <c r="R484"/>
  <c r="S484" s="1"/>
  <c r="R522"/>
  <c r="S522" s="1"/>
  <c r="R551"/>
  <c r="S551" s="1"/>
  <c r="R549"/>
  <c r="S549" s="1"/>
  <c r="R520"/>
  <c r="S520" s="1"/>
  <c r="R487"/>
  <c r="S487" s="1"/>
  <c r="R519"/>
  <c r="S519" s="1"/>
  <c r="R523"/>
  <c r="S523" s="1"/>
  <c r="R524"/>
  <c r="S524" s="1"/>
  <c r="R550"/>
  <c r="S550" s="1"/>
  <c r="R582"/>
  <c r="S582" s="1"/>
  <c r="R613"/>
  <c r="S613" s="1"/>
  <c r="R1153" l="1"/>
  <c r="S1153" s="1"/>
  <c r="R1188" s="1"/>
  <c r="S1188" s="1"/>
  <c r="R553"/>
  <c r="S553" s="1"/>
  <c r="R584"/>
  <c r="S584" s="1"/>
  <c r="R583"/>
  <c r="S583" s="1"/>
  <c r="R616"/>
  <c r="S616" s="1"/>
  <c r="R554"/>
  <c r="S554" s="1"/>
  <c r="R585"/>
  <c r="S585" s="1"/>
  <c r="R518"/>
  <c r="S518" s="1"/>
  <c r="R557"/>
  <c r="S557" s="1"/>
  <c r="R556"/>
  <c r="S556" s="1"/>
  <c r="R646"/>
  <c r="S646" s="1"/>
  <c r="R558"/>
  <c r="S558" s="1"/>
  <c r="R521"/>
  <c r="S521" s="1"/>
  <c r="R552" l="1"/>
  <c r="S552" s="1"/>
  <c r="R649"/>
  <c r="S649" s="1"/>
  <c r="R592"/>
  <c r="S592" s="1"/>
  <c r="R588"/>
  <c r="S588" s="1"/>
  <c r="R555"/>
  <c r="S555" s="1"/>
  <c r="R617"/>
  <c r="S617" s="1"/>
  <c r="R680"/>
  <c r="S680" s="1"/>
  <c r="R587"/>
  <c r="S587" s="1"/>
  <c r="R591"/>
  <c r="S591" s="1"/>
  <c r="R618"/>
  <c r="S618" s="1"/>
  <c r="R590"/>
  <c r="S590" s="1"/>
  <c r="R619"/>
  <c r="S619" s="1"/>
  <c r="R622" l="1"/>
  <c r="S622" s="1"/>
  <c r="R714"/>
  <c r="S714" s="1"/>
  <c r="R748" s="1"/>
  <c r="S748" s="1"/>
  <c r="R782" s="1"/>
  <c r="S782" s="1"/>
  <c r="R816" s="1"/>
  <c r="S816" s="1"/>
  <c r="R850" s="1"/>
  <c r="S850" s="1"/>
  <c r="R883" s="1"/>
  <c r="S883" s="1"/>
  <c r="R916" s="1"/>
  <c r="S916" s="1"/>
  <c r="R950" s="1"/>
  <c r="S950" s="1"/>
  <c r="R984" s="1"/>
  <c r="S984" s="1"/>
  <c r="R1017" s="1"/>
  <c r="S1017" s="1"/>
  <c r="R1050" s="1"/>
  <c r="S1050" s="1"/>
  <c r="R1084" s="1"/>
  <c r="S1084" s="1"/>
  <c r="R1118" s="1"/>
  <c r="S1118" s="1"/>
  <c r="R1152" s="1"/>
  <c r="S1152" s="1"/>
  <c r="R1187" s="1"/>
  <c r="R624"/>
  <c r="S624" s="1"/>
  <c r="R589"/>
  <c r="S589" s="1"/>
  <c r="R650"/>
  <c r="S650" s="1"/>
  <c r="R684" s="1"/>
  <c r="S684" s="1"/>
  <c r="R718" s="1"/>
  <c r="S718" s="1"/>
  <c r="R752" s="1"/>
  <c r="S752" s="1"/>
  <c r="R786" s="1"/>
  <c r="S786" s="1"/>
  <c r="R820" s="1"/>
  <c r="S820" s="1"/>
  <c r="R854" s="1"/>
  <c r="S854" s="1"/>
  <c r="R887" s="1"/>
  <c r="S887" s="1"/>
  <c r="R920" s="1"/>
  <c r="S920" s="1"/>
  <c r="R954" s="1"/>
  <c r="S954" s="1"/>
  <c r="R988" s="1"/>
  <c r="S988" s="1"/>
  <c r="R1021" s="1"/>
  <c r="S1021" s="1"/>
  <c r="R1054" s="1"/>
  <c r="S1054" s="1"/>
  <c r="R1088" s="1"/>
  <c r="S1088" s="1"/>
  <c r="R1122" s="1"/>
  <c r="S1122" s="1"/>
  <c r="R1156" s="1"/>
  <c r="S1156" s="1"/>
  <c r="R1191" s="1"/>
  <c r="R651"/>
  <c r="S651" s="1"/>
  <c r="R586"/>
  <c r="S586" s="1"/>
  <c r="R621"/>
  <c r="S621" s="1"/>
  <c r="R683"/>
  <c r="S683" s="1"/>
  <c r="R652"/>
  <c r="S652" s="1"/>
  <c r="R625"/>
  <c r="S625" s="1"/>
  <c r="R626"/>
  <c r="S626" s="1"/>
  <c r="S1191" l="1"/>
  <c r="S1187"/>
  <c r="R686"/>
  <c r="S686" s="1"/>
  <c r="R623"/>
  <c r="S623" s="1"/>
  <c r="R655"/>
  <c r="S655" s="1"/>
  <c r="R689" s="1"/>
  <c r="S689" s="1"/>
  <c r="R723" s="1"/>
  <c r="S723" s="1"/>
  <c r="R757" s="1"/>
  <c r="S757" s="1"/>
  <c r="R791" s="1"/>
  <c r="S791" s="1"/>
  <c r="R825" s="1"/>
  <c r="S825" s="1"/>
  <c r="R859" s="1"/>
  <c r="S859" s="1"/>
  <c r="R892" s="1"/>
  <c r="S892" s="1"/>
  <c r="R925" s="1"/>
  <c r="S925" s="1"/>
  <c r="R959" s="1"/>
  <c r="S959" s="1"/>
  <c r="R993" s="1"/>
  <c r="S993" s="1"/>
  <c r="R1026" s="1"/>
  <c r="S1026" s="1"/>
  <c r="R1059" s="1"/>
  <c r="S1059" s="1"/>
  <c r="R1093" s="1"/>
  <c r="S1093" s="1"/>
  <c r="R1127" s="1"/>
  <c r="S1127" s="1"/>
  <c r="R1161" s="1"/>
  <c r="S1161" s="1"/>
  <c r="R1196" s="1"/>
  <c r="R658"/>
  <c r="S658" s="1"/>
  <c r="R692" s="1"/>
  <c r="S692" s="1"/>
  <c r="R726" s="1"/>
  <c r="S726" s="1"/>
  <c r="R760" s="1"/>
  <c r="S760" s="1"/>
  <c r="R794" s="1"/>
  <c r="S794" s="1"/>
  <c r="R828" s="1"/>
  <c r="S828" s="1"/>
  <c r="R862" s="1"/>
  <c r="S862" s="1"/>
  <c r="R895" s="1"/>
  <c r="S895" s="1"/>
  <c r="R928" s="1"/>
  <c r="S928" s="1"/>
  <c r="R962" s="1"/>
  <c r="S962" s="1"/>
  <c r="R996" s="1"/>
  <c r="S996" s="1"/>
  <c r="R1029" s="1"/>
  <c r="S1029" s="1"/>
  <c r="R1062" s="1"/>
  <c r="S1062" s="1"/>
  <c r="R1096" s="1"/>
  <c r="S1096" s="1"/>
  <c r="R1130" s="1"/>
  <c r="R654"/>
  <c r="S654" s="1"/>
  <c r="R659"/>
  <c r="S659" s="1"/>
  <c r="R620"/>
  <c r="S620" s="1"/>
  <c r="R717"/>
  <c r="S717" s="1"/>
  <c r="R751" s="1"/>
  <c r="S751" s="1"/>
  <c r="R785" s="1"/>
  <c r="S785" s="1"/>
  <c r="R819" s="1"/>
  <c r="S819" s="1"/>
  <c r="R853" s="1"/>
  <c r="S853" s="1"/>
  <c r="R886" s="1"/>
  <c r="S886" s="1"/>
  <c r="R919" s="1"/>
  <c r="S919" s="1"/>
  <c r="R953" s="1"/>
  <c r="S953" s="1"/>
  <c r="R987" s="1"/>
  <c r="S987" s="1"/>
  <c r="R1020" s="1"/>
  <c r="S1020" s="1"/>
  <c r="R1053" s="1"/>
  <c r="S1053" s="1"/>
  <c r="R1087" s="1"/>
  <c r="S1087" s="1"/>
  <c r="R1121" s="1"/>
  <c r="S1121" s="1"/>
  <c r="R1155" s="1"/>
  <c r="S1155" s="1"/>
  <c r="R1190" s="1"/>
  <c r="R685"/>
  <c r="S685" s="1"/>
  <c r="R657"/>
  <c r="S657" s="1"/>
  <c r="R691" s="1"/>
  <c r="S691" s="1"/>
  <c r="R725" s="1"/>
  <c r="S725" s="1"/>
  <c r="R759" s="1"/>
  <c r="S759" s="1"/>
  <c r="R793" s="1"/>
  <c r="S793" s="1"/>
  <c r="R827" s="1"/>
  <c r="S827" s="1"/>
  <c r="R861" s="1"/>
  <c r="S861" s="1"/>
  <c r="R894" s="1"/>
  <c r="S894" s="1"/>
  <c r="R927" s="1"/>
  <c r="S927" s="1"/>
  <c r="R961" s="1"/>
  <c r="S961" s="1"/>
  <c r="R995" s="1"/>
  <c r="S995" s="1"/>
  <c r="R1028" s="1"/>
  <c r="S1028" s="1"/>
  <c r="R1061" s="1"/>
  <c r="S1061" s="1"/>
  <c r="R1095" s="1"/>
  <c r="S1095" s="1"/>
  <c r="R1129" s="1"/>
  <c r="S1129" s="1"/>
  <c r="R1163" s="1"/>
  <c r="S1163" s="1"/>
  <c r="R1198" s="1"/>
  <c r="S1130" l="1"/>
  <c r="S1198"/>
  <c r="S1196"/>
  <c r="S1190"/>
  <c r="R688"/>
  <c r="S688" s="1"/>
  <c r="R656"/>
  <c r="S656" s="1"/>
  <c r="R719"/>
  <c r="S719" s="1"/>
  <c r="R753" s="1"/>
  <c r="S753" s="1"/>
  <c r="R787" s="1"/>
  <c r="S787" s="1"/>
  <c r="R821" s="1"/>
  <c r="S821" s="1"/>
  <c r="R855" s="1"/>
  <c r="S855" s="1"/>
  <c r="R888" s="1"/>
  <c r="S888" s="1"/>
  <c r="R921" s="1"/>
  <c r="S921" s="1"/>
  <c r="R955" s="1"/>
  <c r="S955" s="1"/>
  <c r="R989" s="1"/>
  <c r="S989" s="1"/>
  <c r="R1022" s="1"/>
  <c r="S1022" s="1"/>
  <c r="R1055" s="1"/>
  <c r="S1055" s="1"/>
  <c r="R1089" s="1"/>
  <c r="S1089" s="1"/>
  <c r="R1123" s="1"/>
  <c r="S1123" s="1"/>
  <c r="R1157" s="1"/>
  <c r="S1157" s="1"/>
  <c r="R1192" s="1"/>
  <c r="R693"/>
  <c r="S693" s="1"/>
  <c r="R653"/>
  <c r="S653" s="1"/>
  <c r="R720"/>
  <c r="S720" s="1"/>
  <c r="R754" s="1"/>
  <c r="S754" s="1"/>
  <c r="R788" s="1"/>
  <c r="S788" s="1"/>
  <c r="R822" s="1"/>
  <c r="S822" s="1"/>
  <c r="R856" s="1"/>
  <c r="S856" s="1"/>
  <c r="R889" s="1"/>
  <c r="S889" s="1"/>
  <c r="R922" s="1"/>
  <c r="S922" s="1"/>
  <c r="R956" s="1"/>
  <c r="S956" s="1"/>
  <c r="R990" s="1"/>
  <c r="S990" s="1"/>
  <c r="R1023" s="1"/>
  <c r="S1023" s="1"/>
  <c r="R1056" s="1"/>
  <c r="S1056" s="1"/>
  <c r="R1090" s="1"/>
  <c r="S1090" s="1"/>
  <c r="R1124" s="1"/>
  <c r="S1124" s="1"/>
  <c r="R1158" s="1"/>
  <c r="S1158" s="1"/>
  <c r="R1193" s="1"/>
  <c r="R1164" l="1"/>
  <c r="S1164" s="1"/>
  <c r="R1199" s="1"/>
  <c r="S1199" s="1"/>
  <c r="S1193"/>
  <c r="S1192"/>
  <c r="R727"/>
  <c r="S727" s="1"/>
  <c r="R761" s="1"/>
  <c r="S761" s="1"/>
  <c r="R795" s="1"/>
  <c r="S795" s="1"/>
  <c r="R829" s="1"/>
  <c r="S829" s="1"/>
  <c r="R863" s="1"/>
  <c r="S863" s="1"/>
  <c r="R896" s="1"/>
  <c r="S896" s="1"/>
  <c r="R929" s="1"/>
  <c r="S929" s="1"/>
  <c r="R963" s="1"/>
  <c r="S963" s="1"/>
  <c r="R997" s="1"/>
  <c r="S997" s="1"/>
  <c r="R1030" s="1"/>
  <c r="S1030" s="1"/>
  <c r="R1063" s="1"/>
  <c r="S1063" s="1"/>
  <c r="R1097" s="1"/>
  <c r="S1097" s="1"/>
  <c r="R1131" s="1"/>
  <c r="R690"/>
  <c r="S690" s="1"/>
  <c r="R722"/>
  <c r="S722" s="1"/>
  <c r="R756" s="1"/>
  <c r="S756" s="1"/>
  <c r="R790" s="1"/>
  <c r="S790" s="1"/>
  <c r="R824" s="1"/>
  <c r="S824" s="1"/>
  <c r="R858" s="1"/>
  <c r="S858" s="1"/>
  <c r="R891" s="1"/>
  <c r="S891" s="1"/>
  <c r="R924" s="1"/>
  <c r="S924" s="1"/>
  <c r="R958" s="1"/>
  <c r="S958" s="1"/>
  <c r="R992" s="1"/>
  <c r="S992" s="1"/>
  <c r="R1025" s="1"/>
  <c r="S1025" s="1"/>
  <c r="R1058" s="1"/>
  <c r="S1058" s="1"/>
  <c r="R1092" s="1"/>
  <c r="S1092" s="1"/>
  <c r="R1126" s="1"/>
  <c r="S1126" s="1"/>
  <c r="R1160" s="1"/>
  <c r="S1160" s="1"/>
  <c r="R1195" s="1"/>
  <c r="R687"/>
  <c r="S687" s="1"/>
  <c r="S1131" l="1"/>
  <c r="S1195"/>
  <c r="R721"/>
  <c r="S721" s="1"/>
  <c r="R755" s="1"/>
  <c r="S755" s="1"/>
  <c r="R789" s="1"/>
  <c r="S789" s="1"/>
  <c r="R823" s="1"/>
  <c r="S823" s="1"/>
  <c r="R857" s="1"/>
  <c r="S857" s="1"/>
  <c r="R890" s="1"/>
  <c r="S890" s="1"/>
  <c r="R923" s="1"/>
  <c r="S923" s="1"/>
  <c r="R957" s="1"/>
  <c r="S957" s="1"/>
  <c r="R991" s="1"/>
  <c r="S991" s="1"/>
  <c r="R1024" s="1"/>
  <c r="S1024" s="1"/>
  <c r="R1057" s="1"/>
  <c r="S1057" s="1"/>
  <c r="R1091" s="1"/>
  <c r="S1091" s="1"/>
  <c r="R1125" s="1"/>
  <c r="S1125" s="1"/>
  <c r="R1159" s="1"/>
  <c r="S1159" s="1"/>
  <c r="R1194" s="1"/>
  <c r="R724"/>
  <c r="S724" s="1"/>
  <c r="R758" s="1"/>
  <c r="S758" s="1"/>
  <c r="R792" s="1"/>
  <c r="S792" s="1"/>
  <c r="R826" s="1"/>
  <c r="S826" s="1"/>
  <c r="R860" s="1"/>
  <c r="S860" s="1"/>
  <c r="R893" s="1"/>
  <c r="S893" s="1"/>
  <c r="R926" s="1"/>
  <c r="S926" s="1"/>
  <c r="R960" s="1"/>
  <c r="S960" s="1"/>
  <c r="R994" s="1"/>
  <c r="S994" s="1"/>
  <c r="R1027" s="1"/>
  <c r="S1027" s="1"/>
  <c r="R1060" s="1"/>
  <c r="S1060" s="1"/>
  <c r="R1094" s="1"/>
  <c r="S1094" s="1"/>
  <c r="R1128" s="1"/>
  <c r="S1128" s="1"/>
  <c r="R1162" s="1"/>
  <c r="S1162" s="1"/>
  <c r="R1197" s="1"/>
  <c r="R1165" l="1"/>
  <c r="S1165" s="1"/>
  <c r="R1200" s="1"/>
  <c r="S1200" s="1"/>
  <c r="S1197"/>
  <c r="S1194"/>
</calcChain>
</file>

<file path=xl/sharedStrings.xml><?xml version="1.0" encoding="utf-8"?>
<sst xmlns="http://schemas.openxmlformats.org/spreadsheetml/2006/main" count="6086" uniqueCount="1231">
  <si>
    <t>Annexure for tabulating round-wise figures (Refer Para 27)</t>
  </si>
  <si>
    <t>Date</t>
  </si>
  <si>
    <t>Table No.</t>
  </si>
  <si>
    <t>Total</t>
  </si>
  <si>
    <t>Brought from Previous Round</t>
  </si>
  <si>
    <t>Cummulative Total</t>
  </si>
  <si>
    <t>Polling Booth No.</t>
  </si>
  <si>
    <t>SI</t>
  </si>
  <si>
    <t>Name of Candidate</t>
  </si>
  <si>
    <t>-</t>
  </si>
  <si>
    <t>NOTA</t>
  </si>
  <si>
    <t>Rejected Votes</t>
  </si>
  <si>
    <t>Total Votes</t>
  </si>
  <si>
    <t>Initial of RO</t>
  </si>
  <si>
    <t>Initial of observer</t>
  </si>
  <si>
    <t>Important :-</t>
  </si>
  <si>
    <t>1. All overwritings/cuttings should be certified by observer.</t>
  </si>
  <si>
    <t>2. Polling station number whose votes are counted should be indicated below the table number.</t>
  </si>
  <si>
    <t>Control Unit No.</t>
  </si>
  <si>
    <t>Round No.1</t>
  </si>
  <si>
    <t>Number of Electors assigned to the polling Station</t>
  </si>
  <si>
    <t>Round No.2</t>
  </si>
  <si>
    <t>Round No.3</t>
  </si>
  <si>
    <t>Round No.4</t>
  </si>
  <si>
    <t>Round No.5</t>
  </si>
  <si>
    <t>Round No.6</t>
  </si>
  <si>
    <t>Round No.7</t>
  </si>
  <si>
    <t>Round No.8</t>
  </si>
  <si>
    <t>Round No.9</t>
  </si>
  <si>
    <t>Round No.10</t>
  </si>
  <si>
    <t>Round No.11</t>
  </si>
  <si>
    <t>Round No.12</t>
  </si>
  <si>
    <t>Round No.13</t>
  </si>
  <si>
    <t>Round No.14</t>
  </si>
  <si>
    <t>Round No.15</t>
  </si>
  <si>
    <t>Round No.16</t>
  </si>
  <si>
    <t>Round No.17</t>
  </si>
  <si>
    <t>Round No.18</t>
  </si>
  <si>
    <t>Round No.19</t>
  </si>
  <si>
    <t>Round No.20</t>
  </si>
  <si>
    <t>Round No.21</t>
  </si>
  <si>
    <t>Round No.22</t>
  </si>
  <si>
    <t>Round No.23</t>
  </si>
  <si>
    <t>Round No.24</t>
  </si>
  <si>
    <t>3. The EVM (CU) no. used in the polling station will be specifically verified and tick marked by the form Part II of 17C</t>
  </si>
  <si>
    <t>4. A copy of this is to be kept by observer in a separate folder for cross checking later.</t>
  </si>
  <si>
    <t>izk:Ik  &amp; 20</t>
  </si>
  <si>
    <t>vfUre ifj.kke&amp;Ik=</t>
  </si>
  <si>
    <t>fu;e 56 lh ¼2½ lh</t>
  </si>
  <si>
    <t>Hkkx&amp;1</t>
  </si>
  <si>
    <t>jkm.M la[;k</t>
  </si>
  <si>
    <t>Round-1</t>
  </si>
  <si>
    <t>Round-2</t>
  </si>
  <si>
    <t>Round-3</t>
  </si>
  <si>
    <t>Round-4</t>
  </si>
  <si>
    <t>Round-5</t>
  </si>
  <si>
    <t>Round-6</t>
  </si>
  <si>
    <t>Round-7</t>
  </si>
  <si>
    <t>Round-8</t>
  </si>
  <si>
    <t>Round-9</t>
  </si>
  <si>
    <t>Round-10</t>
  </si>
  <si>
    <t>Round-11</t>
  </si>
  <si>
    <t>Round-12</t>
  </si>
  <si>
    <t>Round-13</t>
  </si>
  <si>
    <t>Round-14</t>
  </si>
  <si>
    <t>Round-15</t>
  </si>
  <si>
    <t>Round-16</t>
  </si>
  <si>
    <t>Round-17</t>
  </si>
  <si>
    <t>Round-18</t>
  </si>
  <si>
    <t>Round-19</t>
  </si>
  <si>
    <t>Round-20</t>
  </si>
  <si>
    <t>Round-21</t>
  </si>
  <si>
    <t>Round-22</t>
  </si>
  <si>
    <t>Round-23</t>
  </si>
  <si>
    <t>Round-24</t>
  </si>
  <si>
    <t>Round No.25</t>
  </si>
  <si>
    <t>Round No.26</t>
  </si>
  <si>
    <t>Round No.27</t>
  </si>
  <si>
    <t>Round No.28</t>
  </si>
  <si>
    <t>Round No.29</t>
  </si>
  <si>
    <t>Round-25</t>
  </si>
  <si>
    <t>Round-26</t>
  </si>
  <si>
    <t>Round-27</t>
  </si>
  <si>
    <t>Round-28</t>
  </si>
  <si>
    <t>Round-29</t>
  </si>
  <si>
    <t>Round No.30</t>
  </si>
  <si>
    <t>Round-30</t>
  </si>
  <si>
    <t>Round No.31</t>
  </si>
  <si>
    <t>Round-31</t>
  </si>
  <si>
    <t>izk:i&amp;20</t>
  </si>
  <si>
    <t>vfUre ifj.kke i=</t>
  </si>
  <si>
    <t>fuEufyf[kr vH;fFkZ;ksa ds i{k esa fn;s x;s fof/kekU; erksa dh la[;k</t>
  </si>
  <si>
    <t>oS/k erksa dh dqy la[;k</t>
  </si>
  <si>
    <t>uksVk fodYi ds fy;s er</t>
  </si>
  <si>
    <t>dqy ;ksx</t>
  </si>
  <si>
    <t xml:space="preserve">erns; LFky dh la[;k </t>
  </si>
  <si>
    <r>
      <t>{</t>
    </r>
    <r>
      <rPr>
        <sz val="18"/>
        <color theme="1"/>
        <rFont val="Kruti Dev 010"/>
      </rPr>
      <t>fu;e 56lh¼2½lh</t>
    </r>
    <r>
      <rPr>
        <sz val="18"/>
        <color theme="1"/>
        <rFont val="Calibri"/>
        <family val="2"/>
        <scheme val="minor"/>
      </rPr>
      <t>}</t>
    </r>
  </si>
  <si>
    <t>dz0la0</t>
  </si>
  <si>
    <t>erns; LFky dk uke</t>
  </si>
  <si>
    <t>ECUEC64547</t>
  </si>
  <si>
    <t>ECUEC57499</t>
  </si>
  <si>
    <t>ECUEC53812</t>
  </si>
  <si>
    <t>ECUEC50315</t>
  </si>
  <si>
    <t>ECUEC29676</t>
  </si>
  <si>
    <t>ECUEC57702</t>
  </si>
  <si>
    <t>ECUEC64518</t>
  </si>
  <si>
    <t>ECUEC64882</t>
  </si>
  <si>
    <t>ECUEC51429</t>
  </si>
  <si>
    <t>ECUEC64809</t>
  </si>
  <si>
    <t>ECUEC54951</t>
  </si>
  <si>
    <t>ECUEC57760</t>
  </si>
  <si>
    <t>ECUEC47766</t>
  </si>
  <si>
    <t>ECUEC50174</t>
  </si>
  <si>
    <t>Manveer Singh</t>
  </si>
  <si>
    <t>Rahul Yadav</t>
  </si>
  <si>
    <t>Lakshmi Raj</t>
  </si>
  <si>
    <t>Saleem Akhtar Khan</t>
  </si>
  <si>
    <t>Ajay Kumar</t>
  </si>
  <si>
    <t>Ajay Kumar Sharma</t>
  </si>
  <si>
    <t>Amit Singh Tomar</t>
  </si>
  <si>
    <t>Darshan Sharma</t>
  </si>
  <si>
    <t>Dilshad Ahmad</t>
  </si>
  <si>
    <t>Raju Thakur</t>
  </si>
  <si>
    <t>Bablu</t>
  </si>
  <si>
    <t>fo/kkulHkk fuokZpu {ks= dh la[;k o uke&amp;64 fldUnjkckn</t>
  </si>
  <si>
    <t>fo/kkulHkk fuokZpu {ks= esa dqy ernkrkvksa dh la[;k&amp;397807</t>
  </si>
  <si>
    <t>vdcjiqj &gt;ks&gt;k izkbejh Ldwy d-ua&amp;1</t>
  </si>
  <si>
    <t>vdcjiqj &gt;ks&gt;k izkbejh Ldwy d-ua&amp;2</t>
  </si>
  <si>
    <t xml:space="preserve"> QStkckn  fj&lt;koyh izkbejh Ldwy </t>
  </si>
  <si>
    <t xml:space="preserve"> ,sapkuk eqfLye Ldwy d-ua-&amp;1</t>
  </si>
  <si>
    <t xml:space="preserve"> ,sapkuk eqfLye Ldwy d-ua-&amp;2</t>
  </si>
  <si>
    <t>mVljk  izkbejh Ldwy d0u01</t>
  </si>
  <si>
    <t>mVljk  izkbejh Ldwy d0u02</t>
  </si>
  <si>
    <t xml:space="preserve">cjeUnuxj izkbZejh Ldwy d-u-&amp;1 </t>
  </si>
  <si>
    <t>cjeUnuxj izkbZejh Ldwy d-u-&amp;2</t>
  </si>
  <si>
    <t>cjeUnuxj izkbZejh Ldwy d-u-&amp;3</t>
  </si>
  <si>
    <t>fxj/kjiqj uoknk izkbejh Ldwy d-ua-&amp;1</t>
  </si>
  <si>
    <t>fxj/kjiqj uoknk izkbejh Ldwy d-ua-&amp;2</t>
  </si>
  <si>
    <t xml:space="preserve">[k.MokMgj etjk fxj/kjiqj uoknk izkbejh Ldwy </t>
  </si>
  <si>
    <t xml:space="preserve">ledkSyk izkbZejh Ldwy </t>
  </si>
  <si>
    <t>ledkSyk twfu;j gkbZ Ldwy</t>
  </si>
  <si>
    <t>ckxokyk twfu;j gkbZ Ldwy d-u-&amp;1</t>
  </si>
  <si>
    <t xml:space="preserve"> ckxokyk twfu;j gkbZ Ldwy d-u-&amp;2</t>
  </si>
  <si>
    <t xml:space="preserve"> ckxokyk twfu;j gkbZ Ldwy d-u-&amp;3</t>
  </si>
  <si>
    <t xml:space="preserve">egkoriqj x&lt;h izkbZejh Ldwy </t>
  </si>
  <si>
    <t>u;kokWl  izkbejh Ldwy</t>
  </si>
  <si>
    <t xml:space="preserve"> lSniqj [kqjZeiqj izkbZejh Ldwy </t>
  </si>
  <si>
    <t xml:space="preserve"> uwjiqj  izkbZejh Ldwy </t>
  </si>
  <si>
    <t xml:space="preserve"> fcyk;r uxj izkbZejh Ldwy</t>
  </si>
  <si>
    <t>lSaVk izkbZejh Ldwy d0ua0&amp;1</t>
  </si>
  <si>
    <t>lSaVk izkbZejh Ldwy d0ua0&amp;2</t>
  </si>
  <si>
    <t>Nijkor izkbZejh Ldwy d- u-&amp;1</t>
  </si>
  <si>
    <t>Nijkor izkbZzejh Ldwy d-u-2</t>
  </si>
  <si>
    <t xml:space="preserve">Nijkor twfu;j gkbZ Ldwy </t>
  </si>
  <si>
    <t>[kq'kgkyiqj izkbZejh Ldwy d-u-&amp;1</t>
  </si>
  <si>
    <t xml:space="preserve"> [kq'kgkyiqj izkbZejh Ldwy d-u-&amp;2</t>
  </si>
  <si>
    <t>[kq'kgkyiqj izkbZejh Ldwy d-ua-&amp;3</t>
  </si>
  <si>
    <t xml:space="preserve">jlwyiqj izkbZejh Ldwy </t>
  </si>
  <si>
    <t>egkSyh izkbZejh Ldwy d0ua0&amp;1</t>
  </si>
  <si>
    <t>egkSyh izkbZejh Ldwy d0ua0&amp;2</t>
  </si>
  <si>
    <t>vklQkckn pUniqjk izkbZejh Ldwy d-u-&amp;1</t>
  </si>
  <si>
    <t>vklQkckn pUniqjk izkbZejh Ldwy d-u-&amp;2</t>
  </si>
  <si>
    <t>vklQkckn pUniqjk izkbZejh Ldwy d-u-&amp;3</t>
  </si>
  <si>
    <t>cjky izse b.Vj dkysst d-u-&amp;1</t>
  </si>
  <si>
    <t>cjky izse b.Vj dkysst d-u-&amp;2</t>
  </si>
  <si>
    <t>cjky izse b.Vj dkysst d-u-&amp;3</t>
  </si>
  <si>
    <t>cjky izse b.Vj dkysst d-u-&amp;4</t>
  </si>
  <si>
    <t>cjky izse b.Vj dkysst u;k Hkou d-u-&amp;1</t>
  </si>
  <si>
    <t>cjky izse b.Vj dkysst u;k Hkou d-ua-&amp;2</t>
  </si>
  <si>
    <t>cjky izse b.Vj dkysst u;k Hkou d-ua-&amp;3</t>
  </si>
  <si>
    <t>dSFkkyk  izkbZejh Ldwy d-u-&amp;1</t>
  </si>
  <si>
    <t xml:space="preserve"> dSFkkyk izkbZejh Ldwy d-u-&amp;2</t>
  </si>
  <si>
    <t>gjpuk twfu;j gkbZ Ldwy d-u-&amp;1</t>
  </si>
  <si>
    <t>gjpuk twfu;j gkbZ Ldwy d-u-&amp;2</t>
  </si>
  <si>
    <t>vkSys&lt;+k izkbZejh Ldwy d-u-&amp;1</t>
  </si>
  <si>
    <t>vkSys&lt;+k izkbZejh Ldwy d-u-&amp;2</t>
  </si>
  <si>
    <t>vkSys&lt;+k izkbZejh Ldwy d-u-&amp;3</t>
  </si>
  <si>
    <t>fpMkod izkbZejh Ldwy d-u-&amp;1</t>
  </si>
  <si>
    <t>fpMkod izkbZejh Ldwy d-u-&amp;2</t>
  </si>
  <si>
    <t>fpMkod izkbZejh Ldwy d-u-&amp;3</t>
  </si>
  <si>
    <t>fpMkod izkbZejh Ldwy d-u-&amp;4</t>
  </si>
  <si>
    <t xml:space="preserve">lSxMk izkbZejh Ldwy </t>
  </si>
  <si>
    <t>e[knweuxj mQZ feBBsiqj izkbZejh Ldwy d-u-&amp;1</t>
  </si>
  <si>
    <t>e[knwe uxj mQZ feBBsiqj izkbZejh Ldwy d-u-&amp;2</t>
  </si>
  <si>
    <t>e[knwe uxj mQZ feBBsiqj izkbZejh Ldwy d-u-&amp;3</t>
  </si>
  <si>
    <t>Hkejk izkbZejh Ldwy d-u-&amp;1</t>
  </si>
  <si>
    <t>Hkejk izkbZejh Ldwy d-u-&amp;2</t>
  </si>
  <si>
    <t>Hkejk izkbZejh Ldwy d-u-&amp;3</t>
  </si>
  <si>
    <t>nsouxj mQZ nsoyh izkbZejh Ldwy d-ua-&amp;1</t>
  </si>
  <si>
    <t>nsouxj mQZ nsoyh izkbZejh Ldwy d-ua-&amp;2</t>
  </si>
  <si>
    <t>xqykoBh Mh-,u-bUVj dkfyt u;k Hkou d-u&amp;1</t>
  </si>
  <si>
    <t>xqykoBh Mh-,u-bUVj dkfyt u;k Hkou d-u&amp;2</t>
  </si>
  <si>
    <t>xqykoBh Mh-,u-bUVj dkfyt u;k Hkou d-u&amp;3</t>
  </si>
  <si>
    <t>xqykoBh Mh-,u-bUVj dkfyt u;k Hkou d-u&amp;4</t>
  </si>
  <si>
    <t>xqykoBh Mh-,u-bUVj dkfyt u;k Hkou d-u&amp;5</t>
  </si>
  <si>
    <t>xqykoBh Mh-,u-b- dkfyt iqjkuk Hkou iwohZ Hkkx d-u&amp;1</t>
  </si>
  <si>
    <t>xqykoBh Mh-,u-b- dkfyt iqjkuk Hkou iwohZ Hkkx d-u&amp;2</t>
  </si>
  <si>
    <t>xqykoBh Mh-,u-b- dkfyt iqjkuk Hkou iwohZ Hkkx d-u&amp;3</t>
  </si>
  <si>
    <t>xqykoBh Mh-,u-b- dkfyt iqjkuk Hkou iwohZ Hkkx d-u&amp;4</t>
  </si>
  <si>
    <t>xqykoBh Mh-,u-b- dkfyt iqjkuk Hkou if'peh Hkkx d-u&amp;1</t>
  </si>
  <si>
    <t>xqykoBh Mh-,u-b- dkfyt iqjkuk Hkou if'peh Hkkx d-u&amp;2</t>
  </si>
  <si>
    <t>xqykoBh Mh-,u-b- dkfyt iqjkuk Hkou if'peh Hkkx d-u&amp;3</t>
  </si>
  <si>
    <t>xqykoBh Mh-,u-fMxzh dkfyt iwohZ Hkkx d-u&amp;1</t>
  </si>
  <si>
    <t>xqykoBh Mh-,u-fMxzh dkfyt iwohZ Hkkx d-u&amp;2</t>
  </si>
  <si>
    <t>xqykoBh Mh-,u-fMxzh dkfyt iwohZ Hkkx d-u&amp;3</t>
  </si>
  <si>
    <t>xqykoBh Mh-,u-fMxzh dkfyt if'peh Hkkx d-u&amp;1</t>
  </si>
  <si>
    <t>xqykoBh Mh-,u-fMxzh dkfyt if'peh Hkkx d-u&amp;2</t>
  </si>
  <si>
    <t>xqykoBh Mh-,u-fMxzh dkfyt if'peh Hkkx d-u&amp;3</t>
  </si>
  <si>
    <t>xqykoBh Mh-,u-fMxzh dkfyt if'peh Hkkx d-u&amp;4</t>
  </si>
  <si>
    <t>xqykoBh izkbZejh Ldwy Hkhe uxj d-u&amp;1</t>
  </si>
  <si>
    <t>xqykoBh izkbZejh Ldwy Hkhe uxj d-u&amp;2</t>
  </si>
  <si>
    <t>xqykoBh izkbZejh Ldwy Hkhe uxj d-u&amp;3</t>
  </si>
  <si>
    <t xml:space="preserve"> xqykoBh eqQhnsvke gk;j lSds.Mªh Ldwy d-ua&amp;1</t>
  </si>
  <si>
    <t xml:space="preserve"> xqykoBh eqQhnsvke gk;j lSds.Mªh Ldwy d-ua&amp;2</t>
  </si>
  <si>
    <t xml:space="preserve"> xqykoBh eqQhnsvke gk;j lSds.Mªh Ldwy d-ua&amp;3</t>
  </si>
  <si>
    <t>xqykoBh eqQhnsvke gk;j lSd.Mªh Ldwy d-ua&amp;1 ¼iqjkuk Hkou½</t>
  </si>
  <si>
    <t>xqykoBh eqQhnsvke gk;j lSd.Mªh Ldwy d-ua&amp;2 ¼iqjkuk Hkou½</t>
  </si>
  <si>
    <t>xqykoBh eqQhnsvke gk;j lSd.Mªh Ldwy d-ua&amp;3 ¼iqjkuk Hkou½</t>
  </si>
  <si>
    <t>xqykoBh ftyk ifj"knh; twfu;j gkbZ Ldwy d ua&amp;1</t>
  </si>
  <si>
    <t>xqykoBh ftyk ifj"knh; twfu;j gkbZ Ldwy d ua&amp;2</t>
  </si>
  <si>
    <t>xqykoBh ftyk ifj"knh; twfu;j gkbZ Ldwy d ua&amp;3</t>
  </si>
  <si>
    <t xml:space="preserve">xqykoBh vk;Z dU;k b.Vj dkyst  iwohZ Hkkx d-ua&amp;1 </t>
  </si>
  <si>
    <t>xqykoBh vk;Z dU;k b.Vj dkyst  iwohZ Hkkx d-ua&amp;2</t>
  </si>
  <si>
    <t>xqykoBh vk;Z dU;k b.Vj dkyst  iwohZ Hkkx d-ua&amp;3</t>
  </si>
  <si>
    <t>xqykoBh vk;Z dU;k b.Vj dkyst  iwohZ Hkkx d-ua&amp;4</t>
  </si>
  <si>
    <t>xqykoBh vk;Z dU;k b.Vj dkyst  iwohZ Hkkx d-ua&amp;5</t>
  </si>
  <si>
    <t xml:space="preserve"> xqykoBh vk;Z dU;k b.Vj dkyst if'peh Hkkx d-ua&amp;1</t>
  </si>
  <si>
    <t xml:space="preserve"> xqykoBh vk;Z dU;k b.Vj dkyst if'peh Hkkx d-ua&amp;2</t>
  </si>
  <si>
    <t xml:space="preserve"> xqykoBh vk;Z dU;k b.Vj dkyst if'peh Hkkx d-ua&amp;3</t>
  </si>
  <si>
    <t xml:space="preserve"> xqykoBh vk;Z dU;k b.Vj dkyst if'peh Hkkx d-ua&amp;4</t>
  </si>
  <si>
    <t xml:space="preserve">gqlSuiqj izkbZejh Ldwy </t>
  </si>
  <si>
    <t xml:space="preserve">D;keiqj izkbZejh Ldwy </t>
  </si>
  <si>
    <t>lksguiqj  izkbZejh Ldwy d0ua0&amp;1</t>
  </si>
  <si>
    <t>lksguiqj  izkbZejh Ldwy d0ua0&amp;2</t>
  </si>
  <si>
    <t xml:space="preserve">Hkksxiqj izkbZejh Ldwy </t>
  </si>
  <si>
    <t>HkVkSuk izkbZejh Ldwy d-u-&amp;1</t>
  </si>
  <si>
    <t>HkVkSuk izkbZejh Ldwy d-u-&amp;2</t>
  </si>
  <si>
    <t>HkVkSuk pkS- pj.k flag baVj dkfyt d-ua-&amp;1</t>
  </si>
  <si>
    <t>HkVkSuk pkS- pj.k flag baVj dkfyt d-ua-&amp;2</t>
  </si>
  <si>
    <t>HkVkSuk pkS- pj.k flag baVj dkfyt d-ua-&amp;3</t>
  </si>
  <si>
    <t>HkVkSuk pkS- pj.k flag baVj dkfyt d-ua-&amp;4</t>
  </si>
  <si>
    <t xml:space="preserve">ftjkoBh izkbZejh Ldwy </t>
  </si>
  <si>
    <t xml:space="preserve">fclkbZp izkbZejh Ldwy </t>
  </si>
  <si>
    <t>dksVk  izkbZejh Ldwy d-u-1</t>
  </si>
  <si>
    <t>dksVk izkbZejh Ldwy d-u-2</t>
  </si>
  <si>
    <t>dksVk izkbZejh Ldwy d-u-3</t>
  </si>
  <si>
    <t>dqjyh izkbZejh Ldwy d-u&amp;1</t>
  </si>
  <si>
    <t xml:space="preserve"> dqjyh izkbZejh Ldwy d-u&amp;2</t>
  </si>
  <si>
    <t xml:space="preserve"> dqjyh izkbZejh Ldwy d-u&amp;3</t>
  </si>
  <si>
    <t>vksSjaxkckn vghj izkbZejh Ldwy d-u-&amp;1</t>
  </si>
  <si>
    <t>vksSjaxkckn vghj izkbZejh Ldwy d-u-&amp;2</t>
  </si>
  <si>
    <t>xslwiqj dU;k ikB'kkyk d ua&amp;1</t>
  </si>
  <si>
    <t>xslwiqj dU;k ikB'kkyk d ua&amp;2</t>
  </si>
  <si>
    <t>xslwiqj egkRek xak/kh b.Vj dkfyt d-u&amp;1</t>
  </si>
  <si>
    <t>xslwiqj egkRek xak/kh b.Vj dkfyt d-u&amp;2</t>
  </si>
  <si>
    <t>xslwiqj egkRek xak/kh b.Vj dkfyt d-u&amp;3</t>
  </si>
  <si>
    <t>xslwiqj egkRek xak/kh b.Vj dkfyt d-u&amp;4</t>
  </si>
  <si>
    <t>xslwiqj egkRek xak/kh b.Vj dkfyt d-u&amp;5</t>
  </si>
  <si>
    <t xml:space="preserve">ekSykckn etjk xslwiqj  izkbZejh Ldwy </t>
  </si>
  <si>
    <t xml:space="preserve"> vxokuk izkbZejh Ldwy </t>
  </si>
  <si>
    <t>lukSVk Jh d`".k bUVj dkfyt d-ua&amp;1</t>
  </si>
  <si>
    <t>lukSVk Jh d`".k bUVj dkfyt d-ua&amp;2</t>
  </si>
  <si>
    <t>lukSVk Jh d`".k bUVj dkfyt d-ua&amp;3</t>
  </si>
  <si>
    <t>Hkjkuk Lokeh vuUrkuUn bUVj dkfyt d-u&amp;1</t>
  </si>
  <si>
    <t>Hkjkuk Lokeh vuUrkuUn bUVj dkfyt d-u&amp;2</t>
  </si>
  <si>
    <t>Hkjkuk Lokeh vuUrkuUn bUVj dkfyt d-u&amp;3</t>
  </si>
  <si>
    <t xml:space="preserve"> ykBkSj izkbZejh Ldwy </t>
  </si>
  <si>
    <t>eqjknkckn izkbZejh Ldwy d-ua-&amp;1</t>
  </si>
  <si>
    <t>eqjknkckn izkbZejh Ldwy d-ua-&amp;2</t>
  </si>
  <si>
    <t>ihj fo;kokuh izkbZejh Ldwy d-ua-&amp;1</t>
  </si>
  <si>
    <t>ihj fo;kokuh izkbZejh Ldwy d-ua-&amp;2</t>
  </si>
  <si>
    <t>xkthoh:iqj izkbZejh Ldwy d0u01</t>
  </si>
  <si>
    <t>xkthoh:iqj izkbZejh Ldwy d0u02</t>
  </si>
  <si>
    <t xml:space="preserve">cSuhiqj izkbZejh Ldwy </t>
  </si>
  <si>
    <t>ykMykokl izkbZejh Ldwy</t>
  </si>
  <si>
    <t>eqgkuk n;kuUn pkSchlk dU;k baVj dkfyt d-ua&amp;1</t>
  </si>
  <si>
    <t>eqgkuk n;kuUn pkSchlk dU;k baVj dkfyt d-ua&amp;2</t>
  </si>
  <si>
    <t>bZlsiqj izkbZejh Ldwy d-ua&amp;1</t>
  </si>
  <si>
    <t>bZlsiqj izkbZejh Ldwy d-ua&amp;2</t>
  </si>
  <si>
    <t>firksckl izkbZejh Ldwy</t>
  </si>
  <si>
    <t xml:space="preserve"> euksokl izkbZejh Ldwy</t>
  </si>
  <si>
    <t xml:space="preserve">Qdkuk  izkbZejh Ldwy </t>
  </si>
  <si>
    <t xml:space="preserve"> nknwiqj uhyk izkbZejh Ldwy d-ua-&amp;1</t>
  </si>
  <si>
    <t xml:space="preserve"> nknwiqj uhyk izkbZejh Ldwy d-ua-&amp;2</t>
  </si>
  <si>
    <t>fjVksSyh izkbZejh Ldwy d-ua-&amp;1</t>
  </si>
  <si>
    <t>fjVksSyh izkbZejh Ldwy d-ua-&amp;2</t>
  </si>
  <si>
    <t>uxyk dkyk izkbZejh Ldwy</t>
  </si>
  <si>
    <t>bLekbZyiqj izkbZejh Ldwy d-ua&amp;1</t>
  </si>
  <si>
    <t>bLekbZyiqj izkbZejh Ldwy d-ua&amp;2</t>
  </si>
  <si>
    <t>bLekbZyiqj izkbZejh Ldwy d-ua&amp;3</t>
  </si>
  <si>
    <t xml:space="preserve">  'kgikuh izkbZejh Ldwy d-ua-&amp;1</t>
  </si>
  <si>
    <t xml:space="preserve">  'kgikuh izkbZejh Ldwy d-ua-&amp;2</t>
  </si>
  <si>
    <t>gluiqj Qd:nnhuiqj mQZ ubZ cLrh izkbZejh Ldwy</t>
  </si>
  <si>
    <t>ekSgEeniqj dyka izkbZejh Ldwy d-ua&amp;1</t>
  </si>
  <si>
    <t>ekSgEeniqj dyka izkbZejh Ldwy  d-ua&amp;2</t>
  </si>
  <si>
    <t>ohj[ksMk bUVj dkfyt d-u-&amp;1</t>
  </si>
  <si>
    <t>ohj[ksMk bUVj dkfyt d-u-&amp;2</t>
  </si>
  <si>
    <t>ohj[ksMk bUVj dkfyt d-u-&amp;3</t>
  </si>
  <si>
    <t xml:space="preserve"> fiy[kuokyh izkbZejh Ldwy dua&amp;1</t>
  </si>
  <si>
    <t>fiy[kuokyh izkbZejh Ldwy d-ua&amp;2</t>
  </si>
  <si>
    <t>fiy[kuokyh izkbZejh Ldwy d-ua&amp;3</t>
  </si>
  <si>
    <t>fcylwjh ';ke flag bUVj dkyst d-ua&amp;1</t>
  </si>
  <si>
    <t>fcylwjh ';ke flag bUVj dkyst d-ua&amp;2</t>
  </si>
  <si>
    <t xml:space="preserve"> fcylwjh ';ke flag bUVj dkyst d-ua&amp;3</t>
  </si>
  <si>
    <t xml:space="preserve"> fcylwjh ';ke flag bUVj dkyst d-ua&amp;4</t>
  </si>
  <si>
    <t xml:space="preserve">ykyiqj izkbZejh Ldwy </t>
  </si>
  <si>
    <t xml:space="preserve"> xSaniqj 'ks[kiqj izkbZejh Ldwy d0u0 1</t>
  </si>
  <si>
    <t xml:space="preserve"> xSaniqj 'ks[kiqj izkbZejh Ldwy d0u0 2</t>
  </si>
  <si>
    <t>fljksa/ku vkn'kZ fo|ky; d-ua&amp;1</t>
  </si>
  <si>
    <t>fljksa/ku vkn'kZ fo|ky; d-ua&amp;2</t>
  </si>
  <si>
    <t>fljksa/ku vkn'kZ fo|ky; d-ua&amp;3</t>
  </si>
  <si>
    <t>fljksa/ku vkn'kZ fo|ky; d-ua&amp;4</t>
  </si>
  <si>
    <t xml:space="preserve">HkViqjk twfu;j gkbZ Ldwy </t>
  </si>
  <si>
    <t>HkViqjk izkbZejh Ldwy</t>
  </si>
  <si>
    <t>[kxqvkokl izkbZejh Ldwy</t>
  </si>
  <si>
    <t>eaMkojk twfu;j gkbZ Ldwy d-u-&amp;1</t>
  </si>
  <si>
    <t>eaMkojk twfu;j gkbZ Ldwy d0ua-&amp;2</t>
  </si>
  <si>
    <t>eaMkojk twfu;j gkbZ Ldwy d0ua-&amp;3</t>
  </si>
  <si>
    <t xml:space="preserve">eaMkojk izkbZejh Ldwy </t>
  </si>
  <si>
    <t xml:space="preserve"> dkaojk mPp izkFkfed fo|ky;&amp;1</t>
  </si>
  <si>
    <t xml:space="preserve"> dkaojk mPp izkFkfed fo|ky;&amp;2</t>
  </si>
  <si>
    <t xml:space="preserve"> thrx&lt;h  izkbZejh Ldwy </t>
  </si>
  <si>
    <t xml:space="preserve">uUnx&lt;h  izkbZejh Ldwy </t>
  </si>
  <si>
    <t xml:space="preserve"> fd'kuiqj izkbZejh Ldwy</t>
  </si>
  <si>
    <t xml:space="preserve">jktkjkeiqj izkbZejh Ldwy </t>
  </si>
  <si>
    <t xml:space="preserve">usdukeiqj mQZ fo'kuiqj </t>
  </si>
  <si>
    <t>xksikyiqj  izkbZejh Ldwy</t>
  </si>
  <si>
    <t xml:space="preserve"> frye&lt;S;k izkbZejh Ldwy </t>
  </si>
  <si>
    <t>frycsxeiqj izkbZejh Ldwy d0ua0&amp;1</t>
  </si>
  <si>
    <t>frycsxeiqj izkbZejh Ldwy d0ua0&amp;2</t>
  </si>
  <si>
    <t>frycsxeiqj twfu;j gkbZLdwy d0u0&amp;1</t>
  </si>
  <si>
    <t>frycsxeiqj twfu;j gkbZLdwy d0u0&amp;2</t>
  </si>
  <si>
    <t xml:space="preserve"> fryMsjh etjk fry csxeiqj izkbZejh Ldwy </t>
  </si>
  <si>
    <t xml:space="preserve"> 'ksjiqj izkbZejh Ldwy</t>
  </si>
  <si>
    <t>jktiqj [kqnZ izkbZejh Ldwy</t>
  </si>
  <si>
    <t xml:space="preserve">tks[kkckn izkbZejh Ldwy </t>
  </si>
  <si>
    <t>lkaoyh  izkbZejh Ldwy d-ua-&amp;1</t>
  </si>
  <si>
    <t>lkaoyh  izkbZejh Ldwy d-ua-&amp;2</t>
  </si>
  <si>
    <t xml:space="preserve"> ân;iqj izkbZejh Ldwy d0ua01</t>
  </si>
  <si>
    <t xml:space="preserve"> ân;iqj izkbZejh Ldwy d0ua02</t>
  </si>
  <si>
    <t xml:space="preserve"> lySeiqj dk;LFk izkbZejh Ldwy d- ua&amp;1</t>
  </si>
  <si>
    <t xml:space="preserve"> lySeiqj dk;LFk izkbZejh Ldwy d- ua&amp;2</t>
  </si>
  <si>
    <t>va/kSy izkbZejh Ldwy d0ua0 1</t>
  </si>
  <si>
    <t>va/kSy izkbZejh Ldwy d0ua0 2</t>
  </si>
  <si>
    <t xml:space="preserve"> gluiqj tkxhj izkbZejh Ldwy d0u0&amp;1 </t>
  </si>
  <si>
    <t xml:space="preserve"> gluiqj tkxhj izkbZejh Ldwy d0u0&amp;2</t>
  </si>
  <si>
    <t xml:space="preserve"> folokuk izkbZejh Ldwy d-u&amp;1</t>
  </si>
  <si>
    <t>folokuk izkbZejh Ldwy d-u&amp;2</t>
  </si>
  <si>
    <t>[ksjiqj fry izkbZejh Ldwy</t>
  </si>
  <si>
    <t>Qjhniqj izkbZejh Ldwy d0ua0&amp;1</t>
  </si>
  <si>
    <t>Qjhniqj izkbZejh Ldwy d0ua0&amp;2</t>
  </si>
  <si>
    <t>Qjhniqj twfu;j gkbZLdwy</t>
  </si>
  <si>
    <t xml:space="preserve"> fldUnzkckn ,e-,l-bUVj dkfyt d-ua&amp;1</t>
  </si>
  <si>
    <t>fldUnzkckn ,e-,l-bUVj dkfyt d-ua&amp;2</t>
  </si>
  <si>
    <t xml:space="preserve"> fldUnzkckn ,e-,l-bUVj dkfyt d-ua&amp;3</t>
  </si>
  <si>
    <t xml:space="preserve"> fldUnzkckn ,e-,l-bUVj dkfyt d-ua&amp;4</t>
  </si>
  <si>
    <t>fldUnzkckn ,e-,l-bUVj dkfyt d-ua&amp;5</t>
  </si>
  <si>
    <t>fldUnzkckn ,e-,l-bUVj dkfyt d-ua&amp;6</t>
  </si>
  <si>
    <t xml:space="preserve"> fldUnzkckn ts0,l0fMxzh dkfyt mRrjh Hkkx d-ua&amp;1</t>
  </si>
  <si>
    <t xml:space="preserve"> fldUnzkckn ts0,l0fMxzh dkfyt mRrjh Hkkx d-ua&amp;2</t>
  </si>
  <si>
    <t xml:space="preserve"> fldUnzkckn ts0,l0fMxzh dkfyt mRrjh Hkkx d-ua&amp;3</t>
  </si>
  <si>
    <t xml:space="preserve"> fldUnzkckn ts0,l0fMxzh dkfyt mRrjh Hkkx d-ua&amp;4</t>
  </si>
  <si>
    <t xml:space="preserve"> fldUnzkckn ts0,l0fMxzh dkfyt mRrjh Hkkx d-ua&amp;5</t>
  </si>
  <si>
    <t>fldUnzkckn ts0,l0fMxzh dkfyt d-u&amp;1 nf{k.kh Hkkx</t>
  </si>
  <si>
    <t xml:space="preserve"> fldUnzkckn ts0,l0fMxzh dkfyt d-u&amp;2 nf{k.kh Hkkx</t>
  </si>
  <si>
    <t>fldUnzkckn Lokeh n;ky iq=h bUVj dkfyt  d-ua&amp;1</t>
  </si>
  <si>
    <t>fldUnzkckn Lokeh n;ky iq=h bUVj dkfyt d-ua&amp;2</t>
  </si>
  <si>
    <t>fldUnzkckn Lokeh n;ky iq=h bUVj dkfyt d-ua&amp;3</t>
  </si>
  <si>
    <t>fldUnzkckn Lokeh n;ky iq=h bUVj dkfyt d-ua&amp;4</t>
  </si>
  <si>
    <t>fldUnzkckn Lokeh n;ky iq=h bUVj dkfyt d-ua&amp;5</t>
  </si>
  <si>
    <t xml:space="preserve"> fldUnzkckn tSu bUVj dkfyt mRrjh Hkkx d0ua&amp;1</t>
  </si>
  <si>
    <t xml:space="preserve"> fldUnzkckn tSu bUVj dkfyt mRrjh Hkkx d0ua&amp;2</t>
  </si>
  <si>
    <t xml:space="preserve"> fldUnzkckn tSu bUVj dkfyt mRrjh Hkkx d0ua&amp;3</t>
  </si>
  <si>
    <t xml:space="preserve"> fldUnzkckn tSu bUVj dkfyt mRrjh Hkkx d0ua&amp;4</t>
  </si>
  <si>
    <t xml:space="preserve"> fldUnzkckn tSu bUVj dkfyt mRrjh Hkkx d0ua&amp;5</t>
  </si>
  <si>
    <t xml:space="preserve"> fldUnzkckn tSu bUVj dkfyt mRrjh Hkkx d0ua&amp;6</t>
  </si>
  <si>
    <t>fldUnzkckn tSu bUVj dkfyt nf{k.kh Hkkx d0ua&amp;1</t>
  </si>
  <si>
    <t>fldUnzkckn tSu bUVj dkfyt nf{k.kh Hkkx d0ua&amp;2</t>
  </si>
  <si>
    <t>fldUnzkckn tSu bUVj dkfyt nf{k.kh Hkkx d0ua&amp;3</t>
  </si>
  <si>
    <t>fldUnzkckn tSu bUVj dkfyt nf{k.kh Hkkx d0ua&amp;4</t>
  </si>
  <si>
    <t>fldUnzkckn tSu bUVj dkfyt nf{k.kh Hkkx d0ua&amp;5</t>
  </si>
  <si>
    <t>fldUnzkckn  uxj ikfydk dk;kZy; d0ua0&amp;1</t>
  </si>
  <si>
    <t>fldUnzkckn  uxj ikfydk dk;kZy; d0ua0&amp;2</t>
  </si>
  <si>
    <t>fldUnzkckn  uxj ikfydk dk;kZy; d0ua0&amp;3</t>
  </si>
  <si>
    <t>fldUnzkckn  uxj ikfydk dk;kZy; d0ua0&amp;4</t>
  </si>
  <si>
    <t>fldUnzkckn Mh0 Mh0 dckMh xYlZ bUVj dkyst d-u&amp;1</t>
  </si>
  <si>
    <t>fldUnzkckn Mh0 Mh0 dckMh xYlZ bUVj dkyst d-u&amp;2</t>
  </si>
  <si>
    <t xml:space="preserve"> fldUnzkckn uxj ikfydk ckfydk twfu;j gkbZ Ldwy d-u&amp;1</t>
  </si>
  <si>
    <t xml:space="preserve"> fldUnzkckn uxj ikfydk ckfydk twfu;j gkbZ Ldwy d-u&amp;2</t>
  </si>
  <si>
    <t xml:space="preserve"> fldUnzkckn uxj ikfydk ckfydk twfu;j gkbZ Ldwy d-u&amp;3</t>
  </si>
  <si>
    <t>fldUnzkckn izkbZejh ikB'kkyk ua-&amp;12 HkkfV;kokMk d-ua&amp;1</t>
  </si>
  <si>
    <t>fldUnzkckn izkbZejh ikB'kkyk ua-&amp;12 HkkfV;kokMk d-ua&amp;2</t>
  </si>
  <si>
    <t>fldUnzkckn uxjikfydk izk0Ldwy ua0 1 d0u0 1</t>
  </si>
  <si>
    <t>fldUnzkckn uxjikfydk izk0Ldwy ua0 1 d0u0 2</t>
  </si>
  <si>
    <t>fldUnzkckn uxjikfydk izk0Ldwy ua0 1 d0u0 3</t>
  </si>
  <si>
    <t>fldUnzkckn uxjikfydk izk0Ldwy ua0 11 d0u0 1</t>
  </si>
  <si>
    <t>fldUnzkckn uxjikfydk izk0Ldwy ua0 11 d0u0 2</t>
  </si>
  <si>
    <t>dkdk xYlZ fMxzh dkfyt fldUnzkckn d-ua-&amp;1</t>
  </si>
  <si>
    <t>dkdk xYlZ fMxzh dkfyt fldUnzkckn d-ua-&amp;2</t>
  </si>
  <si>
    <t>dkdk xYlZ fMxzh dkfyt fldUnzkckn d-ua-&amp;3</t>
  </si>
  <si>
    <t>dkdk xYlZ fMxzh dkfyt fldUnzkckn d-ua-&amp;4</t>
  </si>
  <si>
    <t>dkdk xYlZ fMxzh dkfyt fldUnzkckn d-ua-&amp;5</t>
  </si>
  <si>
    <t>dkdk xYlZ fMxzh dkfyt fldUnzkckn d-ua-&amp;6</t>
  </si>
  <si>
    <t>fldUnzkckn vxzlSu bUVj dkfyt eq[; Hkou d0ua0&amp;1</t>
  </si>
  <si>
    <t>fldUnzkckn vxzlSu bUVj dkfyt eq[; Hkou d0ua0&amp;2</t>
  </si>
  <si>
    <t>fldUnzkckn vxzlSu bUVj dkfyt eq[; Hkou d0ua0&amp;3</t>
  </si>
  <si>
    <t>fldUnzkckn vxzlSu bUVj dkfyt eq[; Hkou d0ua0&amp;4</t>
  </si>
  <si>
    <t>fldUnzkckn vxzlSu bUVj dkfyt eq[; Hkou d0ua0&amp;5</t>
  </si>
  <si>
    <t>fldUnzkckn vxzlSu bUVj dkfyt u;k Hkou d0ua&amp;1</t>
  </si>
  <si>
    <t>fldUnzkckn vxzlSu bUVj dkfyt u;k Hkou d0ua&amp;2</t>
  </si>
  <si>
    <t xml:space="preserve"> fldUnzkckn vxzlSu bUVj dkfyt Vadh okyk Hkou d-ua&amp;1</t>
  </si>
  <si>
    <t xml:space="preserve"> fldUnzkckn vxzlSu bUVj dkfyt Vadh okyk Hkou d-ua&amp;2</t>
  </si>
  <si>
    <t xml:space="preserve"> fldUnzkckn vxzlSu bUVj dkfyt Vadh okyk Hkou d-ua&amp;3</t>
  </si>
  <si>
    <t xml:space="preserve"> fldUnzkckn vxzlSu bUVj dkfyt Vadh okyk Hkou d-ua&amp;4</t>
  </si>
  <si>
    <t xml:space="preserve"> fldUnzkckn vxzlSu ckfydk b0dk0 d0u0 1 </t>
  </si>
  <si>
    <t xml:space="preserve"> fldUnzkckn vxzlSu ckfydk b0dk0 d0u0 2</t>
  </si>
  <si>
    <t xml:space="preserve"> fldUnzkckn vxzlSu ckfydk b0dk0 d0u0 3</t>
  </si>
  <si>
    <t xml:space="preserve"> fldUnzkckn vxzlSu ckfydk b0dk0 d0u0 4</t>
  </si>
  <si>
    <t xml:space="preserve"> fldUnzkckn vxzlSu ckfydk b0dk0 d0u0 5</t>
  </si>
  <si>
    <t xml:space="preserve">u;k xkao  izkbZejh Ldwy d-u&amp;1 </t>
  </si>
  <si>
    <t>u;k xkao  izkbZejh Ldwy d-u&amp;2</t>
  </si>
  <si>
    <t xml:space="preserve">lq[kYkkyiqj  izkbZejh Ldwy </t>
  </si>
  <si>
    <t xml:space="preserve">xQwjx&lt;h  izkbZejh Ldwy </t>
  </si>
  <si>
    <t>eqdUnx&lt;h izkbZejh Ldwy</t>
  </si>
  <si>
    <t>fldUnzkckn [k.M fodkl dk;kZy; d0u0&amp;1</t>
  </si>
  <si>
    <t>fldUnzkckn [k.M fodkl dk;kZy; d0u0&amp;2</t>
  </si>
  <si>
    <t>fldUnzkckn [k.M fodkl dk;kZy; d0u0&amp;3</t>
  </si>
  <si>
    <t>fldUnzkckn [k.M fodkl dk;kZy; d0u0&amp;4</t>
  </si>
  <si>
    <t>fldUnzkckn [k.M fodkl dk;kZy; d0u0&amp;5</t>
  </si>
  <si>
    <t>fdlku lsok lgdkjh lfefr fldUnzkckn d-ua-&amp;1</t>
  </si>
  <si>
    <t>fdlku lsok lgdkjh lfefr fldUnzkckn d-ua-&amp;2</t>
  </si>
  <si>
    <t>n;korh nhoku flag 'kqDy ljLorh fo|k efUnj b.Vj dkfyt d-ua-&amp;1</t>
  </si>
  <si>
    <t>n;korh nhoku flag 'kqDy ljLorh fo|k efUnj b.Vj dkfyt d-ua-&amp;2</t>
  </si>
  <si>
    <t>n;korh nhoku flag 'kqDy ljLorh fo|k efUnj b.Vj dkfyt d-ua-&amp;3</t>
  </si>
  <si>
    <t>n;korh nhoku flag 'kqDy ljLorh fo|k efUnj b.Vj dkfyt d-ua-&amp;4</t>
  </si>
  <si>
    <t>ljLorh fo|k efUnj gksyh esyk jksM fldUnzkckn d-ua-&amp;1</t>
  </si>
  <si>
    <t>ljLorh fo|k efUnj gksyh esyk jksM fldUnzkckn d-ua-&amp;2</t>
  </si>
  <si>
    <t>ljLorh fo|k efUnj gksyh esyk jksM fldUnzkckn d-ua-&amp;3</t>
  </si>
  <si>
    <t>ljLorh fo|k efUnj gksyh esyk jksM fldUnzkckn d-ua-&amp;4</t>
  </si>
  <si>
    <t>ljLorh f'k'kq efUnj gksyh esyk jksM fldUnzkckn d0u0 1</t>
  </si>
  <si>
    <t>ljLorh f'k'kq efUnj gksyh esyk jksM fldUnzkckn d0u0 2</t>
  </si>
  <si>
    <t>futkeiqj izkbZejh Ldwy d0ua0&amp;1</t>
  </si>
  <si>
    <t>futkeiqj izkbZejh Ldwy d0ua0&amp;2</t>
  </si>
  <si>
    <t xml:space="preserve"> egrkcuxj izkbZejh Ldwy </t>
  </si>
  <si>
    <t>elkSrk  izkbZejh Ldwy d-ua-&amp;1</t>
  </si>
  <si>
    <t>elkSrk  izkbZejh Ldwy d-ua-&amp;2</t>
  </si>
  <si>
    <t>egsik tkxhj izkbZejh Ldwy d0ua0&amp;1</t>
  </si>
  <si>
    <t>egsik tkxhj izkbZejh Ldwy d0ua0&amp;2</t>
  </si>
  <si>
    <t>egsik tkxhj twfu;j gkbZLdwy</t>
  </si>
  <si>
    <t xml:space="preserve">HkkSa[ksMk izkbZejh Ldwy </t>
  </si>
  <si>
    <t>eYgiqj izkbZejh Ldwy</t>
  </si>
  <si>
    <t>tkSyh izkbZejh Ldwy d ua0&amp;1</t>
  </si>
  <si>
    <t>tkSyh izkbZejh Ldwy d ua0&amp;2</t>
  </si>
  <si>
    <t>cqVSuk izkbZejh Ldwy d0ua01</t>
  </si>
  <si>
    <t>cqVSuk izkbZejh Ldwy d0ua02</t>
  </si>
  <si>
    <t>izkux&lt; izkbZejh Ldwy ua0&amp;1</t>
  </si>
  <si>
    <t>izkux&lt; izkbZejh Ldwy ua0&amp;2</t>
  </si>
  <si>
    <t>izkux&lt; izkbZejh Ldwy ua0&amp;3</t>
  </si>
  <si>
    <t>gehniqj izkbZejh Ldwy</t>
  </si>
  <si>
    <t>tqusniqj izkbZejh Ldwy d0ua0 1</t>
  </si>
  <si>
    <t>tqusniqj izkbZejh Ldwy d0ua0 2</t>
  </si>
  <si>
    <t xml:space="preserve">ljk;nwYgk izkbZejh Ldwy </t>
  </si>
  <si>
    <t xml:space="preserve"> ljk; txUukFk izkbZejh Ldwy</t>
  </si>
  <si>
    <t>vk&lt;k izkbZejh Ldwy d-ua&amp;1</t>
  </si>
  <si>
    <t>vk&lt;k izkbZejh Ldwy d-ua&amp;2</t>
  </si>
  <si>
    <t>pUns: twfu;j gkbZ Ldwy d-ua&amp;1</t>
  </si>
  <si>
    <t>pUns: twfu;j gkbZ Ldwy d-ua&amp;2</t>
  </si>
  <si>
    <t>pUns: twfu;j gkbZ Ldwy d-ua&amp;3</t>
  </si>
  <si>
    <t xml:space="preserve">vehuxj izk0Ldwy </t>
  </si>
  <si>
    <t xml:space="preserve">buk;rx&lt;h  izkbZejh Ldwy </t>
  </si>
  <si>
    <t>ljk; ?kklh e?kkuUn bUVj dkfyt d-ua&amp;1</t>
  </si>
  <si>
    <t>ljk; ?kklh e?kkuUn bUVj dkfyt d-ua&amp;2</t>
  </si>
  <si>
    <t>ljk; ?kklh e?kkuUn bUVj dkfyt d-ua&amp;3</t>
  </si>
  <si>
    <t>pUnzkoyh izkbZejh Ldwy d-u&amp;1</t>
  </si>
  <si>
    <t>pUnzkoyh izkbZejh Ldwy] d- u-&amp;2</t>
  </si>
  <si>
    <t>HkVkSyk izkbZejh Ldwy</t>
  </si>
  <si>
    <t xml:space="preserve"> cks&lt;k izkbZejh Ldwy </t>
  </si>
  <si>
    <t xml:space="preserve"> rkyciqj mQZ dudiqj izkbZejh Ldwy d-ua-&amp;1</t>
  </si>
  <si>
    <t xml:space="preserve"> rkyciqj mQZ dudiqj izkbZejh Ldwy d-ua-&amp;2</t>
  </si>
  <si>
    <t xml:space="preserve"> yqgkdj izkbZejh Ldwy </t>
  </si>
  <si>
    <t xml:space="preserve"> uxyk cMkSnk izkbZejh Ldwy </t>
  </si>
  <si>
    <t>cMkSnk dju flag gk;j lSdUMjh Ldwy d0ua0&amp;1</t>
  </si>
  <si>
    <t>cMkSnk dju flag gk;j lSdUMjh Ldwy d0ua0&amp;2</t>
  </si>
  <si>
    <t>fQjkstiqj izkbZejh Ldwy</t>
  </si>
  <si>
    <t xml:space="preserve"> tkfgniqj izkbZejh Ldwy d0u0 1</t>
  </si>
  <si>
    <t>tkfgniqj izkbZejh Ldwy d0u0 2</t>
  </si>
  <si>
    <t xml:space="preserve"> nqYgSjk izkbZejh Ldwy </t>
  </si>
  <si>
    <t xml:space="preserve"> uwjiqj izkbZejh Ldwy </t>
  </si>
  <si>
    <t xml:space="preserve"> vfy;kckn izkbZejh Ldwy </t>
  </si>
  <si>
    <t>cSj ckn'kkgiqj vklq HkkVh bUVj dkfyt d-ua&amp;1</t>
  </si>
  <si>
    <t>cSj ckn'kkgiqj vklq HkkVh bUVj dkfyt d-ua&amp;2</t>
  </si>
  <si>
    <t>cSj ckn'kkgiqj vklq HkkVh bUVj dkfyt d-ua&amp;3</t>
  </si>
  <si>
    <t>cSj ckn'kkgiqj vklq HkkVh bUVj dkfyt d-ua&amp;4</t>
  </si>
  <si>
    <t>cSj ckn'kkgiqj vklq HkkVh bUVj dkfyt d-ua&amp;5</t>
  </si>
  <si>
    <t xml:space="preserve"> ckn'kkgiqj izkbZejh Ldwy</t>
  </si>
  <si>
    <t>HkkSjk dykorh NqVVuyky dkdk fMxzh dkfyt d0ua0 1</t>
  </si>
  <si>
    <t>HkkSjk dykorh NqVVuyky dkdk fMxzh dkfyt d0ua0 2</t>
  </si>
  <si>
    <t>HkkSjk dykorh NqVVuyky dkdk fMxzh dkfyt d0ua0 3</t>
  </si>
  <si>
    <t xml:space="preserve">jksuh mQZ lykSuh izkbZejh Ldwy </t>
  </si>
  <si>
    <t xml:space="preserve">edjUniqj mQZ Qrgiqj  izkbZejh Ldwy </t>
  </si>
  <si>
    <t xml:space="preserve"> fgjukSVh izkbZejh Ldwy d-ua-&amp;1 </t>
  </si>
  <si>
    <t xml:space="preserve"> fgjukSVh izkbZejh Ldwy d-ua-&amp;2</t>
  </si>
  <si>
    <t>vykSnk tkxhj izkbZejh Ldwy d-u-a&amp;1</t>
  </si>
  <si>
    <t>vykSnk tkxhj izkbZejh Ldwy d-u-a&amp;2</t>
  </si>
  <si>
    <t xml:space="preserve">xMkuk  izkbZejh Ldwy </t>
  </si>
  <si>
    <t xml:space="preserve"> vjfu;k dekyiqj izkbZejh Ldwy </t>
  </si>
  <si>
    <t xml:space="preserve">ekSgEeniqj dsgjh izkbZejh Ldwy </t>
  </si>
  <si>
    <t xml:space="preserve">gluiqj cdlqvk izkbZejh Ldwy </t>
  </si>
  <si>
    <t>lquisMk twfu;j gkbZ Ldwy d0ua0&amp;1</t>
  </si>
  <si>
    <t>lquisMk twfu;j gkbZ Ldwy d0ua0&amp;2</t>
  </si>
  <si>
    <t xml:space="preserve">vkteiqj gqlSuiqj twfu;j gkbZ Ldwy </t>
  </si>
  <si>
    <t xml:space="preserve">vyhiqjk izkbZejh Ldwy </t>
  </si>
  <si>
    <t xml:space="preserve"> vehiqj ckaxj izkbZejh Ldwy </t>
  </si>
  <si>
    <t>cSykuk  izkbZejh Ldwy d0-u0&amp;1</t>
  </si>
  <si>
    <t xml:space="preserve"> cSykuk izkbZejh Ldwy d0-u0&amp;2</t>
  </si>
  <si>
    <t xml:space="preserve">jokuh cqtZ  izkbZejh Ldwy </t>
  </si>
  <si>
    <t xml:space="preserve">pkSdh izkbZejh Ldwy </t>
  </si>
  <si>
    <t xml:space="preserve">[oktiqj vehukckn mQZ Qdhjx&lt;h izkbZejh Ldwy </t>
  </si>
  <si>
    <t xml:space="preserve">tSriqj  izkbZejh Ldwy </t>
  </si>
  <si>
    <t>&gt;k&gt;j rkjk pUnz prqosZnh b.Vj dkfyt d0ua0&amp;1</t>
  </si>
  <si>
    <t>&gt;k&gt;j rkjk pUnz prqosZnh b.Vj dkfyt d0ua0&amp;2</t>
  </si>
  <si>
    <t>&gt;k&gt;j rkjk pUnz prqosZnh b.Vj dkfyt d0ua0&amp;3</t>
  </si>
  <si>
    <t>&gt;k&gt;j rkjk pUnz prqosZnh b.Vj dkfyt d0ua0&amp;4</t>
  </si>
  <si>
    <t>&gt;k&gt;j rkjk pUnz prqosZnh b.Vj dkfyt d0ua0&amp;5</t>
  </si>
  <si>
    <t>&gt;k&gt;j rkjk pUnz prqosZnh b.Vj dkfyt d0ua0&amp;6</t>
  </si>
  <si>
    <t>&gt;k&gt;j izkbZejh Ldwy d0 ua0&amp;1</t>
  </si>
  <si>
    <t>&gt;k&gt;j izkbZejh Ldwy da0 ua0&amp;2</t>
  </si>
  <si>
    <t>&gt;k&gt;j izkbZejh Ldwy d0 ua0&amp;3</t>
  </si>
  <si>
    <t>buk;riqj  gk;j lSdUMjh Ldwy d-ua-&amp;1</t>
  </si>
  <si>
    <t>buk;riqj  gk;j lSdUMjh Ldwy d-ua-&amp;2</t>
  </si>
  <si>
    <t xml:space="preserve"> dqVok;k izkbZejh  Ldwy </t>
  </si>
  <si>
    <t xml:space="preserve"> lwcjk izkbZejh Ldwy </t>
  </si>
  <si>
    <t xml:space="preserve">vt; uxj mQZ tkQjiqj cqgw izkbZejh Ldwy </t>
  </si>
  <si>
    <t>ddksM bUVj dkfyt d0 ua0&amp;1</t>
  </si>
  <si>
    <t xml:space="preserve"> ddksM bUVj dkfyt d0 ua0&amp;2</t>
  </si>
  <si>
    <t xml:space="preserve"> ddksM bUVj dkfyt d0 ua0&amp;3</t>
  </si>
  <si>
    <t xml:space="preserve"> ddksM bUVj dkfyt d0 ua0&amp;4</t>
  </si>
  <si>
    <t xml:space="preserve"> ddksM bUVj dkfyt d0 ua0&amp;5</t>
  </si>
  <si>
    <t xml:space="preserve"> ddksM bUVj dkfyt d0 ua0&amp;6</t>
  </si>
  <si>
    <t xml:space="preserve"> ddksM bUVj dkfyt d0 ua0&amp;7</t>
  </si>
  <si>
    <t>ddksM izkbZejh Ldwy d0 ua0&amp;1</t>
  </si>
  <si>
    <t xml:space="preserve"> ddksM izkbZejh Ldwy d0 ua0&amp;2</t>
  </si>
  <si>
    <t xml:space="preserve"> ddksM chtxksnke d0 ua0&amp;1</t>
  </si>
  <si>
    <t>ddksM  chtxksnke d0 ua0&amp;2</t>
  </si>
  <si>
    <t>lSneiqj izkbZejh Ldwy</t>
  </si>
  <si>
    <t>Hkksiriqj izkbZejh Ldwy</t>
  </si>
  <si>
    <t xml:space="preserve"> lySeiqj tkV izkbZejh Ldwy d0ua0&amp;1</t>
  </si>
  <si>
    <t>lySeiqj tkV izkbZejh Ldwy d0ua0&amp;2</t>
  </si>
  <si>
    <t>lySeiqj tkV izkbZejh Ldwy d0ua0&amp;3</t>
  </si>
  <si>
    <t xml:space="preserve">uxyk xksfoUniqj izkbZejh Ldwy </t>
  </si>
  <si>
    <t>vjkSMk izkbZejh Ldwy d0ua0 1</t>
  </si>
  <si>
    <t>vjkSMk izkbZejh Ldwy d0ua0 2</t>
  </si>
  <si>
    <t xml:space="preserve"> /kukSjk bUVj dkfyt d0ua0&amp;1</t>
  </si>
  <si>
    <t>/kukSjk bUVj dkfyt d0ua0&amp;2</t>
  </si>
  <si>
    <t>/kukSjk bUVj dkfyt d0ua0&amp;3</t>
  </si>
  <si>
    <t>/kukSjk bUVj dkfyt d0ua0&amp;4</t>
  </si>
  <si>
    <t>/kukSjk bUVj dkfyt d0ua0&amp;5</t>
  </si>
  <si>
    <t>/kukSjk bUVj dkfyt d0ua0&amp;6</t>
  </si>
  <si>
    <t xml:space="preserve">Qrgiqj tknksa izkbZejh Ldwy </t>
  </si>
  <si>
    <t xml:space="preserve"> fuBkjh twfu;j gkbZ Ldwy d0ua0&amp;1</t>
  </si>
  <si>
    <t xml:space="preserve"> fuBkjh twfu;j gkbZ Ldwy d0ua0&amp;2</t>
  </si>
  <si>
    <t>jlwyiqj fjBkSjh izkbZejh Ldwy d0ua0&amp;1</t>
  </si>
  <si>
    <t>jlwyiqj fjBkSjh izkbZejh Ldwy d0ua0&amp;2</t>
  </si>
  <si>
    <t>jlwyiqj fjBkSjh izkbZejh Ldwy d0ua0&amp;3</t>
  </si>
  <si>
    <t xml:space="preserve"> 'kkgiqj dyka izkbZejh Ldwy </t>
  </si>
  <si>
    <t>dksanw izkbZejh Ldwy&amp;1</t>
  </si>
  <si>
    <t>dksanw izkbZejh Ldwy&amp;2</t>
  </si>
  <si>
    <t xml:space="preserve">fojkSMh rktiqj izkbZejh Ldwy d0u0 1 </t>
  </si>
  <si>
    <t xml:space="preserve">fojkSMh rktiqj izkbZejh Ldwy d0u0 2 </t>
  </si>
  <si>
    <t xml:space="preserve"> fojkSMh Qksykniqj iaapk;r ?kj</t>
  </si>
  <si>
    <t xml:space="preserve"> uoknk izkbZejh Ldwy </t>
  </si>
  <si>
    <t xml:space="preserve"> /keSMk ukjk izkbZejh Ldwy d0ua0&amp;1</t>
  </si>
  <si>
    <t>/keSMk ukjk izkbZejh Ldwy d0ua0&amp;2</t>
  </si>
  <si>
    <t xml:space="preserve"> vxjkbZ izkbZejh Ldwy d-ua-&amp;1</t>
  </si>
  <si>
    <t xml:space="preserve"> vxjkbZ izkbZejh Ldwy d-ua-&amp;2</t>
  </si>
  <si>
    <t>:iokl iapxkbZ izkbZejh Ldwy d-ua-&amp;1</t>
  </si>
  <si>
    <t>:iokl iapxkbZ izkbZejh Ldwy d-ua-&amp;2</t>
  </si>
  <si>
    <t xml:space="preserve"> ppksbZ izkbZejh Ldwy </t>
  </si>
  <si>
    <t xml:space="preserve"> cgksMkckl izkbZejh Ldwy </t>
  </si>
  <si>
    <t xml:space="preserve"> pksyk izkbZejh Ldwy d-u&amp;1</t>
  </si>
  <si>
    <t>pksyk izkbZejh Ldwy d-u-&amp;2</t>
  </si>
  <si>
    <t>capkoyh pqUuh yky bUVj dkfyt d0ua0&amp;1</t>
  </si>
  <si>
    <t>capkoyh pqUuh yky bUVj dkfyt d0ua0&amp;2</t>
  </si>
  <si>
    <t>capkoyh pqUuh yky bUVj dkfyt d0ua0&amp;3</t>
  </si>
  <si>
    <t xml:space="preserve">txriqj mQZ lqYrkuiqj izkbZejh Ldwy </t>
  </si>
  <si>
    <t>[okliqj izkbZejh Ldwy d-u-&amp;1</t>
  </si>
  <si>
    <t>[okliqj izkbZejh Ldwy d-u-&amp;2</t>
  </si>
  <si>
    <t>xkaxjkSy izkbZejh Ldwy d-ua&amp;1</t>
  </si>
  <si>
    <t>xkaxjkSy izkbZejh Ldwy d-ua0&amp;2</t>
  </si>
  <si>
    <t>xkaxjkSy izkbZejh Ldwy d-ua0&amp;3</t>
  </si>
  <si>
    <t xml:space="preserve">uxyk oa'kh izkbZejh Ldwy </t>
  </si>
  <si>
    <t>uxyk bykgkckn izkbZejh Ldwy</t>
  </si>
  <si>
    <t xml:space="preserve">  'ksjiqj etjk xkaxjkSy izkbZejh Ldwy </t>
  </si>
  <si>
    <t xml:space="preserve">nkmniqj izkbZejh  Ldwy </t>
  </si>
  <si>
    <t xml:space="preserve"> dknjiqj  izkbZejh  Ldwy </t>
  </si>
  <si>
    <t xml:space="preserve"> [kkuiqj fdlku mPprj ek/;fed fo|ky; d-ua-&amp;1</t>
  </si>
  <si>
    <t xml:space="preserve"> [kkuiqj fdlku mPprj ek/;fed fo|ky; d-ua-&amp;2</t>
  </si>
  <si>
    <t xml:space="preserve"> 'ks[kiqj eke izkbZejh Ldwy</t>
  </si>
  <si>
    <t>euohj flag</t>
  </si>
  <si>
    <t>jkgqy ;kno</t>
  </si>
  <si>
    <t>y{eh jkt</t>
  </si>
  <si>
    <t>lyhe v[krj [kka</t>
  </si>
  <si>
    <t>vt; dqekj</t>
  </si>
  <si>
    <t>vt; dqekj 'kekZZ</t>
  </si>
  <si>
    <t>vfer flag rksej</t>
  </si>
  <si>
    <t>n'kZu 'kekZ</t>
  </si>
  <si>
    <t>fny'kkn vgen</t>
  </si>
  <si>
    <t>jktw Bkdqj</t>
  </si>
  <si>
    <t>ccyw</t>
  </si>
  <si>
    <t>fo/kkulHkk fuokZpu {ks= esa dqy ernkrkvksa dh la[;k- 397807</t>
  </si>
  <si>
    <t>erns; LFky la0</t>
  </si>
  <si>
    <t>daVªksy ;wfuV dk dzekad</t>
  </si>
  <si>
    <t>ECUED29544</t>
  </si>
  <si>
    <t>ECUEC64240</t>
  </si>
  <si>
    <t>ECUEC52847</t>
  </si>
  <si>
    <t>ECUEC57886</t>
  </si>
  <si>
    <t>ECUEC51183</t>
  </si>
  <si>
    <t>ECUEC64330</t>
  </si>
  <si>
    <t>ECUEC57577</t>
  </si>
  <si>
    <t>ECUEC64629</t>
  </si>
  <si>
    <t>ECUEC64669</t>
  </si>
  <si>
    <t>ECUEC67556</t>
  </si>
  <si>
    <t>ECUEC51902</t>
  </si>
  <si>
    <t>ECUEC64790</t>
  </si>
  <si>
    <t>ECUEC60441</t>
  </si>
  <si>
    <t>ECUEC67625</t>
  </si>
  <si>
    <t>ECUEC64718</t>
  </si>
  <si>
    <t>ECUEC57643</t>
  </si>
  <si>
    <t>ECUEC57935</t>
  </si>
  <si>
    <t>ECUEC67180</t>
  </si>
  <si>
    <t>ECUEC57289</t>
  </si>
  <si>
    <t>ECUEC54284</t>
  </si>
  <si>
    <t>ECUED21486</t>
  </si>
  <si>
    <t>ECUEC67774</t>
  </si>
  <si>
    <t>ECUEC48866</t>
  </si>
  <si>
    <t>ECUEC51355</t>
  </si>
  <si>
    <t>ECUEC57759</t>
  </si>
  <si>
    <t>ECUEC64570</t>
  </si>
  <si>
    <t>ECUEC51140</t>
  </si>
  <si>
    <t>ECUEC57058</t>
  </si>
  <si>
    <t>ECUEC57429</t>
  </si>
  <si>
    <t>ECUEC64461</t>
  </si>
  <si>
    <t>ECUEC64242</t>
  </si>
  <si>
    <t>ECUEC57867</t>
  </si>
  <si>
    <t>ECUEC47938</t>
  </si>
  <si>
    <t>ECUEC53960</t>
  </si>
  <si>
    <t>ECUEC51884</t>
  </si>
  <si>
    <t>ECUEC50064</t>
  </si>
  <si>
    <t>ECUEC57178</t>
  </si>
  <si>
    <t>ECUED14258</t>
  </si>
  <si>
    <t>ECUEC98388</t>
  </si>
  <si>
    <t>ECUED21809</t>
  </si>
  <si>
    <t>ECUEC57567</t>
  </si>
  <si>
    <t>ECUEC57297</t>
  </si>
  <si>
    <t>ECUEC50673</t>
  </si>
  <si>
    <t>ECUEC99007</t>
  </si>
  <si>
    <t>ECUEC55794</t>
  </si>
  <si>
    <t>ECUEC64839</t>
  </si>
  <si>
    <t>ECUEC50624</t>
  </si>
  <si>
    <t>ECUEC60741</t>
  </si>
  <si>
    <t>ECUEC48655</t>
  </si>
  <si>
    <t>ECUEC54259</t>
  </si>
  <si>
    <t>ECUEC64961</t>
  </si>
  <si>
    <t>ECUEC64716</t>
  </si>
  <si>
    <t>ECUED22273</t>
  </si>
  <si>
    <t>ECUEC64702</t>
  </si>
  <si>
    <t>ECUEC50237</t>
  </si>
  <si>
    <t>ECUEC67331</t>
  </si>
  <si>
    <t>ECUEC64355</t>
  </si>
  <si>
    <t>ECUEC50447</t>
  </si>
  <si>
    <t>ECUED23454</t>
  </si>
  <si>
    <t>ECUEC57225</t>
  </si>
  <si>
    <t>ECUEC64757</t>
  </si>
  <si>
    <t>ECUEC63789</t>
  </si>
  <si>
    <t>ECUEC67408</t>
  </si>
  <si>
    <t xml:space="preserve">ECUED29149
</t>
  </si>
  <si>
    <t>ECUEC51904</t>
  </si>
  <si>
    <t>ECUEC60105</t>
  </si>
  <si>
    <t>ECUEC52549</t>
  </si>
  <si>
    <t>ECUEC67909</t>
  </si>
  <si>
    <t>ECUEC64732</t>
  </si>
  <si>
    <t>ECUEC64252</t>
  </si>
  <si>
    <t>ECUEC67125</t>
  </si>
  <si>
    <t>ECUEC57795</t>
  </si>
  <si>
    <t>ECUEC47827</t>
  </si>
  <si>
    <t>ECUEC50087</t>
  </si>
  <si>
    <t>ECUEC67504</t>
  </si>
  <si>
    <t>ECUEC60070</t>
  </si>
  <si>
    <t>ECUEC57938</t>
  </si>
  <si>
    <t>ECUEC57505</t>
  </si>
  <si>
    <t>ECUEC64592</t>
  </si>
  <si>
    <t>ECUEC64624</t>
  </si>
  <si>
    <t>ECUEC67463</t>
  </si>
  <si>
    <t>ECUEC50246</t>
  </si>
  <si>
    <t>ECUEC64335</t>
  </si>
  <si>
    <t xml:space="preserve">
ECUEC50800</t>
  </si>
  <si>
    <t xml:space="preserve">
ECUEC64174</t>
  </si>
  <si>
    <t>ECUEC64625</t>
  </si>
  <si>
    <t>ECUEC54532</t>
  </si>
  <si>
    <t>ECUEC51602</t>
  </si>
  <si>
    <t>ECUEC64742</t>
  </si>
  <si>
    <t>ECUEC64386</t>
  </si>
  <si>
    <t>ECUEC50223</t>
  </si>
  <si>
    <t>ECUEC64230</t>
  </si>
  <si>
    <t>ECUEC57883</t>
  </si>
  <si>
    <t>ECUED12254</t>
  </si>
  <si>
    <t>ECUEC51702</t>
  </si>
  <si>
    <t>ECUEC50429</t>
  </si>
  <si>
    <t>ECUEC64957</t>
  </si>
  <si>
    <t>ECUEC57163</t>
  </si>
  <si>
    <t>ECUEC67502</t>
  </si>
  <si>
    <t>ECUEC63888</t>
  </si>
  <si>
    <t>ECUED02101</t>
  </si>
  <si>
    <t>ECUEC67456</t>
  </si>
  <si>
    <t>ECUED24138</t>
  </si>
  <si>
    <t>ECUEC57426</t>
  </si>
  <si>
    <t>ECUEC57993</t>
  </si>
  <si>
    <t>ECUEC52991</t>
  </si>
  <si>
    <t>ECUEC63859</t>
  </si>
  <si>
    <t>ECUEC67668</t>
  </si>
  <si>
    <t>ECUEC67678</t>
  </si>
  <si>
    <t>ECUEC50170</t>
  </si>
  <si>
    <t>ECUEC54579</t>
  </si>
  <si>
    <t>ECUEC52431</t>
  </si>
  <si>
    <t>ECUEC57502</t>
  </si>
  <si>
    <t>ECUEC51550</t>
  </si>
  <si>
    <t>ECUEC57698</t>
  </si>
  <si>
    <t>ECUEC60514</t>
  </si>
  <si>
    <t>ECUED21253</t>
  </si>
  <si>
    <t>ECUEC60524</t>
  </si>
  <si>
    <t>ECUEC67407</t>
  </si>
  <si>
    <t>ECUEC60062</t>
  </si>
  <si>
    <t>ECUEC57652</t>
  </si>
  <si>
    <t>ECUED25812</t>
  </si>
  <si>
    <t>ECUEC47988</t>
  </si>
  <si>
    <t>ECUEC57590</t>
  </si>
  <si>
    <t>ECUED23799</t>
  </si>
  <si>
    <t>ECUEC47912</t>
  </si>
  <si>
    <t>ECUEC50598</t>
  </si>
  <si>
    <t>ECUEC57424</t>
  </si>
  <si>
    <t>ECUEC57739</t>
  </si>
  <si>
    <t>ECUEC64634</t>
  </si>
  <si>
    <t>ECUEC64357</t>
  </si>
  <si>
    <t>ECUEC64070</t>
  </si>
  <si>
    <t>ECUEC50122</t>
  </si>
  <si>
    <t>ECUEC53760</t>
  </si>
  <si>
    <t>ECUEC57820</t>
  </si>
  <si>
    <t>ECUED21469</t>
  </si>
  <si>
    <t>ECUEC54571</t>
  </si>
  <si>
    <t>ECUEC50155</t>
  </si>
  <si>
    <t>ECUEC63814</t>
  </si>
  <si>
    <t>ECUEC54366</t>
  </si>
  <si>
    <t>ECUEC57675</t>
  </si>
  <si>
    <t>ECUEC50225</t>
  </si>
  <si>
    <t>ECUEC47949</t>
  </si>
  <si>
    <t>ECUED11571</t>
  </si>
  <si>
    <t>ECUEC60410</t>
  </si>
  <si>
    <t>ECUEC50691</t>
  </si>
  <si>
    <t>ECUEC50481</t>
  </si>
  <si>
    <t>ECUED21424</t>
  </si>
  <si>
    <t>ECUEC51559</t>
  </si>
  <si>
    <t>ECUEC57450</t>
  </si>
  <si>
    <t>ECUEC59989</t>
  </si>
  <si>
    <t>ECUEC64692</t>
  </si>
  <si>
    <t>ECUEC59952</t>
  </si>
  <si>
    <t>ECUEC63064</t>
  </si>
  <si>
    <t>ECUEC67759</t>
  </si>
  <si>
    <t>ECUED14045</t>
  </si>
  <si>
    <t>ECUED24195</t>
  </si>
  <si>
    <t>ECUEC50541</t>
  </si>
  <si>
    <t>ECUEC57578</t>
  </si>
  <si>
    <t>ECUEC57839</t>
  </si>
  <si>
    <t>ECUEC60568</t>
  </si>
  <si>
    <t>ECUEC64566</t>
  </si>
  <si>
    <t>ECUEC57483</t>
  </si>
  <si>
    <t>ECUEC64546</t>
  </si>
  <si>
    <t xml:space="preserve">
ECUEC55334</t>
  </si>
  <si>
    <t xml:space="preserve">
ECUEC53874</t>
  </si>
  <si>
    <t>ECUEC47914</t>
  </si>
  <si>
    <t>ECUEC60157</t>
  </si>
  <si>
    <t>ECUEC52363</t>
  </si>
  <si>
    <t>ECUEC63596</t>
  </si>
  <si>
    <t>ECUEC51278</t>
  </si>
  <si>
    <t>ECUEC53730</t>
  </si>
  <si>
    <t>ECUEC57895</t>
  </si>
  <si>
    <t>ECUEC54526</t>
  </si>
  <si>
    <t>ECUEC64759</t>
  </si>
  <si>
    <t>ECUEC57438</t>
  </si>
  <si>
    <t>ECUEC54425</t>
  </si>
  <si>
    <t>ECUEC48582</t>
  </si>
  <si>
    <t>ECUEC47873</t>
  </si>
  <si>
    <t>ECUEC64236</t>
  </si>
  <si>
    <t>ECUEC50613</t>
  </si>
  <si>
    <t>ECUEC54414</t>
  </si>
  <si>
    <t>ECUEC55593</t>
  </si>
  <si>
    <t>ECUEC54765</t>
  </si>
  <si>
    <t>ECUEC57525</t>
  </si>
  <si>
    <t>ECUEC47872</t>
  </si>
  <si>
    <t>ECUEC48978</t>
  </si>
  <si>
    <t>ECUEC97810</t>
  </si>
  <si>
    <t>ECUEC57932</t>
  </si>
  <si>
    <t>ECUEC47418</t>
  </si>
  <si>
    <t>ECUEC51128</t>
  </si>
  <si>
    <t>ECUEC67748</t>
  </si>
  <si>
    <t>ECUEC64854</t>
  </si>
  <si>
    <t>ECUED12136</t>
  </si>
  <si>
    <t>ECUEC57944</t>
  </si>
  <si>
    <t>ECUEC51620</t>
  </si>
  <si>
    <t>ECUED12152</t>
  </si>
  <si>
    <t>ECUEC67949</t>
  </si>
  <si>
    <t>ECUEC64903</t>
  </si>
  <si>
    <t>ECUEC60614</t>
  </si>
  <si>
    <t>ECUED25753</t>
  </si>
  <si>
    <t>ECUEC64632</t>
  </si>
  <si>
    <t>ECUEC60494</t>
  </si>
  <si>
    <t>ECUEC50422</t>
  </si>
  <si>
    <t>ECUEC64964</t>
  </si>
  <si>
    <t>ECUEC67799</t>
  </si>
  <si>
    <t>ECUEC51379</t>
  </si>
  <si>
    <t>ECUEC64980</t>
  </si>
  <si>
    <t>ECUEC48878</t>
  </si>
  <si>
    <t>ECUEC64930</t>
  </si>
  <si>
    <t>ECUEC57696</t>
  </si>
  <si>
    <t>ECUEC50396</t>
  </si>
  <si>
    <t>ECUED24545</t>
  </si>
  <si>
    <t>ECUEC98811</t>
  </si>
  <si>
    <t>ECUEC55905</t>
  </si>
  <si>
    <t>ECUED23064</t>
  </si>
  <si>
    <t>ECUEC67998</t>
  </si>
  <si>
    <t>ECUEC60802</t>
  </si>
  <si>
    <t>ECUEC64474</t>
  </si>
  <si>
    <t>ECUEC67794</t>
  </si>
  <si>
    <t>ECUEC67480</t>
  </si>
  <si>
    <t>ECUED23861</t>
  </si>
  <si>
    <t>ECUED24516</t>
  </si>
  <si>
    <t>ECUEC64921</t>
  </si>
  <si>
    <t xml:space="preserve">
ECUEC55735</t>
  </si>
  <si>
    <t xml:space="preserve">
ECUEC51209</t>
  </si>
  <si>
    <t>ECUED11340</t>
  </si>
  <si>
    <t>ECUEC57677</t>
  </si>
  <si>
    <t>ECUEC64359</t>
  </si>
  <si>
    <t>ECUEC65059</t>
  </si>
  <si>
    <t>ECUEC47740</t>
  </si>
  <si>
    <t>ECUEC52588</t>
  </si>
  <si>
    <t>ECUEC50220</t>
  </si>
  <si>
    <t>ECUEC57713</t>
  </si>
  <si>
    <t>ECUEC57831</t>
  </si>
  <si>
    <t>ECUED00162</t>
  </si>
  <si>
    <t>ECUEC50811</t>
  </si>
  <si>
    <t>ECUEC50097</t>
  </si>
  <si>
    <t>ECUED29579</t>
  </si>
  <si>
    <t>ECUEC67721</t>
  </si>
  <si>
    <t>ECUEC67421</t>
  </si>
  <si>
    <t>ECUEC60721</t>
  </si>
  <si>
    <t>ECUEC57492</t>
  </si>
  <si>
    <t>ECUEC51172</t>
  </si>
  <si>
    <t>ECUEC57477</t>
  </si>
  <si>
    <t>ECUED29317</t>
  </si>
  <si>
    <t>ECUEC67413</t>
  </si>
  <si>
    <t>ECUEC54603</t>
  </si>
  <si>
    <t>ECUEC50943</t>
  </si>
  <si>
    <t>ECUEC64682</t>
  </si>
  <si>
    <t>ECUEC64193</t>
  </si>
  <si>
    <t>ECUEC47732</t>
  </si>
  <si>
    <t>ECUEC64545</t>
  </si>
  <si>
    <t>ECUEC60295</t>
  </si>
  <si>
    <t>ECUEC50450</t>
  </si>
  <si>
    <t>ECUEC63782</t>
  </si>
  <si>
    <t>ECUEC60520</t>
  </si>
  <si>
    <t>ECUEC60347</t>
  </si>
  <si>
    <t>ECUEC53986</t>
  </si>
  <si>
    <t>ECUED29239</t>
  </si>
  <si>
    <t>ECUEC47909</t>
  </si>
  <si>
    <t>ECUED29891</t>
  </si>
  <si>
    <t>ECUED21446</t>
  </si>
  <si>
    <t>ECUEC57122</t>
  </si>
  <si>
    <t>ECUEC47962</t>
  </si>
  <si>
    <t>ECUEC51319</t>
  </si>
  <si>
    <t>ECUEC51268</t>
  </si>
  <si>
    <t>ECUED23812</t>
  </si>
  <si>
    <t>ECUEC51177</t>
  </si>
  <si>
    <t>ECUED29285</t>
  </si>
  <si>
    <t>ECUEC51296</t>
  </si>
  <si>
    <t>ECUEC67335</t>
  </si>
  <si>
    <t>ECUEC50126</t>
  </si>
  <si>
    <t>ECUEC52620</t>
  </si>
  <si>
    <t>ECUEC50745</t>
  </si>
  <si>
    <t>ECUEC50178</t>
  </si>
  <si>
    <t>ECUEC67981</t>
  </si>
  <si>
    <t>ECUEC48796</t>
  </si>
  <si>
    <t>ECUEC57308</t>
  </si>
  <si>
    <t>ECUEC67959</t>
  </si>
  <si>
    <t>ECUEC52485</t>
  </si>
  <si>
    <t>ECUEC57980</t>
  </si>
  <si>
    <t>ECUEC57741</t>
  </si>
  <si>
    <t>ECUEC67245</t>
  </si>
  <si>
    <t>ECUEC53767</t>
  </si>
  <si>
    <t>ECUEC64418</t>
  </si>
  <si>
    <t>ECUEC63590</t>
  </si>
  <si>
    <t>ECUEC60594</t>
  </si>
  <si>
    <t>ECUEC47807</t>
  </si>
  <si>
    <t>ECUEC52759</t>
  </si>
  <si>
    <t>ECUEC53030</t>
  </si>
  <si>
    <t>ECUEC57548</t>
  </si>
  <si>
    <t>ECUEC67570</t>
  </si>
  <si>
    <t>ECUED23406</t>
  </si>
  <si>
    <t>ECUEC50389</t>
  </si>
  <si>
    <t>ECUED29938</t>
  </si>
  <si>
    <t>ECUEC67080</t>
  </si>
  <si>
    <t>ECUEC57948</t>
  </si>
  <si>
    <t>ECUEC60219</t>
  </si>
  <si>
    <t>ECUEC59978</t>
  </si>
  <si>
    <t>ECUEC57229</t>
  </si>
  <si>
    <t>ECUEC67321</t>
  </si>
  <si>
    <t>ECUEC67420</t>
  </si>
  <si>
    <t>ECUEC67662</t>
  </si>
  <si>
    <t>ECUED21857</t>
  </si>
  <si>
    <t>ECUEC63674</t>
  </si>
  <si>
    <t>ECUEC48411</t>
  </si>
  <si>
    <t>ECUEC57211</t>
  </si>
  <si>
    <t>ECUEC50095</t>
  </si>
  <si>
    <t>ECUEC67425</t>
  </si>
  <si>
    <t>ECUED25095</t>
  </si>
  <si>
    <t>ECUED14315</t>
  </si>
  <si>
    <t>ECUEC54024</t>
  </si>
  <si>
    <t>ECUED12259</t>
  </si>
  <si>
    <t>ECUEC57415</t>
  </si>
  <si>
    <t>ECUEC50653</t>
  </si>
  <si>
    <t>ECUEC64929</t>
  </si>
  <si>
    <t>ECUEC50532</t>
  </si>
  <si>
    <t>ECUEC67617</t>
  </si>
  <si>
    <t>ECUEC50648</t>
  </si>
  <si>
    <t>ECUEC51527</t>
  </si>
  <si>
    <t>ECUED14247</t>
  </si>
  <si>
    <t>ECUED24989</t>
  </si>
  <si>
    <t>ECUEC47893</t>
  </si>
  <si>
    <t>ECUEC57922</t>
  </si>
  <si>
    <t>ECUEC67343</t>
  </si>
  <si>
    <t>ECUEC57766</t>
  </si>
  <si>
    <t>ECUEC64373</t>
  </si>
  <si>
    <t>ECUEC47955</t>
  </si>
  <si>
    <t>ECUEC63179</t>
  </si>
  <si>
    <t>ECUEC50102</t>
  </si>
  <si>
    <t>ECUEC64794</t>
  </si>
  <si>
    <t>ECUEC67535</t>
  </si>
  <si>
    <t>ECUEC63678</t>
  </si>
  <si>
    <t>ECUEC60935</t>
  </si>
  <si>
    <t>ECUEC98675</t>
  </si>
  <si>
    <t>ECUED25020</t>
  </si>
  <si>
    <t>ECUEC54150</t>
  </si>
  <si>
    <t>ECUEC64710</t>
  </si>
  <si>
    <t>ECUEC64688</t>
  </si>
  <si>
    <t>ECUED25211</t>
  </si>
  <si>
    <t>ECUEC57227</t>
  </si>
  <si>
    <t>ECUEC67560</t>
  </si>
  <si>
    <t>ECUED22276</t>
  </si>
  <si>
    <t>ECUEC64130</t>
  </si>
  <si>
    <t>ECUEC64605</t>
  </si>
  <si>
    <t>ECUEC55762</t>
  </si>
  <si>
    <t>ECUEC64148</t>
  </si>
  <si>
    <t>ECUEC67055</t>
  </si>
  <si>
    <t>ECUEC57563</t>
  </si>
  <si>
    <t>ECUEC52102</t>
  </si>
  <si>
    <t>ECUEC63623</t>
  </si>
  <si>
    <t>ECUEC67765</t>
  </si>
  <si>
    <t>ECUEC50403</t>
  </si>
  <si>
    <t>ECUEC53743</t>
  </si>
  <si>
    <t>ECUEC64939</t>
  </si>
  <si>
    <t>ECUEC64382</t>
  </si>
  <si>
    <t>ECUEC50604</t>
  </si>
  <si>
    <t>ECUED25639</t>
  </si>
  <si>
    <t>ECUED29128</t>
  </si>
  <si>
    <t>ECUEC51505</t>
  </si>
  <si>
    <t>ECUEC64835</t>
  </si>
  <si>
    <t>ECUED07082</t>
  </si>
  <si>
    <t>ECUEC57218</t>
  </si>
  <si>
    <t>ECUEC50427</t>
  </si>
  <si>
    <t>ECUED24881</t>
  </si>
  <si>
    <t>ECUED23652</t>
  </si>
  <si>
    <t>ECUEC64920</t>
  </si>
  <si>
    <t>ECUEC67567</t>
  </si>
  <si>
    <t>ECUEC52557</t>
  </si>
  <si>
    <t>ECUEC51064</t>
  </si>
  <si>
    <t>ECUEC60119</t>
  </si>
  <si>
    <t>ECUEC57873</t>
  </si>
  <si>
    <t>ECUED25082</t>
  </si>
  <si>
    <t>ECUEC64714</t>
  </si>
  <si>
    <t>ECUEC64982</t>
  </si>
  <si>
    <t>ECUEC64918</t>
  </si>
  <si>
    <t>ECUEC60670</t>
  </si>
  <si>
    <t>ECUEC54129</t>
  </si>
  <si>
    <t>ECUEC53920</t>
  </si>
  <si>
    <t>ECUEC67991</t>
  </si>
  <si>
    <t>ECUED24951</t>
  </si>
  <si>
    <t>ECUED22341</t>
  </si>
  <si>
    <t>ECUEC57188</t>
  </si>
  <si>
    <t>ECUEC64975</t>
  </si>
  <si>
    <t>ECUEC57890</t>
  </si>
  <si>
    <t>ECUEC50995</t>
  </si>
  <si>
    <t>ECUEC64841</t>
  </si>
  <si>
    <t>ECUEC64959</t>
  </si>
  <si>
    <t>ECUEC67605</t>
  </si>
  <si>
    <t>ECUEC54320</t>
  </si>
  <si>
    <t>ECUEC57854</t>
  </si>
  <si>
    <t>ECUEC47765</t>
  </si>
  <si>
    <t>ECUEC54084</t>
  </si>
  <si>
    <t>ECUEC51365</t>
  </si>
  <si>
    <t>ECUEC67677</t>
  </si>
  <si>
    <t>ECUEC60730</t>
  </si>
  <si>
    <t>ECUEC57726</t>
  </si>
  <si>
    <t>ECUED24121</t>
  </si>
  <si>
    <t>ECUEC50066</t>
  </si>
  <si>
    <t>ECUEC50830</t>
  </si>
  <si>
    <t>ECUEC51470</t>
  </si>
  <si>
    <t>ECUEC57513</t>
  </si>
  <si>
    <t>ECUEC98442</t>
  </si>
  <si>
    <t>ECUEC60554</t>
  </si>
  <si>
    <t>ECUEC57861</t>
  </si>
  <si>
    <t>ECUEC57413</t>
  </si>
  <si>
    <t>ECUEC60978</t>
  </si>
  <si>
    <t>ECUEC64211</t>
  </si>
  <si>
    <t>ECUEC57673</t>
  </si>
  <si>
    <t>ECUEC51828</t>
  </si>
  <si>
    <t>ECUED15456</t>
  </si>
  <si>
    <t>ECUED00327</t>
  </si>
  <si>
    <t>ECUEC64621</t>
  </si>
  <si>
    <t>ECUED24977</t>
  </si>
  <si>
    <t>ECUEC64559</t>
  </si>
  <si>
    <t>ECUEC50731</t>
  </si>
  <si>
    <t>ECUEC55092</t>
  </si>
  <si>
    <t>ECUEC67615</t>
  </si>
  <si>
    <t>ECUEC60321</t>
  </si>
  <si>
    <t>ECUEC51926</t>
  </si>
  <si>
    <t>ECUEC60411</t>
  </si>
  <si>
    <t>ECUED29348</t>
  </si>
  <si>
    <t>ECUEC51109</t>
  </si>
  <si>
    <t>ECUEC51218</t>
  </si>
  <si>
    <t>ECUEC64764</t>
  </si>
  <si>
    <t>ECUEC47826</t>
  </si>
  <si>
    <t>ECUEC60232</t>
  </si>
  <si>
    <t>ECUEC64363</t>
  </si>
  <si>
    <t>ECUEC60434</t>
  </si>
  <si>
    <t>ECUED21381</t>
  </si>
  <si>
    <t>ECUEC47889</t>
  </si>
  <si>
    <t>ECUEC50338</t>
  </si>
  <si>
    <t>ECUEC62436</t>
  </si>
  <si>
    <t>ECUED23646</t>
  </si>
  <si>
    <t>ECUEC57796</t>
  </si>
  <si>
    <t>ECUED21633</t>
  </si>
  <si>
    <t>ECUEC47381</t>
  </si>
  <si>
    <t>ECUEC57549</t>
  </si>
  <si>
    <t>ECUED24410</t>
  </si>
  <si>
    <t>ECUEC50997</t>
  </si>
  <si>
    <t>ECUEC51091</t>
  </si>
  <si>
    <t>ECUEC64901</t>
  </si>
  <si>
    <t>ECUED25149</t>
  </si>
  <si>
    <t>ECUEC57961</t>
  </si>
  <si>
    <t>ECUEC50136</t>
  </si>
  <si>
    <t>ECUEC52283</t>
  </si>
  <si>
    <t>ECUEC60250</t>
  </si>
  <si>
    <t>ECUEC52333</t>
  </si>
  <si>
    <t>ECUEC57779</t>
  </si>
  <si>
    <t>ECUEC54014</t>
  </si>
  <si>
    <t>ECUEC57638</t>
  </si>
  <si>
    <t>ECUEC50559</t>
  </si>
  <si>
    <t>ECUEC57405</t>
  </si>
  <si>
    <t>ECUEC67305</t>
  </si>
  <si>
    <t>Round No.32</t>
  </si>
  <si>
    <t>Round No.33</t>
  </si>
  <si>
    <t>Round No.34</t>
  </si>
  <si>
    <t>Postal Ballot</t>
  </si>
  <si>
    <t>Round-32</t>
  </si>
  <si>
    <t>Round-33</t>
  </si>
  <si>
    <t>Round-34</t>
  </si>
  <si>
    <t>fo/kku lHkk fuokZpu {ks= dk lkekU; fuokZpu&amp;2022</t>
  </si>
  <si>
    <t>fo/kku lHkk [k.M dk uke &amp;64 fldUnjkckn</t>
  </si>
  <si>
    <t>ECUEC57485 /
ECUEC63670</t>
  </si>
  <si>
    <t>ECUEC67087/
ECUED11300</t>
  </si>
  <si>
    <t>ECUEC60579/
ECUEC50182</t>
  </si>
  <si>
    <t>dqy iMs er</t>
  </si>
  <si>
    <t>Grand Total</t>
  </si>
  <si>
    <t>¼VsaMj½ fufonRr erksa dh la[;k</t>
  </si>
  <si>
    <r>
      <t xml:space="preserve">(Rejected) </t>
    </r>
    <r>
      <rPr>
        <sz val="9"/>
        <rFont val="Kruti Dev 010"/>
      </rPr>
      <t>izfr{ksfir erksa dh la[;k</t>
    </r>
  </si>
  <si>
    <r>
      <t xml:space="preserve">(Rejected) </t>
    </r>
    <r>
      <rPr>
        <sz val="10"/>
        <rFont val="Kruti Dev 010"/>
      </rPr>
      <t>izfr{ksfir erksa dh la[;k</t>
    </r>
  </si>
  <si>
    <t>fjVfuZax vkWfQlj</t>
  </si>
  <si>
    <t>64&amp;fldUnjkckn fo/kkulHkk {ks=</t>
  </si>
  <si>
    <t>PB</t>
  </si>
  <si>
    <t>fo/kku lHkk lkekU; fuokZpu&amp;2022&amp;Mkd eri=ksa dk fooj.k</t>
  </si>
  <si>
    <t>dza0la0</t>
  </si>
  <si>
    <t>fo/kku lHkk fuokZpu {ks= dk uke</t>
  </si>
  <si>
    <t>lsok ernkrkvksa ds laca/k esa fooj.k</t>
  </si>
  <si>
    <t>ernku dkfeZdksa ds laca/k esa fooj.k</t>
  </si>
  <si>
    <t>lsok ernkrkvksa dh dqy la[;k</t>
  </si>
  <si>
    <t>lsok ernkrkvksa dks tkjh fd;s x;s Mkd eri=ksa dh dqy la[;k</t>
  </si>
  <si>
    <t>lsok ernkrkvksa ls okil izkIr gq, Mkd eri=ksa dh dqy la[;k</t>
  </si>
  <si>
    <t>ernku dkfeZdksa dh dqy la[;k ¼flfoy$iqfyl½ tks fuokZpu M;wVh ij rSukr gS ,oa Mkd eri= ds fy, vf/kd`r gSA</t>
  </si>
  <si>
    <t>mDr ernku dkfeZdksa dks tkjh fd;s x;s Mkd eri=ksa dh dqy la[;k</t>
  </si>
  <si>
    <t>mDr ernku dkfeZdksa ls okil izkIr gq, Mkd eri=ksa dh dqy la[;k</t>
  </si>
  <si>
    <t>LFkku &amp; e.Mh lfefr ifjlj] vuwi'kgj jksM] cqyUn'kgj</t>
  </si>
  <si>
    <t>fnukad&amp; 10&amp; ekpZ&amp;2022</t>
  </si>
  <si>
    <t>64 fldUnjkckn</t>
  </si>
  <si>
    <t>fo/kkulHkk&amp; 64 fldUnjkckn</t>
  </si>
  <si>
    <t xml:space="preserve">FORMAT FOR RECORDING OF TALLY OF POSTAL BALLOTS ISSUED TO SERVICE PERSONNEL AND RECEIVED BACK </t>
  </si>
  <si>
    <t xml:space="preserve">Name of State/UT: Uttar Pradesh                                      </t>
  </si>
  <si>
    <t>Total Electors in the last part of electoral Roll</t>
  </si>
  <si>
    <t>No of CSVs if any (who have appointed proxy)</t>
  </si>
  <si>
    <t xml:space="preserve">Total no of PBs issued </t>
  </si>
  <si>
    <t>PBs received back in time (before the date &amp; time fixed for counting of votes)</t>
  </si>
  <si>
    <t>PBs received back undelivered</t>
  </si>
  <si>
    <t xml:space="preserve">Place- Mandi Samiti Paricer Anoopshahr Road Bulandshahr </t>
  </si>
  <si>
    <t>Date: 10-March-2022</t>
  </si>
  <si>
    <t>Returning Officer</t>
  </si>
  <si>
    <t>No.&amp; Name of Parliamentary/ Assembly Constitueney :   64 Sikandrabad</t>
  </si>
  <si>
    <t>64-Sikandrabad</t>
  </si>
  <si>
    <t xml:space="preserve">FORMAT FOR RECORDING OF TALLY OF VOTES POLLED BY POSTAL BALLOT PAPPER WHEN COUNTED IN MORE THAN ONE TABLE </t>
  </si>
  <si>
    <t>Name of State/UT: Uttar Pradesh                                        Table No-----------------</t>
  </si>
  <si>
    <t>No. of Postal Ballots supplied to this Counting Table for Counting ---------------------</t>
  </si>
  <si>
    <t>S.No.</t>
  </si>
  <si>
    <t xml:space="preserve">Party Affilliation </t>
  </si>
  <si>
    <t>Number of Votes Polled</t>
  </si>
  <si>
    <t>Bharatiya Janata Party</t>
  </si>
  <si>
    <t>Indian National Congress</t>
  </si>
  <si>
    <t>Bahujan Samaj Party</t>
  </si>
  <si>
    <t>Aam Aadmi Party</t>
  </si>
  <si>
    <t>Independent</t>
  </si>
  <si>
    <t xml:space="preserve">                                                                                         Round No.----------------       (if Applicable)                         </t>
  </si>
  <si>
    <t>Vsfcy la[;k&amp;1</t>
  </si>
  <si>
    <t>pdz la[;k&amp;</t>
  </si>
  <si>
    <t>erns; LFky la[;k&amp;</t>
  </si>
  <si>
    <t>dUVªksy ;wfuV dzekad&amp;</t>
  </si>
  <si>
    <t>izekf.kr fd;k tkrk gS fd ge mDr x.kuk i`"B ¼1½ ls iw.kZr;k larq"V gS vkSj gesa x.kuk dk;Z ls fdlh izdkj dh dksbZ vkifr ugh gSA</t>
  </si>
  <si>
    <t>vH;FkhZ dk uke</t>
  </si>
  <si>
    <t>erx.kuk vfHkdrkZ dk uke</t>
  </si>
  <si>
    <t>iwjs gLrk{kj</t>
  </si>
  <si>
    <t>fo/kku lHkk fuokZpu {ks= dh la[;k o uke &amp; 64 fldUnjkckn</t>
  </si>
  <si>
    <t>fo/kku lHkk lkekU; fuokZpu&amp;2022</t>
  </si>
  <si>
    <t>izk:i&amp; 17x dk Hkkx&amp;2</t>
  </si>
  <si>
    <t>erx.kuk dk ifj.kke</t>
  </si>
  <si>
    <t>Vsfcy la[;k&amp;</t>
  </si>
  <si>
    <t>dUVªksy ;wfuV esa fn[kk;s x;s erksa dh la[;k</t>
  </si>
  <si>
    <t>Hkkx&amp;1 dh en la[;k&amp;05 ds vuqlkj ?kVk;s tkus okys ijh{k.k erksa dh la[;k</t>
  </si>
  <si>
    <t>fof/kekU; erksa dh la[;k ¼3&amp;4½</t>
  </si>
  <si>
    <t>D;k mij nf'kZr erksa dh dqy la[;k Hkkx&amp;1 dh en la[;k&amp;6 esa fn[kk;s x;sa erksa dk dqy la[;k ls esy [kkrh gS vFkok nksuksa dh dqy la[;k esa dksbZ folaxfr ikbZ x;h gSA</t>
  </si>
  <si>
    <t>LFkku&amp; e.Mh lfefr ifjlj] vuwi'kgj jksM] cqyUn'kgjA</t>
  </si>
  <si>
    <t>x.kuk i;Zos{kd ds gLrk{kj</t>
  </si>
  <si>
    <t>¼iwjk uke&amp;----------------------------------------------------½</t>
  </si>
  <si>
    <t>VIDHAN SABHA GENERAL ELECTION 2022</t>
  </si>
  <si>
    <t>District- Bulandshahr</t>
  </si>
  <si>
    <t>Ac. No.</t>
  </si>
  <si>
    <t>Polling Station</t>
  </si>
  <si>
    <t>Total No. of Electors</t>
  </si>
  <si>
    <t>Voters Turnout</t>
  </si>
  <si>
    <t>No. of voters identified using EPIC</t>
  </si>
  <si>
    <t>No. of Ten-dered Voters</t>
  </si>
  <si>
    <t>Total voters Secured</t>
  </si>
  <si>
    <t>No.</t>
  </si>
  <si>
    <t>Name</t>
  </si>
  <si>
    <t>Male</t>
  </si>
  <si>
    <t>Female</t>
  </si>
  <si>
    <t>Other</t>
  </si>
  <si>
    <t>Party Affiliation</t>
  </si>
  <si>
    <t>Voters Secured</t>
  </si>
  <si>
    <t>Samajwadi Party</t>
  </si>
  <si>
    <t>Lok Dal</t>
  </si>
  <si>
    <t>Loktantrik Janshakti Party</t>
  </si>
  <si>
    <t>Shiv Sena</t>
  </si>
  <si>
    <t>All India Majlis-E- Ittehadul Muslimeen</t>
  </si>
  <si>
    <t xml:space="preserve">Raju Thakur </t>
  </si>
  <si>
    <t>Rashtrawadi Janlok Party (Satya)</t>
  </si>
  <si>
    <t>No. &amp; Name Assembly Constituency- 64 Sikandrabad</t>
  </si>
  <si>
    <t>17ग-1</t>
  </si>
  <si>
    <t>ARO-1</t>
  </si>
  <si>
    <t>ARO-2</t>
  </si>
  <si>
    <t>Table</t>
  </si>
  <si>
    <t xml:space="preserve">Table </t>
  </si>
  <si>
    <t>ECUED29149</t>
  </si>
  <si>
    <t>ECUEC63670</t>
  </si>
  <si>
    <t>ECUEC50800</t>
  </si>
  <si>
    <t>ECUEC64174</t>
  </si>
  <si>
    <t>ECUEC55334</t>
  </si>
  <si>
    <t>ECUEC53874</t>
  </si>
  <si>
    <t>ECUEC55735</t>
  </si>
  <si>
    <t>ECUEC51209</t>
  </si>
  <si>
    <t>ECUED11300</t>
  </si>
  <si>
    <t>ECUEC50182</t>
  </si>
  <si>
    <t>Round</t>
  </si>
  <si>
    <t xml:space="preserve">ECUEC57485 </t>
  </si>
  <si>
    <t>ECUEC67087</t>
  </si>
  <si>
    <t>ECUEC60579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</si>
  <si>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</si>
  <si>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</si>
  <si>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</si>
  <si>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</si>
  <si>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</si>
  <si>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</si>
  <si>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</si>
  <si>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</si>
  <si>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</si>
  <si>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</si>
  <si>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</si>
  <si>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</si>
  <si>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</si>
  <si>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</si>
  <si>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</si>
  <si>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</si>
  <si>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</si>
  <si>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</si>
  <si>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</si>
  <si>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</si>
  <si>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</si>
  <si>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</si>
  <si>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</si>
  <si>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</si>
  <si>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</si>
  <si>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</si>
  <si>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</si>
  <si>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</si>
  <si>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</si>
  <si>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</si>
  <si>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</si>
  <si>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</si>
  <si>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</si>
  <si>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</si>
  <si>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स्ट्रांग रूम से राउण्डवार ई0वी0एम0 दिये जाने का विवरण विधानसभा-64 सिकन्दराबाद</t>
  </si>
  <si>
    <t xml:space="preserve"> </t>
  </si>
  <si>
    <t>Number &amp; Name of Constituency - 64-Sikandrabad</t>
  </si>
  <si>
    <t>Round No.35</t>
  </si>
  <si>
    <t>Round-35</t>
  </si>
  <si>
    <t>;ksx</t>
  </si>
  <si>
    <t>Mkd er i=ksa ij fjdkmZ fd;s x;s ernksa dh dqy la[;k</t>
  </si>
  <si>
    <t>Mkys x;s dqy erksa dh la[;k</t>
  </si>
</sst>
</file>

<file path=xl/styles.xml><?xml version="1.0" encoding="utf-8"?>
<styleSheet xmlns="http://schemas.openxmlformats.org/spreadsheetml/2006/main">
  <fonts count="63">
    <font>
      <sz val="11"/>
      <color theme="1"/>
      <name val="Calibri"/>
      <family val="2"/>
      <scheme val="minor"/>
    </font>
    <font>
      <sz val="15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Kruti Dev 010"/>
    </font>
    <font>
      <sz val="10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2"/>
      <name val="Kruti Dev 010"/>
    </font>
    <font>
      <sz val="18"/>
      <color theme="1"/>
      <name val="Calibri"/>
      <family val="2"/>
      <scheme val="minor"/>
    </font>
    <font>
      <sz val="11"/>
      <color theme="1"/>
      <name val="Kruti Dev 010"/>
    </font>
    <font>
      <b/>
      <sz val="11"/>
      <color theme="1"/>
      <name val="Kruti Dev 010"/>
    </font>
    <font>
      <sz val="18"/>
      <color theme="1"/>
      <name val="Kruti Dev 010"/>
    </font>
    <font>
      <sz val="14"/>
      <color theme="1"/>
      <name val="Kruti Dev 016"/>
    </font>
    <font>
      <sz val="11"/>
      <color theme="1"/>
      <name val="Kruti Dev 016"/>
    </font>
    <font>
      <b/>
      <sz val="8"/>
      <color theme="1"/>
      <name val="Arial"/>
      <family val="2"/>
    </font>
    <font>
      <b/>
      <sz val="10"/>
      <name val="Times New Roman"/>
      <family val="1"/>
    </font>
    <font>
      <sz val="16"/>
      <color theme="1"/>
      <name val="Kruti Dev 010"/>
    </font>
    <font>
      <sz val="8"/>
      <color theme="1"/>
      <name val="Calibri"/>
      <family val="2"/>
      <scheme val="minor"/>
    </font>
    <font>
      <sz val="8"/>
      <name val="Kruti Dev 016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11"/>
      <name val="Kruti Dev 010"/>
    </font>
    <font>
      <sz val="9"/>
      <name val="Kruti Dev 010"/>
    </font>
    <font>
      <sz val="10"/>
      <name val="Kruti Dev 010"/>
    </font>
    <font>
      <b/>
      <sz val="14"/>
      <color theme="1"/>
      <name val="Kruti Dev 010"/>
    </font>
    <font>
      <b/>
      <sz val="14"/>
      <color rgb="FF000000"/>
      <name val="Kruti Dev 016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1"/>
      <name val="Times New Roman"/>
      <family val="1"/>
    </font>
    <font>
      <b/>
      <sz val="16"/>
      <color theme="1"/>
      <name val="Kruti Dev 010"/>
    </font>
    <font>
      <b/>
      <sz val="13"/>
      <color theme="1"/>
      <name val="Kruti Dev 010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0"/>
      <color theme="1"/>
      <name val="Arial"/>
      <family val="2"/>
    </font>
    <font>
      <b/>
      <sz val="11"/>
      <name val="Times New Roman"/>
      <family val="1"/>
    </font>
    <font>
      <sz val="9"/>
      <color theme="1"/>
      <name val="Times New Roman"/>
      <family val="1"/>
    </font>
    <font>
      <sz val="10"/>
      <name val="Kruti Dev 016"/>
    </font>
    <font>
      <sz val="10"/>
      <color theme="1"/>
      <name val="Calibri"/>
      <family val="2"/>
      <scheme val="minor"/>
    </font>
    <font>
      <sz val="8"/>
      <name val="Times New Roman"/>
      <family val="1"/>
    </font>
    <font>
      <sz val="7"/>
      <name val="Times New Roman"/>
      <family val="1"/>
    </font>
    <font>
      <sz val="8"/>
      <color theme="1"/>
      <name val="Times New Roman"/>
      <family val="1"/>
    </font>
    <font>
      <sz val="13"/>
      <color theme="1"/>
      <name val="Kruti Dev 016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Kruti Dev 010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0">
    <xf numFmtId="0" fontId="0" fillId="0" borderId="0" xfId="0"/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 wrapText="1"/>
    </xf>
    <xf numFmtId="0" fontId="21" fillId="3" borderId="1" xfId="0" applyFont="1" applyFill="1" applyBorder="1" applyAlignment="1" applyProtection="1">
      <alignment horizontal="center" vertical="center" wrapText="1"/>
    </xf>
    <xf numFmtId="0" fontId="25" fillId="4" borderId="1" xfId="0" applyFont="1" applyFill="1" applyBorder="1" applyAlignment="1" applyProtection="1">
      <alignment horizontal="center" vertical="center" wrapText="1"/>
    </xf>
    <xf numFmtId="0" fontId="26" fillId="4" borderId="1" xfId="0" applyFont="1" applyFill="1" applyBorder="1" applyAlignment="1" applyProtection="1">
      <alignment horizontal="center" vertical="center"/>
    </xf>
    <xf numFmtId="0" fontId="25" fillId="3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</xf>
    <xf numFmtId="0" fontId="25" fillId="2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24" fillId="2" borderId="4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 shrinkToFit="1"/>
    </xf>
    <xf numFmtId="0" fontId="21" fillId="5" borderId="1" xfId="0" applyFont="1" applyFill="1" applyBorder="1" applyAlignment="1" applyProtection="1">
      <alignment horizontal="center" vertical="center" wrapText="1"/>
    </xf>
    <xf numFmtId="0" fontId="25" fillId="5" borderId="1" xfId="0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Fill="1" applyBorder="1" applyAlignment="1" applyProtection="1">
      <alignment vertical="center" wrapText="1"/>
    </xf>
    <xf numFmtId="0" fontId="25" fillId="0" borderId="1" xfId="0" applyFont="1" applyFill="1" applyBorder="1" applyAlignment="1" applyProtection="1">
      <alignment vertical="center" wrapText="1"/>
    </xf>
    <xf numFmtId="0" fontId="26" fillId="0" borderId="1" xfId="0" applyFont="1" applyBorder="1" applyAlignment="1">
      <alignment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top" wrapText="1"/>
    </xf>
    <xf numFmtId="0" fontId="36" fillId="0" borderId="1" xfId="0" applyFont="1" applyBorder="1" applyAlignment="1">
      <alignment wrapText="1"/>
    </xf>
    <xf numFmtId="0" fontId="0" fillId="0" borderId="1" xfId="0" applyFont="1" applyBorder="1"/>
    <xf numFmtId="0" fontId="34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left" wrapText="1"/>
    </xf>
    <xf numFmtId="0" fontId="0" fillId="0" borderId="0" xfId="0" applyFont="1" applyBorder="1"/>
    <xf numFmtId="0" fontId="0" fillId="0" borderId="0" xfId="0" applyFont="1"/>
    <xf numFmtId="0" fontId="33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vertical="top" wrapText="1"/>
    </xf>
    <xf numFmtId="0" fontId="33" fillId="0" borderId="5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left" wrapText="1"/>
    </xf>
    <xf numFmtId="0" fontId="31" fillId="0" borderId="1" xfId="0" applyFont="1" applyBorder="1" applyAlignment="1">
      <alignment horizontal="center" vertical="top" wrapText="1"/>
    </xf>
    <xf numFmtId="0" fontId="31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0" borderId="1" xfId="1" applyFont="1" applyFill="1" applyBorder="1" applyAlignment="1">
      <alignment horizontal="center" vertical="center" wrapText="1"/>
    </xf>
    <xf numFmtId="0" fontId="43" fillId="0" borderId="1" xfId="1" applyFont="1" applyFill="1" applyBorder="1" applyAlignment="1">
      <alignment horizontal="center" vertical="center" textRotation="90" wrapText="1"/>
    </xf>
    <xf numFmtId="0" fontId="45" fillId="0" borderId="1" xfId="1" applyFont="1" applyFill="1" applyBorder="1" applyAlignment="1">
      <alignment horizontal="center" vertical="center" textRotation="90" wrapText="1"/>
    </xf>
    <xf numFmtId="0" fontId="21" fillId="0" borderId="1" xfId="1" applyFont="1" applyFill="1" applyBorder="1" applyAlignment="1">
      <alignment horizontal="left" vertical="center" wrapText="1"/>
    </xf>
    <xf numFmtId="0" fontId="21" fillId="0" borderId="1" xfId="1" applyFont="1" applyFill="1" applyBorder="1" applyAlignment="1">
      <alignment horizontal="center" vertical="center" wrapText="1"/>
    </xf>
    <xf numFmtId="0" fontId="48" fillId="0" borderId="0" xfId="0" applyFont="1"/>
    <xf numFmtId="0" fontId="49" fillId="6" borderId="1" xfId="0" applyFont="1" applyFill="1" applyBorder="1" applyAlignment="1">
      <alignment horizontal="center" vertical="center" wrapText="1"/>
    </xf>
    <xf numFmtId="0" fontId="50" fillId="6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left" vertical="center" wrapText="1" shrinkToFit="1"/>
    </xf>
    <xf numFmtId="0" fontId="48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0" borderId="0" xfId="0" applyFont="1"/>
    <xf numFmtId="0" fontId="51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top" wrapText="1"/>
    </xf>
    <xf numFmtId="0" fontId="52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0" fillId="0" borderId="0" xfId="0"/>
    <xf numFmtId="0" fontId="0" fillId="0" borderId="0" xfId="0"/>
    <xf numFmtId="0" fontId="58" fillId="0" borderId="1" xfId="0" applyFont="1" applyBorder="1" applyAlignment="1">
      <alignment horizontal="center" wrapText="1"/>
    </xf>
    <xf numFmtId="0" fontId="58" fillId="0" borderId="0" xfId="0" applyFont="1"/>
    <xf numFmtId="0" fontId="0" fillId="0" borderId="0" xfId="0"/>
    <xf numFmtId="0" fontId="60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 shrinkToFit="1"/>
    </xf>
    <xf numFmtId="0" fontId="58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Fill="1" applyBorder="1" applyAlignment="1" applyProtection="1">
      <alignment horizontal="center" vertical="center" wrapText="1"/>
    </xf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0" fillId="0" borderId="0" xfId="0"/>
    <xf numFmtId="0" fontId="0" fillId="0" borderId="12" xfId="0" applyBorder="1"/>
    <xf numFmtId="0" fontId="0" fillId="0" borderId="9" xfId="0" applyFill="1" applyBorder="1" applyAlignment="1" applyProtection="1">
      <alignment horizontal="center" vertical="center" wrapText="1"/>
    </xf>
    <xf numFmtId="0" fontId="0" fillId="0" borderId="7" xfId="0" applyFill="1" applyBorder="1" applyAlignment="1" applyProtection="1">
      <alignment horizontal="center" vertical="center" wrapText="1"/>
    </xf>
    <xf numFmtId="0" fontId="0" fillId="0" borderId="13" xfId="0" applyFill="1" applyBorder="1" applyAlignment="1" applyProtection="1">
      <alignment horizontal="center" vertical="center" wrapText="1"/>
    </xf>
    <xf numFmtId="0" fontId="0" fillId="0" borderId="15" xfId="0" applyBorder="1"/>
    <xf numFmtId="0" fontId="0" fillId="0" borderId="5" xfId="0" applyBorder="1"/>
    <xf numFmtId="0" fontId="5" fillId="0" borderId="4" xfId="0" applyFont="1" applyBorder="1" applyAlignment="1">
      <alignment horizontal="center" wrapText="1"/>
    </xf>
    <xf numFmtId="0" fontId="0" fillId="0" borderId="15" xfId="0" applyBorder="1" applyAlignment="1"/>
    <xf numFmtId="0" fontId="0" fillId="0" borderId="5" xfId="0" applyBorder="1" applyAlignment="1"/>
    <xf numFmtId="0" fontId="5" fillId="0" borderId="9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15" fontId="7" fillId="0" borderId="7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7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7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38" fillId="0" borderId="13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left" vertical="center" wrapText="1"/>
    </xf>
    <xf numFmtId="0" fontId="33" fillId="0" borderId="1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right" vertical="center" wrapText="1"/>
    </xf>
    <xf numFmtId="0" fontId="33" fillId="0" borderId="15" xfId="0" applyFont="1" applyBorder="1" applyAlignment="1">
      <alignment horizontal="right" vertical="center" wrapText="1"/>
    </xf>
    <xf numFmtId="0" fontId="33" fillId="0" borderId="5" xfId="0" applyFont="1" applyBorder="1" applyAlignment="1">
      <alignment horizontal="right" vertical="center" wrapText="1"/>
    </xf>
    <xf numFmtId="0" fontId="26" fillId="0" borderId="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44" fillId="0" borderId="4" xfId="1" applyFont="1" applyFill="1" applyBorder="1" applyAlignment="1">
      <alignment horizontal="center" vertical="center" wrapText="1"/>
    </xf>
    <xf numFmtId="0" fontId="44" fillId="0" borderId="15" xfId="1" applyFont="1" applyFill="1" applyBorder="1" applyAlignment="1">
      <alignment horizontal="center" vertical="center" wrapText="1"/>
    </xf>
    <xf numFmtId="0" fontId="44" fillId="0" borderId="5" xfId="1" applyFont="1" applyFill="1" applyBorder="1" applyAlignment="1">
      <alignment horizontal="center" vertical="center" wrapText="1"/>
    </xf>
    <xf numFmtId="0" fontId="42" fillId="0" borderId="1" xfId="1" applyFont="1" applyFill="1" applyBorder="1" applyAlignment="1">
      <alignment horizontal="center" vertical="center" wrapText="1"/>
    </xf>
    <xf numFmtId="0" fontId="43" fillId="0" borderId="4" xfId="1" applyFont="1" applyFill="1" applyBorder="1" applyAlignment="1">
      <alignment horizontal="center" vertical="center" wrapText="1"/>
    </xf>
    <xf numFmtId="0" fontId="43" fillId="0" borderId="15" xfId="1" applyFont="1" applyFill="1" applyBorder="1" applyAlignment="1">
      <alignment horizontal="center" vertical="center" wrapText="1"/>
    </xf>
    <xf numFmtId="0" fontId="43" fillId="0" borderId="5" xfId="1" applyFont="1" applyFill="1" applyBorder="1" applyAlignment="1">
      <alignment horizontal="center" vertical="center" wrapText="1"/>
    </xf>
    <xf numFmtId="0" fontId="43" fillId="0" borderId="1" xfId="1" applyFont="1" applyFill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4" fillId="0" borderId="0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left" vertical="center" wrapText="1"/>
    </xf>
  </cellXfs>
  <cellStyles count="2">
    <cellStyle name="Normal" xfId="0" builtinId="0"/>
    <cellStyle name="Normal 2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E3"/>
  <sheetViews>
    <sheetView workbookViewId="0">
      <selection activeCell="A3" sqref="A3"/>
    </sheetView>
  </sheetViews>
  <sheetFormatPr defaultRowHeight="15"/>
  <cols>
    <col min="1" max="473" width="9.140625" style="53"/>
  </cols>
  <sheetData>
    <row r="1" spans="1:473" s="56" customFormat="1" ht="37.5">
      <c r="A1" s="43" t="s">
        <v>610</v>
      </c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>
        <v>13</v>
      </c>
      <c r="O1" s="40">
        <v>14</v>
      </c>
      <c r="P1" s="40">
        <v>15</v>
      </c>
      <c r="Q1" s="40">
        <v>16</v>
      </c>
      <c r="R1" s="40">
        <v>17</v>
      </c>
      <c r="S1" s="40">
        <v>18</v>
      </c>
      <c r="T1" s="40">
        <v>19</v>
      </c>
      <c r="U1" s="40">
        <v>20</v>
      </c>
      <c r="V1" s="40">
        <v>21</v>
      </c>
      <c r="W1" s="40">
        <v>22</v>
      </c>
      <c r="X1" s="40">
        <v>23</v>
      </c>
      <c r="Y1" s="40">
        <v>24</v>
      </c>
      <c r="Z1" s="40">
        <v>25</v>
      </c>
      <c r="AA1" s="40">
        <v>26</v>
      </c>
      <c r="AB1" s="40">
        <v>27</v>
      </c>
      <c r="AC1" s="40">
        <v>28</v>
      </c>
      <c r="AD1" s="40">
        <v>29</v>
      </c>
      <c r="AE1" s="40">
        <v>30</v>
      </c>
      <c r="AF1" s="40">
        <v>31</v>
      </c>
      <c r="AG1" s="40">
        <v>32</v>
      </c>
      <c r="AH1" s="40">
        <v>33</v>
      </c>
      <c r="AI1" s="40">
        <v>34</v>
      </c>
      <c r="AJ1" s="40">
        <v>35</v>
      </c>
      <c r="AK1" s="40">
        <v>36</v>
      </c>
      <c r="AL1" s="40">
        <v>37</v>
      </c>
      <c r="AM1" s="40">
        <v>38</v>
      </c>
      <c r="AN1" s="40">
        <v>39</v>
      </c>
      <c r="AO1" s="40">
        <v>40</v>
      </c>
      <c r="AP1" s="40">
        <v>41</v>
      </c>
      <c r="AQ1" s="40">
        <v>42</v>
      </c>
      <c r="AR1" s="40">
        <v>43</v>
      </c>
      <c r="AS1" s="40">
        <v>44</v>
      </c>
      <c r="AT1" s="40">
        <v>45</v>
      </c>
      <c r="AU1" s="40">
        <v>46</v>
      </c>
      <c r="AV1" s="40">
        <v>47</v>
      </c>
      <c r="AW1" s="40">
        <v>48</v>
      </c>
      <c r="AX1" s="40">
        <v>49</v>
      </c>
      <c r="AY1" s="40">
        <v>50</v>
      </c>
      <c r="AZ1" s="40">
        <v>51</v>
      </c>
      <c r="BA1" s="40">
        <v>52</v>
      </c>
      <c r="BB1" s="40">
        <v>53</v>
      </c>
      <c r="BC1" s="40">
        <v>54</v>
      </c>
      <c r="BD1" s="40">
        <v>55</v>
      </c>
      <c r="BE1" s="40">
        <v>56</v>
      </c>
      <c r="BF1" s="40">
        <v>57</v>
      </c>
      <c r="BG1" s="40">
        <v>58</v>
      </c>
      <c r="BH1" s="40">
        <v>59</v>
      </c>
      <c r="BI1" s="40">
        <v>60</v>
      </c>
      <c r="BJ1" s="40">
        <v>61</v>
      </c>
      <c r="BK1" s="40">
        <v>62</v>
      </c>
      <c r="BL1" s="40">
        <v>63</v>
      </c>
      <c r="BM1" s="40">
        <v>64</v>
      </c>
      <c r="BN1" s="40">
        <v>65</v>
      </c>
      <c r="BO1" s="40">
        <v>66</v>
      </c>
      <c r="BP1" s="40">
        <v>67</v>
      </c>
      <c r="BQ1" s="40">
        <v>68</v>
      </c>
      <c r="BR1" s="40">
        <v>69</v>
      </c>
      <c r="BS1" s="40">
        <v>70</v>
      </c>
      <c r="BT1" s="40">
        <v>71</v>
      </c>
      <c r="BU1" s="40">
        <v>72</v>
      </c>
      <c r="BV1" s="40">
        <v>73</v>
      </c>
      <c r="BW1" s="40">
        <v>74</v>
      </c>
      <c r="BX1" s="40">
        <v>75</v>
      </c>
      <c r="BY1" s="40">
        <v>76</v>
      </c>
      <c r="BZ1" s="40">
        <v>77</v>
      </c>
      <c r="CA1" s="40">
        <v>78</v>
      </c>
      <c r="CB1" s="40">
        <v>79</v>
      </c>
      <c r="CC1" s="40">
        <v>80</v>
      </c>
      <c r="CD1" s="40">
        <v>81</v>
      </c>
      <c r="CE1" s="40">
        <v>82</v>
      </c>
      <c r="CF1" s="40">
        <v>83</v>
      </c>
      <c r="CG1" s="40">
        <v>84</v>
      </c>
      <c r="CH1" s="40">
        <v>85</v>
      </c>
      <c r="CI1" s="40">
        <v>86</v>
      </c>
      <c r="CJ1" s="40">
        <v>87</v>
      </c>
      <c r="CK1" s="40">
        <v>88</v>
      </c>
      <c r="CL1" s="40">
        <v>89</v>
      </c>
      <c r="CM1" s="40">
        <v>90</v>
      </c>
      <c r="CN1" s="40">
        <v>91</v>
      </c>
      <c r="CO1" s="40">
        <v>92</v>
      </c>
      <c r="CP1" s="40">
        <v>93</v>
      </c>
      <c r="CQ1" s="40">
        <v>94</v>
      </c>
      <c r="CR1" s="40">
        <v>95</v>
      </c>
      <c r="CS1" s="40">
        <v>96</v>
      </c>
      <c r="CT1" s="40">
        <v>97</v>
      </c>
      <c r="CU1" s="40">
        <v>98</v>
      </c>
      <c r="CV1" s="40">
        <v>99</v>
      </c>
      <c r="CW1" s="40">
        <v>100</v>
      </c>
      <c r="CX1" s="40">
        <v>101</v>
      </c>
      <c r="CY1" s="40">
        <v>102</v>
      </c>
      <c r="CZ1" s="40">
        <v>103</v>
      </c>
      <c r="DA1" s="40">
        <v>104</v>
      </c>
      <c r="DB1" s="40">
        <v>105</v>
      </c>
      <c r="DC1" s="40">
        <v>106</v>
      </c>
      <c r="DD1" s="40">
        <v>107</v>
      </c>
      <c r="DE1" s="40">
        <v>108</v>
      </c>
      <c r="DF1" s="40">
        <v>109</v>
      </c>
      <c r="DG1" s="40">
        <v>110</v>
      </c>
      <c r="DH1" s="40">
        <v>111</v>
      </c>
      <c r="DI1" s="40">
        <v>112</v>
      </c>
      <c r="DJ1" s="40">
        <v>113</v>
      </c>
      <c r="DK1" s="40">
        <v>114</v>
      </c>
      <c r="DL1" s="40">
        <v>115</v>
      </c>
      <c r="DM1" s="40">
        <v>116</v>
      </c>
      <c r="DN1" s="40">
        <v>117</v>
      </c>
      <c r="DO1" s="40">
        <v>118</v>
      </c>
      <c r="DP1" s="40">
        <v>119</v>
      </c>
      <c r="DQ1" s="40">
        <v>120</v>
      </c>
      <c r="DR1" s="40">
        <v>121</v>
      </c>
      <c r="DS1" s="40">
        <v>122</v>
      </c>
      <c r="DT1" s="40">
        <v>123</v>
      </c>
      <c r="DU1" s="40">
        <v>124</v>
      </c>
      <c r="DV1" s="40">
        <v>125</v>
      </c>
      <c r="DW1" s="40">
        <v>126</v>
      </c>
      <c r="DX1" s="40">
        <v>127</v>
      </c>
      <c r="DY1" s="40">
        <v>128</v>
      </c>
      <c r="DZ1" s="40">
        <v>129</v>
      </c>
      <c r="EA1" s="40">
        <v>130</v>
      </c>
      <c r="EB1" s="40">
        <v>131</v>
      </c>
      <c r="EC1" s="40">
        <v>132</v>
      </c>
      <c r="ED1" s="40">
        <v>133</v>
      </c>
      <c r="EE1" s="40">
        <v>134</v>
      </c>
      <c r="EF1" s="40">
        <v>135</v>
      </c>
      <c r="EG1" s="40">
        <v>136</v>
      </c>
      <c r="EH1" s="40">
        <v>137</v>
      </c>
      <c r="EI1" s="40">
        <v>138</v>
      </c>
      <c r="EJ1" s="40">
        <v>139</v>
      </c>
      <c r="EK1" s="40">
        <v>140</v>
      </c>
      <c r="EL1" s="40">
        <v>141</v>
      </c>
      <c r="EM1" s="40">
        <v>142</v>
      </c>
      <c r="EN1" s="40">
        <v>143</v>
      </c>
      <c r="EO1" s="40">
        <v>144</v>
      </c>
      <c r="EP1" s="40">
        <v>145</v>
      </c>
      <c r="EQ1" s="40">
        <v>146</v>
      </c>
      <c r="ER1" s="40">
        <v>147</v>
      </c>
      <c r="ES1" s="40">
        <v>148</v>
      </c>
      <c r="ET1" s="40">
        <v>149</v>
      </c>
      <c r="EU1" s="40">
        <v>150</v>
      </c>
      <c r="EV1" s="40">
        <v>151</v>
      </c>
      <c r="EW1" s="40">
        <v>152</v>
      </c>
      <c r="EX1" s="40">
        <v>153</v>
      </c>
      <c r="EY1" s="40">
        <v>154</v>
      </c>
      <c r="EZ1" s="40">
        <v>155</v>
      </c>
      <c r="FA1" s="40">
        <v>156</v>
      </c>
      <c r="FB1" s="40">
        <v>157</v>
      </c>
      <c r="FC1" s="40">
        <v>158</v>
      </c>
      <c r="FD1" s="40">
        <v>159</v>
      </c>
      <c r="FE1" s="40">
        <v>160</v>
      </c>
      <c r="FF1" s="40">
        <v>161</v>
      </c>
      <c r="FG1" s="40">
        <v>162</v>
      </c>
      <c r="FH1" s="40">
        <v>163</v>
      </c>
      <c r="FI1" s="40">
        <v>164</v>
      </c>
      <c r="FJ1" s="40">
        <v>165</v>
      </c>
      <c r="FK1" s="40">
        <v>166</v>
      </c>
      <c r="FL1" s="40">
        <v>167</v>
      </c>
      <c r="FM1" s="40">
        <v>168</v>
      </c>
      <c r="FN1" s="40">
        <v>169</v>
      </c>
      <c r="FO1" s="40">
        <v>170</v>
      </c>
      <c r="FP1" s="40">
        <v>171</v>
      </c>
      <c r="FQ1" s="40">
        <v>172</v>
      </c>
      <c r="FR1" s="40">
        <v>173</v>
      </c>
      <c r="FS1" s="40">
        <v>174</v>
      </c>
      <c r="FT1" s="40">
        <v>175</v>
      </c>
      <c r="FU1" s="40">
        <v>176</v>
      </c>
      <c r="FV1" s="40">
        <v>177</v>
      </c>
      <c r="FW1" s="40">
        <v>178</v>
      </c>
      <c r="FX1" s="40">
        <v>179</v>
      </c>
      <c r="FY1" s="40">
        <v>180</v>
      </c>
      <c r="FZ1" s="40">
        <v>181</v>
      </c>
      <c r="GA1" s="40">
        <v>182</v>
      </c>
      <c r="GB1" s="40">
        <v>183</v>
      </c>
      <c r="GC1" s="40">
        <v>184</v>
      </c>
      <c r="GD1" s="40">
        <v>185</v>
      </c>
      <c r="GE1" s="40">
        <v>186</v>
      </c>
      <c r="GF1" s="40">
        <v>187</v>
      </c>
      <c r="GG1" s="40">
        <v>188</v>
      </c>
      <c r="GH1" s="40">
        <v>189</v>
      </c>
      <c r="GI1" s="40">
        <v>190</v>
      </c>
      <c r="GJ1" s="40">
        <v>191</v>
      </c>
      <c r="GK1" s="40">
        <v>192</v>
      </c>
      <c r="GL1" s="40">
        <v>193</v>
      </c>
      <c r="GM1" s="40">
        <v>194</v>
      </c>
      <c r="GN1" s="40">
        <v>195</v>
      </c>
      <c r="GO1" s="40">
        <v>196</v>
      </c>
      <c r="GP1" s="40">
        <v>197</v>
      </c>
      <c r="GQ1" s="40">
        <v>198</v>
      </c>
      <c r="GR1" s="40">
        <v>199</v>
      </c>
      <c r="GS1" s="40">
        <v>200</v>
      </c>
      <c r="GT1" s="40">
        <v>201</v>
      </c>
      <c r="GU1" s="40">
        <v>202</v>
      </c>
      <c r="GV1" s="40">
        <v>203</v>
      </c>
      <c r="GW1" s="40">
        <v>204</v>
      </c>
      <c r="GX1" s="40">
        <v>205</v>
      </c>
      <c r="GY1" s="40">
        <v>206</v>
      </c>
      <c r="GZ1" s="40">
        <v>207</v>
      </c>
      <c r="HA1" s="40">
        <v>208</v>
      </c>
      <c r="HB1" s="40">
        <v>209</v>
      </c>
      <c r="HC1" s="40">
        <v>210</v>
      </c>
      <c r="HD1" s="40">
        <v>211</v>
      </c>
      <c r="HE1" s="40">
        <v>212</v>
      </c>
      <c r="HF1" s="40">
        <v>213</v>
      </c>
      <c r="HG1" s="40">
        <v>214</v>
      </c>
      <c r="HH1" s="40">
        <v>215</v>
      </c>
      <c r="HI1" s="40">
        <v>216</v>
      </c>
      <c r="HJ1" s="40">
        <v>217</v>
      </c>
      <c r="HK1" s="40">
        <v>218</v>
      </c>
      <c r="HL1" s="40">
        <v>219</v>
      </c>
      <c r="HM1" s="40">
        <v>220</v>
      </c>
      <c r="HN1" s="40">
        <v>221</v>
      </c>
      <c r="HO1" s="40">
        <v>222</v>
      </c>
      <c r="HP1" s="40">
        <v>223</v>
      </c>
      <c r="HQ1" s="40">
        <v>224</v>
      </c>
      <c r="HR1" s="40">
        <v>225</v>
      </c>
      <c r="HS1" s="40">
        <v>226</v>
      </c>
      <c r="HT1" s="40">
        <v>227</v>
      </c>
      <c r="HU1" s="40">
        <v>228</v>
      </c>
      <c r="HV1" s="40">
        <v>229</v>
      </c>
      <c r="HW1" s="40">
        <v>230</v>
      </c>
      <c r="HX1" s="40">
        <v>231</v>
      </c>
      <c r="HY1" s="40">
        <v>232</v>
      </c>
      <c r="HZ1" s="40">
        <v>233</v>
      </c>
      <c r="IA1" s="40">
        <v>234</v>
      </c>
      <c r="IB1" s="40">
        <v>235</v>
      </c>
      <c r="IC1" s="40">
        <v>236</v>
      </c>
      <c r="ID1" s="40">
        <v>237</v>
      </c>
      <c r="IE1" s="40">
        <v>238</v>
      </c>
      <c r="IF1" s="40">
        <v>239</v>
      </c>
      <c r="IG1" s="40">
        <v>240</v>
      </c>
      <c r="IH1" s="40">
        <v>241</v>
      </c>
      <c r="II1" s="40">
        <v>242</v>
      </c>
      <c r="IJ1" s="40">
        <v>243</v>
      </c>
      <c r="IK1" s="40">
        <v>244</v>
      </c>
      <c r="IL1" s="40">
        <v>245</v>
      </c>
      <c r="IM1" s="40">
        <v>246</v>
      </c>
      <c r="IN1" s="40">
        <v>247</v>
      </c>
      <c r="IO1" s="40">
        <v>248</v>
      </c>
      <c r="IP1" s="40">
        <v>249</v>
      </c>
      <c r="IQ1" s="40">
        <v>250</v>
      </c>
      <c r="IR1" s="40">
        <v>251</v>
      </c>
      <c r="IS1" s="40">
        <v>252</v>
      </c>
      <c r="IT1" s="40">
        <v>253</v>
      </c>
      <c r="IU1" s="40">
        <v>254</v>
      </c>
      <c r="IV1" s="40">
        <v>255</v>
      </c>
      <c r="IW1" s="40">
        <v>256</v>
      </c>
      <c r="IX1" s="40">
        <v>257</v>
      </c>
      <c r="IY1" s="40">
        <v>258</v>
      </c>
      <c r="IZ1" s="40">
        <v>259</v>
      </c>
      <c r="JA1" s="40">
        <v>260</v>
      </c>
      <c r="JB1" s="40">
        <v>261</v>
      </c>
      <c r="JC1" s="40">
        <v>262</v>
      </c>
      <c r="JD1" s="40">
        <v>263</v>
      </c>
      <c r="JE1" s="40">
        <v>264</v>
      </c>
      <c r="JF1" s="40">
        <v>265</v>
      </c>
      <c r="JG1" s="40">
        <v>266</v>
      </c>
      <c r="JH1" s="40">
        <v>267</v>
      </c>
      <c r="JI1" s="40">
        <v>268</v>
      </c>
      <c r="JJ1" s="40">
        <v>269</v>
      </c>
      <c r="JK1" s="40">
        <v>270</v>
      </c>
      <c r="JL1" s="40">
        <v>271</v>
      </c>
      <c r="JM1" s="40">
        <v>272</v>
      </c>
      <c r="JN1" s="40">
        <v>273</v>
      </c>
      <c r="JO1" s="40">
        <v>274</v>
      </c>
      <c r="JP1" s="40">
        <v>275</v>
      </c>
      <c r="JQ1" s="40">
        <v>276</v>
      </c>
      <c r="JR1" s="40">
        <v>277</v>
      </c>
      <c r="JS1" s="40">
        <v>278</v>
      </c>
      <c r="JT1" s="40">
        <v>279</v>
      </c>
      <c r="JU1" s="40">
        <v>280</v>
      </c>
      <c r="JV1" s="40">
        <v>281</v>
      </c>
      <c r="JW1" s="40">
        <v>282</v>
      </c>
      <c r="JX1" s="40">
        <v>283</v>
      </c>
      <c r="JY1" s="40">
        <v>284</v>
      </c>
      <c r="JZ1" s="40">
        <v>285</v>
      </c>
      <c r="KA1" s="40">
        <v>286</v>
      </c>
      <c r="KB1" s="40">
        <v>287</v>
      </c>
      <c r="KC1" s="40">
        <v>288</v>
      </c>
      <c r="KD1" s="40">
        <v>289</v>
      </c>
      <c r="KE1" s="40">
        <v>290</v>
      </c>
      <c r="KF1" s="40">
        <v>291</v>
      </c>
      <c r="KG1" s="40">
        <v>292</v>
      </c>
      <c r="KH1" s="40">
        <v>293</v>
      </c>
      <c r="KI1" s="40">
        <v>294</v>
      </c>
      <c r="KJ1" s="40">
        <v>295</v>
      </c>
      <c r="KK1" s="40">
        <v>296</v>
      </c>
      <c r="KL1" s="40">
        <v>297</v>
      </c>
      <c r="KM1" s="40">
        <v>298</v>
      </c>
      <c r="KN1" s="40">
        <v>299</v>
      </c>
      <c r="KO1" s="40">
        <v>300</v>
      </c>
      <c r="KP1" s="40">
        <v>301</v>
      </c>
      <c r="KQ1" s="40">
        <v>302</v>
      </c>
      <c r="KR1" s="40">
        <v>303</v>
      </c>
      <c r="KS1" s="40">
        <v>304</v>
      </c>
      <c r="KT1" s="40">
        <v>305</v>
      </c>
      <c r="KU1" s="40">
        <v>306</v>
      </c>
      <c r="KV1" s="40">
        <v>307</v>
      </c>
      <c r="KW1" s="40">
        <v>308</v>
      </c>
      <c r="KX1" s="40">
        <v>309</v>
      </c>
      <c r="KY1" s="40">
        <v>310</v>
      </c>
      <c r="KZ1" s="40">
        <v>311</v>
      </c>
      <c r="LA1" s="40">
        <v>312</v>
      </c>
      <c r="LB1" s="40">
        <v>313</v>
      </c>
      <c r="LC1" s="40">
        <v>314</v>
      </c>
      <c r="LD1" s="40">
        <v>315</v>
      </c>
      <c r="LE1" s="40">
        <v>316</v>
      </c>
      <c r="LF1" s="40">
        <v>317</v>
      </c>
      <c r="LG1" s="40">
        <v>318</v>
      </c>
      <c r="LH1" s="40">
        <v>319</v>
      </c>
      <c r="LI1" s="40">
        <v>320</v>
      </c>
      <c r="LJ1" s="40">
        <v>321</v>
      </c>
      <c r="LK1" s="40">
        <v>322</v>
      </c>
      <c r="LL1" s="40">
        <v>323</v>
      </c>
      <c r="LM1" s="40">
        <v>324</v>
      </c>
      <c r="LN1" s="40">
        <v>325</v>
      </c>
      <c r="LO1" s="40">
        <v>326</v>
      </c>
      <c r="LP1" s="40">
        <v>327</v>
      </c>
      <c r="LQ1" s="40">
        <v>328</v>
      </c>
      <c r="LR1" s="40">
        <v>329</v>
      </c>
      <c r="LS1" s="40">
        <v>330</v>
      </c>
      <c r="LT1" s="40">
        <v>331</v>
      </c>
      <c r="LU1" s="40">
        <v>332</v>
      </c>
      <c r="LV1" s="40">
        <v>333</v>
      </c>
      <c r="LW1" s="40">
        <v>334</v>
      </c>
      <c r="LX1" s="40">
        <v>335</v>
      </c>
      <c r="LY1" s="40">
        <v>336</v>
      </c>
      <c r="LZ1" s="40">
        <v>337</v>
      </c>
      <c r="MA1" s="40">
        <v>338</v>
      </c>
      <c r="MB1" s="40">
        <v>339</v>
      </c>
      <c r="MC1" s="40">
        <v>340</v>
      </c>
      <c r="MD1" s="40">
        <v>341</v>
      </c>
      <c r="ME1" s="40">
        <v>342</v>
      </c>
      <c r="MF1" s="40">
        <v>343</v>
      </c>
      <c r="MG1" s="40">
        <v>344</v>
      </c>
      <c r="MH1" s="40">
        <v>345</v>
      </c>
      <c r="MI1" s="40">
        <v>346</v>
      </c>
      <c r="MJ1" s="40">
        <v>347</v>
      </c>
      <c r="MK1" s="40">
        <v>348</v>
      </c>
      <c r="ML1" s="40">
        <v>349</v>
      </c>
      <c r="MM1" s="40">
        <v>350</v>
      </c>
      <c r="MN1" s="40">
        <v>351</v>
      </c>
      <c r="MO1" s="40">
        <v>352</v>
      </c>
      <c r="MP1" s="40">
        <v>353</v>
      </c>
      <c r="MQ1" s="40">
        <v>354</v>
      </c>
      <c r="MR1" s="40">
        <v>355</v>
      </c>
      <c r="MS1" s="40">
        <v>356</v>
      </c>
      <c r="MT1" s="40">
        <v>357</v>
      </c>
      <c r="MU1" s="40">
        <v>358</v>
      </c>
      <c r="MV1" s="40">
        <v>359</v>
      </c>
      <c r="MW1" s="40">
        <v>360</v>
      </c>
      <c r="MX1" s="40">
        <v>361</v>
      </c>
      <c r="MY1" s="40">
        <v>362</v>
      </c>
      <c r="MZ1" s="40">
        <v>363</v>
      </c>
      <c r="NA1" s="40">
        <v>364</v>
      </c>
      <c r="NB1" s="40">
        <v>365</v>
      </c>
      <c r="NC1" s="40">
        <v>366</v>
      </c>
      <c r="ND1" s="40">
        <v>367</v>
      </c>
      <c r="NE1" s="40">
        <v>368</v>
      </c>
      <c r="NF1" s="40">
        <v>369</v>
      </c>
      <c r="NG1" s="40">
        <v>370</v>
      </c>
      <c r="NH1" s="40">
        <v>371</v>
      </c>
      <c r="NI1" s="40">
        <v>372</v>
      </c>
      <c r="NJ1" s="40">
        <v>373</v>
      </c>
      <c r="NK1" s="40">
        <v>374</v>
      </c>
      <c r="NL1" s="40">
        <v>375</v>
      </c>
      <c r="NM1" s="40">
        <v>376</v>
      </c>
      <c r="NN1" s="40">
        <v>377</v>
      </c>
      <c r="NO1" s="40">
        <v>378</v>
      </c>
      <c r="NP1" s="40">
        <v>379</v>
      </c>
      <c r="NQ1" s="40">
        <v>380</v>
      </c>
      <c r="NR1" s="40">
        <v>381</v>
      </c>
      <c r="NS1" s="40">
        <v>382</v>
      </c>
      <c r="NT1" s="40">
        <v>383</v>
      </c>
      <c r="NU1" s="40">
        <v>384</v>
      </c>
      <c r="NV1" s="40">
        <v>385</v>
      </c>
      <c r="NW1" s="40">
        <v>386</v>
      </c>
      <c r="NX1" s="40">
        <v>387</v>
      </c>
      <c r="NY1" s="40">
        <v>388</v>
      </c>
      <c r="NZ1" s="40">
        <v>389</v>
      </c>
      <c r="OA1" s="40">
        <v>390</v>
      </c>
      <c r="OB1" s="40">
        <v>391</v>
      </c>
      <c r="OC1" s="40">
        <v>392</v>
      </c>
      <c r="OD1" s="40">
        <v>393</v>
      </c>
      <c r="OE1" s="40">
        <v>394</v>
      </c>
      <c r="OF1" s="40">
        <v>395</v>
      </c>
      <c r="OG1" s="40">
        <v>396</v>
      </c>
      <c r="OH1" s="40">
        <v>397</v>
      </c>
      <c r="OI1" s="40">
        <v>398</v>
      </c>
      <c r="OJ1" s="40">
        <v>399</v>
      </c>
      <c r="OK1" s="40">
        <v>400</v>
      </c>
      <c r="OL1" s="40">
        <v>401</v>
      </c>
      <c r="OM1" s="40">
        <v>402</v>
      </c>
      <c r="ON1" s="40">
        <v>403</v>
      </c>
      <c r="OO1" s="40">
        <v>404</v>
      </c>
      <c r="OP1" s="40">
        <v>405</v>
      </c>
      <c r="OQ1" s="40">
        <v>406</v>
      </c>
      <c r="OR1" s="40">
        <v>407</v>
      </c>
      <c r="OS1" s="40">
        <v>408</v>
      </c>
      <c r="OT1" s="40">
        <v>409</v>
      </c>
      <c r="OU1" s="40">
        <v>410</v>
      </c>
      <c r="OV1" s="40">
        <v>411</v>
      </c>
      <c r="OW1" s="40">
        <v>412</v>
      </c>
      <c r="OX1" s="40">
        <v>413</v>
      </c>
      <c r="OY1" s="40">
        <v>414</v>
      </c>
      <c r="OZ1" s="40">
        <v>415</v>
      </c>
      <c r="PA1" s="40">
        <v>416</v>
      </c>
      <c r="PB1" s="40">
        <v>417</v>
      </c>
      <c r="PC1" s="40">
        <v>418</v>
      </c>
      <c r="PD1" s="40">
        <v>419</v>
      </c>
      <c r="PE1" s="40">
        <v>420</v>
      </c>
      <c r="PF1" s="40">
        <v>421</v>
      </c>
      <c r="PG1" s="40">
        <v>422</v>
      </c>
      <c r="PH1" s="40">
        <v>423</v>
      </c>
      <c r="PI1" s="40">
        <v>424</v>
      </c>
      <c r="PJ1" s="40">
        <v>425</v>
      </c>
      <c r="PK1" s="40">
        <v>426</v>
      </c>
      <c r="PL1" s="40">
        <v>427</v>
      </c>
      <c r="PM1" s="40">
        <v>428</v>
      </c>
      <c r="PN1" s="40">
        <v>429</v>
      </c>
      <c r="PO1" s="40">
        <v>430</v>
      </c>
      <c r="PP1" s="40">
        <v>431</v>
      </c>
      <c r="PQ1" s="40">
        <v>432</v>
      </c>
      <c r="PR1" s="40">
        <v>433</v>
      </c>
      <c r="PS1" s="40">
        <v>434</v>
      </c>
      <c r="PT1" s="40">
        <v>435</v>
      </c>
      <c r="PU1" s="40">
        <v>436</v>
      </c>
      <c r="PV1" s="40">
        <v>437</v>
      </c>
      <c r="PW1" s="40">
        <v>438</v>
      </c>
      <c r="PX1" s="40">
        <v>439</v>
      </c>
      <c r="PY1" s="40">
        <v>440</v>
      </c>
      <c r="PZ1" s="40">
        <v>441</v>
      </c>
      <c r="QA1" s="40">
        <v>442</v>
      </c>
      <c r="QB1" s="40">
        <v>443</v>
      </c>
      <c r="QC1" s="40">
        <v>444</v>
      </c>
      <c r="QD1" s="40">
        <v>445</v>
      </c>
      <c r="QE1" s="40">
        <v>446</v>
      </c>
      <c r="QF1" s="40">
        <v>447</v>
      </c>
      <c r="QG1" s="40">
        <v>448</v>
      </c>
      <c r="QH1" s="40">
        <v>449</v>
      </c>
      <c r="QI1" s="40">
        <v>450</v>
      </c>
      <c r="QJ1" s="40">
        <v>451</v>
      </c>
      <c r="QK1" s="40">
        <v>452</v>
      </c>
      <c r="QL1" s="40">
        <v>453</v>
      </c>
      <c r="QM1" s="40">
        <v>454</v>
      </c>
      <c r="QN1" s="40">
        <v>455</v>
      </c>
      <c r="QO1" s="40">
        <v>456</v>
      </c>
      <c r="QP1" s="40">
        <v>457</v>
      </c>
      <c r="QQ1" s="40">
        <v>458</v>
      </c>
      <c r="QR1" s="40">
        <v>459</v>
      </c>
      <c r="QS1" s="40">
        <v>460</v>
      </c>
      <c r="QT1" s="40">
        <v>461</v>
      </c>
      <c r="QU1" s="40">
        <v>462</v>
      </c>
      <c r="QV1" s="40">
        <v>463</v>
      </c>
      <c r="QW1" s="40">
        <v>464</v>
      </c>
      <c r="QX1" s="40">
        <v>465</v>
      </c>
      <c r="QY1" s="40">
        <v>466</v>
      </c>
      <c r="QZ1" s="40">
        <v>467</v>
      </c>
      <c r="RA1" s="40">
        <v>468</v>
      </c>
      <c r="RB1" s="40">
        <v>469</v>
      </c>
      <c r="RC1" s="40">
        <v>470</v>
      </c>
      <c r="RD1" s="40">
        <v>471</v>
      </c>
      <c r="RE1" s="40">
        <v>472</v>
      </c>
    </row>
    <row r="2" spans="1:473" s="56" customFormat="1" ht="56.25">
      <c r="A2" s="43" t="s">
        <v>611</v>
      </c>
      <c r="B2" s="44" t="s">
        <v>99</v>
      </c>
      <c r="C2" s="44" t="s">
        <v>100</v>
      </c>
      <c r="D2" s="44" t="s">
        <v>101</v>
      </c>
      <c r="E2" s="44" t="s">
        <v>102</v>
      </c>
      <c r="F2" s="44" t="s">
        <v>103</v>
      </c>
      <c r="G2" s="44" t="s">
        <v>104</v>
      </c>
      <c r="H2" s="44" t="s">
        <v>105</v>
      </c>
      <c r="I2" s="44" t="s">
        <v>106</v>
      </c>
      <c r="J2" s="44" t="s">
        <v>107</v>
      </c>
      <c r="K2" s="44" t="s">
        <v>108</v>
      </c>
      <c r="L2" s="44" t="s">
        <v>109</v>
      </c>
      <c r="M2" s="44" t="s">
        <v>110</v>
      </c>
      <c r="N2" s="44" t="s">
        <v>111</v>
      </c>
      <c r="O2" s="44" t="s">
        <v>112</v>
      </c>
      <c r="P2" s="44" t="s">
        <v>612</v>
      </c>
      <c r="Q2" s="44" t="s">
        <v>613</v>
      </c>
      <c r="R2" s="44" t="s">
        <v>614</v>
      </c>
      <c r="S2" s="44" t="s">
        <v>615</v>
      </c>
      <c r="T2" s="44" t="s">
        <v>616</v>
      </c>
      <c r="U2" s="44" t="s">
        <v>617</v>
      </c>
      <c r="V2" s="44" t="s">
        <v>618</v>
      </c>
      <c r="W2" s="44" t="s">
        <v>619</v>
      </c>
      <c r="X2" s="44" t="s">
        <v>620</v>
      </c>
      <c r="Y2" s="44" t="s">
        <v>621</v>
      </c>
      <c r="Z2" s="44" t="s">
        <v>622</v>
      </c>
      <c r="AA2" s="44" t="s">
        <v>623</v>
      </c>
      <c r="AB2" s="44" t="s">
        <v>624</v>
      </c>
      <c r="AC2" s="44" t="s">
        <v>625</v>
      </c>
      <c r="AD2" s="44" t="s">
        <v>626</v>
      </c>
      <c r="AE2" s="44" t="s">
        <v>627</v>
      </c>
      <c r="AF2" s="44" t="s">
        <v>628</v>
      </c>
      <c r="AG2" s="44" t="s">
        <v>629</v>
      </c>
      <c r="AH2" s="44" t="s">
        <v>630</v>
      </c>
      <c r="AI2" s="44" t="s">
        <v>631</v>
      </c>
      <c r="AJ2" s="44" t="s">
        <v>632</v>
      </c>
      <c r="AK2" s="44" t="s">
        <v>633</v>
      </c>
      <c r="AL2" s="44" t="s">
        <v>634</v>
      </c>
      <c r="AM2" s="44" t="s">
        <v>635</v>
      </c>
      <c r="AN2" s="44" t="s">
        <v>636</v>
      </c>
      <c r="AO2" s="44" t="s">
        <v>637</v>
      </c>
      <c r="AP2" s="44" t="s">
        <v>638</v>
      </c>
      <c r="AQ2" s="44" t="s">
        <v>639</v>
      </c>
      <c r="AR2" s="44" t="s">
        <v>640</v>
      </c>
      <c r="AS2" s="44" t="s">
        <v>641</v>
      </c>
      <c r="AT2" s="44" t="s">
        <v>642</v>
      </c>
      <c r="AU2" s="44" t="s">
        <v>643</v>
      </c>
      <c r="AV2" s="44" t="s">
        <v>644</v>
      </c>
      <c r="AW2" s="44" t="s">
        <v>645</v>
      </c>
      <c r="AX2" s="44" t="s">
        <v>646</v>
      </c>
      <c r="AY2" s="44" t="s">
        <v>647</v>
      </c>
      <c r="AZ2" s="44" t="s">
        <v>648</v>
      </c>
      <c r="BA2" s="44" t="s">
        <v>649</v>
      </c>
      <c r="BB2" s="44" t="s">
        <v>650</v>
      </c>
      <c r="BC2" s="44" t="s">
        <v>651</v>
      </c>
      <c r="BD2" s="44" t="s">
        <v>652</v>
      </c>
      <c r="BE2" s="44" t="s">
        <v>653</v>
      </c>
      <c r="BF2" s="44" t="s">
        <v>654</v>
      </c>
      <c r="BG2" s="44" t="s">
        <v>655</v>
      </c>
      <c r="BH2" s="44" t="s">
        <v>656</v>
      </c>
      <c r="BI2" s="44" t="s">
        <v>657</v>
      </c>
      <c r="BJ2" s="44" t="s">
        <v>658</v>
      </c>
      <c r="BK2" s="44" t="s">
        <v>659</v>
      </c>
      <c r="BL2" s="44" t="s">
        <v>660</v>
      </c>
      <c r="BM2" s="44" t="s">
        <v>661</v>
      </c>
      <c r="BN2" s="44" t="s">
        <v>662</v>
      </c>
      <c r="BO2" s="44" t="s">
        <v>663</v>
      </c>
      <c r="BP2" s="44" t="s">
        <v>664</v>
      </c>
      <c r="BQ2" s="44" t="s">
        <v>665</v>
      </c>
      <c r="BR2" s="44" t="s">
        <v>666</v>
      </c>
      <c r="BS2" s="44" t="s">
        <v>667</v>
      </c>
      <c r="BT2" s="44" t="s">
        <v>668</v>
      </c>
      <c r="BU2" s="44" t="s">
        <v>669</v>
      </c>
      <c r="BV2" s="44" t="s">
        <v>670</v>
      </c>
      <c r="BW2" s="44" t="s">
        <v>671</v>
      </c>
      <c r="BX2" s="44" t="s">
        <v>672</v>
      </c>
      <c r="BY2" s="44" t="s">
        <v>673</v>
      </c>
      <c r="BZ2" s="44" t="s">
        <v>674</v>
      </c>
      <c r="CA2" s="44" t="s">
        <v>675</v>
      </c>
      <c r="CB2" s="44" t="s">
        <v>676</v>
      </c>
      <c r="CC2" s="44" t="s">
        <v>677</v>
      </c>
      <c r="CD2" s="45" t="s">
        <v>1076</v>
      </c>
      <c r="CE2" s="44" t="s">
        <v>678</v>
      </c>
      <c r="CF2" s="44" t="s">
        <v>679</v>
      </c>
      <c r="CG2" s="44" t="s">
        <v>680</v>
      </c>
      <c r="CH2" s="44" t="s">
        <v>681</v>
      </c>
      <c r="CI2" s="44" t="s">
        <v>682</v>
      </c>
      <c r="CJ2" s="44" t="s">
        <v>683</v>
      </c>
      <c r="CK2" s="44" t="s">
        <v>684</v>
      </c>
      <c r="CL2" s="44" t="s">
        <v>685</v>
      </c>
      <c r="CM2" s="44" t="s">
        <v>686</v>
      </c>
      <c r="CN2" s="44" t="s">
        <v>687</v>
      </c>
      <c r="CO2" s="44" t="s">
        <v>688</v>
      </c>
      <c r="CP2" s="44" t="s">
        <v>689</v>
      </c>
      <c r="CQ2" s="44" t="s">
        <v>690</v>
      </c>
      <c r="CR2" s="44" t="s">
        <v>691</v>
      </c>
      <c r="CS2" s="44" t="s">
        <v>692</v>
      </c>
      <c r="CT2" s="44" t="s">
        <v>693</v>
      </c>
      <c r="CU2" s="46" t="s">
        <v>694</v>
      </c>
      <c r="CV2" s="44" t="s">
        <v>695</v>
      </c>
      <c r="CW2" s="44" t="s">
        <v>696</v>
      </c>
      <c r="CX2" s="44" t="s">
        <v>697</v>
      </c>
      <c r="CY2" s="44" t="s">
        <v>698</v>
      </c>
      <c r="CZ2" s="44" t="s">
        <v>699</v>
      </c>
      <c r="DA2" s="44" t="s">
        <v>700</v>
      </c>
      <c r="DB2" s="44" t="s">
        <v>701</v>
      </c>
      <c r="DC2" s="44" t="s">
        <v>702</v>
      </c>
      <c r="DD2" s="44" t="s">
        <v>703</v>
      </c>
      <c r="DE2" s="44" t="s">
        <v>704</v>
      </c>
      <c r="DF2" s="47" t="s">
        <v>705</v>
      </c>
      <c r="DG2" s="44" t="s">
        <v>706</v>
      </c>
      <c r="DH2" s="44" t="s">
        <v>707</v>
      </c>
      <c r="DI2" s="44" t="s">
        <v>708</v>
      </c>
      <c r="DJ2" s="44" t="s">
        <v>709</v>
      </c>
      <c r="DK2" s="44" t="s">
        <v>710</v>
      </c>
      <c r="DL2" s="44" t="s">
        <v>711</v>
      </c>
      <c r="DM2" s="44" t="s">
        <v>712</v>
      </c>
      <c r="DN2" s="44" t="s">
        <v>713</v>
      </c>
      <c r="DO2" s="44" t="s">
        <v>714</v>
      </c>
      <c r="DP2" s="44" t="s">
        <v>715</v>
      </c>
      <c r="DQ2" s="44" t="s">
        <v>716</v>
      </c>
      <c r="DR2" s="44" t="s">
        <v>717</v>
      </c>
      <c r="DS2" s="44" t="s">
        <v>718</v>
      </c>
      <c r="DT2" s="44" t="s">
        <v>719</v>
      </c>
      <c r="DU2" s="44" t="s">
        <v>720</v>
      </c>
      <c r="DV2" s="44" t="s">
        <v>721</v>
      </c>
      <c r="DW2" s="44" t="s">
        <v>722</v>
      </c>
      <c r="DX2" s="44" t="s">
        <v>723</v>
      </c>
      <c r="DY2" s="44" t="s">
        <v>724</v>
      </c>
      <c r="DZ2" s="44" t="s">
        <v>725</v>
      </c>
      <c r="EA2" s="44" t="s">
        <v>726</v>
      </c>
      <c r="EB2" s="44" t="s">
        <v>727</v>
      </c>
      <c r="EC2" s="44" t="s">
        <v>728</v>
      </c>
      <c r="ED2" s="44" t="s">
        <v>729</v>
      </c>
      <c r="EE2" s="44" t="s">
        <v>730</v>
      </c>
      <c r="EF2" s="44" t="s">
        <v>731</v>
      </c>
      <c r="EG2" s="44" t="s">
        <v>732</v>
      </c>
      <c r="EH2" s="44" t="s">
        <v>733</v>
      </c>
      <c r="EI2" s="44" t="s">
        <v>734</v>
      </c>
      <c r="EJ2" s="44" t="s">
        <v>735</v>
      </c>
      <c r="EK2" s="44" t="s">
        <v>736</v>
      </c>
      <c r="EL2" s="44" t="s">
        <v>737</v>
      </c>
      <c r="EM2" s="44" t="s">
        <v>738</v>
      </c>
      <c r="EN2" s="44" t="s">
        <v>739</v>
      </c>
      <c r="EO2" s="44" t="s">
        <v>740</v>
      </c>
      <c r="EP2" s="44" t="s">
        <v>741</v>
      </c>
      <c r="EQ2" s="44" t="s">
        <v>742</v>
      </c>
      <c r="ER2" s="44" t="s">
        <v>743</v>
      </c>
      <c r="ES2" s="44" t="s">
        <v>744</v>
      </c>
      <c r="ET2" s="44" t="s">
        <v>745</v>
      </c>
      <c r="EU2" s="44" t="s">
        <v>746</v>
      </c>
      <c r="EV2" s="44" t="s">
        <v>747</v>
      </c>
      <c r="EW2" s="44" t="s">
        <v>748</v>
      </c>
      <c r="EX2" s="44" t="s">
        <v>749</v>
      </c>
      <c r="EY2" s="44" t="s">
        <v>750</v>
      </c>
      <c r="EZ2" s="44" t="s">
        <v>751</v>
      </c>
      <c r="FA2" s="44" t="s">
        <v>752</v>
      </c>
      <c r="FB2" s="44" t="s">
        <v>753</v>
      </c>
      <c r="FC2" s="44" t="s">
        <v>754</v>
      </c>
      <c r="FD2" s="44" t="s">
        <v>755</v>
      </c>
      <c r="FE2" s="44" t="s">
        <v>756</v>
      </c>
      <c r="FF2" s="44" t="s">
        <v>757</v>
      </c>
      <c r="FG2" s="44" t="s">
        <v>758</v>
      </c>
      <c r="FH2" s="44" t="s">
        <v>759</v>
      </c>
      <c r="FI2" s="44" t="s">
        <v>760</v>
      </c>
      <c r="FJ2" s="44" t="s">
        <v>761</v>
      </c>
      <c r="FK2" s="44" t="s">
        <v>762</v>
      </c>
      <c r="FL2" s="44" t="s">
        <v>763</v>
      </c>
      <c r="FM2" s="44" t="s">
        <v>764</v>
      </c>
      <c r="FN2" s="44" t="s">
        <v>765</v>
      </c>
      <c r="FO2" s="44" t="s">
        <v>766</v>
      </c>
      <c r="FP2" s="44" t="s">
        <v>767</v>
      </c>
      <c r="FQ2" s="44" t="s">
        <v>768</v>
      </c>
      <c r="FR2" s="44" t="s">
        <v>769</v>
      </c>
      <c r="FS2" s="44" t="s">
        <v>770</v>
      </c>
      <c r="FT2" s="44" t="s">
        <v>771</v>
      </c>
      <c r="FU2" s="44" t="s">
        <v>772</v>
      </c>
      <c r="FV2" s="44" t="s">
        <v>773</v>
      </c>
      <c r="FW2" s="44" t="s">
        <v>774</v>
      </c>
      <c r="FX2" s="44" t="s">
        <v>775</v>
      </c>
      <c r="FY2" s="44" t="s">
        <v>776</v>
      </c>
      <c r="FZ2" s="44" t="s">
        <v>777</v>
      </c>
      <c r="GA2" s="44" t="s">
        <v>778</v>
      </c>
      <c r="GB2" s="44" t="s">
        <v>779</v>
      </c>
      <c r="GC2" s="44" t="s">
        <v>780</v>
      </c>
      <c r="GD2" s="44" t="s">
        <v>781</v>
      </c>
      <c r="GE2" s="44" t="s">
        <v>782</v>
      </c>
      <c r="GF2" s="44" t="s">
        <v>783</v>
      </c>
      <c r="GG2" s="44" t="s">
        <v>784</v>
      </c>
      <c r="GH2" s="44" t="s">
        <v>785</v>
      </c>
      <c r="GI2" s="44" t="s">
        <v>786</v>
      </c>
      <c r="GJ2" s="44" t="s">
        <v>787</v>
      </c>
      <c r="GK2" s="44" t="s">
        <v>788</v>
      </c>
      <c r="GL2" s="44" t="s">
        <v>789</v>
      </c>
      <c r="GM2" s="44" t="s">
        <v>790</v>
      </c>
      <c r="GN2" s="44" t="s">
        <v>791</v>
      </c>
      <c r="GO2" s="44" t="s">
        <v>792</v>
      </c>
      <c r="GP2" s="44" t="s">
        <v>793</v>
      </c>
      <c r="GQ2" s="44" t="s">
        <v>794</v>
      </c>
      <c r="GR2" s="44" t="s">
        <v>795</v>
      </c>
      <c r="GS2" s="44" t="s">
        <v>796</v>
      </c>
      <c r="GT2" s="44" t="s">
        <v>797</v>
      </c>
      <c r="GU2" s="44" t="s">
        <v>798</v>
      </c>
      <c r="GV2" s="44" t="s">
        <v>799</v>
      </c>
      <c r="GW2" s="44" t="s">
        <v>800</v>
      </c>
      <c r="GX2" s="44" t="s">
        <v>801</v>
      </c>
      <c r="GY2" s="44" t="s">
        <v>802</v>
      </c>
      <c r="GZ2" s="44" t="s">
        <v>803</v>
      </c>
      <c r="HA2" s="44" t="s">
        <v>804</v>
      </c>
      <c r="HB2" s="44" t="s">
        <v>805</v>
      </c>
      <c r="HC2" s="44" t="s">
        <v>806</v>
      </c>
      <c r="HD2" s="44" t="s">
        <v>807</v>
      </c>
      <c r="HE2" s="44" t="s">
        <v>808</v>
      </c>
      <c r="HF2" s="44" t="s">
        <v>809</v>
      </c>
      <c r="HG2" s="44" t="s">
        <v>810</v>
      </c>
      <c r="HH2" s="44" t="s">
        <v>811</v>
      </c>
      <c r="HI2" s="44" t="s">
        <v>812</v>
      </c>
      <c r="HJ2" s="44" t="s">
        <v>813</v>
      </c>
      <c r="HK2" s="44" t="s">
        <v>814</v>
      </c>
      <c r="HL2" s="44" t="s">
        <v>815</v>
      </c>
      <c r="HM2" s="44" t="s">
        <v>816</v>
      </c>
      <c r="HN2" s="44" t="s">
        <v>817</v>
      </c>
      <c r="HO2" s="44" t="s">
        <v>818</v>
      </c>
      <c r="HP2" s="44" t="s">
        <v>819</v>
      </c>
      <c r="HQ2" s="44" t="s">
        <v>820</v>
      </c>
      <c r="HR2" s="44" t="s">
        <v>821</v>
      </c>
      <c r="HS2" s="44" t="s">
        <v>822</v>
      </c>
      <c r="HT2" s="44" t="s">
        <v>823</v>
      </c>
      <c r="HU2" s="44" t="s">
        <v>824</v>
      </c>
      <c r="HV2" s="44" t="s">
        <v>825</v>
      </c>
      <c r="HW2" s="44" t="s">
        <v>826</v>
      </c>
      <c r="HX2" s="44" t="s">
        <v>827</v>
      </c>
      <c r="HY2" s="44" t="s">
        <v>828</v>
      </c>
      <c r="HZ2" s="44" t="s">
        <v>829</v>
      </c>
      <c r="IA2" s="44" t="s">
        <v>830</v>
      </c>
      <c r="IB2" s="44" t="s">
        <v>831</v>
      </c>
      <c r="IC2" s="44" t="s">
        <v>832</v>
      </c>
      <c r="ID2" s="44" t="s">
        <v>833</v>
      </c>
      <c r="IE2" s="44" t="s">
        <v>834</v>
      </c>
      <c r="IF2" s="44" t="s">
        <v>835</v>
      </c>
      <c r="IG2" s="44" t="s">
        <v>836</v>
      </c>
      <c r="IH2" s="44" t="s">
        <v>837</v>
      </c>
      <c r="II2" s="44" t="s">
        <v>838</v>
      </c>
      <c r="IJ2" s="44" t="s">
        <v>839</v>
      </c>
      <c r="IK2" s="44" t="s">
        <v>840</v>
      </c>
      <c r="IL2" s="44" t="s">
        <v>841</v>
      </c>
      <c r="IM2" s="44" t="s">
        <v>842</v>
      </c>
      <c r="IN2" s="44" t="s">
        <v>843</v>
      </c>
      <c r="IO2" s="44" t="s">
        <v>844</v>
      </c>
      <c r="IP2" s="44" t="s">
        <v>845</v>
      </c>
      <c r="IQ2" s="44" t="s">
        <v>846</v>
      </c>
      <c r="IR2" s="44" t="s">
        <v>847</v>
      </c>
      <c r="IS2" s="44" t="s">
        <v>848</v>
      </c>
      <c r="IT2" s="44" t="s">
        <v>849</v>
      </c>
      <c r="IU2" s="44" t="s">
        <v>850</v>
      </c>
      <c r="IV2" s="44" t="s">
        <v>851</v>
      </c>
      <c r="IW2" s="44" t="s">
        <v>852</v>
      </c>
      <c r="IX2" s="44" t="s">
        <v>853</v>
      </c>
      <c r="IY2" s="44" t="s">
        <v>854</v>
      </c>
      <c r="IZ2" s="44" t="s">
        <v>855</v>
      </c>
      <c r="JA2" s="44" t="s">
        <v>856</v>
      </c>
      <c r="JB2" s="44" t="s">
        <v>857</v>
      </c>
      <c r="JC2" s="44" t="s">
        <v>858</v>
      </c>
      <c r="JD2" s="44" t="s">
        <v>859</v>
      </c>
      <c r="JE2" s="44" t="s">
        <v>860</v>
      </c>
      <c r="JF2" s="44" t="s">
        <v>861</v>
      </c>
      <c r="JG2" s="44" t="s">
        <v>862</v>
      </c>
      <c r="JH2" s="44" t="s">
        <v>863</v>
      </c>
      <c r="JI2" s="44" t="s">
        <v>864</v>
      </c>
      <c r="JJ2" s="44" t="s">
        <v>865</v>
      </c>
      <c r="JK2" s="44" t="s">
        <v>866</v>
      </c>
      <c r="JL2" s="44" t="s">
        <v>867</v>
      </c>
      <c r="JM2" s="47" t="s">
        <v>868</v>
      </c>
      <c r="JN2" s="44" t="s">
        <v>869</v>
      </c>
      <c r="JO2" s="44" t="s">
        <v>870</v>
      </c>
      <c r="JP2" s="44" t="s">
        <v>871</v>
      </c>
      <c r="JQ2" s="44" t="s">
        <v>872</v>
      </c>
      <c r="JR2" s="44" t="s">
        <v>873</v>
      </c>
      <c r="JS2" s="44" t="s">
        <v>874</v>
      </c>
      <c r="JT2" s="44" t="s">
        <v>875</v>
      </c>
      <c r="JU2" s="44" t="s">
        <v>876</v>
      </c>
      <c r="JV2" s="44" t="s">
        <v>877</v>
      </c>
      <c r="JW2" s="44" t="s">
        <v>878</v>
      </c>
      <c r="JX2" s="44" t="s">
        <v>879</v>
      </c>
      <c r="JY2" s="44" t="s">
        <v>880</v>
      </c>
      <c r="JZ2" s="44" t="s">
        <v>881</v>
      </c>
      <c r="KA2" s="44" t="s">
        <v>882</v>
      </c>
      <c r="KB2" s="44" t="s">
        <v>883</v>
      </c>
      <c r="KC2" s="44" t="s">
        <v>884</v>
      </c>
      <c r="KD2" s="44" t="s">
        <v>885</v>
      </c>
      <c r="KE2" s="44" t="s">
        <v>886</v>
      </c>
      <c r="KF2" s="44" t="s">
        <v>887</v>
      </c>
      <c r="KG2" s="44" t="s">
        <v>888</v>
      </c>
      <c r="KH2" s="44" t="s">
        <v>889</v>
      </c>
      <c r="KI2" s="44" t="s">
        <v>890</v>
      </c>
      <c r="KJ2" s="44" t="s">
        <v>891</v>
      </c>
      <c r="KK2" s="44" t="s">
        <v>892</v>
      </c>
      <c r="KL2" s="44" t="s">
        <v>893</v>
      </c>
      <c r="KM2" s="44" t="s">
        <v>894</v>
      </c>
      <c r="KN2" s="44" t="s">
        <v>895</v>
      </c>
      <c r="KO2" s="44" t="s">
        <v>896</v>
      </c>
      <c r="KP2" s="44" t="s">
        <v>897</v>
      </c>
      <c r="KQ2" s="44" t="s">
        <v>898</v>
      </c>
      <c r="KR2" s="47" t="s">
        <v>899</v>
      </c>
      <c r="KS2" s="44" t="s">
        <v>900</v>
      </c>
      <c r="KT2" s="44" t="s">
        <v>901</v>
      </c>
      <c r="KU2" s="44" t="s">
        <v>902</v>
      </c>
      <c r="KV2" s="44" t="s">
        <v>903</v>
      </c>
      <c r="KW2" s="44" t="s">
        <v>904</v>
      </c>
      <c r="KX2" s="44" t="s">
        <v>905</v>
      </c>
      <c r="KY2" s="44" t="s">
        <v>906</v>
      </c>
      <c r="KZ2" s="44" t="s">
        <v>907</v>
      </c>
      <c r="LA2" s="44" t="s">
        <v>908</v>
      </c>
      <c r="LB2" s="44" t="s">
        <v>909</v>
      </c>
      <c r="LC2" s="44" t="s">
        <v>910</v>
      </c>
      <c r="LD2" s="44" t="s">
        <v>911</v>
      </c>
      <c r="LE2" s="44" t="s">
        <v>912</v>
      </c>
      <c r="LF2" s="44" t="s">
        <v>913</v>
      </c>
      <c r="LG2" s="47" t="s">
        <v>914</v>
      </c>
      <c r="LH2" s="44" t="s">
        <v>915</v>
      </c>
      <c r="LI2" s="44" t="s">
        <v>916</v>
      </c>
      <c r="LJ2" s="44" t="s">
        <v>917</v>
      </c>
      <c r="LK2" s="44" t="s">
        <v>918</v>
      </c>
      <c r="LL2" s="44" t="s">
        <v>919</v>
      </c>
      <c r="LM2" s="44" t="s">
        <v>920</v>
      </c>
      <c r="LN2" s="44" t="s">
        <v>921</v>
      </c>
      <c r="LO2" s="44" t="s">
        <v>922</v>
      </c>
      <c r="LP2" s="44" t="s">
        <v>923</v>
      </c>
      <c r="LQ2" s="44" t="s">
        <v>924</v>
      </c>
      <c r="LR2" s="44" t="s">
        <v>925</v>
      </c>
      <c r="LS2" s="44" t="s">
        <v>926</v>
      </c>
      <c r="LT2" s="44" t="s">
        <v>927</v>
      </c>
      <c r="LU2" s="44" t="s">
        <v>928</v>
      </c>
      <c r="LV2" s="44" t="s">
        <v>929</v>
      </c>
      <c r="LW2" s="44" t="s">
        <v>930</v>
      </c>
      <c r="LX2" s="44" t="s">
        <v>931</v>
      </c>
      <c r="LY2" s="44" t="s">
        <v>932</v>
      </c>
      <c r="LZ2" s="44" t="s">
        <v>933</v>
      </c>
      <c r="MA2" s="44" t="s">
        <v>934</v>
      </c>
      <c r="MB2" s="44" t="s">
        <v>935</v>
      </c>
      <c r="MC2" s="44" t="s">
        <v>936</v>
      </c>
      <c r="MD2" s="44" t="s">
        <v>937</v>
      </c>
      <c r="ME2" s="44" t="s">
        <v>938</v>
      </c>
      <c r="MF2" s="44" t="s">
        <v>939</v>
      </c>
      <c r="MG2" s="44" t="s">
        <v>940</v>
      </c>
      <c r="MH2" s="44" t="s">
        <v>941</v>
      </c>
      <c r="MI2" s="44" t="s">
        <v>942</v>
      </c>
      <c r="MJ2" s="44" t="s">
        <v>943</v>
      </c>
      <c r="MK2" s="47" t="s">
        <v>944</v>
      </c>
      <c r="ML2" s="44" t="s">
        <v>945</v>
      </c>
      <c r="MM2" s="44" t="s">
        <v>946</v>
      </c>
      <c r="MN2" s="44" t="s">
        <v>947</v>
      </c>
      <c r="MO2" s="44" t="s">
        <v>948</v>
      </c>
      <c r="MP2" s="44" t="s">
        <v>949</v>
      </c>
      <c r="MQ2" s="44" t="s">
        <v>950</v>
      </c>
      <c r="MR2" s="44" t="s">
        <v>951</v>
      </c>
      <c r="MS2" s="44" t="s">
        <v>952</v>
      </c>
      <c r="MT2" s="44" t="s">
        <v>953</v>
      </c>
      <c r="MU2" s="44" t="s">
        <v>954</v>
      </c>
      <c r="MV2" s="44" t="s">
        <v>955</v>
      </c>
      <c r="MW2" s="44" t="s">
        <v>956</v>
      </c>
      <c r="MX2" s="44" t="s">
        <v>957</v>
      </c>
      <c r="MY2" s="44" t="s">
        <v>958</v>
      </c>
      <c r="MZ2" s="44" t="s">
        <v>959</v>
      </c>
      <c r="NA2" s="44" t="s">
        <v>960</v>
      </c>
      <c r="NB2" s="44" t="s">
        <v>961</v>
      </c>
      <c r="NC2" s="44" t="s">
        <v>962</v>
      </c>
      <c r="ND2" s="44" t="s">
        <v>963</v>
      </c>
      <c r="NE2" s="44" t="s">
        <v>964</v>
      </c>
      <c r="NF2" s="44" t="s">
        <v>965</v>
      </c>
      <c r="NG2" s="44" t="s">
        <v>966</v>
      </c>
      <c r="NH2" s="44" t="s">
        <v>967</v>
      </c>
      <c r="NI2" s="44" t="s">
        <v>968</v>
      </c>
      <c r="NJ2" s="44" t="s">
        <v>969</v>
      </c>
      <c r="NK2" s="44" t="s">
        <v>970</v>
      </c>
      <c r="NL2" s="44" t="s">
        <v>971</v>
      </c>
      <c r="NM2" s="44" t="s">
        <v>972</v>
      </c>
      <c r="NN2" s="48" t="s">
        <v>1077</v>
      </c>
      <c r="NO2" s="44" t="s">
        <v>973</v>
      </c>
      <c r="NP2" s="44" t="s">
        <v>974</v>
      </c>
      <c r="NQ2" s="44" t="s">
        <v>975</v>
      </c>
      <c r="NR2" s="44" t="s">
        <v>976</v>
      </c>
      <c r="NS2" s="44" t="s">
        <v>977</v>
      </c>
      <c r="NT2" s="44" t="s">
        <v>978</v>
      </c>
      <c r="NU2" s="44" t="s">
        <v>979</v>
      </c>
      <c r="NV2" s="44" t="s">
        <v>980</v>
      </c>
      <c r="NW2" s="44" t="s">
        <v>981</v>
      </c>
      <c r="NX2" s="44" t="s">
        <v>982</v>
      </c>
      <c r="NY2" s="44" t="s">
        <v>983</v>
      </c>
      <c r="NZ2" s="44" t="s">
        <v>984</v>
      </c>
      <c r="OA2" s="44" t="s">
        <v>985</v>
      </c>
      <c r="OB2" s="44" t="s">
        <v>986</v>
      </c>
      <c r="OC2" s="44" t="s">
        <v>987</v>
      </c>
      <c r="OD2" s="44" t="s">
        <v>988</v>
      </c>
      <c r="OE2" s="44" t="s">
        <v>989</v>
      </c>
      <c r="OF2" s="44" t="s">
        <v>990</v>
      </c>
      <c r="OG2" s="44" t="s">
        <v>991</v>
      </c>
      <c r="OH2" s="44" t="s">
        <v>992</v>
      </c>
      <c r="OI2" s="44" t="s">
        <v>993</v>
      </c>
      <c r="OJ2" s="44" t="s">
        <v>994</v>
      </c>
      <c r="OK2" s="44" t="s">
        <v>995</v>
      </c>
      <c r="OL2" s="44" t="s">
        <v>996</v>
      </c>
      <c r="OM2" s="44" t="s">
        <v>997</v>
      </c>
      <c r="ON2" s="44" t="s">
        <v>998</v>
      </c>
      <c r="OO2" s="44" t="s">
        <v>999</v>
      </c>
      <c r="OP2" s="44" t="s">
        <v>1000</v>
      </c>
      <c r="OQ2" s="44" t="s">
        <v>1001</v>
      </c>
      <c r="OR2" s="44" t="s">
        <v>1002</v>
      </c>
      <c r="OS2" s="44" t="s">
        <v>1003</v>
      </c>
      <c r="OT2" s="44" t="s">
        <v>1004</v>
      </c>
      <c r="OU2" s="44" t="s">
        <v>1005</v>
      </c>
      <c r="OV2" s="44" t="s">
        <v>1006</v>
      </c>
      <c r="OW2" s="44" t="s">
        <v>1007</v>
      </c>
      <c r="OX2" s="44" t="s">
        <v>1008</v>
      </c>
      <c r="OY2" s="44" t="s">
        <v>1009</v>
      </c>
      <c r="OZ2" s="44" t="s">
        <v>1010</v>
      </c>
      <c r="PA2" s="44" t="s">
        <v>1011</v>
      </c>
      <c r="PB2" s="44" t="s">
        <v>1012</v>
      </c>
      <c r="PC2" s="44" t="s">
        <v>1013</v>
      </c>
      <c r="PD2" s="44" t="s">
        <v>1014</v>
      </c>
      <c r="PE2" s="44" t="s">
        <v>1015</v>
      </c>
      <c r="PF2" s="44" t="s">
        <v>1016</v>
      </c>
      <c r="PG2" s="44" t="s">
        <v>1017</v>
      </c>
      <c r="PH2" s="48" t="s">
        <v>1078</v>
      </c>
      <c r="PI2" s="44" t="s">
        <v>1018</v>
      </c>
      <c r="PJ2" s="44" t="s">
        <v>1019</v>
      </c>
      <c r="PK2" s="44" t="s">
        <v>1020</v>
      </c>
      <c r="PL2" s="44" t="s">
        <v>1021</v>
      </c>
      <c r="PM2" s="44" t="s">
        <v>1022</v>
      </c>
      <c r="PN2" s="44" t="s">
        <v>1023</v>
      </c>
      <c r="PO2" s="44" t="s">
        <v>1024</v>
      </c>
      <c r="PP2" s="44" t="s">
        <v>1025</v>
      </c>
      <c r="PQ2" s="44" t="s">
        <v>1026</v>
      </c>
      <c r="PR2" s="46" t="s">
        <v>1027</v>
      </c>
      <c r="PS2" s="44" t="s">
        <v>1028</v>
      </c>
      <c r="PT2" s="44" t="s">
        <v>1029</v>
      </c>
      <c r="PU2" s="44" t="s">
        <v>1030</v>
      </c>
      <c r="PV2" s="44" t="s">
        <v>1031</v>
      </c>
      <c r="PW2" s="44" t="s">
        <v>1032</v>
      </c>
      <c r="PX2" s="44" t="s">
        <v>1033</v>
      </c>
      <c r="PY2" s="44" t="s">
        <v>1034</v>
      </c>
      <c r="PZ2" s="44" t="s">
        <v>1035</v>
      </c>
      <c r="QA2" s="44" t="s">
        <v>1036</v>
      </c>
      <c r="QB2" s="44" t="s">
        <v>1037</v>
      </c>
      <c r="QC2" s="44" t="s">
        <v>1038</v>
      </c>
      <c r="QD2" s="44" t="s">
        <v>1039</v>
      </c>
      <c r="QE2" s="44" t="s">
        <v>1040</v>
      </c>
      <c r="QF2" s="44" t="s">
        <v>1041</v>
      </c>
      <c r="QG2" s="44" t="s">
        <v>1042</v>
      </c>
      <c r="QH2" s="44" t="s">
        <v>1043</v>
      </c>
      <c r="QI2" s="44" t="s">
        <v>1044</v>
      </c>
      <c r="QJ2" s="44" t="s">
        <v>1045</v>
      </c>
      <c r="QK2" s="44" t="s">
        <v>1046</v>
      </c>
      <c r="QL2" s="44" t="s">
        <v>1047</v>
      </c>
      <c r="QM2" s="44" t="s">
        <v>1048</v>
      </c>
      <c r="QN2" s="44" t="s">
        <v>1049</v>
      </c>
      <c r="QO2" s="44" t="s">
        <v>1050</v>
      </c>
      <c r="QP2" s="44" t="s">
        <v>1051</v>
      </c>
      <c r="QQ2" s="44" t="s">
        <v>1052</v>
      </c>
      <c r="QR2" s="44" t="s">
        <v>1053</v>
      </c>
      <c r="QS2" s="44" t="s">
        <v>1054</v>
      </c>
      <c r="QT2" s="44" t="s">
        <v>1055</v>
      </c>
      <c r="QU2" s="44" t="s">
        <v>1056</v>
      </c>
      <c r="QV2" s="44" t="s">
        <v>1057</v>
      </c>
      <c r="QW2" s="44" t="s">
        <v>1058</v>
      </c>
      <c r="QX2" s="44" t="s">
        <v>1059</v>
      </c>
      <c r="QY2" s="44" t="s">
        <v>1060</v>
      </c>
      <c r="QZ2" s="44" t="s">
        <v>1061</v>
      </c>
      <c r="RA2" s="44" t="s">
        <v>1062</v>
      </c>
      <c r="RB2" s="44" t="s">
        <v>1063</v>
      </c>
      <c r="RC2" s="44" t="s">
        <v>1064</v>
      </c>
      <c r="RD2" s="44" t="s">
        <v>1065</v>
      </c>
      <c r="RE2" s="44" t="s">
        <v>1066</v>
      </c>
    </row>
    <row r="3" spans="1:473" s="56" customFormat="1" ht="37.5">
      <c r="A3" s="43" t="s">
        <v>1079</v>
      </c>
      <c r="B3" s="74" t="s">
        <v>9</v>
      </c>
      <c r="C3" s="74" t="s">
        <v>9</v>
      </c>
      <c r="D3" s="74" t="s">
        <v>9</v>
      </c>
      <c r="E3" s="74" t="s">
        <v>9</v>
      </c>
      <c r="F3" s="74" t="s">
        <v>9</v>
      </c>
      <c r="G3" s="74" t="s">
        <v>9</v>
      </c>
      <c r="H3" s="74" t="s">
        <v>9</v>
      </c>
      <c r="I3" s="74" t="s">
        <v>9</v>
      </c>
      <c r="J3" s="74" t="s">
        <v>9</v>
      </c>
      <c r="K3" s="74" t="s">
        <v>9</v>
      </c>
      <c r="L3" s="74" t="s">
        <v>9</v>
      </c>
      <c r="M3" s="74" t="s">
        <v>9</v>
      </c>
      <c r="N3" s="74" t="s">
        <v>9</v>
      </c>
      <c r="O3" s="74" t="s">
        <v>9</v>
      </c>
      <c r="P3" s="74" t="s">
        <v>9</v>
      </c>
      <c r="Q3" s="74" t="s">
        <v>9</v>
      </c>
      <c r="R3" s="74" t="s">
        <v>9</v>
      </c>
      <c r="S3" s="74" t="s">
        <v>9</v>
      </c>
      <c r="T3" s="74" t="s">
        <v>9</v>
      </c>
      <c r="U3" s="74" t="s">
        <v>9</v>
      </c>
      <c r="V3" s="74" t="s">
        <v>9</v>
      </c>
      <c r="W3" s="74" t="s">
        <v>9</v>
      </c>
      <c r="X3" s="74" t="s">
        <v>9</v>
      </c>
      <c r="Y3" s="74" t="s">
        <v>9</v>
      </c>
      <c r="Z3" s="74" t="s">
        <v>9</v>
      </c>
      <c r="AA3" s="74" t="s">
        <v>9</v>
      </c>
      <c r="AB3" s="74" t="s">
        <v>9</v>
      </c>
      <c r="AC3" s="74" t="s">
        <v>9</v>
      </c>
      <c r="AD3" s="74" t="s">
        <v>9</v>
      </c>
      <c r="AE3" s="74" t="s">
        <v>9</v>
      </c>
      <c r="AF3" s="74" t="s">
        <v>9</v>
      </c>
      <c r="AG3" s="74" t="s">
        <v>9</v>
      </c>
      <c r="AH3" s="74" t="s">
        <v>9</v>
      </c>
      <c r="AI3" s="74" t="s">
        <v>9</v>
      </c>
      <c r="AJ3" s="74" t="s">
        <v>9</v>
      </c>
      <c r="AK3" s="74" t="s">
        <v>9</v>
      </c>
      <c r="AL3" s="74" t="s">
        <v>9</v>
      </c>
      <c r="AM3" s="74" t="s">
        <v>9</v>
      </c>
      <c r="AN3" s="74" t="s">
        <v>9</v>
      </c>
      <c r="AO3" s="74" t="s">
        <v>9</v>
      </c>
      <c r="AP3" s="74" t="s">
        <v>9</v>
      </c>
      <c r="AQ3" s="74" t="s">
        <v>9</v>
      </c>
      <c r="AR3" s="74" t="s">
        <v>9</v>
      </c>
      <c r="AS3" s="74" t="s">
        <v>9</v>
      </c>
      <c r="AT3" s="74" t="s">
        <v>9</v>
      </c>
      <c r="AU3" s="74" t="s">
        <v>9</v>
      </c>
      <c r="AV3" s="74" t="s">
        <v>9</v>
      </c>
      <c r="AW3" s="74" t="s">
        <v>9</v>
      </c>
      <c r="AX3" s="74" t="s">
        <v>9</v>
      </c>
      <c r="AY3" s="74" t="s">
        <v>9</v>
      </c>
      <c r="AZ3" s="74" t="s">
        <v>9</v>
      </c>
      <c r="BA3" s="74" t="s">
        <v>9</v>
      </c>
      <c r="BB3" s="74" t="s">
        <v>9</v>
      </c>
      <c r="BC3" s="74" t="s">
        <v>9</v>
      </c>
      <c r="BD3" s="74" t="s">
        <v>9</v>
      </c>
      <c r="BE3" s="74" t="s">
        <v>9</v>
      </c>
      <c r="BF3" s="74" t="s">
        <v>9</v>
      </c>
      <c r="BG3" s="74" t="s">
        <v>9</v>
      </c>
      <c r="BH3" s="74" t="s">
        <v>9</v>
      </c>
      <c r="BI3" s="74" t="s">
        <v>9</v>
      </c>
      <c r="BJ3" s="74" t="s">
        <v>9</v>
      </c>
      <c r="BK3" s="74" t="s">
        <v>9</v>
      </c>
      <c r="BL3" s="74" t="s">
        <v>9</v>
      </c>
      <c r="BM3" s="74" t="s">
        <v>9</v>
      </c>
      <c r="BN3" s="74" t="s">
        <v>9</v>
      </c>
      <c r="BO3" s="74" t="s">
        <v>9</v>
      </c>
      <c r="BP3" s="74" t="s">
        <v>9</v>
      </c>
      <c r="BQ3" s="74" t="s">
        <v>9</v>
      </c>
      <c r="BR3" s="74" t="s">
        <v>9</v>
      </c>
      <c r="BS3" s="74" t="s">
        <v>9</v>
      </c>
      <c r="BT3" s="74" t="s">
        <v>9</v>
      </c>
      <c r="BU3" s="74" t="s">
        <v>9</v>
      </c>
      <c r="BV3" s="74" t="s">
        <v>9</v>
      </c>
      <c r="BW3" s="74" t="s">
        <v>9</v>
      </c>
      <c r="BX3" s="74" t="s">
        <v>9</v>
      </c>
      <c r="BY3" s="74" t="s">
        <v>9</v>
      </c>
      <c r="BZ3" s="74" t="s">
        <v>9</v>
      </c>
      <c r="CA3" s="74" t="s">
        <v>9</v>
      </c>
      <c r="CB3" s="74" t="s">
        <v>9</v>
      </c>
      <c r="CC3" s="74" t="s">
        <v>9</v>
      </c>
      <c r="CD3" s="74" t="s">
        <v>9</v>
      </c>
      <c r="CE3" s="74" t="s">
        <v>9</v>
      </c>
      <c r="CF3" s="74" t="s">
        <v>9</v>
      </c>
      <c r="CG3" s="74" t="s">
        <v>9</v>
      </c>
      <c r="CH3" s="74" t="s">
        <v>9</v>
      </c>
      <c r="CI3" s="74" t="s">
        <v>9</v>
      </c>
      <c r="CJ3" s="74" t="s">
        <v>9</v>
      </c>
      <c r="CK3" s="74" t="s">
        <v>9</v>
      </c>
      <c r="CL3" s="74" t="s">
        <v>9</v>
      </c>
      <c r="CM3" s="74" t="s">
        <v>9</v>
      </c>
      <c r="CN3" s="74" t="s">
        <v>9</v>
      </c>
      <c r="CO3" s="74" t="s">
        <v>9</v>
      </c>
      <c r="CP3" s="74" t="s">
        <v>9</v>
      </c>
      <c r="CQ3" s="74" t="s">
        <v>9</v>
      </c>
      <c r="CR3" s="74" t="s">
        <v>9</v>
      </c>
      <c r="CS3" s="74" t="s">
        <v>9</v>
      </c>
      <c r="CT3" s="74" t="s">
        <v>9</v>
      </c>
      <c r="CU3" s="74" t="s">
        <v>9</v>
      </c>
      <c r="CV3" s="74" t="s">
        <v>9</v>
      </c>
      <c r="CW3" s="74" t="s">
        <v>9</v>
      </c>
      <c r="CX3" s="74" t="s">
        <v>9</v>
      </c>
      <c r="CY3" s="74" t="s">
        <v>9</v>
      </c>
      <c r="CZ3" s="74" t="s">
        <v>9</v>
      </c>
      <c r="DA3" s="74" t="s">
        <v>9</v>
      </c>
      <c r="DB3" s="74" t="s">
        <v>9</v>
      </c>
      <c r="DC3" s="74" t="s">
        <v>9</v>
      </c>
      <c r="DD3" s="74" t="s">
        <v>9</v>
      </c>
      <c r="DE3" s="74" t="s">
        <v>9</v>
      </c>
      <c r="DF3" s="74" t="s">
        <v>9</v>
      </c>
      <c r="DG3" s="74" t="s">
        <v>9</v>
      </c>
      <c r="DH3" s="74" t="s">
        <v>9</v>
      </c>
      <c r="DI3" s="74" t="s">
        <v>9</v>
      </c>
      <c r="DJ3" s="74" t="s">
        <v>9</v>
      </c>
      <c r="DK3" s="74" t="s">
        <v>9</v>
      </c>
      <c r="DL3" s="74" t="s">
        <v>9</v>
      </c>
      <c r="DM3" s="74" t="s">
        <v>9</v>
      </c>
      <c r="DN3" s="74" t="s">
        <v>9</v>
      </c>
      <c r="DO3" s="74" t="s">
        <v>9</v>
      </c>
      <c r="DP3" s="74" t="s">
        <v>9</v>
      </c>
      <c r="DQ3" s="74" t="s">
        <v>9</v>
      </c>
      <c r="DR3" s="74" t="s">
        <v>9</v>
      </c>
      <c r="DS3" s="74" t="s">
        <v>9</v>
      </c>
      <c r="DT3" s="74" t="s">
        <v>9</v>
      </c>
      <c r="DU3" s="74" t="s">
        <v>9</v>
      </c>
      <c r="DV3" s="74" t="s">
        <v>9</v>
      </c>
      <c r="DW3" s="74" t="s">
        <v>9</v>
      </c>
      <c r="DX3" s="74" t="s">
        <v>9</v>
      </c>
      <c r="DY3" s="74" t="s">
        <v>9</v>
      </c>
      <c r="DZ3" s="74" t="s">
        <v>9</v>
      </c>
      <c r="EA3" s="74" t="s">
        <v>9</v>
      </c>
      <c r="EB3" s="74" t="s">
        <v>9</v>
      </c>
      <c r="EC3" s="74" t="s">
        <v>9</v>
      </c>
      <c r="ED3" s="74" t="s">
        <v>9</v>
      </c>
      <c r="EE3" s="74" t="s">
        <v>9</v>
      </c>
      <c r="EF3" s="74" t="s">
        <v>9</v>
      </c>
      <c r="EG3" s="74" t="s">
        <v>9</v>
      </c>
      <c r="EH3" s="74" t="s">
        <v>9</v>
      </c>
      <c r="EI3" s="74" t="s">
        <v>9</v>
      </c>
      <c r="EJ3" s="74" t="s">
        <v>9</v>
      </c>
      <c r="EK3" s="74" t="s">
        <v>9</v>
      </c>
      <c r="EL3" s="74" t="s">
        <v>9</v>
      </c>
      <c r="EM3" s="74" t="s">
        <v>9</v>
      </c>
      <c r="EN3" s="74" t="s">
        <v>9</v>
      </c>
      <c r="EO3" s="74" t="s">
        <v>9</v>
      </c>
      <c r="EP3" s="74" t="s">
        <v>9</v>
      </c>
      <c r="EQ3" s="74" t="s">
        <v>9</v>
      </c>
      <c r="ER3" s="74" t="s">
        <v>9</v>
      </c>
      <c r="ES3" s="74" t="s">
        <v>9</v>
      </c>
      <c r="ET3" s="74" t="s">
        <v>9</v>
      </c>
      <c r="EU3" s="74" t="s">
        <v>9</v>
      </c>
      <c r="EV3" s="74" t="s">
        <v>9</v>
      </c>
      <c r="EW3" s="74" t="s">
        <v>9</v>
      </c>
      <c r="EX3" s="74" t="s">
        <v>9</v>
      </c>
      <c r="EY3" s="74" t="s">
        <v>9</v>
      </c>
      <c r="EZ3" s="74" t="s">
        <v>9</v>
      </c>
      <c r="FA3" s="74" t="s">
        <v>9</v>
      </c>
      <c r="FB3" s="74" t="s">
        <v>9</v>
      </c>
      <c r="FC3" s="74" t="s">
        <v>9</v>
      </c>
      <c r="FD3" s="74" t="s">
        <v>9</v>
      </c>
      <c r="FE3" s="74" t="s">
        <v>9</v>
      </c>
      <c r="FF3" s="74" t="s">
        <v>9</v>
      </c>
      <c r="FG3" s="74" t="s">
        <v>9</v>
      </c>
      <c r="FH3" s="74" t="s">
        <v>9</v>
      </c>
      <c r="FI3" s="74" t="s">
        <v>9</v>
      </c>
      <c r="FJ3" s="74" t="s">
        <v>9</v>
      </c>
      <c r="FK3" s="74" t="s">
        <v>9</v>
      </c>
      <c r="FL3" s="74" t="s">
        <v>9</v>
      </c>
      <c r="FM3" s="74" t="s">
        <v>9</v>
      </c>
      <c r="FN3" s="74" t="s">
        <v>9</v>
      </c>
      <c r="FO3" s="74" t="s">
        <v>9</v>
      </c>
      <c r="FP3" s="74" t="s">
        <v>9</v>
      </c>
      <c r="FQ3" s="74" t="s">
        <v>9</v>
      </c>
      <c r="FR3" s="74" t="s">
        <v>9</v>
      </c>
      <c r="FS3" s="74" t="s">
        <v>9</v>
      </c>
      <c r="FT3" s="74" t="s">
        <v>9</v>
      </c>
      <c r="FU3" s="74" t="s">
        <v>9</v>
      </c>
      <c r="FV3" s="74" t="s">
        <v>9</v>
      </c>
      <c r="FW3" s="74" t="s">
        <v>9</v>
      </c>
      <c r="FX3" s="74" t="s">
        <v>9</v>
      </c>
      <c r="FY3" s="74" t="s">
        <v>9</v>
      </c>
      <c r="FZ3" s="74" t="s">
        <v>9</v>
      </c>
      <c r="GA3" s="74" t="s">
        <v>9</v>
      </c>
      <c r="GB3" s="74" t="s">
        <v>9</v>
      </c>
      <c r="GC3" s="74" t="s">
        <v>9</v>
      </c>
      <c r="GD3" s="74" t="s">
        <v>9</v>
      </c>
      <c r="GE3" s="74" t="s">
        <v>9</v>
      </c>
      <c r="GF3" s="74" t="s">
        <v>9</v>
      </c>
      <c r="GG3" s="74" t="s">
        <v>9</v>
      </c>
      <c r="GH3" s="74" t="s">
        <v>9</v>
      </c>
      <c r="GI3" s="74" t="s">
        <v>9</v>
      </c>
      <c r="GJ3" s="74" t="s">
        <v>9</v>
      </c>
      <c r="GK3" s="74" t="s">
        <v>9</v>
      </c>
      <c r="GL3" s="74" t="s">
        <v>9</v>
      </c>
      <c r="GM3" s="74" t="s">
        <v>9</v>
      </c>
      <c r="GN3" s="74" t="s">
        <v>9</v>
      </c>
      <c r="GO3" s="74" t="s">
        <v>9</v>
      </c>
      <c r="GP3" s="74" t="s">
        <v>9</v>
      </c>
      <c r="GQ3" s="74" t="s">
        <v>9</v>
      </c>
      <c r="GR3" s="74" t="s">
        <v>9</v>
      </c>
      <c r="GS3" s="74" t="s">
        <v>9</v>
      </c>
      <c r="GT3" s="74" t="s">
        <v>9</v>
      </c>
      <c r="GU3" s="74" t="s">
        <v>9</v>
      </c>
      <c r="GV3" s="74" t="s">
        <v>9</v>
      </c>
      <c r="GW3" s="74" t="s">
        <v>9</v>
      </c>
      <c r="GX3" s="74" t="s">
        <v>9</v>
      </c>
      <c r="GY3" s="74" t="s">
        <v>9</v>
      </c>
      <c r="GZ3" s="74" t="s">
        <v>9</v>
      </c>
      <c r="HA3" s="74" t="s">
        <v>9</v>
      </c>
      <c r="HB3" s="74" t="s">
        <v>9</v>
      </c>
      <c r="HC3" s="74" t="s">
        <v>9</v>
      </c>
      <c r="HD3" s="74" t="s">
        <v>9</v>
      </c>
      <c r="HE3" s="74" t="s">
        <v>9</v>
      </c>
      <c r="HF3" s="74" t="s">
        <v>9</v>
      </c>
      <c r="HG3" s="74" t="s">
        <v>9</v>
      </c>
      <c r="HH3" s="74" t="s">
        <v>9</v>
      </c>
      <c r="HI3" s="74" t="s">
        <v>9</v>
      </c>
      <c r="HJ3" s="74" t="s">
        <v>9</v>
      </c>
      <c r="HK3" s="74" t="s">
        <v>9</v>
      </c>
      <c r="HL3" s="74" t="s">
        <v>9</v>
      </c>
      <c r="HM3" s="74" t="s">
        <v>9</v>
      </c>
      <c r="HN3" s="74" t="s">
        <v>9</v>
      </c>
      <c r="HO3" s="74" t="s">
        <v>9</v>
      </c>
      <c r="HP3" s="74" t="s">
        <v>9</v>
      </c>
      <c r="HQ3" s="74" t="s">
        <v>9</v>
      </c>
      <c r="HR3" s="74" t="s">
        <v>9</v>
      </c>
      <c r="HS3" s="74" t="s">
        <v>9</v>
      </c>
      <c r="HT3" s="74" t="s">
        <v>9</v>
      </c>
      <c r="HU3" s="74" t="s">
        <v>9</v>
      </c>
      <c r="HV3" s="74" t="s">
        <v>9</v>
      </c>
      <c r="HW3" s="74" t="s">
        <v>9</v>
      </c>
      <c r="HX3" s="74" t="s">
        <v>9</v>
      </c>
      <c r="HY3" s="74" t="s">
        <v>9</v>
      </c>
      <c r="HZ3" s="74" t="s">
        <v>9</v>
      </c>
      <c r="IA3" s="74" t="s">
        <v>9</v>
      </c>
      <c r="IB3" s="74" t="s">
        <v>9</v>
      </c>
      <c r="IC3" s="74" t="s">
        <v>9</v>
      </c>
      <c r="ID3" s="74" t="s">
        <v>9</v>
      </c>
      <c r="IE3" s="74" t="s">
        <v>9</v>
      </c>
      <c r="IF3" s="74" t="s">
        <v>9</v>
      </c>
      <c r="IG3" s="74" t="s">
        <v>9</v>
      </c>
      <c r="IH3" s="74" t="s">
        <v>9</v>
      </c>
      <c r="II3" s="74" t="s">
        <v>9</v>
      </c>
      <c r="IJ3" s="74" t="s">
        <v>9</v>
      </c>
      <c r="IK3" s="74" t="s">
        <v>9</v>
      </c>
      <c r="IL3" s="74" t="s">
        <v>9</v>
      </c>
      <c r="IM3" s="74" t="s">
        <v>9</v>
      </c>
      <c r="IN3" s="74" t="s">
        <v>9</v>
      </c>
      <c r="IO3" s="74" t="s">
        <v>9</v>
      </c>
      <c r="IP3" s="74" t="s">
        <v>9</v>
      </c>
      <c r="IQ3" s="74" t="s">
        <v>9</v>
      </c>
      <c r="IR3" s="74" t="s">
        <v>9</v>
      </c>
      <c r="IS3" s="74" t="s">
        <v>9</v>
      </c>
      <c r="IT3" s="74" t="s">
        <v>9</v>
      </c>
      <c r="IU3" s="74" t="s">
        <v>9</v>
      </c>
      <c r="IV3" s="74" t="s">
        <v>9</v>
      </c>
      <c r="IW3" s="74" t="s">
        <v>9</v>
      </c>
      <c r="IX3" s="74" t="s">
        <v>9</v>
      </c>
      <c r="IY3" s="74" t="s">
        <v>9</v>
      </c>
      <c r="IZ3" s="74" t="s">
        <v>9</v>
      </c>
      <c r="JA3" s="74" t="s">
        <v>9</v>
      </c>
      <c r="JB3" s="74" t="s">
        <v>9</v>
      </c>
      <c r="JC3" s="74" t="s">
        <v>9</v>
      </c>
      <c r="JD3" s="74" t="s">
        <v>9</v>
      </c>
      <c r="JE3" s="74" t="s">
        <v>9</v>
      </c>
      <c r="JF3" s="74" t="s">
        <v>9</v>
      </c>
      <c r="JG3" s="74" t="s">
        <v>9</v>
      </c>
      <c r="JH3" s="74" t="s">
        <v>9</v>
      </c>
      <c r="JI3" s="74" t="s">
        <v>9</v>
      </c>
      <c r="JJ3" s="74" t="s">
        <v>9</v>
      </c>
      <c r="JK3" s="74" t="s">
        <v>9</v>
      </c>
      <c r="JL3" s="74" t="s">
        <v>9</v>
      </c>
      <c r="JM3" s="74" t="s">
        <v>9</v>
      </c>
      <c r="JN3" s="74" t="s">
        <v>9</v>
      </c>
      <c r="JO3" s="74" t="s">
        <v>9</v>
      </c>
      <c r="JP3" s="74" t="s">
        <v>9</v>
      </c>
      <c r="JQ3" s="74" t="s">
        <v>9</v>
      </c>
      <c r="JR3" s="74" t="s">
        <v>9</v>
      </c>
      <c r="JS3" s="74" t="s">
        <v>9</v>
      </c>
      <c r="JT3" s="74" t="s">
        <v>9</v>
      </c>
      <c r="JU3" s="74" t="s">
        <v>9</v>
      </c>
      <c r="JV3" s="74" t="s">
        <v>9</v>
      </c>
      <c r="JW3" s="74" t="s">
        <v>9</v>
      </c>
      <c r="JX3" s="74" t="s">
        <v>9</v>
      </c>
      <c r="JY3" s="74" t="s">
        <v>9</v>
      </c>
      <c r="JZ3" s="74" t="s">
        <v>9</v>
      </c>
      <c r="KA3" s="74" t="s">
        <v>9</v>
      </c>
      <c r="KB3" s="74" t="s">
        <v>9</v>
      </c>
      <c r="KC3" s="74" t="s">
        <v>9</v>
      </c>
      <c r="KD3" s="74" t="s">
        <v>9</v>
      </c>
      <c r="KE3" s="74" t="s">
        <v>9</v>
      </c>
      <c r="KF3" s="74" t="s">
        <v>9</v>
      </c>
      <c r="KG3" s="74" t="s">
        <v>9</v>
      </c>
      <c r="KH3" s="74" t="s">
        <v>9</v>
      </c>
      <c r="KI3" s="74" t="s">
        <v>9</v>
      </c>
      <c r="KJ3" s="74" t="s">
        <v>9</v>
      </c>
      <c r="KK3" s="74" t="s">
        <v>9</v>
      </c>
      <c r="KL3" s="74" t="s">
        <v>9</v>
      </c>
      <c r="KM3" s="74" t="s">
        <v>9</v>
      </c>
      <c r="KN3" s="74" t="s">
        <v>9</v>
      </c>
      <c r="KO3" s="74" t="s">
        <v>9</v>
      </c>
      <c r="KP3" s="74" t="s">
        <v>9</v>
      </c>
      <c r="KQ3" s="74" t="s">
        <v>9</v>
      </c>
      <c r="KR3" s="74" t="s">
        <v>9</v>
      </c>
      <c r="KS3" s="74" t="s">
        <v>9</v>
      </c>
      <c r="KT3" s="74" t="s">
        <v>9</v>
      </c>
      <c r="KU3" s="74" t="s">
        <v>9</v>
      </c>
      <c r="KV3" s="74" t="s">
        <v>9</v>
      </c>
      <c r="KW3" s="74" t="s">
        <v>9</v>
      </c>
      <c r="KX3" s="74" t="s">
        <v>9</v>
      </c>
      <c r="KY3" s="74" t="s">
        <v>9</v>
      </c>
      <c r="KZ3" s="74" t="s">
        <v>9</v>
      </c>
      <c r="LA3" s="74" t="s">
        <v>9</v>
      </c>
      <c r="LB3" s="74" t="s">
        <v>9</v>
      </c>
      <c r="LC3" s="74" t="s">
        <v>9</v>
      </c>
      <c r="LD3" s="74" t="s">
        <v>9</v>
      </c>
      <c r="LE3" s="74" t="s">
        <v>9</v>
      </c>
      <c r="LF3" s="74" t="s">
        <v>9</v>
      </c>
      <c r="LG3" s="74" t="s">
        <v>9</v>
      </c>
      <c r="LH3" s="74" t="s">
        <v>9</v>
      </c>
      <c r="LI3" s="74" t="s">
        <v>9</v>
      </c>
      <c r="LJ3" s="74" t="s">
        <v>9</v>
      </c>
      <c r="LK3" s="74" t="s">
        <v>9</v>
      </c>
      <c r="LL3" s="74" t="s">
        <v>9</v>
      </c>
      <c r="LM3" s="74" t="s">
        <v>9</v>
      </c>
      <c r="LN3" s="74" t="s">
        <v>9</v>
      </c>
      <c r="LO3" s="74" t="s">
        <v>9</v>
      </c>
      <c r="LP3" s="74" t="s">
        <v>9</v>
      </c>
      <c r="LQ3" s="74" t="s">
        <v>9</v>
      </c>
      <c r="LR3" s="74" t="s">
        <v>9</v>
      </c>
      <c r="LS3" s="74" t="s">
        <v>9</v>
      </c>
      <c r="LT3" s="74" t="s">
        <v>9</v>
      </c>
      <c r="LU3" s="74" t="s">
        <v>9</v>
      </c>
      <c r="LV3" s="74" t="s">
        <v>9</v>
      </c>
      <c r="LW3" s="74" t="s">
        <v>9</v>
      </c>
      <c r="LX3" s="74" t="s">
        <v>9</v>
      </c>
      <c r="LY3" s="74" t="s">
        <v>9</v>
      </c>
      <c r="LZ3" s="74" t="s">
        <v>9</v>
      </c>
      <c r="MA3" s="74" t="s">
        <v>9</v>
      </c>
      <c r="MB3" s="74" t="s">
        <v>9</v>
      </c>
      <c r="MC3" s="74" t="s">
        <v>9</v>
      </c>
      <c r="MD3" s="74" t="s">
        <v>9</v>
      </c>
      <c r="ME3" s="74" t="s">
        <v>9</v>
      </c>
      <c r="MF3" s="74" t="s">
        <v>9</v>
      </c>
      <c r="MG3" s="74" t="s">
        <v>9</v>
      </c>
      <c r="MH3" s="74" t="s">
        <v>9</v>
      </c>
      <c r="MI3" s="74" t="s">
        <v>9</v>
      </c>
      <c r="MJ3" s="74" t="s">
        <v>9</v>
      </c>
      <c r="MK3" s="74" t="s">
        <v>9</v>
      </c>
      <c r="ML3" s="74" t="s">
        <v>9</v>
      </c>
      <c r="MM3" s="74" t="s">
        <v>9</v>
      </c>
      <c r="MN3" s="74" t="s">
        <v>9</v>
      </c>
      <c r="MO3" s="74" t="s">
        <v>9</v>
      </c>
      <c r="MP3" s="74" t="s">
        <v>9</v>
      </c>
      <c r="MQ3" s="74" t="s">
        <v>9</v>
      </c>
      <c r="MR3" s="74" t="s">
        <v>9</v>
      </c>
      <c r="MS3" s="74" t="s">
        <v>9</v>
      </c>
      <c r="MT3" s="74" t="s">
        <v>9</v>
      </c>
      <c r="MU3" s="74" t="s">
        <v>9</v>
      </c>
      <c r="MV3" s="74" t="s">
        <v>9</v>
      </c>
      <c r="MW3" s="74" t="s">
        <v>9</v>
      </c>
      <c r="MX3" s="74" t="s">
        <v>9</v>
      </c>
      <c r="MY3" s="74" t="s">
        <v>9</v>
      </c>
      <c r="MZ3" s="74" t="s">
        <v>9</v>
      </c>
      <c r="NA3" s="74" t="s">
        <v>9</v>
      </c>
      <c r="NB3" s="74" t="s">
        <v>9</v>
      </c>
      <c r="NC3" s="74" t="s">
        <v>9</v>
      </c>
      <c r="ND3" s="74" t="s">
        <v>9</v>
      </c>
      <c r="NE3" s="74" t="s">
        <v>9</v>
      </c>
      <c r="NF3" s="74" t="s">
        <v>9</v>
      </c>
      <c r="NG3" s="74" t="s">
        <v>9</v>
      </c>
      <c r="NH3" s="74" t="s">
        <v>9</v>
      </c>
      <c r="NI3" s="74" t="s">
        <v>9</v>
      </c>
      <c r="NJ3" s="74" t="s">
        <v>9</v>
      </c>
      <c r="NK3" s="74" t="s">
        <v>9</v>
      </c>
      <c r="NL3" s="74" t="s">
        <v>9</v>
      </c>
      <c r="NM3" s="74" t="s">
        <v>9</v>
      </c>
      <c r="NN3" s="74" t="s">
        <v>9</v>
      </c>
      <c r="NO3" s="74" t="s">
        <v>9</v>
      </c>
      <c r="NP3" s="74" t="s">
        <v>9</v>
      </c>
      <c r="NQ3" s="74" t="s">
        <v>9</v>
      </c>
      <c r="NR3" s="74" t="s">
        <v>9</v>
      </c>
      <c r="NS3" s="74" t="s">
        <v>9</v>
      </c>
      <c r="NT3" s="74" t="s">
        <v>9</v>
      </c>
      <c r="NU3" s="74" t="s">
        <v>9</v>
      </c>
      <c r="NV3" s="74" t="s">
        <v>9</v>
      </c>
      <c r="NW3" s="74" t="s">
        <v>9</v>
      </c>
      <c r="NX3" s="74" t="s">
        <v>9</v>
      </c>
      <c r="NY3" s="74" t="s">
        <v>9</v>
      </c>
      <c r="NZ3" s="74" t="s">
        <v>9</v>
      </c>
      <c r="OA3" s="74" t="s">
        <v>9</v>
      </c>
      <c r="OB3" s="74" t="s">
        <v>9</v>
      </c>
      <c r="OC3" s="74" t="s">
        <v>9</v>
      </c>
      <c r="OD3" s="74" t="s">
        <v>9</v>
      </c>
      <c r="OE3" s="74" t="s">
        <v>9</v>
      </c>
      <c r="OF3" s="74" t="s">
        <v>9</v>
      </c>
      <c r="OG3" s="74" t="s">
        <v>9</v>
      </c>
      <c r="OH3" s="74" t="s">
        <v>9</v>
      </c>
      <c r="OI3" s="74" t="s">
        <v>9</v>
      </c>
      <c r="OJ3" s="74" t="s">
        <v>9</v>
      </c>
      <c r="OK3" s="74" t="s">
        <v>9</v>
      </c>
      <c r="OL3" s="74" t="s">
        <v>9</v>
      </c>
      <c r="OM3" s="74" t="s">
        <v>9</v>
      </c>
      <c r="ON3" s="74" t="s">
        <v>9</v>
      </c>
      <c r="OO3" s="74" t="s">
        <v>9</v>
      </c>
      <c r="OP3" s="74" t="s">
        <v>9</v>
      </c>
      <c r="OQ3" s="74" t="s">
        <v>9</v>
      </c>
      <c r="OR3" s="74" t="s">
        <v>9</v>
      </c>
      <c r="OS3" s="74" t="s">
        <v>9</v>
      </c>
      <c r="OT3" s="74" t="s">
        <v>9</v>
      </c>
      <c r="OU3" s="74" t="s">
        <v>9</v>
      </c>
      <c r="OV3" s="74" t="s">
        <v>9</v>
      </c>
      <c r="OW3" s="74" t="s">
        <v>9</v>
      </c>
      <c r="OX3" s="74" t="s">
        <v>9</v>
      </c>
      <c r="OY3" s="74" t="s">
        <v>9</v>
      </c>
      <c r="OZ3" s="74" t="s">
        <v>9</v>
      </c>
      <c r="PA3" s="74" t="s">
        <v>9</v>
      </c>
      <c r="PB3" s="74" t="s">
        <v>9</v>
      </c>
      <c r="PC3" s="74" t="s">
        <v>9</v>
      </c>
      <c r="PD3" s="74" t="s">
        <v>9</v>
      </c>
      <c r="PE3" s="74" t="s">
        <v>9</v>
      </c>
      <c r="PF3" s="74" t="s">
        <v>9</v>
      </c>
      <c r="PG3" s="74" t="s">
        <v>9</v>
      </c>
      <c r="PH3" s="74" t="s">
        <v>9</v>
      </c>
      <c r="PI3" s="74" t="s">
        <v>9</v>
      </c>
      <c r="PJ3" s="74" t="s">
        <v>9</v>
      </c>
      <c r="PK3" s="74" t="s">
        <v>9</v>
      </c>
      <c r="PL3" s="74" t="s">
        <v>9</v>
      </c>
      <c r="PM3" s="74" t="s">
        <v>9</v>
      </c>
      <c r="PN3" s="74" t="s">
        <v>9</v>
      </c>
      <c r="PO3" s="74" t="s">
        <v>9</v>
      </c>
      <c r="PP3" s="74" t="s">
        <v>9</v>
      </c>
      <c r="PQ3" s="74" t="s">
        <v>9</v>
      </c>
      <c r="PR3" s="74" t="s">
        <v>9</v>
      </c>
      <c r="PS3" s="74" t="s">
        <v>9</v>
      </c>
      <c r="PT3" s="74" t="s">
        <v>9</v>
      </c>
      <c r="PU3" s="74" t="s">
        <v>9</v>
      </c>
      <c r="PV3" s="74" t="s">
        <v>9</v>
      </c>
      <c r="PW3" s="74" t="s">
        <v>9</v>
      </c>
      <c r="PX3" s="74" t="s">
        <v>9</v>
      </c>
      <c r="PY3" s="74" t="s">
        <v>9</v>
      </c>
      <c r="PZ3" s="74" t="s">
        <v>9</v>
      </c>
      <c r="QA3" s="74" t="s">
        <v>9</v>
      </c>
      <c r="QB3" s="74" t="s">
        <v>9</v>
      </c>
      <c r="QC3" s="74" t="s">
        <v>9</v>
      </c>
      <c r="QD3" s="74" t="s">
        <v>9</v>
      </c>
      <c r="QE3" s="74" t="s">
        <v>9</v>
      </c>
      <c r="QF3" s="74" t="s">
        <v>9</v>
      </c>
      <c r="QG3" s="74" t="s">
        <v>9</v>
      </c>
      <c r="QH3" s="74" t="s">
        <v>9</v>
      </c>
      <c r="QI3" s="74" t="s">
        <v>9</v>
      </c>
      <c r="QJ3" s="74" t="s">
        <v>9</v>
      </c>
      <c r="QK3" s="74" t="s">
        <v>9</v>
      </c>
      <c r="QL3" s="74" t="s">
        <v>9</v>
      </c>
      <c r="QM3" s="74" t="s">
        <v>9</v>
      </c>
      <c r="QN3" s="74" t="s">
        <v>9</v>
      </c>
      <c r="QO3" s="74" t="s">
        <v>9</v>
      </c>
      <c r="QP3" s="74" t="s">
        <v>9</v>
      </c>
      <c r="QQ3" s="74" t="s">
        <v>9</v>
      </c>
      <c r="QR3" s="74" t="s">
        <v>9</v>
      </c>
      <c r="QS3" s="74" t="s">
        <v>9</v>
      </c>
      <c r="QT3" s="74" t="s">
        <v>9</v>
      </c>
      <c r="QU3" s="74" t="s">
        <v>9</v>
      </c>
      <c r="QV3" s="74" t="s">
        <v>9</v>
      </c>
      <c r="QW3" s="74" t="s">
        <v>9</v>
      </c>
      <c r="QX3" s="74" t="s">
        <v>9</v>
      </c>
      <c r="QY3" s="74" t="s">
        <v>9</v>
      </c>
      <c r="QZ3" s="74" t="s">
        <v>9</v>
      </c>
      <c r="RA3" s="74" t="s">
        <v>9</v>
      </c>
      <c r="RB3" s="74" t="s">
        <v>9</v>
      </c>
      <c r="RC3" s="74" t="s">
        <v>9</v>
      </c>
      <c r="RD3" s="74" t="s">
        <v>9</v>
      </c>
      <c r="RE3" s="7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2" sqref="A2:B13"/>
    </sheetView>
  </sheetViews>
  <sheetFormatPr defaultRowHeight="15"/>
  <cols>
    <col min="2" max="2" width="22.42578125" customWidth="1"/>
  </cols>
  <sheetData>
    <row r="1" spans="1:2">
      <c r="A1" s="14" t="s">
        <v>7</v>
      </c>
      <c r="B1" s="38" t="s">
        <v>8</v>
      </c>
    </row>
    <row r="2" spans="1:2">
      <c r="A2" s="36">
        <v>1</v>
      </c>
      <c r="B2" s="15" t="s">
        <v>113</v>
      </c>
    </row>
    <row r="3" spans="1:2">
      <c r="A3" s="36">
        <v>2</v>
      </c>
      <c r="B3" s="15" t="s">
        <v>114</v>
      </c>
    </row>
    <row r="4" spans="1:2">
      <c r="A4" s="36">
        <v>3</v>
      </c>
      <c r="B4" s="15" t="s">
        <v>115</v>
      </c>
    </row>
    <row r="5" spans="1:2">
      <c r="A5" s="36">
        <v>4</v>
      </c>
      <c r="B5" s="15" t="s">
        <v>116</v>
      </c>
    </row>
    <row r="6" spans="1:2">
      <c r="A6" s="36">
        <v>5</v>
      </c>
      <c r="B6" s="15" t="s">
        <v>117</v>
      </c>
    </row>
    <row r="7" spans="1:2">
      <c r="A7" s="36">
        <v>6</v>
      </c>
      <c r="B7" s="15" t="s">
        <v>118</v>
      </c>
    </row>
    <row r="8" spans="1:2">
      <c r="A8" s="36">
        <v>7</v>
      </c>
      <c r="B8" s="15" t="s">
        <v>119</v>
      </c>
    </row>
    <row r="9" spans="1:2">
      <c r="A9" s="36">
        <v>8</v>
      </c>
      <c r="B9" s="15" t="s">
        <v>120</v>
      </c>
    </row>
    <row r="10" spans="1:2">
      <c r="A10" s="36">
        <v>9</v>
      </c>
      <c r="B10" s="15" t="s">
        <v>121</v>
      </c>
    </row>
    <row r="11" spans="1:2">
      <c r="A11" s="36">
        <v>10</v>
      </c>
      <c r="B11" s="15" t="s">
        <v>122</v>
      </c>
    </row>
    <row r="12" spans="1:2">
      <c r="A12" s="36">
        <v>11</v>
      </c>
      <c r="B12" s="15" t="s">
        <v>123</v>
      </c>
    </row>
    <row r="13" spans="1:2">
      <c r="A13" s="36">
        <v>12</v>
      </c>
      <c r="B13" s="2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S1209"/>
  <sheetViews>
    <sheetView view="pageBreakPreview" topLeftCell="A1142" zoomScale="85" zoomScaleSheetLayoutView="85" workbookViewId="0">
      <selection activeCell="U1017" sqref="U1017:X1031"/>
    </sheetView>
  </sheetViews>
  <sheetFormatPr defaultRowHeight="15"/>
  <cols>
    <col min="1" max="1" width="3.42578125" bestFit="1" customWidth="1"/>
    <col min="2" max="2" width="19" customWidth="1"/>
    <col min="3" max="7" width="8.140625" customWidth="1"/>
    <col min="8" max="8" width="8.140625" style="52" customWidth="1"/>
    <col min="9" max="16" width="8.140625" customWidth="1"/>
    <col min="17" max="18" width="12" customWidth="1"/>
    <col min="19" max="19" width="14" customWidth="1"/>
  </cols>
  <sheetData>
    <row r="1" spans="1:19" ht="26.25">
      <c r="A1" s="190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spans="1:19" ht="19.5">
      <c r="A2" s="191" t="s">
        <v>1225</v>
      </c>
      <c r="B2" s="191"/>
      <c r="C2" s="191"/>
      <c r="D2" s="191"/>
      <c r="E2" s="191"/>
      <c r="F2" s="191"/>
      <c r="G2" s="191"/>
      <c r="H2" s="191"/>
      <c r="I2" s="1"/>
      <c r="J2" s="1"/>
      <c r="K2" s="192" t="s">
        <v>19</v>
      </c>
      <c r="L2" s="192"/>
      <c r="M2" s="192"/>
      <c r="N2" s="192"/>
      <c r="O2" s="1"/>
      <c r="P2" s="193" t="s">
        <v>1</v>
      </c>
      <c r="Q2" s="193"/>
      <c r="R2" s="194">
        <v>44630</v>
      </c>
      <c r="S2" s="194"/>
    </row>
    <row r="3" spans="1:19" ht="18.75" customHeight="1">
      <c r="A3" s="188" t="s">
        <v>2</v>
      </c>
      <c r="B3" s="188"/>
      <c r="C3" s="2">
        <v>1</v>
      </c>
      <c r="D3" s="2">
        <v>2</v>
      </c>
      <c r="E3" s="2">
        <v>3</v>
      </c>
      <c r="F3" s="2">
        <v>4</v>
      </c>
      <c r="G3" s="2">
        <v>5</v>
      </c>
      <c r="H3" s="30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195" t="s">
        <v>3</v>
      </c>
      <c r="R3" s="195" t="s">
        <v>4</v>
      </c>
      <c r="S3" s="195" t="s">
        <v>5</v>
      </c>
    </row>
    <row r="4" spans="1:19" ht="18.75" customHeight="1">
      <c r="A4" s="188" t="s">
        <v>6</v>
      </c>
      <c r="B4" s="188"/>
      <c r="C4" s="2">
        <f>'Booth detail'!B1</f>
        <v>1</v>
      </c>
      <c r="D4" s="37">
        <f>'Booth detail'!C1</f>
        <v>2</v>
      </c>
      <c r="E4" s="37">
        <f>'Booth detail'!D1</f>
        <v>3</v>
      </c>
      <c r="F4" s="37">
        <f>'Booth detail'!E1</f>
        <v>4</v>
      </c>
      <c r="G4" s="37">
        <f>'Booth detail'!F1</f>
        <v>5</v>
      </c>
      <c r="H4" s="37">
        <f>'Booth detail'!G1</f>
        <v>6</v>
      </c>
      <c r="I4" s="37">
        <f>'Booth detail'!H1</f>
        <v>7</v>
      </c>
      <c r="J4" s="37">
        <f>'Booth detail'!I1</f>
        <v>8</v>
      </c>
      <c r="K4" s="37">
        <f>'Booth detail'!J1</f>
        <v>9</v>
      </c>
      <c r="L4" s="37">
        <f>'Booth detail'!K1</f>
        <v>10</v>
      </c>
      <c r="M4" s="37">
        <f>'Booth detail'!L1</f>
        <v>11</v>
      </c>
      <c r="N4" s="37">
        <f>'Booth detail'!M1</f>
        <v>12</v>
      </c>
      <c r="O4" s="37">
        <f>'Booth detail'!N1</f>
        <v>13</v>
      </c>
      <c r="P4" s="37">
        <f>'Booth detail'!O1</f>
        <v>14</v>
      </c>
      <c r="Q4" s="196"/>
      <c r="R4" s="196"/>
      <c r="S4" s="196"/>
    </row>
    <row r="5" spans="1:19" ht="30.75" customHeight="1">
      <c r="A5" s="165" t="s">
        <v>18</v>
      </c>
      <c r="B5" s="167"/>
      <c r="C5" s="39" t="str">
        <f>'Booth detail'!B2</f>
        <v>ECUEC64547</v>
      </c>
      <c r="D5" s="39" t="str">
        <f>'Booth detail'!C2</f>
        <v>ECUEC57499</v>
      </c>
      <c r="E5" s="39" t="str">
        <f>'Booth detail'!D2</f>
        <v>ECUEC53812</v>
      </c>
      <c r="F5" s="39" t="str">
        <f>'Booth detail'!E2</f>
        <v>ECUEC50315</v>
      </c>
      <c r="G5" s="39" t="str">
        <f>'Booth detail'!F2</f>
        <v>ECUEC29676</v>
      </c>
      <c r="H5" s="39" t="str">
        <f>'Booth detail'!G2</f>
        <v>ECUEC57702</v>
      </c>
      <c r="I5" s="39" t="str">
        <f>'Booth detail'!H2</f>
        <v>ECUEC64518</v>
      </c>
      <c r="J5" s="39" t="str">
        <f>'Booth detail'!I2</f>
        <v>ECUEC64882</v>
      </c>
      <c r="K5" s="39" t="str">
        <f>'Booth detail'!J2</f>
        <v>ECUEC51429</v>
      </c>
      <c r="L5" s="39" t="str">
        <f>'Booth detail'!K2</f>
        <v>ECUEC64809</v>
      </c>
      <c r="M5" s="39" t="str">
        <f>'Booth detail'!L2</f>
        <v>ECUEC54951</v>
      </c>
      <c r="N5" s="39" t="str">
        <f>'Booth detail'!M2</f>
        <v>ECUEC57760</v>
      </c>
      <c r="O5" s="39" t="str">
        <f>'Booth detail'!N2</f>
        <v>ECUEC47766</v>
      </c>
      <c r="P5" s="39" t="str">
        <f>'Booth detail'!O2</f>
        <v>ECUEC50174</v>
      </c>
      <c r="Q5" s="196"/>
      <c r="R5" s="196"/>
      <c r="S5" s="196"/>
    </row>
    <row r="6" spans="1:19" ht="42" customHeight="1">
      <c r="A6" s="203" t="s">
        <v>20</v>
      </c>
      <c r="B6" s="204"/>
      <c r="C6" s="39" t="str">
        <f>'Booth detail'!B3</f>
        <v>-</v>
      </c>
      <c r="D6" s="39" t="str">
        <f>'Booth detail'!C3</f>
        <v>-</v>
      </c>
      <c r="E6" s="39" t="str">
        <f>'Booth detail'!D3</f>
        <v>-</v>
      </c>
      <c r="F6" s="39" t="str">
        <f>'Booth detail'!E3</f>
        <v>-</v>
      </c>
      <c r="G6" s="39" t="str">
        <f>'Booth detail'!F3</f>
        <v>-</v>
      </c>
      <c r="H6" s="39" t="str">
        <f>'Booth detail'!G3</f>
        <v>-</v>
      </c>
      <c r="I6" s="39" t="str">
        <f>'Booth detail'!H3</f>
        <v>-</v>
      </c>
      <c r="J6" s="39" t="str">
        <f>'Booth detail'!I3</f>
        <v>-</v>
      </c>
      <c r="K6" s="39" t="str">
        <f>'Booth detail'!J3</f>
        <v>-</v>
      </c>
      <c r="L6" s="39" t="str">
        <f>'Booth detail'!K3</f>
        <v>-</v>
      </c>
      <c r="M6" s="39" t="str">
        <f>'Booth detail'!L3</f>
        <v>-</v>
      </c>
      <c r="N6" s="39" t="str">
        <f>'Booth detail'!M3</f>
        <v>-</v>
      </c>
      <c r="O6" s="39" t="str">
        <f>'Booth detail'!N3</f>
        <v>-</v>
      </c>
      <c r="P6" s="39" t="str">
        <f>'Booth detail'!O3</f>
        <v>-</v>
      </c>
      <c r="Q6" s="196"/>
      <c r="R6" s="196"/>
      <c r="S6" s="196"/>
    </row>
    <row r="7" spans="1:19">
      <c r="A7" s="14" t="s">
        <v>7</v>
      </c>
      <c r="B7" s="11" t="s">
        <v>8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3" t="s">
        <v>9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  <c r="N7" s="3" t="s">
        <v>9</v>
      </c>
      <c r="O7" s="3" t="s">
        <v>9</v>
      </c>
      <c r="P7" s="3" t="s">
        <v>9</v>
      </c>
      <c r="Q7" s="197"/>
      <c r="R7" s="197"/>
      <c r="S7" s="197"/>
    </row>
    <row r="8" spans="1:19" ht="17.25" customHeight="1">
      <c r="A8" s="20">
        <f>'Candidate List'!A2</f>
        <v>1</v>
      </c>
      <c r="B8" s="15" t="str">
        <f>'Candidate List'!B2</f>
        <v>Manveer Singh</v>
      </c>
      <c r="C8" s="13">
        <v>2</v>
      </c>
      <c r="D8" s="13">
        <v>48</v>
      </c>
      <c r="E8" s="13">
        <v>89</v>
      </c>
      <c r="F8" s="13">
        <v>94</v>
      </c>
      <c r="G8" s="13">
        <v>31</v>
      </c>
      <c r="H8" s="13">
        <v>30</v>
      </c>
      <c r="I8" s="13">
        <v>115</v>
      </c>
      <c r="J8" s="13">
        <v>38</v>
      </c>
      <c r="K8" s="13">
        <v>12</v>
      </c>
      <c r="L8" s="13">
        <v>65</v>
      </c>
      <c r="M8" s="13">
        <v>151</v>
      </c>
      <c r="N8" s="13">
        <v>29</v>
      </c>
      <c r="O8" s="13">
        <v>16</v>
      </c>
      <c r="P8" s="13">
        <v>40</v>
      </c>
      <c r="Q8" s="22">
        <f>SUM(C8:P8)</f>
        <v>760</v>
      </c>
      <c r="R8" s="22">
        <v>0</v>
      </c>
      <c r="S8" s="22">
        <f>Q8+R8</f>
        <v>760</v>
      </c>
    </row>
    <row r="9" spans="1:19" ht="17.25" customHeight="1">
      <c r="A9" s="36">
        <f>'Candidate List'!A3</f>
        <v>2</v>
      </c>
      <c r="B9" s="15" t="str">
        <f>'Candidate List'!B3</f>
        <v>Rahul Yadav</v>
      </c>
      <c r="C9" s="13">
        <v>599</v>
      </c>
      <c r="D9" s="13">
        <v>440</v>
      </c>
      <c r="E9" s="13">
        <v>15</v>
      </c>
      <c r="F9" s="13">
        <v>275</v>
      </c>
      <c r="G9" s="13">
        <v>306</v>
      </c>
      <c r="H9" s="13">
        <v>7</v>
      </c>
      <c r="I9" s="13">
        <v>16</v>
      </c>
      <c r="J9" s="13">
        <v>45</v>
      </c>
      <c r="K9" s="13">
        <v>46</v>
      </c>
      <c r="L9" s="13">
        <v>85</v>
      </c>
      <c r="M9" s="13">
        <v>48</v>
      </c>
      <c r="N9" s="13">
        <v>79</v>
      </c>
      <c r="O9" s="13">
        <v>110</v>
      </c>
      <c r="P9" s="13">
        <v>103</v>
      </c>
      <c r="Q9" s="30">
        <f t="shared" ref="Q9:Q21" si="0">SUM(C9:P9)</f>
        <v>2174</v>
      </c>
      <c r="R9" s="30">
        <v>0</v>
      </c>
      <c r="S9" s="30">
        <f t="shared" ref="S9:S21" si="1">Q9+R9</f>
        <v>2174</v>
      </c>
    </row>
    <row r="10" spans="1:19" ht="17.25" customHeight="1">
      <c r="A10" s="36">
        <f>'Candidate List'!A4</f>
        <v>3</v>
      </c>
      <c r="B10" s="15" t="str">
        <f>'Candidate List'!B4</f>
        <v>Lakshmi Raj</v>
      </c>
      <c r="C10" s="13">
        <v>18</v>
      </c>
      <c r="D10" s="13">
        <v>42</v>
      </c>
      <c r="E10" s="13">
        <v>161</v>
      </c>
      <c r="F10" s="13">
        <v>34</v>
      </c>
      <c r="G10" s="13">
        <v>43</v>
      </c>
      <c r="H10" s="13">
        <v>342</v>
      </c>
      <c r="I10" s="13">
        <v>226</v>
      </c>
      <c r="J10" s="13">
        <v>254</v>
      </c>
      <c r="K10" s="13">
        <v>385</v>
      </c>
      <c r="L10" s="13">
        <v>210</v>
      </c>
      <c r="M10" s="13">
        <v>197</v>
      </c>
      <c r="N10" s="13">
        <v>282</v>
      </c>
      <c r="O10" s="13">
        <v>421</v>
      </c>
      <c r="P10" s="13">
        <v>282</v>
      </c>
      <c r="Q10" s="30">
        <f t="shared" si="0"/>
        <v>2897</v>
      </c>
      <c r="R10" s="30">
        <v>0</v>
      </c>
      <c r="S10" s="30">
        <f t="shared" si="1"/>
        <v>2897</v>
      </c>
    </row>
    <row r="11" spans="1:19" ht="17.25" customHeight="1">
      <c r="A11" s="36">
        <f>'Candidate List'!A5</f>
        <v>4</v>
      </c>
      <c r="B11" s="15" t="str">
        <f>'Candidate List'!B5</f>
        <v>Saleem Akhtar Khan</v>
      </c>
      <c r="C11" s="13">
        <v>3</v>
      </c>
      <c r="D11" s="13">
        <v>3</v>
      </c>
      <c r="E11" s="13">
        <v>1</v>
      </c>
      <c r="F11" s="13">
        <v>3</v>
      </c>
      <c r="G11" s="13">
        <v>3</v>
      </c>
      <c r="H11" s="13">
        <v>5</v>
      </c>
      <c r="I11" s="13">
        <v>3</v>
      </c>
      <c r="J11" s="13">
        <v>5</v>
      </c>
      <c r="K11" s="13">
        <v>2</v>
      </c>
      <c r="L11" s="13">
        <v>4</v>
      </c>
      <c r="M11" s="13">
        <v>3</v>
      </c>
      <c r="N11" s="13">
        <v>3</v>
      </c>
      <c r="O11" s="13">
        <v>0</v>
      </c>
      <c r="P11" s="13">
        <v>8</v>
      </c>
      <c r="Q11" s="30">
        <f t="shared" si="0"/>
        <v>46</v>
      </c>
      <c r="R11" s="30">
        <v>0</v>
      </c>
      <c r="S11" s="30">
        <f t="shared" si="1"/>
        <v>46</v>
      </c>
    </row>
    <row r="12" spans="1:19" ht="17.25" customHeight="1">
      <c r="A12" s="36">
        <f>'Candidate List'!A6</f>
        <v>5</v>
      </c>
      <c r="B12" s="15" t="str">
        <f>'Candidate List'!B6</f>
        <v>Ajay Kumar</v>
      </c>
      <c r="C12" s="13">
        <v>0</v>
      </c>
      <c r="D12" s="13">
        <v>1</v>
      </c>
      <c r="E12" s="13">
        <v>0</v>
      </c>
      <c r="F12" s="13">
        <v>2</v>
      </c>
      <c r="G12" s="13">
        <v>0</v>
      </c>
      <c r="H12" s="13">
        <v>7</v>
      </c>
      <c r="I12" s="13">
        <v>1</v>
      </c>
      <c r="J12" s="13">
        <v>2</v>
      </c>
      <c r="K12" s="13">
        <v>1</v>
      </c>
      <c r="L12" s="13">
        <v>1</v>
      </c>
      <c r="M12" s="13">
        <v>1</v>
      </c>
      <c r="N12" s="13">
        <v>1</v>
      </c>
      <c r="O12" s="13">
        <v>0</v>
      </c>
      <c r="P12" s="13">
        <v>12</v>
      </c>
      <c r="Q12" s="30">
        <f t="shared" si="0"/>
        <v>29</v>
      </c>
      <c r="R12" s="30">
        <v>0</v>
      </c>
      <c r="S12" s="30">
        <f t="shared" si="1"/>
        <v>29</v>
      </c>
    </row>
    <row r="13" spans="1:19" ht="18.75" customHeight="1">
      <c r="A13" s="36">
        <f>'Candidate List'!A7</f>
        <v>6</v>
      </c>
      <c r="B13" s="15" t="str">
        <f>'Candidate List'!B7</f>
        <v>Ajay Kumar Sharma</v>
      </c>
      <c r="C13" s="13">
        <v>0</v>
      </c>
      <c r="D13" s="13">
        <v>0</v>
      </c>
      <c r="E13" s="13">
        <v>0</v>
      </c>
      <c r="F13" s="13">
        <v>1</v>
      </c>
      <c r="G13" s="13">
        <v>0</v>
      </c>
      <c r="H13" s="13">
        <v>1</v>
      </c>
      <c r="I13" s="13">
        <v>2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1</v>
      </c>
      <c r="Q13" s="30">
        <f t="shared" si="0"/>
        <v>5</v>
      </c>
      <c r="R13" s="30">
        <v>0</v>
      </c>
      <c r="S13" s="30">
        <f t="shared" si="1"/>
        <v>5</v>
      </c>
    </row>
    <row r="14" spans="1:19" ht="16.5" customHeight="1">
      <c r="A14" s="36">
        <f>'Candidate List'!A8</f>
        <v>7</v>
      </c>
      <c r="B14" s="15" t="str">
        <f>'Candidate List'!B8</f>
        <v>Amit Singh Tomar</v>
      </c>
      <c r="C14" s="13">
        <v>0</v>
      </c>
      <c r="D14" s="13">
        <v>1</v>
      </c>
      <c r="E14" s="13">
        <v>0</v>
      </c>
      <c r="F14" s="13">
        <v>1</v>
      </c>
      <c r="G14" s="13">
        <v>1</v>
      </c>
      <c r="H14" s="13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30">
        <f t="shared" si="0"/>
        <v>5</v>
      </c>
      <c r="R14" s="30">
        <v>0</v>
      </c>
      <c r="S14" s="30">
        <f t="shared" si="1"/>
        <v>5</v>
      </c>
    </row>
    <row r="15" spans="1:19" ht="21.75" customHeight="1">
      <c r="A15" s="36">
        <f>'Candidate List'!A9</f>
        <v>8</v>
      </c>
      <c r="B15" s="15" t="str">
        <f>'Candidate List'!B9</f>
        <v>Darshan Sharma</v>
      </c>
      <c r="C15" s="13">
        <v>0</v>
      </c>
      <c r="D15" s="13">
        <v>1</v>
      </c>
      <c r="E15" s="13">
        <v>0</v>
      </c>
      <c r="F15" s="13">
        <v>0</v>
      </c>
      <c r="G15" s="13">
        <v>2</v>
      </c>
      <c r="H15" s="13">
        <v>1</v>
      </c>
      <c r="I15" s="13">
        <v>5</v>
      </c>
      <c r="J15" s="13">
        <v>1</v>
      </c>
      <c r="K15" s="13">
        <v>1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30">
        <f t="shared" si="0"/>
        <v>12</v>
      </c>
      <c r="R15" s="30">
        <v>0</v>
      </c>
      <c r="S15" s="30">
        <f t="shared" si="1"/>
        <v>12</v>
      </c>
    </row>
    <row r="16" spans="1:19" ht="18.75">
      <c r="A16" s="36">
        <f>'Candidate List'!A10</f>
        <v>9</v>
      </c>
      <c r="B16" s="15" t="str">
        <f>'Candidate List'!B10</f>
        <v>Dilshad Ahmad</v>
      </c>
      <c r="C16" s="13">
        <v>6</v>
      </c>
      <c r="D16" s="13">
        <v>5</v>
      </c>
      <c r="E16" s="13">
        <v>0</v>
      </c>
      <c r="F16" s="13">
        <v>56</v>
      </c>
      <c r="G16" s="13">
        <v>48</v>
      </c>
      <c r="H16" s="13">
        <v>0</v>
      </c>
      <c r="I16" s="13">
        <v>1</v>
      </c>
      <c r="J16" s="13">
        <v>0</v>
      </c>
      <c r="K16" s="13">
        <v>0</v>
      </c>
      <c r="L16" s="13">
        <v>2</v>
      </c>
      <c r="M16" s="13">
        <v>0</v>
      </c>
      <c r="N16" s="13">
        <v>0</v>
      </c>
      <c r="O16" s="13">
        <v>0</v>
      </c>
      <c r="P16" s="13">
        <v>0</v>
      </c>
      <c r="Q16" s="30">
        <f t="shared" si="0"/>
        <v>118</v>
      </c>
      <c r="R16" s="30">
        <v>0</v>
      </c>
      <c r="S16" s="30">
        <f t="shared" si="1"/>
        <v>118</v>
      </c>
    </row>
    <row r="17" spans="1:19" ht="21.75" customHeight="1">
      <c r="A17" s="36">
        <f>'Candidate List'!A11</f>
        <v>10</v>
      </c>
      <c r="B17" s="15" t="str">
        <f>'Candidate List'!B11</f>
        <v>Raju Thakur</v>
      </c>
      <c r="C17" s="13">
        <v>2</v>
      </c>
      <c r="D17" s="13">
        <v>2</v>
      </c>
      <c r="E17" s="13">
        <v>2</v>
      </c>
      <c r="F17" s="13">
        <v>5</v>
      </c>
      <c r="G17" s="13">
        <v>2</v>
      </c>
      <c r="H17" s="13">
        <v>2</v>
      </c>
      <c r="I17" s="13">
        <v>2</v>
      </c>
      <c r="J17" s="13">
        <v>1</v>
      </c>
      <c r="K17" s="13">
        <v>3</v>
      </c>
      <c r="L17" s="13">
        <v>1</v>
      </c>
      <c r="M17" s="13">
        <v>1</v>
      </c>
      <c r="N17" s="13">
        <v>3</v>
      </c>
      <c r="O17" s="13">
        <v>2</v>
      </c>
      <c r="P17" s="13">
        <v>2</v>
      </c>
      <c r="Q17" s="30">
        <f t="shared" si="0"/>
        <v>30</v>
      </c>
      <c r="R17" s="30">
        <v>0</v>
      </c>
      <c r="S17" s="30">
        <f t="shared" si="1"/>
        <v>30</v>
      </c>
    </row>
    <row r="18" spans="1:19" ht="19.5" customHeight="1">
      <c r="A18" s="36">
        <f>'Candidate List'!A12</f>
        <v>11</v>
      </c>
      <c r="B18" s="15" t="str">
        <f>'Candidate List'!B12</f>
        <v>Bablu</v>
      </c>
      <c r="C18" s="13">
        <v>0</v>
      </c>
      <c r="D18" s="13">
        <v>3</v>
      </c>
      <c r="E18" s="13">
        <v>0</v>
      </c>
      <c r="F18" s="13">
        <v>0</v>
      </c>
      <c r="G18" s="13">
        <v>1</v>
      </c>
      <c r="H18" s="13">
        <v>1</v>
      </c>
      <c r="I18" s="13">
        <v>1</v>
      </c>
      <c r="J18" s="13">
        <v>1</v>
      </c>
      <c r="K18" s="13">
        <v>2</v>
      </c>
      <c r="L18" s="13">
        <v>0</v>
      </c>
      <c r="M18" s="13">
        <v>0</v>
      </c>
      <c r="N18" s="13">
        <v>1</v>
      </c>
      <c r="O18" s="13">
        <v>1</v>
      </c>
      <c r="P18" s="13">
        <v>0</v>
      </c>
      <c r="Q18" s="30">
        <f t="shared" si="0"/>
        <v>11</v>
      </c>
      <c r="R18" s="30">
        <v>0</v>
      </c>
      <c r="S18" s="30">
        <f t="shared" si="1"/>
        <v>11</v>
      </c>
    </row>
    <row r="19" spans="1:19" ht="20.25" customHeight="1">
      <c r="A19" s="36">
        <f>'Candidate List'!A13</f>
        <v>12</v>
      </c>
      <c r="B19" s="15" t="str">
        <f>'Candidate List'!B13</f>
        <v>NOTA</v>
      </c>
      <c r="C19" s="13">
        <v>2</v>
      </c>
      <c r="D19" s="13">
        <v>1</v>
      </c>
      <c r="E19" s="13">
        <v>0</v>
      </c>
      <c r="F19" s="13">
        <v>3</v>
      </c>
      <c r="G19" s="13">
        <v>4</v>
      </c>
      <c r="H19" s="13">
        <v>2</v>
      </c>
      <c r="I19" s="13">
        <v>0</v>
      </c>
      <c r="J19" s="13">
        <v>8</v>
      </c>
      <c r="K19" s="13">
        <v>1</v>
      </c>
      <c r="L19" s="13">
        <v>0</v>
      </c>
      <c r="M19" s="13">
        <v>4</v>
      </c>
      <c r="N19" s="13">
        <v>0</v>
      </c>
      <c r="O19" s="13">
        <v>1</v>
      </c>
      <c r="P19" s="13">
        <v>1</v>
      </c>
      <c r="Q19" s="30">
        <f t="shared" si="0"/>
        <v>27</v>
      </c>
      <c r="R19" s="30">
        <v>0</v>
      </c>
      <c r="S19" s="30">
        <f t="shared" si="1"/>
        <v>27</v>
      </c>
    </row>
    <row r="20" spans="1:19" ht="22.5" customHeight="1">
      <c r="A20" s="187" t="s">
        <v>11</v>
      </c>
      <c r="B20" s="187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0">
        <f t="shared" si="0"/>
        <v>0</v>
      </c>
      <c r="R20" s="30">
        <v>0</v>
      </c>
      <c r="S20" s="30">
        <f t="shared" si="1"/>
        <v>0</v>
      </c>
    </row>
    <row r="21" spans="1:19" ht="21.75" customHeight="1">
      <c r="A21" s="188" t="s">
        <v>12</v>
      </c>
      <c r="B21" s="188"/>
      <c r="C21" s="22">
        <f t="shared" ref="C21:P21" si="2">SUM(C8:C20)</f>
        <v>632</v>
      </c>
      <c r="D21" s="22">
        <f t="shared" si="2"/>
        <v>547</v>
      </c>
      <c r="E21" s="22">
        <f t="shared" si="2"/>
        <v>268</v>
      </c>
      <c r="F21" s="22">
        <f t="shared" si="2"/>
        <v>474</v>
      </c>
      <c r="G21" s="22">
        <f t="shared" si="2"/>
        <v>441</v>
      </c>
      <c r="H21" s="30">
        <f t="shared" si="2"/>
        <v>399</v>
      </c>
      <c r="I21" s="22">
        <f t="shared" si="2"/>
        <v>372</v>
      </c>
      <c r="J21" s="22">
        <f t="shared" si="2"/>
        <v>355</v>
      </c>
      <c r="K21" s="22">
        <f t="shared" si="2"/>
        <v>453</v>
      </c>
      <c r="L21" s="22">
        <f t="shared" si="2"/>
        <v>368</v>
      </c>
      <c r="M21" s="22">
        <f t="shared" si="2"/>
        <v>405</v>
      </c>
      <c r="N21" s="22">
        <f t="shared" si="2"/>
        <v>398</v>
      </c>
      <c r="O21" s="22">
        <f t="shared" si="2"/>
        <v>553</v>
      </c>
      <c r="P21" s="22">
        <f t="shared" si="2"/>
        <v>449</v>
      </c>
      <c r="Q21" s="30">
        <f t="shared" si="0"/>
        <v>6114</v>
      </c>
      <c r="R21" s="30">
        <v>0</v>
      </c>
      <c r="S21" s="30">
        <f t="shared" si="1"/>
        <v>6114</v>
      </c>
    </row>
    <row r="22" spans="1:19" ht="45.75" customHeight="1">
      <c r="A22" s="5"/>
      <c r="B22" s="5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8"/>
      <c r="R22" s="7"/>
      <c r="S22" s="7"/>
    </row>
    <row r="23" spans="1:19" ht="23.25" customHeight="1">
      <c r="A23" s="9"/>
      <c r="B23" s="9"/>
      <c r="C23" s="10" t="s">
        <v>13</v>
      </c>
      <c r="D23" s="10" t="s">
        <v>13</v>
      </c>
      <c r="E23" s="10" t="s">
        <v>13</v>
      </c>
      <c r="F23" s="10" t="s">
        <v>13</v>
      </c>
      <c r="G23" s="10" t="s">
        <v>13</v>
      </c>
      <c r="H23" s="10" t="s">
        <v>13</v>
      </c>
      <c r="I23" s="10" t="s">
        <v>13</v>
      </c>
      <c r="J23" s="10" t="s">
        <v>13</v>
      </c>
      <c r="K23" s="10" t="s">
        <v>13</v>
      </c>
      <c r="L23" s="10" t="s">
        <v>13</v>
      </c>
      <c r="M23" s="10" t="s">
        <v>13</v>
      </c>
      <c r="N23" s="10" t="s">
        <v>13</v>
      </c>
      <c r="O23" s="10" t="s">
        <v>13</v>
      </c>
      <c r="P23" s="10" t="s">
        <v>13</v>
      </c>
      <c r="Q23" s="10" t="s">
        <v>13</v>
      </c>
      <c r="R23" s="10" t="s">
        <v>13</v>
      </c>
      <c r="S23" s="10" t="s">
        <v>13</v>
      </c>
    </row>
    <row r="24" spans="1:19" ht="43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22.5">
      <c r="A25" s="9"/>
      <c r="B25" s="9"/>
      <c r="C25" s="10" t="s">
        <v>14</v>
      </c>
      <c r="D25" s="10" t="s">
        <v>14</v>
      </c>
      <c r="E25" s="10" t="s">
        <v>14</v>
      </c>
      <c r="F25" s="10" t="s">
        <v>14</v>
      </c>
      <c r="G25" s="10" t="s">
        <v>14</v>
      </c>
      <c r="H25" s="10" t="s">
        <v>14</v>
      </c>
      <c r="I25" s="10" t="s">
        <v>14</v>
      </c>
      <c r="J25" s="10" t="s">
        <v>14</v>
      </c>
      <c r="K25" s="10" t="s">
        <v>14</v>
      </c>
      <c r="L25" s="10" t="s">
        <v>14</v>
      </c>
      <c r="M25" s="10" t="s">
        <v>14</v>
      </c>
      <c r="N25" s="10" t="s">
        <v>14</v>
      </c>
      <c r="O25" s="10" t="s">
        <v>14</v>
      </c>
      <c r="P25" s="10" t="s">
        <v>14</v>
      </c>
      <c r="Q25" s="10" t="s">
        <v>14</v>
      </c>
      <c r="R25" s="10" t="s">
        <v>14</v>
      </c>
      <c r="S25" s="10" t="s">
        <v>14</v>
      </c>
    </row>
    <row r="26" spans="1:19" ht="8.25" customHeight="1">
      <c r="A26" s="9"/>
      <c r="B26" s="9"/>
      <c r="C26" s="9"/>
      <c r="D26" s="9"/>
      <c r="E26" s="9"/>
      <c r="F26" s="9"/>
      <c r="G26" s="9"/>
      <c r="H26" s="3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189" t="s">
        <v>15</v>
      </c>
      <c r="B27" s="189"/>
      <c r="C27" s="164" t="s">
        <v>16</v>
      </c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9"/>
      <c r="S27" s="9"/>
    </row>
    <row r="28" spans="1:19">
      <c r="A28" s="9"/>
      <c r="B28" s="9"/>
      <c r="C28" s="164" t="s">
        <v>17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9"/>
      <c r="S28" s="9"/>
    </row>
    <row r="29" spans="1:19">
      <c r="A29" s="12"/>
      <c r="B29" s="12"/>
      <c r="C29" s="164" t="s">
        <v>44</v>
      </c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2"/>
      <c r="S29" s="12"/>
    </row>
    <row r="30" spans="1:19">
      <c r="A30" s="9"/>
      <c r="B30" s="9"/>
      <c r="C30" s="164" t="s">
        <v>45</v>
      </c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9"/>
      <c r="S30" s="9"/>
    </row>
    <row r="33" spans="1:19" ht="26.25">
      <c r="A33" s="190" t="s">
        <v>0</v>
      </c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</row>
    <row r="34" spans="1:19" ht="19.5">
      <c r="A34" s="191" t="s">
        <v>1225</v>
      </c>
      <c r="B34" s="191"/>
      <c r="C34" s="191"/>
      <c r="D34" s="191"/>
      <c r="E34" s="191"/>
      <c r="F34" s="191"/>
      <c r="G34" s="191"/>
      <c r="H34" s="191"/>
      <c r="I34" s="1"/>
      <c r="J34" s="1"/>
      <c r="K34" s="192" t="s">
        <v>21</v>
      </c>
      <c r="L34" s="192"/>
      <c r="M34" s="192"/>
      <c r="N34" s="192"/>
      <c r="O34" s="1"/>
      <c r="P34" s="193" t="s">
        <v>1</v>
      </c>
      <c r="Q34" s="193"/>
      <c r="R34" s="194">
        <v>44630</v>
      </c>
      <c r="S34" s="194"/>
    </row>
    <row r="35" spans="1:19">
      <c r="A35" s="188" t="s">
        <v>2</v>
      </c>
      <c r="B35" s="188"/>
      <c r="C35" s="30">
        <v>1</v>
      </c>
      <c r="D35" s="30">
        <v>2</v>
      </c>
      <c r="E35" s="30">
        <v>3</v>
      </c>
      <c r="F35" s="30">
        <v>4</v>
      </c>
      <c r="G35" s="30">
        <v>5</v>
      </c>
      <c r="H35" s="30">
        <v>6</v>
      </c>
      <c r="I35" s="30">
        <v>7</v>
      </c>
      <c r="J35" s="30">
        <v>8</v>
      </c>
      <c r="K35" s="30">
        <v>9</v>
      </c>
      <c r="L35" s="30">
        <v>10</v>
      </c>
      <c r="M35" s="30">
        <v>11</v>
      </c>
      <c r="N35" s="30">
        <v>12</v>
      </c>
      <c r="O35" s="30">
        <v>13</v>
      </c>
      <c r="P35" s="30">
        <v>14</v>
      </c>
      <c r="Q35" s="195" t="s">
        <v>3</v>
      </c>
      <c r="R35" s="195" t="s">
        <v>4</v>
      </c>
      <c r="S35" s="195" t="s">
        <v>5</v>
      </c>
    </row>
    <row r="36" spans="1:19">
      <c r="A36" s="188" t="s">
        <v>6</v>
      </c>
      <c r="B36" s="188"/>
      <c r="C36" s="30">
        <f>'Booth detail'!P1</f>
        <v>15</v>
      </c>
      <c r="D36" s="37">
        <f>'Booth detail'!Q1</f>
        <v>16</v>
      </c>
      <c r="E36" s="37">
        <f>'Booth detail'!R1</f>
        <v>17</v>
      </c>
      <c r="F36" s="37">
        <f>'Booth detail'!S1</f>
        <v>18</v>
      </c>
      <c r="G36" s="37">
        <f>'Booth detail'!T1</f>
        <v>19</v>
      </c>
      <c r="H36" s="37">
        <f>'Booth detail'!U1</f>
        <v>20</v>
      </c>
      <c r="I36" s="37">
        <f>'Booth detail'!V1</f>
        <v>21</v>
      </c>
      <c r="J36" s="37">
        <f>'Booth detail'!W1</f>
        <v>22</v>
      </c>
      <c r="K36" s="37">
        <f>'Booth detail'!X1</f>
        <v>23</v>
      </c>
      <c r="L36" s="37">
        <f>'Booth detail'!Y1</f>
        <v>24</v>
      </c>
      <c r="M36" s="37">
        <f>'Booth detail'!Z1</f>
        <v>25</v>
      </c>
      <c r="N36" s="37">
        <f>'Booth detail'!AA1</f>
        <v>26</v>
      </c>
      <c r="O36" s="37">
        <f>'Booth detail'!AB1</f>
        <v>27</v>
      </c>
      <c r="P36" s="37">
        <f>'Booth detail'!AC1</f>
        <v>28</v>
      </c>
      <c r="Q36" s="196"/>
      <c r="R36" s="196"/>
      <c r="S36" s="196"/>
    </row>
    <row r="37" spans="1:19" ht="25.5">
      <c r="A37" s="188" t="s">
        <v>18</v>
      </c>
      <c r="B37" s="188"/>
      <c r="C37" s="44" t="str">
        <f>'Booth detail'!P2</f>
        <v>ECUED29544</v>
      </c>
      <c r="D37" s="44" t="str">
        <f>'Booth detail'!Q2</f>
        <v>ECUEC64240</v>
      </c>
      <c r="E37" s="44" t="str">
        <f>'Booth detail'!R2</f>
        <v>ECUEC52847</v>
      </c>
      <c r="F37" s="44" t="str">
        <f>'Booth detail'!S2</f>
        <v>ECUEC57886</v>
      </c>
      <c r="G37" s="44" t="str">
        <f>'Booth detail'!T2</f>
        <v>ECUEC51183</v>
      </c>
      <c r="H37" s="44" t="str">
        <f>'Booth detail'!U2</f>
        <v>ECUEC64330</v>
      </c>
      <c r="I37" s="44" t="str">
        <f>'Booth detail'!V2</f>
        <v>ECUEC57577</v>
      </c>
      <c r="J37" s="44" t="str">
        <f>'Booth detail'!W2</f>
        <v>ECUEC64629</v>
      </c>
      <c r="K37" s="44" t="str">
        <f>'Booth detail'!X2</f>
        <v>ECUEC64669</v>
      </c>
      <c r="L37" s="44" t="str">
        <f>'Booth detail'!Y2</f>
        <v>ECUEC67556</v>
      </c>
      <c r="M37" s="44" t="str">
        <f>'Booth detail'!Z2</f>
        <v>ECUEC51902</v>
      </c>
      <c r="N37" s="44" t="str">
        <f>'Booth detail'!AA2</f>
        <v>ECUEC64790</v>
      </c>
      <c r="O37" s="44" t="str">
        <f>'Booth detail'!AB2</f>
        <v>ECUEC60441</v>
      </c>
      <c r="P37" s="44" t="str">
        <f>'Booth detail'!AC2</f>
        <v>ECUEC67625</v>
      </c>
      <c r="Q37" s="196"/>
      <c r="R37" s="196"/>
      <c r="S37" s="196"/>
    </row>
    <row r="38" spans="1:19" ht="44.25" customHeight="1">
      <c r="A38" s="188" t="s">
        <v>20</v>
      </c>
      <c r="B38" s="205"/>
      <c r="C38" s="55" t="str">
        <f>'Booth detail'!P3</f>
        <v>-</v>
      </c>
      <c r="D38" s="55" t="str">
        <f>'Booth detail'!Q3</f>
        <v>-</v>
      </c>
      <c r="E38" s="55" t="str">
        <f>'Booth detail'!R3</f>
        <v>-</v>
      </c>
      <c r="F38" s="55" t="str">
        <f>'Booth detail'!S3</f>
        <v>-</v>
      </c>
      <c r="G38" s="55" t="str">
        <f>'Booth detail'!T3</f>
        <v>-</v>
      </c>
      <c r="H38" s="55" t="str">
        <f>'Booth detail'!U3</f>
        <v>-</v>
      </c>
      <c r="I38" s="55" t="str">
        <f>'Booth detail'!V3</f>
        <v>-</v>
      </c>
      <c r="J38" s="55" t="str">
        <f>'Booth detail'!W3</f>
        <v>-</v>
      </c>
      <c r="K38" s="55" t="str">
        <f>'Booth detail'!X3</f>
        <v>-</v>
      </c>
      <c r="L38" s="55" t="str">
        <f>'Booth detail'!Y3</f>
        <v>-</v>
      </c>
      <c r="M38" s="55" t="str">
        <f>'Booth detail'!Z3</f>
        <v>-</v>
      </c>
      <c r="N38" s="55" t="str">
        <f>'Booth detail'!AA3</f>
        <v>-</v>
      </c>
      <c r="O38" s="55" t="str">
        <f>'Booth detail'!AB3</f>
        <v>-</v>
      </c>
      <c r="P38" s="55" t="str">
        <f>'Booth detail'!AC3</f>
        <v>-</v>
      </c>
      <c r="Q38" s="196"/>
      <c r="R38" s="196"/>
      <c r="S38" s="196"/>
    </row>
    <row r="39" spans="1:19">
      <c r="A39" s="14" t="s">
        <v>7</v>
      </c>
      <c r="B39" s="32" t="s">
        <v>8</v>
      </c>
      <c r="C39" s="33" t="s">
        <v>9</v>
      </c>
      <c r="D39" s="33" t="s">
        <v>9</v>
      </c>
      <c r="E39" s="33" t="s">
        <v>9</v>
      </c>
      <c r="F39" s="33" t="s">
        <v>9</v>
      </c>
      <c r="G39" s="33" t="s">
        <v>9</v>
      </c>
      <c r="H39" s="33" t="s">
        <v>9</v>
      </c>
      <c r="I39" s="33" t="s">
        <v>9</v>
      </c>
      <c r="J39" s="33" t="s">
        <v>9</v>
      </c>
      <c r="K39" s="33" t="s">
        <v>9</v>
      </c>
      <c r="L39" s="33" t="s">
        <v>9</v>
      </c>
      <c r="M39" s="33" t="s">
        <v>9</v>
      </c>
      <c r="N39" s="33" t="s">
        <v>9</v>
      </c>
      <c r="O39" s="33" t="s">
        <v>9</v>
      </c>
      <c r="P39" s="33" t="s">
        <v>9</v>
      </c>
      <c r="Q39" s="197"/>
      <c r="R39" s="197"/>
      <c r="S39" s="197"/>
    </row>
    <row r="40" spans="1:19" ht="18.75">
      <c r="A40" s="29">
        <v>1</v>
      </c>
      <c r="B40" s="15" t="str">
        <f>'Candidate List'!B2</f>
        <v>Manveer Singh</v>
      </c>
      <c r="C40" s="13">
        <v>120</v>
      </c>
      <c r="D40" s="13">
        <v>81</v>
      </c>
      <c r="E40" s="13">
        <v>1</v>
      </c>
      <c r="F40" s="13">
        <v>3</v>
      </c>
      <c r="G40" s="13">
        <v>113</v>
      </c>
      <c r="H40" s="13">
        <v>4</v>
      </c>
      <c r="I40" s="13">
        <v>29</v>
      </c>
      <c r="J40" s="13">
        <v>255</v>
      </c>
      <c r="K40" s="13">
        <v>58</v>
      </c>
      <c r="L40" s="13">
        <v>134</v>
      </c>
      <c r="M40" s="13">
        <v>3</v>
      </c>
      <c r="N40" s="13">
        <v>303</v>
      </c>
      <c r="O40" s="13">
        <v>12</v>
      </c>
      <c r="P40" s="13">
        <v>16</v>
      </c>
      <c r="Q40" s="30">
        <f>SUM(C40:P40)</f>
        <v>1132</v>
      </c>
      <c r="R40" s="30">
        <f>S8</f>
        <v>760</v>
      </c>
      <c r="S40" s="30">
        <f>Q40+R40</f>
        <v>1892</v>
      </c>
    </row>
    <row r="41" spans="1:19" ht="18.75">
      <c r="A41" s="29">
        <v>2</v>
      </c>
      <c r="B41" s="15" t="str">
        <f>'Candidate List'!B3</f>
        <v>Rahul Yadav</v>
      </c>
      <c r="C41" s="13">
        <v>241</v>
      </c>
      <c r="D41" s="13">
        <v>200</v>
      </c>
      <c r="E41" s="13">
        <v>380</v>
      </c>
      <c r="F41" s="13">
        <v>470</v>
      </c>
      <c r="G41" s="13">
        <v>212</v>
      </c>
      <c r="H41" s="13">
        <v>96</v>
      </c>
      <c r="I41" s="13">
        <v>258</v>
      </c>
      <c r="J41" s="13">
        <v>120</v>
      </c>
      <c r="K41" s="13">
        <v>29</v>
      </c>
      <c r="L41" s="13">
        <v>182</v>
      </c>
      <c r="M41" s="13">
        <v>384</v>
      </c>
      <c r="N41" s="13">
        <v>100</v>
      </c>
      <c r="O41" s="13">
        <v>122</v>
      </c>
      <c r="P41" s="13">
        <v>105</v>
      </c>
      <c r="Q41" s="30">
        <f t="shared" ref="Q41:Q53" si="3">SUM(C41:P41)</f>
        <v>2899</v>
      </c>
      <c r="R41" s="30">
        <f t="shared" ref="R41:R53" si="4">S9</f>
        <v>2174</v>
      </c>
      <c r="S41" s="30">
        <f t="shared" ref="S41:S53" si="5">Q41+R41</f>
        <v>5073</v>
      </c>
    </row>
    <row r="42" spans="1:19" ht="18.75">
      <c r="A42" s="29">
        <v>3</v>
      </c>
      <c r="B42" s="15" t="str">
        <f>'Candidate List'!B4</f>
        <v>Lakshmi Raj</v>
      </c>
      <c r="C42" s="13">
        <v>84</v>
      </c>
      <c r="D42" s="13">
        <v>55</v>
      </c>
      <c r="E42" s="13">
        <v>45</v>
      </c>
      <c r="F42" s="13">
        <v>8</v>
      </c>
      <c r="G42" s="13">
        <v>75</v>
      </c>
      <c r="H42" s="13">
        <v>398</v>
      </c>
      <c r="I42" s="13">
        <v>262</v>
      </c>
      <c r="J42" s="13">
        <v>210</v>
      </c>
      <c r="K42" s="13">
        <v>336</v>
      </c>
      <c r="L42" s="13">
        <v>150</v>
      </c>
      <c r="M42" s="13">
        <v>37</v>
      </c>
      <c r="N42" s="13">
        <v>147</v>
      </c>
      <c r="O42" s="13">
        <v>326</v>
      </c>
      <c r="P42" s="13">
        <v>514</v>
      </c>
      <c r="Q42" s="30">
        <f t="shared" si="3"/>
        <v>2647</v>
      </c>
      <c r="R42" s="30">
        <f t="shared" si="4"/>
        <v>2897</v>
      </c>
      <c r="S42" s="30">
        <f t="shared" si="5"/>
        <v>5544</v>
      </c>
    </row>
    <row r="43" spans="1:19" ht="18.75">
      <c r="A43" s="29">
        <v>4</v>
      </c>
      <c r="B43" s="15" t="str">
        <f>'Candidate List'!B5</f>
        <v>Saleem Akhtar Khan</v>
      </c>
      <c r="C43" s="13">
        <v>4</v>
      </c>
      <c r="D43" s="13">
        <v>1</v>
      </c>
      <c r="E43" s="13">
        <v>37</v>
      </c>
      <c r="F43" s="13">
        <v>31</v>
      </c>
      <c r="G43" s="13">
        <v>13</v>
      </c>
      <c r="H43" s="13">
        <v>5</v>
      </c>
      <c r="I43" s="13">
        <v>6</v>
      </c>
      <c r="J43" s="13">
        <v>1</v>
      </c>
      <c r="K43" s="13">
        <v>3</v>
      </c>
      <c r="L43" s="13">
        <v>10</v>
      </c>
      <c r="M43" s="13">
        <v>9</v>
      </c>
      <c r="N43" s="13">
        <v>1</v>
      </c>
      <c r="O43" s="13">
        <v>3</v>
      </c>
      <c r="P43" s="13">
        <v>8</v>
      </c>
      <c r="Q43" s="30">
        <f t="shared" si="3"/>
        <v>132</v>
      </c>
      <c r="R43" s="30">
        <f t="shared" si="4"/>
        <v>46</v>
      </c>
      <c r="S43" s="30">
        <f t="shared" si="5"/>
        <v>178</v>
      </c>
    </row>
    <row r="44" spans="1:19" ht="18.75">
      <c r="A44" s="29">
        <v>5</v>
      </c>
      <c r="B44" s="15" t="str">
        <f>'Candidate List'!B6</f>
        <v>Ajay Kumar</v>
      </c>
      <c r="C44" s="13">
        <v>1</v>
      </c>
      <c r="D44" s="13">
        <v>0</v>
      </c>
      <c r="E44" s="13">
        <v>1</v>
      </c>
      <c r="F44" s="13">
        <v>0</v>
      </c>
      <c r="G44" s="13">
        <v>1</v>
      </c>
      <c r="H44" s="13">
        <v>0</v>
      </c>
      <c r="I44" s="13">
        <v>0</v>
      </c>
      <c r="J44" s="13">
        <v>0</v>
      </c>
      <c r="K44" s="13">
        <v>0</v>
      </c>
      <c r="L44" s="13">
        <v>1</v>
      </c>
      <c r="M44" s="13">
        <v>0</v>
      </c>
      <c r="N44" s="13">
        <v>1</v>
      </c>
      <c r="O44" s="13">
        <v>0</v>
      </c>
      <c r="P44" s="13">
        <v>0</v>
      </c>
      <c r="Q44" s="30">
        <f t="shared" si="3"/>
        <v>5</v>
      </c>
      <c r="R44" s="30">
        <f t="shared" si="4"/>
        <v>29</v>
      </c>
      <c r="S44" s="30">
        <f t="shared" si="5"/>
        <v>34</v>
      </c>
    </row>
    <row r="45" spans="1:19" ht="18.75">
      <c r="A45" s="29">
        <v>6</v>
      </c>
      <c r="B45" s="15" t="str">
        <f>'Candidate List'!B7</f>
        <v>Ajay Kumar Sharma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30">
        <f t="shared" si="3"/>
        <v>1</v>
      </c>
      <c r="R45" s="30">
        <f t="shared" si="4"/>
        <v>5</v>
      </c>
      <c r="S45" s="30">
        <f t="shared" si="5"/>
        <v>6</v>
      </c>
    </row>
    <row r="46" spans="1:19" ht="18.75">
      <c r="A46" s="29">
        <v>7</v>
      </c>
      <c r="B46" s="15" t="str">
        <f>'Candidate List'!B8</f>
        <v>Amit Singh Tomar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3</v>
      </c>
      <c r="M46" s="13">
        <v>0</v>
      </c>
      <c r="N46" s="13">
        <v>2</v>
      </c>
      <c r="O46" s="13">
        <v>0</v>
      </c>
      <c r="P46" s="13">
        <v>0</v>
      </c>
      <c r="Q46" s="30">
        <f t="shared" si="3"/>
        <v>5</v>
      </c>
      <c r="R46" s="30">
        <f t="shared" si="4"/>
        <v>5</v>
      </c>
      <c r="S46" s="30">
        <f t="shared" si="5"/>
        <v>10</v>
      </c>
    </row>
    <row r="47" spans="1:19" ht="18.75">
      <c r="A47" s="29">
        <v>8</v>
      </c>
      <c r="B47" s="15" t="str">
        <f>'Candidate List'!B9</f>
        <v>Darshan Sharma</v>
      </c>
      <c r="C47" s="13">
        <v>0</v>
      </c>
      <c r="D47" s="13">
        <v>1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0</v>
      </c>
      <c r="K47" s="13">
        <v>1</v>
      </c>
      <c r="L47" s="13">
        <v>1</v>
      </c>
      <c r="M47" s="13">
        <v>0</v>
      </c>
      <c r="N47" s="13">
        <v>3</v>
      </c>
      <c r="O47" s="13">
        <v>3</v>
      </c>
      <c r="P47" s="13">
        <v>0</v>
      </c>
      <c r="Q47" s="30">
        <f t="shared" si="3"/>
        <v>10</v>
      </c>
      <c r="R47" s="30">
        <f t="shared" si="4"/>
        <v>12</v>
      </c>
      <c r="S47" s="30">
        <f t="shared" si="5"/>
        <v>22</v>
      </c>
    </row>
    <row r="48" spans="1:19" ht="18.75">
      <c r="A48" s="29">
        <v>9</v>
      </c>
      <c r="B48" s="15" t="str">
        <f>'Candidate List'!B10</f>
        <v>Dilshad Ahmad</v>
      </c>
      <c r="C48" s="13">
        <v>7</v>
      </c>
      <c r="D48" s="13">
        <v>0</v>
      </c>
      <c r="E48" s="13">
        <v>0</v>
      </c>
      <c r="F48" s="13">
        <v>4</v>
      </c>
      <c r="G48" s="13">
        <v>5</v>
      </c>
      <c r="H48" s="13">
        <v>0</v>
      </c>
      <c r="I48" s="13">
        <v>2</v>
      </c>
      <c r="J48" s="13">
        <v>0</v>
      </c>
      <c r="K48" s="13">
        <v>0</v>
      </c>
      <c r="L48" s="13">
        <v>11</v>
      </c>
      <c r="M48" s="13">
        <v>6</v>
      </c>
      <c r="N48" s="13">
        <v>0</v>
      </c>
      <c r="O48" s="13">
        <v>3</v>
      </c>
      <c r="P48" s="13">
        <v>0</v>
      </c>
      <c r="Q48" s="30">
        <f t="shared" si="3"/>
        <v>38</v>
      </c>
      <c r="R48" s="30">
        <f t="shared" si="4"/>
        <v>118</v>
      </c>
      <c r="S48" s="30">
        <f t="shared" si="5"/>
        <v>156</v>
      </c>
    </row>
    <row r="49" spans="1:19" ht="18.75">
      <c r="A49" s="29">
        <v>10</v>
      </c>
      <c r="B49" s="15" t="str">
        <f>'Candidate List'!B11</f>
        <v>Raju Thakur</v>
      </c>
      <c r="C49" s="13">
        <v>1</v>
      </c>
      <c r="D49" s="13">
        <v>1</v>
      </c>
      <c r="E49" s="13">
        <v>3</v>
      </c>
      <c r="F49" s="13">
        <v>0</v>
      </c>
      <c r="G49" s="13">
        <v>1</v>
      </c>
      <c r="H49" s="13">
        <v>0</v>
      </c>
      <c r="I49" s="13">
        <v>2</v>
      </c>
      <c r="J49" s="13">
        <v>2</v>
      </c>
      <c r="K49" s="13">
        <v>2</v>
      </c>
      <c r="L49" s="13">
        <v>5</v>
      </c>
      <c r="M49" s="13">
        <v>1</v>
      </c>
      <c r="N49" s="13">
        <v>0</v>
      </c>
      <c r="O49" s="13">
        <v>8</v>
      </c>
      <c r="P49" s="13">
        <v>2</v>
      </c>
      <c r="Q49" s="30">
        <f t="shared" si="3"/>
        <v>28</v>
      </c>
      <c r="R49" s="30">
        <f t="shared" si="4"/>
        <v>30</v>
      </c>
      <c r="S49" s="30">
        <f t="shared" si="5"/>
        <v>58</v>
      </c>
    </row>
    <row r="50" spans="1:19" ht="18.75">
      <c r="A50" s="29">
        <v>11</v>
      </c>
      <c r="B50" s="15" t="str">
        <f>'Candidate List'!B12</f>
        <v>Bablu</v>
      </c>
      <c r="C50" s="13">
        <v>1</v>
      </c>
      <c r="D50" s="13">
        <v>1</v>
      </c>
      <c r="E50" s="13">
        <v>4</v>
      </c>
      <c r="F50" s="13">
        <v>1</v>
      </c>
      <c r="G50" s="13">
        <v>1</v>
      </c>
      <c r="H50" s="13">
        <v>0</v>
      </c>
      <c r="I50" s="13">
        <v>0</v>
      </c>
      <c r="J50" s="13">
        <v>1</v>
      </c>
      <c r="K50" s="13">
        <v>1</v>
      </c>
      <c r="L50" s="13">
        <v>1</v>
      </c>
      <c r="M50" s="13">
        <v>0</v>
      </c>
      <c r="N50" s="13">
        <v>1</v>
      </c>
      <c r="O50" s="13">
        <v>0</v>
      </c>
      <c r="P50" s="13">
        <v>0</v>
      </c>
      <c r="Q50" s="30">
        <f t="shared" si="3"/>
        <v>12</v>
      </c>
      <c r="R50" s="30">
        <f t="shared" si="4"/>
        <v>11</v>
      </c>
      <c r="S50" s="30">
        <f t="shared" si="5"/>
        <v>23</v>
      </c>
    </row>
    <row r="51" spans="1:19" ht="18.75">
      <c r="A51" s="29">
        <v>12</v>
      </c>
      <c r="B51" s="15" t="str">
        <f>'Candidate List'!B13</f>
        <v>NOTA</v>
      </c>
      <c r="C51" s="13">
        <v>0</v>
      </c>
      <c r="D51" s="13">
        <v>4</v>
      </c>
      <c r="E51" s="13">
        <v>2</v>
      </c>
      <c r="F51" s="13">
        <v>1</v>
      </c>
      <c r="G51" s="13">
        <v>3</v>
      </c>
      <c r="H51" s="13">
        <v>1</v>
      </c>
      <c r="I51" s="13">
        <v>2</v>
      </c>
      <c r="J51" s="13">
        <v>0</v>
      </c>
      <c r="K51" s="13">
        <v>2</v>
      </c>
      <c r="L51" s="13">
        <v>6</v>
      </c>
      <c r="M51" s="13">
        <v>0</v>
      </c>
      <c r="N51" s="13">
        <v>5</v>
      </c>
      <c r="O51" s="13">
        <v>1</v>
      </c>
      <c r="P51" s="13">
        <v>3</v>
      </c>
      <c r="Q51" s="30">
        <f t="shared" si="3"/>
        <v>30</v>
      </c>
      <c r="R51" s="30">
        <f t="shared" si="4"/>
        <v>27</v>
      </c>
      <c r="S51" s="30">
        <f t="shared" si="5"/>
        <v>57</v>
      </c>
    </row>
    <row r="52" spans="1:19">
      <c r="A52" s="187" t="s">
        <v>11</v>
      </c>
      <c r="B52" s="187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30">
        <f t="shared" si="3"/>
        <v>0</v>
      </c>
      <c r="R52" s="30">
        <f t="shared" si="4"/>
        <v>0</v>
      </c>
      <c r="S52" s="30">
        <f t="shared" si="5"/>
        <v>0</v>
      </c>
    </row>
    <row r="53" spans="1:19">
      <c r="A53" s="188" t="s">
        <v>12</v>
      </c>
      <c r="B53" s="188"/>
      <c r="C53" s="30">
        <f t="shared" ref="C53:P53" si="6">SUM(C40:C52)</f>
        <v>459</v>
      </c>
      <c r="D53" s="30">
        <f t="shared" si="6"/>
        <v>344</v>
      </c>
      <c r="E53" s="30">
        <f t="shared" si="6"/>
        <v>473</v>
      </c>
      <c r="F53" s="30">
        <f t="shared" si="6"/>
        <v>518</v>
      </c>
      <c r="G53" s="30">
        <f t="shared" si="6"/>
        <v>424</v>
      </c>
      <c r="H53" s="30">
        <f t="shared" si="6"/>
        <v>505</v>
      </c>
      <c r="I53" s="30">
        <f t="shared" si="6"/>
        <v>561</v>
      </c>
      <c r="J53" s="30">
        <f t="shared" si="6"/>
        <v>589</v>
      </c>
      <c r="K53" s="30">
        <f t="shared" si="6"/>
        <v>433</v>
      </c>
      <c r="L53" s="30">
        <f t="shared" si="6"/>
        <v>504</v>
      </c>
      <c r="M53" s="30">
        <f t="shared" si="6"/>
        <v>440</v>
      </c>
      <c r="N53" s="30">
        <f t="shared" si="6"/>
        <v>563</v>
      </c>
      <c r="O53" s="30">
        <f t="shared" si="6"/>
        <v>478</v>
      </c>
      <c r="P53" s="30">
        <f t="shared" si="6"/>
        <v>648</v>
      </c>
      <c r="Q53" s="30">
        <f t="shared" si="3"/>
        <v>6939</v>
      </c>
      <c r="R53" s="30">
        <f t="shared" si="4"/>
        <v>6114</v>
      </c>
      <c r="S53" s="30">
        <f t="shared" si="5"/>
        <v>13053</v>
      </c>
    </row>
    <row r="54" spans="1:19" ht="47.25" customHeight="1">
      <c r="A54" s="5"/>
      <c r="B54" s="5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7"/>
      <c r="S54" s="7"/>
    </row>
    <row r="55" spans="1:19" ht="22.5">
      <c r="A55" s="31"/>
      <c r="B55" s="31"/>
      <c r="C55" s="10" t="s">
        <v>13</v>
      </c>
      <c r="D55" s="10" t="s">
        <v>13</v>
      </c>
      <c r="E55" s="10" t="s">
        <v>13</v>
      </c>
      <c r="F55" s="10" t="s">
        <v>13</v>
      </c>
      <c r="G55" s="10" t="s">
        <v>13</v>
      </c>
      <c r="H55" s="10" t="s">
        <v>13</v>
      </c>
      <c r="I55" s="10" t="s">
        <v>13</v>
      </c>
      <c r="J55" s="10" t="s">
        <v>13</v>
      </c>
      <c r="K55" s="10" t="s">
        <v>13</v>
      </c>
      <c r="L55" s="10" t="s">
        <v>13</v>
      </c>
      <c r="M55" s="10" t="s">
        <v>13</v>
      </c>
      <c r="N55" s="10" t="s">
        <v>13</v>
      </c>
      <c r="O55" s="10" t="s">
        <v>13</v>
      </c>
      <c r="P55" s="10" t="s">
        <v>13</v>
      </c>
      <c r="Q55" s="10" t="s">
        <v>13</v>
      </c>
      <c r="R55" s="10" t="s">
        <v>13</v>
      </c>
      <c r="S55" s="10" t="s">
        <v>13</v>
      </c>
    </row>
    <row r="56" spans="1:19" ht="53.25" customHeight="1">
      <c r="A56" s="31"/>
      <c r="B56" s="3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22.5">
      <c r="A57" s="31"/>
      <c r="B57" s="31"/>
      <c r="C57" s="10" t="s">
        <v>14</v>
      </c>
      <c r="D57" s="10" t="s">
        <v>14</v>
      </c>
      <c r="E57" s="10" t="s">
        <v>14</v>
      </c>
      <c r="F57" s="10" t="s">
        <v>14</v>
      </c>
      <c r="G57" s="10" t="s">
        <v>14</v>
      </c>
      <c r="H57" s="10" t="s">
        <v>14</v>
      </c>
      <c r="I57" s="10" t="s">
        <v>14</v>
      </c>
      <c r="J57" s="10" t="s">
        <v>14</v>
      </c>
      <c r="K57" s="10" t="s">
        <v>14</v>
      </c>
      <c r="L57" s="10" t="s">
        <v>14</v>
      </c>
      <c r="M57" s="10" t="s">
        <v>14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14</v>
      </c>
      <c r="S57" s="10" t="s">
        <v>14</v>
      </c>
    </row>
    <row r="58" spans="1:19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</row>
    <row r="59" spans="1:19">
      <c r="A59" s="189" t="s">
        <v>15</v>
      </c>
      <c r="B59" s="189"/>
      <c r="C59" s="164" t="s">
        <v>16</v>
      </c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31"/>
      <c r="S59" s="31"/>
    </row>
    <row r="60" spans="1:19">
      <c r="A60" s="31"/>
      <c r="B60" s="31"/>
      <c r="C60" s="164" t="s">
        <v>17</v>
      </c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31"/>
      <c r="S60" s="31"/>
    </row>
    <row r="61" spans="1:19">
      <c r="A61" s="31"/>
      <c r="B61" s="31"/>
      <c r="C61" s="164" t="s">
        <v>44</v>
      </c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31"/>
      <c r="S61" s="31"/>
    </row>
    <row r="62" spans="1:19">
      <c r="A62" s="31"/>
      <c r="B62" s="31"/>
      <c r="C62" s="164" t="s">
        <v>45</v>
      </c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31"/>
      <c r="S62" s="31"/>
    </row>
    <row r="66" spans="1:19" ht="26.25">
      <c r="A66" s="190" t="s">
        <v>0</v>
      </c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</row>
    <row r="67" spans="1:19" ht="19.5">
      <c r="A67" s="191" t="s">
        <v>1225</v>
      </c>
      <c r="B67" s="191"/>
      <c r="C67" s="191"/>
      <c r="D67" s="191"/>
      <c r="E67" s="191"/>
      <c r="F67" s="191"/>
      <c r="G67" s="191"/>
      <c r="H67" s="191"/>
      <c r="I67" s="1"/>
      <c r="J67" s="1"/>
      <c r="K67" s="192" t="s">
        <v>22</v>
      </c>
      <c r="L67" s="192"/>
      <c r="M67" s="192"/>
      <c r="N67" s="192"/>
      <c r="O67" s="1"/>
      <c r="P67" s="193" t="s">
        <v>1</v>
      </c>
      <c r="Q67" s="193"/>
      <c r="R67" s="194">
        <v>44630</v>
      </c>
      <c r="S67" s="194"/>
    </row>
    <row r="68" spans="1:19">
      <c r="A68" s="188" t="s">
        <v>2</v>
      </c>
      <c r="B68" s="188"/>
      <c r="C68" s="30">
        <v>1</v>
      </c>
      <c r="D68" s="30">
        <v>2</v>
      </c>
      <c r="E68" s="30">
        <v>3</v>
      </c>
      <c r="F68" s="30">
        <v>4</v>
      </c>
      <c r="G68" s="30">
        <v>5</v>
      </c>
      <c r="H68" s="30">
        <v>6</v>
      </c>
      <c r="I68" s="30">
        <v>7</v>
      </c>
      <c r="J68" s="30">
        <v>8</v>
      </c>
      <c r="K68" s="30">
        <v>9</v>
      </c>
      <c r="L68" s="30">
        <v>10</v>
      </c>
      <c r="M68" s="30">
        <v>11</v>
      </c>
      <c r="N68" s="30">
        <v>12</v>
      </c>
      <c r="O68" s="30">
        <v>13</v>
      </c>
      <c r="P68" s="30">
        <v>14</v>
      </c>
      <c r="Q68" s="195" t="s">
        <v>3</v>
      </c>
      <c r="R68" s="195" t="s">
        <v>4</v>
      </c>
      <c r="S68" s="195" t="s">
        <v>5</v>
      </c>
    </row>
    <row r="69" spans="1:19" ht="15" customHeight="1">
      <c r="A69" s="165" t="s">
        <v>6</v>
      </c>
      <c r="B69" s="167"/>
      <c r="C69" s="40">
        <f>'Booth detail'!AD1</f>
        <v>29</v>
      </c>
      <c r="D69" s="40">
        <f>'Booth detail'!AE1</f>
        <v>30</v>
      </c>
      <c r="E69" s="40">
        <f>'Booth detail'!AF1</f>
        <v>31</v>
      </c>
      <c r="F69" s="40">
        <f>'Booth detail'!AG1</f>
        <v>32</v>
      </c>
      <c r="G69" s="40">
        <f>'Booth detail'!AH1</f>
        <v>33</v>
      </c>
      <c r="H69" s="40">
        <f>'Booth detail'!AI1</f>
        <v>34</v>
      </c>
      <c r="I69" s="40">
        <f>'Booth detail'!AJ1</f>
        <v>35</v>
      </c>
      <c r="J69" s="40">
        <f>'Booth detail'!AK1</f>
        <v>36</v>
      </c>
      <c r="K69" s="40">
        <f>'Booth detail'!AL1</f>
        <v>37</v>
      </c>
      <c r="L69" s="40">
        <f>'Booth detail'!AM1</f>
        <v>38</v>
      </c>
      <c r="M69" s="40">
        <f>'Booth detail'!AN1</f>
        <v>39</v>
      </c>
      <c r="N69" s="40">
        <f>'Booth detail'!AO1</f>
        <v>40</v>
      </c>
      <c r="O69" s="40">
        <f>'Booth detail'!AP1</f>
        <v>41</v>
      </c>
      <c r="P69" s="40">
        <f>'Booth detail'!AQ1</f>
        <v>42</v>
      </c>
      <c r="Q69" s="196"/>
      <c r="R69" s="196"/>
      <c r="S69" s="196"/>
    </row>
    <row r="70" spans="1:19" ht="25.5" customHeight="1">
      <c r="A70" s="165" t="s">
        <v>18</v>
      </c>
      <c r="B70" s="167"/>
      <c r="C70" s="44" t="str">
        <f>'Booth detail'!AD2</f>
        <v>ECUEC64718</v>
      </c>
      <c r="D70" s="44" t="str">
        <f>'Booth detail'!AE2</f>
        <v>ECUEC57643</v>
      </c>
      <c r="E70" s="44" t="str">
        <f>'Booth detail'!AF2</f>
        <v>ECUEC57935</v>
      </c>
      <c r="F70" s="44" t="str">
        <f>'Booth detail'!AG2</f>
        <v>ECUEC67180</v>
      </c>
      <c r="G70" s="44" t="str">
        <f>'Booth detail'!AH2</f>
        <v>ECUEC57289</v>
      </c>
      <c r="H70" s="44" t="str">
        <f>'Booth detail'!AI2</f>
        <v>ECUEC54284</v>
      </c>
      <c r="I70" s="44" t="str">
        <f>'Booth detail'!AJ2</f>
        <v>ECUED21486</v>
      </c>
      <c r="J70" s="44" t="str">
        <f>'Booth detail'!AK2</f>
        <v>ECUEC67774</v>
      </c>
      <c r="K70" s="44" t="str">
        <f>'Booth detail'!AL2</f>
        <v>ECUEC48866</v>
      </c>
      <c r="L70" s="44" t="str">
        <f>'Booth detail'!AM2</f>
        <v>ECUEC51355</v>
      </c>
      <c r="M70" s="44" t="str">
        <f>'Booth detail'!AN2</f>
        <v>ECUEC57759</v>
      </c>
      <c r="N70" s="44" t="str">
        <f>'Booth detail'!AO2</f>
        <v>ECUEC64570</v>
      </c>
      <c r="O70" s="44" t="str">
        <f>'Booth detail'!AP2</f>
        <v>ECUEC51140</v>
      </c>
      <c r="P70" s="44" t="str">
        <f>'Booth detail'!AQ2</f>
        <v>ECUEC57058</v>
      </c>
      <c r="Q70" s="196"/>
      <c r="R70" s="196"/>
      <c r="S70" s="196"/>
    </row>
    <row r="71" spans="1:19" s="19" customFormat="1" ht="46.5" customHeight="1">
      <c r="A71" s="165" t="s">
        <v>20</v>
      </c>
      <c r="B71" s="167"/>
      <c r="C71" s="55" t="str">
        <f>'Booth detail'!AD3</f>
        <v>-</v>
      </c>
      <c r="D71" s="55" t="str">
        <f>'Booth detail'!AE3</f>
        <v>-</v>
      </c>
      <c r="E71" s="55" t="str">
        <f>'Booth detail'!AF3</f>
        <v>-</v>
      </c>
      <c r="F71" s="55" t="str">
        <f>'Booth detail'!AG3</f>
        <v>-</v>
      </c>
      <c r="G71" s="55" t="str">
        <f>'Booth detail'!AH3</f>
        <v>-</v>
      </c>
      <c r="H71" s="55" t="str">
        <f>'Booth detail'!AI3</f>
        <v>-</v>
      </c>
      <c r="I71" s="55" t="str">
        <f>'Booth detail'!AJ3</f>
        <v>-</v>
      </c>
      <c r="J71" s="55" t="str">
        <f>'Booth detail'!AK3</f>
        <v>-</v>
      </c>
      <c r="K71" s="55" t="str">
        <f>'Booth detail'!AL3</f>
        <v>-</v>
      </c>
      <c r="L71" s="55" t="str">
        <f>'Booth detail'!AM3</f>
        <v>-</v>
      </c>
      <c r="M71" s="55" t="str">
        <f>'Booth detail'!AN3</f>
        <v>-</v>
      </c>
      <c r="N71" s="55" t="str">
        <f>'Booth detail'!AO3</f>
        <v>-</v>
      </c>
      <c r="O71" s="55" t="str">
        <f>'Booth detail'!AP3</f>
        <v>-</v>
      </c>
      <c r="P71" s="55" t="str">
        <f>'Booth detail'!AQ3</f>
        <v>-</v>
      </c>
      <c r="Q71" s="196"/>
      <c r="R71" s="196"/>
      <c r="S71" s="196"/>
    </row>
    <row r="72" spans="1:19">
      <c r="A72" s="14" t="s">
        <v>7</v>
      </c>
      <c r="B72" s="32" t="s">
        <v>8</v>
      </c>
      <c r="C72" s="33" t="s">
        <v>9</v>
      </c>
      <c r="D72" s="33" t="s">
        <v>9</v>
      </c>
      <c r="E72" s="33" t="s">
        <v>9</v>
      </c>
      <c r="F72" s="33" t="s">
        <v>9</v>
      </c>
      <c r="G72" s="33" t="s">
        <v>9</v>
      </c>
      <c r="H72" s="33" t="s">
        <v>9</v>
      </c>
      <c r="I72" s="33" t="s">
        <v>9</v>
      </c>
      <c r="J72" s="33" t="s">
        <v>9</v>
      </c>
      <c r="K72" s="33" t="s">
        <v>9</v>
      </c>
      <c r="L72" s="33" t="s">
        <v>9</v>
      </c>
      <c r="M72" s="33" t="s">
        <v>9</v>
      </c>
      <c r="N72" s="33" t="s">
        <v>9</v>
      </c>
      <c r="O72" s="33" t="s">
        <v>9</v>
      </c>
      <c r="P72" s="33" t="s">
        <v>9</v>
      </c>
      <c r="Q72" s="197"/>
      <c r="R72" s="197"/>
      <c r="S72" s="197"/>
    </row>
    <row r="73" spans="1:19" ht="18.75">
      <c r="A73" s="29">
        <v>1</v>
      </c>
      <c r="B73" s="15" t="str">
        <f>'Candidate List'!B2</f>
        <v>Manveer Singh</v>
      </c>
      <c r="C73" s="13">
        <v>9</v>
      </c>
      <c r="D73" s="13">
        <v>125</v>
      </c>
      <c r="E73" s="13">
        <v>41</v>
      </c>
      <c r="F73" s="13">
        <v>4</v>
      </c>
      <c r="G73" s="13">
        <v>5</v>
      </c>
      <c r="H73" s="13">
        <v>65</v>
      </c>
      <c r="I73" s="13">
        <v>5</v>
      </c>
      <c r="J73" s="13">
        <v>4</v>
      </c>
      <c r="K73" s="13">
        <v>2</v>
      </c>
      <c r="L73" s="13">
        <v>59</v>
      </c>
      <c r="M73" s="13">
        <v>51</v>
      </c>
      <c r="N73" s="13">
        <v>74</v>
      </c>
      <c r="O73" s="13">
        <v>227</v>
      </c>
      <c r="P73" s="13">
        <v>168</v>
      </c>
      <c r="Q73" s="30">
        <f>SUM(C73:P73)</f>
        <v>839</v>
      </c>
      <c r="R73" s="30">
        <f>S40</f>
        <v>1892</v>
      </c>
      <c r="S73" s="30">
        <f>Q73+R73</f>
        <v>2731</v>
      </c>
    </row>
    <row r="74" spans="1:19" ht="18.75">
      <c r="A74" s="29">
        <v>2</v>
      </c>
      <c r="B74" s="15" t="str">
        <f>'Candidate List'!B3</f>
        <v>Rahul Yadav</v>
      </c>
      <c r="C74" s="13">
        <v>122</v>
      </c>
      <c r="D74" s="13">
        <v>44</v>
      </c>
      <c r="E74" s="13">
        <v>77</v>
      </c>
      <c r="F74" s="13">
        <v>634</v>
      </c>
      <c r="G74" s="13">
        <v>397</v>
      </c>
      <c r="H74" s="13">
        <v>461</v>
      </c>
      <c r="I74" s="13">
        <v>546</v>
      </c>
      <c r="J74" s="13">
        <v>438</v>
      </c>
      <c r="K74" s="13">
        <v>620</v>
      </c>
      <c r="L74" s="13">
        <v>300</v>
      </c>
      <c r="M74" s="13">
        <v>180</v>
      </c>
      <c r="N74" s="13">
        <v>168</v>
      </c>
      <c r="O74" s="13">
        <v>175</v>
      </c>
      <c r="P74" s="13">
        <v>71</v>
      </c>
      <c r="Q74" s="30">
        <f t="shared" ref="Q74:Q86" si="7">SUM(C74:P74)</f>
        <v>4233</v>
      </c>
      <c r="R74" s="30">
        <f t="shared" ref="R74:R85" si="8">S41</f>
        <v>5073</v>
      </c>
      <c r="S74" s="30">
        <f t="shared" ref="S74:S86" si="9">Q74+R74</f>
        <v>9306</v>
      </c>
    </row>
    <row r="75" spans="1:19" ht="18.75">
      <c r="A75" s="29">
        <v>3</v>
      </c>
      <c r="B75" s="15" t="str">
        <f>'Candidate List'!B4</f>
        <v>Lakshmi Raj</v>
      </c>
      <c r="C75" s="13">
        <v>538</v>
      </c>
      <c r="D75" s="13">
        <v>289</v>
      </c>
      <c r="E75" s="13">
        <v>392</v>
      </c>
      <c r="F75" s="13">
        <v>15</v>
      </c>
      <c r="G75" s="13">
        <v>12</v>
      </c>
      <c r="H75" s="13">
        <v>30</v>
      </c>
      <c r="I75" s="13">
        <v>51</v>
      </c>
      <c r="J75" s="13">
        <v>69</v>
      </c>
      <c r="K75" s="13">
        <v>48</v>
      </c>
      <c r="L75" s="13">
        <v>299</v>
      </c>
      <c r="M75" s="13">
        <v>325</v>
      </c>
      <c r="N75" s="13">
        <v>484</v>
      </c>
      <c r="O75" s="13">
        <v>261</v>
      </c>
      <c r="P75" s="13">
        <v>411</v>
      </c>
      <c r="Q75" s="30">
        <f t="shared" si="7"/>
        <v>3224</v>
      </c>
      <c r="R75" s="30">
        <f t="shared" si="8"/>
        <v>5544</v>
      </c>
      <c r="S75" s="30">
        <f t="shared" si="9"/>
        <v>8768</v>
      </c>
    </row>
    <row r="76" spans="1:19" ht="18.75">
      <c r="A76" s="29">
        <v>4</v>
      </c>
      <c r="B76" s="15" t="str">
        <f>'Candidate List'!B5</f>
        <v>Saleem Akhtar Khan</v>
      </c>
      <c r="C76" s="13">
        <v>4</v>
      </c>
      <c r="D76" s="13">
        <v>5</v>
      </c>
      <c r="E76" s="13">
        <v>3</v>
      </c>
      <c r="F76" s="13">
        <v>10</v>
      </c>
      <c r="G76" s="13">
        <v>78</v>
      </c>
      <c r="H76" s="13">
        <v>39</v>
      </c>
      <c r="I76" s="13">
        <v>28</v>
      </c>
      <c r="J76" s="13">
        <v>14</v>
      </c>
      <c r="K76" s="13">
        <v>17</v>
      </c>
      <c r="L76" s="13">
        <v>1</v>
      </c>
      <c r="M76" s="13">
        <v>6</v>
      </c>
      <c r="N76" s="13">
        <v>5</v>
      </c>
      <c r="O76" s="13">
        <v>3</v>
      </c>
      <c r="P76" s="13">
        <v>9</v>
      </c>
      <c r="Q76" s="30">
        <f t="shared" si="7"/>
        <v>222</v>
      </c>
      <c r="R76" s="30">
        <f t="shared" si="8"/>
        <v>178</v>
      </c>
      <c r="S76" s="30">
        <f t="shared" si="9"/>
        <v>400</v>
      </c>
    </row>
    <row r="77" spans="1:19" ht="18.75">
      <c r="A77" s="29">
        <v>5</v>
      </c>
      <c r="B77" s="15" t="str">
        <f>'Candidate List'!B6</f>
        <v>Ajay Kumar</v>
      </c>
      <c r="C77" s="13">
        <v>0</v>
      </c>
      <c r="D77" s="13">
        <v>1</v>
      </c>
      <c r="E77" s="13">
        <v>0</v>
      </c>
      <c r="F77" s="13">
        <v>0</v>
      </c>
      <c r="G77" s="13">
        <v>1</v>
      </c>
      <c r="H77" s="13">
        <v>1</v>
      </c>
      <c r="I77" s="13">
        <v>1</v>
      </c>
      <c r="J77" s="13">
        <v>0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5</v>
      </c>
      <c r="Q77" s="30">
        <f t="shared" si="7"/>
        <v>14</v>
      </c>
      <c r="R77" s="30">
        <f t="shared" si="8"/>
        <v>34</v>
      </c>
      <c r="S77" s="30">
        <f t="shared" si="9"/>
        <v>48</v>
      </c>
    </row>
    <row r="78" spans="1:19" ht="18.75">
      <c r="A78" s="29">
        <v>6</v>
      </c>
      <c r="B78" s="15" t="str">
        <f>'Candidate List'!B7</f>
        <v>Ajay Kumar Sharma</v>
      </c>
      <c r="C78" s="13">
        <v>0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30">
        <f t="shared" si="7"/>
        <v>1</v>
      </c>
      <c r="R78" s="30">
        <f t="shared" si="8"/>
        <v>6</v>
      </c>
      <c r="S78" s="30">
        <f t="shared" si="9"/>
        <v>7</v>
      </c>
    </row>
    <row r="79" spans="1:19" ht="18.75">
      <c r="A79" s="29">
        <v>7</v>
      </c>
      <c r="B79" s="15" t="str">
        <f>'Candidate List'!B8</f>
        <v>Amit Singh Tomar</v>
      </c>
      <c r="C79" s="13">
        <v>0</v>
      </c>
      <c r="D79" s="13">
        <v>1</v>
      </c>
      <c r="E79" s="13">
        <v>0</v>
      </c>
      <c r="F79" s="13">
        <v>0</v>
      </c>
      <c r="G79" s="13">
        <v>1</v>
      </c>
      <c r="H79" s="13">
        <v>0</v>
      </c>
      <c r="I79" s="13">
        <v>0</v>
      </c>
      <c r="J79" s="13">
        <v>0</v>
      </c>
      <c r="K79" s="13">
        <v>0</v>
      </c>
      <c r="L79" s="13">
        <v>1</v>
      </c>
      <c r="M79" s="13">
        <v>2</v>
      </c>
      <c r="N79" s="13">
        <v>3</v>
      </c>
      <c r="O79" s="13">
        <v>1</v>
      </c>
      <c r="P79" s="13">
        <v>1</v>
      </c>
      <c r="Q79" s="30">
        <f t="shared" si="7"/>
        <v>10</v>
      </c>
      <c r="R79" s="30">
        <f t="shared" si="8"/>
        <v>10</v>
      </c>
      <c r="S79" s="30">
        <f t="shared" si="9"/>
        <v>20</v>
      </c>
    </row>
    <row r="80" spans="1:19" ht="18.75">
      <c r="A80" s="29">
        <v>8</v>
      </c>
      <c r="B80" s="15" t="str">
        <f>'Candidate List'!B9</f>
        <v>Darshan Sharma</v>
      </c>
      <c r="C80" s="13">
        <v>0</v>
      </c>
      <c r="D80" s="13">
        <v>0</v>
      </c>
      <c r="E80" s="13">
        <v>1</v>
      </c>
      <c r="F80" s="13">
        <v>0</v>
      </c>
      <c r="G80" s="13">
        <v>0</v>
      </c>
      <c r="H80" s="13">
        <v>7</v>
      </c>
      <c r="I80" s="13">
        <v>0</v>
      </c>
      <c r="J80" s="13">
        <v>0</v>
      </c>
      <c r="K80" s="13">
        <v>0</v>
      </c>
      <c r="L80" s="13">
        <v>3</v>
      </c>
      <c r="M80" s="13">
        <v>0</v>
      </c>
      <c r="N80" s="13">
        <v>3</v>
      </c>
      <c r="O80" s="13">
        <v>2</v>
      </c>
      <c r="P80" s="13">
        <v>0</v>
      </c>
      <c r="Q80" s="30">
        <f t="shared" si="7"/>
        <v>16</v>
      </c>
      <c r="R80" s="30">
        <f t="shared" si="8"/>
        <v>22</v>
      </c>
      <c r="S80" s="30">
        <f t="shared" si="9"/>
        <v>38</v>
      </c>
    </row>
    <row r="81" spans="1:19" ht="18.75">
      <c r="A81" s="29">
        <v>9</v>
      </c>
      <c r="B81" s="15" t="str">
        <f>'Candidate List'!B10</f>
        <v>Dilshad Ahmad</v>
      </c>
      <c r="C81" s="13">
        <v>0</v>
      </c>
      <c r="D81" s="13">
        <v>2</v>
      </c>
      <c r="E81" s="13">
        <v>0</v>
      </c>
      <c r="F81" s="13">
        <v>1</v>
      </c>
      <c r="G81" s="13">
        <v>16</v>
      </c>
      <c r="H81" s="13">
        <v>11</v>
      </c>
      <c r="I81" s="13">
        <v>24</v>
      </c>
      <c r="J81" s="13">
        <v>23</v>
      </c>
      <c r="K81" s="13">
        <v>26</v>
      </c>
      <c r="L81" s="13">
        <v>0</v>
      </c>
      <c r="M81" s="13">
        <v>1</v>
      </c>
      <c r="N81" s="13">
        <v>1</v>
      </c>
      <c r="O81" s="13">
        <v>1</v>
      </c>
      <c r="P81" s="13">
        <v>0</v>
      </c>
      <c r="Q81" s="30">
        <f t="shared" si="7"/>
        <v>106</v>
      </c>
      <c r="R81" s="30">
        <f t="shared" si="8"/>
        <v>156</v>
      </c>
      <c r="S81" s="30">
        <f t="shared" si="9"/>
        <v>262</v>
      </c>
    </row>
    <row r="82" spans="1:19" ht="18.75">
      <c r="A82" s="29">
        <v>10</v>
      </c>
      <c r="B82" s="15" t="str">
        <f>'Candidate List'!B11</f>
        <v>Raju Thakur</v>
      </c>
      <c r="C82" s="13">
        <v>3</v>
      </c>
      <c r="D82" s="13">
        <v>1</v>
      </c>
      <c r="E82" s="13">
        <v>2</v>
      </c>
      <c r="F82" s="13">
        <v>2</v>
      </c>
      <c r="G82" s="13">
        <v>7</v>
      </c>
      <c r="H82" s="13">
        <v>4</v>
      </c>
      <c r="I82" s="13">
        <v>7</v>
      </c>
      <c r="J82" s="13">
        <v>1</v>
      </c>
      <c r="K82" s="13">
        <v>3</v>
      </c>
      <c r="L82" s="13">
        <v>4</v>
      </c>
      <c r="M82" s="13">
        <v>1</v>
      </c>
      <c r="N82" s="13">
        <v>4</v>
      </c>
      <c r="O82" s="13">
        <v>5</v>
      </c>
      <c r="P82" s="13">
        <v>1</v>
      </c>
      <c r="Q82" s="30">
        <f t="shared" si="7"/>
        <v>45</v>
      </c>
      <c r="R82" s="30">
        <f t="shared" si="8"/>
        <v>58</v>
      </c>
      <c r="S82" s="30">
        <f t="shared" si="9"/>
        <v>103</v>
      </c>
    </row>
    <row r="83" spans="1:19" ht="18.75">
      <c r="A83" s="29">
        <v>11</v>
      </c>
      <c r="B83" s="15" t="str">
        <f>'Candidate List'!B12</f>
        <v>Bablu</v>
      </c>
      <c r="C83" s="13">
        <v>0</v>
      </c>
      <c r="D83" s="13">
        <v>1</v>
      </c>
      <c r="E83" s="13">
        <v>0</v>
      </c>
      <c r="F83" s="13">
        <v>4</v>
      </c>
      <c r="G83" s="13">
        <v>1</v>
      </c>
      <c r="H83" s="13">
        <v>1</v>
      </c>
      <c r="I83" s="13">
        <v>3</v>
      </c>
      <c r="J83" s="13">
        <v>1</v>
      </c>
      <c r="K83" s="13">
        <v>1</v>
      </c>
      <c r="L83" s="13">
        <v>0</v>
      </c>
      <c r="M83" s="13">
        <v>1</v>
      </c>
      <c r="N83" s="13">
        <v>1</v>
      </c>
      <c r="O83" s="13">
        <v>3</v>
      </c>
      <c r="P83" s="13">
        <v>1</v>
      </c>
      <c r="Q83" s="30">
        <f t="shared" si="7"/>
        <v>18</v>
      </c>
      <c r="R83" s="30">
        <f t="shared" si="8"/>
        <v>23</v>
      </c>
      <c r="S83" s="30">
        <f t="shared" si="9"/>
        <v>41</v>
      </c>
    </row>
    <row r="84" spans="1:19" ht="18.75">
      <c r="A84" s="29">
        <v>12</v>
      </c>
      <c r="B84" s="15" t="str">
        <f>'Candidate List'!B13</f>
        <v>NOTA</v>
      </c>
      <c r="C84" s="13">
        <v>1</v>
      </c>
      <c r="D84" s="13">
        <v>8</v>
      </c>
      <c r="E84" s="13">
        <v>0</v>
      </c>
      <c r="F84" s="13">
        <v>1</v>
      </c>
      <c r="G84" s="13">
        <v>5</v>
      </c>
      <c r="H84" s="13">
        <v>3</v>
      </c>
      <c r="I84" s="13">
        <v>4</v>
      </c>
      <c r="J84" s="13">
        <v>0</v>
      </c>
      <c r="K84" s="13">
        <v>2</v>
      </c>
      <c r="L84" s="13">
        <v>0</v>
      </c>
      <c r="M84" s="13">
        <v>7</v>
      </c>
      <c r="N84" s="13">
        <v>1</v>
      </c>
      <c r="O84" s="13">
        <v>6</v>
      </c>
      <c r="P84" s="13">
        <v>1</v>
      </c>
      <c r="Q84" s="30">
        <f t="shared" si="7"/>
        <v>39</v>
      </c>
      <c r="R84" s="30">
        <f t="shared" si="8"/>
        <v>57</v>
      </c>
      <c r="S84" s="30">
        <f t="shared" si="9"/>
        <v>96</v>
      </c>
    </row>
    <row r="85" spans="1:19">
      <c r="A85" s="187" t="s">
        <v>11</v>
      </c>
      <c r="B85" s="187"/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30">
        <f t="shared" si="7"/>
        <v>0</v>
      </c>
      <c r="R85" s="30">
        <f t="shared" si="8"/>
        <v>0</v>
      </c>
      <c r="S85" s="30">
        <f t="shared" si="9"/>
        <v>0</v>
      </c>
    </row>
    <row r="86" spans="1:19">
      <c r="A86" s="188" t="s">
        <v>12</v>
      </c>
      <c r="B86" s="188"/>
      <c r="C86" s="30">
        <f t="shared" ref="C86:P86" si="10">SUM(C73:C85)</f>
        <v>677</v>
      </c>
      <c r="D86" s="30">
        <f t="shared" si="10"/>
        <v>478</v>
      </c>
      <c r="E86" s="30">
        <f t="shared" si="10"/>
        <v>516</v>
      </c>
      <c r="F86" s="30">
        <f t="shared" si="10"/>
        <v>671</v>
      </c>
      <c r="G86" s="30">
        <f t="shared" si="10"/>
        <v>523</v>
      </c>
      <c r="H86" s="30">
        <f t="shared" si="10"/>
        <v>622</v>
      </c>
      <c r="I86" s="30">
        <f t="shared" si="10"/>
        <v>669</v>
      </c>
      <c r="J86" s="30">
        <f t="shared" si="10"/>
        <v>550</v>
      </c>
      <c r="K86" s="30">
        <f t="shared" si="10"/>
        <v>720</v>
      </c>
      <c r="L86" s="30">
        <f t="shared" si="10"/>
        <v>668</v>
      </c>
      <c r="M86" s="30">
        <f t="shared" si="10"/>
        <v>575</v>
      </c>
      <c r="N86" s="30">
        <f t="shared" si="10"/>
        <v>745</v>
      </c>
      <c r="O86" s="30">
        <f t="shared" si="10"/>
        <v>685</v>
      </c>
      <c r="P86" s="30">
        <f t="shared" si="10"/>
        <v>668</v>
      </c>
      <c r="Q86" s="30">
        <f t="shared" si="7"/>
        <v>8767</v>
      </c>
      <c r="R86" s="30">
        <f t="shared" ref="R86" si="11">S53</f>
        <v>13053</v>
      </c>
      <c r="S86" s="30">
        <f t="shared" si="9"/>
        <v>21820</v>
      </c>
    </row>
    <row r="87" spans="1:19" ht="41.25" customHeight="1">
      <c r="A87" s="5"/>
      <c r="B87" s="5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7"/>
      <c r="S87" s="7"/>
    </row>
    <row r="88" spans="1:19" ht="22.5">
      <c r="A88" s="31"/>
      <c r="B88" s="31"/>
      <c r="C88" s="10" t="s">
        <v>13</v>
      </c>
      <c r="D88" s="10" t="s">
        <v>13</v>
      </c>
      <c r="E88" s="10" t="s">
        <v>13</v>
      </c>
      <c r="F88" s="10" t="s">
        <v>13</v>
      </c>
      <c r="G88" s="10" t="s">
        <v>13</v>
      </c>
      <c r="H88" s="10" t="s">
        <v>13</v>
      </c>
      <c r="I88" s="10" t="s">
        <v>13</v>
      </c>
      <c r="J88" s="10" t="s">
        <v>13</v>
      </c>
      <c r="K88" s="10" t="s">
        <v>13</v>
      </c>
      <c r="L88" s="10" t="s">
        <v>13</v>
      </c>
      <c r="M88" s="10" t="s">
        <v>13</v>
      </c>
      <c r="N88" s="10" t="s">
        <v>13</v>
      </c>
      <c r="O88" s="10" t="s">
        <v>13</v>
      </c>
      <c r="P88" s="10" t="s">
        <v>13</v>
      </c>
      <c r="Q88" s="10" t="s">
        <v>13</v>
      </c>
      <c r="R88" s="10" t="s">
        <v>13</v>
      </c>
      <c r="S88" s="10" t="s">
        <v>13</v>
      </c>
    </row>
    <row r="89" spans="1:19" ht="36" customHeight="1">
      <c r="A89" s="31"/>
      <c r="B89" s="3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ht="22.5">
      <c r="A90" s="31"/>
      <c r="B90" s="31"/>
      <c r="C90" s="10" t="s">
        <v>14</v>
      </c>
      <c r="D90" s="10" t="s">
        <v>14</v>
      </c>
      <c r="E90" s="10" t="s">
        <v>14</v>
      </c>
      <c r="F90" s="10" t="s">
        <v>14</v>
      </c>
      <c r="G90" s="10" t="s">
        <v>14</v>
      </c>
      <c r="H90" s="10" t="s">
        <v>14</v>
      </c>
      <c r="I90" s="10" t="s">
        <v>14</v>
      </c>
      <c r="J90" s="10" t="s">
        <v>14</v>
      </c>
      <c r="K90" s="10" t="s">
        <v>14</v>
      </c>
      <c r="L90" s="10" t="s">
        <v>14</v>
      </c>
      <c r="M90" s="10" t="s">
        <v>14</v>
      </c>
      <c r="N90" s="10" t="s">
        <v>14</v>
      </c>
      <c r="O90" s="10" t="s">
        <v>14</v>
      </c>
      <c r="P90" s="10" t="s">
        <v>14</v>
      </c>
      <c r="Q90" s="10" t="s">
        <v>14</v>
      </c>
      <c r="R90" s="10" t="s">
        <v>14</v>
      </c>
      <c r="S90" s="10" t="s">
        <v>14</v>
      </c>
    </row>
    <row r="91" spans="1:19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 spans="1:19">
      <c r="A92" s="189" t="s">
        <v>15</v>
      </c>
      <c r="B92" s="189"/>
      <c r="C92" s="164" t="s">
        <v>16</v>
      </c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31"/>
      <c r="S92" s="31"/>
    </row>
    <row r="93" spans="1:19">
      <c r="A93" s="31"/>
      <c r="B93" s="31"/>
      <c r="C93" s="164" t="s">
        <v>17</v>
      </c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31"/>
      <c r="S93" s="31"/>
    </row>
    <row r="94" spans="1:19">
      <c r="A94" s="31"/>
      <c r="B94" s="31"/>
      <c r="C94" s="164" t="s">
        <v>44</v>
      </c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31"/>
      <c r="S94" s="31"/>
    </row>
    <row r="95" spans="1:19">
      <c r="A95" s="31"/>
      <c r="B95" s="31"/>
      <c r="C95" s="164" t="s">
        <v>45</v>
      </c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31"/>
      <c r="S95" s="31"/>
    </row>
    <row r="99" spans="1:19" ht="26.25">
      <c r="A99" s="190" t="s">
        <v>0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</row>
    <row r="100" spans="1:19" ht="19.5">
      <c r="A100" s="191" t="s">
        <v>1225</v>
      </c>
      <c r="B100" s="191"/>
      <c r="C100" s="191"/>
      <c r="D100" s="191"/>
      <c r="E100" s="191"/>
      <c r="F100" s="191"/>
      <c r="G100" s="191"/>
      <c r="H100" s="191"/>
      <c r="I100" s="1"/>
      <c r="J100" s="1"/>
      <c r="K100" s="192" t="s">
        <v>23</v>
      </c>
      <c r="L100" s="192"/>
      <c r="M100" s="192"/>
      <c r="N100" s="192"/>
      <c r="O100" s="1"/>
      <c r="P100" s="193" t="s">
        <v>1</v>
      </c>
      <c r="Q100" s="193"/>
      <c r="R100" s="194">
        <v>44630</v>
      </c>
      <c r="S100" s="194"/>
    </row>
    <row r="101" spans="1:19">
      <c r="A101" s="188" t="s">
        <v>2</v>
      </c>
      <c r="B101" s="188"/>
      <c r="C101" s="30">
        <v>1</v>
      </c>
      <c r="D101" s="30">
        <v>2</v>
      </c>
      <c r="E101" s="30">
        <v>3</v>
      </c>
      <c r="F101" s="30">
        <v>4</v>
      </c>
      <c r="G101" s="30">
        <v>5</v>
      </c>
      <c r="H101" s="30">
        <v>6</v>
      </c>
      <c r="I101" s="30">
        <v>7</v>
      </c>
      <c r="J101" s="30">
        <v>8</v>
      </c>
      <c r="K101" s="30">
        <v>9</v>
      </c>
      <c r="L101" s="30">
        <v>10</v>
      </c>
      <c r="M101" s="30">
        <v>11</v>
      </c>
      <c r="N101" s="30">
        <v>12</v>
      </c>
      <c r="O101" s="30">
        <v>13</v>
      </c>
      <c r="P101" s="30">
        <v>14</v>
      </c>
      <c r="Q101" s="195" t="s">
        <v>3</v>
      </c>
      <c r="R101" s="195" t="s">
        <v>4</v>
      </c>
      <c r="S101" s="195" t="s">
        <v>5</v>
      </c>
    </row>
    <row r="102" spans="1:19">
      <c r="A102" s="165" t="s">
        <v>6</v>
      </c>
      <c r="B102" s="167"/>
      <c r="C102" s="40">
        <f>'Booth detail'!AR1</f>
        <v>43</v>
      </c>
      <c r="D102" s="40">
        <f>'Booth detail'!AS1</f>
        <v>44</v>
      </c>
      <c r="E102" s="40">
        <f>'Booth detail'!AT1</f>
        <v>45</v>
      </c>
      <c r="F102" s="40">
        <f>'Booth detail'!AU1</f>
        <v>46</v>
      </c>
      <c r="G102" s="40">
        <f>'Booth detail'!AV1</f>
        <v>47</v>
      </c>
      <c r="H102" s="40">
        <f>'Booth detail'!AW1</f>
        <v>48</v>
      </c>
      <c r="I102" s="40">
        <f>'Booth detail'!AX1</f>
        <v>49</v>
      </c>
      <c r="J102" s="40">
        <f>'Booth detail'!AY1</f>
        <v>50</v>
      </c>
      <c r="K102" s="40">
        <f>'Booth detail'!AZ1</f>
        <v>51</v>
      </c>
      <c r="L102" s="40">
        <f>'Booth detail'!BA1</f>
        <v>52</v>
      </c>
      <c r="M102" s="40">
        <f>'Booth detail'!BB1</f>
        <v>53</v>
      </c>
      <c r="N102" s="40">
        <f>'Booth detail'!BC1</f>
        <v>54</v>
      </c>
      <c r="O102" s="40">
        <f>'Booth detail'!BD1</f>
        <v>55</v>
      </c>
      <c r="P102" s="40">
        <f>'Booth detail'!BE1</f>
        <v>56</v>
      </c>
      <c r="Q102" s="196"/>
      <c r="R102" s="196"/>
      <c r="S102" s="196"/>
    </row>
    <row r="103" spans="1:19" ht="25.5">
      <c r="A103" s="165" t="s">
        <v>18</v>
      </c>
      <c r="B103" s="167"/>
      <c r="C103" s="44" t="str">
        <f>'Booth detail'!AR2</f>
        <v>ECUEC57429</v>
      </c>
      <c r="D103" s="44" t="str">
        <f>'Booth detail'!AS2</f>
        <v>ECUEC64461</v>
      </c>
      <c r="E103" s="44" t="str">
        <f>'Booth detail'!AT2</f>
        <v>ECUEC64242</v>
      </c>
      <c r="F103" s="44" t="str">
        <f>'Booth detail'!AU2</f>
        <v>ECUEC57867</v>
      </c>
      <c r="G103" s="44" t="str">
        <f>'Booth detail'!AV2</f>
        <v>ECUEC47938</v>
      </c>
      <c r="H103" s="44" t="str">
        <f>'Booth detail'!AW2</f>
        <v>ECUEC53960</v>
      </c>
      <c r="I103" s="44" t="str">
        <f>'Booth detail'!AX2</f>
        <v>ECUEC51884</v>
      </c>
      <c r="J103" s="44" t="str">
        <f>'Booth detail'!AY2</f>
        <v>ECUEC50064</v>
      </c>
      <c r="K103" s="44" t="str">
        <f>'Booth detail'!AZ2</f>
        <v>ECUEC57178</v>
      </c>
      <c r="L103" s="44" t="str">
        <f>'Booth detail'!BA2</f>
        <v>ECUED14258</v>
      </c>
      <c r="M103" s="44" t="str">
        <f>'Booth detail'!BB2</f>
        <v>ECUEC98388</v>
      </c>
      <c r="N103" s="44" t="str">
        <f>'Booth detail'!BC2</f>
        <v>ECUED21809</v>
      </c>
      <c r="O103" s="44" t="str">
        <f>'Booth detail'!BD2</f>
        <v>ECUEC57567</v>
      </c>
      <c r="P103" s="44" t="str">
        <f>'Booth detail'!BE2</f>
        <v>ECUEC57297</v>
      </c>
      <c r="Q103" s="196"/>
      <c r="R103" s="196"/>
      <c r="S103" s="196"/>
    </row>
    <row r="104" spans="1:19" ht="43.5" customHeight="1">
      <c r="A104" s="188" t="s">
        <v>20</v>
      </c>
      <c r="B104" s="188"/>
      <c r="C104" s="55" t="str">
        <f>'Booth detail'!AR3</f>
        <v>-</v>
      </c>
      <c r="D104" s="55" t="str">
        <f>'Booth detail'!AS3</f>
        <v>-</v>
      </c>
      <c r="E104" s="55" t="str">
        <f>'Booth detail'!AT3</f>
        <v>-</v>
      </c>
      <c r="F104" s="55" t="str">
        <f>'Booth detail'!AU3</f>
        <v>-</v>
      </c>
      <c r="G104" s="55" t="str">
        <f>'Booth detail'!AV3</f>
        <v>-</v>
      </c>
      <c r="H104" s="55" t="str">
        <f>'Booth detail'!AW3</f>
        <v>-</v>
      </c>
      <c r="I104" s="55" t="str">
        <f>'Booth detail'!AX3</f>
        <v>-</v>
      </c>
      <c r="J104" s="55" t="str">
        <f>'Booth detail'!AY3</f>
        <v>-</v>
      </c>
      <c r="K104" s="55" t="str">
        <f>'Booth detail'!AZ3</f>
        <v>-</v>
      </c>
      <c r="L104" s="55" t="str">
        <f>'Booth detail'!BA3</f>
        <v>-</v>
      </c>
      <c r="M104" s="55" t="str">
        <f>'Booth detail'!BB3</f>
        <v>-</v>
      </c>
      <c r="N104" s="55" t="str">
        <f>'Booth detail'!BC3</f>
        <v>-</v>
      </c>
      <c r="O104" s="55" t="str">
        <f>'Booth detail'!BD3</f>
        <v>-</v>
      </c>
      <c r="P104" s="55" t="str">
        <f>'Booth detail'!BE3</f>
        <v>-</v>
      </c>
      <c r="Q104" s="196"/>
      <c r="R104" s="196"/>
      <c r="S104" s="196"/>
    </row>
    <row r="105" spans="1:19">
      <c r="A105" s="14" t="s">
        <v>7</v>
      </c>
      <c r="B105" s="32" t="s">
        <v>8</v>
      </c>
      <c r="C105" s="33" t="s">
        <v>9</v>
      </c>
      <c r="D105" s="33" t="s">
        <v>9</v>
      </c>
      <c r="E105" s="33" t="s">
        <v>9</v>
      </c>
      <c r="F105" s="33" t="s">
        <v>9</v>
      </c>
      <c r="G105" s="33" t="s">
        <v>9</v>
      </c>
      <c r="H105" s="33" t="s">
        <v>9</v>
      </c>
      <c r="I105" s="33" t="s">
        <v>9</v>
      </c>
      <c r="J105" s="33" t="s">
        <v>9</v>
      </c>
      <c r="K105" s="33" t="s">
        <v>9</v>
      </c>
      <c r="L105" s="33" t="s">
        <v>9</v>
      </c>
      <c r="M105" s="33" t="s">
        <v>9</v>
      </c>
      <c r="N105" s="33" t="s">
        <v>9</v>
      </c>
      <c r="O105" s="33" t="s">
        <v>9</v>
      </c>
      <c r="P105" s="33" t="s">
        <v>9</v>
      </c>
      <c r="Q105" s="197"/>
      <c r="R105" s="197"/>
      <c r="S105" s="197"/>
    </row>
    <row r="106" spans="1:19" ht="18.75">
      <c r="A106" s="29">
        <v>1</v>
      </c>
      <c r="B106" s="15" t="str">
        <f>'Candidate List'!B2</f>
        <v>Manveer Singh</v>
      </c>
      <c r="C106" s="13">
        <v>0</v>
      </c>
      <c r="D106" s="13">
        <v>13</v>
      </c>
      <c r="E106" s="13">
        <v>23</v>
      </c>
      <c r="F106" s="13">
        <v>59</v>
      </c>
      <c r="G106" s="13">
        <v>86</v>
      </c>
      <c r="H106" s="13">
        <v>4</v>
      </c>
      <c r="I106" s="13">
        <v>97</v>
      </c>
      <c r="J106" s="13">
        <v>1</v>
      </c>
      <c r="K106" s="13">
        <v>86</v>
      </c>
      <c r="L106" s="13">
        <v>3</v>
      </c>
      <c r="M106" s="13">
        <v>4</v>
      </c>
      <c r="N106" s="13">
        <v>14</v>
      </c>
      <c r="O106" s="13">
        <v>3</v>
      </c>
      <c r="P106" s="13">
        <v>1</v>
      </c>
      <c r="Q106" s="30">
        <f>SUM(C106:P106)</f>
        <v>394</v>
      </c>
      <c r="R106" s="30">
        <f>S73</f>
        <v>2731</v>
      </c>
      <c r="S106" s="30">
        <f>Q106+R106</f>
        <v>3125</v>
      </c>
    </row>
    <row r="107" spans="1:19" ht="18.75">
      <c r="A107" s="29">
        <v>2</v>
      </c>
      <c r="B107" s="15" t="str">
        <f>'Candidate List'!B3</f>
        <v>Rahul Yadav</v>
      </c>
      <c r="C107" s="13">
        <v>46</v>
      </c>
      <c r="D107" s="13">
        <v>45</v>
      </c>
      <c r="E107" s="13">
        <v>315</v>
      </c>
      <c r="F107" s="13">
        <v>371</v>
      </c>
      <c r="G107" s="13">
        <v>287</v>
      </c>
      <c r="H107" s="13">
        <v>327</v>
      </c>
      <c r="I107" s="13">
        <v>304</v>
      </c>
      <c r="J107" s="13">
        <v>432</v>
      </c>
      <c r="K107" s="13">
        <v>360</v>
      </c>
      <c r="L107" s="13">
        <v>555</v>
      </c>
      <c r="M107" s="13">
        <v>485</v>
      </c>
      <c r="N107" s="13">
        <v>355</v>
      </c>
      <c r="O107" s="13">
        <v>306</v>
      </c>
      <c r="P107" s="13">
        <v>350</v>
      </c>
      <c r="Q107" s="30">
        <f t="shared" ref="Q107:Q119" si="12">SUM(C107:P107)</f>
        <v>4538</v>
      </c>
      <c r="R107" s="30">
        <f t="shared" ref="R107:R119" si="13">S74</f>
        <v>9306</v>
      </c>
      <c r="S107" s="30">
        <f t="shared" ref="S107:S119" si="14">Q107+R107</f>
        <v>13844</v>
      </c>
    </row>
    <row r="108" spans="1:19" ht="18.75">
      <c r="A108" s="29">
        <v>3</v>
      </c>
      <c r="B108" s="15" t="str">
        <f>'Candidate List'!B4</f>
        <v>Lakshmi Raj</v>
      </c>
      <c r="C108" s="13">
        <v>284</v>
      </c>
      <c r="D108" s="13">
        <v>364</v>
      </c>
      <c r="E108" s="13">
        <v>131</v>
      </c>
      <c r="F108" s="13">
        <v>74</v>
      </c>
      <c r="G108" s="13">
        <v>133</v>
      </c>
      <c r="H108" s="13">
        <v>154</v>
      </c>
      <c r="I108" s="13">
        <v>61</v>
      </c>
      <c r="J108" s="13">
        <v>145</v>
      </c>
      <c r="K108" s="13">
        <v>124</v>
      </c>
      <c r="L108" s="13">
        <v>20</v>
      </c>
      <c r="M108" s="13">
        <v>13</v>
      </c>
      <c r="N108" s="13">
        <v>11</v>
      </c>
      <c r="O108" s="13">
        <v>46</v>
      </c>
      <c r="P108" s="13">
        <v>45</v>
      </c>
      <c r="Q108" s="30">
        <f t="shared" si="12"/>
        <v>1605</v>
      </c>
      <c r="R108" s="30">
        <f t="shared" si="13"/>
        <v>8768</v>
      </c>
      <c r="S108" s="30">
        <f t="shared" si="14"/>
        <v>10373</v>
      </c>
    </row>
    <row r="109" spans="1:19" ht="18.75">
      <c r="A109" s="29">
        <v>4</v>
      </c>
      <c r="B109" s="15" t="str">
        <f>'Candidate List'!B5</f>
        <v>Saleem Akhtar Khan</v>
      </c>
      <c r="C109" s="13">
        <v>3</v>
      </c>
      <c r="D109" s="13">
        <v>5</v>
      </c>
      <c r="E109" s="13">
        <v>0</v>
      </c>
      <c r="F109" s="13">
        <v>2</v>
      </c>
      <c r="G109" s="13">
        <v>1</v>
      </c>
      <c r="H109" s="13">
        <v>1</v>
      </c>
      <c r="I109" s="13">
        <v>1</v>
      </c>
      <c r="J109" s="13">
        <v>1</v>
      </c>
      <c r="K109" s="13">
        <v>3</v>
      </c>
      <c r="L109" s="13">
        <v>0</v>
      </c>
      <c r="M109" s="13">
        <v>14</v>
      </c>
      <c r="N109" s="13">
        <v>1</v>
      </c>
      <c r="O109" s="13">
        <v>0</v>
      </c>
      <c r="P109" s="13">
        <v>2</v>
      </c>
      <c r="Q109" s="30">
        <f t="shared" si="12"/>
        <v>34</v>
      </c>
      <c r="R109" s="30">
        <f t="shared" si="13"/>
        <v>400</v>
      </c>
      <c r="S109" s="30">
        <f t="shared" si="14"/>
        <v>434</v>
      </c>
    </row>
    <row r="110" spans="1:19" ht="18.75">
      <c r="A110" s="29">
        <v>5</v>
      </c>
      <c r="B110" s="15" t="str">
        <f>'Candidate List'!B6</f>
        <v>Ajay Kumar</v>
      </c>
      <c r="C110" s="13">
        <v>0</v>
      </c>
      <c r="D110" s="13">
        <v>2</v>
      </c>
      <c r="E110" s="13">
        <v>0</v>
      </c>
      <c r="F110" s="13">
        <v>0</v>
      </c>
      <c r="G110" s="13">
        <v>0</v>
      </c>
      <c r="H110" s="13">
        <v>1</v>
      </c>
      <c r="I110" s="13">
        <v>0</v>
      </c>
      <c r="J110" s="13">
        <v>0</v>
      </c>
      <c r="K110" s="13">
        <v>0</v>
      </c>
      <c r="L110" s="13">
        <v>0</v>
      </c>
      <c r="M110" s="13">
        <v>1</v>
      </c>
      <c r="N110" s="13">
        <v>0</v>
      </c>
      <c r="O110" s="13">
        <v>0</v>
      </c>
      <c r="P110" s="13">
        <v>0</v>
      </c>
      <c r="Q110" s="30">
        <f t="shared" si="12"/>
        <v>4</v>
      </c>
      <c r="R110" s="30">
        <f t="shared" si="13"/>
        <v>48</v>
      </c>
      <c r="S110" s="30">
        <f t="shared" si="14"/>
        <v>52</v>
      </c>
    </row>
    <row r="111" spans="1:19" ht="18.75">
      <c r="A111" s="29">
        <v>6</v>
      </c>
      <c r="B111" s="15" t="str">
        <f>'Candidate List'!B7</f>
        <v>Ajay Kumar Sharma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30">
        <f t="shared" si="12"/>
        <v>0</v>
      </c>
      <c r="R111" s="30">
        <f t="shared" si="13"/>
        <v>7</v>
      </c>
      <c r="S111" s="30">
        <f t="shared" si="14"/>
        <v>7</v>
      </c>
    </row>
    <row r="112" spans="1:19" ht="18.75">
      <c r="A112" s="29">
        <v>7</v>
      </c>
      <c r="B112" s="15" t="str">
        <f>'Candidate List'!B8</f>
        <v>Amit Singh Tomar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30">
        <f t="shared" si="12"/>
        <v>0</v>
      </c>
      <c r="R112" s="30">
        <f t="shared" si="13"/>
        <v>20</v>
      </c>
      <c r="S112" s="30">
        <f t="shared" si="14"/>
        <v>20</v>
      </c>
    </row>
    <row r="113" spans="1:19" ht="18.75">
      <c r="A113" s="29">
        <v>8</v>
      </c>
      <c r="B113" s="15" t="str">
        <f>'Candidate List'!B9</f>
        <v>Darshan Sharma</v>
      </c>
      <c r="C113" s="13">
        <v>0</v>
      </c>
      <c r="D113" s="13">
        <v>1</v>
      </c>
      <c r="E113" s="13">
        <v>1</v>
      </c>
      <c r="F113" s="13">
        <v>0</v>
      </c>
      <c r="G113" s="13">
        <v>0</v>
      </c>
      <c r="H113" s="13">
        <v>2</v>
      </c>
      <c r="I113" s="13">
        <v>0</v>
      </c>
      <c r="J113" s="13">
        <v>0</v>
      </c>
      <c r="K113" s="13">
        <v>0</v>
      </c>
      <c r="L113" s="13">
        <v>0</v>
      </c>
      <c r="M113" s="13">
        <v>3</v>
      </c>
      <c r="N113" s="13">
        <v>0</v>
      </c>
      <c r="O113" s="13">
        <v>0</v>
      </c>
      <c r="P113" s="13">
        <v>0</v>
      </c>
      <c r="Q113" s="30">
        <f t="shared" si="12"/>
        <v>7</v>
      </c>
      <c r="R113" s="30">
        <f t="shared" si="13"/>
        <v>38</v>
      </c>
      <c r="S113" s="30">
        <f t="shared" si="14"/>
        <v>45</v>
      </c>
    </row>
    <row r="114" spans="1:19" ht="18.75">
      <c r="A114" s="29">
        <v>9</v>
      </c>
      <c r="B114" s="15" t="str">
        <f>'Candidate List'!B10</f>
        <v>Dilshad Ahmad</v>
      </c>
      <c r="C114" s="13">
        <v>0</v>
      </c>
      <c r="D114" s="13">
        <v>0</v>
      </c>
      <c r="E114" s="13">
        <v>0</v>
      </c>
      <c r="F114" s="13">
        <v>2</v>
      </c>
      <c r="G114" s="13">
        <v>0</v>
      </c>
      <c r="H114" s="13">
        <v>1</v>
      </c>
      <c r="I114" s="13">
        <v>1</v>
      </c>
      <c r="J114" s="13">
        <v>1</v>
      </c>
      <c r="K114" s="13">
        <v>0</v>
      </c>
      <c r="L114" s="13">
        <v>8</v>
      </c>
      <c r="M114" s="13">
        <v>8</v>
      </c>
      <c r="N114" s="13">
        <v>5</v>
      </c>
      <c r="O114" s="13">
        <v>1</v>
      </c>
      <c r="P114" s="13">
        <v>17</v>
      </c>
      <c r="Q114" s="30">
        <f t="shared" si="12"/>
        <v>44</v>
      </c>
      <c r="R114" s="30">
        <f t="shared" si="13"/>
        <v>262</v>
      </c>
      <c r="S114" s="30">
        <f t="shared" si="14"/>
        <v>306</v>
      </c>
    </row>
    <row r="115" spans="1:19" ht="18.75">
      <c r="A115" s="29">
        <v>10</v>
      </c>
      <c r="B115" s="15" t="str">
        <f>'Candidate List'!B11</f>
        <v>Raju Thakur</v>
      </c>
      <c r="C115" s="13">
        <v>1</v>
      </c>
      <c r="D115" s="13">
        <v>2</v>
      </c>
      <c r="E115" s="13">
        <v>4</v>
      </c>
      <c r="F115" s="13">
        <v>2</v>
      </c>
      <c r="G115" s="13">
        <v>3</v>
      </c>
      <c r="H115" s="13">
        <v>2</v>
      </c>
      <c r="I115" s="13">
        <v>0</v>
      </c>
      <c r="J115" s="13">
        <v>2</v>
      </c>
      <c r="K115" s="13">
        <v>2</v>
      </c>
      <c r="L115" s="13">
        <v>3</v>
      </c>
      <c r="M115" s="13">
        <v>1</v>
      </c>
      <c r="N115" s="13">
        <v>3</v>
      </c>
      <c r="O115" s="13">
        <v>1</v>
      </c>
      <c r="P115" s="13">
        <v>1</v>
      </c>
      <c r="Q115" s="30">
        <f t="shared" si="12"/>
        <v>27</v>
      </c>
      <c r="R115" s="30">
        <f t="shared" si="13"/>
        <v>103</v>
      </c>
      <c r="S115" s="30">
        <f t="shared" si="14"/>
        <v>130</v>
      </c>
    </row>
    <row r="116" spans="1:19" ht="18.75">
      <c r="A116" s="29">
        <v>11</v>
      </c>
      <c r="B116" s="15" t="str">
        <f>'Candidate List'!B12</f>
        <v>Bablu</v>
      </c>
      <c r="C116" s="13">
        <v>0</v>
      </c>
      <c r="D116" s="13">
        <v>1</v>
      </c>
      <c r="E116" s="13">
        <v>0</v>
      </c>
      <c r="F116" s="13">
        <v>1</v>
      </c>
      <c r="G116" s="13">
        <v>0</v>
      </c>
      <c r="H116" s="13">
        <v>0</v>
      </c>
      <c r="I116" s="13">
        <v>0</v>
      </c>
      <c r="J116" s="13">
        <v>2</v>
      </c>
      <c r="K116" s="13">
        <v>0</v>
      </c>
      <c r="L116" s="13">
        <v>0</v>
      </c>
      <c r="M116" s="13">
        <v>0</v>
      </c>
      <c r="N116" s="13">
        <v>2</v>
      </c>
      <c r="O116" s="13">
        <v>0</v>
      </c>
      <c r="P116" s="13">
        <v>3</v>
      </c>
      <c r="Q116" s="30">
        <f t="shared" si="12"/>
        <v>9</v>
      </c>
      <c r="R116" s="30">
        <f t="shared" si="13"/>
        <v>41</v>
      </c>
      <c r="S116" s="30">
        <f t="shared" si="14"/>
        <v>50</v>
      </c>
    </row>
    <row r="117" spans="1:19" ht="18.75">
      <c r="A117" s="29">
        <v>12</v>
      </c>
      <c r="B117" s="15" t="str">
        <f>'Candidate List'!B13</f>
        <v>NOTA</v>
      </c>
      <c r="C117" s="13">
        <v>0</v>
      </c>
      <c r="D117" s="13">
        <v>2</v>
      </c>
      <c r="E117" s="13">
        <v>1</v>
      </c>
      <c r="F117" s="13">
        <v>0</v>
      </c>
      <c r="G117" s="13">
        <v>0</v>
      </c>
      <c r="H117" s="13">
        <v>0</v>
      </c>
      <c r="I117" s="13">
        <v>3</v>
      </c>
      <c r="J117" s="13">
        <v>0</v>
      </c>
      <c r="K117" s="13">
        <v>2</v>
      </c>
      <c r="L117" s="13">
        <v>4</v>
      </c>
      <c r="M117" s="13">
        <v>1</v>
      </c>
      <c r="N117" s="13">
        <v>0</v>
      </c>
      <c r="O117" s="13">
        <v>5</v>
      </c>
      <c r="P117" s="13">
        <v>1</v>
      </c>
      <c r="Q117" s="30">
        <f t="shared" si="12"/>
        <v>19</v>
      </c>
      <c r="R117" s="30">
        <f t="shared" si="13"/>
        <v>96</v>
      </c>
      <c r="S117" s="30">
        <f t="shared" si="14"/>
        <v>115</v>
      </c>
    </row>
    <row r="118" spans="1:19">
      <c r="A118" s="187" t="s">
        <v>11</v>
      </c>
      <c r="B118" s="187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30">
        <f t="shared" si="12"/>
        <v>0</v>
      </c>
      <c r="R118" s="30">
        <f t="shared" si="13"/>
        <v>0</v>
      </c>
      <c r="S118" s="30">
        <f t="shared" si="14"/>
        <v>0</v>
      </c>
    </row>
    <row r="119" spans="1:19">
      <c r="A119" s="188" t="s">
        <v>12</v>
      </c>
      <c r="B119" s="188"/>
      <c r="C119" s="30">
        <f t="shared" ref="C119:P119" si="15">SUM(C106:C118)</f>
        <v>334</v>
      </c>
      <c r="D119" s="30">
        <f t="shared" si="15"/>
        <v>435</v>
      </c>
      <c r="E119" s="30">
        <f t="shared" si="15"/>
        <v>475</v>
      </c>
      <c r="F119" s="30">
        <f t="shared" si="15"/>
        <v>511</v>
      </c>
      <c r="G119" s="30">
        <f t="shared" si="15"/>
        <v>510</v>
      </c>
      <c r="H119" s="30">
        <f t="shared" si="15"/>
        <v>492</v>
      </c>
      <c r="I119" s="30">
        <f t="shared" si="15"/>
        <v>467</v>
      </c>
      <c r="J119" s="30">
        <f t="shared" si="15"/>
        <v>584</v>
      </c>
      <c r="K119" s="30">
        <f t="shared" si="15"/>
        <v>577</v>
      </c>
      <c r="L119" s="30">
        <f t="shared" si="15"/>
        <v>593</v>
      </c>
      <c r="M119" s="30">
        <f t="shared" si="15"/>
        <v>530</v>
      </c>
      <c r="N119" s="30">
        <f t="shared" si="15"/>
        <v>391</v>
      </c>
      <c r="O119" s="30">
        <f t="shared" si="15"/>
        <v>362</v>
      </c>
      <c r="P119" s="30">
        <f t="shared" si="15"/>
        <v>420</v>
      </c>
      <c r="Q119" s="30">
        <f t="shared" si="12"/>
        <v>6681</v>
      </c>
      <c r="R119" s="30">
        <f t="shared" si="13"/>
        <v>21820</v>
      </c>
      <c r="S119" s="30">
        <f t="shared" si="14"/>
        <v>28501</v>
      </c>
    </row>
    <row r="120" spans="1:19" ht="49.5" customHeight="1">
      <c r="A120" s="5"/>
      <c r="B120" s="5"/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7"/>
      <c r="S120" s="7"/>
    </row>
    <row r="121" spans="1:19" ht="22.5">
      <c r="A121" s="31"/>
      <c r="B121" s="31"/>
      <c r="C121" s="10" t="s">
        <v>13</v>
      </c>
      <c r="D121" s="10" t="s">
        <v>13</v>
      </c>
      <c r="E121" s="10" t="s">
        <v>13</v>
      </c>
      <c r="F121" s="10" t="s">
        <v>13</v>
      </c>
      <c r="G121" s="10" t="s">
        <v>13</v>
      </c>
      <c r="H121" s="10" t="s">
        <v>13</v>
      </c>
      <c r="I121" s="10" t="s">
        <v>13</v>
      </c>
      <c r="J121" s="10" t="s">
        <v>13</v>
      </c>
      <c r="K121" s="10" t="s">
        <v>13</v>
      </c>
      <c r="L121" s="10" t="s">
        <v>13</v>
      </c>
      <c r="M121" s="10" t="s">
        <v>13</v>
      </c>
      <c r="N121" s="10" t="s">
        <v>13</v>
      </c>
      <c r="O121" s="10" t="s">
        <v>13</v>
      </c>
      <c r="P121" s="10" t="s">
        <v>13</v>
      </c>
      <c r="Q121" s="10" t="s">
        <v>13</v>
      </c>
      <c r="R121" s="10" t="s">
        <v>13</v>
      </c>
      <c r="S121" s="10" t="s">
        <v>13</v>
      </c>
    </row>
    <row r="122" spans="1:19" ht="49.5" customHeight="1">
      <c r="A122" s="31"/>
      <c r="B122" s="3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 ht="22.5">
      <c r="A123" s="31"/>
      <c r="B123" s="31"/>
      <c r="C123" s="10" t="s">
        <v>14</v>
      </c>
      <c r="D123" s="10" t="s">
        <v>14</v>
      </c>
      <c r="E123" s="10" t="s">
        <v>14</v>
      </c>
      <c r="F123" s="10" t="s">
        <v>14</v>
      </c>
      <c r="G123" s="10" t="s">
        <v>14</v>
      </c>
      <c r="H123" s="10" t="s">
        <v>14</v>
      </c>
      <c r="I123" s="10" t="s">
        <v>14</v>
      </c>
      <c r="J123" s="10" t="s">
        <v>14</v>
      </c>
      <c r="K123" s="10" t="s">
        <v>14</v>
      </c>
      <c r="L123" s="10" t="s">
        <v>14</v>
      </c>
      <c r="M123" s="10" t="s">
        <v>14</v>
      </c>
      <c r="N123" s="10" t="s">
        <v>14</v>
      </c>
      <c r="O123" s="10" t="s">
        <v>14</v>
      </c>
      <c r="P123" s="10" t="s">
        <v>14</v>
      </c>
      <c r="Q123" s="10" t="s">
        <v>14</v>
      </c>
      <c r="R123" s="10" t="s">
        <v>14</v>
      </c>
      <c r="S123" s="10" t="s">
        <v>14</v>
      </c>
    </row>
    <row r="124" spans="1:19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</row>
    <row r="125" spans="1:19">
      <c r="A125" s="189" t="s">
        <v>15</v>
      </c>
      <c r="B125" s="189"/>
      <c r="C125" s="164" t="s">
        <v>16</v>
      </c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31"/>
      <c r="S125" s="31"/>
    </row>
    <row r="126" spans="1:19">
      <c r="A126" s="31"/>
      <c r="B126" s="31"/>
      <c r="C126" s="164" t="s">
        <v>17</v>
      </c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31"/>
      <c r="S126" s="31"/>
    </row>
    <row r="127" spans="1:19">
      <c r="A127" s="31"/>
      <c r="B127" s="31"/>
      <c r="C127" s="164" t="s">
        <v>44</v>
      </c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31"/>
      <c r="S127" s="31"/>
    </row>
    <row r="128" spans="1:19">
      <c r="A128" s="31"/>
      <c r="B128" s="31"/>
      <c r="C128" s="164" t="s">
        <v>45</v>
      </c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31"/>
      <c r="S128" s="31"/>
    </row>
    <row r="132" spans="1:19" ht="26.25">
      <c r="A132" s="190" t="s">
        <v>0</v>
      </c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</row>
    <row r="133" spans="1:19" ht="19.5">
      <c r="A133" s="191" t="s">
        <v>1225</v>
      </c>
      <c r="B133" s="191"/>
      <c r="C133" s="191"/>
      <c r="D133" s="191"/>
      <c r="E133" s="191"/>
      <c r="F133" s="191"/>
      <c r="G133" s="191"/>
      <c r="H133" s="191"/>
      <c r="I133" s="1"/>
      <c r="J133" s="1"/>
      <c r="K133" s="192" t="s">
        <v>24</v>
      </c>
      <c r="L133" s="192"/>
      <c r="M133" s="192"/>
      <c r="N133" s="192"/>
      <c r="O133" s="1"/>
      <c r="P133" s="193" t="s">
        <v>1</v>
      </c>
      <c r="Q133" s="193"/>
      <c r="R133" s="194">
        <v>44630</v>
      </c>
      <c r="S133" s="194"/>
    </row>
    <row r="134" spans="1:19">
      <c r="A134" s="188" t="s">
        <v>2</v>
      </c>
      <c r="B134" s="188"/>
      <c r="C134" s="30">
        <v>1</v>
      </c>
      <c r="D134" s="30">
        <v>2</v>
      </c>
      <c r="E134" s="30">
        <v>3</v>
      </c>
      <c r="F134" s="30">
        <v>4</v>
      </c>
      <c r="G134" s="30">
        <v>5</v>
      </c>
      <c r="H134" s="30">
        <v>6</v>
      </c>
      <c r="I134" s="30">
        <v>7</v>
      </c>
      <c r="J134" s="30">
        <v>8</v>
      </c>
      <c r="K134" s="30">
        <v>9</v>
      </c>
      <c r="L134" s="30">
        <v>10</v>
      </c>
      <c r="M134" s="30">
        <v>11</v>
      </c>
      <c r="N134" s="30">
        <v>12</v>
      </c>
      <c r="O134" s="30">
        <v>13</v>
      </c>
      <c r="P134" s="30">
        <v>14</v>
      </c>
      <c r="Q134" s="195" t="s">
        <v>3</v>
      </c>
      <c r="R134" s="195" t="s">
        <v>4</v>
      </c>
      <c r="S134" s="195" t="s">
        <v>5</v>
      </c>
    </row>
    <row r="135" spans="1:19">
      <c r="A135" s="165" t="s">
        <v>6</v>
      </c>
      <c r="B135" s="167"/>
      <c r="C135" s="40">
        <f>'Booth detail'!BF1</f>
        <v>57</v>
      </c>
      <c r="D135" s="40">
        <f>'Booth detail'!BG1</f>
        <v>58</v>
      </c>
      <c r="E135" s="40">
        <f>'Booth detail'!BH1</f>
        <v>59</v>
      </c>
      <c r="F135" s="40">
        <f>'Booth detail'!BI1</f>
        <v>60</v>
      </c>
      <c r="G135" s="40">
        <f>'Booth detail'!BJ1</f>
        <v>61</v>
      </c>
      <c r="H135" s="40">
        <f>'Booth detail'!BK1</f>
        <v>62</v>
      </c>
      <c r="I135" s="40">
        <f>'Booth detail'!BL1</f>
        <v>63</v>
      </c>
      <c r="J135" s="40">
        <f>'Booth detail'!BM1</f>
        <v>64</v>
      </c>
      <c r="K135" s="40">
        <f>'Booth detail'!BN1</f>
        <v>65</v>
      </c>
      <c r="L135" s="40">
        <f>'Booth detail'!BO1</f>
        <v>66</v>
      </c>
      <c r="M135" s="40">
        <f>'Booth detail'!BP1</f>
        <v>67</v>
      </c>
      <c r="N135" s="40">
        <f>'Booth detail'!BQ1</f>
        <v>68</v>
      </c>
      <c r="O135" s="40">
        <f>'Booth detail'!BR1</f>
        <v>69</v>
      </c>
      <c r="P135" s="40">
        <f>'Booth detail'!BS1</f>
        <v>70</v>
      </c>
      <c r="Q135" s="196"/>
      <c r="R135" s="196"/>
      <c r="S135" s="196"/>
    </row>
    <row r="136" spans="1:19" ht="25.5">
      <c r="A136" s="165" t="s">
        <v>18</v>
      </c>
      <c r="B136" s="167"/>
      <c r="C136" s="44" t="str">
        <f>'Booth detail'!BF2</f>
        <v>ECUEC50673</v>
      </c>
      <c r="D136" s="44" t="str">
        <f>'Booth detail'!BG2</f>
        <v>ECUEC99007</v>
      </c>
      <c r="E136" s="44" t="str">
        <f>'Booth detail'!BH2</f>
        <v>ECUEC55794</v>
      </c>
      <c r="F136" s="44" t="str">
        <f>'Booth detail'!BI2</f>
        <v>ECUEC64839</v>
      </c>
      <c r="G136" s="44" t="str">
        <f>'Booth detail'!BJ2</f>
        <v>ECUEC50624</v>
      </c>
      <c r="H136" s="44" t="str">
        <f>'Booth detail'!BK2</f>
        <v>ECUEC60741</v>
      </c>
      <c r="I136" s="44" t="str">
        <f>'Booth detail'!BL2</f>
        <v>ECUEC48655</v>
      </c>
      <c r="J136" s="44" t="str">
        <f>'Booth detail'!BM2</f>
        <v>ECUEC54259</v>
      </c>
      <c r="K136" s="44" t="str">
        <f>'Booth detail'!BN2</f>
        <v>ECUEC64961</v>
      </c>
      <c r="L136" s="44" t="str">
        <f>'Booth detail'!BO2</f>
        <v>ECUEC64716</v>
      </c>
      <c r="M136" s="44" t="str">
        <f>'Booth detail'!BP2</f>
        <v>ECUED22273</v>
      </c>
      <c r="N136" s="44" t="str">
        <f>'Booth detail'!BQ2</f>
        <v>ECUEC64702</v>
      </c>
      <c r="O136" s="44" t="str">
        <f>'Booth detail'!BR2</f>
        <v>ECUEC50237</v>
      </c>
      <c r="P136" s="44" t="str">
        <f>'Booth detail'!BS2</f>
        <v>ECUEC67331</v>
      </c>
      <c r="Q136" s="196"/>
      <c r="R136" s="196"/>
      <c r="S136" s="196"/>
    </row>
    <row r="137" spans="1:19" ht="45.75" customHeight="1">
      <c r="A137" s="188" t="s">
        <v>20</v>
      </c>
      <c r="B137" s="188"/>
      <c r="C137" s="55" t="str">
        <f>'Booth detail'!BF3</f>
        <v>-</v>
      </c>
      <c r="D137" s="55" t="str">
        <f>'Booth detail'!BG3</f>
        <v>-</v>
      </c>
      <c r="E137" s="55" t="str">
        <f>'Booth detail'!BH3</f>
        <v>-</v>
      </c>
      <c r="F137" s="55" t="str">
        <f>'Booth detail'!BI3</f>
        <v>-</v>
      </c>
      <c r="G137" s="55" t="str">
        <f>'Booth detail'!BJ3</f>
        <v>-</v>
      </c>
      <c r="H137" s="55" t="str">
        <f>'Booth detail'!BK3</f>
        <v>-</v>
      </c>
      <c r="I137" s="55" t="str">
        <f>'Booth detail'!BL3</f>
        <v>-</v>
      </c>
      <c r="J137" s="55" t="str">
        <f>'Booth detail'!BM3</f>
        <v>-</v>
      </c>
      <c r="K137" s="55" t="str">
        <f>'Booth detail'!BN3</f>
        <v>-</v>
      </c>
      <c r="L137" s="55" t="str">
        <f>'Booth detail'!BO3</f>
        <v>-</v>
      </c>
      <c r="M137" s="55" t="str">
        <f>'Booth detail'!BP3</f>
        <v>-</v>
      </c>
      <c r="N137" s="55" t="str">
        <f>'Booth detail'!BQ3</f>
        <v>-</v>
      </c>
      <c r="O137" s="55" t="str">
        <f>'Booth detail'!BR3</f>
        <v>-</v>
      </c>
      <c r="P137" s="55" t="str">
        <f>'Booth detail'!BS3</f>
        <v>-</v>
      </c>
      <c r="Q137" s="196"/>
      <c r="R137" s="196"/>
      <c r="S137" s="196"/>
    </row>
    <row r="138" spans="1:19">
      <c r="A138" s="14" t="s">
        <v>7</v>
      </c>
      <c r="B138" s="32" t="s">
        <v>8</v>
      </c>
      <c r="C138" s="33" t="s">
        <v>9</v>
      </c>
      <c r="D138" s="33" t="s">
        <v>9</v>
      </c>
      <c r="E138" s="33" t="s">
        <v>9</v>
      </c>
      <c r="F138" s="33" t="s">
        <v>9</v>
      </c>
      <c r="G138" s="33" t="s">
        <v>9</v>
      </c>
      <c r="H138" s="33" t="s">
        <v>9</v>
      </c>
      <c r="I138" s="33" t="s">
        <v>9</v>
      </c>
      <c r="J138" s="33" t="s">
        <v>9</v>
      </c>
      <c r="K138" s="33" t="s">
        <v>9</v>
      </c>
      <c r="L138" s="33" t="s">
        <v>9</v>
      </c>
      <c r="M138" s="33" t="s">
        <v>9</v>
      </c>
      <c r="N138" s="33" t="s">
        <v>9</v>
      </c>
      <c r="O138" s="33" t="s">
        <v>9</v>
      </c>
      <c r="P138" s="33" t="s">
        <v>9</v>
      </c>
      <c r="Q138" s="197"/>
      <c r="R138" s="197"/>
      <c r="S138" s="197"/>
    </row>
    <row r="139" spans="1:19" ht="18.75">
      <c r="A139" s="29">
        <v>1</v>
      </c>
      <c r="B139" s="15" t="str">
        <f>'Candidate List'!B2</f>
        <v>Manveer Singh</v>
      </c>
      <c r="C139" s="13">
        <v>4</v>
      </c>
      <c r="D139" s="13">
        <v>5</v>
      </c>
      <c r="E139" s="13">
        <v>4</v>
      </c>
      <c r="F139" s="13">
        <v>2</v>
      </c>
      <c r="G139" s="13">
        <v>1</v>
      </c>
      <c r="H139" s="13">
        <v>8</v>
      </c>
      <c r="I139" s="13">
        <v>88</v>
      </c>
      <c r="J139" s="13">
        <v>10</v>
      </c>
      <c r="K139" s="13">
        <v>0</v>
      </c>
      <c r="L139" s="13">
        <v>2</v>
      </c>
      <c r="M139" s="13">
        <v>1</v>
      </c>
      <c r="N139" s="13">
        <v>2</v>
      </c>
      <c r="O139" s="13">
        <v>17</v>
      </c>
      <c r="P139" s="13">
        <v>7</v>
      </c>
      <c r="Q139" s="30">
        <f>SUM(C139:P139)</f>
        <v>151</v>
      </c>
      <c r="R139" s="30">
        <f>S106</f>
        <v>3125</v>
      </c>
      <c r="S139" s="30">
        <f>Q139+R139</f>
        <v>3276</v>
      </c>
    </row>
    <row r="140" spans="1:19" ht="18.75">
      <c r="A140" s="29">
        <v>2</v>
      </c>
      <c r="B140" s="15" t="str">
        <f>'Candidate List'!B3</f>
        <v>Rahul Yadav</v>
      </c>
      <c r="C140" s="13">
        <v>705</v>
      </c>
      <c r="D140" s="13">
        <v>676</v>
      </c>
      <c r="E140" s="13">
        <v>544</v>
      </c>
      <c r="F140" s="13">
        <v>483</v>
      </c>
      <c r="G140" s="13">
        <v>647</v>
      </c>
      <c r="H140" s="13">
        <v>573</v>
      </c>
      <c r="I140" s="13">
        <v>176</v>
      </c>
      <c r="J140" s="13">
        <v>72</v>
      </c>
      <c r="K140" s="13">
        <v>22</v>
      </c>
      <c r="L140" s="13">
        <v>39</v>
      </c>
      <c r="M140" s="13">
        <v>29</v>
      </c>
      <c r="N140" s="13">
        <v>37</v>
      </c>
      <c r="O140" s="13">
        <v>80</v>
      </c>
      <c r="P140" s="13">
        <v>66</v>
      </c>
      <c r="Q140" s="30">
        <f t="shared" ref="Q140:Q152" si="16">SUM(C140:P140)</f>
        <v>4149</v>
      </c>
      <c r="R140" s="30">
        <f t="shared" ref="R140:R152" si="17">S107</f>
        <v>13844</v>
      </c>
      <c r="S140" s="30">
        <f t="shared" ref="S140:S152" si="18">Q140+R140</f>
        <v>17993</v>
      </c>
    </row>
    <row r="141" spans="1:19" ht="18.75">
      <c r="A141" s="29">
        <v>3</v>
      </c>
      <c r="B141" s="15" t="str">
        <f>'Candidate List'!B4</f>
        <v>Lakshmi Raj</v>
      </c>
      <c r="C141" s="13">
        <v>15</v>
      </c>
      <c r="D141" s="13">
        <v>17</v>
      </c>
      <c r="E141" s="13">
        <v>4</v>
      </c>
      <c r="F141" s="13">
        <v>74</v>
      </c>
      <c r="G141" s="13">
        <v>18</v>
      </c>
      <c r="H141" s="13">
        <v>37</v>
      </c>
      <c r="I141" s="13">
        <v>73</v>
      </c>
      <c r="J141" s="13">
        <v>316</v>
      </c>
      <c r="K141" s="13">
        <v>536</v>
      </c>
      <c r="L141" s="13">
        <v>388</v>
      </c>
      <c r="M141" s="13">
        <v>495</v>
      </c>
      <c r="N141" s="13">
        <v>583</v>
      </c>
      <c r="O141" s="13">
        <v>505</v>
      </c>
      <c r="P141" s="13">
        <v>603</v>
      </c>
      <c r="Q141" s="30">
        <f t="shared" si="16"/>
        <v>3664</v>
      </c>
      <c r="R141" s="30">
        <f t="shared" si="17"/>
        <v>10373</v>
      </c>
      <c r="S141" s="30">
        <f t="shared" si="18"/>
        <v>14037</v>
      </c>
    </row>
    <row r="142" spans="1:19" ht="18.75">
      <c r="A142" s="29">
        <v>4</v>
      </c>
      <c r="B142" s="15" t="str">
        <f>'Candidate List'!B5</f>
        <v>Saleem Akhtar Khan</v>
      </c>
      <c r="C142" s="13">
        <v>4</v>
      </c>
      <c r="D142" s="13">
        <v>1</v>
      </c>
      <c r="E142" s="13">
        <v>0</v>
      </c>
      <c r="F142" s="13">
        <v>3</v>
      </c>
      <c r="G142" s="13">
        <v>5</v>
      </c>
      <c r="H142" s="13">
        <v>0</v>
      </c>
      <c r="I142" s="13">
        <v>2</v>
      </c>
      <c r="J142" s="13">
        <v>4</v>
      </c>
      <c r="K142" s="13">
        <v>2</v>
      </c>
      <c r="L142" s="13">
        <v>3</v>
      </c>
      <c r="M142" s="13">
        <v>3</v>
      </c>
      <c r="N142" s="13">
        <v>2</v>
      </c>
      <c r="O142" s="13">
        <v>5</v>
      </c>
      <c r="P142" s="13">
        <v>0</v>
      </c>
      <c r="Q142" s="30">
        <f t="shared" si="16"/>
        <v>34</v>
      </c>
      <c r="R142" s="30">
        <f t="shared" si="17"/>
        <v>434</v>
      </c>
      <c r="S142" s="30">
        <f t="shared" si="18"/>
        <v>468</v>
      </c>
    </row>
    <row r="143" spans="1:19" ht="18.75">
      <c r="A143" s="29">
        <v>5</v>
      </c>
      <c r="B143" s="15" t="str">
        <f>'Candidate List'!B6</f>
        <v>Ajay Kumar</v>
      </c>
      <c r="C143" s="13">
        <v>1</v>
      </c>
      <c r="D143" s="13">
        <v>1</v>
      </c>
      <c r="E143" s="13">
        <v>0</v>
      </c>
      <c r="F143" s="13">
        <v>0</v>
      </c>
      <c r="G143" s="13">
        <v>0</v>
      </c>
      <c r="H143" s="13">
        <v>0</v>
      </c>
      <c r="I143" s="13">
        <v>1</v>
      </c>
      <c r="J143" s="13">
        <v>0</v>
      </c>
      <c r="K143" s="13">
        <v>0</v>
      </c>
      <c r="L143" s="13">
        <v>1</v>
      </c>
      <c r="M143" s="13">
        <v>0</v>
      </c>
      <c r="N143" s="13">
        <v>0</v>
      </c>
      <c r="O143" s="13">
        <v>2</v>
      </c>
      <c r="P143" s="13">
        <v>0</v>
      </c>
      <c r="Q143" s="30">
        <f t="shared" si="16"/>
        <v>6</v>
      </c>
      <c r="R143" s="30">
        <f t="shared" si="17"/>
        <v>52</v>
      </c>
      <c r="S143" s="30">
        <f t="shared" si="18"/>
        <v>58</v>
      </c>
    </row>
    <row r="144" spans="1:19" ht="18.75">
      <c r="A144" s="29">
        <v>6</v>
      </c>
      <c r="B144" s="15" t="str">
        <f>'Candidate List'!B7</f>
        <v>Ajay Kumar Sharma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1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30">
        <f t="shared" si="16"/>
        <v>1</v>
      </c>
      <c r="R144" s="30">
        <f t="shared" si="17"/>
        <v>7</v>
      </c>
      <c r="S144" s="30">
        <f t="shared" si="18"/>
        <v>8</v>
      </c>
    </row>
    <row r="145" spans="1:19" ht="18.75">
      <c r="A145" s="29">
        <v>7</v>
      </c>
      <c r="B145" s="15" t="str">
        <f>'Candidate List'!B8</f>
        <v>Amit Singh Tomar</v>
      </c>
      <c r="C145" s="13">
        <v>1</v>
      </c>
      <c r="D145" s="13">
        <v>1</v>
      </c>
      <c r="E145" s="13">
        <v>1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1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30">
        <f t="shared" si="16"/>
        <v>4</v>
      </c>
      <c r="R145" s="30">
        <f t="shared" si="17"/>
        <v>20</v>
      </c>
      <c r="S145" s="30">
        <f t="shared" si="18"/>
        <v>24</v>
      </c>
    </row>
    <row r="146" spans="1:19" ht="18.75">
      <c r="A146" s="29">
        <v>8</v>
      </c>
      <c r="B146" s="15" t="str">
        <f>'Candidate List'!B9</f>
        <v>Darshan Sharma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1</v>
      </c>
      <c r="J146" s="13">
        <v>0</v>
      </c>
      <c r="K146" s="13">
        <v>1</v>
      </c>
      <c r="L146" s="13">
        <v>0</v>
      </c>
      <c r="M146" s="13">
        <v>2</v>
      </c>
      <c r="N146" s="13">
        <v>0</v>
      </c>
      <c r="O146" s="13">
        <v>0</v>
      </c>
      <c r="P146" s="13">
        <v>2</v>
      </c>
      <c r="Q146" s="30">
        <f t="shared" si="16"/>
        <v>6</v>
      </c>
      <c r="R146" s="30">
        <f t="shared" si="17"/>
        <v>45</v>
      </c>
      <c r="S146" s="30">
        <f t="shared" si="18"/>
        <v>51</v>
      </c>
    </row>
    <row r="147" spans="1:19" ht="18.75">
      <c r="A147" s="29">
        <v>9</v>
      </c>
      <c r="B147" s="15" t="str">
        <f>'Candidate List'!B10</f>
        <v>Dilshad Ahmad</v>
      </c>
      <c r="C147" s="13">
        <v>13</v>
      </c>
      <c r="D147" s="13">
        <v>6</v>
      </c>
      <c r="E147" s="13">
        <v>3</v>
      </c>
      <c r="F147" s="13">
        <v>4</v>
      </c>
      <c r="G147" s="13">
        <v>4</v>
      </c>
      <c r="H147" s="13">
        <v>10</v>
      </c>
      <c r="I147" s="13">
        <v>1</v>
      </c>
      <c r="J147" s="13">
        <v>1</v>
      </c>
      <c r="K147" s="13">
        <v>0</v>
      </c>
      <c r="L147" s="13">
        <v>0</v>
      </c>
      <c r="M147" s="13">
        <v>0</v>
      </c>
      <c r="N147" s="13">
        <v>0</v>
      </c>
      <c r="O147" s="13">
        <v>1</v>
      </c>
      <c r="P147" s="13">
        <v>0</v>
      </c>
      <c r="Q147" s="30">
        <f t="shared" si="16"/>
        <v>43</v>
      </c>
      <c r="R147" s="30">
        <f t="shared" si="17"/>
        <v>306</v>
      </c>
      <c r="S147" s="30">
        <f t="shared" si="18"/>
        <v>349</v>
      </c>
    </row>
    <row r="148" spans="1:19" ht="18.75">
      <c r="A148" s="29">
        <v>10</v>
      </c>
      <c r="B148" s="15" t="str">
        <f>'Candidate List'!B11</f>
        <v>Raju Thakur</v>
      </c>
      <c r="C148" s="13">
        <v>4</v>
      </c>
      <c r="D148" s="13">
        <v>2</v>
      </c>
      <c r="E148" s="13">
        <v>2</v>
      </c>
      <c r="F148" s="13">
        <v>2</v>
      </c>
      <c r="G148" s="13">
        <v>2</v>
      </c>
      <c r="H148" s="13">
        <v>2</v>
      </c>
      <c r="I148" s="13">
        <v>3</v>
      </c>
      <c r="J148" s="13">
        <v>3</v>
      </c>
      <c r="K148" s="13">
        <v>0</v>
      </c>
      <c r="L148" s="13">
        <v>1</v>
      </c>
      <c r="M148" s="13">
        <v>0</v>
      </c>
      <c r="N148" s="13">
        <v>1</v>
      </c>
      <c r="O148" s="13">
        <v>1</v>
      </c>
      <c r="P148" s="13">
        <v>0</v>
      </c>
      <c r="Q148" s="30">
        <f t="shared" si="16"/>
        <v>23</v>
      </c>
      <c r="R148" s="30">
        <f t="shared" si="17"/>
        <v>130</v>
      </c>
      <c r="S148" s="30">
        <f t="shared" si="18"/>
        <v>153</v>
      </c>
    </row>
    <row r="149" spans="1:19" ht="18.75">
      <c r="A149" s="29">
        <v>11</v>
      </c>
      <c r="B149" s="15" t="str">
        <f>'Candidate List'!B12</f>
        <v>Bablu</v>
      </c>
      <c r="C149" s="13">
        <v>5</v>
      </c>
      <c r="D149" s="13">
        <v>3</v>
      </c>
      <c r="E149" s="13">
        <v>4</v>
      </c>
      <c r="F149" s="13">
        <v>3</v>
      </c>
      <c r="G149" s="13">
        <v>3</v>
      </c>
      <c r="H149" s="13">
        <v>2</v>
      </c>
      <c r="I149" s="13">
        <v>2</v>
      </c>
      <c r="J149" s="13">
        <v>1</v>
      </c>
      <c r="K149" s="13">
        <v>0</v>
      </c>
      <c r="L149" s="13">
        <v>0</v>
      </c>
      <c r="M149" s="13">
        <v>0</v>
      </c>
      <c r="N149" s="13">
        <v>0</v>
      </c>
      <c r="O149" s="13">
        <v>1</v>
      </c>
      <c r="P149" s="13">
        <v>0</v>
      </c>
      <c r="Q149" s="30">
        <f t="shared" si="16"/>
        <v>24</v>
      </c>
      <c r="R149" s="30">
        <f t="shared" si="17"/>
        <v>50</v>
      </c>
      <c r="S149" s="30">
        <f t="shared" si="18"/>
        <v>74</v>
      </c>
    </row>
    <row r="150" spans="1:19" ht="18.75">
      <c r="A150" s="29">
        <v>12</v>
      </c>
      <c r="B150" s="15" t="str">
        <f>'Candidate List'!B13</f>
        <v>NOTA</v>
      </c>
      <c r="C150" s="13">
        <v>6</v>
      </c>
      <c r="D150" s="13">
        <v>3</v>
      </c>
      <c r="E150" s="13">
        <v>3</v>
      </c>
      <c r="F150" s="13">
        <v>3</v>
      </c>
      <c r="G150" s="13">
        <v>4</v>
      </c>
      <c r="H150" s="13">
        <v>3</v>
      </c>
      <c r="I150" s="13">
        <v>4</v>
      </c>
      <c r="J150" s="13">
        <v>1</v>
      </c>
      <c r="K150" s="13">
        <v>3</v>
      </c>
      <c r="L150" s="13">
        <v>2</v>
      </c>
      <c r="M150" s="13">
        <v>1</v>
      </c>
      <c r="N150" s="13">
        <v>0</v>
      </c>
      <c r="O150" s="13">
        <v>0</v>
      </c>
      <c r="P150" s="13">
        <v>2</v>
      </c>
      <c r="Q150" s="30">
        <f t="shared" si="16"/>
        <v>35</v>
      </c>
      <c r="R150" s="30">
        <f t="shared" si="17"/>
        <v>115</v>
      </c>
      <c r="S150" s="30">
        <f t="shared" si="18"/>
        <v>150</v>
      </c>
    </row>
    <row r="151" spans="1:19">
      <c r="A151" s="187" t="s">
        <v>11</v>
      </c>
      <c r="B151" s="187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30">
        <f t="shared" si="16"/>
        <v>0</v>
      </c>
      <c r="R151" s="30">
        <f t="shared" si="17"/>
        <v>0</v>
      </c>
      <c r="S151" s="30">
        <f t="shared" si="18"/>
        <v>0</v>
      </c>
    </row>
    <row r="152" spans="1:19">
      <c r="A152" s="188" t="s">
        <v>12</v>
      </c>
      <c r="B152" s="188"/>
      <c r="C152" s="30">
        <f t="shared" ref="C152:P152" si="19">SUM(C139:C151)</f>
        <v>758</v>
      </c>
      <c r="D152" s="30">
        <f t="shared" si="19"/>
        <v>715</v>
      </c>
      <c r="E152" s="30">
        <f t="shared" si="19"/>
        <v>565</v>
      </c>
      <c r="F152" s="30">
        <f t="shared" si="19"/>
        <v>574</v>
      </c>
      <c r="G152" s="30">
        <f t="shared" si="19"/>
        <v>684</v>
      </c>
      <c r="H152" s="30">
        <f t="shared" si="19"/>
        <v>635</v>
      </c>
      <c r="I152" s="30">
        <f t="shared" si="19"/>
        <v>352</v>
      </c>
      <c r="J152" s="30">
        <f t="shared" si="19"/>
        <v>408</v>
      </c>
      <c r="K152" s="30">
        <f t="shared" si="19"/>
        <v>565</v>
      </c>
      <c r="L152" s="30">
        <f t="shared" si="19"/>
        <v>436</v>
      </c>
      <c r="M152" s="30">
        <f t="shared" si="19"/>
        <v>531</v>
      </c>
      <c r="N152" s="30">
        <f t="shared" si="19"/>
        <v>625</v>
      </c>
      <c r="O152" s="30">
        <f t="shared" si="19"/>
        <v>612</v>
      </c>
      <c r="P152" s="30">
        <f t="shared" si="19"/>
        <v>680</v>
      </c>
      <c r="Q152" s="30">
        <f t="shared" si="16"/>
        <v>8140</v>
      </c>
      <c r="R152" s="30">
        <f t="shared" si="17"/>
        <v>28501</v>
      </c>
      <c r="S152" s="30">
        <f t="shared" si="18"/>
        <v>36641</v>
      </c>
    </row>
    <row r="153" spans="1:19" ht="47.25" customHeight="1">
      <c r="A153" s="5"/>
      <c r="B153" s="5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7"/>
      <c r="S153" s="7"/>
    </row>
    <row r="154" spans="1:19" ht="22.5">
      <c r="A154" s="31"/>
      <c r="B154" s="31"/>
      <c r="C154" s="10" t="s">
        <v>13</v>
      </c>
      <c r="D154" s="10" t="s">
        <v>13</v>
      </c>
      <c r="E154" s="10" t="s">
        <v>13</v>
      </c>
      <c r="F154" s="10" t="s">
        <v>13</v>
      </c>
      <c r="G154" s="10" t="s">
        <v>13</v>
      </c>
      <c r="H154" s="10" t="s">
        <v>13</v>
      </c>
      <c r="I154" s="10" t="s">
        <v>13</v>
      </c>
      <c r="J154" s="10" t="s">
        <v>13</v>
      </c>
      <c r="K154" s="10" t="s">
        <v>13</v>
      </c>
      <c r="L154" s="10" t="s">
        <v>13</v>
      </c>
      <c r="M154" s="10" t="s">
        <v>13</v>
      </c>
      <c r="N154" s="10" t="s">
        <v>13</v>
      </c>
      <c r="O154" s="10" t="s">
        <v>13</v>
      </c>
      <c r="P154" s="10" t="s">
        <v>13</v>
      </c>
      <c r="Q154" s="10" t="s">
        <v>13</v>
      </c>
      <c r="R154" s="10" t="s">
        <v>13</v>
      </c>
      <c r="S154" s="10" t="s">
        <v>13</v>
      </c>
    </row>
    <row r="155" spans="1:19" ht="42" customHeight="1">
      <c r="A155" s="31"/>
      <c r="B155" s="3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22.5">
      <c r="A156" s="31"/>
      <c r="B156" s="31"/>
      <c r="C156" s="10" t="s">
        <v>14</v>
      </c>
      <c r="D156" s="10" t="s">
        <v>14</v>
      </c>
      <c r="E156" s="10" t="s">
        <v>14</v>
      </c>
      <c r="F156" s="10" t="s">
        <v>14</v>
      </c>
      <c r="G156" s="10" t="s">
        <v>14</v>
      </c>
      <c r="H156" s="10" t="s">
        <v>14</v>
      </c>
      <c r="I156" s="10" t="s">
        <v>14</v>
      </c>
      <c r="J156" s="10" t="s">
        <v>14</v>
      </c>
      <c r="K156" s="10" t="s">
        <v>14</v>
      </c>
      <c r="L156" s="10" t="s">
        <v>14</v>
      </c>
      <c r="M156" s="10" t="s">
        <v>14</v>
      </c>
      <c r="N156" s="10" t="s">
        <v>14</v>
      </c>
      <c r="O156" s="10" t="s">
        <v>14</v>
      </c>
      <c r="P156" s="10" t="s">
        <v>14</v>
      </c>
      <c r="Q156" s="10" t="s">
        <v>14</v>
      </c>
      <c r="R156" s="10" t="s">
        <v>14</v>
      </c>
      <c r="S156" s="10" t="s">
        <v>14</v>
      </c>
    </row>
    <row r="157" spans="1:19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</row>
    <row r="158" spans="1:19">
      <c r="A158" s="189" t="s">
        <v>15</v>
      </c>
      <c r="B158" s="189"/>
      <c r="C158" s="164" t="s">
        <v>16</v>
      </c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31"/>
      <c r="S158" s="31"/>
    </row>
    <row r="159" spans="1:19">
      <c r="A159" s="31"/>
      <c r="B159" s="31"/>
      <c r="C159" s="164" t="s">
        <v>17</v>
      </c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31"/>
      <c r="S159" s="31"/>
    </row>
    <row r="160" spans="1:19">
      <c r="A160" s="31"/>
      <c r="B160" s="31"/>
      <c r="C160" s="164" t="s">
        <v>44</v>
      </c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31"/>
      <c r="S160" s="31"/>
    </row>
    <row r="161" spans="1:19">
      <c r="A161" s="31"/>
      <c r="B161" s="31"/>
      <c r="C161" s="164" t="s">
        <v>45</v>
      </c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31"/>
      <c r="S161" s="31"/>
    </row>
    <row r="165" spans="1:19" ht="26.25">
      <c r="A165" s="190" t="s">
        <v>0</v>
      </c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</row>
    <row r="166" spans="1:19" ht="19.5">
      <c r="A166" s="191" t="s">
        <v>1225</v>
      </c>
      <c r="B166" s="191"/>
      <c r="C166" s="191"/>
      <c r="D166" s="191"/>
      <c r="E166" s="191"/>
      <c r="F166" s="191"/>
      <c r="G166" s="191"/>
      <c r="H166" s="191"/>
      <c r="I166" s="1"/>
      <c r="J166" s="1"/>
      <c r="K166" s="192" t="s">
        <v>25</v>
      </c>
      <c r="L166" s="192"/>
      <c r="M166" s="192"/>
      <c r="N166" s="192"/>
      <c r="O166" s="1"/>
      <c r="P166" s="193" t="s">
        <v>1</v>
      </c>
      <c r="Q166" s="193"/>
      <c r="R166" s="194">
        <v>44630</v>
      </c>
      <c r="S166" s="194"/>
    </row>
    <row r="167" spans="1:19">
      <c r="A167" s="188" t="s">
        <v>2</v>
      </c>
      <c r="B167" s="188"/>
      <c r="C167" s="30">
        <v>1</v>
      </c>
      <c r="D167" s="30">
        <v>2</v>
      </c>
      <c r="E167" s="30">
        <v>3</v>
      </c>
      <c r="F167" s="30">
        <v>4</v>
      </c>
      <c r="G167" s="30">
        <v>5</v>
      </c>
      <c r="H167" s="30">
        <v>6</v>
      </c>
      <c r="I167" s="30">
        <v>7</v>
      </c>
      <c r="J167" s="30">
        <v>8</v>
      </c>
      <c r="K167" s="30">
        <v>9</v>
      </c>
      <c r="L167" s="30">
        <v>10</v>
      </c>
      <c r="M167" s="30">
        <v>11</v>
      </c>
      <c r="N167" s="30">
        <v>12</v>
      </c>
      <c r="O167" s="30">
        <v>13</v>
      </c>
      <c r="P167" s="30">
        <v>14</v>
      </c>
      <c r="Q167" s="195" t="s">
        <v>3</v>
      </c>
      <c r="R167" s="195" t="s">
        <v>4</v>
      </c>
      <c r="S167" s="195" t="s">
        <v>5</v>
      </c>
    </row>
    <row r="168" spans="1:19">
      <c r="A168" s="165" t="s">
        <v>6</v>
      </c>
      <c r="B168" s="167"/>
      <c r="C168" s="40">
        <f>'Booth detail'!BT1</f>
        <v>71</v>
      </c>
      <c r="D168" s="40">
        <f>'Booth detail'!BU1</f>
        <v>72</v>
      </c>
      <c r="E168" s="40">
        <f>'Booth detail'!BV1</f>
        <v>73</v>
      </c>
      <c r="F168" s="40">
        <f>'Booth detail'!BW1</f>
        <v>74</v>
      </c>
      <c r="G168" s="40">
        <f>'Booth detail'!BX1</f>
        <v>75</v>
      </c>
      <c r="H168" s="40">
        <f>'Booth detail'!BY1</f>
        <v>76</v>
      </c>
      <c r="I168" s="40">
        <f>'Booth detail'!BZ1</f>
        <v>77</v>
      </c>
      <c r="J168" s="40">
        <f>'Booth detail'!CA1</f>
        <v>78</v>
      </c>
      <c r="K168" s="40">
        <f>'Booth detail'!CB1</f>
        <v>79</v>
      </c>
      <c r="L168" s="40">
        <f>'Booth detail'!CC1</f>
        <v>80</v>
      </c>
      <c r="M168" s="40">
        <f>'Booth detail'!CD1</f>
        <v>81</v>
      </c>
      <c r="N168" s="40">
        <f>'Booth detail'!CE1</f>
        <v>82</v>
      </c>
      <c r="O168" s="40">
        <f>'Booth detail'!CF1</f>
        <v>83</v>
      </c>
      <c r="P168" s="40">
        <f>'Booth detail'!CG1</f>
        <v>84</v>
      </c>
      <c r="Q168" s="196"/>
      <c r="R168" s="196"/>
      <c r="S168" s="196"/>
    </row>
    <row r="169" spans="1:19" ht="51">
      <c r="A169" s="165" t="s">
        <v>18</v>
      </c>
      <c r="B169" s="167"/>
      <c r="C169" s="44" t="str">
        <f>'Booth detail'!BT2</f>
        <v>ECUEC64355</v>
      </c>
      <c r="D169" s="44" t="str">
        <f>'Booth detail'!BU2</f>
        <v>ECUEC50447</v>
      </c>
      <c r="E169" s="44" t="str">
        <f>'Booth detail'!BV2</f>
        <v>ECUED23454</v>
      </c>
      <c r="F169" s="44" t="str">
        <f>'Booth detail'!BW2</f>
        <v>ECUEC57225</v>
      </c>
      <c r="G169" s="44" t="str">
        <f>'Booth detail'!BX2</f>
        <v>ECUEC64757</v>
      </c>
      <c r="H169" s="44" t="str">
        <f>'Booth detail'!BY2</f>
        <v>ECUEC63789</v>
      </c>
      <c r="I169" s="44" t="str">
        <f>'Booth detail'!BZ2</f>
        <v>ECUEC67408</v>
      </c>
      <c r="J169" s="44" t="str">
        <f>'Booth detail'!CA2</f>
        <v xml:space="preserve">ECUED29149
</v>
      </c>
      <c r="K169" s="44" t="str">
        <f>'Booth detail'!CB2</f>
        <v>ECUEC51904</v>
      </c>
      <c r="L169" s="44" t="str">
        <f>'Booth detail'!CC2</f>
        <v>ECUEC60105</v>
      </c>
      <c r="M169" s="64" t="str">
        <f>'Booth detail'!CD2</f>
        <v>ECUEC57485 /
ECUEC63670</v>
      </c>
      <c r="N169" s="44" t="str">
        <f>'Booth detail'!CE2</f>
        <v>ECUEC52549</v>
      </c>
      <c r="O169" s="44" t="str">
        <f>'Booth detail'!CF2</f>
        <v>ECUEC67909</v>
      </c>
      <c r="P169" s="44" t="str">
        <f>'Booth detail'!CG2</f>
        <v>ECUEC64732</v>
      </c>
      <c r="Q169" s="196"/>
      <c r="R169" s="196"/>
      <c r="S169" s="196"/>
    </row>
    <row r="170" spans="1:19" s="56" customFormat="1" ht="45.75" customHeight="1">
      <c r="A170" s="201" t="s">
        <v>20</v>
      </c>
      <c r="B170" s="202"/>
      <c r="C170" s="55" t="str">
        <f>'Booth detail'!BT3</f>
        <v>-</v>
      </c>
      <c r="D170" s="55" t="str">
        <f>'Booth detail'!BU3</f>
        <v>-</v>
      </c>
      <c r="E170" s="55" t="str">
        <f>'Booth detail'!BV3</f>
        <v>-</v>
      </c>
      <c r="F170" s="55" t="str">
        <f>'Booth detail'!BW3</f>
        <v>-</v>
      </c>
      <c r="G170" s="55" t="str">
        <f>'Booth detail'!BX3</f>
        <v>-</v>
      </c>
      <c r="H170" s="55" t="str">
        <f>'Booth detail'!BY3</f>
        <v>-</v>
      </c>
      <c r="I170" s="55" t="str">
        <f>'Booth detail'!BZ3</f>
        <v>-</v>
      </c>
      <c r="J170" s="55" t="str">
        <f>'Booth detail'!CA3</f>
        <v>-</v>
      </c>
      <c r="K170" s="55" t="str">
        <f>'Booth detail'!CB3</f>
        <v>-</v>
      </c>
      <c r="L170" s="55" t="str">
        <f>'Booth detail'!CC3</f>
        <v>-</v>
      </c>
      <c r="M170" s="55" t="str">
        <f>'Booth detail'!CD3</f>
        <v>-</v>
      </c>
      <c r="N170" s="55" t="str">
        <f>'Booth detail'!CE3</f>
        <v>-</v>
      </c>
      <c r="O170" s="55" t="str">
        <f>'Booth detail'!CF3</f>
        <v>-</v>
      </c>
      <c r="P170" s="55" t="str">
        <f>'Booth detail'!CG3</f>
        <v>-</v>
      </c>
      <c r="Q170" s="196"/>
      <c r="R170" s="196"/>
      <c r="S170" s="196"/>
    </row>
    <row r="171" spans="1:19">
      <c r="A171" s="14" t="s">
        <v>7</v>
      </c>
      <c r="B171" s="32" t="s">
        <v>8</v>
      </c>
      <c r="C171" s="33" t="s">
        <v>9</v>
      </c>
      <c r="D171" s="33" t="s">
        <v>9</v>
      </c>
      <c r="E171" s="33" t="s">
        <v>9</v>
      </c>
      <c r="F171" s="33" t="s">
        <v>9</v>
      </c>
      <c r="G171" s="33" t="s">
        <v>9</v>
      </c>
      <c r="H171" s="33" t="s">
        <v>9</v>
      </c>
      <c r="I171" s="33" t="s">
        <v>9</v>
      </c>
      <c r="J171" s="33" t="s">
        <v>9</v>
      </c>
      <c r="K171" s="33" t="s">
        <v>9</v>
      </c>
      <c r="L171" s="33" t="s">
        <v>9</v>
      </c>
      <c r="M171" s="33" t="s">
        <v>9</v>
      </c>
      <c r="N171" s="33" t="s">
        <v>9</v>
      </c>
      <c r="O171" s="33" t="s">
        <v>9</v>
      </c>
      <c r="P171" s="33" t="s">
        <v>9</v>
      </c>
      <c r="Q171" s="197"/>
      <c r="R171" s="197"/>
      <c r="S171" s="197"/>
    </row>
    <row r="172" spans="1:19" ht="18.75">
      <c r="A172" s="29">
        <v>1</v>
      </c>
      <c r="B172" s="15" t="str">
        <f>'Candidate List'!B2</f>
        <v>Manveer Singh</v>
      </c>
      <c r="C172" s="13">
        <v>29</v>
      </c>
      <c r="D172" s="13">
        <v>8</v>
      </c>
      <c r="E172" s="13">
        <v>4</v>
      </c>
      <c r="F172" s="13">
        <v>2</v>
      </c>
      <c r="G172" s="13">
        <v>18</v>
      </c>
      <c r="H172" s="13">
        <v>3</v>
      </c>
      <c r="I172" s="13">
        <v>77</v>
      </c>
      <c r="J172" s="13">
        <v>109</v>
      </c>
      <c r="K172" s="13">
        <v>70</v>
      </c>
      <c r="L172" s="13">
        <v>40</v>
      </c>
      <c r="M172" s="13">
        <v>50</v>
      </c>
      <c r="N172" s="13">
        <v>8</v>
      </c>
      <c r="O172" s="13">
        <v>14</v>
      </c>
      <c r="P172" s="13">
        <v>495</v>
      </c>
      <c r="Q172" s="30">
        <f>SUM(C172:P172)</f>
        <v>927</v>
      </c>
      <c r="R172" s="30">
        <f>S139</f>
        <v>3276</v>
      </c>
      <c r="S172" s="30">
        <f>Q172+R172</f>
        <v>4203</v>
      </c>
    </row>
    <row r="173" spans="1:19" ht="18.75">
      <c r="A173" s="29">
        <v>2</v>
      </c>
      <c r="B173" s="15" t="str">
        <f>'Candidate List'!B3</f>
        <v>Rahul Yadav</v>
      </c>
      <c r="C173" s="13">
        <v>210</v>
      </c>
      <c r="D173" s="13">
        <v>117</v>
      </c>
      <c r="E173" s="13">
        <v>254</v>
      </c>
      <c r="F173" s="13">
        <v>222</v>
      </c>
      <c r="G173" s="13">
        <v>162</v>
      </c>
      <c r="H173" s="13">
        <v>246</v>
      </c>
      <c r="I173" s="13">
        <v>244</v>
      </c>
      <c r="J173" s="13">
        <v>172</v>
      </c>
      <c r="K173" s="13">
        <v>238</v>
      </c>
      <c r="L173" s="13">
        <v>394</v>
      </c>
      <c r="M173" s="13">
        <v>323</v>
      </c>
      <c r="N173" s="13">
        <v>146</v>
      </c>
      <c r="O173" s="13">
        <v>62</v>
      </c>
      <c r="P173" s="13">
        <v>14</v>
      </c>
      <c r="Q173" s="30">
        <f t="shared" ref="Q173:Q185" si="20">SUM(C173:P173)</f>
        <v>2804</v>
      </c>
      <c r="R173" s="30">
        <f t="shared" ref="R173:R185" si="21">S140</f>
        <v>17993</v>
      </c>
      <c r="S173" s="30">
        <f t="shared" ref="S173:S185" si="22">Q173+R173</f>
        <v>20797</v>
      </c>
    </row>
    <row r="174" spans="1:19" ht="18.75">
      <c r="A174" s="29">
        <v>3</v>
      </c>
      <c r="B174" s="15" t="str">
        <f>'Candidate List'!B4</f>
        <v>Lakshmi Raj</v>
      </c>
      <c r="C174" s="13">
        <v>350</v>
      </c>
      <c r="D174" s="13">
        <v>350</v>
      </c>
      <c r="E174" s="13">
        <v>181</v>
      </c>
      <c r="F174" s="13">
        <v>589</v>
      </c>
      <c r="G174" s="13">
        <v>493</v>
      </c>
      <c r="H174" s="13">
        <v>171</v>
      </c>
      <c r="I174" s="13">
        <v>236</v>
      </c>
      <c r="J174" s="13">
        <v>250</v>
      </c>
      <c r="K174" s="13">
        <v>286</v>
      </c>
      <c r="L174" s="13">
        <v>139</v>
      </c>
      <c r="M174" s="13">
        <v>83</v>
      </c>
      <c r="N174" s="13">
        <v>190</v>
      </c>
      <c r="O174" s="13">
        <v>369</v>
      </c>
      <c r="P174" s="13">
        <v>159</v>
      </c>
      <c r="Q174" s="30">
        <f t="shared" si="20"/>
        <v>3846</v>
      </c>
      <c r="R174" s="30">
        <f t="shared" si="21"/>
        <v>14037</v>
      </c>
      <c r="S174" s="30">
        <f t="shared" si="22"/>
        <v>17883</v>
      </c>
    </row>
    <row r="175" spans="1:19" ht="18.75">
      <c r="A175" s="29">
        <v>4</v>
      </c>
      <c r="B175" s="15" t="str">
        <f>'Candidate List'!B5</f>
        <v>Saleem Akhtar Khan</v>
      </c>
      <c r="C175" s="13">
        <v>3</v>
      </c>
      <c r="D175" s="13">
        <v>8</v>
      </c>
      <c r="E175" s="13">
        <v>1</v>
      </c>
      <c r="F175" s="13">
        <v>3</v>
      </c>
      <c r="G175" s="13">
        <v>3</v>
      </c>
      <c r="H175" s="13">
        <v>4</v>
      </c>
      <c r="I175" s="13">
        <v>7</v>
      </c>
      <c r="J175" s="13">
        <v>4</v>
      </c>
      <c r="K175" s="13">
        <v>4</v>
      </c>
      <c r="L175" s="13">
        <v>3</v>
      </c>
      <c r="M175" s="13">
        <v>9</v>
      </c>
      <c r="N175" s="13">
        <v>7</v>
      </c>
      <c r="O175" s="13">
        <v>4</v>
      </c>
      <c r="P175" s="13">
        <v>2</v>
      </c>
      <c r="Q175" s="30">
        <f t="shared" si="20"/>
        <v>62</v>
      </c>
      <c r="R175" s="30">
        <f t="shared" si="21"/>
        <v>468</v>
      </c>
      <c r="S175" s="30">
        <f t="shared" si="22"/>
        <v>530</v>
      </c>
    </row>
    <row r="176" spans="1:19" ht="18.75">
      <c r="A176" s="29">
        <v>5</v>
      </c>
      <c r="B176" s="15" t="str">
        <f>'Candidate List'!B6</f>
        <v>Ajay Kumar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1</v>
      </c>
      <c r="I176" s="13">
        <v>1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1</v>
      </c>
      <c r="Q176" s="30">
        <f t="shared" si="20"/>
        <v>3</v>
      </c>
      <c r="R176" s="30">
        <f t="shared" si="21"/>
        <v>58</v>
      </c>
      <c r="S176" s="30">
        <f t="shared" si="22"/>
        <v>61</v>
      </c>
    </row>
    <row r="177" spans="1:19" ht="18.75">
      <c r="A177" s="29">
        <v>6</v>
      </c>
      <c r="B177" s="15" t="str">
        <f>'Candidate List'!B7</f>
        <v>Ajay Kumar Sharma</v>
      </c>
      <c r="C177" s="13">
        <v>0</v>
      </c>
      <c r="D177" s="13">
        <v>1</v>
      </c>
      <c r="E177" s="13">
        <v>0</v>
      </c>
      <c r="F177" s="13">
        <v>0</v>
      </c>
      <c r="G177" s="13">
        <v>0</v>
      </c>
      <c r="H177" s="13">
        <v>0</v>
      </c>
      <c r="I177" s="13">
        <v>1</v>
      </c>
      <c r="J177" s="13">
        <v>0</v>
      </c>
      <c r="K177" s="13">
        <v>1</v>
      </c>
      <c r="L177" s="13">
        <v>0</v>
      </c>
      <c r="M177" s="13">
        <v>1</v>
      </c>
      <c r="N177" s="13">
        <v>1</v>
      </c>
      <c r="O177" s="13">
        <v>0</v>
      </c>
      <c r="P177" s="13">
        <v>0</v>
      </c>
      <c r="Q177" s="30">
        <f t="shared" si="20"/>
        <v>5</v>
      </c>
      <c r="R177" s="30">
        <f t="shared" si="21"/>
        <v>8</v>
      </c>
      <c r="S177" s="30">
        <f t="shared" si="22"/>
        <v>13</v>
      </c>
    </row>
    <row r="178" spans="1:19" ht="18.75">
      <c r="A178" s="29">
        <v>7</v>
      </c>
      <c r="B178" s="15" t="str">
        <f>'Candidate List'!B8</f>
        <v>Amit Singh Tomar</v>
      </c>
      <c r="C178" s="13">
        <v>0</v>
      </c>
      <c r="D178" s="13">
        <v>0</v>
      </c>
      <c r="E178" s="13">
        <v>0</v>
      </c>
      <c r="F178" s="13">
        <v>1</v>
      </c>
      <c r="G178" s="13">
        <v>0</v>
      </c>
      <c r="H178" s="13">
        <v>1</v>
      </c>
      <c r="I178" s="13">
        <v>3</v>
      </c>
      <c r="J178" s="13">
        <v>0</v>
      </c>
      <c r="K178" s="13">
        <v>2</v>
      </c>
      <c r="L178" s="13">
        <v>1</v>
      </c>
      <c r="M178" s="13">
        <v>0</v>
      </c>
      <c r="N178" s="13">
        <v>0</v>
      </c>
      <c r="O178" s="13">
        <v>0</v>
      </c>
      <c r="P178" s="13">
        <v>0</v>
      </c>
      <c r="Q178" s="30">
        <f t="shared" si="20"/>
        <v>8</v>
      </c>
      <c r="R178" s="30">
        <f t="shared" si="21"/>
        <v>24</v>
      </c>
      <c r="S178" s="30">
        <f t="shared" si="22"/>
        <v>32</v>
      </c>
    </row>
    <row r="179" spans="1:19" ht="18.75">
      <c r="A179" s="29">
        <v>8</v>
      </c>
      <c r="B179" s="15" t="str">
        <f>'Candidate List'!B9</f>
        <v>Darshan Sharma</v>
      </c>
      <c r="C179" s="13">
        <v>1</v>
      </c>
      <c r="D179" s="13">
        <v>0</v>
      </c>
      <c r="E179" s="13">
        <v>0</v>
      </c>
      <c r="F179" s="13">
        <v>2</v>
      </c>
      <c r="G179" s="13">
        <v>0</v>
      </c>
      <c r="H179" s="13">
        <v>0</v>
      </c>
      <c r="I179" s="13">
        <v>0</v>
      </c>
      <c r="J179" s="13">
        <v>1</v>
      </c>
      <c r="K179" s="13">
        <v>0</v>
      </c>
      <c r="L179" s="13">
        <v>0</v>
      </c>
      <c r="M179" s="13">
        <v>0</v>
      </c>
      <c r="N179" s="13">
        <v>0</v>
      </c>
      <c r="O179" s="13">
        <v>2</v>
      </c>
      <c r="P179" s="13">
        <v>4</v>
      </c>
      <c r="Q179" s="30">
        <f t="shared" si="20"/>
        <v>10</v>
      </c>
      <c r="R179" s="30">
        <f t="shared" si="21"/>
        <v>51</v>
      </c>
      <c r="S179" s="30">
        <f t="shared" si="22"/>
        <v>61</v>
      </c>
    </row>
    <row r="180" spans="1:19" ht="18.75">
      <c r="A180" s="29">
        <v>9</v>
      </c>
      <c r="B180" s="15" t="str">
        <f>'Candidate List'!B10</f>
        <v>Dilshad Ahmad</v>
      </c>
      <c r="C180" s="13">
        <v>10</v>
      </c>
      <c r="D180" s="13">
        <v>4</v>
      </c>
      <c r="E180" s="13">
        <v>8</v>
      </c>
      <c r="F180" s="13">
        <v>3</v>
      </c>
      <c r="G180" s="13">
        <v>0</v>
      </c>
      <c r="H180" s="13">
        <v>2</v>
      </c>
      <c r="I180" s="13">
        <v>8</v>
      </c>
      <c r="J180" s="13">
        <v>1</v>
      </c>
      <c r="K180" s="13">
        <v>22</v>
      </c>
      <c r="L180" s="13">
        <v>16</v>
      </c>
      <c r="M180" s="13">
        <v>15</v>
      </c>
      <c r="N180" s="13">
        <v>4</v>
      </c>
      <c r="O180" s="13">
        <v>0</v>
      </c>
      <c r="P180" s="13">
        <v>1</v>
      </c>
      <c r="Q180" s="30">
        <f t="shared" si="20"/>
        <v>94</v>
      </c>
      <c r="R180" s="30">
        <f t="shared" si="21"/>
        <v>349</v>
      </c>
      <c r="S180" s="30">
        <f t="shared" si="22"/>
        <v>443</v>
      </c>
    </row>
    <row r="181" spans="1:19" ht="18.75">
      <c r="A181" s="29">
        <v>10</v>
      </c>
      <c r="B181" s="15" t="str">
        <f>'Candidate List'!B11</f>
        <v>Raju Thakur</v>
      </c>
      <c r="C181" s="13">
        <v>1</v>
      </c>
      <c r="D181" s="13">
        <v>0</v>
      </c>
      <c r="E181" s="13">
        <v>1</v>
      </c>
      <c r="F181" s="13">
        <v>1</v>
      </c>
      <c r="G181" s="13">
        <v>1</v>
      </c>
      <c r="H181" s="13">
        <v>3</v>
      </c>
      <c r="I181" s="13">
        <v>7</v>
      </c>
      <c r="J181" s="13">
        <v>1</v>
      </c>
      <c r="K181" s="13">
        <v>9</v>
      </c>
      <c r="L181" s="13">
        <v>5</v>
      </c>
      <c r="M181" s="13">
        <v>1</v>
      </c>
      <c r="N181" s="13">
        <v>1</v>
      </c>
      <c r="O181" s="13">
        <v>0</v>
      </c>
      <c r="P181" s="13">
        <v>2</v>
      </c>
      <c r="Q181" s="30">
        <f t="shared" si="20"/>
        <v>33</v>
      </c>
      <c r="R181" s="30">
        <f t="shared" si="21"/>
        <v>153</v>
      </c>
      <c r="S181" s="30">
        <f t="shared" si="22"/>
        <v>186</v>
      </c>
    </row>
    <row r="182" spans="1:19" ht="18.75">
      <c r="A182" s="29">
        <v>11</v>
      </c>
      <c r="B182" s="15" t="str">
        <f>'Candidate List'!B12</f>
        <v>Bablu</v>
      </c>
      <c r="C182" s="13">
        <v>1</v>
      </c>
      <c r="D182" s="13">
        <v>1</v>
      </c>
      <c r="E182" s="13">
        <v>1</v>
      </c>
      <c r="F182" s="13">
        <v>1</v>
      </c>
      <c r="G182" s="13">
        <v>0</v>
      </c>
      <c r="H182" s="13">
        <v>0</v>
      </c>
      <c r="I182" s="13">
        <v>2</v>
      </c>
      <c r="J182" s="13">
        <v>1</v>
      </c>
      <c r="K182" s="13">
        <v>0</v>
      </c>
      <c r="L182" s="13">
        <v>0</v>
      </c>
      <c r="M182" s="13">
        <v>1</v>
      </c>
      <c r="N182" s="13">
        <v>0</v>
      </c>
      <c r="O182" s="13">
        <v>1</v>
      </c>
      <c r="P182" s="13">
        <v>1</v>
      </c>
      <c r="Q182" s="30">
        <f t="shared" si="20"/>
        <v>10</v>
      </c>
      <c r="R182" s="30">
        <f t="shared" si="21"/>
        <v>74</v>
      </c>
      <c r="S182" s="30">
        <f t="shared" si="22"/>
        <v>84</v>
      </c>
    </row>
    <row r="183" spans="1:19" ht="18.75">
      <c r="A183" s="29">
        <v>12</v>
      </c>
      <c r="B183" s="15" t="str">
        <f>'Candidate List'!B13</f>
        <v>NOTA</v>
      </c>
      <c r="C183" s="13">
        <v>0</v>
      </c>
      <c r="D183" s="13">
        <v>2</v>
      </c>
      <c r="E183" s="13">
        <v>0</v>
      </c>
      <c r="F183" s="13">
        <v>0</v>
      </c>
      <c r="G183" s="13">
        <v>3</v>
      </c>
      <c r="H183" s="13">
        <v>1</v>
      </c>
      <c r="I183" s="13">
        <v>3</v>
      </c>
      <c r="J183" s="13">
        <v>1</v>
      </c>
      <c r="K183" s="13">
        <v>1</v>
      </c>
      <c r="L183" s="13">
        <v>6</v>
      </c>
      <c r="M183" s="13">
        <v>2</v>
      </c>
      <c r="N183" s="13">
        <v>1</v>
      </c>
      <c r="O183" s="13">
        <v>1</v>
      </c>
      <c r="P183" s="13">
        <v>7</v>
      </c>
      <c r="Q183" s="30">
        <f t="shared" si="20"/>
        <v>28</v>
      </c>
      <c r="R183" s="30">
        <f t="shared" si="21"/>
        <v>150</v>
      </c>
      <c r="S183" s="30">
        <f t="shared" si="22"/>
        <v>178</v>
      </c>
    </row>
    <row r="184" spans="1:19">
      <c r="A184" s="187" t="s">
        <v>11</v>
      </c>
      <c r="B184" s="187"/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30">
        <f t="shared" si="20"/>
        <v>0</v>
      </c>
      <c r="R184" s="30">
        <f t="shared" si="21"/>
        <v>0</v>
      </c>
      <c r="S184" s="30">
        <f t="shared" si="22"/>
        <v>0</v>
      </c>
    </row>
    <row r="185" spans="1:19">
      <c r="A185" s="188" t="s">
        <v>12</v>
      </c>
      <c r="B185" s="188"/>
      <c r="C185" s="30">
        <f t="shared" ref="C185:P185" si="23">SUM(C172:C184)</f>
        <v>605</v>
      </c>
      <c r="D185" s="30">
        <f t="shared" si="23"/>
        <v>491</v>
      </c>
      <c r="E185" s="30">
        <f t="shared" si="23"/>
        <v>450</v>
      </c>
      <c r="F185" s="30">
        <f t="shared" si="23"/>
        <v>824</v>
      </c>
      <c r="G185" s="30">
        <f t="shared" si="23"/>
        <v>680</v>
      </c>
      <c r="H185" s="30">
        <f t="shared" si="23"/>
        <v>432</v>
      </c>
      <c r="I185" s="30">
        <f t="shared" si="23"/>
        <v>589</v>
      </c>
      <c r="J185" s="30">
        <f t="shared" si="23"/>
        <v>540</v>
      </c>
      <c r="K185" s="30">
        <f t="shared" si="23"/>
        <v>633</v>
      </c>
      <c r="L185" s="30">
        <f t="shared" si="23"/>
        <v>604</v>
      </c>
      <c r="M185" s="30">
        <f t="shared" si="23"/>
        <v>485</v>
      </c>
      <c r="N185" s="30">
        <f t="shared" si="23"/>
        <v>358</v>
      </c>
      <c r="O185" s="30">
        <f t="shared" si="23"/>
        <v>453</v>
      </c>
      <c r="P185" s="30">
        <f t="shared" si="23"/>
        <v>686</v>
      </c>
      <c r="Q185" s="30">
        <f t="shared" si="20"/>
        <v>7830</v>
      </c>
      <c r="R185" s="30">
        <f t="shared" si="21"/>
        <v>36641</v>
      </c>
      <c r="S185" s="30">
        <f t="shared" si="22"/>
        <v>44471</v>
      </c>
    </row>
    <row r="186" spans="1:19" ht="39" customHeight="1">
      <c r="A186" s="5"/>
      <c r="B186" s="5"/>
      <c r="C186" s="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7"/>
      <c r="S186" s="7"/>
    </row>
    <row r="187" spans="1:19" ht="22.5">
      <c r="A187" s="31"/>
      <c r="B187" s="31"/>
      <c r="C187" s="10" t="s">
        <v>13</v>
      </c>
      <c r="D187" s="10" t="s">
        <v>13</v>
      </c>
      <c r="E187" s="10" t="s">
        <v>13</v>
      </c>
      <c r="F187" s="10" t="s">
        <v>13</v>
      </c>
      <c r="G187" s="10" t="s">
        <v>13</v>
      </c>
      <c r="H187" s="10" t="s">
        <v>13</v>
      </c>
      <c r="I187" s="10" t="s">
        <v>13</v>
      </c>
      <c r="J187" s="10" t="s">
        <v>13</v>
      </c>
      <c r="K187" s="10" t="s">
        <v>13</v>
      </c>
      <c r="L187" s="10" t="s">
        <v>13</v>
      </c>
      <c r="M187" s="10" t="s">
        <v>13</v>
      </c>
      <c r="N187" s="10" t="s">
        <v>13</v>
      </c>
      <c r="O187" s="10" t="s">
        <v>13</v>
      </c>
      <c r="P187" s="10" t="s">
        <v>13</v>
      </c>
      <c r="Q187" s="10" t="s">
        <v>13</v>
      </c>
      <c r="R187" s="10" t="s">
        <v>13</v>
      </c>
      <c r="S187" s="10" t="s">
        <v>13</v>
      </c>
    </row>
    <row r="188" spans="1:19" ht="35.25" customHeight="1">
      <c r="A188" s="31"/>
      <c r="B188" s="3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22.5">
      <c r="A189" s="31"/>
      <c r="B189" s="31"/>
      <c r="C189" s="10" t="s">
        <v>14</v>
      </c>
      <c r="D189" s="10" t="s">
        <v>14</v>
      </c>
      <c r="E189" s="10" t="s">
        <v>14</v>
      </c>
      <c r="F189" s="10" t="s">
        <v>14</v>
      </c>
      <c r="G189" s="10" t="s">
        <v>14</v>
      </c>
      <c r="H189" s="10" t="s">
        <v>14</v>
      </c>
      <c r="I189" s="10" t="s">
        <v>14</v>
      </c>
      <c r="J189" s="10" t="s">
        <v>14</v>
      </c>
      <c r="K189" s="10" t="s">
        <v>14</v>
      </c>
      <c r="L189" s="10" t="s">
        <v>14</v>
      </c>
      <c r="M189" s="10" t="s">
        <v>14</v>
      </c>
      <c r="N189" s="10" t="s">
        <v>14</v>
      </c>
      <c r="O189" s="10" t="s">
        <v>14</v>
      </c>
      <c r="P189" s="10" t="s">
        <v>14</v>
      </c>
      <c r="Q189" s="10" t="s">
        <v>14</v>
      </c>
      <c r="R189" s="10" t="s">
        <v>14</v>
      </c>
      <c r="S189" s="10" t="s">
        <v>14</v>
      </c>
    </row>
    <row r="190" spans="1:19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</row>
    <row r="191" spans="1:19">
      <c r="A191" s="189" t="s">
        <v>15</v>
      </c>
      <c r="B191" s="189"/>
      <c r="C191" s="164" t="s">
        <v>16</v>
      </c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31"/>
      <c r="S191" s="31"/>
    </row>
    <row r="192" spans="1:19">
      <c r="A192" s="31"/>
      <c r="B192" s="31"/>
      <c r="C192" s="164" t="s">
        <v>17</v>
      </c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31"/>
      <c r="S192" s="31"/>
    </row>
    <row r="193" spans="1:19">
      <c r="A193" s="31"/>
      <c r="B193" s="31"/>
      <c r="C193" s="164" t="s">
        <v>44</v>
      </c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31"/>
      <c r="S193" s="31"/>
    </row>
    <row r="194" spans="1:19">
      <c r="A194" s="31"/>
      <c r="B194" s="31"/>
      <c r="C194" s="164" t="s">
        <v>45</v>
      </c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31"/>
      <c r="S194" s="31"/>
    </row>
    <row r="198" spans="1:19" ht="26.25">
      <c r="A198" s="190" t="s">
        <v>0</v>
      </c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</row>
    <row r="199" spans="1:19" ht="19.5">
      <c r="A199" s="191" t="s">
        <v>1225</v>
      </c>
      <c r="B199" s="191"/>
      <c r="C199" s="191"/>
      <c r="D199" s="191"/>
      <c r="E199" s="191"/>
      <c r="F199" s="191"/>
      <c r="G199" s="191"/>
      <c r="H199" s="191"/>
      <c r="I199" s="1"/>
      <c r="J199" s="1"/>
      <c r="K199" s="192" t="s">
        <v>26</v>
      </c>
      <c r="L199" s="192"/>
      <c r="M199" s="192"/>
      <c r="N199" s="192"/>
      <c r="O199" s="1"/>
      <c r="P199" s="193" t="s">
        <v>1</v>
      </c>
      <c r="Q199" s="193"/>
      <c r="R199" s="194">
        <v>44630</v>
      </c>
      <c r="S199" s="194"/>
    </row>
    <row r="200" spans="1:19">
      <c r="A200" s="188" t="s">
        <v>2</v>
      </c>
      <c r="B200" s="188"/>
      <c r="C200" s="30">
        <v>1</v>
      </c>
      <c r="D200" s="30">
        <v>2</v>
      </c>
      <c r="E200" s="30">
        <v>3</v>
      </c>
      <c r="F200" s="30">
        <v>4</v>
      </c>
      <c r="G200" s="30">
        <v>5</v>
      </c>
      <c r="H200" s="30">
        <v>6</v>
      </c>
      <c r="I200" s="30">
        <v>7</v>
      </c>
      <c r="J200" s="30">
        <v>8</v>
      </c>
      <c r="K200" s="30">
        <v>9</v>
      </c>
      <c r="L200" s="30">
        <v>10</v>
      </c>
      <c r="M200" s="30">
        <v>11</v>
      </c>
      <c r="N200" s="30">
        <v>12</v>
      </c>
      <c r="O200" s="30">
        <v>13</v>
      </c>
      <c r="P200" s="30">
        <v>14</v>
      </c>
      <c r="Q200" s="195" t="s">
        <v>3</v>
      </c>
      <c r="R200" s="195" t="s">
        <v>4</v>
      </c>
      <c r="S200" s="195" t="s">
        <v>5</v>
      </c>
    </row>
    <row r="201" spans="1:19">
      <c r="A201" s="165" t="s">
        <v>6</v>
      </c>
      <c r="B201" s="167"/>
      <c r="C201" s="49">
        <f>'Booth detail'!CH1</f>
        <v>85</v>
      </c>
      <c r="D201" s="49">
        <f>'Booth detail'!CI1</f>
        <v>86</v>
      </c>
      <c r="E201" s="49">
        <f>'Booth detail'!CJ1</f>
        <v>87</v>
      </c>
      <c r="F201" s="49">
        <f>'Booth detail'!CK1</f>
        <v>88</v>
      </c>
      <c r="G201" s="49">
        <f>'Booth detail'!CL1</f>
        <v>89</v>
      </c>
      <c r="H201" s="49">
        <f>'Booth detail'!CM1</f>
        <v>90</v>
      </c>
      <c r="I201" s="49">
        <f>'Booth detail'!CN1</f>
        <v>91</v>
      </c>
      <c r="J201" s="49">
        <f>'Booth detail'!CO1</f>
        <v>92</v>
      </c>
      <c r="K201" s="49">
        <f>'Booth detail'!CP1</f>
        <v>93</v>
      </c>
      <c r="L201" s="49">
        <f>'Booth detail'!CQ1</f>
        <v>94</v>
      </c>
      <c r="M201" s="49">
        <f>'Booth detail'!CR1</f>
        <v>95</v>
      </c>
      <c r="N201" s="49">
        <f>'Booth detail'!CS1</f>
        <v>96</v>
      </c>
      <c r="O201" s="49">
        <f>'Booth detail'!CT1</f>
        <v>97</v>
      </c>
      <c r="P201" s="49">
        <f>'Booth detail'!CU1</f>
        <v>98</v>
      </c>
      <c r="Q201" s="196"/>
      <c r="R201" s="196"/>
      <c r="S201" s="196"/>
    </row>
    <row r="202" spans="1:19" ht="25.5">
      <c r="A202" s="165" t="s">
        <v>18</v>
      </c>
      <c r="B202" s="167"/>
      <c r="C202" s="50" t="str">
        <f>'Booth detail'!CH2</f>
        <v>ECUEC64252</v>
      </c>
      <c r="D202" s="50" t="str">
        <f>'Booth detail'!CI2</f>
        <v>ECUEC67125</v>
      </c>
      <c r="E202" s="50" t="str">
        <f>'Booth detail'!CJ2</f>
        <v>ECUEC57795</v>
      </c>
      <c r="F202" s="50" t="str">
        <f>'Booth detail'!CK2</f>
        <v>ECUEC47827</v>
      </c>
      <c r="G202" s="50" t="str">
        <f>'Booth detail'!CL2</f>
        <v>ECUEC50087</v>
      </c>
      <c r="H202" s="50" t="str">
        <f>'Booth detail'!CM2</f>
        <v>ECUEC67504</v>
      </c>
      <c r="I202" s="50" t="str">
        <f>'Booth detail'!CN2</f>
        <v>ECUEC60070</v>
      </c>
      <c r="J202" s="50" t="str">
        <f>'Booth detail'!CO2</f>
        <v>ECUEC57938</v>
      </c>
      <c r="K202" s="50" t="str">
        <f>'Booth detail'!CP2</f>
        <v>ECUEC57505</v>
      </c>
      <c r="L202" s="50" t="str">
        <f>'Booth detail'!CQ2</f>
        <v>ECUEC64592</v>
      </c>
      <c r="M202" s="50" t="str">
        <f>'Booth detail'!CR2</f>
        <v>ECUEC64624</v>
      </c>
      <c r="N202" s="50" t="str">
        <f>'Booth detail'!CS2</f>
        <v>ECUEC67463</v>
      </c>
      <c r="O202" s="50" t="str">
        <f>'Booth detail'!CT2</f>
        <v>ECUEC50246</v>
      </c>
      <c r="P202" s="50" t="str">
        <f>'Booth detail'!CU2</f>
        <v>ECUEC64335</v>
      </c>
      <c r="Q202" s="196"/>
      <c r="R202" s="196"/>
      <c r="S202" s="196"/>
    </row>
    <row r="203" spans="1:19" ht="48.75" customHeight="1">
      <c r="A203" s="188" t="s">
        <v>20</v>
      </c>
      <c r="B203" s="188"/>
      <c r="C203" s="57" t="str">
        <f>'Booth detail'!CH3</f>
        <v>-</v>
      </c>
      <c r="D203" s="57" t="str">
        <f>'Booth detail'!CI3</f>
        <v>-</v>
      </c>
      <c r="E203" s="57" t="str">
        <f>'Booth detail'!CJ3</f>
        <v>-</v>
      </c>
      <c r="F203" s="57" t="str">
        <f>'Booth detail'!CK3</f>
        <v>-</v>
      </c>
      <c r="G203" s="57" t="str">
        <f>'Booth detail'!CL3</f>
        <v>-</v>
      </c>
      <c r="H203" s="57" t="str">
        <f>'Booth detail'!CM3</f>
        <v>-</v>
      </c>
      <c r="I203" s="57" t="str">
        <f>'Booth detail'!CN3</f>
        <v>-</v>
      </c>
      <c r="J203" s="57" t="str">
        <f>'Booth detail'!CO3</f>
        <v>-</v>
      </c>
      <c r="K203" s="57" t="str">
        <f>'Booth detail'!CP3</f>
        <v>-</v>
      </c>
      <c r="L203" s="57" t="str">
        <f>'Booth detail'!CQ3</f>
        <v>-</v>
      </c>
      <c r="M203" s="57" t="str">
        <f>'Booth detail'!CR3</f>
        <v>-</v>
      </c>
      <c r="N203" s="57" t="str">
        <f>'Booth detail'!CS3</f>
        <v>-</v>
      </c>
      <c r="O203" s="57" t="str">
        <f>'Booth detail'!CT3</f>
        <v>-</v>
      </c>
      <c r="P203" s="57" t="str">
        <f>'Booth detail'!CU3</f>
        <v>-</v>
      </c>
      <c r="Q203" s="196"/>
      <c r="R203" s="196"/>
      <c r="S203" s="196"/>
    </row>
    <row r="204" spans="1:19">
      <c r="A204" s="14" t="s">
        <v>7</v>
      </c>
      <c r="B204" s="32" t="s">
        <v>8</v>
      </c>
      <c r="C204" s="33" t="s">
        <v>9</v>
      </c>
      <c r="D204" s="33" t="s">
        <v>9</v>
      </c>
      <c r="E204" s="33" t="s">
        <v>9</v>
      </c>
      <c r="F204" s="33" t="s">
        <v>9</v>
      </c>
      <c r="G204" s="33" t="s">
        <v>9</v>
      </c>
      <c r="H204" s="33" t="s">
        <v>9</v>
      </c>
      <c r="I204" s="33" t="s">
        <v>9</v>
      </c>
      <c r="J204" s="33" t="s">
        <v>9</v>
      </c>
      <c r="K204" s="33" t="s">
        <v>9</v>
      </c>
      <c r="L204" s="33" t="s">
        <v>9</v>
      </c>
      <c r="M204" s="33" t="s">
        <v>9</v>
      </c>
      <c r="N204" s="33" t="s">
        <v>9</v>
      </c>
      <c r="O204" s="33" t="s">
        <v>9</v>
      </c>
      <c r="P204" s="33" t="s">
        <v>9</v>
      </c>
      <c r="Q204" s="197"/>
      <c r="R204" s="197"/>
      <c r="S204" s="197"/>
    </row>
    <row r="205" spans="1:19" ht="18.75">
      <c r="A205" s="29">
        <v>1</v>
      </c>
      <c r="B205" s="15" t="str">
        <f>'Candidate List'!B2</f>
        <v>Manveer Singh</v>
      </c>
      <c r="C205" s="13">
        <v>284</v>
      </c>
      <c r="D205" s="13">
        <v>101</v>
      </c>
      <c r="E205" s="13">
        <v>1</v>
      </c>
      <c r="F205" s="13">
        <v>2</v>
      </c>
      <c r="G205" s="13">
        <v>2</v>
      </c>
      <c r="H205" s="13">
        <v>8</v>
      </c>
      <c r="I205" s="13">
        <v>8</v>
      </c>
      <c r="J205" s="13">
        <v>1</v>
      </c>
      <c r="K205" s="13">
        <v>4</v>
      </c>
      <c r="L205" s="13">
        <v>6</v>
      </c>
      <c r="M205" s="13">
        <v>126</v>
      </c>
      <c r="N205" s="13">
        <v>2</v>
      </c>
      <c r="O205" s="13">
        <v>0</v>
      </c>
      <c r="P205" s="13">
        <v>3</v>
      </c>
      <c r="Q205" s="30">
        <f>SUM(C205:P205)</f>
        <v>548</v>
      </c>
      <c r="R205" s="30">
        <f>S172</f>
        <v>4203</v>
      </c>
      <c r="S205" s="30">
        <f>Q205+R205</f>
        <v>4751</v>
      </c>
    </row>
    <row r="206" spans="1:19" ht="18.75">
      <c r="A206" s="29">
        <v>2</v>
      </c>
      <c r="B206" s="15" t="str">
        <f>'Candidate List'!B3</f>
        <v>Rahul Yadav</v>
      </c>
      <c r="C206" s="13">
        <v>230</v>
      </c>
      <c r="D206" s="13">
        <v>399</v>
      </c>
      <c r="E206" s="13">
        <v>486</v>
      </c>
      <c r="F206" s="13">
        <v>409</v>
      </c>
      <c r="G206" s="13">
        <v>466</v>
      </c>
      <c r="H206" s="13">
        <v>410</v>
      </c>
      <c r="I206" s="13">
        <v>318</v>
      </c>
      <c r="J206" s="13">
        <v>422</v>
      </c>
      <c r="K206" s="13">
        <v>479</v>
      </c>
      <c r="L206" s="13">
        <v>229</v>
      </c>
      <c r="M206" s="13">
        <v>374</v>
      </c>
      <c r="N206" s="13">
        <v>428</v>
      </c>
      <c r="O206" s="13">
        <v>243</v>
      </c>
      <c r="P206" s="13">
        <v>119</v>
      </c>
      <c r="Q206" s="30">
        <f t="shared" ref="Q206:Q218" si="24">SUM(C206:P206)</f>
        <v>5012</v>
      </c>
      <c r="R206" s="30">
        <f t="shared" ref="R206:R218" si="25">S173</f>
        <v>20797</v>
      </c>
      <c r="S206" s="30">
        <f t="shared" ref="S206:S218" si="26">Q206+R206</f>
        <v>25809</v>
      </c>
    </row>
    <row r="207" spans="1:19" ht="18.75">
      <c r="A207" s="29">
        <v>3</v>
      </c>
      <c r="B207" s="15" t="str">
        <f>'Candidate List'!B4</f>
        <v>Lakshmi Raj</v>
      </c>
      <c r="C207" s="13">
        <v>66</v>
      </c>
      <c r="D207" s="13">
        <v>95</v>
      </c>
      <c r="E207" s="13">
        <v>62</v>
      </c>
      <c r="F207" s="13">
        <v>70</v>
      </c>
      <c r="G207" s="13">
        <v>22</v>
      </c>
      <c r="H207" s="13">
        <v>129</v>
      </c>
      <c r="I207" s="13">
        <v>262</v>
      </c>
      <c r="J207" s="13">
        <v>8</v>
      </c>
      <c r="K207" s="13">
        <v>167</v>
      </c>
      <c r="L207" s="13">
        <v>273</v>
      </c>
      <c r="M207" s="13">
        <v>154</v>
      </c>
      <c r="N207" s="13">
        <v>15</v>
      </c>
      <c r="O207" s="13">
        <v>81</v>
      </c>
      <c r="P207" s="13">
        <v>340</v>
      </c>
      <c r="Q207" s="30">
        <f t="shared" si="24"/>
        <v>1744</v>
      </c>
      <c r="R207" s="30">
        <f t="shared" si="25"/>
        <v>17883</v>
      </c>
      <c r="S207" s="30">
        <f t="shared" si="26"/>
        <v>19627</v>
      </c>
    </row>
    <row r="208" spans="1:19" ht="18.75">
      <c r="A208" s="29">
        <v>4</v>
      </c>
      <c r="B208" s="15" t="str">
        <f>'Candidate List'!B5</f>
        <v>Saleem Akhtar Khan</v>
      </c>
      <c r="C208" s="13">
        <v>6</v>
      </c>
      <c r="D208" s="13">
        <v>4</v>
      </c>
      <c r="E208" s="13">
        <v>2</v>
      </c>
      <c r="F208" s="13">
        <v>9</v>
      </c>
      <c r="G208" s="13">
        <v>6</v>
      </c>
      <c r="H208" s="13">
        <v>7</v>
      </c>
      <c r="I208" s="13">
        <v>5</v>
      </c>
      <c r="J208" s="13">
        <v>5</v>
      </c>
      <c r="K208" s="13">
        <v>9</v>
      </c>
      <c r="L208" s="13">
        <v>2</v>
      </c>
      <c r="M208" s="13">
        <v>15</v>
      </c>
      <c r="N208" s="13">
        <v>4</v>
      </c>
      <c r="O208" s="13">
        <v>2</v>
      </c>
      <c r="P208" s="13">
        <v>10</v>
      </c>
      <c r="Q208" s="30">
        <f t="shared" si="24"/>
        <v>86</v>
      </c>
      <c r="R208" s="30">
        <f t="shared" si="25"/>
        <v>530</v>
      </c>
      <c r="S208" s="30">
        <f t="shared" si="26"/>
        <v>616</v>
      </c>
    </row>
    <row r="209" spans="1:19" ht="18.75">
      <c r="A209" s="29">
        <v>5</v>
      </c>
      <c r="B209" s="15" t="str">
        <f>'Candidate List'!B6</f>
        <v>Ajay Kumar</v>
      </c>
      <c r="C209" s="13">
        <v>0</v>
      </c>
      <c r="D209" s="13">
        <v>0</v>
      </c>
      <c r="E209" s="13">
        <v>0</v>
      </c>
      <c r="F209" s="13">
        <v>1</v>
      </c>
      <c r="G209" s="13">
        <v>0</v>
      </c>
      <c r="H209" s="13">
        <v>1</v>
      </c>
      <c r="I209" s="13">
        <v>0</v>
      </c>
      <c r="J209" s="13">
        <v>0</v>
      </c>
      <c r="K209" s="13">
        <v>0</v>
      </c>
      <c r="L209" s="13">
        <v>0</v>
      </c>
      <c r="M209" s="13">
        <v>1</v>
      </c>
      <c r="N209" s="13">
        <v>0</v>
      </c>
      <c r="O209" s="13">
        <v>0</v>
      </c>
      <c r="P209" s="13">
        <v>1</v>
      </c>
      <c r="Q209" s="30">
        <f t="shared" si="24"/>
        <v>4</v>
      </c>
      <c r="R209" s="30">
        <f t="shared" si="25"/>
        <v>61</v>
      </c>
      <c r="S209" s="30">
        <f t="shared" si="26"/>
        <v>65</v>
      </c>
    </row>
    <row r="210" spans="1:19" ht="18.75">
      <c r="A210" s="29">
        <v>6</v>
      </c>
      <c r="B210" s="15" t="str">
        <f>'Candidate List'!B7</f>
        <v>Ajay Kumar Sharma</v>
      </c>
      <c r="C210" s="13">
        <v>1</v>
      </c>
      <c r="D210" s="13">
        <v>0</v>
      </c>
      <c r="E210" s="13">
        <v>0</v>
      </c>
      <c r="F210" s="13">
        <v>1</v>
      </c>
      <c r="G210" s="13">
        <v>0</v>
      </c>
      <c r="H210" s="13">
        <v>1</v>
      </c>
      <c r="I210" s="13">
        <v>0</v>
      </c>
      <c r="J210" s="13">
        <v>1</v>
      </c>
      <c r="K210" s="13">
        <v>0</v>
      </c>
      <c r="L210" s="13">
        <v>1</v>
      </c>
      <c r="M210" s="13">
        <v>1</v>
      </c>
      <c r="N210" s="13">
        <v>0</v>
      </c>
      <c r="O210" s="13">
        <v>0</v>
      </c>
      <c r="P210" s="13">
        <v>0</v>
      </c>
      <c r="Q210" s="30">
        <f t="shared" si="24"/>
        <v>6</v>
      </c>
      <c r="R210" s="30">
        <f t="shared" si="25"/>
        <v>13</v>
      </c>
      <c r="S210" s="30">
        <f t="shared" si="26"/>
        <v>19</v>
      </c>
    </row>
    <row r="211" spans="1:19" ht="18.75">
      <c r="A211" s="29">
        <v>7</v>
      </c>
      <c r="B211" s="15" t="str">
        <f>'Candidate List'!B8</f>
        <v>Amit Singh Tomar</v>
      </c>
      <c r="C211" s="13">
        <v>0</v>
      </c>
      <c r="D211" s="13">
        <v>0</v>
      </c>
      <c r="E211" s="13">
        <v>0</v>
      </c>
      <c r="F211" s="13">
        <v>2</v>
      </c>
      <c r="G211" s="13">
        <v>1</v>
      </c>
      <c r="H211" s="13">
        <v>0</v>
      </c>
      <c r="I211" s="13">
        <v>1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1</v>
      </c>
      <c r="P211" s="13">
        <v>1</v>
      </c>
      <c r="Q211" s="30">
        <f t="shared" si="24"/>
        <v>6</v>
      </c>
      <c r="R211" s="30">
        <f t="shared" si="25"/>
        <v>32</v>
      </c>
      <c r="S211" s="30">
        <f t="shared" si="26"/>
        <v>38</v>
      </c>
    </row>
    <row r="212" spans="1:19" ht="18.75">
      <c r="A212" s="29">
        <v>8</v>
      </c>
      <c r="B212" s="15" t="str">
        <f>'Candidate List'!B9</f>
        <v>Darshan Sharma</v>
      </c>
      <c r="C212" s="13">
        <v>0</v>
      </c>
      <c r="D212" s="13">
        <v>0</v>
      </c>
      <c r="E212" s="13">
        <v>1</v>
      </c>
      <c r="F212" s="13">
        <v>1</v>
      </c>
      <c r="G212" s="13">
        <v>0</v>
      </c>
      <c r="H212" s="13">
        <v>1</v>
      </c>
      <c r="I212" s="13">
        <v>1</v>
      </c>
      <c r="J212" s="13">
        <v>0</v>
      </c>
      <c r="K212" s="13">
        <v>1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30">
        <f t="shared" si="24"/>
        <v>5</v>
      </c>
      <c r="R212" s="30">
        <f t="shared" si="25"/>
        <v>61</v>
      </c>
      <c r="S212" s="30">
        <f t="shared" si="26"/>
        <v>66</v>
      </c>
    </row>
    <row r="213" spans="1:19" ht="18.75">
      <c r="A213" s="29">
        <v>9</v>
      </c>
      <c r="B213" s="15" t="str">
        <f>'Candidate List'!B10</f>
        <v>Dilshad Ahmad</v>
      </c>
      <c r="C213" s="13">
        <v>6</v>
      </c>
      <c r="D213" s="13">
        <v>1</v>
      </c>
      <c r="E213" s="13">
        <v>5</v>
      </c>
      <c r="F213" s="13">
        <v>10</v>
      </c>
      <c r="G213" s="13">
        <v>2</v>
      </c>
      <c r="H213" s="13">
        <v>12</v>
      </c>
      <c r="I213" s="13">
        <v>9</v>
      </c>
      <c r="J213" s="13">
        <v>20</v>
      </c>
      <c r="K213" s="13">
        <v>7</v>
      </c>
      <c r="L213" s="13">
        <v>25</v>
      </c>
      <c r="M213" s="13">
        <v>24</v>
      </c>
      <c r="N213" s="13">
        <v>13</v>
      </c>
      <c r="O213" s="13">
        <v>4</v>
      </c>
      <c r="P213" s="13">
        <v>2</v>
      </c>
      <c r="Q213" s="30">
        <f t="shared" si="24"/>
        <v>140</v>
      </c>
      <c r="R213" s="30">
        <f t="shared" si="25"/>
        <v>443</v>
      </c>
      <c r="S213" s="30">
        <f t="shared" si="26"/>
        <v>583</v>
      </c>
    </row>
    <row r="214" spans="1:19" ht="18.75">
      <c r="A214" s="29">
        <v>10</v>
      </c>
      <c r="B214" s="15" t="str">
        <f>'Candidate List'!B11</f>
        <v>Raju Thakur</v>
      </c>
      <c r="C214" s="13">
        <v>3</v>
      </c>
      <c r="D214" s="13">
        <v>1</v>
      </c>
      <c r="E214" s="13">
        <v>1</v>
      </c>
      <c r="F214" s="13">
        <v>2</v>
      </c>
      <c r="G214" s="13">
        <v>5</v>
      </c>
      <c r="H214" s="13">
        <v>4</v>
      </c>
      <c r="I214" s="13">
        <v>6</v>
      </c>
      <c r="J214" s="13">
        <v>6</v>
      </c>
      <c r="K214" s="13">
        <v>3</v>
      </c>
      <c r="L214" s="13">
        <v>2</v>
      </c>
      <c r="M214" s="13">
        <v>0</v>
      </c>
      <c r="N214" s="13">
        <v>0</v>
      </c>
      <c r="O214" s="13">
        <v>3</v>
      </c>
      <c r="P214" s="13">
        <v>5</v>
      </c>
      <c r="Q214" s="30">
        <f t="shared" si="24"/>
        <v>41</v>
      </c>
      <c r="R214" s="30">
        <f t="shared" si="25"/>
        <v>186</v>
      </c>
      <c r="S214" s="30">
        <f t="shared" si="26"/>
        <v>227</v>
      </c>
    </row>
    <row r="215" spans="1:19" ht="18.75">
      <c r="A215" s="29">
        <v>11</v>
      </c>
      <c r="B215" s="15" t="str">
        <f>'Candidate List'!B12</f>
        <v>Bablu</v>
      </c>
      <c r="C215" s="13">
        <v>0</v>
      </c>
      <c r="D215" s="13">
        <v>2</v>
      </c>
      <c r="E215" s="13">
        <v>4</v>
      </c>
      <c r="F215" s="13">
        <v>2</v>
      </c>
      <c r="G215" s="13">
        <v>0</v>
      </c>
      <c r="H215" s="13">
        <v>2</v>
      </c>
      <c r="I215" s="13">
        <v>0</v>
      </c>
      <c r="J215" s="13">
        <v>1</v>
      </c>
      <c r="K215" s="13">
        <v>1</v>
      </c>
      <c r="L215" s="13">
        <v>1</v>
      </c>
      <c r="M215" s="13">
        <v>1</v>
      </c>
      <c r="N215" s="13">
        <v>1</v>
      </c>
      <c r="O215" s="13">
        <v>0</v>
      </c>
      <c r="P215" s="13">
        <v>1</v>
      </c>
      <c r="Q215" s="30">
        <f t="shared" si="24"/>
        <v>16</v>
      </c>
      <c r="R215" s="30">
        <f t="shared" si="25"/>
        <v>84</v>
      </c>
      <c r="S215" s="30">
        <f t="shared" si="26"/>
        <v>100</v>
      </c>
    </row>
    <row r="216" spans="1:19" ht="18.75">
      <c r="A216" s="29">
        <v>12</v>
      </c>
      <c r="B216" s="15" t="str">
        <f>'Candidate List'!B13</f>
        <v>NOTA</v>
      </c>
      <c r="C216" s="13">
        <v>4</v>
      </c>
      <c r="D216" s="13">
        <v>1</v>
      </c>
      <c r="E216" s="13">
        <v>1</v>
      </c>
      <c r="F216" s="13">
        <v>3</v>
      </c>
      <c r="G216" s="13">
        <v>2</v>
      </c>
      <c r="H216" s="13">
        <v>1</v>
      </c>
      <c r="I216" s="13">
        <v>6</v>
      </c>
      <c r="J216" s="13">
        <v>0</v>
      </c>
      <c r="K216" s="4">
        <v>2</v>
      </c>
      <c r="L216" s="13">
        <v>3</v>
      </c>
      <c r="M216" s="13">
        <v>0</v>
      </c>
      <c r="N216" s="13">
        <v>0</v>
      </c>
      <c r="O216" s="13">
        <v>1</v>
      </c>
      <c r="P216" s="13">
        <v>3</v>
      </c>
      <c r="Q216" s="30">
        <f t="shared" si="24"/>
        <v>27</v>
      </c>
      <c r="R216" s="30">
        <f t="shared" si="25"/>
        <v>178</v>
      </c>
      <c r="S216" s="30">
        <f t="shared" si="26"/>
        <v>205</v>
      </c>
    </row>
    <row r="217" spans="1:19">
      <c r="A217" s="187" t="s">
        <v>11</v>
      </c>
      <c r="B217" s="187"/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30">
        <f t="shared" si="24"/>
        <v>0</v>
      </c>
      <c r="R217" s="30">
        <f t="shared" si="25"/>
        <v>0</v>
      </c>
      <c r="S217" s="30">
        <f t="shared" si="26"/>
        <v>0</v>
      </c>
    </row>
    <row r="218" spans="1:19">
      <c r="A218" s="188" t="s">
        <v>12</v>
      </c>
      <c r="B218" s="188"/>
      <c r="C218" s="30">
        <f t="shared" ref="C218:P218" si="27">SUM(C205:C217)</f>
        <v>600</v>
      </c>
      <c r="D218" s="30">
        <f t="shared" si="27"/>
        <v>604</v>
      </c>
      <c r="E218" s="30">
        <f t="shared" si="27"/>
        <v>563</v>
      </c>
      <c r="F218" s="30">
        <f t="shared" si="27"/>
        <v>512</v>
      </c>
      <c r="G218" s="30">
        <f t="shared" si="27"/>
        <v>506</v>
      </c>
      <c r="H218" s="30">
        <f t="shared" si="27"/>
        <v>576</v>
      </c>
      <c r="I218" s="30">
        <f t="shared" si="27"/>
        <v>616</v>
      </c>
      <c r="J218" s="30">
        <f t="shared" si="27"/>
        <v>464</v>
      </c>
      <c r="K218" s="30">
        <f t="shared" si="27"/>
        <v>673</v>
      </c>
      <c r="L218" s="30">
        <f t="shared" si="27"/>
        <v>542</v>
      </c>
      <c r="M218" s="30">
        <f t="shared" si="27"/>
        <v>696</v>
      </c>
      <c r="N218" s="30">
        <f t="shared" si="27"/>
        <v>463</v>
      </c>
      <c r="O218" s="30">
        <f t="shared" si="27"/>
        <v>335</v>
      </c>
      <c r="P218" s="30">
        <f t="shared" si="27"/>
        <v>485</v>
      </c>
      <c r="Q218" s="30">
        <f t="shared" si="24"/>
        <v>7635</v>
      </c>
      <c r="R218" s="30">
        <f t="shared" si="25"/>
        <v>44471</v>
      </c>
      <c r="S218" s="30">
        <f t="shared" si="26"/>
        <v>52106</v>
      </c>
    </row>
    <row r="219" spans="1:19" ht="40.5" customHeight="1">
      <c r="A219" s="5"/>
      <c r="B219" s="5"/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7"/>
      <c r="S219" s="7"/>
    </row>
    <row r="220" spans="1:19" ht="22.5">
      <c r="A220" s="31"/>
      <c r="B220" s="31"/>
      <c r="C220" s="10" t="s">
        <v>13</v>
      </c>
      <c r="D220" s="10" t="s">
        <v>13</v>
      </c>
      <c r="E220" s="10" t="s">
        <v>13</v>
      </c>
      <c r="F220" s="10" t="s">
        <v>13</v>
      </c>
      <c r="G220" s="10" t="s">
        <v>13</v>
      </c>
      <c r="H220" s="10" t="s">
        <v>13</v>
      </c>
      <c r="I220" s="10" t="s">
        <v>13</v>
      </c>
      <c r="J220" s="10" t="s">
        <v>13</v>
      </c>
      <c r="K220" s="10" t="s">
        <v>13</v>
      </c>
      <c r="L220" s="10" t="s">
        <v>13</v>
      </c>
      <c r="M220" s="10" t="s">
        <v>13</v>
      </c>
      <c r="N220" s="10" t="s">
        <v>13</v>
      </c>
      <c r="O220" s="10" t="s">
        <v>13</v>
      </c>
      <c r="P220" s="10" t="s">
        <v>13</v>
      </c>
      <c r="Q220" s="10" t="s">
        <v>13</v>
      </c>
      <c r="R220" s="10" t="s">
        <v>13</v>
      </c>
      <c r="S220" s="10" t="s">
        <v>13</v>
      </c>
    </row>
    <row r="221" spans="1:19" ht="38.25" customHeight="1">
      <c r="A221" s="31"/>
      <c r="B221" s="3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22.5">
      <c r="A222" s="31"/>
      <c r="B222" s="31"/>
      <c r="C222" s="10" t="s">
        <v>14</v>
      </c>
      <c r="D222" s="10" t="s">
        <v>14</v>
      </c>
      <c r="E222" s="10" t="s">
        <v>14</v>
      </c>
      <c r="F222" s="10" t="s">
        <v>14</v>
      </c>
      <c r="G222" s="10" t="s">
        <v>14</v>
      </c>
      <c r="H222" s="10" t="s">
        <v>14</v>
      </c>
      <c r="I222" s="10" t="s">
        <v>14</v>
      </c>
      <c r="J222" s="10" t="s">
        <v>14</v>
      </c>
      <c r="K222" s="10" t="s">
        <v>14</v>
      </c>
      <c r="L222" s="10" t="s">
        <v>14</v>
      </c>
      <c r="M222" s="10" t="s">
        <v>14</v>
      </c>
      <c r="N222" s="10" t="s">
        <v>14</v>
      </c>
      <c r="O222" s="10" t="s">
        <v>14</v>
      </c>
      <c r="P222" s="10" t="s">
        <v>14</v>
      </c>
      <c r="Q222" s="10" t="s">
        <v>14</v>
      </c>
      <c r="R222" s="10" t="s">
        <v>14</v>
      </c>
      <c r="S222" s="10" t="s">
        <v>14</v>
      </c>
    </row>
    <row r="223" spans="1:19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</row>
    <row r="224" spans="1:19">
      <c r="A224" s="189" t="s">
        <v>15</v>
      </c>
      <c r="B224" s="189"/>
      <c r="C224" s="164" t="s">
        <v>16</v>
      </c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31"/>
      <c r="S224" s="31"/>
    </row>
    <row r="225" spans="1:19">
      <c r="A225" s="31"/>
      <c r="B225" s="31"/>
      <c r="C225" s="164" t="s">
        <v>17</v>
      </c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31"/>
      <c r="S225" s="31"/>
    </row>
    <row r="226" spans="1:19">
      <c r="A226" s="31"/>
      <c r="B226" s="31"/>
      <c r="C226" s="164" t="s">
        <v>44</v>
      </c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31"/>
      <c r="S226" s="31"/>
    </row>
    <row r="227" spans="1:19">
      <c r="A227" s="31"/>
      <c r="B227" s="31"/>
      <c r="C227" s="164" t="s">
        <v>45</v>
      </c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31"/>
      <c r="S227" s="31"/>
    </row>
    <row r="231" spans="1:19" ht="26.25">
      <c r="A231" s="190" t="s">
        <v>0</v>
      </c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</row>
    <row r="232" spans="1:19" ht="19.5">
      <c r="A232" s="191" t="s">
        <v>1225</v>
      </c>
      <c r="B232" s="191"/>
      <c r="C232" s="191"/>
      <c r="D232" s="191"/>
      <c r="E232" s="191"/>
      <c r="F232" s="191"/>
      <c r="G232" s="191"/>
      <c r="H232" s="191"/>
      <c r="I232" s="1"/>
      <c r="J232" s="1"/>
      <c r="K232" s="192" t="s">
        <v>27</v>
      </c>
      <c r="L232" s="192"/>
      <c r="M232" s="192"/>
      <c r="N232" s="192"/>
      <c r="O232" s="1"/>
      <c r="P232" s="193" t="s">
        <v>1</v>
      </c>
      <c r="Q232" s="193"/>
      <c r="R232" s="194">
        <v>44630</v>
      </c>
      <c r="S232" s="194"/>
    </row>
    <row r="233" spans="1:19">
      <c r="A233" s="188" t="s">
        <v>2</v>
      </c>
      <c r="B233" s="188"/>
      <c r="C233" s="30">
        <v>1</v>
      </c>
      <c r="D233" s="30">
        <v>2</v>
      </c>
      <c r="E233" s="30">
        <v>3</v>
      </c>
      <c r="F233" s="30">
        <v>4</v>
      </c>
      <c r="G233" s="30">
        <v>5</v>
      </c>
      <c r="H233" s="30">
        <v>6</v>
      </c>
      <c r="I233" s="30">
        <v>7</v>
      </c>
      <c r="J233" s="30">
        <v>8</v>
      </c>
      <c r="K233" s="30">
        <v>9</v>
      </c>
      <c r="L233" s="30">
        <v>10</v>
      </c>
      <c r="M233" s="30">
        <v>11</v>
      </c>
      <c r="N233" s="30">
        <v>12</v>
      </c>
      <c r="O233" s="30">
        <v>13</v>
      </c>
      <c r="P233" s="30">
        <v>14</v>
      </c>
      <c r="Q233" s="195" t="s">
        <v>3</v>
      </c>
      <c r="R233" s="195" t="s">
        <v>4</v>
      </c>
      <c r="S233" s="195" t="s">
        <v>5</v>
      </c>
    </row>
    <row r="234" spans="1:19">
      <c r="A234" s="165" t="s">
        <v>6</v>
      </c>
      <c r="B234" s="167"/>
      <c r="C234" s="49">
        <f>'Booth detail'!CV1</f>
        <v>99</v>
      </c>
      <c r="D234" s="49">
        <f>'Booth detail'!CW1</f>
        <v>100</v>
      </c>
      <c r="E234" s="49">
        <f>'Booth detail'!CX1</f>
        <v>101</v>
      </c>
      <c r="F234" s="49">
        <f>'Booth detail'!CY1</f>
        <v>102</v>
      </c>
      <c r="G234" s="49">
        <f>'Booth detail'!CZ1</f>
        <v>103</v>
      </c>
      <c r="H234" s="49">
        <f>'Booth detail'!DA1</f>
        <v>104</v>
      </c>
      <c r="I234" s="49">
        <f>'Booth detail'!DB1</f>
        <v>105</v>
      </c>
      <c r="J234" s="49">
        <f>'Booth detail'!DC1</f>
        <v>106</v>
      </c>
      <c r="K234" s="49">
        <f>'Booth detail'!DD1</f>
        <v>107</v>
      </c>
      <c r="L234" s="49">
        <f>'Booth detail'!DE1</f>
        <v>108</v>
      </c>
      <c r="M234" s="49">
        <f>'Booth detail'!DF1</f>
        <v>109</v>
      </c>
      <c r="N234" s="49">
        <f>'Booth detail'!DG1</f>
        <v>110</v>
      </c>
      <c r="O234" s="49">
        <f>'Booth detail'!DH1</f>
        <v>111</v>
      </c>
      <c r="P234" s="49">
        <f>'Booth detail'!DI1</f>
        <v>112</v>
      </c>
      <c r="Q234" s="196"/>
      <c r="R234" s="196"/>
      <c r="S234" s="196"/>
    </row>
    <row r="235" spans="1:19" ht="38.25">
      <c r="A235" s="165" t="s">
        <v>18</v>
      </c>
      <c r="B235" s="167"/>
      <c r="C235" s="50" t="str">
        <f>'Booth detail'!CV2</f>
        <v xml:space="preserve">
ECUEC50800</v>
      </c>
      <c r="D235" s="50" t="str">
        <f>'Booth detail'!CW2</f>
        <v xml:space="preserve">
ECUEC64174</v>
      </c>
      <c r="E235" s="50" t="str">
        <f>'Booth detail'!CX2</f>
        <v>ECUEC64625</v>
      </c>
      <c r="F235" s="50" t="str">
        <f>'Booth detail'!CY2</f>
        <v>ECUEC54532</v>
      </c>
      <c r="G235" s="50" t="str">
        <f>'Booth detail'!CZ2</f>
        <v>ECUEC51602</v>
      </c>
      <c r="H235" s="50" t="str">
        <f>'Booth detail'!DA2</f>
        <v>ECUEC64742</v>
      </c>
      <c r="I235" s="50" t="str">
        <f>'Booth detail'!DB2</f>
        <v>ECUEC64386</v>
      </c>
      <c r="J235" s="50" t="str">
        <f>'Booth detail'!DC2</f>
        <v>ECUEC50223</v>
      </c>
      <c r="K235" s="50" t="str">
        <f>'Booth detail'!DD2</f>
        <v>ECUEC64230</v>
      </c>
      <c r="L235" s="50" t="str">
        <f>'Booth detail'!DE2</f>
        <v>ECUEC57883</v>
      </c>
      <c r="M235" s="50" t="str">
        <f>'Booth detail'!DF2</f>
        <v>ECUED12254</v>
      </c>
      <c r="N235" s="50" t="str">
        <f>'Booth detail'!DG2</f>
        <v>ECUEC51702</v>
      </c>
      <c r="O235" s="50" t="str">
        <f>'Booth detail'!DH2</f>
        <v>ECUEC50429</v>
      </c>
      <c r="P235" s="50" t="str">
        <f>'Booth detail'!DI2</f>
        <v>ECUEC64957</v>
      </c>
      <c r="Q235" s="196"/>
      <c r="R235" s="196"/>
      <c r="S235" s="196"/>
    </row>
    <row r="236" spans="1:19" ht="45.75" customHeight="1">
      <c r="A236" s="200" t="s">
        <v>20</v>
      </c>
      <c r="B236" s="200"/>
      <c r="C236" s="58" t="str">
        <f>'Booth detail'!CV3</f>
        <v>-</v>
      </c>
      <c r="D236" s="58" t="str">
        <f>'Booth detail'!CW3</f>
        <v>-</v>
      </c>
      <c r="E236" s="58" t="str">
        <f>'Booth detail'!CX3</f>
        <v>-</v>
      </c>
      <c r="F236" s="58" t="str">
        <f>'Booth detail'!CY3</f>
        <v>-</v>
      </c>
      <c r="G236" s="58" t="str">
        <f>'Booth detail'!CZ3</f>
        <v>-</v>
      </c>
      <c r="H236" s="58" t="str">
        <f>'Booth detail'!DA3</f>
        <v>-</v>
      </c>
      <c r="I236" s="58" t="str">
        <f>'Booth detail'!DB3</f>
        <v>-</v>
      </c>
      <c r="J236" s="58" t="str">
        <f>'Booth detail'!DC3</f>
        <v>-</v>
      </c>
      <c r="K236" s="58" t="str">
        <f>'Booth detail'!DD3</f>
        <v>-</v>
      </c>
      <c r="L236" s="58" t="str">
        <f>'Booth detail'!DE3</f>
        <v>-</v>
      </c>
      <c r="M236" s="58" t="str">
        <f>'Booth detail'!DF3</f>
        <v>-</v>
      </c>
      <c r="N236" s="58" t="str">
        <f>'Booth detail'!DG3</f>
        <v>-</v>
      </c>
      <c r="O236" s="58" t="str">
        <f>'Booth detail'!DH3</f>
        <v>-</v>
      </c>
      <c r="P236" s="58" t="str">
        <f>'Booth detail'!DI3</f>
        <v>-</v>
      </c>
      <c r="Q236" s="196"/>
      <c r="R236" s="196"/>
      <c r="S236" s="196"/>
    </row>
    <row r="237" spans="1:19">
      <c r="A237" s="14" t="s">
        <v>7</v>
      </c>
      <c r="B237" s="32" t="s">
        <v>8</v>
      </c>
      <c r="C237" s="33" t="s">
        <v>9</v>
      </c>
      <c r="D237" s="33" t="s">
        <v>9</v>
      </c>
      <c r="E237" s="33" t="s">
        <v>9</v>
      </c>
      <c r="F237" s="33" t="s">
        <v>9</v>
      </c>
      <c r="G237" s="33" t="s">
        <v>9</v>
      </c>
      <c r="H237" s="33" t="s">
        <v>9</v>
      </c>
      <c r="I237" s="33" t="s">
        <v>9</v>
      </c>
      <c r="J237" s="33" t="s">
        <v>9</v>
      </c>
      <c r="K237" s="33" t="s">
        <v>9</v>
      </c>
      <c r="L237" s="33" t="s">
        <v>9</v>
      </c>
      <c r="M237" s="33" t="s">
        <v>9</v>
      </c>
      <c r="N237" s="33" t="s">
        <v>9</v>
      </c>
      <c r="O237" s="33" t="s">
        <v>9</v>
      </c>
      <c r="P237" s="33" t="s">
        <v>9</v>
      </c>
      <c r="Q237" s="197"/>
      <c r="R237" s="197"/>
      <c r="S237" s="197"/>
    </row>
    <row r="238" spans="1:19" ht="18.75">
      <c r="A238" s="29">
        <v>1</v>
      </c>
      <c r="B238" s="15" t="str">
        <f>'Candidate List'!B2</f>
        <v>Manveer Singh</v>
      </c>
      <c r="C238" s="13">
        <v>5</v>
      </c>
      <c r="D238" s="13">
        <v>1</v>
      </c>
      <c r="E238" s="13">
        <v>2</v>
      </c>
      <c r="F238" s="13">
        <v>3</v>
      </c>
      <c r="G238" s="13">
        <v>0</v>
      </c>
      <c r="H238" s="13">
        <v>8</v>
      </c>
      <c r="I238" s="13">
        <v>7</v>
      </c>
      <c r="J238" s="13">
        <v>2</v>
      </c>
      <c r="K238" s="13">
        <v>3</v>
      </c>
      <c r="L238" s="13">
        <v>3</v>
      </c>
      <c r="M238" s="13">
        <v>0</v>
      </c>
      <c r="N238" s="13">
        <v>84</v>
      </c>
      <c r="O238" s="13">
        <v>166</v>
      </c>
      <c r="P238" s="13">
        <v>35</v>
      </c>
      <c r="Q238" s="30">
        <f>SUM(C238:P238)</f>
        <v>319</v>
      </c>
      <c r="R238" s="30">
        <f>S205</f>
        <v>4751</v>
      </c>
      <c r="S238" s="30">
        <f>Q238+R238</f>
        <v>5070</v>
      </c>
    </row>
    <row r="239" spans="1:19" ht="18.75">
      <c r="A239" s="29">
        <v>2</v>
      </c>
      <c r="B239" s="15" t="str">
        <f>'Candidate List'!B3</f>
        <v>Rahul Yadav</v>
      </c>
      <c r="C239" s="13">
        <v>557</v>
      </c>
      <c r="D239" s="13">
        <v>602</v>
      </c>
      <c r="E239" s="13">
        <v>600</v>
      </c>
      <c r="F239" s="13">
        <v>556</v>
      </c>
      <c r="G239" s="13">
        <v>494</v>
      </c>
      <c r="H239" s="13">
        <v>551</v>
      </c>
      <c r="I239" s="13">
        <v>660</v>
      </c>
      <c r="J239" s="13">
        <v>40</v>
      </c>
      <c r="K239" s="13">
        <v>486</v>
      </c>
      <c r="L239" s="13">
        <v>474</v>
      </c>
      <c r="M239" s="13">
        <v>39</v>
      </c>
      <c r="N239" s="13">
        <v>119</v>
      </c>
      <c r="O239" s="13">
        <v>137</v>
      </c>
      <c r="P239" s="13">
        <v>154</v>
      </c>
      <c r="Q239" s="30">
        <f t="shared" ref="Q239:Q251" si="28">SUM(C239:P239)</f>
        <v>5469</v>
      </c>
      <c r="R239" s="30">
        <f t="shared" ref="R239:R251" si="29">S206</f>
        <v>25809</v>
      </c>
      <c r="S239" s="30">
        <f t="shared" ref="S239:S251" si="30">Q239+R239</f>
        <v>31278</v>
      </c>
    </row>
    <row r="240" spans="1:19" ht="18.75">
      <c r="A240" s="29">
        <v>3</v>
      </c>
      <c r="B240" s="15" t="str">
        <f>'Candidate List'!B4</f>
        <v>Lakshmi Raj</v>
      </c>
      <c r="C240" s="13">
        <v>14</v>
      </c>
      <c r="D240" s="13">
        <v>7</v>
      </c>
      <c r="E240" s="13">
        <v>4</v>
      </c>
      <c r="F240" s="13">
        <v>9</v>
      </c>
      <c r="G240" s="13">
        <v>47</v>
      </c>
      <c r="H240" s="13">
        <v>83</v>
      </c>
      <c r="I240" s="13">
        <v>8</v>
      </c>
      <c r="J240" s="13">
        <v>111</v>
      </c>
      <c r="K240" s="13">
        <v>15</v>
      </c>
      <c r="L240" s="13">
        <v>15</v>
      </c>
      <c r="M240" s="13">
        <v>269</v>
      </c>
      <c r="N240" s="13">
        <v>305</v>
      </c>
      <c r="O240" s="13">
        <v>196</v>
      </c>
      <c r="P240" s="13">
        <v>263</v>
      </c>
      <c r="Q240" s="30">
        <f t="shared" si="28"/>
        <v>1346</v>
      </c>
      <c r="R240" s="30">
        <f t="shared" si="29"/>
        <v>19627</v>
      </c>
      <c r="S240" s="30">
        <f t="shared" si="30"/>
        <v>20973</v>
      </c>
    </row>
    <row r="241" spans="1:19" ht="18.75">
      <c r="A241" s="29">
        <v>4</v>
      </c>
      <c r="B241" s="15" t="str">
        <f>'Candidate List'!B5</f>
        <v>Saleem Akhtar Khan</v>
      </c>
      <c r="C241" s="13">
        <v>3</v>
      </c>
      <c r="D241" s="13">
        <v>4</v>
      </c>
      <c r="E241" s="13">
        <v>4</v>
      </c>
      <c r="F241" s="13">
        <v>7</v>
      </c>
      <c r="G241" s="13">
        <v>3</v>
      </c>
      <c r="H241" s="13">
        <v>6</v>
      </c>
      <c r="I241" s="13">
        <v>2</v>
      </c>
      <c r="J241" s="13">
        <v>0</v>
      </c>
      <c r="K241" s="13">
        <v>0</v>
      </c>
      <c r="L241" s="13">
        <v>2</v>
      </c>
      <c r="M241" s="13">
        <v>1</v>
      </c>
      <c r="N241" s="13">
        <v>3</v>
      </c>
      <c r="O241" s="13">
        <v>4</v>
      </c>
      <c r="P241" s="13">
        <v>5</v>
      </c>
      <c r="Q241" s="30">
        <f t="shared" si="28"/>
        <v>44</v>
      </c>
      <c r="R241" s="30">
        <f t="shared" si="29"/>
        <v>616</v>
      </c>
      <c r="S241" s="30">
        <f t="shared" si="30"/>
        <v>660</v>
      </c>
    </row>
    <row r="242" spans="1:19" ht="18.75">
      <c r="A242" s="29">
        <v>5</v>
      </c>
      <c r="B242" s="15" t="str">
        <f>'Candidate List'!B6</f>
        <v>Ajay Kumar</v>
      </c>
      <c r="C242" s="13">
        <v>1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1</v>
      </c>
      <c r="P242" s="13">
        <v>1</v>
      </c>
      <c r="Q242" s="30">
        <f t="shared" si="28"/>
        <v>3</v>
      </c>
      <c r="R242" s="30">
        <f t="shared" si="29"/>
        <v>65</v>
      </c>
      <c r="S242" s="30">
        <f t="shared" si="30"/>
        <v>68</v>
      </c>
    </row>
    <row r="243" spans="1:19" ht="18.75">
      <c r="A243" s="29">
        <v>6</v>
      </c>
      <c r="B243" s="15" t="str">
        <f>'Candidate List'!B7</f>
        <v>Ajay Kumar Sharma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1</v>
      </c>
      <c r="O243" s="13">
        <v>0</v>
      </c>
      <c r="P243" s="13">
        <v>0</v>
      </c>
      <c r="Q243" s="30">
        <f t="shared" si="28"/>
        <v>1</v>
      </c>
      <c r="R243" s="30">
        <f t="shared" si="29"/>
        <v>19</v>
      </c>
      <c r="S243" s="30">
        <f t="shared" si="30"/>
        <v>20</v>
      </c>
    </row>
    <row r="244" spans="1:19" ht="18.75">
      <c r="A244" s="29">
        <v>7</v>
      </c>
      <c r="B244" s="15" t="str">
        <f>'Candidate List'!B8</f>
        <v>Amit Singh Tomar</v>
      </c>
      <c r="C244" s="13">
        <v>0</v>
      </c>
      <c r="D244" s="13">
        <v>0</v>
      </c>
      <c r="E244" s="13">
        <v>1</v>
      </c>
      <c r="F244" s="13">
        <v>0</v>
      </c>
      <c r="G244" s="13">
        <v>1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1</v>
      </c>
      <c r="O244" s="13">
        <v>1</v>
      </c>
      <c r="P244" s="13">
        <v>0</v>
      </c>
      <c r="Q244" s="30">
        <f t="shared" si="28"/>
        <v>4</v>
      </c>
      <c r="R244" s="30">
        <f t="shared" si="29"/>
        <v>38</v>
      </c>
      <c r="S244" s="30">
        <f t="shared" si="30"/>
        <v>42</v>
      </c>
    </row>
    <row r="245" spans="1:19" ht="18.75">
      <c r="A245" s="29">
        <v>8</v>
      </c>
      <c r="B245" s="15" t="str">
        <f>'Candidate List'!B9</f>
        <v>Darshan Sharma</v>
      </c>
      <c r="C245" s="13">
        <v>1</v>
      </c>
      <c r="D245" s="13">
        <v>1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1</v>
      </c>
      <c r="L245" s="13">
        <v>0</v>
      </c>
      <c r="M245" s="13">
        <v>0</v>
      </c>
      <c r="N245" s="13">
        <v>1</v>
      </c>
      <c r="O245" s="13">
        <v>1</v>
      </c>
      <c r="P245" s="13">
        <v>0</v>
      </c>
      <c r="Q245" s="30">
        <f t="shared" si="28"/>
        <v>5</v>
      </c>
      <c r="R245" s="30">
        <f t="shared" si="29"/>
        <v>66</v>
      </c>
      <c r="S245" s="30">
        <f t="shared" si="30"/>
        <v>71</v>
      </c>
    </row>
    <row r="246" spans="1:19" ht="18.75">
      <c r="A246" s="29">
        <v>9</v>
      </c>
      <c r="B246" s="15" t="str">
        <f>'Candidate List'!B10</f>
        <v>Dilshad Ahmad</v>
      </c>
      <c r="C246" s="13">
        <v>54</v>
      </c>
      <c r="D246" s="13">
        <v>27</v>
      </c>
      <c r="E246" s="13">
        <v>13</v>
      </c>
      <c r="F246" s="13">
        <v>16</v>
      </c>
      <c r="G246" s="13">
        <v>16</v>
      </c>
      <c r="H246" s="13">
        <v>16</v>
      </c>
      <c r="I246" s="13">
        <v>2</v>
      </c>
      <c r="J246" s="13">
        <v>0</v>
      </c>
      <c r="K246" s="13">
        <v>2</v>
      </c>
      <c r="L246" s="13">
        <v>0</v>
      </c>
      <c r="M246" s="13">
        <v>0</v>
      </c>
      <c r="N246" s="13">
        <v>1</v>
      </c>
      <c r="O246" s="13">
        <v>1</v>
      </c>
      <c r="P246" s="13">
        <v>0</v>
      </c>
      <c r="Q246" s="30">
        <f t="shared" si="28"/>
        <v>148</v>
      </c>
      <c r="R246" s="30">
        <f t="shared" si="29"/>
        <v>583</v>
      </c>
      <c r="S246" s="30">
        <f t="shared" si="30"/>
        <v>731</v>
      </c>
    </row>
    <row r="247" spans="1:19" ht="18.75">
      <c r="A247" s="29">
        <v>10</v>
      </c>
      <c r="B247" s="15" t="str">
        <f>'Candidate List'!B11</f>
        <v>Raju Thakur</v>
      </c>
      <c r="C247" s="13">
        <v>1</v>
      </c>
      <c r="D247" s="13">
        <v>2</v>
      </c>
      <c r="E247" s="13">
        <v>0</v>
      </c>
      <c r="F247" s="13">
        <v>3</v>
      </c>
      <c r="G247" s="13">
        <v>1</v>
      </c>
      <c r="H247" s="13">
        <v>15</v>
      </c>
      <c r="I247" s="13">
        <v>2</v>
      </c>
      <c r="J247" s="13">
        <v>0</v>
      </c>
      <c r="K247" s="13">
        <v>0</v>
      </c>
      <c r="L247" s="13">
        <v>2</v>
      </c>
      <c r="M247" s="13">
        <v>1</v>
      </c>
      <c r="N247" s="13">
        <v>1</v>
      </c>
      <c r="O247" s="13">
        <v>4</v>
      </c>
      <c r="P247" s="13">
        <v>1</v>
      </c>
      <c r="Q247" s="30">
        <f t="shared" si="28"/>
        <v>33</v>
      </c>
      <c r="R247" s="30">
        <f t="shared" si="29"/>
        <v>227</v>
      </c>
      <c r="S247" s="30">
        <f t="shared" si="30"/>
        <v>260</v>
      </c>
    </row>
    <row r="248" spans="1:19" ht="18.75">
      <c r="A248" s="29">
        <v>11</v>
      </c>
      <c r="B248" s="15" t="str">
        <f>'Candidate List'!B12</f>
        <v>Bablu</v>
      </c>
      <c r="C248" s="13">
        <v>1</v>
      </c>
      <c r="D248" s="13">
        <v>2</v>
      </c>
      <c r="E248" s="13">
        <v>1</v>
      </c>
      <c r="F248" s="13">
        <v>0</v>
      </c>
      <c r="G248" s="13">
        <v>2</v>
      </c>
      <c r="H248" s="13">
        <v>7</v>
      </c>
      <c r="I248" s="13">
        <v>0</v>
      </c>
      <c r="J248" s="13">
        <v>1</v>
      </c>
      <c r="K248" s="13">
        <v>1</v>
      </c>
      <c r="L248" s="13">
        <v>2</v>
      </c>
      <c r="M248" s="13">
        <v>0</v>
      </c>
      <c r="N248" s="13">
        <v>1</v>
      </c>
      <c r="O248" s="13">
        <v>4</v>
      </c>
      <c r="P248" s="13">
        <v>0</v>
      </c>
      <c r="Q248" s="30">
        <f t="shared" si="28"/>
        <v>22</v>
      </c>
      <c r="R248" s="30">
        <f t="shared" si="29"/>
        <v>100</v>
      </c>
      <c r="S248" s="30">
        <f t="shared" si="30"/>
        <v>122</v>
      </c>
    </row>
    <row r="249" spans="1:19" ht="18.75">
      <c r="A249" s="29">
        <v>12</v>
      </c>
      <c r="B249" s="15" t="str">
        <f>'Candidate List'!B13</f>
        <v>NOTA</v>
      </c>
      <c r="C249" s="13">
        <v>0</v>
      </c>
      <c r="D249" s="13">
        <v>2</v>
      </c>
      <c r="E249" s="13">
        <v>0</v>
      </c>
      <c r="F249" s="13">
        <v>0</v>
      </c>
      <c r="G249" s="13">
        <v>2</v>
      </c>
      <c r="H249" s="13">
        <v>6</v>
      </c>
      <c r="I249" s="13">
        <v>0</v>
      </c>
      <c r="J249" s="13">
        <v>0</v>
      </c>
      <c r="K249" s="13">
        <v>1</v>
      </c>
      <c r="L249" s="13">
        <v>0</v>
      </c>
      <c r="M249" s="13">
        <v>0</v>
      </c>
      <c r="N249" s="13">
        <v>2</v>
      </c>
      <c r="O249" s="13">
        <v>9</v>
      </c>
      <c r="P249" s="13">
        <v>2</v>
      </c>
      <c r="Q249" s="30">
        <f t="shared" si="28"/>
        <v>24</v>
      </c>
      <c r="R249" s="30">
        <f t="shared" si="29"/>
        <v>205</v>
      </c>
      <c r="S249" s="30">
        <f t="shared" si="30"/>
        <v>229</v>
      </c>
    </row>
    <row r="250" spans="1:19">
      <c r="A250" s="187" t="s">
        <v>11</v>
      </c>
      <c r="B250" s="187"/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 t="s">
        <v>1224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30">
        <f t="shared" si="28"/>
        <v>0</v>
      </c>
      <c r="R250" s="30">
        <f t="shared" si="29"/>
        <v>0</v>
      </c>
      <c r="S250" s="30">
        <f t="shared" si="30"/>
        <v>0</v>
      </c>
    </row>
    <row r="251" spans="1:19">
      <c r="A251" s="188" t="s">
        <v>12</v>
      </c>
      <c r="B251" s="188"/>
      <c r="C251" s="30">
        <f t="shared" ref="C251:P251" si="31">SUM(C238:C250)</f>
        <v>637</v>
      </c>
      <c r="D251" s="30">
        <f t="shared" si="31"/>
        <v>648</v>
      </c>
      <c r="E251" s="30">
        <f t="shared" si="31"/>
        <v>625</v>
      </c>
      <c r="F251" s="30">
        <f t="shared" si="31"/>
        <v>594</v>
      </c>
      <c r="G251" s="30">
        <f t="shared" si="31"/>
        <v>566</v>
      </c>
      <c r="H251" s="30">
        <f t="shared" si="31"/>
        <v>692</v>
      </c>
      <c r="I251" s="30">
        <f t="shared" si="31"/>
        <v>681</v>
      </c>
      <c r="J251" s="30">
        <f t="shared" si="31"/>
        <v>154</v>
      </c>
      <c r="K251" s="30">
        <f t="shared" si="31"/>
        <v>509</v>
      </c>
      <c r="L251" s="30">
        <f t="shared" si="31"/>
        <v>498</v>
      </c>
      <c r="M251" s="30">
        <f t="shared" si="31"/>
        <v>310</v>
      </c>
      <c r="N251" s="30">
        <f t="shared" si="31"/>
        <v>519</v>
      </c>
      <c r="O251" s="30">
        <f t="shared" si="31"/>
        <v>524</v>
      </c>
      <c r="P251" s="30">
        <f t="shared" si="31"/>
        <v>461</v>
      </c>
      <c r="Q251" s="30">
        <f t="shared" si="28"/>
        <v>7418</v>
      </c>
      <c r="R251" s="30">
        <f t="shared" si="29"/>
        <v>52106</v>
      </c>
      <c r="S251" s="30">
        <f t="shared" si="30"/>
        <v>59524</v>
      </c>
    </row>
    <row r="252" spans="1:19" ht="39.75" customHeight="1">
      <c r="A252" s="5"/>
      <c r="B252" s="5"/>
      <c r="C252" s="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8"/>
      <c r="R252" s="7"/>
      <c r="S252" s="7"/>
    </row>
    <row r="253" spans="1:19" ht="22.5">
      <c r="A253" s="31"/>
      <c r="B253" s="31"/>
      <c r="C253" s="10" t="s">
        <v>13</v>
      </c>
      <c r="D253" s="10" t="s">
        <v>13</v>
      </c>
      <c r="E253" s="10" t="s">
        <v>13</v>
      </c>
      <c r="F253" s="10" t="s">
        <v>13</v>
      </c>
      <c r="G253" s="10" t="s">
        <v>13</v>
      </c>
      <c r="H253" s="10" t="s">
        <v>13</v>
      </c>
      <c r="I253" s="10" t="s">
        <v>13</v>
      </c>
      <c r="J253" s="10" t="s">
        <v>13</v>
      </c>
      <c r="K253" s="10" t="s">
        <v>13</v>
      </c>
      <c r="L253" s="10" t="s">
        <v>13</v>
      </c>
      <c r="M253" s="10" t="s">
        <v>13</v>
      </c>
      <c r="N253" s="10" t="s">
        <v>13</v>
      </c>
      <c r="O253" s="10" t="s">
        <v>13</v>
      </c>
      <c r="P253" s="10" t="s">
        <v>13</v>
      </c>
      <c r="Q253" s="10" t="s">
        <v>13</v>
      </c>
      <c r="R253" s="10" t="s">
        <v>13</v>
      </c>
      <c r="S253" s="10" t="s">
        <v>13</v>
      </c>
    </row>
    <row r="254" spans="1:19" ht="37.5" customHeight="1">
      <c r="A254" s="31"/>
      <c r="B254" s="3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 ht="22.5">
      <c r="A255" s="31"/>
      <c r="B255" s="31"/>
      <c r="C255" s="10" t="s">
        <v>14</v>
      </c>
      <c r="D255" s="10" t="s">
        <v>14</v>
      </c>
      <c r="E255" s="10" t="s">
        <v>14</v>
      </c>
      <c r="F255" s="10" t="s">
        <v>14</v>
      </c>
      <c r="G255" s="10" t="s">
        <v>14</v>
      </c>
      <c r="H255" s="10" t="s">
        <v>14</v>
      </c>
      <c r="I255" s="10" t="s">
        <v>14</v>
      </c>
      <c r="J255" s="10" t="s">
        <v>14</v>
      </c>
      <c r="K255" s="10" t="s">
        <v>14</v>
      </c>
      <c r="L255" s="10" t="s">
        <v>14</v>
      </c>
      <c r="M255" s="10" t="s">
        <v>14</v>
      </c>
      <c r="N255" s="10" t="s">
        <v>14</v>
      </c>
      <c r="O255" s="10" t="s">
        <v>14</v>
      </c>
      <c r="P255" s="10" t="s">
        <v>14</v>
      </c>
      <c r="Q255" s="10" t="s">
        <v>14</v>
      </c>
      <c r="R255" s="10" t="s">
        <v>14</v>
      </c>
      <c r="S255" s="10" t="s">
        <v>14</v>
      </c>
    </row>
    <row r="256" spans="1:19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</row>
    <row r="257" spans="1:19">
      <c r="A257" s="189" t="s">
        <v>15</v>
      </c>
      <c r="B257" s="189"/>
      <c r="C257" s="164" t="s">
        <v>16</v>
      </c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31"/>
      <c r="S257" s="31"/>
    </row>
    <row r="258" spans="1:19">
      <c r="A258" s="31"/>
      <c r="B258" s="31"/>
      <c r="C258" s="164" t="s">
        <v>17</v>
      </c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31"/>
      <c r="S258" s="31"/>
    </row>
    <row r="259" spans="1:19">
      <c r="A259" s="31"/>
      <c r="B259" s="31"/>
      <c r="C259" s="164" t="s">
        <v>44</v>
      </c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31"/>
      <c r="S259" s="31"/>
    </row>
    <row r="260" spans="1:19">
      <c r="A260" s="31"/>
      <c r="B260" s="31"/>
      <c r="C260" s="164" t="s">
        <v>45</v>
      </c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31"/>
      <c r="S260" s="31"/>
    </row>
    <row r="264" spans="1:19" ht="26.25">
      <c r="A264" s="190" t="s">
        <v>0</v>
      </c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</row>
    <row r="265" spans="1:19" ht="19.5">
      <c r="A265" s="191" t="s">
        <v>1225</v>
      </c>
      <c r="B265" s="191"/>
      <c r="C265" s="191"/>
      <c r="D265" s="191"/>
      <c r="E265" s="191"/>
      <c r="F265" s="191"/>
      <c r="G265" s="191"/>
      <c r="H265" s="191"/>
      <c r="I265" s="1"/>
      <c r="J265" s="1"/>
      <c r="K265" s="192" t="s">
        <v>28</v>
      </c>
      <c r="L265" s="192"/>
      <c r="M265" s="192"/>
      <c r="N265" s="192"/>
      <c r="O265" s="1"/>
      <c r="P265" s="193" t="s">
        <v>1</v>
      </c>
      <c r="Q265" s="193"/>
      <c r="R265" s="194">
        <v>44630</v>
      </c>
      <c r="S265" s="194"/>
    </row>
    <row r="266" spans="1:19">
      <c r="A266" s="188" t="s">
        <v>2</v>
      </c>
      <c r="B266" s="188"/>
      <c r="C266" s="30">
        <v>1</v>
      </c>
      <c r="D266" s="30">
        <v>2</v>
      </c>
      <c r="E266" s="30">
        <v>3</v>
      </c>
      <c r="F266" s="30">
        <v>4</v>
      </c>
      <c r="G266" s="30">
        <v>5</v>
      </c>
      <c r="H266" s="30">
        <v>6</v>
      </c>
      <c r="I266" s="30">
        <v>7</v>
      </c>
      <c r="J266" s="30">
        <v>8</v>
      </c>
      <c r="K266" s="30">
        <v>9</v>
      </c>
      <c r="L266" s="30">
        <v>10</v>
      </c>
      <c r="M266" s="30">
        <v>11</v>
      </c>
      <c r="N266" s="30">
        <v>12</v>
      </c>
      <c r="O266" s="30">
        <v>13</v>
      </c>
      <c r="P266" s="30">
        <v>14</v>
      </c>
      <c r="Q266" s="195" t="s">
        <v>3</v>
      </c>
      <c r="R266" s="195" t="s">
        <v>4</v>
      </c>
      <c r="S266" s="195" t="s">
        <v>5</v>
      </c>
    </row>
    <row r="267" spans="1:19">
      <c r="A267" s="165" t="s">
        <v>6</v>
      </c>
      <c r="B267" s="167"/>
      <c r="C267" s="40">
        <f>'Booth detail'!DJ1</f>
        <v>113</v>
      </c>
      <c r="D267" s="40">
        <f>'Booth detail'!DK1</f>
        <v>114</v>
      </c>
      <c r="E267" s="40">
        <f>'Booth detail'!DL1</f>
        <v>115</v>
      </c>
      <c r="F267" s="40">
        <f>'Booth detail'!DM1</f>
        <v>116</v>
      </c>
      <c r="G267" s="40">
        <f>'Booth detail'!DN1</f>
        <v>117</v>
      </c>
      <c r="H267" s="40">
        <f>'Booth detail'!DO1</f>
        <v>118</v>
      </c>
      <c r="I267" s="40">
        <f>'Booth detail'!DP1</f>
        <v>119</v>
      </c>
      <c r="J267" s="40">
        <f>'Booth detail'!DQ1</f>
        <v>120</v>
      </c>
      <c r="K267" s="40">
        <f>'Booth detail'!DR1</f>
        <v>121</v>
      </c>
      <c r="L267" s="40">
        <f>'Booth detail'!DS1</f>
        <v>122</v>
      </c>
      <c r="M267" s="40">
        <f>'Booth detail'!DT1</f>
        <v>123</v>
      </c>
      <c r="N267" s="40">
        <f>'Booth detail'!DU1</f>
        <v>124</v>
      </c>
      <c r="O267" s="40">
        <f>'Booth detail'!DV1</f>
        <v>125</v>
      </c>
      <c r="P267" s="40">
        <f>'Booth detail'!DW1</f>
        <v>126</v>
      </c>
      <c r="Q267" s="196"/>
      <c r="R267" s="196"/>
      <c r="S267" s="196"/>
    </row>
    <row r="268" spans="1:19" ht="25.5">
      <c r="A268" s="165" t="s">
        <v>18</v>
      </c>
      <c r="B268" s="167"/>
      <c r="C268" s="44" t="str">
        <f>'Booth detail'!DJ2</f>
        <v>ECUEC57163</v>
      </c>
      <c r="D268" s="44" t="str">
        <f>'Booth detail'!DK2</f>
        <v>ECUEC67502</v>
      </c>
      <c r="E268" s="44" t="str">
        <f>'Booth detail'!DL2</f>
        <v>ECUEC63888</v>
      </c>
      <c r="F268" s="44" t="str">
        <f>'Booth detail'!DM2</f>
        <v>ECUED02101</v>
      </c>
      <c r="G268" s="44" t="str">
        <f>'Booth detail'!DN2</f>
        <v>ECUEC67456</v>
      </c>
      <c r="H268" s="44" t="str">
        <f>'Booth detail'!DO2</f>
        <v>ECUED24138</v>
      </c>
      <c r="I268" s="44" t="str">
        <f>'Booth detail'!DP2</f>
        <v>ECUEC57426</v>
      </c>
      <c r="J268" s="44" t="str">
        <f>'Booth detail'!DQ2</f>
        <v>ECUEC57993</v>
      </c>
      <c r="K268" s="44" t="str">
        <f>'Booth detail'!DR2</f>
        <v>ECUEC52991</v>
      </c>
      <c r="L268" s="44" t="str">
        <f>'Booth detail'!DS2</f>
        <v>ECUEC63859</v>
      </c>
      <c r="M268" s="44" t="str">
        <f>'Booth detail'!DT2</f>
        <v>ECUEC67668</v>
      </c>
      <c r="N268" s="44" t="str">
        <f>'Booth detail'!DU2</f>
        <v>ECUEC67678</v>
      </c>
      <c r="O268" s="44" t="str">
        <f>'Booth detail'!DV2</f>
        <v>ECUEC50170</v>
      </c>
      <c r="P268" s="44" t="str">
        <f>'Booth detail'!DW2</f>
        <v>ECUEC54579</v>
      </c>
      <c r="Q268" s="196"/>
      <c r="R268" s="196"/>
      <c r="S268" s="196"/>
    </row>
    <row r="269" spans="1:19" ht="39" customHeight="1">
      <c r="A269" s="198" t="s">
        <v>20</v>
      </c>
      <c r="B269" s="199"/>
      <c r="C269" s="51" t="str">
        <f>'Booth detail'!DJ3</f>
        <v>-</v>
      </c>
      <c r="D269" s="51" t="str">
        <f>'Booth detail'!DK3</f>
        <v>-</v>
      </c>
      <c r="E269" s="51" t="str">
        <f>'Booth detail'!DL3</f>
        <v>-</v>
      </c>
      <c r="F269" s="51" t="str">
        <f>'Booth detail'!DM3</f>
        <v>-</v>
      </c>
      <c r="G269" s="51" t="str">
        <f>'Booth detail'!DN3</f>
        <v>-</v>
      </c>
      <c r="H269" s="51" t="str">
        <f>'Booth detail'!DO3</f>
        <v>-</v>
      </c>
      <c r="I269" s="51" t="str">
        <f>'Booth detail'!DP3</f>
        <v>-</v>
      </c>
      <c r="J269" s="51" t="str">
        <f>'Booth detail'!DQ3</f>
        <v>-</v>
      </c>
      <c r="K269" s="51" t="str">
        <f>'Booth detail'!DR3</f>
        <v>-</v>
      </c>
      <c r="L269" s="51" t="str">
        <f>'Booth detail'!DS3</f>
        <v>-</v>
      </c>
      <c r="M269" s="51" t="str">
        <f>'Booth detail'!DT3</f>
        <v>-</v>
      </c>
      <c r="N269" s="51" t="str">
        <f>'Booth detail'!DU3</f>
        <v>-</v>
      </c>
      <c r="O269" s="51" t="str">
        <f>'Booth detail'!DV3</f>
        <v>-</v>
      </c>
      <c r="P269" s="51" t="str">
        <f>'Booth detail'!DW3</f>
        <v>-</v>
      </c>
      <c r="Q269" s="196"/>
      <c r="R269" s="196"/>
      <c r="S269" s="196"/>
    </row>
    <row r="270" spans="1:19">
      <c r="A270" s="14" t="s">
        <v>7</v>
      </c>
      <c r="B270" s="32" t="s">
        <v>8</v>
      </c>
      <c r="C270" s="33" t="s">
        <v>9</v>
      </c>
      <c r="D270" s="33" t="s">
        <v>9</v>
      </c>
      <c r="E270" s="33" t="s">
        <v>9</v>
      </c>
      <c r="F270" s="33" t="s">
        <v>9</v>
      </c>
      <c r="G270" s="33" t="s">
        <v>9</v>
      </c>
      <c r="H270" s="33" t="s">
        <v>9</v>
      </c>
      <c r="I270" s="33" t="s">
        <v>9</v>
      </c>
      <c r="J270" s="33" t="s">
        <v>9</v>
      </c>
      <c r="K270" s="33" t="s">
        <v>9</v>
      </c>
      <c r="L270" s="33" t="s">
        <v>9</v>
      </c>
      <c r="M270" s="33" t="s">
        <v>9</v>
      </c>
      <c r="N270" s="33" t="s">
        <v>9</v>
      </c>
      <c r="O270" s="33" t="s">
        <v>9</v>
      </c>
      <c r="P270" s="33" t="s">
        <v>9</v>
      </c>
      <c r="Q270" s="197"/>
      <c r="R270" s="197"/>
      <c r="S270" s="197"/>
    </row>
    <row r="271" spans="1:19" ht="18.75">
      <c r="A271" s="29">
        <v>1</v>
      </c>
      <c r="B271" s="15" t="str">
        <f>'Candidate List'!B2</f>
        <v>Manveer Singh</v>
      </c>
      <c r="C271" s="13">
        <v>11</v>
      </c>
      <c r="D271" s="13">
        <v>9</v>
      </c>
      <c r="E271" s="13">
        <v>11</v>
      </c>
      <c r="F271" s="13">
        <v>31</v>
      </c>
      <c r="G271" s="13">
        <v>15</v>
      </c>
      <c r="H271" s="13">
        <v>8</v>
      </c>
      <c r="I271" s="13">
        <v>6</v>
      </c>
      <c r="J271" s="13">
        <v>61</v>
      </c>
      <c r="K271" s="13">
        <v>46</v>
      </c>
      <c r="L271" s="13">
        <v>158</v>
      </c>
      <c r="M271" s="13">
        <v>63</v>
      </c>
      <c r="N271" s="13">
        <v>5</v>
      </c>
      <c r="O271" s="13">
        <v>142</v>
      </c>
      <c r="P271" s="13">
        <v>368</v>
      </c>
      <c r="Q271" s="30">
        <f>SUM(C271:P271)</f>
        <v>934</v>
      </c>
      <c r="R271" s="30">
        <f>S238</f>
        <v>5070</v>
      </c>
      <c r="S271" s="30">
        <f>Q271+R271</f>
        <v>6004</v>
      </c>
    </row>
    <row r="272" spans="1:19" ht="18.75">
      <c r="A272" s="29">
        <v>2</v>
      </c>
      <c r="B272" s="15" t="str">
        <f>'Candidate List'!B3</f>
        <v>Rahul Yadav</v>
      </c>
      <c r="C272" s="13">
        <v>153</v>
      </c>
      <c r="D272" s="13">
        <v>123</v>
      </c>
      <c r="E272" s="13">
        <v>92</v>
      </c>
      <c r="F272" s="13">
        <v>429</v>
      </c>
      <c r="G272" s="13">
        <v>169</v>
      </c>
      <c r="H272" s="13">
        <v>365</v>
      </c>
      <c r="I272" s="13">
        <v>395</v>
      </c>
      <c r="J272" s="13">
        <v>277</v>
      </c>
      <c r="K272" s="13">
        <v>68</v>
      </c>
      <c r="L272" s="13">
        <v>47</v>
      </c>
      <c r="M272" s="13">
        <v>108</v>
      </c>
      <c r="N272" s="13">
        <v>569</v>
      </c>
      <c r="O272" s="13">
        <v>462</v>
      </c>
      <c r="P272" s="13">
        <v>71</v>
      </c>
      <c r="Q272" s="30">
        <f t="shared" ref="Q272:Q284" si="32">SUM(C272:P272)</f>
        <v>3328</v>
      </c>
      <c r="R272" s="30">
        <f t="shared" ref="R272:R284" si="33">S239</f>
        <v>31278</v>
      </c>
      <c r="S272" s="30">
        <f t="shared" ref="S272:S284" si="34">Q272+R272</f>
        <v>34606</v>
      </c>
    </row>
    <row r="273" spans="1:19" ht="18.75">
      <c r="A273" s="29">
        <v>3</v>
      </c>
      <c r="B273" s="15" t="str">
        <f>'Candidate List'!B4</f>
        <v>Lakshmi Raj</v>
      </c>
      <c r="C273" s="13">
        <v>276</v>
      </c>
      <c r="D273" s="13">
        <v>331</v>
      </c>
      <c r="E273" s="13">
        <v>347</v>
      </c>
      <c r="F273" s="13">
        <v>128</v>
      </c>
      <c r="G273" s="13">
        <v>510</v>
      </c>
      <c r="H273" s="13">
        <v>111</v>
      </c>
      <c r="I273" s="13">
        <v>67</v>
      </c>
      <c r="J273" s="13">
        <v>67</v>
      </c>
      <c r="K273" s="13">
        <v>438</v>
      </c>
      <c r="L273" s="13">
        <v>347</v>
      </c>
      <c r="M273" s="13">
        <v>316</v>
      </c>
      <c r="N273" s="13">
        <v>94</v>
      </c>
      <c r="O273" s="13">
        <v>65</v>
      </c>
      <c r="P273" s="13">
        <v>77</v>
      </c>
      <c r="Q273" s="30">
        <f t="shared" si="32"/>
        <v>3174</v>
      </c>
      <c r="R273" s="30">
        <f t="shared" si="33"/>
        <v>20973</v>
      </c>
      <c r="S273" s="30">
        <f t="shared" si="34"/>
        <v>24147</v>
      </c>
    </row>
    <row r="274" spans="1:19" ht="18.75">
      <c r="A274" s="29">
        <v>4</v>
      </c>
      <c r="B274" s="15" t="str">
        <f>'Candidate List'!B5</f>
        <v>Saleem Akhtar Khan</v>
      </c>
      <c r="C274" s="13">
        <v>0</v>
      </c>
      <c r="D274" s="13">
        <v>0</v>
      </c>
      <c r="E274" s="13">
        <v>0</v>
      </c>
      <c r="F274" s="13">
        <v>1</v>
      </c>
      <c r="G274" s="13">
        <v>3</v>
      </c>
      <c r="H274" s="13">
        <v>1</v>
      </c>
      <c r="I274" s="13">
        <v>1</v>
      </c>
      <c r="J274" s="13">
        <v>3</v>
      </c>
      <c r="K274" s="13">
        <v>3</v>
      </c>
      <c r="L274" s="13">
        <v>2</v>
      </c>
      <c r="M274" s="13">
        <v>1</v>
      </c>
      <c r="N274" s="13">
        <v>1</v>
      </c>
      <c r="O274" s="13">
        <v>3</v>
      </c>
      <c r="P274" s="13">
        <v>0</v>
      </c>
      <c r="Q274" s="30">
        <f t="shared" si="32"/>
        <v>19</v>
      </c>
      <c r="R274" s="30">
        <f t="shared" si="33"/>
        <v>660</v>
      </c>
      <c r="S274" s="30">
        <f t="shared" si="34"/>
        <v>679</v>
      </c>
    </row>
    <row r="275" spans="1:19" ht="18.75">
      <c r="A275" s="29">
        <v>5</v>
      </c>
      <c r="B275" s="15" t="str">
        <f>'Candidate List'!B6</f>
        <v>Ajay Kumar</v>
      </c>
      <c r="C275" s="13">
        <v>3</v>
      </c>
      <c r="D275" s="13">
        <v>1</v>
      </c>
      <c r="E275" s="13">
        <v>1</v>
      </c>
      <c r="F275" s="13">
        <v>2</v>
      </c>
      <c r="G275" s="13">
        <v>1</v>
      </c>
      <c r="H275" s="13">
        <v>2</v>
      </c>
      <c r="I275" s="13">
        <v>0</v>
      </c>
      <c r="J275" s="13">
        <v>2</v>
      </c>
      <c r="K275" s="13">
        <v>0</v>
      </c>
      <c r="L275" s="13">
        <v>3</v>
      </c>
      <c r="M275" s="13">
        <v>2</v>
      </c>
      <c r="N275" s="13">
        <v>0</v>
      </c>
      <c r="O275" s="13">
        <v>0</v>
      </c>
      <c r="P275" s="13">
        <v>1</v>
      </c>
      <c r="Q275" s="30">
        <f t="shared" si="32"/>
        <v>18</v>
      </c>
      <c r="R275" s="30">
        <f t="shared" si="33"/>
        <v>68</v>
      </c>
      <c r="S275" s="30">
        <f t="shared" si="34"/>
        <v>86</v>
      </c>
    </row>
    <row r="276" spans="1:19" ht="18.75">
      <c r="A276" s="29">
        <v>6</v>
      </c>
      <c r="B276" s="15" t="str">
        <f>'Candidate List'!B7</f>
        <v>Ajay Kumar Sharma</v>
      </c>
      <c r="C276" s="13">
        <v>1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30">
        <f t="shared" si="32"/>
        <v>1</v>
      </c>
      <c r="R276" s="30">
        <f t="shared" si="33"/>
        <v>20</v>
      </c>
      <c r="S276" s="30">
        <f t="shared" si="34"/>
        <v>21</v>
      </c>
    </row>
    <row r="277" spans="1:19" ht="18.75">
      <c r="A277" s="29">
        <v>7</v>
      </c>
      <c r="B277" s="15" t="str">
        <f>'Candidate List'!B8</f>
        <v>Amit Singh Tomar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1</v>
      </c>
      <c r="J277" s="13">
        <v>1</v>
      </c>
      <c r="K277" s="13">
        <v>0</v>
      </c>
      <c r="L277" s="13">
        <v>0</v>
      </c>
      <c r="M277" s="13">
        <v>0</v>
      </c>
      <c r="N277" s="13">
        <v>0</v>
      </c>
      <c r="O277" s="13">
        <v>1</v>
      </c>
      <c r="P277" s="13">
        <v>0</v>
      </c>
      <c r="Q277" s="30">
        <f t="shared" si="32"/>
        <v>3</v>
      </c>
      <c r="R277" s="30">
        <f t="shared" si="33"/>
        <v>42</v>
      </c>
      <c r="S277" s="30">
        <f t="shared" si="34"/>
        <v>45</v>
      </c>
    </row>
    <row r="278" spans="1:19" ht="18.75">
      <c r="A278" s="29">
        <v>8</v>
      </c>
      <c r="B278" s="15" t="str">
        <f>'Candidate List'!B9</f>
        <v>Darshan Sharma</v>
      </c>
      <c r="C278" s="13">
        <v>0</v>
      </c>
      <c r="D278" s="13">
        <v>0</v>
      </c>
      <c r="E278" s="13">
        <v>0</v>
      </c>
      <c r="F278" s="13">
        <v>2</v>
      </c>
      <c r="G278" s="13">
        <v>0</v>
      </c>
      <c r="H278" s="13">
        <v>5</v>
      </c>
      <c r="I278" s="13">
        <v>0</v>
      </c>
      <c r="J278" s="13">
        <v>2</v>
      </c>
      <c r="K278" s="13">
        <v>1</v>
      </c>
      <c r="L278" s="13">
        <v>0</v>
      </c>
      <c r="M278" s="13">
        <v>0</v>
      </c>
      <c r="N278" s="13">
        <v>0</v>
      </c>
      <c r="O278" s="13">
        <v>1</v>
      </c>
      <c r="P278" s="13">
        <v>1</v>
      </c>
      <c r="Q278" s="30">
        <f t="shared" si="32"/>
        <v>12</v>
      </c>
      <c r="R278" s="30">
        <f t="shared" si="33"/>
        <v>71</v>
      </c>
      <c r="S278" s="30">
        <f t="shared" si="34"/>
        <v>83</v>
      </c>
    </row>
    <row r="279" spans="1:19" ht="18.75">
      <c r="A279" s="29">
        <v>9</v>
      </c>
      <c r="B279" s="15" t="str">
        <f>'Candidate List'!B10</f>
        <v>Dilshad Ahmad</v>
      </c>
      <c r="C279" s="13">
        <v>0</v>
      </c>
      <c r="D279" s="13">
        <v>0</v>
      </c>
      <c r="E279" s="13">
        <v>0</v>
      </c>
      <c r="F279" s="13">
        <v>7</v>
      </c>
      <c r="G279" s="13">
        <v>1</v>
      </c>
      <c r="H279" s="13">
        <v>0</v>
      </c>
      <c r="I279" s="13">
        <v>1</v>
      </c>
      <c r="J279" s="13">
        <v>1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30">
        <f t="shared" si="32"/>
        <v>10</v>
      </c>
      <c r="R279" s="30">
        <f t="shared" si="33"/>
        <v>731</v>
      </c>
      <c r="S279" s="30">
        <f t="shared" si="34"/>
        <v>741</v>
      </c>
    </row>
    <row r="280" spans="1:19" ht="18.75">
      <c r="A280" s="29">
        <v>10</v>
      </c>
      <c r="B280" s="15" t="str">
        <f>'Candidate List'!B11</f>
        <v>Raju Thakur</v>
      </c>
      <c r="C280" s="13">
        <v>0</v>
      </c>
      <c r="D280" s="13">
        <v>0</v>
      </c>
      <c r="E280" s="13">
        <v>0</v>
      </c>
      <c r="F280" s="13">
        <v>1</v>
      </c>
      <c r="G280" s="13">
        <v>1</v>
      </c>
      <c r="H280" s="13">
        <v>2</v>
      </c>
      <c r="I280" s="13">
        <v>5</v>
      </c>
      <c r="J280" s="13">
        <v>1</v>
      </c>
      <c r="K280" s="13">
        <v>3</v>
      </c>
      <c r="L280" s="13">
        <v>0</v>
      </c>
      <c r="M280" s="13">
        <v>2</v>
      </c>
      <c r="N280" s="13">
        <v>4</v>
      </c>
      <c r="O280" s="13">
        <v>2</v>
      </c>
      <c r="P280" s="13">
        <v>1</v>
      </c>
      <c r="Q280" s="30">
        <f t="shared" si="32"/>
        <v>22</v>
      </c>
      <c r="R280" s="30">
        <f t="shared" si="33"/>
        <v>260</v>
      </c>
      <c r="S280" s="30">
        <f t="shared" si="34"/>
        <v>282</v>
      </c>
    </row>
    <row r="281" spans="1:19" ht="18.75">
      <c r="A281" s="29">
        <v>11</v>
      </c>
      <c r="B281" s="15" t="str">
        <f>'Candidate List'!B12</f>
        <v>Bablu</v>
      </c>
      <c r="C281" s="13">
        <v>0</v>
      </c>
      <c r="D281" s="13">
        <v>0</v>
      </c>
      <c r="E281" s="13">
        <v>0</v>
      </c>
      <c r="F281" s="13">
        <v>3</v>
      </c>
      <c r="G281" s="13">
        <v>2</v>
      </c>
      <c r="H281" s="13">
        <v>0</v>
      </c>
      <c r="I281" s="13">
        <v>1</v>
      </c>
      <c r="J281" s="13">
        <v>4</v>
      </c>
      <c r="K281" s="13">
        <v>2</v>
      </c>
      <c r="L281" s="13">
        <v>1</v>
      </c>
      <c r="M281" s="13">
        <v>0</v>
      </c>
      <c r="N281" s="13">
        <v>1</v>
      </c>
      <c r="O281" s="13">
        <v>2</v>
      </c>
      <c r="P281" s="13">
        <v>1</v>
      </c>
      <c r="Q281" s="30">
        <f t="shared" si="32"/>
        <v>17</v>
      </c>
      <c r="R281" s="30">
        <f t="shared" si="33"/>
        <v>122</v>
      </c>
      <c r="S281" s="30">
        <f t="shared" si="34"/>
        <v>139</v>
      </c>
    </row>
    <row r="282" spans="1:19" ht="18.75">
      <c r="A282" s="29">
        <v>12</v>
      </c>
      <c r="B282" s="15" t="str">
        <f>'Candidate List'!B13</f>
        <v>NOTA</v>
      </c>
      <c r="C282" s="13">
        <v>1</v>
      </c>
      <c r="D282" s="13">
        <v>1</v>
      </c>
      <c r="E282" s="13">
        <v>2</v>
      </c>
      <c r="F282" s="13">
        <v>5</v>
      </c>
      <c r="G282" s="13">
        <v>0</v>
      </c>
      <c r="H282" s="13">
        <v>2</v>
      </c>
      <c r="I282" s="13">
        <v>4</v>
      </c>
      <c r="J282" s="13">
        <v>5</v>
      </c>
      <c r="K282" s="13">
        <v>1</v>
      </c>
      <c r="L282" s="13">
        <v>3</v>
      </c>
      <c r="M282" s="13">
        <v>1</v>
      </c>
      <c r="N282" s="13">
        <v>4</v>
      </c>
      <c r="O282" s="13">
        <v>3</v>
      </c>
      <c r="P282" s="13">
        <v>6</v>
      </c>
      <c r="Q282" s="30">
        <f t="shared" si="32"/>
        <v>38</v>
      </c>
      <c r="R282" s="30">
        <f t="shared" si="33"/>
        <v>229</v>
      </c>
      <c r="S282" s="30">
        <f t="shared" si="34"/>
        <v>267</v>
      </c>
    </row>
    <row r="283" spans="1:19">
      <c r="A283" s="187" t="s">
        <v>11</v>
      </c>
      <c r="B283" s="187"/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30">
        <f t="shared" si="32"/>
        <v>0</v>
      </c>
      <c r="R283" s="30">
        <f t="shared" si="33"/>
        <v>0</v>
      </c>
      <c r="S283" s="30">
        <f t="shared" si="34"/>
        <v>0</v>
      </c>
    </row>
    <row r="284" spans="1:19">
      <c r="A284" s="188" t="s">
        <v>12</v>
      </c>
      <c r="B284" s="188"/>
      <c r="C284" s="30">
        <f t="shared" ref="C284:P284" si="35">SUM(C271:C283)</f>
        <v>445</v>
      </c>
      <c r="D284" s="30">
        <f t="shared" si="35"/>
        <v>465</v>
      </c>
      <c r="E284" s="30">
        <f t="shared" si="35"/>
        <v>453</v>
      </c>
      <c r="F284" s="30">
        <f t="shared" si="35"/>
        <v>609</v>
      </c>
      <c r="G284" s="30">
        <f t="shared" si="35"/>
        <v>702</v>
      </c>
      <c r="H284" s="30">
        <f t="shared" si="35"/>
        <v>496</v>
      </c>
      <c r="I284" s="30">
        <f t="shared" si="35"/>
        <v>481</v>
      </c>
      <c r="J284" s="30">
        <f t="shared" si="35"/>
        <v>424</v>
      </c>
      <c r="K284" s="30">
        <f t="shared" si="35"/>
        <v>562</v>
      </c>
      <c r="L284" s="30">
        <f t="shared" si="35"/>
        <v>561</v>
      </c>
      <c r="M284" s="30">
        <f t="shared" si="35"/>
        <v>493</v>
      </c>
      <c r="N284" s="30">
        <f t="shared" si="35"/>
        <v>678</v>
      </c>
      <c r="O284" s="30">
        <f t="shared" si="35"/>
        <v>681</v>
      </c>
      <c r="P284" s="30">
        <f t="shared" si="35"/>
        <v>526</v>
      </c>
      <c r="Q284" s="30">
        <f t="shared" si="32"/>
        <v>7576</v>
      </c>
      <c r="R284" s="30">
        <f t="shared" si="33"/>
        <v>59524</v>
      </c>
      <c r="S284" s="30">
        <f t="shared" si="34"/>
        <v>67100</v>
      </c>
    </row>
    <row r="285" spans="1:19" ht="39.75" customHeight="1">
      <c r="A285" s="5"/>
      <c r="B285" s="5"/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8"/>
      <c r="R285" s="7"/>
      <c r="S285" s="7"/>
    </row>
    <row r="286" spans="1:19" ht="22.5">
      <c r="A286" s="31"/>
      <c r="B286" s="31"/>
      <c r="C286" s="10" t="s">
        <v>13</v>
      </c>
      <c r="D286" s="10" t="s">
        <v>13</v>
      </c>
      <c r="E286" s="10" t="s">
        <v>13</v>
      </c>
      <c r="F286" s="10" t="s">
        <v>13</v>
      </c>
      <c r="G286" s="10" t="s">
        <v>13</v>
      </c>
      <c r="H286" s="10" t="s">
        <v>13</v>
      </c>
      <c r="I286" s="10" t="s">
        <v>13</v>
      </c>
      <c r="J286" s="10" t="s">
        <v>13</v>
      </c>
      <c r="K286" s="10" t="s">
        <v>13</v>
      </c>
      <c r="L286" s="10" t="s">
        <v>13</v>
      </c>
      <c r="M286" s="10" t="s">
        <v>13</v>
      </c>
      <c r="N286" s="10" t="s">
        <v>13</v>
      </c>
      <c r="O286" s="10" t="s">
        <v>13</v>
      </c>
      <c r="P286" s="10" t="s">
        <v>13</v>
      </c>
      <c r="Q286" s="10" t="s">
        <v>13</v>
      </c>
      <c r="R286" s="10" t="s">
        <v>13</v>
      </c>
      <c r="S286" s="10" t="s">
        <v>13</v>
      </c>
    </row>
    <row r="287" spans="1:19" ht="38.25" customHeight="1">
      <c r="A287" s="31"/>
      <c r="B287" s="3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 ht="22.5">
      <c r="A288" s="31"/>
      <c r="B288" s="31"/>
      <c r="C288" s="10" t="s">
        <v>14</v>
      </c>
      <c r="D288" s="10" t="s">
        <v>14</v>
      </c>
      <c r="E288" s="10" t="s">
        <v>14</v>
      </c>
      <c r="F288" s="10" t="s">
        <v>14</v>
      </c>
      <c r="G288" s="10" t="s">
        <v>14</v>
      </c>
      <c r="H288" s="10" t="s">
        <v>14</v>
      </c>
      <c r="I288" s="10" t="s">
        <v>14</v>
      </c>
      <c r="J288" s="10" t="s">
        <v>14</v>
      </c>
      <c r="K288" s="10" t="s">
        <v>14</v>
      </c>
      <c r="L288" s="10" t="s">
        <v>14</v>
      </c>
      <c r="M288" s="10" t="s">
        <v>14</v>
      </c>
      <c r="N288" s="10" t="s">
        <v>14</v>
      </c>
      <c r="O288" s="10" t="s">
        <v>14</v>
      </c>
      <c r="P288" s="10" t="s">
        <v>14</v>
      </c>
      <c r="Q288" s="10" t="s">
        <v>14</v>
      </c>
      <c r="R288" s="10" t="s">
        <v>14</v>
      </c>
      <c r="S288" s="10" t="s">
        <v>14</v>
      </c>
    </row>
    <row r="289" spans="1:1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</row>
    <row r="290" spans="1:19">
      <c r="A290" s="189" t="s">
        <v>15</v>
      </c>
      <c r="B290" s="189"/>
      <c r="C290" s="164" t="s">
        <v>16</v>
      </c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31"/>
      <c r="S290" s="31"/>
    </row>
    <row r="291" spans="1:19">
      <c r="A291" s="31"/>
      <c r="B291" s="31"/>
      <c r="C291" s="164" t="s">
        <v>17</v>
      </c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31"/>
      <c r="S291" s="31"/>
    </row>
    <row r="292" spans="1:19">
      <c r="A292" s="31"/>
      <c r="B292" s="31"/>
      <c r="C292" s="164" t="s">
        <v>44</v>
      </c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31"/>
      <c r="S292" s="31"/>
    </row>
    <row r="293" spans="1:19">
      <c r="A293" s="31"/>
      <c r="B293" s="31"/>
      <c r="C293" s="164" t="s">
        <v>45</v>
      </c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31"/>
      <c r="S293" s="31"/>
    </row>
    <row r="299" spans="1:19" ht="26.25">
      <c r="A299" s="190" t="s">
        <v>0</v>
      </c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</row>
    <row r="300" spans="1:19" ht="19.5">
      <c r="A300" s="191" t="s">
        <v>1225</v>
      </c>
      <c r="B300" s="191"/>
      <c r="C300" s="191"/>
      <c r="D300" s="191"/>
      <c r="E300" s="191"/>
      <c r="F300" s="191"/>
      <c r="G300" s="191"/>
      <c r="H300" s="191"/>
      <c r="I300" s="1"/>
      <c r="J300" s="1"/>
      <c r="K300" s="192" t="s">
        <v>29</v>
      </c>
      <c r="L300" s="192"/>
      <c r="M300" s="192"/>
      <c r="N300" s="192"/>
      <c r="O300" s="1"/>
      <c r="P300" s="193" t="s">
        <v>1</v>
      </c>
      <c r="Q300" s="193"/>
      <c r="R300" s="194">
        <v>44630</v>
      </c>
      <c r="S300" s="194"/>
    </row>
    <row r="301" spans="1:19">
      <c r="A301" s="188" t="s">
        <v>2</v>
      </c>
      <c r="B301" s="188"/>
      <c r="C301" s="30">
        <v>1</v>
      </c>
      <c r="D301" s="30">
        <v>2</v>
      </c>
      <c r="E301" s="30">
        <v>3</v>
      </c>
      <c r="F301" s="30">
        <v>4</v>
      </c>
      <c r="G301" s="30">
        <v>5</v>
      </c>
      <c r="H301" s="30">
        <v>6</v>
      </c>
      <c r="I301" s="30">
        <v>7</v>
      </c>
      <c r="J301" s="30">
        <v>8</v>
      </c>
      <c r="K301" s="30">
        <v>9</v>
      </c>
      <c r="L301" s="30">
        <v>10</v>
      </c>
      <c r="M301" s="30">
        <v>11</v>
      </c>
      <c r="N301" s="30">
        <v>12</v>
      </c>
      <c r="O301" s="30">
        <v>13</v>
      </c>
      <c r="P301" s="30">
        <v>14</v>
      </c>
      <c r="Q301" s="195" t="s">
        <v>3</v>
      </c>
      <c r="R301" s="195" t="s">
        <v>4</v>
      </c>
      <c r="S301" s="195" t="s">
        <v>5</v>
      </c>
    </row>
    <row r="302" spans="1:19">
      <c r="A302" s="165" t="s">
        <v>6</v>
      </c>
      <c r="B302" s="167"/>
      <c r="C302" s="40">
        <f>'Booth detail'!DX1</f>
        <v>127</v>
      </c>
      <c r="D302" s="40">
        <f>'Booth detail'!DY1</f>
        <v>128</v>
      </c>
      <c r="E302" s="40">
        <f>'Booth detail'!DZ1</f>
        <v>129</v>
      </c>
      <c r="F302" s="40">
        <f>'Booth detail'!EA1</f>
        <v>130</v>
      </c>
      <c r="G302" s="40">
        <f>'Booth detail'!EB1</f>
        <v>131</v>
      </c>
      <c r="H302" s="40">
        <f>'Booth detail'!EC1</f>
        <v>132</v>
      </c>
      <c r="I302" s="40">
        <f>'Booth detail'!ED1</f>
        <v>133</v>
      </c>
      <c r="J302" s="40">
        <f>'Booth detail'!EE1</f>
        <v>134</v>
      </c>
      <c r="K302" s="40">
        <f>'Booth detail'!EF1</f>
        <v>135</v>
      </c>
      <c r="L302" s="40">
        <f>'Booth detail'!EG1</f>
        <v>136</v>
      </c>
      <c r="M302" s="40">
        <f>'Booth detail'!EH1</f>
        <v>137</v>
      </c>
      <c r="N302" s="40">
        <f>'Booth detail'!EI1</f>
        <v>138</v>
      </c>
      <c r="O302" s="40">
        <f>'Booth detail'!EJ1</f>
        <v>139</v>
      </c>
      <c r="P302" s="40">
        <f>'Booth detail'!EK1</f>
        <v>140</v>
      </c>
      <c r="Q302" s="196"/>
      <c r="R302" s="196"/>
      <c r="S302" s="196"/>
    </row>
    <row r="303" spans="1:19" ht="25.5">
      <c r="A303" s="165" t="s">
        <v>18</v>
      </c>
      <c r="B303" s="167"/>
      <c r="C303" s="44" t="str">
        <f>'Booth detail'!DX2</f>
        <v>ECUEC52431</v>
      </c>
      <c r="D303" s="44" t="str">
        <f>'Booth detail'!DY2</f>
        <v>ECUEC57502</v>
      </c>
      <c r="E303" s="44" t="str">
        <f>'Booth detail'!DZ2</f>
        <v>ECUEC51550</v>
      </c>
      <c r="F303" s="44" t="str">
        <f>'Booth detail'!EA2</f>
        <v>ECUEC57698</v>
      </c>
      <c r="G303" s="44" t="str">
        <f>'Booth detail'!EB2</f>
        <v>ECUEC60514</v>
      </c>
      <c r="H303" s="44" t="str">
        <f>'Booth detail'!EC2</f>
        <v>ECUED21253</v>
      </c>
      <c r="I303" s="44" t="str">
        <f>'Booth detail'!ED2</f>
        <v>ECUEC60524</v>
      </c>
      <c r="J303" s="44" t="str">
        <f>'Booth detail'!EE2</f>
        <v>ECUEC67407</v>
      </c>
      <c r="K303" s="44" t="str">
        <f>'Booth detail'!EF2</f>
        <v>ECUEC60062</v>
      </c>
      <c r="L303" s="44" t="str">
        <f>'Booth detail'!EG2</f>
        <v>ECUEC57652</v>
      </c>
      <c r="M303" s="44" t="str">
        <f>'Booth detail'!EH2</f>
        <v>ECUED25812</v>
      </c>
      <c r="N303" s="44" t="str">
        <f>'Booth detail'!EI2</f>
        <v>ECUEC47988</v>
      </c>
      <c r="O303" s="44" t="str">
        <f>'Booth detail'!EJ2</f>
        <v>ECUEC57590</v>
      </c>
      <c r="P303" s="44" t="str">
        <f>'Booth detail'!EK2</f>
        <v>ECUED23799</v>
      </c>
      <c r="Q303" s="196"/>
      <c r="R303" s="196"/>
      <c r="S303" s="196"/>
    </row>
    <row r="304" spans="1:19" ht="40.5" customHeight="1">
      <c r="A304" s="198" t="s">
        <v>20</v>
      </c>
      <c r="B304" s="199"/>
      <c r="C304" s="55" t="str">
        <f>'Booth detail'!DX3</f>
        <v>-</v>
      </c>
      <c r="D304" s="55" t="str">
        <f>'Booth detail'!DY3</f>
        <v>-</v>
      </c>
      <c r="E304" s="55" t="str">
        <f>'Booth detail'!DZ3</f>
        <v>-</v>
      </c>
      <c r="F304" s="55" t="str">
        <f>'Booth detail'!EA3</f>
        <v>-</v>
      </c>
      <c r="G304" s="55" t="str">
        <f>'Booth detail'!EB3</f>
        <v>-</v>
      </c>
      <c r="H304" s="55" t="str">
        <f>'Booth detail'!EC3</f>
        <v>-</v>
      </c>
      <c r="I304" s="55" t="str">
        <f>'Booth detail'!ED3</f>
        <v>-</v>
      </c>
      <c r="J304" s="55" t="str">
        <f>'Booth detail'!EE3</f>
        <v>-</v>
      </c>
      <c r="K304" s="55" t="str">
        <f>'Booth detail'!EF3</f>
        <v>-</v>
      </c>
      <c r="L304" s="55" t="str">
        <f>'Booth detail'!EG3</f>
        <v>-</v>
      </c>
      <c r="M304" s="55" t="str">
        <f>'Booth detail'!EH3</f>
        <v>-</v>
      </c>
      <c r="N304" s="55" t="str">
        <f>'Booth detail'!EI3</f>
        <v>-</v>
      </c>
      <c r="O304" s="55" t="str">
        <f>'Booth detail'!EJ3</f>
        <v>-</v>
      </c>
      <c r="P304" s="55" t="str">
        <f>'Booth detail'!EK3</f>
        <v>-</v>
      </c>
      <c r="Q304" s="196"/>
      <c r="R304" s="196"/>
      <c r="S304" s="196"/>
    </row>
    <row r="305" spans="1:19">
      <c r="A305" s="14" t="s">
        <v>7</v>
      </c>
      <c r="B305" s="32" t="s">
        <v>8</v>
      </c>
      <c r="C305" s="33" t="s">
        <v>9</v>
      </c>
      <c r="D305" s="33" t="s">
        <v>9</v>
      </c>
      <c r="E305" s="33" t="s">
        <v>9</v>
      </c>
      <c r="F305" s="33" t="s">
        <v>9</v>
      </c>
      <c r="G305" s="33" t="s">
        <v>9</v>
      </c>
      <c r="H305" s="33" t="s">
        <v>9</v>
      </c>
      <c r="I305" s="33" t="s">
        <v>9</v>
      </c>
      <c r="J305" s="33" t="s">
        <v>9</v>
      </c>
      <c r="K305" s="33" t="s">
        <v>9</v>
      </c>
      <c r="L305" s="33" t="s">
        <v>9</v>
      </c>
      <c r="M305" s="33" t="s">
        <v>9</v>
      </c>
      <c r="N305" s="33" t="s">
        <v>9</v>
      </c>
      <c r="O305" s="33" t="s">
        <v>9</v>
      </c>
      <c r="P305" s="33" t="s">
        <v>9</v>
      </c>
      <c r="Q305" s="197"/>
      <c r="R305" s="197"/>
      <c r="S305" s="197"/>
    </row>
    <row r="306" spans="1:19" ht="18.75">
      <c r="A306" s="29">
        <v>1</v>
      </c>
      <c r="B306" s="15" t="str">
        <f>'Candidate List'!B2</f>
        <v>Manveer Singh</v>
      </c>
      <c r="C306" s="13">
        <v>12</v>
      </c>
      <c r="D306" s="13">
        <v>3</v>
      </c>
      <c r="E306" s="13">
        <v>3</v>
      </c>
      <c r="F306" s="13">
        <v>2</v>
      </c>
      <c r="G306" s="13">
        <v>6</v>
      </c>
      <c r="H306" s="13">
        <v>202</v>
      </c>
      <c r="I306" s="13">
        <v>559</v>
      </c>
      <c r="J306" s="13">
        <v>145</v>
      </c>
      <c r="K306" s="13">
        <v>98</v>
      </c>
      <c r="L306" s="13">
        <v>31</v>
      </c>
      <c r="M306" s="13">
        <v>49</v>
      </c>
      <c r="N306" s="13">
        <v>161</v>
      </c>
      <c r="O306" s="13">
        <v>268</v>
      </c>
      <c r="P306" s="13">
        <v>191</v>
      </c>
      <c r="Q306" s="30">
        <f>SUM(C306:P306)</f>
        <v>1730</v>
      </c>
      <c r="R306" s="30">
        <f>S271</f>
        <v>6004</v>
      </c>
      <c r="S306" s="30">
        <f>Q306+R306</f>
        <v>7734</v>
      </c>
    </row>
    <row r="307" spans="1:19" ht="18.75">
      <c r="A307" s="29">
        <v>2</v>
      </c>
      <c r="B307" s="15" t="str">
        <f>'Candidate List'!B3</f>
        <v>Rahul Yadav</v>
      </c>
      <c r="C307" s="13">
        <v>198</v>
      </c>
      <c r="D307" s="13">
        <v>390</v>
      </c>
      <c r="E307" s="13">
        <v>78</v>
      </c>
      <c r="F307" s="13">
        <v>98</v>
      </c>
      <c r="G307" s="13">
        <v>378</v>
      </c>
      <c r="H307" s="13">
        <v>15</v>
      </c>
      <c r="I307" s="13">
        <v>19</v>
      </c>
      <c r="J307" s="13">
        <v>38</v>
      </c>
      <c r="K307" s="13">
        <v>208</v>
      </c>
      <c r="L307" s="13">
        <v>352</v>
      </c>
      <c r="M307" s="13">
        <v>357</v>
      </c>
      <c r="N307" s="13">
        <v>27</v>
      </c>
      <c r="O307" s="13">
        <v>15</v>
      </c>
      <c r="P307" s="13">
        <v>27</v>
      </c>
      <c r="Q307" s="30">
        <f t="shared" ref="Q307:Q319" si="36">SUM(C307:P307)</f>
        <v>2200</v>
      </c>
      <c r="R307" s="30">
        <f t="shared" ref="R307:R319" si="37">S272</f>
        <v>34606</v>
      </c>
      <c r="S307" s="30">
        <f t="shared" ref="S307:S319" si="38">Q307+R307</f>
        <v>36806</v>
      </c>
    </row>
    <row r="308" spans="1:19" ht="18.75">
      <c r="A308" s="29">
        <v>3</v>
      </c>
      <c r="B308" s="15" t="str">
        <f>'Candidate List'!B4</f>
        <v>Lakshmi Raj</v>
      </c>
      <c r="C308" s="13">
        <v>274</v>
      </c>
      <c r="D308" s="13">
        <v>3</v>
      </c>
      <c r="E308" s="13">
        <v>392</v>
      </c>
      <c r="F308" s="13">
        <v>223</v>
      </c>
      <c r="G308" s="13">
        <v>13</v>
      </c>
      <c r="H308" s="13">
        <v>241</v>
      </c>
      <c r="I308" s="13">
        <v>12</v>
      </c>
      <c r="J308" s="13">
        <v>165</v>
      </c>
      <c r="K308" s="13">
        <v>150</v>
      </c>
      <c r="L308" s="13">
        <v>62</v>
      </c>
      <c r="M308" s="13">
        <v>149</v>
      </c>
      <c r="N308" s="13">
        <v>263</v>
      </c>
      <c r="O308" s="13">
        <v>307</v>
      </c>
      <c r="P308" s="13">
        <v>400</v>
      </c>
      <c r="Q308" s="30">
        <f t="shared" si="36"/>
        <v>2654</v>
      </c>
      <c r="R308" s="30">
        <f t="shared" si="37"/>
        <v>24147</v>
      </c>
      <c r="S308" s="30">
        <f t="shared" si="38"/>
        <v>26801</v>
      </c>
    </row>
    <row r="309" spans="1:19" ht="18.75">
      <c r="A309" s="29">
        <v>4</v>
      </c>
      <c r="B309" s="15" t="str">
        <f>'Candidate List'!B5</f>
        <v>Saleem Akhtar Khan</v>
      </c>
      <c r="C309" s="13">
        <v>3</v>
      </c>
      <c r="D309" s="13">
        <v>1</v>
      </c>
      <c r="E309" s="13">
        <v>3</v>
      </c>
      <c r="F309" s="13">
        <v>1</v>
      </c>
      <c r="G309" s="13">
        <v>0</v>
      </c>
      <c r="H309" s="13">
        <v>2</v>
      </c>
      <c r="I309" s="13">
        <v>0</v>
      </c>
      <c r="J309" s="13">
        <v>2</v>
      </c>
      <c r="K309" s="13">
        <v>2</v>
      </c>
      <c r="L309" s="13">
        <v>2</v>
      </c>
      <c r="M309" s="13">
        <v>1</v>
      </c>
      <c r="N309" s="13">
        <v>4</v>
      </c>
      <c r="O309" s="13">
        <v>1</v>
      </c>
      <c r="P309" s="13">
        <v>6</v>
      </c>
      <c r="Q309" s="30">
        <f t="shared" si="36"/>
        <v>28</v>
      </c>
      <c r="R309" s="30">
        <f t="shared" si="37"/>
        <v>679</v>
      </c>
      <c r="S309" s="30">
        <f t="shared" si="38"/>
        <v>707</v>
      </c>
    </row>
    <row r="310" spans="1:19" ht="18.75">
      <c r="A310" s="29">
        <v>5</v>
      </c>
      <c r="B310" s="15" t="str">
        <f>'Candidate List'!B6</f>
        <v>Ajay Kumar</v>
      </c>
      <c r="C310" s="13">
        <v>1</v>
      </c>
      <c r="D310" s="13">
        <v>0</v>
      </c>
      <c r="E310" s="13">
        <v>0</v>
      </c>
      <c r="F310" s="13">
        <v>12</v>
      </c>
      <c r="G310" s="13">
        <v>0</v>
      </c>
      <c r="H310" s="13">
        <v>1</v>
      </c>
      <c r="I310" s="13">
        <v>2</v>
      </c>
      <c r="J310" s="13">
        <v>0</v>
      </c>
      <c r="K310" s="13">
        <v>0</v>
      </c>
      <c r="L310" s="13">
        <v>0</v>
      </c>
      <c r="M310" s="13">
        <v>0</v>
      </c>
      <c r="N310" s="13">
        <v>2</v>
      </c>
      <c r="O310" s="13">
        <v>7</v>
      </c>
      <c r="P310" s="13">
        <v>4</v>
      </c>
      <c r="Q310" s="30">
        <f t="shared" si="36"/>
        <v>29</v>
      </c>
      <c r="R310" s="30">
        <f t="shared" si="37"/>
        <v>86</v>
      </c>
      <c r="S310" s="30">
        <f t="shared" si="38"/>
        <v>115</v>
      </c>
    </row>
    <row r="311" spans="1:19" ht="18.75">
      <c r="A311" s="29">
        <v>6</v>
      </c>
      <c r="B311" s="15" t="str">
        <f>'Candidate List'!B7</f>
        <v>Ajay Kumar Sharma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1</v>
      </c>
      <c r="N311" s="13">
        <v>1</v>
      </c>
      <c r="O311" s="13">
        <v>1</v>
      </c>
      <c r="P311" s="13">
        <v>2</v>
      </c>
      <c r="Q311" s="30">
        <f t="shared" si="36"/>
        <v>5</v>
      </c>
      <c r="R311" s="30">
        <f t="shared" si="37"/>
        <v>21</v>
      </c>
      <c r="S311" s="30">
        <f t="shared" si="38"/>
        <v>26</v>
      </c>
    </row>
    <row r="312" spans="1:19" ht="18.75">
      <c r="A312" s="29">
        <v>7</v>
      </c>
      <c r="B312" s="15" t="str">
        <f>'Candidate List'!B8</f>
        <v>Amit Singh Tomar</v>
      </c>
      <c r="C312" s="13">
        <v>0</v>
      </c>
      <c r="D312" s="13">
        <v>0</v>
      </c>
      <c r="E312" s="13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1</v>
      </c>
      <c r="N312" s="13">
        <v>3</v>
      </c>
      <c r="O312" s="13">
        <v>1</v>
      </c>
      <c r="P312" s="13">
        <v>0</v>
      </c>
      <c r="Q312" s="30">
        <f t="shared" si="36"/>
        <v>6</v>
      </c>
      <c r="R312" s="30">
        <f t="shared" si="37"/>
        <v>45</v>
      </c>
      <c r="S312" s="30">
        <f t="shared" si="38"/>
        <v>51</v>
      </c>
    </row>
    <row r="313" spans="1:19" ht="18.75">
      <c r="A313" s="29">
        <v>8</v>
      </c>
      <c r="B313" s="15" t="str">
        <f>'Candidate List'!B9</f>
        <v>Darshan Sharma</v>
      </c>
      <c r="C313" s="13">
        <v>0</v>
      </c>
      <c r="D313" s="13">
        <v>1</v>
      </c>
      <c r="E313" s="13">
        <v>0</v>
      </c>
      <c r="F313" s="13">
        <v>0</v>
      </c>
      <c r="G313" s="13">
        <v>1</v>
      </c>
      <c r="H313" s="13">
        <v>1</v>
      </c>
      <c r="I313" s="13">
        <v>1</v>
      </c>
      <c r="J313" s="13">
        <v>0</v>
      </c>
      <c r="K313" s="13">
        <v>0</v>
      </c>
      <c r="L313" s="13">
        <v>0</v>
      </c>
      <c r="M313" s="13">
        <v>0</v>
      </c>
      <c r="N313" s="13">
        <v>1</v>
      </c>
      <c r="O313" s="13">
        <v>2</v>
      </c>
      <c r="P313" s="13">
        <v>2</v>
      </c>
      <c r="Q313" s="30">
        <f t="shared" si="36"/>
        <v>9</v>
      </c>
      <c r="R313" s="30">
        <f t="shared" si="37"/>
        <v>83</v>
      </c>
      <c r="S313" s="30">
        <f t="shared" si="38"/>
        <v>92</v>
      </c>
    </row>
    <row r="314" spans="1:19" ht="18.75">
      <c r="A314" s="29">
        <v>9</v>
      </c>
      <c r="B314" s="15" t="str">
        <f>'Candidate List'!B10</f>
        <v>Dilshad Ahmad</v>
      </c>
      <c r="C314" s="13">
        <v>0</v>
      </c>
      <c r="D314" s="13">
        <v>2</v>
      </c>
      <c r="E314" s="13">
        <v>1</v>
      </c>
      <c r="F314" s="13">
        <v>0</v>
      </c>
      <c r="G314" s="13">
        <v>0</v>
      </c>
      <c r="H314" s="13">
        <v>2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1</v>
      </c>
      <c r="O314" s="13">
        <v>0</v>
      </c>
      <c r="P314" s="13">
        <v>3</v>
      </c>
      <c r="Q314" s="30">
        <f t="shared" si="36"/>
        <v>9</v>
      </c>
      <c r="R314" s="30">
        <f t="shared" si="37"/>
        <v>741</v>
      </c>
      <c r="S314" s="30">
        <f t="shared" si="38"/>
        <v>750</v>
      </c>
    </row>
    <row r="315" spans="1:19" ht="18.75">
      <c r="A315" s="29">
        <v>10</v>
      </c>
      <c r="B315" s="15" t="str">
        <f>'Candidate List'!B11</f>
        <v>Raju Thakur</v>
      </c>
      <c r="C315" s="13">
        <v>1</v>
      </c>
      <c r="D315" s="13">
        <v>0</v>
      </c>
      <c r="E315" s="13">
        <v>0</v>
      </c>
      <c r="F315" s="13">
        <v>1</v>
      </c>
      <c r="G315" s="13">
        <v>1</v>
      </c>
      <c r="H315" s="13">
        <v>1</v>
      </c>
      <c r="I315" s="13">
        <v>0</v>
      </c>
      <c r="J315" s="13">
        <v>3</v>
      </c>
      <c r="K315" s="13">
        <v>3</v>
      </c>
      <c r="L315" s="13">
        <v>3</v>
      </c>
      <c r="M315" s="13">
        <v>0</v>
      </c>
      <c r="N315" s="13">
        <v>5</v>
      </c>
      <c r="O315" s="13">
        <v>1</v>
      </c>
      <c r="P315" s="13">
        <v>6</v>
      </c>
      <c r="Q315" s="30">
        <f t="shared" si="36"/>
        <v>25</v>
      </c>
      <c r="R315" s="30">
        <f t="shared" si="37"/>
        <v>282</v>
      </c>
      <c r="S315" s="30">
        <f t="shared" si="38"/>
        <v>307</v>
      </c>
    </row>
    <row r="316" spans="1:19" ht="18.75">
      <c r="A316" s="29">
        <v>11</v>
      </c>
      <c r="B316" s="15" t="str">
        <f>'Candidate List'!B12</f>
        <v>Bablu</v>
      </c>
      <c r="C316" s="13">
        <v>0</v>
      </c>
      <c r="D316" s="13">
        <v>5</v>
      </c>
      <c r="E316" s="13">
        <v>0</v>
      </c>
      <c r="F316" s="13">
        <v>0</v>
      </c>
      <c r="G316" s="13">
        <v>1</v>
      </c>
      <c r="H316" s="13">
        <v>1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2</v>
      </c>
      <c r="O316" s="13">
        <v>0</v>
      </c>
      <c r="P316" s="13">
        <v>1</v>
      </c>
      <c r="Q316" s="30">
        <f t="shared" si="36"/>
        <v>10</v>
      </c>
      <c r="R316" s="30">
        <f t="shared" si="37"/>
        <v>139</v>
      </c>
      <c r="S316" s="30">
        <f t="shared" si="38"/>
        <v>149</v>
      </c>
    </row>
    <row r="317" spans="1:19" ht="18.75">
      <c r="A317" s="29">
        <v>12</v>
      </c>
      <c r="B317" s="15" t="str">
        <f>'Candidate List'!B13</f>
        <v>NOTA</v>
      </c>
      <c r="C317" s="13">
        <v>1</v>
      </c>
      <c r="D317" s="13">
        <v>2</v>
      </c>
      <c r="E317" s="13">
        <v>1</v>
      </c>
      <c r="F317" s="13">
        <v>2</v>
      </c>
      <c r="G317" s="13">
        <v>1</v>
      </c>
      <c r="H317" s="13">
        <v>5</v>
      </c>
      <c r="I317" s="13">
        <v>6</v>
      </c>
      <c r="J317" s="13">
        <v>1</v>
      </c>
      <c r="K317" s="13">
        <v>2</v>
      </c>
      <c r="L317" s="13">
        <v>0</v>
      </c>
      <c r="M317" s="13">
        <v>0</v>
      </c>
      <c r="N317" s="13">
        <v>4</v>
      </c>
      <c r="O317" s="13">
        <v>1</v>
      </c>
      <c r="P317" s="13">
        <v>7</v>
      </c>
      <c r="Q317" s="30">
        <f t="shared" si="36"/>
        <v>33</v>
      </c>
      <c r="R317" s="30">
        <f t="shared" si="37"/>
        <v>267</v>
      </c>
      <c r="S317" s="30">
        <f t="shared" si="38"/>
        <v>300</v>
      </c>
    </row>
    <row r="318" spans="1:19">
      <c r="A318" s="187" t="s">
        <v>11</v>
      </c>
      <c r="B318" s="187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30">
        <f t="shared" si="36"/>
        <v>0</v>
      </c>
      <c r="R318" s="30">
        <f t="shared" si="37"/>
        <v>0</v>
      </c>
      <c r="S318" s="30">
        <f t="shared" si="38"/>
        <v>0</v>
      </c>
    </row>
    <row r="319" spans="1:19">
      <c r="A319" s="188" t="s">
        <v>12</v>
      </c>
      <c r="B319" s="188"/>
      <c r="C319" s="30">
        <f t="shared" ref="C319:P319" si="39">SUM(C306:C318)</f>
        <v>490</v>
      </c>
      <c r="D319" s="30">
        <f t="shared" si="39"/>
        <v>407</v>
      </c>
      <c r="E319" s="30">
        <f t="shared" si="39"/>
        <v>479</v>
      </c>
      <c r="F319" s="30">
        <f t="shared" si="39"/>
        <v>339</v>
      </c>
      <c r="G319" s="30">
        <f t="shared" si="39"/>
        <v>401</v>
      </c>
      <c r="H319" s="30">
        <f t="shared" si="39"/>
        <v>471</v>
      </c>
      <c r="I319" s="30">
        <f t="shared" si="39"/>
        <v>599</v>
      </c>
      <c r="J319" s="30">
        <f t="shared" si="39"/>
        <v>354</v>
      </c>
      <c r="K319" s="30">
        <f t="shared" si="39"/>
        <v>463</v>
      </c>
      <c r="L319" s="30">
        <f t="shared" si="39"/>
        <v>450</v>
      </c>
      <c r="M319" s="30">
        <f t="shared" si="39"/>
        <v>558</v>
      </c>
      <c r="N319" s="30">
        <f t="shared" si="39"/>
        <v>474</v>
      </c>
      <c r="O319" s="30">
        <f t="shared" si="39"/>
        <v>604</v>
      </c>
      <c r="P319" s="30">
        <f t="shared" si="39"/>
        <v>649</v>
      </c>
      <c r="Q319" s="30">
        <f t="shared" si="36"/>
        <v>6738</v>
      </c>
      <c r="R319" s="30">
        <f t="shared" si="37"/>
        <v>67100</v>
      </c>
      <c r="S319" s="30">
        <f t="shared" si="38"/>
        <v>73838</v>
      </c>
    </row>
    <row r="320" spans="1:19" ht="39" customHeight="1">
      <c r="A320" s="5"/>
      <c r="B320" s="5"/>
      <c r="C320" s="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8"/>
      <c r="R320" s="7"/>
      <c r="S320" s="7"/>
    </row>
    <row r="321" spans="1:19" ht="22.5">
      <c r="A321" s="31"/>
      <c r="B321" s="31"/>
      <c r="C321" s="10" t="s">
        <v>13</v>
      </c>
      <c r="D321" s="10" t="s">
        <v>13</v>
      </c>
      <c r="E321" s="10" t="s">
        <v>13</v>
      </c>
      <c r="F321" s="10" t="s">
        <v>13</v>
      </c>
      <c r="G321" s="10" t="s">
        <v>13</v>
      </c>
      <c r="H321" s="10" t="s">
        <v>13</v>
      </c>
      <c r="I321" s="10" t="s">
        <v>13</v>
      </c>
      <c r="J321" s="10" t="s">
        <v>13</v>
      </c>
      <c r="K321" s="10" t="s">
        <v>13</v>
      </c>
      <c r="L321" s="10" t="s">
        <v>13</v>
      </c>
      <c r="M321" s="10" t="s">
        <v>13</v>
      </c>
      <c r="N321" s="10" t="s">
        <v>13</v>
      </c>
      <c r="O321" s="10" t="s">
        <v>13</v>
      </c>
      <c r="P321" s="10" t="s">
        <v>13</v>
      </c>
      <c r="Q321" s="10" t="s">
        <v>13</v>
      </c>
      <c r="R321" s="10" t="s">
        <v>13</v>
      </c>
      <c r="S321" s="10" t="s">
        <v>13</v>
      </c>
    </row>
    <row r="322" spans="1:19" ht="37.5" customHeight="1">
      <c r="A322" s="31"/>
      <c r="B322" s="3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 ht="22.5">
      <c r="A323" s="31"/>
      <c r="B323" s="31"/>
      <c r="C323" s="10" t="s">
        <v>14</v>
      </c>
      <c r="D323" s="10" t="s">
        <v>14</v>
      </c>
      <c r="E323" s="10" t="s">
        <v>14</v>
      </c>
      <c r="F323" s="10" t="s">
        <v>14</v>
      </c>
      <c r="G323" s="10" t="s">
        <v>14</v>
      </c>
      <c r="H323" s="10" t="s">
        <v>14</v>
      </c>
      <c r="I323" s="10" t="s">
        <v>14</v>
      </c>
      <c r="J323" s="10" t="s">
        <v>14</v>
      </c>
      <c r="K323" s="10" t="s">
        <v>14</v>
      </c>
      <c r="L323" s="10" t="s">
        <v>14</v>
      </c>
      <c r="M323" s="10" t="s">
        <v>14</v>
      </c>
      <c r="N323" s="10" t="s">
        <v>14</v>
      </c>
      <c r="O323" s="10" t="s">
        <v>14</v>
      </c>
      <c r="P323" s="10" t="s">
        <v>14</v>
      </c>
      <c r="Q323" s="10" t="s">
        <v>14</v>
      </c>
      <c r="R323" s="10" t="s">
        <v>14</v>
      </c>
      <c r="S323" s="10" t="s">
        <v>14</v>
      </c>
    </row>
    <row r="324" spans="1:19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</row>
    <row r="325" spans="1:19">
      <c r="A325" s="189" t="s">
        <v>15</v>
      </c>
      <c r="B325" s="189"/>
      <c r="C325" s="164" t="s">
        <v>16</v>
      </c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31"/>
      <c r="S325" s="31"/>
    </row>
    <row r="326" spans="1:19">
      <c r="A326" s="31"/>
      <c r="B326" s="31"/>
      <c r="C326" s="164" t="s">
        <v>17</v>
      </c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31"/>
      <c r="S326" s="31"/>
    </row>
    <row r="327" spans="1:19">
      <c r="A327" s="31"/>
      <c r="B327" s="31"/>
      <c r="C327" s="164" t="s">
        <v>44</v>
      </c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31"/>
      <c r="S327" s="31"/>
    </row>
    <row r="328" spans="1:19">
      <c r="A328" s="31"/>
      <c r="B328" s="31"/>
      <c r="C328" s="164" t="s">
        <v>45</v>
      </c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31"/>
      <c r="S328" s="31"/>
    </row>
    <row r="333" spans="1:19" ht="26.25">
      <c r="A333" s="190" t="s">
        <v>0</v>
      </c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</row>
    <row r="334" spans="1:19" ht="19.5">
      <c r="A334" s="191" t="s">
        <v>1225</v>
      </c>
      <c r="B334" s="191"/>
      <c r="C334" s="191"/>
      <c r="D334" s="191"/>
      <c r="E334" s="191"/>
      <c r="F334" s="191"/>
      <c r="G334" s="191"/>
      <c r="H334" s="191"/>
      <c r="I334" s="1"/>
      <c r="J334" s="1"/>
      <c r="K334" s="192" t="s">
        <v>30</v>
      </c>
      <c r="L334" s="192"/>
      <c r="M334" s="192"/>
      <c r="N334" s="192"/>
      <c r="O334" s="1"/>
      <c r="P334" s="193" t="s">
        <v>1</v>
      </c>
      <c r="Q334" s="193"/>
      <c r="R334" s="194">
        <v>44630</v>
      </c>
      <c r="S334" s="194"/>
    </row>
    <row r="335" spans="1:19">
      <c r="A335" s="188" t="s">
        <v>2</v>
      </c>
      <c r="B335" s="188"/>
      <c r="C335" s="30">
        <v>1</v>
      </c>
      <c r="D335" s="30">
        <v>2</v>
      </c>
      <c r="E335" s="30">
        <v>3</v>
      </c>
      <c r="F335" s="30">
        <v>4</v>
      </c>
      <c r="G335" s="30">
        <v>5</v>
      </c>
      <c r="H335" s="30">
        <v>6</v>
      </c>
      <c r="I335" s="30">
        <v>7</v>
      </c>
      <c r="J335" s="30">
        <v>8</v>
      </c>
      <c r="K335" s="30">
        <v>9</v>
      </c>
      <c r="L335" s="30">
        <v>10</v>
      </c>
      <c r="M335" s="30">
        <v>11</v>
      </c>
      <c r="N335" s="30">
        <v>12</v>
      </c>
      <c r="O335" s="30">
        <v>13</v>
      </c>
      <c r="P335" s="30">
        <v>14</v>
      </c>
      <c r="Q335" s="195" t="s">
        <v>3</v>
      </c>
      <c r="R335" s="195" t="s">
        <v>4</v>
      </c>
      <c r="S335" s="195" t="s">
        <v>5</v>
      </c>
    </row>
    <row r="336" spans="1:19">
      <c r="A336" s="165" t="s">
        <v>6</v>
      </c>
      <c r="B336" s="167"/>
      <c r="C336" s="40">
        <f>'Booth detail'!EL1</f>
        <v>141</v>
      </c>
      <c r="D336" s="40">
        <f>'Booth detail'!EM1</f>
        <v>142</v>
      </c>
      <c r="E336" s="40">
        <f>'Booth detail'!EN1</f>
        <v>143</v>
      </c>
      <c r="F336" s="40">
        <f>'Booth detail'!EO1</f>
        <v>144</v>
      </c>
      <c r="G336" s="40">
        <f>'Booth detail'!EP1</f>
        <v>145</v>
      </c>
      <c r="H336" s="40">
        <f>'Booth detail'!EQ1</f>
        <v>146</v>
      </c>
      <c r="I336" s="40">
        <f>'Booth detail'!ER1</f>
        <v>147</v>
      </c>
      <c r="J336" s="40">
        <f>'Booth detail'!ES1</f>
        <v>148</v>
      </c>
      <c r="K336" s="40">
        <f>'Booth detail'!ET1</f>
        <v>149</v>
      </c>
      <c r="L336" s="40">
        <f>'Booth detail'!EU1</f>
        <v>150</v>
      </c>
      <c r="M336" s="40">
        <f>'Booth detail'!EV1</f>
        <v>151</v>
      </c>
      <c r="N336" s="40">
        <f>'Booth detail'!EW1</f>
        <v>152</v>
      </c>
      <c r="O336" s="40">
        <f>'Booth detail'!EX1</f>
        <v>153</v>
      </c>
      <c r="P336" s="40">
        <f>'Booth detail'!EY1</f>
        <v>154</v>
      </c>
      <c r="Q336" s="196"/>
      <c r="R336" s="196"/>
      <c r="S336" s="196"/>
    </row>
    <row r="337" spans="1:19" ht="25.5">
      <c r="A337" s="165" t="s">
        <v>18</v>
      </c>
      <c r="B337" s="167"/>
      <c r="C337" s="44" t="str">
        <f>'Booth detail'!EL2</f>
        <v>ECUEC47912</v>
      </c>
      <c r="D337" s="44" t="str">
        <f>'Booth detail'!EM2</f>
        <v>ECUEC50598</v>
      </c>
      <c r="E337" s="44" t="str">
        <f>'Booth detail'!EN2</f>
        <v>ECUEC57424</v>
      </c>
      <c r="F337" s="44" t="str">
        <f>'Booth detail'!EO2</f>
        <v>ECUEC57739</v>
      </c>
      <c r="G337" s="44" t="str">
        <f>'Booth detail'!EP2</f>
        <v>ECUEC64634</v>
      </c>
      <c r="H337" s="44" t="str">
        <f>'Booth detail'!EQ2</f>
        <v>ECUEC64357</v>
      </c>
      <c r="I337" s="44" t="str">
        <f>'Booth detail'!ER2</f>
        <v>ECUEC64070</v>
      </c>
      <c r="J337" s="44" t="str">
        <f>'Booth detail'!ES2</f>
        <v>ECUEC50122</v>
      </c>
      <c r="K337" s="44" t="str">
        <f>'Booth detail'!ET2</f>
        <v>ECUEC53760</v>
      </c>
      <c r="L337" s="44" t="str">
        <f>'Booth detail'!EU2</f>
        <v>ECUEC57820</v>
      </c>
      <c r="M337" s="44" t="str">
        <f>'Booth detail'!EV2</f>
        <v>ECUED21469</v>
      </c>
      <c r="N337" s="44" t="str">
        <f>'Booth detail'!EW2</f>
        <v>ECUEC54571</v>
      </c>
      <c r="O337" s="44" t="str">
        <f>'Booth detail'!EX2</f>
        <v>ECUEC50155</v>
      </c>
      <c r="P337" s="44" t="str">
        <f>'Booth detail'!EY2</f>
        <v>ECUEC63814</v>
      </c>
      <c r="Q337" s="196"/>
      <c r="R337" s="196"/>
      <c r="S337" s="196"/>
    </row>
    <row r="338" spans="1:19" s="19" customFormat="1" ht="38.25" customHeight="1">
      <c r="A338" s="165" t="s">
        <v>20</v>
      </c>
      <c r="B338" s="167"/>
      <c r="C338" s="55" t="str">
        <f>'Booth detail'!EL3</f>
        <v>-</v>
      </c>
      <c r="D338" s="55" t="str">
        <f>'Booth detail'!EM3</f>
        <v>-</v>
      </c>
      <c r="E338" s="55" t="str">
        <f>'Booth detail'!EN3</f>
        <v>-</v>
      </c>
      <c r="F338" s="55" t="str">
        <f>'Booth detail'!EO3</f>
        <v>-</v>
      </c>
      <c r="G338" s="55" t="str">
        <f>'Booth detail'!EP3</f>
        <v>-</v>
      </c>
      <c r="H338" s="55" t="str">
        <f>'Booth detail'!EQ3</f>
        <v>-</v>
      </c>
      <c r="I338" s="55" t="str">
        <f>'Booth detail'!ER3</f>
        <v>-</v>
      </c>
      <c r="J338" s="55" t="str">
        <f>'Booth detail'!ES3</f>
        <v>-</v>
      </c>
      <c r="K338" s="55" t="str">
        <f>'Booth detail'!ET3</f>
        <v>-</v>
      </c>
      <c r="L338" s="55" t="str">
        <f>'Booth detail'!EU3</f>
        <v>-</v>
      </c>
      <c r="M338" s="55" t="str">
        <f>'Booth detail'!EV3</f>
        <v>-</v>
      </c>
      <c r="N338" s="55" t="str">
        <f>'Booth detail'!EW3</f>
        <v>-</v>
      </c>
      <c r="O338" s="55" t="str">
        <f>'Booth detail'!EX3</f>
        <v>-</v>
      </c>
      <c r="P338" s="55" t="str">
        <f>'Booth detail'!EY3</f>
        <v>-</v>
      </c>
      <c r="Q338" s="196"/>
      <c r="R338" s="196"/>
      <c r="S338" s="196"/>
    </row>
    <row r="339" spans="1:19">
      <c r="A339" s="14" t="s">
        <v>7</v>
      </c>
      <c r="B339" s="32" t="s">
        <v>8</v>
      </c>
      <c r="C339" s="33" t="s">
        <v>9</v>
      </c>
      <c r="D339" s="33" t="s">
        <v>9</v>
      </c>
      <c r="E339" s="33" t="s">
        <v>9</v>
      </c>
      <c r="F339" s="33" t="s">
        <v>9</v>
      </c>
      <c r="G339" s="33" t="s">
        <v>9</v>
      </c>
      <c r="H339" s="33" t="s">
        <v>9</v>
      </c>
      <c r="I339" s="33" t="s">
        <v>9</v>
      </c>
      <c r="J339" s="33" t="s">
        <v>9</v>
      </c>
      <c r="K339" s="33" t="s">
        <v>9</v>
      </c>
      <c r="L339" s="33" t="s">
        <v>9</v>
      </c>
      <c r="M339" s="33" t="s">
        <v>9</v>
      </c>
      <c r="N339" s="33" t="s">
        <v>9</v>
      </c>
      <c r="O339" s="33" t="s">
        <v>9</v>
      </c>
      <c r="P339" s="33" t="s">
        <v>9</v>
      </c>
      <c r="Q339" s="197"/>
      <c r="R339" s="197"/>
      <c r="S339" s="197"/>
    </row>
    <row r="340" spans="1:19" ht="18.75">
      <c r="A340" s="29">
        <v>1</v>
      </c>
      <c r="B340" s="15" t="str">
        <f>'Candidate List'!B2</f>
        <v>Manveer Singh</v>
      </c>
      <c r="C340" s="13">
        <v>10</v>
      </c>
      <c r="D340" s="13">
        <v>50</v>
      </c>
      <c r="E340" s="13">
        <v>71</v>
      </c>
      <c r="F340" s="13">
        <v>75</v>
      </c>
      <c r="G340" s="13">
        <v>13</v>
      </c>
      <c r="H340" s="13">
        <v>120</v>
      </c>
      <c r="I340" s="13">
        <v>47</v>
      </c>
      <c r="J340" s="13">
        <v>120</v>
      </c>
      <c r="K340" s="13">
        <v>33</v>
      </c>
      <c r="L340" s="13">
        <v>20</v>
      </c>
      <c r="M340" s="13">
        <v>126</v>
      </c>
      <c r="N340" s="13">
        <v>85</v>
      </c>
      <c r="O340" s="13">
        <v>4</v>
      </c>
      <c r="P340" s="13">
        <v>247</v>
      </c>
      <c r="Q340" s="30">
        <f>SUM(C340:P340)</f>
        <v>1021</v>
      </c>
      <c r="R340" s="30">
        <f>S306</f>
        <v>7734</v>
      </c>
      <c r="S340" s="30">
        <f>Q340+R340</f>
        <v>8755</v>
      </c>
    </row>
    <row r="341" spans="1:19" ht="18.75">
      <c r="A341" s="29">
        <v>2</v>
      </c>
      <c r="B341" s="15" t="str">
        <f>'Candidate List'!B3</f>
        <v>Rahul Yadav</v>
      </c>
      <c r="C341" s="13">
        <v>27</v>
      </c>
      <c r="D341" s="13">
        <v>65</v>
      </c>
      <c r="E341" s="13">
        <v>70</v>
      </c>
      <c r="F341" s="13">
        <v>119</v>
      </c>
      <c r="G341" s="13">
        <v>368</v>
      </c>
      <c r="H341" s="13">
        <v>246</v>
      </c>
      <c r="I341" s="13">
        <v>234</v>
      </c>
      <c r="J341" s="13">
        <v>343</v>
      </c>
      <c r="K341" s="13">
        <v>557</v>
      </c>
      <c r="L341" s="13">
        <v>423</v>
      </c>
      <c r="M341" s="13">
        <v>278</v>
      </c>
      <c r="N341" s="13">
        <v>391</v>
      </c>
      <c r="O341" s="13">
        <v>489</v>
      </c>
      <c r="P341" s="13">
        <v>53</v>
      </c>
      <c r="Q341" s="30">
        <f t="shared" ref="Q341:Q353" si="40">SUM(C341:P341)</f>
        <v>3663</v>
      </c>
      <c r="R341" s="30">
        <f t="shared" ref="R341:R353" si="41">S307</f>
        <v>36806</v>
      </c>
      <c r="S341" s="30">
        <f t="shared" ref="S341:S353" si="42">Q341+R341</f>
        <v>40469</v>
      </c>
    </row>
    <row r="342" spans="1:19" ht="18.75">
      <c r="A342" s="29">
        <v>3</v>
      </c>
      <c r="B342" s="15" t="str">
        <f>'Candidate List'!B4</f>
        <v>Lakshmi Raj</v>
      </c>
      <c r="C342" s="13">
        <v>311</v>
      </c>
      <c r="D342" s="13">
        <v>508</v>
      </c>
      <c r="E342" s="13">
        <v>520</v>
      </c>
      <c r="F342" s="13">
        <v>324</v>
      </c>
      <c r="G342" s="13">
        <v>183</v>
      </c>
      <c r="H342" s="13">
        <v>104</v>
      </c>
      <c r="I342" s="13">
        <v>117</v>
      </c>
      <c r="J342" s="13">
        <v>358</v>
      </c>
      <c r="K342" s="13">
        <v>22</v>
      </c>
      <c r="L342" s="13">
        <v>182</v>
      </c>
      <c r="M342" s="13">
        <v>85</v>
      </c>
      <c r="N342" s="13">
        <v>79</v>
      </c>
      <c r="O342" s="13">
        <v>225</v>
      </c>
      <c r="P342" s="13">
        <v>290</v>
      </c>
      <c r="Q342" s="30">
        <f t="shared" si="40"/>
        <v>3308</v>
      </c>
      <c r="R342" s="30">
        <f t="shared" si="41"/>
        <v>26801</v>
      </c>
      <c r="S342" s="30">
        <f t="shared" si="42"/>
        <v>30109</v>
      </c>
    </row>
    <row r="343" spans="1:19" ht="18.75">
      <c r="A343" s="29">
        <v>4</v>
      </c>
      <c r="B343" s="15" t="str">
        <f>'Candidate List'!B5</f>
        <v>Saleem Akhtar Khan</v>
      </c>
      <c r="C343" s="13">
        <v>0</v>
      </c>
      <c r="D343" s="13">
        <v>3</v>
      </c>
      <c r="E343" s="13">
        <v>2</v>
      </c>
      <c r="F343" s="13">
        <v>4</v>
      </c>
      <c r="G343" s="13">
        <v>3</v>
      </c>
      <c r="H343" s="13">
        <v>0</v>
      </c>
      <c r="I343" s="13">
        <v>0</v>
      </c>
      <c r="J343" s="13">
        <v>3</v>
      </c>
      <c r="K343" s="13">
        <v>7</v>
      </c>
      <c r="L343" s="13">
        <v>9</v>
      </c>
      <c r="M343" s="13">
        <v>4</v>
      </c>
      <c r="N343" s="13">
        <v>0</v>
      </c>
      <c r="O343" s="13">
        <v>3</v>
      </c>
      <c r="P343" s="13">
        <v>1</v>
      </c>
      <c r="Q343" s="30">
        <f t="shared" si="40"/>
        <v>39</v>
      </c>
      <c r="R343" s="30">
        <f t="shared" si="41"/>
        <v>707</v>
      </c>
      <c r="S343" s="30">
        <f t="shared" si="42"/>
        <v>746</v>
      </c>
    </row>
    <row r="344" spans="1:19" ht="18.75">
      <c r="A344" s="29">
        <v>5</v>
      </c>
      <c r="B344" s="15" t="str">
        <f>'Candidate List'!B6</f>
        <v>Ajay Kumar</v>
      </c>
      <c r="C344" s="13">
        <v>0</v>
      </c>
      <c r="D344" s="13">
        <v>1</v>
      </c>
      <c r="E344" s="13">
        <v>3</v>
      </c>
      <c r="F344" s="13">
        <v>1</v>
      </c>
      <c r="G344" s="13">
        <v>1</v>
      </c>
      <c r="H344" s="13">
        <v>0</v>
      </c>
      <c r="I344" s="13">
        <v>0</v>
      </c>
      <c r="J344" s="13">
        <v>0</v>
      </c>
      <c r="K344" s="13">
        <v>2</v>
      </c>
      <c r="L344" s="13">
        <v>0</v>
      </c>
      <c r="M344" s="13">
        <v>2</v>
      </c>
      <c r="N344" s="13">
        <v>0</v>
      </c>
      <c r="O344" s="13">
        <v>0</v>
      </c>
      <c r="P344" s="13">
        <v>0</v>
      </c>
      <c r="Q344" s="30">
        <f t="shared" si="40"/>
        <v>10</v>
      </c>
      <c r="R344" s="30">
        <f t="shared" si="41"/>
        <v>115</v>
      </c>
      <c r="S344" s="30">
        <f t="shared" si="42"/>
        <v>125</v>
      </c>
    </row>
    <row r="345" spans="1:19" ht="18.75">
      <c r="A345" s="29">
        <v>6</v>
      </c>
      <c r="B345" s="15" t="str">
        <f>'Candidate List'!B7</f>
        <v>Ajay Kumar Sharma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1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30">
        <f t="shared" si="40"/>
        <v>1</v>
      </c>
      <c r="R345" s="30">
        <f t="shared" si="41"/>
        <v>26</v>
      </c>
      <c r="S345" s="30">
        <f t="shared" si="42"/>
        <v>27</v>
      </c>
    </row>
    <row r="346" spans="1:19" ht="18.75">
      <c r="A346" s="29">
        <v>7</v>
      </c>
      <c r="B346" s="15" t="str">
        <f>'Candidate List'!B8</f>
        <v>Amit Singh Tomar</v>
      </c>
      <c r="C346" s="13">
        <v>0</v>
      </c>
      <c r="D346" s="13">
        <v>0</v>
      </c>
      <c r="E346" s="13">
        <v>0</v>
      </c>
      <c r="F346" s="13">
        <v>0</v>
      </c>
      <c r="G346" s="13">
        <v>1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30">
        <f t="shared" si="40"/>
        <v>1</v>
      </c>
      <c r="R346" s="30">
        <f t="shared" si="41"/>
        <v>51</v>
      </c>
      <c r="S346" s="30">
        <f t="shared" si="42"/>
        <v>52</v>
      </c>
    </row>
    <row r="347" spans="1:19" ht="18.75">
      <c r="A347" s="29">
        <v>8</v>
      </c>
      <c r="B347" s="15" t="str">
        <f>'Candidate List'!B9</f>
        <v>Darshan Sharma</v>
      </c>
      <c r="C347" s="13">
        <v>0</v>
      </c>
      <c r="D347" s="13">
        <v>2</v>
      </c>
      <c r="E347" s="13">
        <v>0</v>
      </c>
      <c r="F347" s="13">
        <v>0</v>
      </c>
      <c r="G347" s="13">
        <v>0</v>
      </c>
      <c r="H347" s="13">
        <v>1</v>
      </c>
      <c r="I347" s="13">
        <v>0</v>
      </c>
      <c r="J347" s="13">
        <v>0</v>
      </c>
      <c r="K347" s="13">
        <v>1</v>
      </c>
      <c r="L347" s="13">
        <v>0</v>
      </c>
      <c r="M347" s="13">
        <v>0</v>
      </c>
      <c r="N347" s="13">
        <v>1</v>
      </c>
      <c r="O347" s="13">
        <v>2</v>
      </c>
      <c r="P347" s="13">
        <v>1</v>
      </c>
      <c r="Q347" s="30">
        <f t="shared" si="40"/>
        <v>8</v>
      </c>
      <c r="R347" s="30">
        <f t="shared" si="41"/>
        <v>92</v>
      </c>
      <c r="S347" s="30">
        <f t="shared" si="42"/>
        <v>100</v>
      </c>
    </row>
    <row r="348" spans="1:19" ht="18.75">
      <c r="A348" s="29">
        <v>9</v>
      </c>
      <c r="B348" s="15" t="str">
        <f>'Candidate List'!B10</f>
        <v>Dilshad Ahmad</v>
      </c>
      <c r="C348" s="13">
        <v>1</v>
      </c>
      <c r="D348" s="13">
        <v>0</v>
      </c>
      <c r="E348" s="13">
        <v>2</v>
      </c>
      <c r="F348" s="13">
        <v>1</v>
      </c>
      <c r="G348" s="13">
        <v>1</v>
      </c>
      <c r="H348" s="13">
        <v>1</v>
      </c>
      <c r="I348" s="13">
        <v>1</v>
      </c>
      <c r="J348" s="13">
        <v>0</v>
      </c>
      <c r="K348" s="13">
        <v>8</v>
      </c>
      <c r="L348" s="13">
        <v>1</v>
      </c>
      <c r="M348" s="13">
        <v>31</v>
      </c>
      <c r="N348" s="13">
        <v>0</v>
      </c>
      <c r="O348" s="13">
        <v>0</v>
      </c>
      <c r="P348" s="13">
        <v>1</v>
      </c>
      <c r="Q348" s="30">
        <f t="shared" si="40"/>
        <v>48</v>
      </c>
      <c r="R348" s="30">
        <f t="shared" si="41"/>
        <v>750</v>
      </c>
      <c r="S348" s="30">
        <f t="shared" si="42"/>
        <v>798</v>
      </c>
    </row>
    <row r="349" spans="1:19" ht="18.75">
      <c r="A349" s="29">
        <v>10</v>
      </c>
      <c r="B349" s="15" t="str">
        <f>'Candidate List'!B11</f>
        <v>Raju Thakur</v>
      </c>
      <c r="C349" s="13">
        <v>5</v>
      </c>
      <c r="D349" s="13">
        <v>9</v>
      </c>
      <c r="E349" s="13">
        <v>7</v>
      </c>
      <c r="F349" s="13">
        <v>2</v>
      </c>
      <c r="G349" s="13">
        <v>7</v>
      </c>
      <c r="H349" s="13">
        <v>3</v>
      </c>
      <c r="I349" s="13">
        <v>1</v>
      </c>
      <c r="J349" s="13">
        <v>4</v>
      </c>
      <c r="K349" s="13">
        <v>2</v>
      </c>
      <c r="L349" s="13">
        <v>1</v>
      </c>
      <c r="M349" s="13">
        <v>5</v>
      </c>
      <c r="N349" s="13">
        <v>2</v>
      </c>
      <c r="O349" s="13">
        <v>8</v>
      </c>
      <c r="P349" s="13">
        <v>5</v>
      </c>
      <c r="Q349" s="30">
        <f t="shared" si="40"/>
        <v>61</v>
      </c>
      <c r="R349" s="30">
        <f t="shared" si="41"/>
        <v>307</v>
      </c>
      <c r="S349" s="30">
        <f t="shared" si="42"/>
        <v>368</v>
      </c>
    </row>
    <row r="350" spans="1:19" ht="18.75">
      <c r="A350" s="29">
        <v>11</v>
      </c>
      <c r="B350" s="15" t="str">
        <f>'Candidate List'!B12</f>
        <v>Bablu</v>
      </c>
      <c r="C350" s="13">
        <v>0</v>
      </c>
      <c r="D350" s="13">
        <v>2</v>
      </c>
      <c r="E350" s="13">
        <v>0</v>
      </c>
      <c r="F350" s="13">
        <v>1</v>
      </c>
      <c r="G350" s="13">
        <v>2</v>
      </c>
      <c r="H350" s="13">
        <v>2</v>
      </c>
      <c r="I350" s="13">
        <v>0</v>
      </c>
      <c r="J350" s="13">
        <v>1</v>
      </c>
      <c r="K350" s="13">
        <v>2</v>
      </c>
      <c r="L350" s="13">
        <v>0</v>
      </c>
      <c r="M350" s="13">
        <v>2</v>
      </c>
      <c r="N350" s="13">
        <v>2</v>
      </c>
      <c r="O350" s="13">
        <v>0</v>
      </c>
      <c r="P350" s="13">
        <v>0</v>
      </c>
      <c r="Q350" s="30">
        <f t="shared" si="40"/>
        <v>14</v>
      </c>
      <c r="R350" s="30">
        <f t="shared" si="41"/>
        <v>149</v>
      </c>
      <c r="S350" s="30">
        <f t="shared" si="42"/>
        <v>163</v>
      </c>
    </row>
    <row r="351" spans="1:19" ht="18.75">
      <c r="A351" s="29">
        <v>12</v>
      </c>
      <c r="B351" s="15" t="str">
        <f>'Candidate List'!B13</f>
        <v>NOTA</v>
      </c>
      <c r="C351" s="13">
        <v>1</v>
      </c>
      <c r="D351" s="13">
        <v>3</v>
      </c>
      <c r="E351" s="13">
        <v>0</v>
      </c>
      <c r="F351" s="13">
        <v>6</v>
      </c>
      <c r="G351" s="13">
        <v>1</v>
      </c>
      <c r="H351" s="13">
        <v>3</v>
      </c>
      <c r="I351" s="13">
        <v>0</v>
      </c>
      <c r="J351" s="13">
        <v>1</v>
      </c>
      <c r="K351" s="13">
        <v>2</v>
      </c>
      <c r="L351" s="13">
        <v>1</v>
      </c>
      <c r="M351" s="13">
        <v>4</v>
      </c>
      <c r="N351" s="13">
        <v>1</v>
      </c>
      <c r="O351" s="13">
        <v>2</v>
      </c>
      <c r="P351" s="13">
        <v>5</v>
      </c>
      <c r="Q351" s="30">
        <f t="shared" si="40"/>
        <v>30</v>
      </c>
      <c r="R351" s="30">
        <f t="shared" si="41"/>
        <v>300</v>
      </c>
      <c r="S351" s="30">
        <f t="shared" si="42"/>
        <v>330</v>
      </c>
    </row>
    <row r="352" spans="1:19">
      <c r="A352" s="187" t="s">
        <v>11</v>
      </c>
      <c r="B352" s="187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30">
        <f t="shared" si="40"/>
        <v>0</v>
      </c>
      <c r="R352" s="30">
        <f t="shared" si="41"/>
        <v>0</v>
      </c>
      <c r="S352" s="30">
        <f t="shared" si="42"/>
        <v>0</v>
      </c>
    </row>
    <row r="353" spans="1:19">
      <c r="A353" s="188" t="s">
        <v>12</v>
      </c>
      <c r="B353" s="188"/>
      <c r="C353" s="30">
        <f t="shared" ref="C353:P353" si="43">SUM(C340:C352)</f>
        <v>355</v>
      </c>
      <c r="D353" s="30">
        <f t="shared" si="43"/>
        <v>643</v>
      </c>
      <c r="E353" s="30">
        <f t="shared" si="43"/>
        <v>675</v>
      </c>
      <c r="F353" s="30">
        <f t="shared" si="43"/>
        <v>533</v>
      </c>
      <c r="G353" s="30">
        <f t="shared" si="43"/>
        <v>580</v>
      </c>
      <c r="H353" s="30">
        <f t="shared" si="43"/>
        <v>480</v>
      </c>
      <c r="I353" s="30">
        <f t="shared" si="43"/>
        <v>401</v>
      </c>
      <c r="J353" s="30">
        <f t="shared" si="43"/>
        <v>830</v>
      </c>
      <c r="K353" s="30">
        <f t="shared" si="43"/>
        <v>636</v>
      </c>
      <c r="L353" s="30">
        <f t="shared" si="43"/>
        <v>637</v>
      </c>
      <c r="M353" s="30">
        <f t="shared" si="43"/>
        <v>537</v>
      </c>
      <c r="N353" s="30">
        <f t="shared" si="43"/>
        <v>561</v>
      </c>
      <c r="O353" s="30">
        <f t="shared" si="43"/>
        <v>733</v>
      </c>
      <c r="P353" s="30">
        <f t="shared" si="43"/>
        <v>603</v>
      </c>
      <c r="Q353" s="30">
        <f t="shared" si="40"/>
        <v>8204</v>
      </c>
      <c r="R353" s="30">
        <f t="shared" si="41"/>
        <v>73838</v>
      </c>
      <c r="S353" s="30">
        <f t="shared" si="42"/>
        <v>82042</v>
      </c>
    </row>
    <row r="354" spans="1:19" ht="40.5" customHeight="1">
      <c r="A354" s="5"/>
      <c r="B354" s="5"/>
      <c r="C354" s="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8"/>
      <c r="R354" s="7"/>
      <c r="S354" s="7"/>
    </row>
    <row r="355" spans="1:19" ht="22.5">
      <c r="A355" s="31"/>
      <c r="B355" s="31"/>
      <c r="C355" s="10" t="s">
        <v>13</v>
      </c>
      <c r="D355" s="10" t="s">
        <v>13</v>
      </c>
      <c r="E355" s="10" t="s">
        <v>13</v>
      </c>
      <c r="F355" s="10" t="s">
        <v>13</v>
      </c>
      <c r="G355" s="10" t="s">
        <v>13</v>
      </c>
      <c r="H355" s="10" t="s">
        <v>13</v>
      </c>
      <c r="I355" s="10" t="s">
        <v>13</v>
      </c>
      <c r="J355" s="10" t="s">
        <v>13</v>
      </c>
      <c r="K355" s="10" t="s">
        <v>13</v>
      </c>
      <c r="L355" s="10" t="s">
        <v>13</v>
      </c>
      <c r="M355" s="10" t="s">
        <v>13</v>
      </c>
      <c r="N355" s="10" t="s">
        <v>13</v>
      </c>
      <c r="O355" s="10" t="s">
        <v>13</v>
      </c>
      <c r="P355" s="10" t="s">
        <v>13</v>
      </c>
      <c r="Q355" s="10" t="s">
        <v>13</v>
      </c>
      <c r="R355" s="10" t="s">
        <v>13</v>
      </c>
      <c r="S355" s="10" t="s">
        <v>13</v>
      </c>
    </row>
    <row r="356" spans="1:19" ht="39" customHeight="1">
      <c r="A356" s="31"/>
      <c r="B356" s="3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 ht="22.5">
      <c r="A357" s="31"/>
      <c r="B357" s="31"/>
      <c r="C357" s="10" t="s">
        <v>14</v>
      </c>
      <c r="D357" s="10" t="s">
        <v>14</v>
      </c>
      <c r="E357" s="10" t="s">
        <v>14</v>
      </c>
      <c r="F357" s="10" t="s">
        <v>14</v>
      </c>
      <c r="G357" s="10" t="s">
        <v>14</v>
      </c>
      <c r="H357" s="10" t="s">
        <v>14</v>
      </c>
      <c r="I357" s="10" t="s">
        <v>14</v>
      </c>
      <c r="J357" s="10" t="s">
        <v>14</v>
      </c>
      <c r="K357" s="10" t="s">
        <v>14</v>
      </c>
      <c r="L357" s="10" t="s">
        <v>14</v>
      </c>
      <c r="M357" s="10" t="s">
        <v>14</v>
      </c>
      <c r="N357" s="10" t="s">
        <v>14</v>
      </c>
      <c r="O357" s="10" t="s">
        <v>14</v>
      </c>
      <c r="P357" s="10" t="s">
        <v>14</v>
      </c>
      <c r="Q357" s="10" t="s">
        <v>14</v>
      </c>
      <c r="R357" s="10" t="s">
        <v>14</v>
      </c>
      <c r="S357" s="10" t="s">
        <v>14</v>
      </c>
    </row>
    <row r="358" spans="1:19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</row>
    <row r="359" spans="1:19">
      <c r="A359" s="189" t="s">
        <v>15</v>
      </c>
      <c r="B359" s="189"/>
      <c r="C359" s="164" t="s">
        <v>16</v>
      </c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31"/>
      <c r="S359" s="31"/>
    </row>
    <row r="360" spans="1:19">
      <c r="A360" s="31"/>
      <c r="B360" s="31"/>
      <c r="C360" s="164" t="s">
        <v>17</v>
      </c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31"/>
      <c r="S360" s="31"/>
    </row>
    <row r="361" spans="1:19">
      <c r="A361" s="31"/>
      <c r="B361" s="31"/>
      <c r="C361" s="164" t="s">
        <v>44</v>
      </c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31"/>
      <c r="S361" s="31"/>
    </row>
    <row r="362" spans="1:19">
      <c r="A362" s="31"/>
      <c r="B362" s="31"/>
      <c r="C362" s="164" t="s">
        <v>45</v>
      </c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31"/>
      <c r="S362" s="31"/>
    </row>
    <row r="368" spans="1:19" ht="26.25">
      <c r="A368" s="190" t="s">
        <v>0</v>
      </c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</row>
    <row r="369" spans="1:19" ht="19.5">
      <c r="A369" s="191" t="s">
        <v>1225</v>
      </c>
      <c r="B369" s="191"/>
      <c r="C369" s="191"/>
      <c r="D369" s="191"/>
      <c r="E369" s="191"/>
      <c r="F369" s="191"/>
      <c r="G369" s="191"/>
      <c r="H369" s="191"/>
      <c r="I369" s="1"/>
      <c r="J369" s="1"/>
      <c r="K369" s="192" t="s">
        <v>31</v>
      </c>
      <c r="L369" s="192"/>
      <c r="M369" s="192"/>
      <c r="N369" s="192"/>
      <c r="O369" s="1"/>
      <c r="P369" s="193" t="s">
        <v>1</v>
      </c>
      <c r="Q369" s="193"/>
      <c r="R369" s="194">
        <v>44630</v>
      </c>
      <c r="S369" s="194"/>
    </row>
    <row r="370" spans="1:19">
      <c r="A370" s="188" t="s">
        <v>2</v>
      </c>
      <c r="B370" s="188"/>
      <c r="C370" s="30">
        <v>1</v>
      </c>
      <c r="D370" s="30">
        <v>2</v>
      </c>
      <c r="E370" s="30">
        <v>3</v>
      </c>
      <c r="F370" s="30">
        <v>4</v>
      </c>
      <c r="G370" s="30">
        <v>5</v>
      </c>
      <c r="H370" s="30">
        <v>6</v>
      </c>
      <c r="I370" s="30">
        <v>7</v>
      </c>
      <c r="J370" s="30">
        <v>8</v>
      </c>
      <c r="K370" s="30">
        <v>9</v>
      </c>
      <c r="L370" s="30">
        <v>10</v>
      </c>
      <c r="M370" s="30">
        <v>11</v>
      </c>
      <c r="N370" s="30">
        <v>12</v>
      </c>
      <c r="O370" s="30">
        <v>13</v>
      </c>
      <c r="P370" s="30">
        <v>14</v>
      </c>
      <c r="Q370" s="195" t="s">
        <v>3</v>
      </c>
      <c r="R370" s="195" t="s">
        <v>4</v>
      </c>
      <c r="S370" s="195" t="s">
        <v>5</v>
      </c>
    </row>
    <row r="371" spans="1:19">
      <c r="A371" s="165" t="s">
        <v>6</v>
      </c>
      <c r="B371" s="167"/>
      <c r="C371" s="40">
        <f>'Booth detail'!EZ1</f>
        <v>155</v>
      </c>
      <c r="D371" s="40">
        <f>'Booth detail'!FA1</f>
        <v>156</v>
      </c>
      <c r="E371" s="40">
        <f>'Booth detail'!FB1</f>
        <v>157</v>
      </c>
      <c r="F371" s="40">
        <f>'Booth detail'!FC1</f>
        <v>158</v>
      </c>
      <c r="G371" s="40">
        <f>'Booth detail'!FD1</f>
        <v>159</v>
      </c>
      <c r="H371" s="40">
        <f>'Booth detail'!FE1</f>
        <v>160</v>
      </c>
      <c r="I371" s="40">
        <f>'Booth detail'!FF1</f>
        <v>161</v>
      </c>
      <c r="J371" s="40">
        <f>'Booth detail'!FG1</f>
        <v>162</v>
      </c>
      <c r="K371" s="40">
        <f>'Booth detail'!FH1</f>
        <v>163</v>
      </c>
      <c r="L371" s="40">
        <f>'Booth detail'!FI1</f>
        <v>164</v>
      </c>
      <c r="M371" s="40">
        <f>'Booth detail'!FJ1</f>
        <v>165</v>
      </c>
      <c r="N371" s="40">
        <f>'Booth detail'!FK1</f>
        <v>166</v>
      </c>
      <c r="O371" s="40">
        <f>'Booth detail'!FL1</f>
        <v>167</v>
      </c>
      <c r="P371" s="40">
        <f>'Booth detail'!FM1</f>
        <v>168</v>
      </c>
      <c r="Q371" s="196"/>
      <c r="R371" s="196"/>
      <c r="S371" s="196"/>
    </row>
    <row r="372" spans="1:19" ht="25.5">
      <c r="A372" s="165" t="s">
        <v>18</v>
      </c>
      <c r="B372" s="167"/>
      <c r="C372" s="44" t="str">
        <f>'Booth detail'!EZ2</f>
        <v>ECUEC54366</v>
      </c>
      <c r="D372" s="44" t="str">
        <f>'Booth detail'!FA2</f>
        <v>ECUEC57675</v>
      </c>
      <c r="E372" s="44" t="str">
        <f>'Booth detail'!FB2</f>
        <v>ECUEC50225</v>
      </c>
      <c r="F372" s="44" t="str">
        <f>'Booth detail'!FC2</f>
        <v>ECUEC47949</v>
      </c>
      <c r="G372" s="44" t="str">
        <f>'Booth detail'!FD2</f>
        <v>ECUED11571</v>
      </c>
      <c r="H372" s="44" t="str">
        <f>'Booth detail'!FE2</f>
        <v>ECUEC60410</v>
      </c>
      <c r="I372" s="44" t="str">
        <f>'Booth detail'!FF2</f>
        <v>ECUEC50691</v>
      </c>
      <c r="J372" s="44" t="str">
        <f>'Booth detail'!FG2</f>
        <v>ECUEC50481</v>
      </c>
      <c r="K372" s="44" t="str">
        <f>'Booth detail'!FH2</f>
        <v>ECUED21424</v>
      </c>
      <c r="L372" s="44" t="str">
        <f>'Booth detail'!FI2</f>
        <v>ECUEC51559</v>
      </c>
      <c r="M372" s="44" t="str">
        <f>'Booth detail'!FJ2</f>
        <v>ECUEC57450</v>
      </c>
      <c r="N372" s="44" t="str">
        <f>'Booth detail'!FK2</f>
        <v>ECUEC59989</v>
      </c>
      <c r="O372" s="44" t="str">
        <f>'Booth detail'!FL2</f>
        <v>ECUEC64692</v>
      </c>
      <c r="P372" s="44" t="str">
        <f>'Booth detail'!FM2</f>
        <v>ECUEC59952</v>
      </c>
      <c r="Q372" s="196"/>
      <c r="R372" s="196"/>
      <c r="S372" s="196"/>
    </row>
    <row r="373" spans="1:19" ht="40.5" customHeight="1">
      <c r="A373" s="198" t="s">
        <v>20</v>
      </c>
      <c r="B373" s="199"/>
      <c r="C373" s="55" t="str">
        <f>'Booth detail'!EZ3</f>
        <v>-</v>
      </c>
      <c r="D373" s="55" t="str">
        <f>'Booth detail'!FA3</f>
        <v>-</v>
      </c>
      <c r="E373" s="55" t="str">
        <f>'Booth detail'!FB3</f>
        <v>-</v>
      </c>
      <c r="F373" s="55" t="str">
        <f>'Booth detail'!FC3</f>
        <v>-</v>
      </c>
      <c r="G373" s="55" t="str">
        <f>'Booth detail'!FD3</f>
        <v>-</v>
      </c>
      <c r="H373" s="55" t="str">
        <f>'Booth detail'!FE3</f>
        <v>-</v>
      </c>
      <c r="I373" s="55" t="str">
        <f>'Booth detail'!FF3</f>
        <v>-</v>
      </c>
      <c r="J373" s="55" t="str">
        <f>'Booth detail'!FG3</f>
        <v>-</v>
      </c>
      <c r="K373" s="55" t="str">
        <f>'Booth detail'!FH3</f>
        <v>-</v>
      </c>
      <c r="L373" s="55" t="str">
        <f>'Booth detail'!FI3</f>
        <v>-</v>
      </c>
      <c r="M373" s="55" t="str">
        <f>'Booth detail'!FJ3</f>
        <v>-</v>
      </c>
      <c r="N373" s="55" t="str">
        <f>'Booth detail'!FK3</f>
        <v>-</v>
      </c>
      <c r="O373" s="55" t="str">
        <f>'Booth detail'!FL3</f>
        <v>-</v>
      </c>
      <c r="P373" s="55" t="str">
        <f>'Booth detail'!FM3</f>
        <v>-</v>
      </c>
      <c r="Q373" s="196"/>
      <c r="R373" s="196"/>
      <c r="S373" s="196"/>
    </row>
    <row r="374" spans="1:19">
      <c r="A374" s="14" t="s">
        <v>7</v>
      </c>
      <c r="B374" s="32" t="s">
        <v>8</v>
      </c>
      <c r="C374" s="33" t="s">
        <v>9</v>
      </c>
      <c r="D374" s="33" t="s">
        <v>9</v>
      </c>
      <c r="E374" s="33" t="s">
        <v>9</v>
      </c>
      <c r="F374" s="33" t="s">
        <v>9</v>
      </c>
      <c r="G374" s="33" t="s">
        <v>9</v>
      </c>
      <c r="H374" s="33" t="s">
        <v>9</v>
      </c>
      <c r="I374" s="33" t="s">
        <v>9</v>
      </c>
      <c r="J374" s="33" t="s">
        <v>9</v>
      </c>
      <c r="K374" s="33" t="s">
        <v>9</v>
      </c>
      <c r="L374" s="33" t="s">
        <v>9</v>
      </c>
      <c r="M374" s="33" t="s">
        <v>9</v>
      </c>
      <c r="N374" s="33" t="s">
        <v>9</v>
      </c>
      <c r="O374" s="33" t="s">
        <v>9</v>
      </c>
      <c r="P374" s="33" t="s">
        <v>9</v>
      </c>
      <c r="Q374" s="197"/>
      <c r="R374" s="197"/>
      <c r="S374" s="197"/>
    </row>
    <row r="375" spans="1:19" ht="18.75">
      <c r="A375" s="29">
        <v>1</v>
      </c>
      <c r="B375" s="15" t="str">
        <f>'Candidate List'!B2</f>
        <v>Manveer Singh</v>
      </c>
      <c r="C375" s="13">
        <v>1</v>
      </c>
      <c r="D375" s="13">
        <v>111</v>
      </c>
      <c r="E375" s="13">
        <v>40</v>
      </c>
      <c r="F375" s="13">
        <v>6</v>
      </c>
      <c r="G375" s="13">
        <v>1</v>
      </c>
      <c r="H375" s="13">
        <v>38</v>
      </c>
      <c r="I375" s="13">
        <v>136</v>
      </c>
      <c r="J375" s="13">
        <v>36</v>
      </c>
      <c r="K375" s="13">
        <v>231</v>
      </c>
      <c r="L375" s="13">
        <v>4</v>
      </c>
      <c r="M375" s="13">
        <v>85</v>
      </c>
      <c r="N375" s="13">
        <v>100</v>
      </c>
      <c r="O375" s="13">
        <v>115</v>
      </c>
      <c r="P375" s="13">
        <v>24</v>
      </c>
      <c r="Q375" s="30">
        <f>SUM(C375:P375)</f>
        <v>928</v>
      </c>
      <c r="R375" s="30">
        <f>S340</f>
        <v>8755</v>
      </c>
      <c r="S375" s="30">
        <f>Q375+R375</f>
        <v>9683</v>
      </c>
    </row>
    <row r="376" spans="1:19" ht="18.75">
      <c r="A376" s="29">
        <v>2</v>
      </c>
      <c r="B376" s="15" t="str">
        <f>'Candidate List'!B3</f>
        <v>Rahul Yadav</v>
      </c>
      <c r="C376" s="13">
        <v>408</v>
      </c>
      <c r="D376" s="13">
        <v>76</v>
      </c>
      <c r="E376" s="13">
        <v>262</v>
      </c>
      <c r="F376" s="13">
        <v>379</v>
      </c>
      <c r="G376" s="13">
        <v>341</v>
      </c>
      <c r="H376" s="13">
        <v>260</v>
      </c>
      <c r="I376" s="13">
        <v>454</v>
      </c>
      <c r="J376" s="13">
        <v>434</v>
      </c>
      <c r="K376" s="13">
        <v>143</v>
      </c>
      <c r="L376" s="13">
        <v>413</v>
      </c>
      <c r="M376" s="13">
        <v>33</v>
      </c>
      <c r="N376" s="13">
        <v>105</v>
      </c>
      <c r="O376" s="13">
        <v>93</v>
      </c>
      <c r="P376" s="13">
        <v>236</v>
      </c>
      <c r="Q376" s="30">
        <f t="shared" ref="Q376:Q388" si="44">SUM(C376:P376)</f>
        <v>3637</v>
      </c>
      <c r="R376" s="30">
        <f t="shared" ref="R376:R388" si="45">S341</f>
        <v>40469</v>
      </c>
      <c r="S376" s="30">
        <f t="shared" ref="S376:S388" si="46">Q376+R376</f>
        <v>44106</v>
      </c>
    </row>
    <row r="377" spans="1:19" ht="18.75">
      <c r="A377" s="29">
        <v>3</v>
      </c>
      <c r="B377" s="15" t="str">
        <f>'Candidate List'!B4</f>
        <v>Lakshmi Raj</v>
      </c>
      <c r="C377" s="13">
        <v>104</v>
      </c>
      <c r="D377" s="13">
        <v>552</v>
      </c>
      <c r="E377" s="13">
        <v>167</v>
      </c>
      <c r="F377" s="13">
        <v>175</v>
      </c>
      <c r="G377" s="13">
        <v>90</v>
      </c>
      <c r="H377" s="13">
        <v>92</v>
      </c>
      <c r="I377" s="13">
        <v>75</v>
      </c>
      <c r="J377" s="13">
        <v>95</v>
      </c>
      <c r="K377" s="13">
        <v>37</v>
      </c>
      <c r="L377" s="13">
        <v>77</v>
      </c>
      <c r="M377" s="13">
        <v>439</v>
      </c>
      <c r="N377" s="13">
        <v>357</v>
      </c>
      <c r="O377" s="13">
        <v>188</v>
      </c>
      <c r="P377" s="13">
        <v>406</v>
      </c>
      <c r="Q377" s="30">
        <f t="shared" si="44"/>
        <v>2854</v>
      </c>
      <c r="R377" s="30">
        <f t="shared" si="45"/>
        <v>30109</v>
      </c>
      <c r="S377" s="30">
        <f t="shared" si="46"/>
        <v>32963</v>
      </c>
    </row>
    <row r="378" spans="1:19" ht="18.75">
      <c r="A378" s="29">
        <v>4</v>
      </c>
      <c r="B378" s="15" t="str">
        <f>'Candidate List'!B5</f>
        <v>Saleem Akhtar Khan</v>
      </c>
      <c r="C378" s="13">
        <v>1</v>
      </c>
      <c r="D378" s="13">
        <v>4</v>
      </c>
      <c r="E378" s="13">
        <v>2</v>
      </c>
      <c r="F378" s="13">
        <v>0</v>
      </c>
      <c r="G378" s="13">
        <v>2</v>
      </c>
      <c r="H378" s="13">
        <v>0</v>
      </c>
      <c r="I378" s="13">
        <v>0</v>
      </c>
      <c r="J378" s="13">
        <v>2</v>
      </c>
      <c r="K378" s="13">
        <v>2</v>
      </c>
      <c r="L378" s="13">
        <v>12</v>
      </c>
      <c r="M378" s="13">
        <v>1</v>
      </c>
      <c r="N378" s="13">
        <v>9</v>
      </c>
      <c r="O378" s="13">
        <v>6</v>
      </c>
      <c r="P378" s="13">
        <v>10</v>
      </c>
      <c r="Q378" s="30">
        <f t="shared" si="44"/>
        <v>51</v>
      </c>
      <c r="R378" s="30">
        <f t="shared" si="45"/>
        <v>746</v>
      </c>
      <c r="S378" s="30">
        <f t="shared" si="46"/>
        <v>797</v>
      </c>
    </row>
    <row r="379" spans="1:19" ht="18.75">
      <c r="A379" s="29">
        <v>5</v>
      </c>
      <c r="B379" s="15" t="str">
        <f>'Candidate List'!B6</f>
        <v>Ajay Kumar</v>
      </c>
      <c r="C379" s="13">
        <v>0</v>
      </c>
      <c r="D379" s="13">
        <v>4</v>
      </c>
      <c r="E379" s="13">
        <v>1</v>
      </c>
      <c r="F379" s="13">
        <v>0</v>
      </c>
      <c r="G379" s="13">
        <v>0</v>
      </c>
      <c r="H379" s="13">
        <v>0</v>
      </c>
      <c r="I379" s="13">
        <v>1</v>
      </c>
      <c r="J379" s="13">
        <v>0</v>
      </c>
      <c r="K379" s="13">
        <v>0</v>
      </c>
      <c r="L379" s="13">
        <v>0</v>
      </c>
      <c r="M379" s="13">
        <v>2</v>
      </c>
      <c r="N379" s="13">
        <v>0</v>
      </c>
      <c r="O379" s="13">
        <v>0</v>
      </c>
      <c r="P379" s="13">
        <v>0</v>
      </c>
      <c r="Q379" s="30">
        <f t="shared" si="44"/>
        <v>8</v>
      </c>
      <c r="R379" s="30">
        <f t="shared" si="45"/>
        <v>125</v>
      </c>
      <c r="S379" s="30">
        <f t="shared" si="46"/>
        <v>133</v>
      </c>
    </row>
    <row r="380" spans="1:19" ht="18.75">
      <c r="A380" s="29">
        <v>6</v>
      </c>
      <c r="B380" s="15" t="str">
        <f>'Candidate List'!B7</f>
        <v>Ajay Kumar Sharma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1</v>
      </c>
      <c r="N380" s="13">
        <v>2</v>
      </c>
      <c r="O380" s="13">
        <v>0</v>
      </c>
      <c r="P380" s="13">
        <v>0</v>
      </c>
      <c r="Q380" s="30">
        <f t="shared" si="44"/>
        <v>3</v>
      </c>
      <c r="R380" s="30">
        <f t="shared" si="45"/>
        <v>27</v>
      </c>
      <c r="S380" s="30">
        <f t="shared" si="46"/>
        <v>30</v>
      </c>
    </row>
    <row r="381" spans="1:19" ht="18.75">
      <c r="A381" s="29">
        <v>7</v>
      </c>
      <c r="B381" s="15" t="str">
        <f>'Candidate List'!B8</f>
        <v>Amit Singh Tomar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1</v>
      </c>
      <c r="M381" s="13">
        <v>3</v>
      </c>
      <c r="N381" s="13">
        <v>0</v>
      </c>
      <c r="O381" s="13">
        <v>0</v>
      </c>
      <c r="P381" s="13">
        <v>1</v>
      </c>
      <c r="Q381" s="30">
        <f t="shared" si="44"/>
        <v>5</v>
      </c>
      <c r="R381" s="30">
        <f t="shared" si="45"/>
        <v>52</v>
      </c>
      <c r="S381" s="30">
        <f t="shared" si="46"/>
        <v>57</v>
      </c>
    </row>
    <row r="382" spans="1:19" ht="18.75">
      <c r="A382" s="29">
        <v>8</v>
      </c>
      <c r="B382" s="15" t="str">
        <f>'Candidate List'!B9</f>
        <v>Darshan Sharma</v>
      </c>
      <c r="C382" s="13">
        <v>2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1</v>
      </c>
      <c r="K382" s="13">
        <v>0</v>
      </c>
      <c r="L382" s="13">
        <v>1</v>
      </c>
      <c r="M382" s="13">
        <v>0</v>
      </c>
      <c r="N382" s="13">
        <v>3</v>
      </c>
      <c r="O382" s="13">
        <v>1</v>
      </c>
      <c r="P382" s="13">
        <v>1</v>
      </c>
      <c r="Q382" s="30">
        <f t="shared" si="44"/>
        <v>9</v>
      </c>
      <c r="R382" s="30">
        <f t="shared" si="45"/>
        <v>100</v>
      </c>
      <c r="S382" s="30">
        <f t="shared" si="46"/>
        <v>109</v>
      </c>
    </row>
    <row r="383" spans="1:19" ht="18.75">
      <c r="A383" s="29">
        <v>9</v>
      </c>
      <c r="B383" s="15" t="str">
        <f>'Candidate List'!B10</f>
        <v>Dilshad Ahmad</v>
      </c>
      <c r="C383" s="13">
        <v>0</v>
      </c>
      <c r="D383" s="13">
        <v>0</v>
      </c>
      <c r="E383" s="13">
        <v>0</v>
      </c>
      <c r="F383" s="13">
        <v>0</v>
      </c>
      <c r="G383" s="13">
        <v>3</v>
      </c>
      <c r="H383" s="13">
        <v>5</v>
      </c>
      <c r="I383" s="13">
        <v>0</v>
      </c>
      <c r="J383" s="13">
        <v>2</v>
      </c>
      <c r="K383" s="13">
        <v>0</v>
      </c>
      <c r="L383" s="13">
        <v>0</v>
      </c>
      <c r="M383" s="13">
        <v>2</v>
      </c>
      <c r="N383" s="13">
        <v>2</v>
      </c>
      <c r="O383" s="13">
        <v>0</v>
      </c>
      <c r="P383" s="13">
        <v>5</v>
      </c>
      <c r="Q383" s="30">
        <f t="shared" si="44"/>
        <v>19</v>
      </c>
      <c r="R383" s="30">
        <f t="shared" si="45"/>
        <v>798</v>
      </c>
      <c r="S383" s="30">
        <f t="shared" si="46"/>
        <v>817</v>
      </c>
    </row>
    <row r="384" spans="1:19" ht="18.75">
      <c r="A384" s="29">
        <v>10</v>
      </c>
      <c r="B384" s="15" t="str">
        <f>'Candidate List'!B11</f>
        <v>Raju Thakur</v>
      </c>
      <c r="C384" s="13">
        <v>1</v>
      </c>
      <c r="D384" s="13">
        <v>1</v>
      </c>
      <c r="E384" s="13">
        <v>2</v>
      </c>
      <c r="F384" s="13">
        <v>1</v>
      </c>
      <c r="G384" s="13">
        <v>1</v>
      </c>
      <c r="H384" s="13">
        <v>2</v>
      </c>
      <c r="I384" s="13">
        <v>1</v>
      </c>
      <c r="J384" s="13">
        <v>5</v>
      </c>
      <c r="K384" s="13">
        <v>2</v>
      </c>
      <c r="L384" s="13">
        <v>2</v>
      </c>
      <c r="M384" s="13">
        <v>3</v>
      </c>
      <c r="N384" s="13">
        <v>3</v>
      </c>
      <c r="O384" s="13">
        <v>0</v>
      </c>
      <c r="P384" s="13">
        <v>3</v>
      </c>
      <c r="Q384" s="30">
        <f t="shared" si="44"/>
        <v>27</v>
      </c>
      <c r="R384" s="30">
        <f t="shared" si="45"/>
        <v>368</v>
      </c>
      <c r="S384" s="30">
        <f t="shared" si="46"/>
        <v>395</v>
      </c>
    </row>
    <row r="385" spans="1:19" ht="18.75">
      <c r="A385" s="29">
        <v>11</v>
      </c>
      <c r="B385" s="15" t="str">
        <f>'Candidate List'!B12</f>
        <v>Bablu</v>
      </c>
      <c r="C385" s="13">
        <v>1</v>
      </c>
      <c r="D385" s="13">
        <v>1</v>
      </c>
      <c r="E385" s="13">
        <v>1</v>
      </c>
      <c r="F385" s="13">
        <v>0</v>
      </c>
      <c r="G385" s="13">
        <v>0</v>
      </c>
      <c r="H385" s="13">
        <v>4</v>
      </c>
      <c r="I385" s="13">
        <v>4</v>
      </c>
      <c r="J385" s="13">
        <v>3</v>
      </c>
      <c r="K385" s="13">
        <v>0</v>
      </c>
      <c r="L385" s="13">
        <v>1</v>
      </c>
      <c r="M385" s="13">
        <v>4</v>
      </c>
      <c r="N385" s="13">
        <v>3</v>
      </c>
      <c r="O385" s="13">
        <v>1</v>
      </c>
      <c r="P385" s="13">
        <v>1</v>
      </c>
      <c r="Q385" s="30">
        <f t="shared" si="44"/>
        <v>24</v>
      </c>
      <c r="R385" s="30">
        <f t="shared" si="45"/>
        <v>163</v>
      </c>
      <c r="S385" s="30">
        <f t="shared" si="46"/>
        <v>187</v>
      </c>
    </row>
    <row r="386" spans="1:19" ht="18.75">
      <c r="A386" s="29">
        <v>12</v>
      </c>
      <c r="B386" s="15" t="str">
        <f>'Candidate List'!B13</f>
        <v>NOTA</v>
      </c>
      <c r="C386" s="13">
        <v>0</v>
      </c>
      <c r="D386" s="13">
        <v>1</v>
      </c>
      <c r="E386" s="13">
        <v>1</v>
      </c>
      <c r="F386" s="13">
        <v>1</v>
      </c>
      <c r="G386" s="13">
        <v>0</v>
      </c>
      <c r="H386" s="13">
        <v>1</v>
      </c>
      <c r="I386" s="13">
        <v>2</v>
      </c>
      <c r="J386" s="13">
        <v>2</v>
      </c>
      <c r="K386" s="13">
        <v>2</v>
      </c>
      <c r="L386" s="13">
        <v>2</v>
      </c>
      <c r="M386" s="13">
        <v>10</v>
      </c>
      <c r="N386" s="13">
        <v>10</v>
      </c>
      <c r="O386" s="13">
        <v>1</v>
      </c>
      <c r="P386" s="13">
        <v>1</v>
      </c>
      <c r="Q386" s="30">
        <f t="shared" si="44"/>
        <v>34</v>
      </c>
      <c r="R386" s="30">
        <f t="shared" si="45"/>
        <v>330</v>
      </c>
      <c r="S386" s="30">
        <f t="shared" si="46"/>
        <v>364</v>
      </c>
    </row>
    <row r="387" spans="1:19">
      <c r="A387" s="187" t="s">
        <v>11</v>
      </c>
      <c r="B387" s="187"/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30">
        <f t="shared" si="44"/>
        <v>0</v>
      </c>
      <c r="R387" s="30">
        <f t="shared" si="45"/>
        <v>0</v>
      </c>
      <c r="S387" s="30">
        <f t="shared" si="46"/>
        <v>0</v>
      </c>
    </row>
    <row r="388" spans="1:19">
      <c r="A388" s="188" t="s">
        <v>12</v>
      </c>
      <c r="B388" s="188"/>
      <c r="C388" s="30">
        <f t="shared" ref="C388:P388" si="47">SUM(C375:C387)</f>
        <v>518</v>
      </c>
      <c r="D388" s="30">
        <f t="shared" si="47"/>
        <v>750</v>
      </c>
      <c r="E388" s="30">
        <f t="shared" si="47"/>
        <v>476</v>
      </c>
      <c r="F388" s="30">
        <f t="shared" si="47"/>
        <v>562</v>
      </c>
      <c r="G388" s="30">
        <f t="shared" si="47"/>
        <v>438</v>
      </c>
      <c r="H388" s="30">
        <f t="shared" si="47"/>
        <v>402</v>
      </c>
      <c r="I388" s="30">
        <f t="shared" si="47"/>
        <v>673</v>
      </c>
      <c r="J388" s="30">
        <f t="shared" si="47"/>
        <v>580</v>
      </c>
      <c r="K388" s="30">
        <f t="shared" si="47"/>
        <v>417</v>
      </c>
      <c r="L388" s="30">
        <f t="shared" si="47"/>
        <v>513</v>
      </c>
      <c r="M388" s="30">
        <f t="shared" si="47"/>
        <v>583</v>
      </c>
      <c r="N388" s="30">
        <f t="shared" si="47"/>
        <v>594</v>
      </c>
      <c r="O388" s="30">
        <f t="shared" si="47"/>
        <v>405</v>
      </c>
      <c r="P388" s="30">
        <f t="shared" si="47"/>
        <v>688</v>
      </c>
      <c r="Q388" s="30">
        <f t="shared" si="44"/>
        <v>7599</v>
      </c>
      <c r="R388" s="30">
        <f t="shared" si="45"/>
        <v>82042</v>
      </c>
      <c r="S388" s="30">
        <f t="shared" si="46"/>
        <v>89641</v>
      </c>
    </row>
    <row r="389" spans="1:19" ht="44.25" customHeight="1">
      <c r="A389" s="5"/>
      <c r="B389" s="5"/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8"/>
      <c r="R389" s="7"/>
      <c r="S389" s="7"/>
    </row>
    <row r="390" spans="1:19" ht="22.5">
      <c r="A390" s="31"/>
      <c r="B390" s="31"/>
      <c r="C390" s="10" t="s">
        <v>13</v>
      </c>
      <c r="D390" s="10" t="s">
        <v>13</v>
      </c>
      <c r="E390" s="10" t="s">
        <v>13</v>
      </c>
      <c r="F390" s="10" t="s">
        <v>13</v>
      </c>
      <c r="G390" s="10" t="s">
        <v>13</v>
      </c>
      <c r="H390" s="10" t="s">
        <v>13</v>
      </c>
      <c r="I390" s="10" t="s">
        <v>13</v>
      </c>
      <c r="J390" s="10" t="s">
        <v>13</v>
      </c>
      <c r="K390" s="10" t="s">
        <v>13</v>
      </c>
      <c r="L390" s="10" t="s">
        <v>13</v>
      </c>
      <c r="M390" s="10" t="s">
        <v>13</v>
      </c>
      <c r="N390" s="10" t="s">
        <v>13</v>
      </c>
      <c r="O390" s="10" t="s">
        <v>13</v>
      </c>
      <c r="P390" s="10" t="s">
        <v>13</v>
      </c>
      <c r="Q390" s="10" t="s">
        <v>13</v>
      </c>
      <c r="R390" s="10" t="s">
        <v>13</v>
      </c>
      <c r="S390" s="10" t="s">
        <v>13</v>
      </c>
    </row>
    <row r="391" spans="1:19" ht="36.75" customHeight="1">
      <c r="A391" s="31"/>
      <c r="B391" s="3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 ht="22.5">
      <c r="A392" s="31"/>
      <c r="B392" s="31"/>
      <c r="C392" s="10" t="s">
        <v>14</v>
      </c>
      <c r="D392" s="10" t="s">
        <v>14</v>
      </c>
      <c r="E392" s="10" t="s">
        <v>14</v>
      </c>
      <c r="F392" s="10" t="s">
        <v>14</v>
      </c>
      <c r="G392" s="10" t="s">
        <v>14</v>
      </c>
      <c r="H392" s="10" t="s">
        <v>14</v>
      </c>
      <c r="I392" s="10" t="s">
        <v>14</v>
      </c>
      <c r="J392" s="10" t="s">
        <v>14</v>
      </c>
      <c r="K392" s="10" t="s">
        <v>14</v>
      </c>
      <c r="L392" s="10" t="s">
        <v>14</v>
      </c>
      <c r="M392" s="10" t="s">
        <v>14</v>
      </c>
      <c r="N392" s="10" t="s">
        <v>14</v>
      </c>
      <c r="O392" s="10" t="s">
        <v>14</v>
      </c>
      <c r="P392" s="10" t="s">
        <v>14</v>
      </c>
      <c r="Q392" s="10" t="s">
        <v>14</v>
      </c>
      <c r="R392" s="10" t="s">
        <v>14</v>
      </c>
      <c r="S392" s="10" t="s">
        <v>14</v>
      </c>
    </row>
    <row r="393" spans="1:19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</row>
    <row r="394" spans="1:19">
      <c r="A394" s="189" t="s">
        <v>15</v>
      </c>
      <c r="B394" s="189"/>
      <c r="C394" s="164" t="s">
        <v>16</v>
      </c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31"/>
      <c r="S394" s="31"/>
    </row>
    <row r="395" spans="1:19">
      <c r="A395" s="31"/>
      <c r="B395" s="31"/>
      <c r="C395" s="164" t="s">
        <v>17</v>
      </c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31"/>
      <c r="S395" s="31"/>
    </row>
    <row r="396" spans="1:19">
      <c r="A396" s="31"/>
      <c r="B396" s="31"/>
      <c r="C396" s="164" t="s">
        <v>44</v>
      </c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31"/>
      <c r="S396" s="31"/>
    </row>
    <row r="397" spans="1:19">
      <c r="A397" s="31"/>
      <c r="B397" s="31"/>
      <c r="C397" s="164" t="s">
        <v>45</v>
      </c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31"/>
      <c r="S397" s="31"/>
    </row>
    <row r="402" spans="1:19" ht="26.25">
      <c r="A402" s="190" t="s">
        <v>0</v>
      </c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</row>
    <row r="403" spans="1:19" ht="19.5">
      <c r="A403" s="191" t="s">
        <v>1225</v>
      </c>
      <c r="B403" s="191"/>
      <c r="C403" s="191"/>
      <c r="D403" s="191"/>
      <c r="E403" s="191"/>
      <c r="F403" s="191"/>
      <c r="G403" s="191"/>
      <c r="H403" s="191"/>
      <c r="I403" s="1"/>
      <c r="J403" s="1"/>
      <c r="K403" s="192" t="s">
        <v>32</v>
      </c>
      <c r="L403" s="192"/>
      <c r="M403" s="192"/>
      <c r="N403" s="192"/>
      <c r="O403" s="1"/>
      <c r="P403" s="193" t="s">
        <v>1</v>
      </c>
      <c r="Q403" s="193"/>
      <c r="R403" s="194">
        <v>44630</v>
      </c>
      <c r="S403" s="194"/>
    </row>
    <row r="404" spans="1:19">
      <c r="A404" s="188" t="s">
        <v>2</v>
      </c>
      <c r="B404" s="188"/>
      <c r="C404" s="30">
        <v>1</v>
      </c>
      <c r="D404" s="30">
        <v>2</v>
      </c>
      <c r="E404" s="30">
        <v>3</v>
      </c>
      <c r="F404" s="30">
        <v>4</v>
      </c>
      <c r="G404" s="30">
        <v>5</v>
      </c>
      <c r="H404" s="30">
        <v>6</v>
      </c>
      <c r="I404" s="30">
        <v>7</v>
      </c>
      <c r="J404" s="30">
        <v>8</v>
      </c>
      <c r="K404" s="30">
        <v>9</v>
      </c>
      <c r="L404" s="30">
        <v>10</v>
      </c>
      <c r="M404" s="30">
        <v>11</v>
      </c>
      <c r="N404" s="30">
        <v>12</v>
      </c>
      <c r="O404" s="30">
        <v>13</v>
      </c>
      <c r="P404" s="30">
        <v>14</v>
      </c>
      <c r="Q404" s="195" t="s">
        <v>3</v>
      </c>
      <c r="R404" s="195" t="s">
        <v>4</v>
      </c>
      <c r="S404" s="195" t="s">
        <v>5</v>
      </c>
    </row>
    <row r="405" spans="1:19">
      <c r="A405" s="165" t="s">
        <v>6</v>
      </c>
      <c r="B405" s="167"/>
      <c r="C405" s="49">
        <f>'Booth detail'!FN1</f>
        <v>169</v>
      </c>
      <c r="D405" s="49">
        <f>'Booth detail'!FO1</f>
        <v>170</v>
      </c>
      <c r="E405" s="49">
        <f>'Booth detail'!FP1</f>
        <v>171</v>
      </c>
      <c r="F405" s="49">
        <f>'Booth detail'!FQ1</f>
        <v>172</v>
      </c>
      <c r="G405" s="49">
        <f>'Booth detail'!FR1</f>
        <v>173</v>
      </c>
      <c r="H405" s="49">
        <f>'Booth detail'!FS1</f>
        <v>174</v>
      </c>
      <c r="I405" s="49">
        <f>'Booth detail'!FT1</f>
        <v>175</v>
      </c>
      <c r="J405" s="49">
        <f>'Booth detail'!FU1</f>
        <v>176</v>
      </c>
      <c r="K405" s="49">
        <f>'Booth detail'!FV1</f>
        <v>177</v>
      </c>
      <c r="L405" s="49">
        <f>'Booth detail'!FW1</f>
        <v>178</v>
      </c>
      <c r="M405" s="49">
        <f>'Booth detail'!FX1</f>
        <v>179</v>
      </c>
      <c r="N405" s="49">
        <f>'Booth detail'!FY1</f>
        <v>180</v>
      </c>
      <c r="O405" s="49">
        <f>'Booth detail'!FZ1</f>
        <v>181</v>
      </c>
      <c r="P405" s="49">
        <f>'Booth detail'!GA1</f>
        <v>182</v>
      </c>
      <c r="Q405" s="196"/>
      <c r="R405" s="196"/>
      <c r="S405" s="196"/>
    </row>
    <row r="406" spans="1:19" ht="38.25">
      <c r="A406" s="165" t="s">
        <v>18</v>
      </c>
      <c r="B406" s="167"/>
      <c r="C406" s="50" t="str">
        <f>'Booth detail'!FN2</f>
        <v>ECUEC63064</v>
      </c>
      <c r="D406" s="50" t="str">
        <f>'Booth detail'!FO2</f>
        <v>ECUEC67759</v>
      </c>
      <c r="E406" s="50" t="str">
        <f>'Booth detail'!FP2</f>
        <v>ECUED14045</v>
      </c>
      <c r="F406" s="50" t="str">
        <f>'Booth detail'!FQ2</f>
        <v>ECUED24195</v>
      </c>
      <c r="G406" s="50" t="str">
        <f>'Booth detail'!FR2</f>
        <v>ECUEC50541</v>
      </c>
      <c r="H406" s="50" t="str">
        <f>'Booth detail'!FS2</f>
        <v>ECUEC57578</v>
      </c>
      <c r="I406" s="50" t="str">
        <f>'Booth detail'!FT2</f>
        <v>ECUEC57839</v>
      </c>
      <c r="J406" s="50" t="str">
        <f>'Booth detail'!FU2</f>
        <v>ECUEC60568</v>
      </c>
      <c r="K406" s="50" t="str">
        <f>'Booth detail'!FV2</f>
        <v>ECUEC64566</v>
      </c>
      <c r="L406" s="50" t="str">
        <f>'Booth detail'!FW2</f>
        <v>ECUEC57483</v>
      </c>
      <c r="M406" s="50" t="str">
        <f>'Booth detail'!FX2</f>
        <v>ECUEC64546</v>
      </c>
      <c r="N406" s="50" t="str">
        <f>'Booth detail'!FY2</f>
        <v xml:space="preserve">
ECUEC55334</v>
      </c>
      <c r="O406" s="50" t="str">
        <f>'Booth detail'!FZ2</f>
        <v xml:space="preserve">
ECUEC53874</v>
      </c>
      <c r="P406" s="50" t="str">
        <f>'Booth detail'!GA2</f>
        <v>ECUEC47914</v>
      </c>
      <c r="Q406" s="196"/>
      <c r="R406" s="196"/>
      <c r="S406" s="196"/>
    </row>
    <row r="407" spans="1:19" ht="39.75" customHeight="1">
      <c r="A407" s="198" t="s">
        <v>20</v>
      </c>
      <c r="B407" s="199"/>
      <c r="C407" s="57" t="str">
        <f>'Booth detail'!FN3</f>
        <v>-</v>
      </c>
      <c r="D407" s="57" t="str">
        <f>'Booth detail'!FO3</f>
        <v>-</v>
      </c>
      <c r="E407" s="57" t="str">
        <f>'Booth detail'!FP3</f>
        <v>-</v>
      </c>
      <c r="F407" s="57" t="str">
        <f>'Booth detail'!FQ3</f>
        <v>-</v>
      </c>
      <c r="G407" s="57" t="str">
        <f>'Booth detail'!FR3</f>
        <v>-</v>
      </c>
      <c r="H407" s="57" t="str">
        <f>'Booth detail'!FS3</f>
        <v>-</v>
      </c>
      <c r="I407" s="57" t="str">
        <f>'Booth detail'!FT3</f>
        <v>-</v>
      </c>
      <c r="J407" s="57" t="str">
        <f>'Booth detail'!FU3</f>
        <v>-</v>
      </c>
      <c r="K407" s="57" t="str">
        <f>'Booth detail'!FV3</f>
        <v>-</v>
      </c>
      <c r="L407" s="57" t="str">
        <f>'Booth detail'!FW3</f>
        <v>-</v>
      </c>
      <c r="M407" s="57" t="str">
        <f>'Booth detail'!FX3</f>
        <v>-</v>
      </c>
      <c r="N407" s="57" t="str">
        <f>'Booth detail'!FY3</f>
        <v>-</v>
      </c>
      <c r="O407" s="57" t="str">
        <f>'Booth detail'!FZ3</f>
        <v>-</v>
      </c>
      <c r="P407" s="57" t="str">
        <f>'Booth detail'!GA3</f>
        <v>-</v>
      </c>
      <c r="Q407" s="196"/>
      <c r="R407" s="196"/>
      <c r="S407" s="196"/>
    </row>
    <row r="408" spans="1:19">
      <c r="A408" s="14" t="s">
        <v>7</v>
      </c>
      <c r="B408" s="32" t="s">
        <v>8</v>
      </c>
      <c r="C408" s="33" t="s">
        <v>9</v>
      </c>
      <c r="D408" s="33" t="s">
        <v>9</v>
      </c>
      <c r="E408" s="33" t="s">
        <v>9</v>
      </c>
      <c r="F408" s="33" t="s">
        <v>9</v>
      </c>
      <c r="G408" s="33" t="s">
        <v>9</v>
      </c>
      <c r="H408" s="33" t="s">
        <v>9</v>
      </c>
      <c r="I408" s="33" t="s">
        <v>9</v>
      </c>
      <c r="J408" s="33" t="s">
        <v>9</v>
      </c>
      <c r="K408" s="33" t="s">
        <v>9</v>
      </c>
      <c r="L408" s="33" t="s">
        <v>9</v>
      </c>
      <c r="M408" s="33" t="s">
        <v>9</v>
      </c>
      <c r="N408" s="33" t="s">
        <v>9</v>
      </c>
      <c r="O408" s="33" t="s">
        <v>9</v>
      </c>
      <c r="P408" s="33" t="s">
        <v>9</v>
      </c>
      <c r="Q408" s="197"/>
      <c r="R408" s="197"/>
      <c r="S408" s="197"/>
    </row>
    <row r="409" spans="1:19" ht="18.75">
      <c r="A409" s="29">
        <v>1</v>
      </c>
      <c r="B409" s="15" t="str">
        <f>'Candidate List'!B2</f>
        <v>Manveer Singh</v>
      </c>
      <c r="C409" s="13">
        <v>95</v>
      </c>
      <c r="D409" s="13">
        <v>77</v>
      </c>
      <c r="E409" s="13">
        <v>19</v>
      </c>
      <c r="F409" s="13">
        <v>138</v>
      </c>
      <c r="G409" s="13">
        <v>10</v>
      </c>
      <c r="H409" s="13">
        <v>132</v>
      </c>
      <c r="I409" s="13">
        <v>232</v>
      </c>
      <c r="J409" s="13">
        <v>99</v>
      </c>
      <c r="K409" s="13">
        <v>84</v>
      </c>
      <c r="L409" s="13">
        <v>101</v>
      </c>
      <c r="M409" s="13">
        <v>131</v>
      </c>
      <c r="N409" s="13">
        <v>1</v>
      </c>
      <c r="O409" s="13">
        <v>1</v>
      </c>
      <c r="P409" s="13">
        <v>13</v>
      </c>
      <c r="Q409" s="30">
        <f>SUM(C409:P409)</f>
        <v>1133</v>
      </c>
      <c r="R409" s="30">
        <f>S375</f>
        <v>9683</v>
      </c>
      <c r="S409" s="30">
        <f>Q409+R409</f>
        <v>10816</v>
      </c>
    </row>
    <row r="410" spans="1:19" ht="18.75">
      <c r="A410" s="29">
        <v>2</v>
      </c>
      <c r="B410" s="15" t="str">
        <f>'Candidate List'!B3</f>
        <v>Rahul Yadav</v>
      </c>
      <c r="C410" s="13">
        <v>426</v>
      </c>
      <c r="D410" s="13">
        <v>91</v>
      </c>
      <c r="E410" s="13">
        <v>37</v>
      </c>
      <c r="F410" s="13">
        <v>35</v>
      </c>
      <c r="G410" s="13">
        <v>139</v>
      </c>
      <c r="H410" s="13">
        <v>278</v>
      </c>
      <c r="I410" s="13">
        <v>341</v>
      </c>
      <c r="J410" s="13">
        <v>60</v>
      </c>
      <c r="K410" s="13">
        <v>44</v>
      </c>
      <c r="L410" s="13">
        <v>121</v>
      </c>
      <c r="M410" s="13">
        <v>138</v>
      </c>
      <c r="N410" s="13">
        <v>345</v>
      </c>
      <c r="O410" s="13">
        <v>80</v>
      </c>
      <c r="P410" s="13">
        <v>94</v>
      </c>
      <c r="Q410" s="30">
        <f t="shared" ref="Q410:Q422" si="48">SUM(C410:P410)</f>
        <v>2229</v>
      </c>
      <c r="R410" s="30">
        <f t="shared" ref="R410:R422" si="49">S376</f>
        <v>44106</v>
      </c>
      <c r="S410" s="30">
        <f t="shared" ref="S410:S422" si="50">Q410+R410</f>
        <v>46335</v>
      </c>
    </row>
    <row r="411" spans="1:19" ht="18.75">
      <c r="A411" s="29">
        <v>3</v>
      </c>
      <c r="B411" s="15" t="str">
        <f>'Candidate List'!B4</f>
        <v>Lakshmi Raj</v>
      </c>
      <c r="C411" s="13">
        <v>152</v>
      </c>
      <c r="D411" s="13">
        <v>575</v>
      </c>
      <c r="E411" s="13">
        <v>319</v>
      </c>
      <c r="F411" s="13">
        <v>279</v>
      </c>
      <c r="G411" s="13">
        <v>415</v>
      </c>
      <c r="H411" s="13">
        <v>366</v>
      </c>
      <c r="I411" s="13">
        <v>127</v>
      </c>
      <c r="J411" s="13">
        <v>318</v>
      </c>
      <c r="K411" s="13">
        <v>450</v>
      </c>
      <c r="L411" s="13">
        <v>487</v>
      </c>
      <c r="M411" s="13">
        <v>335</v>
      </c>
      <c r="N411" s="13">
        <v>101</v>
      </c>
      <c r="O411" s="13">
        <v>309</v>
      </c>
      <c r="P411" s="13">
        <v>303</v>
      </c>
      <c r="Q411" s="30">
        <f t="shared" si="48"/>
        <v>4536</v>
      </c>
      <c r="R411" s="30">
        <f t="shared" si="49"/>
        <v>32963</v>
      </c>
      <c r="S411" s="30">
        <f t="shared" si="50"/>
        <v>37499</v>
      </c>
    </row>
    <row r="412" spans="1:19" ht="18.75">
      <c r="A412" s="29">
        <v>4</v>
      </c>
      <c r="B412" s="15" t="str">
        <f>'Candidate List'!B5</f>
        <v>Saleem Akhtar Khan</v>
      </c>
      <c r="C412" s="13">
        <v>5</v>
      </c>
      <c r="D412" s="13">
        <v>2</v>
      </c>
      <c r="E412" s="13">
        <v>3</v>
      </c>
      <c r="F412" s="13">
        <v>1</v>
      </c>
      <c r="G412" s="13">
        <v>6</v>
      </c>
      <c r="H412" s="13">
        <v>11</v>
      </c>
      <c r="I412" s="13">
        <v>4</v>
      </c>
      <c r="J412" s="13">
        <v>8</v>
      </c>
      <c r="K412" s="13">
        <v>2</v>
      </c>
      <c r="L412" s="13">
        <v>3</v>
      </c>
      <c r="M412" s="13">
        <v>7</v>
      </c>
      <c r="N412" s="13">
        <v>12</v>
      </c>
      <c r="O412" s="13">
        <v>2</v>
      </c>
      <c r="P412" s="13">
        <v>1</v>
      </c>
      <c r="Q412" s="30">
        <f t="shared" si="48"/>
        <v>67</v>
      </c>
      <c r="R412" s="30">
        <f t="shared" si="49"/>
        <v>797</v>
      </c>
      <c r="S412" s="30">
        <f t="shared" si="50"/>
        <v>864</v>
      </c>
    </row>
    <row r="413" spans="1:19" ht="18.75">
      <c r="A413" s="29">
        <v>5</v>
      </c>
      <c r="B413" s="15" t="str">
        <f>'Candidate List'!B6</f>
        <v>Ajay Kumar</v>
      </c>
      <c r="C413" s="13">
        <v>0</v>
      </c>
      <c r="D413" s="13">
        <v>0</v>
      </c>
      <c r="E413" s="13">
        <v>1</v>
      </c>
      <c r="F413" s="13">
        <v>2</v>
      </c>
      <c r="G413" s="13">
        <v>2</v>
      </c>
      <c r="H413" s="13">
        <v>0</v>
      </c>
      <c r="I413" s="13">
        <v>1</v>
      </c>
      <c r="J413" s="13">
        <v>1</v>
      </c>
      <c r="K413" s="13">
        <v>1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30">
        <f t="shared" si="48"/>
        <v>8</v>
      </c>
      <c r="R413" s="30">
        <f t="shared" si="49"/>
        <v>133</v>
      </c>
      <c r="S413" s="30">
        <f t="shared" si="50"/>
        <v>141</v>
      </c>
    </row>
    <row r="414" spans="1:19" ht="18.75">
      <c r="A414" s="29">
        <v>6</v>
      </c>
      <c r="B414" s="15" t="str">
        <f>'Candidate List'!B7</f>
        <v>Ajay Kumar Sharma</v>
      </c>
      <c r="C414" s="13">
        <v>0</v>
      </c>
      <c r="D414" s="13">
        <v>0</v>
      </c>
      <c r="E414" s="13">
        <v>0</v>
      </c>
      <c r="F414" s="13">
        <v>0</v>
      </c>
      <c r="G414" s="13">
        <v>1</v>
      </c>
      <c r="H414" s="13">
        <v>0</v>
      </c>
      <c r="I414" s="13">
        <v>1</v>
      </c>
      <c r="J414" s="13">
        <v>1</v>
      </c>
      <c r="K414" s="13">
        <v>0</v>
      </c>
      <c r="L414" s="13">
        <v>1</v>
      </c>
      <c r="M414" s="13">
        <v>1</v>
      </c>
      <c r="N414" s="13">
        <v>0</v>
      </c>
      <c r="O414" s="13">
        <v>0</v>
      </c>
      <c r="P414" s="13">
        <v>0</v>
      </c>
      <c r="Q414" s="30">
        <f t="shared" si="48"/>
        <v>5</v>
      </c>
      <c r="R414" s="30">
        <f t="shared" si="49"/>
        <v>30</v>
      </c>
      <c r="S414" s="30">
        <f t="shared" si="50"/>
        <v>35</v>
      </c>
    </row>
    <row r="415" spans="1:19" ht="18.75">
      <c r="A415" s="29">
        <v>7</v>
      </c>
      <c r="B415" s="15" t="str">
        <f>'Candidate List'!B8</f>
        <v>Amit Singh Tomar</v>
      </c>
      <c r="C415" s="13">
        <v>1</v>
      </c>
      <c r="D415" s="13">
        <v>0</v>
      </c>
      <c r="E415" s="13">
        <v>0</v>
      </c>
      <c r="F415" s="13">
        <v>0</v>
      </c>
      <c r="G415" s="13">
        <v>0</v>
      </c>
      <c r="H415" s="13">
        <v>2</v>
      </c>
      <c r="I415" s="13">
        <v>1</v>
      </c>
      <c r="J415" s="13">
        <v>0</v>
      </c>
      <c r="K415" s="13">
        <v>0</v>
      </c>
      <c r="L415" s="13">
        <v>1</v>
      </c>
      <c r="M415" s="13">
        <v>0</v>
      </c>
      <c r="N415" s="13">
        <v>1</v>
      </c>
      <c r="O415" s="13">
        <v>1</v>
      </c>
      <c r="P415" s="13">
        <v>0</v>
      </c>
      <c r="Q415" s="30">
        <f t="shared" si="48"/>
        <v>7</v>
      </c>
      <c r="R415" s="30">
        <f t="shared" si="49"/>
        <v>57</v>
      </c>
      <c r="S415" s="30">
        <f t="shared" si="50"/>
        <v>64</v>
      </c>
    </row>
    <row r="416" spans="1:19" ht="18.75">
      <c r="A416" s="29">
        <v>8</v>
      </c>
      <c r="B416" s="15" t="str">
        <f>'Candidate List'!B9</f>
        <v>Darshan Sharma</v>
      </c>
      <c r="C416" s="13">
        <v>3</v>
      </c>
      <c r="D416" s="13">
        <v>4</v>
      </c>
      <c r="E416" s="13">
        <v>1</v>
      </c>
      <c r="F416" s="13">
        <v>2</v>
      </c>
      <c r="G416" s="13">
        <v>0</v>
      </c>
      <c r="H416" s="13">
        <v>3</v>
      </c>
      <c r="I416" s="13">
        <v>1</v>
      </c>
      <c r="J416" s="13">
        <v>2</v>
      </c>
      <c r="K416" s="13">
        <v>0</v>
      </c>
      <c r="L416" s="13">
        <v>1</v>
      </c>
      <c r="M416" s="13">
        <v>1</v>
      </c>
      <c r="N416" s="13">
        <v>0</v>
      </c>
      <c r="O416" s="13">
        <v>3</v>
      </c>
      <c r="P416" s="13">
        <v>0</v>
      </c>
      <c r="Q416" s="30">
        <f t="shared" si="48"/>
        <v>21</v>
      </c>
      <c r="R416" s="30">
        <f t="shared" si="49"/>
        <v>109</v>
      </c>
      <c r="S416" s="30">
        <f t="shared" si="50"/>
        <v>130</v>
      </c>
    </row>
    <row r="417" spans="1:19" ht="18.75">
      <c r="A417" s="29">
        <v>9</v>
      </c>
      <c r="B417" s="15" t="str">
        <f>'Candidate List'!B10</f>
        <v>Dilshad Ahmad</v>
      </c>
      <c r="C417" s="13">
        <v>8</v>
      </c>
      <c r="D417" s="13">
        <v>0</v>
      </c>
      <c r="E417" s="13">
        <v>0</v>
      </c>
      <c r="F417" s="13">
        <v>1</v>
      </c>
      <c r="G417" s="13">
        <v>2</v>
      </c>
      <c r="H417" s="13">
        <v>1</v>
      </c>
      <c r="I417" s="13">
        <v>6</v>
      </c>
      <c r="J417" s="13">
        <v>1</v>
      </c>
      <c r="K417" s="13">
        <v>0</v>
      </c>
      <c r="L417" s="13">
        <v>1</v>
      </c>
      <c r="M417" s="13">
        <v>1</v>
      </c>
      <c r="N417" s="13">
        <v>0</v>
      </c>
      <c r="O417" s="13">
        <v>0</v>
      </c>
      <c r="P417" s="13">
        <v>0</v>
      </c>
      <c r="Q417" s="30">
        <f t="shared" si="48"/>
        <v>21</v>
      </c>
      <c r="R417" s="30">
        <f t="shared" si="49"/>
        <v>817</v>
      </c>
      <c r="S417" s="30">
        <f t="shared" si="50"/>
        <v>838</v>
      </c>
    </row>
    <row r="418" spans="1:19" ht="18.75">
      <c r="A418" s="29">
        <v>10</v>
      </c>
      <c r="B418" s="15" t="str">
        <f>'Candidate List'!B11</f>
        <v>Raju Thakur</v>
      </c>
      <c r="C418" s="13">
        <v>11</v>
      </c>
      <c r="D418" s="13">
        <v>0</v>
      </c>
      <c r="E418" s="13">
        <v>2</v>
      </c>
      <c r="F418" s="13">
        <v>3</v>
      </c>
      <c r="G418" s="13">
        <v>5</v>
      </c>
      <c r="H418" s="13">
        <v>1</v>
      </c>
      <c r="I418" s="13">
        <v>3</v>
      </c>
      <c r="J418" s="13">
        <v>3</v>
      </c>
      <c r="K418" s="13">
        <v>2</v>
      </c>
      <c r="L418" s="13">
        <v>3</v>
      </c>
      <c r="M418" s="13">
        <v>2</v>
      </c>
      <c r="N418" s="13">
        <v>0</v>
      </c>
      <c r="O418" s="13">
        <v>2</v>
      </c>
      <c r="P418" s="13">
        <v>4</v>
      </c>
      <c r="Q418" s="30">
        <f t="shared" si="48"/>
        <v>41</v>
      </c>
      <c r="R418" s="30">
        <f t="shared" si="49"/>
        <v>395</v>
      </c>
      <c r="S418" s="30">
        <f t="shared" si="50"/>
        <v>436</v>
      </c>
    </row>
    <row r="419" spans="1:19" ht="18.75">
      <c r="A419" s="29">
        <v>11</v>
      </c>
      <c r="B419" s="15" t="str">
        <f>'Candidate List'!B12</f>
        <v>Bablu</v>
      </c>
      <c r="C419" s="13">
        <v>4</v>
      </c>
      <c r="D419" s="13">
        <v>0</v>
      </c>
      <c r="E419" s="13">
        <v>1</v>
      </c>
      <c r="F419" s="13">
        <v>1</v>
      </c>
      <c r="G419" s="13">
        <v>1</v>
      </c>
      <c r="H419" s="13">
        <v>0</v>
      </c>
      <c r="I419" s="13">
        <v>4</v>
      </c>
      <c r="J419" s="13">
        <v>1</v>
      </c>
      <c r="K419" s="13">
        <v>1</v>
      </c>
      <c r="L419" s="13">
        <v>0</v>
      </c>
      <c r="M419" s="13">
        <v>0</v>
      </c>
      <c r="N419" s="13">
        <v>0</v>
      </c>
      <c r="O419" s="13">
        <v>2</v>
      </c>
      <c r="P419" s="13">
        <v>0</v>
      </c>
      <c r="Q419" s="30">
        <f t="shared" si="48"/>
        <v>15</v>
      </c>
      <c r="R419" s="30">
        <f t="shared" si="49"/>
        <v>187</v>
      </c>
      <c r="S419" s="30">
        <f t="shared" si="50"/>
        <v>202</v>
      </c>
    </row>
    <row r="420" spans="1:19" ht="18.75">
      <c r="A420" s="29">
        <v>12</v>
      </c>
      <c r="B420" s="15" t="str">
        <f>'Candidate List'!B13</f>
        <v>NOTA</v>
      </c>
      <c r="C420" s="13">
        <v>5</v>
      </c>
      <c r="D420" s="13">
        <v>1</v>
      </c>
      <c r="E420" s="13">
        <v>0</v>
      </c>
      <c r="F420" s="13">
        <v>0</v>
      </c>
      <c r="G420" s="13">
        <v>1</v>
      </c>
      <c r="H420" s="13">
        <v>3</v>
      </c>
      <c r="I420" s="13">
        <v>1</v>
      </c>
      <c r="J420" s="13">
        <v>1</v>
      </c>
      <c r="K420" s="13">
        <v>1</v>
      </c>
      <c r="L420" s="13">
        <v>3</v>
      </c>
      <c r="M420" s="13">
        <v>3</v>
      </c>
      <c r="N420" s="13">
        <v>0</v>
      </c>
      <c r="O420" s="13">
        <v>1</v>
      </c>
      <c r="P420" s="13">
        <v>4</v>
      </c>
      <c r="Q420" s="30">
        <f t="shared" si="48"/>
        <v>24</v>
      </c>
      <c r="R420" s="30">
        <f t="shared" si="49"/>
        <v>364</v>
      </c>
      <c r="S420" s="30">
        <f t="shared" si="50"/>
        <v>388</v>
      </c>
    </row>
    <row r="421" spans="1:19">
      <c r="A421" s="187" t="s">
        <v>11</v>
      </c>
      <c r="B421" s="187"/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30">
        <f t="shared" si="48"/>
        <v>0</v>
      </c>
      <c r="R421" s="30">
        <f t="shared" si="49"/>
        <v>0</v>
      </c>
      <c r="S421" s="30">
        <f t="shared" si="50"/>
        <v>0</v>
      </c>
    </row>
    <row r="422" spans="1:19">
      <c r="A422" s="188" t="s">
        <v>12</v>
      </c>
      <c r="B422" s="188"/>
      <c r="C422" s="30">
        <f t="shared" ref="C422:P422" si="51">SUM(C409:C421)</f>
        <v>710</v>
      </c>
      <c r="D422" s="30">
        <f t="shared" si="51"/>
        <v>750</v>
      </c>
      <c r="E422" s="30">
        <f t="shared" si="51"/>
        <v>383</v>
      </c>
      <c r="F422" s="30">
        <f t="shared" si="51"/>
        <v>462</v>
      </c>
      <c r="G422" s="30">
        <f t="shared" si="51"/>
        <v>582</v>
      </c>
      <c r="H422" s="30">
        <f t="shared" si="51"/>
        <v>797</v>
      </c>
      <c r="I422" s="30">
        <f t="shared" si="51"/>
        <v>722</v>
      </c>
      <c r="J422" s="30">
        <f t="shared" si="51"/>
        <v>495</v>
      </c>
      <c r="K422" s="30">
        <f t="shared" si="51"/>
        <v>585</v>
      </c>
      <c r="L422" s="30">
        <f t="shared" si="51"/>
        <v>722</v>
      </c>
      <c r="M422" s="30">
        <f t="shared" si="51"/>
        <v>619</v>
      </c>
      <c r="N422" s="30">
        <f t="shared" si="51"/>
        <v>460</v>
      </c>
      <c r="O422" s="30">
        <f t="shared" si="51"/>
        <v>401</v>
      </c>
      <c r="P422" s="30">
        <f t="shared" si="51"/>
        <v>419</v>
      </c>
      <c r="Q422" s="30">
        <f t="shared" si="48"/>
        <v>8107</v>
      </c>
      <c r="R422" s="30">
        <f t="shared" si="49"/>
        <v>89641</v>
      </c>
      <c r="S422" s="30">
        <f t="shared" si="50"/>
        <v>97748</v>
      </c>
    </row>
    <row r="423" spans="1:19" ht="39.75" customHeight="1">
      <c r="A423" s="5"/>
      <c r="B423" s="5"/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8"/>
      <c r="R423" s="7"/>
      <c r="S423" s="7"/>
    </row>
    <row r="424" spans="1:19" ht="22.5">
      <c r="A424" s="31"/>
      <c r="B424" s="31"/>
      <c r="C424" s="10" t="s">
        <v>13</v>
      </c>
      <c r="D424" s="10" t="s">
        <v>13</v>
      </c>
      <c r="E424" s="10" t="s">
        <v>13</v>
      </c>
      <c r="F424" s="10" t="s">
        <v>13</v>
      </c>
      <c r="G424" s="10" t="s">
        <v>13</v>
      </c>
      <c r="H424" s="10" t="s">
        <v>13</v>
      </c>
      <c r="I424" s="10" t="s">
        <v>13</v>
      </c>
      <c r="J424" s="10" t="s">
        <v>13</v>
      </c>
      <c r="K424" s="10" t="s">
        <v>13</v>
      </c>
      <c r="L424" s="10" t="s">
        <v>13</v>
      </c>
      <c r="M424" s="10" t="s">
        <v>13</v>
      </c>
      <c r="N424" s="10" t="s">
        <v>13</v>
      </c>
      <c r="O424" s="10" t="s">
        <v>13</v>
      </c>
      <c r="P424" s="10" t="s">
        <v>13</v>
      </c>
      <c r="Q424" s="10" t="s">
        <v>13</v>
      </c>
      <c r="R424" s="10" t="s">
        <v>13</v>
      </c>
      <c r="S424" s="10" t="s">
        <v>13</v>
      </c>
    </row>
    <row r="425" spans="1:19" ht="37.5" customHeight="1">
      <c r="A425" s="31"/>
      <c r="B425" s="3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 ht="22.5">
      <c r="A426" s="31"/>
      <c r="B426" s="31"/>
      <c r="C426" s="10" t="s">
        <v>14</v>
      </c>
      <c r="D426" s="10" t="s">
        <v>14</v>
      </c>
      <c r="E426" s="10" t="s">
        <v>14</v>
      </c>
      <c r="F426" s="10" t="s">
        <v>14</v>
      </c>
      <c r="G426" s="10" t="s">
        <v>14</v>
      </c>
      <c r="H426" s="10" t="s">
        <v>14</v>
      </c>
      <c r="I426" s="10" t="s">
        <v>14</v>
      </c>
      <c r="J426" s="10" t="s">
        <v>14</v>
      </c>
      <c r="K426" s="10" t="s">
        <v>14</v>
      </c>
      <c r="L426" s="10" t="s">
        <v>14</v>
      </c>
      <c r="M426" s="10" t="s">
        <v>14</v>
      </c>
      <c r="N426" s="10" t="s">
        <v>14</v>
      </c>
      <c r="O426" s="10" t="s">
        <v>14</v>
      </c>
      <c r="P426" s="10" t="s">
        <v>14</v>
      </c>
      <c r="Q426" s="10" t="s">
        <v>14</v>
      </c>
      <c r="R426" s="10" t="s">
        <v>14</v>
      </c>
      <c r="S426" s="10" t="s">
        <v>14</v>
      </c>
    </row>
    <row r="427" spans="1:19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</row>
    <row r="428" spans="1:19">
      <c r="A428" s="189" t="s">
        <v>15</v>
      </c>
      <c r="B428" s="189"/>
      <c r="C428" s="164" t="s">
        <v>16</v>
      </c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31"/>
      <c r="S428" s="31"/>
    </row>
    <row r="429" spans="1:19">
      <c r="A429" s="31"/>
      <c r="B429" s="31"/>
      <c r="C429" s="164" t="s">
        <v>17</v>
      </c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31"/>
      <c r="S429" s="31"/>
    </row>
    <row r="430" spans="1:19">
      <c r="A430" s="31"/>
      <c r="B430" s="31"/>
      <c r="C430" s="164" t="s">
        <v>44</v>
      </c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31"/>
      <c r="S430" s="31"/>
    </row>
    <row r="431" spans="1:19">
      <c r="A431" s="31"/>
      <c r="B431" s="31"/>
      <c r="C431" s="164" t="s">
        <v>45</v>
      </c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31"/>
      <c r="S431" s="31"/>
    </row>
    <row r="435" spans="1:19" ht="26.25">
      <c r="A435" s="190" t="s">
        <v>0</v>
      </c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</row>
    <row r="436" spans="1:19" ht="19.5">
      <c r="A436" s="191" t="s">
        <v>1225</v>
      </c>
      <c r="B436" s="191"/>
      <c r="C436" s="191"/>
      <c r="D436" s="191"/>
      <c r="E436" s="191"/>
      <c r="F436" s="191"/>
      <c r="G436" s="191"/>
      <c r="H436" s="191"/>
      <c r="I436" s="1"/>
      <c r="J436" s="1"/>
      <c r="K436" s="192" t="s">
        <v>33</v>
      </c>
      <c r="L436" s="192"/>
      <c r="M436" s="192"/>
      <c r="N436" s="192"/>
      <c r="O436" s="1"/>
      <c r="P436" s="193" t="s">
        <v>1</v>
      </c>
      <c r="Q436" s="193"/>
      <c r="R436" s="194">
        <v>44630</v>
      </c>
      <c r="S436" s="194"/>
    </row>
    <row r="437" spans="1:19">
      <c r="A437" s="188" t="s">
        <v>2</v>
      </c>
      <c r="B437" s="188"/>
      <c r="C437" s="30">
        <v>1</v>
      </c>
      <c r="D437" s="30">
        <v>2</v>
      </c>
      <c r="E437" s="30">
        <v>3</v>
      </c>
      <c r="F437" s="30">
        <v>4</v>
      </c>
      <c r="G437" s="30">
        <v>5</v>
      </c>
      <c r="H437" s="30">
        <v>6</v>
      </c>
      <c r="I437" s="30">
        <v>7</v>
      </c>
      <c r="J437" s="30">
        <v>8</v>
      </c>
      <c r="K437" s="30">
        <v>9</v>
      </c>
      <c r="L437" s="30">
        <v>10</v>
      </c>
      <c r="M437" s="30">
        <v>11</v>
      </c>
      <c r="N437" s="30">
        <v>12</v>
      </c>
      <c r="O437" s="30">
        <v>13</v>
      </c>
      <c r="P437" s="30">
        <v>14</v>
      </c>
      <c r="Q437" s="195" t="s">
        <v>3</v>
      </c>
      <c r="R437" s="195" t="s">
        <v>4</v>
      </c>
      <c r="S437" s="195" t="s">
        <v>5</v>
      </c>
    </row>
    <row r="438" spans="1:19">
      <c r="A438" s="165" t="s">
        <v>6</v>
      </c>
      <c r="B438" s="167"/>
      <c r="C438" s="40">
        <f>'Booth detail'!GB1</f>
        <v>183</v>
      </c>
      <c r="D438" s="40">
        <f>'Booth detail'!GC1</f>
        <v>184</v>
      </c>
      <c r="E438" s="40">
        <f>'Booth detail'!GD1</f>
        <v>185</v>
      </c>
      <c r="F438" s="40">
        <f>'Booth detail'!GE1</f>
        <v>186</v>
      </c>
      <c r="G438" s="40">
        <f>'Booth detail'!GF1</f>
        <v>187</v>
      </c>
      <c r="H438" s="40">
        <f>'Booth detail'!GG1</f>
        <v>188</v>
      </c>
      <c r="I438" s="40">
        <f>'Booth detail'!GH1</f>
        <v>189</v>
      </c>
      <c r="J438" s="40">
        <f>'Booth detail'!GI1</f>
        <v>190</v>
      </c>
      <c r="K438" s="40">
        <f>'Booth detail'!GJ1</f>
        <v>191</v>
      </c>
      <c r="L438" s="40">
        <f>'Booth detail'!GK1</f>
        <v>192</v>
      </c>
      <c r="M438" s="40">
        <f>'Booth detail'!GL1</f>
        <v>193</v>
      </c>
      <c r="N438" s="40">
        <f>'Booth detail'!GM1</f>
        <v>194</v>
      </c>
      <c r="O438" s="40">
        <f>'Booth detail'!GN1</f>
        <v>195</v>
      </c>
      <c r="P438" s="40">
        <f>'Booth detail'!GO1</f>
        <v>196</v>
      </c>
      <c r="Q438" s="196"/>
      <c r="R438" s="196"/>
      <c r="S438" s="196"/>
    </row>
    <row r="439" spans="1:19" ht="25.5">
      <c r="A439" s="165" t="s">
        <v>18</v>
      </c>
      <c r="B439" s="167"/>
      <c r="C439" s="44" t="str">
        <f>'Booth detail'!GB2</f>
        <v>ECUEC60157</v>
      </c>
      <c r="D439" s="44" t="str">
        <f>'Booth detail'!GC2</f>
        <v>ECUEC52363</v>
      </c>
      <c r="E439" s="44" t="str">
        <f>'Booth detail'!GD2</f>
        <v>ECUEC63596</v>
      </c>
      <c r="F439" s="44" t="str">
        <f>'Booth detail'!GE2</f>
        <v>ECUEC51278</v>
      </c>
      <c r="G439" s="44" t="str">
        <f>'Booth detail'!GF2</f>
        <v>ECUEC53730</v>
      </c>
      <c r="H439" s="44" t="str">
        <f>'Booth detail'!GG2</f>
        <v>ECUEC57895</v>
      </c>
      <c r="I439" s="44" t="str">
        <f>'Booth detail'!GH2</f>
        <v>ECUEC54526</v>
      </c>
      <c r="J439" s="44" t="str">
        <f>'Booth detail'!GI2</f>
        <v>ECUEC64759</v>
      </c>
      <c r="K439" s="44" t="str">
        <f>'Booth detail'!GJ2</f>
        <v>ECUEC57438</v>
      </c>
      <c r="L439" s="44" t="str">
        <f>'Booth detail'!GK2</f>
        <v>ECUEC54425</v>
      </c>
      <c r="M439" s="44" t="str">
        <f>'Booth detail'!GL2</f>
        <v>ECUEC48582</v>
      </c>
      <c r="N439" s="44" t="str">
        <f>'Booth detail'!GM2</f>
        <v>ECUEC47873</v>
      </c>
      <c r="O439" s="44" t="str">
        <f>'Booth detail'!GN2</f>
        <v>ECUEC64236</v>
      </c>
      <c r="P439" s="44" t="str">
        <f>'Booth detail'!GO2</f>
        <v>ECUEC50613</v>
      </c>
      <c r="Q439" s="196"/>
      <c r="R439" s="196"/>
      <c r="S439" s="196"/>
    </row>
    <row r="440" spans="1:19" ht="42" customHeight="1">
      <c r="A440" s="198" t="s">
        <v>20</v>
      </c>
      <c r="B440" s="199"/>
      <c r="C440" s="55" t="str">
        <f>'Booth detail'!GB3</f>
        <v>-</v>
      </c>
      <c r="D440" s="55" t="str">
        <f>'Booth detail'!GC3</f>
        <v>-</v>
      </c>
      <c r="E440" s="55" t="str">
        <f>'Booth detail'!GD3</f>
        <v>-</v>
      </c>
      <c r="F440" s="55" t="str">
        <f>'Booth detail'!GE3</f>
        <v>-</v>
      </c>
      <c r="G440" s="55" t="str">
        <f>'Booth detail'!GF3</f>
        <v>-</v>
      </c>
      <c r="H440" s="55" t="str">
        <f>'Booth detail'!GG3</f>
        <v>-</v>
      </c>
      <c r="I440" s="55" t="str">
        <f>'Booth detail'!GH3</f>
        <v>-</v>
      </c>
      <c r="J440" s="55" t="str">
        <f>'Booth detail'!GI3</f>
        <v>-</v>
      </c>
      <c r="K440" s="55" t="str">
        <f>'Booth detail'!GJ3</f>
        <v>-</v>
      </c>
      <c r="L440" s="55" t="str">
        <f>'Booth detail'!GK3</f>
        <v>-</v>
      </c>
      <c r="M440" s="55" t="str">
        <f>'Booth detail'!GL3</f>
        <v>-</v>
      </c>
      <c r="N440" s="55" t="str">
        <f>'Booth detail'!GM3</f>
        <v>-</v>
      </c>
      <c r="O440" s="55" t="str">
        <f>'Booth detail'!GN3</f>
        <v>-</v>
      </c>
      <c r="P440" s="55" t="str">
        <f>'Booth detail'!GO3</f>
        <v>-</v>
      </c>
      <c r="Q440" s="196"/>
      <c r="R440" s="196"/>
      <c r="S440" s="196"/>
    </row>
    <row r="441" spans="1:19">
      <c r="A441" s="14" t="s">
        <v>7</v>
      </c>
      <c r="B441" s="32" t="s">
        <v>8</v>
      </c>
      <c r="C441" s="33" t="s">
        <v>9</v>
      </c>
      <c r="D441" s="33" t="s">
        <v>9</v>
      </c>
      <c r="E441" s="33" t="s">
        <v>9</v>
      </c>
      <c r="F441" s="33" t="s">
        <v>9</v>
      </c>
      <c r="G441" s="33" t="s">
        <v>9</v>
      </c>
      <c r="H441" s="33" t="s">
        <v>9</v>
      </c>
      <c r="I441" s="33" t="s">
        <v>9</v>
      </c>
      <c r="J441" s="33" t="s">
        <v>9</v>
      </c>
      <c r="K441" s="33" t="s">
        <v>9</v>
      </c>
      <c r="L441" s="33" t="s">
        <v>9</v>
      </c>
      <c r="M441" s="33" t="s">
        <v>9</v>
      </c>
      <c r="N441" s="33" t="s">
        <v>9</v>
      </c>
      <c r="O441" s="33" t="s">
        <v>9</v>
      </c>
      <c r="P441" s="33" t="s">
        <v>9</v>
      </c>
      <c r="Q441" s="197"/>
      <c r="R441" s="197"/>
      <c r="S441" s="197"/>
    </row>
    <row r="442" spans="1:19" ht="18.75">
      <c r="A442" s="29">
        <v>1</v>
      </c>
      <c r="B442" s="15" t="str">
        <f>'Candidate List'!B2</f>
        <v>Manveer Singh</v>
      </c>
      <c r="C442" s="13">
        <v>11</v>
      </c>
      <c r="D442" s="13">
        <v>10</v>
      </c>
      <c r="E442" s="13">
        <v>2</v>
      </c>
      <c r="F442" s="13">
        <v>167</v>
      </c>
      <c r="G442" s="13">
        <v>198</v>
      </c>
      <c r="H442" s="13">
        <v>316</v>
      </c>
      <c r="I442" s="13">
        <v>256</v>
      </c>
      <c r="J442" s="13">
        <v>359</v>
      </c>
      <c r="K442" s="13">
        <v>522</v>
      </c>
      <c r="L442" s="13">
        <v>563</v>
      </c>
      <c r="M442" s="13">
        <v>335</v>
      </c>
      <c r="N442" s="13">
        <v>37</v>
      </c>
      <c r="O442" s="13">
        <v>23</v>
      </c>
      <c r="P442" s="13">
        <v>689</v>
      </c>
      <c r="Q442" s="30">
        <f>SUM(C442:P442)</f>
        <v>3488</v>
      </c>
      <c r="R442" s="30">
        <f>S409</f>
        <v>10816</v>
      </c>
      <c r="S442" s="30">
        <f>Q442+R442</f>
        <v>14304</v>
      </c>
    </row>
    <row r="443" spans="1:19" ht="18.75">
      <c r="A443" s="29">
        <v>2</v>
      </c>
      <c r="B443" s="15" t="str">
        <f>'Candidate List'!B3</f>
        <v>Rahul Yadav</v>
      </c>
      <c r="C443" s="13">
        <v>277</v>
      </c>
      <c r="D443" s="13">
        <v>211</v>
      </c>
      <c r="E443" s="13">
        <v>438</v>
      </c>
      <c r="F443" s="13">
        <v>221</v>
      </c>
      <c r="G443" s="13">
        <v>163</v>
      </c>
      <c r="H443" s="13">
        <v>5</v>
      </c>
      <c r="I443" s="13">
        <v>20</v>
      </c>
      <c r="J443" s="13">
        <v>287</v>
      </c>
      <c r="K443" s="13">
        <v>4</v>
      </c>
      <c r="L443" s="13">
        <v>10</v>
      </c>
      <c r="M443" s="13">
        <v>104</v>
      </c>
      <c r="N443" s="13">
        <v>510</v>
      </c>
      <c r="O443" s="13">
        <v>500</v>
      </c>
      <c r="P443" s="13">
        <v>15</v>
      </c>
      <c r="Q443" s="30">
        <f t="shared" ref="Q443:Q455" si="52">SUM(C443:P443)</f>
        <v>2765</v>
      </c>
      <c r="R443" s="30">
        <f t="shared" ref="R443:R455" si="53">S410</f>
        <v>46335</v>
      </c>
      <c r="S443" s="30">
        <f t="shared" ref="S443:S455" si="54">Q443+R443</f>
        <v>49100</v>
      </c>
    </row>
    <row r="444" spans="1:19" ht="18.75">
      <c r="A444" s="29">
        <v>3</v>
      </c>
      <c r="B444" s="15" t="str">
        <f>'Candidate List'!B4</f>
        <v>Lakshmi Raj</v>
      </c>
      <c r="C444" s="13">
        <v>209</v>
      </c>
      <c r="D444" s="13">
        <v>290</v>
      </c>
      <c r="E444" s="13">
        <v>75</v>
      </c>
      <c r="F444" s="13">
        <v>104</v>
      </c>
      <c r="G444" s="13">
        <v>431</v>
      </c>
      <c r="H444" s="13">
        <v>36</v>
      </c>
      <c r="I444" s="13">
        <v>377</v>
      </c>
      <c r="J444" s="13">
        <v>164</v>
      </c>
      <c r="K444" s="13">
        <v>8</v>
      </c>
      <c r="L444" s="13">
        <v>19</v>
      </c>
      <c r="M444" s="13">
        <v>243</v>
      </c>
      <c r="N444" s="13">
        <v>58</v>
      </c>
      <c r="O444" s="13">
        <v>14</v>
      </c>
      <c r="P444" s="13">
        <v>29</v>
      </c>
      <c r="Q444" s="30">
        <f t="shared" si="52"/>
        <v>2057</v>
      </c>
      <c r="R444" s="30">
        <f t="shared" si="53"/>
        <v>37499</v>
      </c>
      <c r="S444" s="30">
        <f t="shared" si="54"/>
        <v>39556</v>
      </c>
    </row>
    <row r="445" spans="1:19" ht="18.75">
      <c r="A445" s="29">
        <v>4</v>
      </c>
      <c r="B445" s="15" t="str">
        <f>'Candidate List'!B5</f>
        <v>Saleem Akhtar Khan</v>
      </c>
      <c r="C445" s="13">
        <v>10</v>
      </c>
      <c r="D445" s="13">
        <v>1</v>
      </c>
      <c r="E445" s="13">
        <v>0</v>
      </c>
      <c r="F445" s="13">
        <v>1</v>
      </c>
      <c r="G445" s="13">
        <v>5</v>
      </c>
      <c r="H445" s="13">
        <v>1</v>
      </c>
      <c r="I445" s="13">
        <v>3</v>
      </c>
      <c r="J445" s="13">
        <v>4</v>
      </c>
      <c r="K445" s="13">
        <v>1</v>
      </c>
      <c r="L445" s="13">
        <v>1</v>
      </c>
      <c r="M445" s="13">
        <v>1</v>
      </c>
      <c r="N445" s="13">
        <v>26</v>
      </c>
      <c r="O445" s="13">
        <v>67</v>
      </c>
      <c r="P445" s="13">
        <v>0</v>
      </c>
      <c r="Q445" s="30">
        <f t="shared" si="52"/>
        <v>121</v>
      </c>
      <c r="R445" s="30">
        <f t="shared" si="53"/>
        <v>864</v>
      </c>
      <c r="S445" s="30">
        <f t="shared" si="54"/>
        <v>985</v>
      </c>
    </row>
    <row r="446" spans="1:19" ht="18.75">
      <c r="A446" s="29">
        <v>5</v>
      </c>
      <c r="B446" s="15" t="str">
        <f>'Candidate List'!B6</f>
        <v>Ajay Kumar</v>
      </c>
      <c r="C446" s="13">
        <v>1</v>
      </c>
      <c r="D446" s="13">
        <v>0</v>
      </c>
      <c r="E446" s="13">
        <v>0</v>
      </c>
      <c r="F446" s="13">
        <v>1</v>
      </c>
      <c r="G446" s="13">
        <v>0</v>
      </c>
      <c r="H446" s="13">
        <v>0</v>
      </c>
      <c r="I446" s="13">
        <v>1</v>
      </c>
      <c r="J446" s="13">
        <v>8</v>
      </c>
      <c r="K446" s="13">
        <v>0</v>
      </c>
      <c r="L446" s="13">
        <v>0</v>
      </c>
      <c r="M446" s="13">
        <v>0</v>
      </c>
      <c r="N446" s="13">
        <v>1</v>
      </c>
      <c r="O446" s="13">
        <v>5</v>
      </c>
      <c r="P446" s="13">
        <v>14</v>
      </c>
      <c r="Q446" s="30">
        <f t="shared" si="52"/>
        <v>31</v>
      </c>
      <c r="R446" s="30">
        <f t="shared" si="53"/>
        <v>141</v>
      </c>
      <c r="S446" s="30">
        <f t="shared" si="54"/>
        <v>172</v>
      </c>
    </row>
    <row r="447" spans="1:19" ht="18.75">
      <c r="A447" s="29">
        <v>6</v>
      </c>
      <c r="B447" s="15" t="str">
        <f>'Candidate List'!B7</f>
        <v>Ajay Kumar Sharma</v>
      </c>
      <c r="C447" s="13">
        <v>0</v>
      </c>
      <c r="D447" s="13">
        <v>1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30">
        <f t="shared" si="52"/>
        <v>1</v>
      </c>
      <c r="R447" s="30">
        <f t="shared" si="53"/>
        <v>35</v>
      </c>
      <c r="S447" s="30">
        <f t="shared" si="54"/>
        <v>36</v>
      </c>
    </row>
    <row r="448" spans="1:19" ht="18.75">
      <c r="A448" s="29">
        <v>7</v>
      </c>
      <c r="B448" s="15" t="str">
        <f>'Candidate List'!B8</f>
        <v>Amit Singh Tomar</v>
      </c>
      <c r="C448" s="13">
        <v>1</v>
      </c>
      <c r="D448" s="13">
        <v>0</v>
      </c>
      <c r="E448" s="13">
        <v>0</v>
      </c>
      <c r="F448" s="13">
        <v>0</v>
      </c>
      <c r="G448" s="13">
        <v>1</v>
      </c>
      <c r="H448" s="13">
        <v>0</v>
      </c>
      <c r="I448" s="13">
        <v>1</v>
      </c>
      <c r="J448" s="13">
        <v>1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30">
        <f t="shared" si="52"/>
        <v>4</v>
      </c>
      <c r="R448" s="30">
        <f t="shared" si="53"/>
        <v>64</v>
      </c>
      <c r="S448" s="30">
        <f t="shared" si="54"/>
        <v>68</v>
      </c>
    </row>
    <row r="449" spans="1:19" ht="18.75">
      <c r="A449" s="29">
        <v>8</v>
      </c>
      <c r="B449" s="15" t="str">
        <f>'Candidate List'!B9</f>
        <v>Darshan Sharma</v>
      </c>
      <c r="C449" s="13">
        <v>0</v>
      </c>
      <c r="D449" s="13">
        <v>1</v>
      </c>
      <c r="E449" s="13">
        <v>0</v>
      </c>
      <c r="F449" s="13">
        <v>1</v>
      </c>
      <c r="G449" s="13">
        <v>0</v>
      </c>
      <c r="H449" s="13">
        <v>1</v>
      </c>
      <c r="I449" s="13">
        <v>1</v>
      </c>
      <c r="J449" s="13">
        <v>0</v>
      </c>
      <c r="K449" s="13">
        <v>1</v>
      </c>
      <c r="L449" s="13">
        <v>2</v>
      </c>
      <c r="M449" s="13">
        <v>0</v>
      </c>
      <c r="N449" s="13">
        <v>1</v>
      </c>
      <c r="O449" s="13">
        <v>1</v>
      </c>
      <c r="P449" s="13">
        <v>0</v>
      </c>
      <c r="Q449" s="30">
        <f t="shared" si="52"/>
        <v>9</v>
      </c>
      <c r="R449" s="30">
        <f t="shared" si="53"/>
        <v>130</v>
      </c>
      <c r="S449" s="30">
        <f t="shared" si="54"/>
        <v>139</v>
      </c>
    </row>
    <row r="450" spans="1:19" ht="18.75">
      <c r="A450" s="29">
        <v>9</v>
      </c>
      <c r="B450" s="15" t="str">
        <f>'Candidate List'!B10</f>
        <v>Dilshad Ahmad</v>
      </c>
      <c r="C450" s="13">
        <v>1</v>
      </c>
      <c r="D450" s="13">
        <v>1</v>
      </c>
      <c r="E450" s="13">
        <v>0</v>
      </c>
      <c r="F450" s="13">
        <v>1</v>
      </c>
      <c r="G450" s="13">
        <v>1</v>
      </c>
      <c r="H450" s="13">
        <v>0</v>
      </c>
      <c r="I450" s="13">
        <v>1</v>
      </c>
      <c r="J450" s="13">
        <v>0</v>
      </c>
      <c r="K450" s="13">
        <v>0</v>
      </c>
      <c r="L450" s="13">
        <v>0</v>
      </c>
      <c r="M450" s="13">
        <v>2</v>
      </c>
      <c r="N450" s="13">
        <v>11</v>
      </c>
      <c r="O450" s="13">
        <v>12</v>
      </c>
      <c r="P450" s="13">
        <v>1</v>
      </c>
      <c r="Q450" s="30">
        <f t="shared" si="52"/>
        <v>31</v>
      </c>
      <c r="R450" s="30">
        <f t="shared" si="53"/>
        <v>838</v>
      </c>
      <c r="S450" s="30">
        <f t="shared" si="54"/>
        <v>869</v>
      </c>
    </row>
    <row r="451" spans="1:19" ht="18.75">
      <c r="A451" s="29">
        <v>10</v>
      </c>
      <c r="B451" s="15" t="str">
        <f>'Candidate List'!B11</f>
        <v>Raju Thakur</v>
      </c>
      <c r="C451" s="13">
        <v>5</v>
      </c>
      <c r="D451" s="13">
        <v>4</v>
      </c>
      <c r="E451" s="13">
        <v>4</v>
      </c>
      <c r="F451" s="13">
        <v>1</v>
      </c>
      <c r="G451" s="13">
        <v>4</v>
      </c>
      <c r="H451" s="13">
        <v>2</v>
      </c>
      <c r="I451" s="13">
        <v>0</v>
      </c>
      <c r="J451" s="13">
        <v>4</v>
      </c>
      <c r="K451" s="13">
        <v>0</v>
      </c>
      <c r="L451" s="13">
        <v>0</v>
      </c>
      <c r="M451" s="13">
        <v>1</v>
      </c>
      <c r="N451" s="13">
        <v>0</v>
      </c>
      <c r="O451" s="13">
        <v>1</v>
      </c>
      <c r="P451" s="13">
        <v>0</v>
      </c>
      <c r="Q451" s="30">
        <f t="shared" si="52"/>
        <v>26</v>
      </c>
      <c r="R451" s="30">
        <f t="shared" si="53"/>
        <v>436</v>
      </c>
      <c r="S451" s="30">
        <f t="shared" si="54"/>
        <v>462</v>
      </c>
    </row>
    <row r="452" spans="1:19" ht="18.75">
      <c r="A452" s="29">
        <v>11</v>
      </c>
      <c r="B452" s="15" t="str">
        <f>'Candidate List'!B12</f>
        <v>Bablu</v>
      </c>
      <c r="C452" s="13">
        <v>0</v>
      </c>
      <c r="D452" s="13">
        <v>1</v>
      </c>
      <c r="E452" s="13">
        <v>0</v>
      </c>
      <c r="F452" s="13">
        <v>1</v>
      </c>
      <c r="G452" s="13">
        <v>0</v>
      </c>
      <c r="H452" s="13">
        <v>1</v>
      </c>
      <c r="I452" s="13">
        <v>1</v>
      </c>
      <c r="J452" s="13">
        <v>3</v>
      </c>
      <c r="K452" s="13">
        <v>0</v>
      </c>
      <c r="L452" s="13">
        <v>0</v>
      </c>
      <c r="M452" s="13">
        <v>2</v>
      </c>
      <c r="N452" s="13">
        <v>2</v>
      </c>
      <c r="O452" s="13">
        <v>2</v>
      </c>
      <c r="P452" s="13">
        <v>0</v>
      </c>
      <c r="Q452" s="30">
        <f t="shared" si="52"/>
        <v>13</v>
      </c>
      <c r="R452" s="30">
        <f t="shared" si="53"/>
        <v>202</v>
      </c>
      <c r="S452" s="30">
        <f t="shared" si="54"/>
        <v>215</v>
      </c>
    </row>
    <row r="453" spans="1:19" ht="18.75">
      <c r="A453" s="29">
        <v>12</v>
      </c>
      <c r="B453" s="15" t="str">
        <f>'Candidate List'!B13</f>
        <v>NOTA</v>
      </c>
      <c r="C453" s="13">
        <v>5</v>
      </c>
      <c r="D453" s="13">
        <v>6</v>
      </c>
      <c r="E453" s="13">
        <v>4</v>
      </c>
      <c r="F453" s="13">
        <v>0</v>
      </c>
      <c r="G453" s="13">
        <v>3</v>
      </c>
      <c r="H453" s="13">
        <v>14</v>
      </c>
      <c r="I453" s="13">
        <v>3</v>
      </c>
      <c r="J453" s="13">
        <v>5</v>
      </c>
      <c r="K453" s="13">
        <v>8</v>
      </c>
      <c r="L453" s="13">
        <v>7</v>
      </c>
      <c r="M453" s="13">
        <v>3</v>
      </c>
      <c r="N453" s="13">
        <v>3</v>
      </c>
      <c r="O453" s="13">
        <v>2</v>
      </c>
      <c r="P453" s="13">
        <v>0</v>
      </c>
      <c r="Q453" s="30">
        <f t="shared" si="52"/>
        <v>63</v>
      </c>
      <c r="R453" s="30">
        <f t="shared" si="53"/>
        <v>388</v>
      </c>
      <c r="S453" s="30">
        <f t="shared" si="54"/>
        <v>451</v>
      </c>
    </row>
    <row r="454" spans="1:19">
      <c r="A454" s="187" t="s">
        <v>11</v>
      </c>
      <c r="B454" s="187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30">
        <f t="shared" si="52"/>
        <v>0</v>
      </c>
      <c r="R454" s="30">
        <f t="shared" si="53"/>
        <v>0</v>
      </c>
      <c r="S454" s="30">
        <f t="shared" si="54"/>
        <v>0</v>
      </c>
    </row>
    <row r="455" spans="1:19">
      <c r="A455" s="188" t="s">
        <v>12</v>
      </c>
      <c r="B455" s="188"/>
      <c r="C455" s="30">
        <f t="shared" ref="C455:P455" si="55">SUM(C442:C454)</f>
        <v>520</v>
      </c>
      <c r="D455" s="30">
        <f t="shared" si="55"/>
        <v>526</v>
      </c>
      <c r="E455" s="30">
        <f t="shared" si="55"/>
        <v>523</v>
      </c>
      <c r="F455" s="30">
        <f t="shared" si="55"/>
        <v>498</v>
      </c>
      <c r="G455" s="30">
        <f t="shared" si="55"/>
        <v>806</v>
      </c>
      <c r="H455" s="30">
        <f t="shared" si="55"/>
        <v>376</v>
      </c>
      <c r="I455" s="30">
        <f t="shared" si="55"/>
        <v>664</v>
      </c>
      <c r="J455" s="30">
        <f t="shared" si="55"/>
        <v>835</v>
      </c>
      <c r="K455" s="30">
        <f t="shared" si="55"/>
        <v>544</v>
      </c>
      <c r="L455" s="30">
        <f t="shared" si="55"/>
        <v>602</v>
      </c>
      <c r="M455" s="30">
        <f t="shared" si="55"/>
        <v>691</v>
      </c>
      <c r="N455" s="30">
        <f t="shared" si="55"/>
        <v>649</v>
      </c>
      <c r="O455" s="30">
        <f t="shared" si="55"/>
        <v>627</v>
      </c>
      <c r="P455" s="30">
        <f t="shared" si="55"/>
        <v>748</v>
      </c>
      <c r="Q455" s="30">
        <f t="shared" si="52"/>
        <v>8609</v>
      </c>
      <c r="R455" s="30">
        <f t="shared" si="53"/>
        <v>97748</v>
      </c>
      <c r="S455" s="30">
        <f t="shared" si="54"/>
        <v>106357</v>
      </c>
    </row>
    <row r="456" spans="1:19" ht="38.25" customHeight="1">
      <c r="A456" s="5"/>
      <c r="B456" s="5"/>
      <c r="C456" s="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8"/>
      <c r="R456" s="7"/>
      <c r="S456" s="7"/>
    </row>
    <row r="457" spans="1:19" ht="22.5">
      <c r="A457" s="31"/>
      <c r="B457" s="31"/>
      <c r="C457" s="10" t="s">
        <v>13</v>
      </c>
      <c r="D457" s="10" t="s">
        <v>13</v>
      </c>
      <c r="E457" s="10" t="s">
        <v>13</v>
      </c>
      <c r="F457" s="10" t="s">
        <v>13</v>
      </c>
      <c r="G457" s="10" t="s">
        <v>13</v>
      </c>
      <c r="H457" s="10" t="s">
        <v>13</v>
      </c>
      <c r="I457" s="10" t="s">
        <v>13</v>
      </c>
      <c r="J457" s="10" t="s">
        <v>13</v>
      </c>
      <c r="K457" s="10" t="s">
        <v>13</v>
      </c>
      <c r="L457" s="10" t="s">
        <v>13</v>
      </c>
      <c r="M457" s="10" t="s">
        <v>13</v>
      </c>
      <c r="N457" s="10" t="s">
        <v>13</v>
      </c>
      <c r="O457" s="10" t="s">
        <v>13</v>
      </c>
      <c r="P457" s="10" t="s">
        <v>13</v>
      </c>
      <c r="Q457" s="10" t="s">
        <v>13</v>
      </c>
      <c r="R457" s="10" t="s">
        <v>13</v>
      </c>
      <c r="S457" s="10" t="s">
        <v>13</v>
      </c>
    </row>
    <row r="458" spans="1:19" ht="35.25" customHeight="1">
      <c r="A458" s="31"/>
      <c r="B458" s="3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 ht="22.5">
      <c r="A459" s="31"/>
      <c r="B459" s="31"/>
      <c r="C459" s="10" t="s">
        <v>14</v>
      </c>
      <c r="D459" s="10" t="s">
        <v>14</v>
      </c>
      <c r="E459" s="10" t="s">
        <v>14</v>
      </c>
      <c r="F459" s="10" t="s">
        <v>14</v>
      </c>
      <c r="G459" s="10" t="s">
        <v>14</v>
      </c>
      <c r="H459" s="10" t="s">
        <v>14</v>
      </c>
      <c r="I459" s="10" t="s">
        <v>14</v>
      </c>
      <c r="J459" s="10" t="s">
        <v>14</v>
      </c>
      <c r="K459" s="10" t="s">
        <v>14</v>
      </c>
      <c r="L459" s="10" t="s">
        <v>14</v>
      </c>
      <c r="M459" s="10" t="s">
        <v>14</v>
      </c>
      <c r="N459" s="10" t="s">
        <v>14</v>
      </c>
      <c r="O459" s="10" t="s">
        <v>14</v>
      </c>
      <c r="P459" s="10" t="s">
        <v>14</v>
      </c>
      <c r="Q459" s="10" t="s">
        <v>14</v>
      </c>
      <c r="R459" s="10" t="s">
        <v>14</v>
      </c>
      <c r="S459" s="10" t="s">
        <v>14</v>
      </c>
    </row>
    <row r="460" spans="1:19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</row>
    <row r="461" spans="1:19">
      <c r="A461" s="189" t="s">
        <v>15</v>
      </c>
      <c r="B461" s="189"/>
      <c r="C461" s="164" t="s">
        <v>16</v>
      </c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31"/>
      <c r="S461" s="31"/>
    </row>
    <row r="462" spans="1:19">
      <c r="A462" s="31"/>
      <c r="B462" s="31"/>
      <c r="C462" s="164" t="s">
        <v>17</v>
      </c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31"/>
      <c r="S462" s="31"/>
    </row>
    <row r="463" spans="1:19">
      <c r="A463" s="31"/>
      <c r="B463" s="31"/>
      <c r="C463" s="164" t="s">
        <v>44</v>
      </c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31"/>
      <c r="S463" s="31"/>
    </row>
    <row r="464" spans="1:19">
      <c r="A464" s="31"/>
      <c r="B464" s="31"/>
      <c r="C464" s="164" t="s">
        <v>45</v>
      </c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31"/>
      <c r="S464" s="31"/>
    </row>
    <row r="470" spans="1:19" ht="26.25">
      <c r="A470" s="190" t="s">
        <v>0</v>
      </c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</row>
    <row r="471" spans="1:19" ht="19.5">
      <c r="A471" s="191" t="s">
        <v>1225</v>
      </c>
      <c r="B471" s="191"/>
      <c r="C471" s="191"/>
      <c r="D471" s="191"/>
      <c r="E471" s="191"/>
      <c r="F471" s="191"/>
      <c r="G471" s="191"/>
      <c r="H471" s="191"/>
      <c r="I471" s="1"/>
      <c r="J471" s="1"/>
      <c r="K471" s="192" t="s">
        <v>34</v>
      </c>
      <c r="L471" s="192"/>
      <c r="M471" s="192"/>
      <c r="N471" s="192"/>
      <c r="O471" s="1"/>
      <c r="P471" s="193" t="s">
        <v>1</v>
      </c>
      <c r="Q471" s="193"/>
      <c r="R471" s="194">
        <v>44630</v>
      </c>
      <c r="S471" s="194"/>
    </row>
    <row r="472" spans="1:19">
      <c r="A472" s="188" t="s">
        <v>2</v>
      </c>
      <c r="B472" s="188"/>
      <c r="C472" s="30">
        <v>1</v>
      </c>
      <c r="D472" s="30">
        <v>2</v>
      </c>
      <c r="E472" s="30">
        <v>3</v>
      </c>
      <c r="F472" s="30">
        <v>4</v>
      </c>
      <c r="G472" s="30">
        <v>5</v>
      </c>
      <c r="H472" s="30">
        <v>6</v>
      </c>
      <c r="I472" s="30">
        <v>7</v>
      </c>
      <c r="J472" s="30">
        <v>8</v>
      </c>
      <c r="K472" s="30">
        <v>9</v>
      </c>
      <c r="L472" s="30">
        <v>10</v>
      </c>
      <c r="M472" s="30">
        <v>11</v>
      </c>
      <c r="N472" s="30">
        <v>12</v>
      </c>
      <c r="O472" s="30">
        <v>13</v>
      </c>
      <c r="P472" s="30">
        <v>14</v>
      </c>
      <c r="Q472" s="195" t="s">
        <v>3</v>
      </c>
      <c r="R472" s="195" t="s">
        <v>4</v>
      </c>
      <c r="S472" s="195" t="s">
        <v>5</v>
      </c>
    </row>
    <row r="473" spans="1:19">
      <c r="A473" s="165" t="s">
        <v>6</v>
      </c>
      <c r="B473" s="167"/>
      <c r="C473" s="40">
        <f>'Booth detail'!GP1</f>
        <v>197</v>
      </c>
      <c r="D473" s="40">
        <f>'Booth detail'!GQ1</f>
        <v>198</v>
      </c>
      <c r="E473" s="40">
        <f>'Booth detail'!GR1</f>
        <v>199</v>
      </c>
      <c r="F473" s="40">
        <f>'Booth detail'!GS1</f>
        <v>200</v>
      </c>
      <c r="G473" s="40">
        <f>'Booth detail'!GT1</f>
        <v>201</v>
      </c>
      <c r="H473" s="40">
        <f>'Booth detail'!GU1</f>
        <v>202</v>
      </c>
      <c r="I473" s="40">
        <f>'Booth detail'!GV1</f>
        <v>203</v>
      </c>
      <c r="J473" s="40">
        <f>'Booth detail'!GW1</f>
        <v>204</v>
      </c>
      <c r="K473" s="40">
        <f>'Booth detail'!GX1</f>
        <v>205</v>
      </c>
      <c r="L473" s="40">
        <f>'Booth detail'!GY1</f>
        <v>206</v>
      </c>
      <c r="M473" s="40">
        <f>'Booth detail'!GZ1</f>
        <v>207</v>
      </c>
      <c r="N473" s="40">
        <f>'Booth detail'!HA1</f>
        <v>208</v>
      </c>
      <c r="O473" s="40">
        <f>'Booth detail'!HB1</f>
        <v>209</v>
      </c>
      <c r="P473" s="40">
        <f>'Booth detail'!HC1</f>
        <v>210</v>
      </c>
      <c r="Q473" s="196"/>
      <c r="R473" s="196"/>
      <c r="S473" s="196"/>
    </row>
    <row r="474" spans="1:19" ht="25.5">
      <c r="A474" s="165" t="s">
        <v>18</v>
      </c>
      <c r="B474" s="167"/>
      <c r="C474" s="44" t="str">
        <f>'Booth detail'!GP2</f>
        <v>ECUEC54414</v>
      </c>
      <c r="D474" s="44" t="str">
        <f>'Booth detail'!GQ2</f>
        <v>ECUEC55593</v>
      </c>
      <c r="E474" s="44" t="str">
        <f>'Booth detail'!GR2</f>
        <v>ECUEC54765</v>
      </c>
      <c r="F474" s="44" t="str">
        <f>'Booth detail'!GS2</f>
        <v>ECUEC57525</v>
      </c>
      <c r="G474" s="44" t="str">
        <f>'Booth detail'!GT2</f>
        <v>ECUEC47872</v>
      </c>
      <c r="H474" s="44" t="str">
        <f>'Booth detail'!GU2</f>
        <v>ECUEC48978</v>
      </c>
      <c r="I474" s="44" t="str">
        <f>'Booth detail'!GV2</f>
        <v>ECUEC97810</v>
      </c>
      <c r="J474" s="44" t="str">
        <f>'Booth detail'!GW2</f>
        <v>ECUEC57932</v>
      </c>
      <c r="K474" s="44" t="str">
        <f>'Booth detail'!GX2</f>
        <v>ECUEC47418</v>
      </c>
      <c r="L474" s="44" t="str">
        <f>'Booth detail'!GY2</f>
        <v>ECUEC51128</v>
      </c>
      <c r="M474" s="44" t="str">
        <f>'Booth detail'!GZ2</f>
        <v>ECUEC67748</v>
      </c>
      <c r="N474" s="44" t="str">
        <f>'Booth detail'!HA2</f>
        <v>ECUEC64854</v>
      </c>
      <c r="O474" s="44" t="str">
        <f>'Booth detail'!HB2</f>
        <v>ECUED12136</v>
      </c>
      <c r="P474" s="44" t="str">
        <f>'Booth detail'!HC2</f>
        <v>ECUEC57944</v>
      </c>
      <c r="Q474" s="196"/>
      <c r="R474" s="196"/>
      <c r="S474" s="196"/>
    </row>
    <row r="475" spans="1:19" ht="43.5" customHeight="1">
      <c r="A475" s="198" t="s">
        <v>20</v>
      </c>
      <c r="B475" s="199"/>
      <c r="C475" s="55" t="str">
        <f>'Booth detail'!GP3</f>
        <v>-</v>
      </c>
      <c r="D475" s="55" t="str">
        <f>'Booth detail'!GQ3</f>
        <v>-</v>
      </c>
      <c r="E475" s="55" t="str">
        <f>'Booth detail'!GR3</f>
        <v>-</v>
      </c>
      <c r="F475" s="55" t="str">
        <f>'Booth detail'!GS3</f>
        <v>-</v>
      </c>
      <c r="G475" s="55" t="str">
        <f>'Booth detail'!GT3</f>
        <v>-</v>
      </c>
      <c r="H475" s="55" t="str">
        <f>'Booth detail'!GU3</f>
        <v>-</v>
      </c>
      <c r="I475" s="55" t="str">
        <f>'Booth detail'!GV3</f>
        <v>-</v>
      </c>
      <c r="J475" s="55" t="str">
        <f>'Booth detail'!GW3</f>
        <v>-</v>
      </c>
      <c r="K475" s="55" t="str">
        <f>'Booth detail'!GX3</f>
        <v>-</v>
      </c>
      <c r="L475" s="55" t="str">
        <f>'Booth detail'!GY3</f>
        <v>-</v>
      </c>
      <c r="M475" s="55" t="str">
        <f>'Booth detail'!GZ3</f>
        <v>-</v>
      </c>
      <c r="N475" s="55" t="str">
        <f>'Booth detail'!HA3</f>
        <v>-</v>
      </c>
      <c r="O475" s="55" t="str">
        <f>'Booth detail'!HB3</f>
        <v>-</v>
      </c>
      <c r="P475" s="55" t="str">
        <f>'Booth detail'!HC3</f>
        <v>-</v>
      </c>
      <c r="Q475" s="196"/>
      <c r="R475" s="196"/>
      <c r="S475" s="196"/>
    </row>
    <row r="476" spans="1:19">
      <c r="A476" s="14" t="s">
        <v>7</v>
      </c>
      <c r="B476" s="32" t="s">
        <v>8</v>
      </c>
      <c r="C476" s="33" t="s">
        <v>9</v>
      </c>
      <c r="D476" s="33" t="s">
        <v>9</v>
      </c>
      <c r="E476" s="33" t="s">
        <v>9</v>
      </c>
      <c r="F476" s="33" t="s">
        <v>9</v>
      </c>
      <c r="G476" s="33" t="s">
        <v>9</v>
      </c>
      <c r="H476" s="33" t="s">
        <v>9</v>
      </c>
      <c r="I476" s="33" t="s">
        <v>9</v>
      </c>
      <c r="J476" s="33" t="s">
        <v>9</v>
      </c>
      <c r="K476" s="33" t="s">
        <v>9</v>
      </c>
      <c r="L476" s="33" t="s">
        <v>9</v>
      </c>
      <c r="M476" s="33" t="s">
        <v>9</v>
      </c>
      <c r="N476" s="33" t="s">
        <v>9</v>
      </c>
      <c r="O476" s="33" t="s">
        <v>9</v>
      </c>
      <c r="P476" s="33" t="s">
        <v>9</v>
      </c>
      <c r="Q476" s="197"/>
      <c r="R476" s="197"/>
      <c r="S476" s="197"/>
    </row>
    <row r="477" spans="1:19" ht="18.75">
      <c r="A477" s="29">
        <v>1</v>
      </c>
      <c r="B477" s="15" t="str">
        <f>'Candidate List'!B2</f>
        <v>Manveer Singh</v>
      </c>
      <c r="C477" s="13">
        <v>305</v>
      </c>
      <c r="D477" s="13">
        <v>49</v>
      </c>
      <c r="E477" s="13">
        <v>46</v>
      </c>
      <c r="F477" s="13">
        <v>211</v>
      </c>
      <c r="G477" s="13">
        <v>55</v>
      </c>
      <c r="H477" s="13">
        <v>47</v>
      </c>
      <c r="I477" s="13">
        <v>13</v>
      </c>
      <c r="J477" s="13">
        <v>100</v>
      </c>
      <c r="K477" s="13">
        <v>20</v>
      </c>
      <c r="L477" s="13">
        <v>46</v>
      </c>
      <c r="M477" s="13">
        <v>400</v>
      </c>
      <c r="N477" s="13">
        <v>274</v>
      </c>
      <c r="O477" s="13">
        <v>49</v>
      </c>
      <c r="P477" s="13">
        <v>74</v>
      </c>
      <c r="Q477" s="30">
        <f>SUM(C477:P477)</f>
        <v>1689</v>
      </c>
      <c r="R477" s="30">
        <f>S442</f>
        <v>14304</v>
      </c>
      <c r="S477" s="30">
        <f>Q477+R477</f>
        <v>15993</v>
      </c>
    </row>
    <row r="478" spans="1:19" ht="18.75">
      <c r="A478" s="29">
        <v>2</v>
      </c>
      <c r="B478" s="15" t="str">
        <f>'Candidate List'!B3</f>
        <v>Rahul Yadav</v>
      </c>
      <c r="C478" s="13">
        <v>3</v>
      </c>
      <c r="D478" s="13">
        <v>31</v>
      </c>
      <c r="E478" s="13">
        <v>47</v>
      </c>
      <c r="F478" s="13">
        <v>17</v>
      </c>
      <c r="G478" s="13">
        <v>67</v>
      </c>
      <c r="H478" s="13">
        <v>72</v>
      </c>
      <c r="I478" s="13">
        <v>660</v>
      </c>
      <c r="J478" s="13">
        <v>582</v>
      </c>
      <c r="K478" s="13">
        <v>542</v>
      </c>
      <c r="L478" s="13">
        <v>608</v>
      </c>
      <c r="M478" s="13">
        <v>16</v>
      </c>
      <c r="N478" s="13">
        <v>47</v>
      </c>
      <c r="O478" s="13">
        <v>13</v>
      </c>
      <c r="P478" s="13">
        <v>83</v>
      </c>
      <c r="Q478" s="30">
        <f t="shared" ref="Q478:Q490" si="56">SUM(C478:P478)</f>
        <v>2788</v>
      </c>
      <c r="R478" s="30">
        <f t="shared" ref="R478:R490" si="57">S443</f>
        <v>49100</v>
      </c>
      <c r="S478" s="30">
        <f t="shared" ref="S478:S490" si="58">Q478+R478</f>
        <v>51888</v>
      </c>
    </row>
    <row r="479" spans="1:19" ht="18.75">
      <c r="A479" s="29">
        <v>3</v>
      </c>
      <c r="B479" s="15" t="str">
        <f>'Candidate List'!B4</f>
        <v>Lakshmi Raj</v>
      </c>
      <c r="C479" s="13">
        <v>10</v>
      </c>
      <c r="D479" s="13">
        <v>356</v>
      </c>
      <c r="E479" s="13">
        <v>250</v>
      </c>
      <c r="F479" s="13">
        <v>319</v>
      </c>
      <c r="G479" s="13">
        <v>372</v>
      </c>
      <c r="H479" s="13">
        <v>250</v>
      </c>
      <c r="I479" s="13">
        <v>150</v>
      </c>
      <c r="J479" s="13">
        <v>36</v>
      </c>
      <c r="K479" s="13">
        <v>41</v>
      </c>
      <c r="L479" s="13">
        <v>10</v>
      </c>
      <c r="M479" s="13">
        <v>215</v>
      </c>
      <c r="N479" s="13">
        <v>463</v>
      </c>
      <c r="O479" s="13">
        <v>232</v>
      </c>
      <c r="P479" s="13">
        <v>287</v>
      </c>
      <c r="Q479" s="30">
        <f t="shared" si="56"/>
        <v>2991</v>
      </c>
      <c r="R479" s="30">
        <f t="shared" si="57"/>
        <v>39556</v>
      </c>
      <c r="S479" s="30">
        <f t="shared" si="58"/>
        <v>42547</v>
      </c>
    </row>
    <row r="480" spans="1:19" ht="18.75">
      <c r="A480" s="29">
        <v>4</v>
      </c>
      <c r="B480" s="15" t="str">
        <f>'Candidate List'!B5</f>
        <v>Saleem Akhtar Khan</v>
      </c>
      <c r="C480" s="13">
        <v>2</v>
      </c>
      <c r="D480" s="13">
        <v>9</v>
      </c>
      <c r="E480" s="13">
        <v>3</v>
      </c>
      <c r="F480" s="13">
        <v>8</v>
      </c>
      <c r="G480" s="13">
        <v>3</v>
      </c>
      <c r="H480" s="13">
        <v>0</v>
      </c>
      <c r="I480" s="13">
        <v>2</v>
      </c>
      <c r="J480" s="13">
        <v>2</v>
      </c>
      <c r="K480" s="13">
        <v>0</v>
      </c>
      <c r="L480" s="13">
        <v>3</v>
      </c>
      <c r="M480" s="13">
        <v>1</v>
      </c>
      <c r="N480" s="13">
        <v>3</v>
      </c>
      <c r="O480" s="13">
        <v>4</v>
      </c>
      <c r="P480" s="13">
        <v>3</v>
      </c>
      <c r="Q480" s="30">
        <f t="shared" si="56"/>
        <v>43</v>
      </c>
      <c r="R480" s="30">
        <f t="shared" si="57"/>
        <v>985</v>
      </c>
      <c r="S480" s="30">
        <f t="shared" si="58"/>
        <v>1028</v>
      </c>
    </row>
    <row r="481" spans="1:19" ht="18.75">
      <c r="A481" s="29">
        <v>5</v>
      </c>
      <c r="B481" s="15" t="str">
        <f>'Candidate List'!B6</f>
        <v>Ajay Kumar</v>
      </c>
      <c r="C481" s="13">
        <v>0</v>
      </c>
      <c r="D481" s="13">
        <v>0</v>
      </c>
      <c r="E481" s="13">
        <v>9</v>
      </c>
      <c r="F481" s="13">
        <v>1</v>
      </c>
      <c r="G481" s="13">
        <v>1</v>
      </c>
      <c r="H481" s="13">
        <v>0</v>
      </c>
      <c r="I481" s="13">
        <v>6</v>
      </c>
      <c r="J481" s="13">
        <v>2</v>
      </c>
      <c r="K481" s="13">
        <v>0</v>
      </c>
      <c r="L481" s="13">
        <v>0</v>
      </c>
      <c r="M481" s="13">
        <v>1</v>
      </c>
      <c r="N481" s="13">
        <v>27</v>
      </c>
      <c r="O481" s="13">
        <v>1</v>
      </c>
      <c r="P481" s="13">
        <v>7</v>
      </c>
      <c r="Q481" s="30">
        <f t="shared" si="56"/>
        <v>55</v>
      </c>
      <c r="R481" s="30">
        <f t="shared" si="57"/>
        <v>172</v>
      </c>
      <c r="S481" s="30">
        <f t="shared" si="58"/>
        <v>227</v>
      </c>
    </row>
    <row r="482" spans="1:19" ht="18.75">
      <c r="A482" s="29">
        <v>6</v>
      </c>
      <c r="B482" s="15" t="str">
        <f>'Candidate List'!B7</f>
        <v>Ajay Kumar Sharma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1</v>
      </c>
      <c r="J482" s="13">
        <v>1</v>
      </c>
      <c r="K482" s="13">
        <v>0</v>
      </c>
      <c r="L482" s="13">
        <v>0</v>
      </c>
      <c r="M482" s="13">
        <v>0</v>
      </c>
      <c r="N482" s="13">
        <v>1</v>
      </c>
      <c r="O482" s="13">
        <v>0</v>
      </c>
      <c r="P482" s="13">
        <v>0</v>
      </c>
      <c r="Q482" s="30">
        <f t="shared" si="56"/>
        <v>3</v>
      </c>
      <c r="R482" s="30">
        <f t="shared" si="57"/>
        <v>36</v>
      </c>
      <c r="S482" s="30">
        <f t="shared" si="58"/>
        <v>39</v>
      </c>
    </row>
    <row r="483" spans="1:19" ht="18.75">
      <c r="A483" s="29">
        <v>7</v>
      </c>
      <c r="B483" s="15" t="str">
        <f>'Candidate List'!B8</f>
        <v>Amit Singh Tomar</v>
      </c>
      <c r="C483" s="13">
        <v>0</v>
      </c>
      <c r="D483" s="13">
        <v>0</v>
      </c>
      <c r="E483" s="13">
        <v>0</v>
      </c>
      <c r="F483" s="13">
        <v>1</v>
      </c>
      <c r="G483" s="13">
        <v>0</v>
      </c>
      <c r="H483" s="13">
        <v>1</v>
      </c>
      <c r="I483" s="13">
        <v>2</v>
      </c>
      <c r="J483" s="13">
        <v>0</v>
      </c>
      <c r="K483" s="13">
        <v>0</v>
      </c>
      <c r="L483" s="13">
        <v>0</v>
      </c>
      <c r="M483" s="13">
        <v>2</v>
      </c>
      <c r="N483" s="13">
        <v>2</v>
      </c>
      <c r="O483" s="13">
        <v>0</v>
      </c>
      <c r="P483" s="13">
        <v>1</v>
      </c>
      <c r="Q483" s="30">
        <f t="shared" si="56"/>
        <v>9</v>
      </c>
      <c r="R483" s="30">
        <f t="shared" si="57"/>
        <v>68</v>
      </c>
      <c r="S483" s="30">
        <f t="shared" si="58"/>
        <v>77</v>
      </c>
    </row>
    <row r="484" spans="1:19" ht="18.75">
      <c r="A484" s="29">
        <v>8</v>
      </c>
      <c r="B484" s="15" t="str">
        <f>'Candidate List'!B9</f>
        <v>Darshan Sharma</v>
      </c>
      <c r="C484" s="13">
        <v>0</v>
      </c>
      <c r="D484" s="13">
        <v>2</v>
      </c>
      <c r="E484" s="13">
        <v>0</v>
      </c>
      <c r="F484" s="13">
        <v>1</v>
      </c>
      <c r="G484" s="13">
        <v>5</v>
      </c>
      <c r="H484" s="13">
        <v>0</v>
      </c>
      <c r="I484" s="13">
        <v>2</v>
      </c>
      <c r="J484" s="13">
        <v>0</v>
      </c>
      <c r="K484" s="13">
        <v>0</v>
      </c>
      <c r="L484" s="13">
        <v>0</v>
      </c>
      <c r="M484" s="13">
        <v>1</v>
      </c>
      <c r="N484" s="13">
        <v>0</v>
      </c>
      <c r="O484" s="13">
        <v>0</v>
      </c>
      <c r="P484" s="13">
        <v>1</v>
      </c>
      <c r="Q484" s="30">
        <f t="shared" si="56"/>
        <v>12</v>
      </c>
      <c r="R484" s="30">
        <f t="shared" si="57"/>
        <v>139</v>
      </c>
      <c r="S484" s="30">
        <f t="shared" si="58"/>
        <v>151</v>
      </c>
    </row>
    <row r="485" spans="1:19" ht="18.75">
      <c r="A485" s="29">
        <v>9</v>
      </c>
      <c r="B485" s="15" t="str">
        <f>'Candidate List'!B10</f>
        <v>Dilshad Ahmad</v>
      </c>
      <c r="C485" s="13">
        <v>0</v>
      </c>
      <c r="D485" s="13">
        <v>0</v>
      </c>
      <c r="E485" s="13">
        <v>0</v>
      </c>
      <c r="F485" s="13">
        <v>0</v>
      </c>
      <c r="G485" s="13">
        <v>1</v>
      </c>
      <c r="H485" s="13">
        <v>4</v>
      </c>
      <c r="I485" s="13">
        <v>6</v>
      </c>
      <c r="J485" s="13">
        <v>12</v>
      </c>
      <c r="K485" s="13">
        <v>2</v>
      </c>
      <c r="L485" s="13">
        <v>8</v>
      </c>
      <c r="M485" s="13">
        <v>1</v>
      </c>
      <c r="N485" s="13">
        <v>1</v>
      </c>
      <c r="O485" s="13">
        <v>1</v>
      </c>
      <c r="P485" s="13">
        <v>0</v>
      </c>
      <c r="Q485" s="30">
        <f t="shared" si="56"/>
        <v>36</v>
      </c>
      <c r="R485" s="30">
        <f t="shared" si="57"/>
        <v>869</v>
      </c>
      <c r="S485" s="30">
        <f t="shared" si="58"/>
        <v>905</v>
      </c>
    </row>
    <row r="486" spans="1:19" ht="18.75">
      <c r="A486" s="29">
        <v>10</v>
      </c>
      <c r="B486" s="15" t="str">
        <f>'Candidate List'!B11</f>
        <v>Raju Thakur</v>
      </c>
      <c r="C486" s="13">
        <v>0</v>
      </c>
      <c r="D486" s="13">
        <v>2</v>
      </c>
      <c r="E486" s="13">
        <v>9</v>
      </c>
      <c r="F486" s="13">
        <v>6</v>
      </c>
      <c r="G486" s="13">
        <v>2</v>
      </c>
      <c r="H486" s="13">
        <v>0</v>
      </c>
      <c r="I486" s="13">
        <v>5</v>
      </c>
      <c r="J486" s="13">
        <v>2</v>
      </c>
      <c r="K486" s="13">
        <v>4</v>
      </c>
      <c r="L486" s="13">
        <v>0</v>
      </c>
      <c r="M486" s="13">
        <v>2</v>
      </c>
      <c r="N486" s="13">
        <v>4</v>
      </c>
      <c r="O486" s="13">
        <v>5</v>
      </c>
      <c r="P486" s="13">
        <v>6</v>
      </c>
      <c r="Q486" s="30">
        <f t="shared" si="56"/>
        <v>47</v>
      </c>
      <c r="R486" s="30">
        <f t="shared" si="57"/>
        <v>462</v>
      </c>
      <c r="S486" s="30">
        <f t="shared" si="58"/>
        <v>509</v>
      </c>
    </row>
    <row r="487" spans="1:19" ht="18.75">
      <c r="A487" s="29">
        <v>11</v>
      </c>
      <c r="B487" s="15" t="str">
        <f>'Candidate List'!B12</f>
        <v>Bablu</v>
      </c>
      <c r="C487" s="13">
        <v>0</v>
      </c>
      <c r="D487" s="13">
        <v>0</v>
      </c>
      <c r="E487" s="13">
        <v>1</v>
      </c>
      <c r="F487" s="13">
        <v>2</v>
      </c>
      <c r="G487" s="13">
        <v>0</v>
      </c>
      <c r="H487" s="13">
        <v>0</v>
      </c>
      <c r="I487" s="13">
        <v>2</v>
      </c>
      <c r="J487" s="13">
        <v>1</v>
      </c>
      <c r="K487" s="13">
        <v>0</v>
      </c>
      <c r="L487" s="13">
        <v>1</v>
      </c>
      <c r="M487" s="13">
        <v>2</v>
      </c>
      <c r="N487" s="13">
        <v>0</v>
      </c>
      <c r="O487" s="13">
        <v>0</v>
      </c>
      <c r="P487" s="13">
        <v>1</v>
      </c>
      <c r="Q487" s="30">
        <f t="shared" si="56"/>
        <v>10</v>
      </c>
      <c r="R487" s="30">
        <f t="shared" si="57"/>
        <v>215</v>
      </c>
      <c r="S487" s="30">
        <f t="shared" si="58"/>
        <v>225</v>
      </c>
    </row>
    <row r="488" spans="1:19" ht="18.75">
      <c r="A488" s="29">
        <v>12</v>
      </c>
      <c r="B488" s="15" t="str">
        <f>'Candidate List'!B13</f>
        <v>NOTA</v>
      </c>
      <c r="C488" s="13">
        <v>4</v>
      </c>
      <c r="D488" s="13">
        <v>1</v>
      </c>
      <c r="E488" s="13">
        <v>1</v>
      </c>
      <c r="F488" s="13">
        <v>4</v>
      </c>
      <c r="G488" s="13">
        <v>4</v>
      </c>
      <c r="H488" s="13">
        <v>0</v>
      </c>
      <c r="I488" s="13">
        <v>3</v>
      </c>
      <c r="J488" s="13">
        <v>5</v>
      </c>
      <c r="K488" s="13">
        <v>1</v>
      </c>
      <c r="L488" s="13">
        <v>2</v>
      </c>
      <c r="M488" s="13">
        <v>5</v>
      </c>
      <c r="N488" s="13">
        <v>3</v>
      </c>
      <c r="O488" s="13">
        <v>4</v>
      </c>
      <c r="P488" s="13">
        <v>0</v>
      </c>
      <c r="Q488" s="30">
        <f t="shared" si="56"/>
        <v>37</v>
      </c>
      <c r="R488" s="30">
        <f t="shared" si="57"/>
        <v>451</v>
      </c>
      <c r="S488" s="30">
        <f t="shared" si="58"/>
        <v>488</v>
      </c>
    </row>
    <row r="489" spans="1:19">
      <c r="A489" s="187" t="s">
        <v>11</v>
      </c>
      <c r="B489" s="187"/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30">
        <f t="shared" si="56"/>
        <v>0</v>
      </c>
      <c r="R489" s="30">
        <f t="shared" si="57"/>
        <v>0</v>
      </c>
      <c r="S489" s="30">
        <f t="shared" si="58"/>
        <v>0</v>
      </c>
    </row>
    <row r="490" spans="1:19">
      <c r="A490" s="188" t="s">
        <v>12</v>
      </c>
      <c r="B490" s="188"/>
      <c r="C490" s="30">
        <f t="shared" ref="C490:P490" si="59">SUM(C477:C489)</f>
        <v>324</v>
      </c>
      <c r="D490" s="30">
        <f t="shared" si="59"/>
        <v>450</v>
      </c>
      <c r="E490" s="30">
        <f t="shared" si="59"/>
        <v>366</v>
      </c>
      <c r="F490" s="30">
        <f t="shared" si="59"/>
        <v>570</v>
      </c>
      <c r="G490" s="30">
        <f t="shared" si="59"/>
        <v>510</v>
      </c>
      <c r="H490" s="30">
        <f t="shared" si="59"/>
        <v>374</v>
      </c>
      <c r="I490" s="30">
        <f t="shared" si="59"/>
        <v>852</v>
      </c>
      <c r="J490" s="30">
        <f t="shared" si="59"/>
        <v>743</v>
      </c>
      <c r="K490" s="30">
        <f t="shared" si="59"/>
        <v>610</v>
      </c>
      <c r="L490" s="30">
        <f t="shared" si="59"/>
        <v>678</v>
      </c>
      <c r="M490" s="30">
        <f t="shared" si="59"/>
        <v>646</v>
      </c>
      <c r="N490" s="30">
        <f t="shared" si="59"/>
        <v>825</v>
      </c>
      <c r="O490" s="30">
        <f t="shared" si="59"/>
        <v>309</v>
      </c>
      <c r="P490" s="30">
        <f t="shared" si="59"/>
        <v>463</v>
      </c>
      <c r="Q490" s="30">
        <f t="shared" si="56"/>
        <v>7720</v>
      </c>
      <c r="R490" s="30">
        <f t="shared" si="57"/>
        <v>106357</v>
      </c>
      <c r="S490" s="30">
        <f t="shared" si="58"/>
        <v>114077</v>
      </c>
    </row>
    <row r="491" spans="1:19" ht="42" customHeight="1">
      <c r="A491" s="5"/>
      <c r="B491" s="5"/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8"/>
      <c r="R491" s="7"/>
      <c r="S491" s="7"/>
    </row>
    <row r="492" spans="1:19" ht="22.5">
      <c r="A492" s="31"/>
      <c r="B492" s="31"/>
      <c r="C492" s="10" t="s">
        <v>13</v>
      </c>
      <c r="D492" s="10" t="s">
        <v>13</v>
      </c>
      <c r="E492" s="10" t="s">
        <v>13</v>
      </c>
      <c r="F492" s="10" t="s">
        <v>13</v>
      </c>
      <c r="G492" s="10" t="s">
        <v>13</v>
      </c>
      <c r="H492" s="10" t="s">
        <v>13</v>
      </c>
      <c r="I492" s="10" t="s">
        <v>13</v>
      </c>
      <c r="J492" s="10" t="s">
        <v>13</v>
      </c>
      <c r="K492" s="10" t="s">
        <v>13</v>
      </c>
      <c r="L492" s="10" t="s">
        <v>13</v>
      </c>
      <c r="M492" s="10" t="s">
        <v>13</v>
      </c>
      <c r="N492" s="10" t="s">
        <v>13</v>
      </c>
      <c r="O492" s="10" t="s">
        <v>13</v>
      </c>
      <c r="P492" s="10" t="s">
        <v>13</v>
      </c>
      <c r="Q492" s="10" t="s">
        <v>13</v>
      </c>
      <c r="R492" s="10" t="s">
        <v>13</v>
      </c>
      <c r="S492" s="10" t="s">
        <v>13</v>
      </c>
    </row>
    <row r="493" spans="1:19" ht="38.25" customHeight="1">
      <c r="A493" s="31"/>
      <c r="B493" s="3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 ht="22.5">
      <c r="A494" s="31"/>
      <c r="B494" s="31"/>
      <c r="C494" s="10" t="s">
        <v>14</v>
      </c>
      <c r="D494" s="10" t="s">
        <v>14</v>
      </c>
      <c r="E494" s="10" t="s">
        <v>14</v>
      </c>
      <c r="F494" s="10" t="s">
        <v>14</v>
      </c>
      <c r="G494" s="10" t="s">
        <v>14</v>
      </c>
      <c r="H494" s="10" t="s">
        <v>14</v>
      </c>
      <c r="I494" s="10" t="s">
        <v>14</v>
      </c>
      <c r="J494" s="10" t="s">
        <v>14</v>
      </c>
      <c r="K494" s="10" t="s">
        <v>14</v>
      </c>
      <c r="L494" s="10" t="s">
        <v>14</v>
      </c>
      <c r="M494" s="10" t="s">
        <v>14</v>
      </c>
      <c r="N494" s="10" t="s">
        <v>14</v>
      </c>
      <c r="O494" s="10" t="s">
        <v>14</v>
      </c>
      <c r="P494" s="10" t="s">
        <v>14</v>
      </c>
      <c r="Q494" s="10" t="s">
        <v>14</v>
      </c>
      <c r="R494" s="10" t="s">
        <v>14</v>
      </c>
      <c r="S494" s="10" t="s">
        <v>14</v>
      </c>
    </row>
    <row r="495" spans="1:19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</row>
    <row r="496" spans="1:19">
      <c r="A496" s="189" t="s">
        <v>15</v>
      </c>
      <c r="B496" s="189"/>
      <c r="C496" s="164" t="s">
        <v>16</v>
      </c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31"/>
      <c r="S496" s="31"/>
    </row>
    <row r="497" spans="1:19">
      <c r="A497" s="31"/>
      <c r="B497" s="31"/>
      <c r="C497" s="164" t="s">
        <v>17</v>
      </c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31"/>
      <c r="S497" s="31"/>
    </row>
    <row r="498" spans="1:19">
      <c r="A498" s="31"/>
      <c r="B498" s="31"/>
      <c r="C498" s="164" t="s">
        <v>44</v>
      </c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31"/>
      <c r="S498" s="31"/>
    </row>
    <row r="499" spans="1:19">
      <c r="A499" s="31"/>
      <c r="B499" s="31"/>
      <c r="C499" s="164" t="s">
        <v>45</v>
      </c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31"/>
      <c r="S499" s="31"/>
    </row>
    <row r="504" spans="1:19" ht="26.25">
      <c r="A504" s="190" t="s">
        <v>0</v>
      </c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</row>
    <row r="505" spans="1:19" ht="19.5">
      <c r="A505" s="191" t="s">
        <v>1225</v>
      </c>
      <c r="B505" s="191"/>
      <c r="C505" s="191"/>
      <c r="D505" s="191"/>
      <c r="E505" s="191"/>
      <c r="F505" s="191"/>
      <c r="G505" s="191"/>
      <c r="H505" s="191"/>
      <c r="I505" s="1"/>
      <c r="J505" s="1"/>
      <c r="K505" s="192" t="s">
        <v>35</v>
      </c>
      <c r="L505" s="192"/>
      <c r="M505" s="192"/>
      <c r="N505" s="192"/>
      <c r="O505" s="1"/>
      <c r="P505" s="193" t="s">
        <v>1</v>
      </c>
      <c r="Q505" s="193"/>
      <c r="R505" s="194">
        <v>44630</v>
      </c>
      <c r="S505" s="194"/>
    </row>
    <row r="506" spans="1:19">
      <c r="A506" s="188" t="s">
        <v>2</v>
      </c>
      <c r="B506" s="188"/>
      <c r="C506" s="30">
        <v>1</v>
      </c>
      <c r="D506" s="30">
        <v>2</v>
      </c>
      <c r="E506" s="30">
        <v>3</v>
      </c>
      <c r="F506" s="30">
        <v>4</v>
      </c>
      <c r="G506" s="30">
        <v>5</v>
      </c>
      <c r="H506" s="30">
        <v>6</v>
      </c>
      <c r="I506" s="30">
        <v>7</v>
      </c>
      <c r="J506" s="30">
        <v>8</v>
      </c>
      <c r="K506" s="30">
        <v>9</v>
      </c>
      <c r="L506" s="30">
        <v>10</v>
      </c>
      <c r="M506" s="30">
        <v>11</v>
      </c>
      <c r="N506" s="30">
        <v>12</v>
      </c>
      <c r="O506" s="30">
        <v>13</v>
      </c>
      <c r="P506" s="30">
        <v>14</v>
      </c>
      <c r="Q506" s="195" t="s">
        <v>3</v>
      </c>
      <c r="R506" s="195" t="s">
        <v>4</v>
      </c>
      <c r="S506" s="195" t="s">
        <v>5</v>
      </c>
    </row>
    <row r="507" spans="1:19">
      <c r="A507" s="165" t="s">
        <v>6</v>
      </c>
      <c r="B507" s="167"/>
      <c r="C507" s="40">
        <f>'Booth detail'!HD1</f>
        <v>211</v>
      </c>
      <c r="D507" s="40">
        <f>'Booth detail'!HE1</f>
        <v>212</v>
      </c>
      <c r="E507" s="40">
        <f>'Booth detail'!HF1</f>
        <v>213</v>
      </c>
      <c r="F507" s="40">
        <f>'Booth detail'!HG1</f>
        <v>214</v>
      </c>
      <c r="G507" s="40">
        <f>'Booth detail'!HH1</f>
        <v>215</v>
      </c>
      <c r="H507" s="40">
        <f>'Booth detail'!HI1</f>
        <v>216</v>
      </c>
      <c r="I507" s="40">
        <f>'Booth detail'!HJ1</f>
        <v>217</v>
      </c>
      <c r="J507" s="40">
        <f>'Booth detail'!HK1</f>
        <v>218</v>
      </c>
      <c r="K507" s="40">
        <f>'Booth detail'!HL1</f>
        <v>219</v>
      </c>
      <c r="L507" s="40">
        <f>'Booth detail'!HM1</f>
        <v>220</v>
      </c>
      <c r="M507" s="40">
        <f>'Booth detail'!HN1</f>
        <v>221</v>
      </c>
      <c r="N507" s="40">
        <f>'Booth detail'!HO1</f>
        <v>222</v>
      </c>
      <c r="O507" s="40">
        <f>'Booth detail'!HP1</f>
        <v>223</v>
      </c>
      <c r="P507" s="40">
        <f>'Booth detail'!HQ1</f>
        <v>224</v>
      </c>
      <c r="Q507" s="196"/>
      <c r="R507" s="196"/>
      <c r="S507" s="196"/>
    </row>
    <row r="508" spans="1:19" ht="25.5">
      <c r="A508" s="165" t="s">
        <v>18</v>
      </c>
      <c r="B508" s="167"/>
      <c r="C508" s="44" t="str">
        <f>'Booth detail'!HD2</f>
        <v>ECUEC51620</v>
      </c>
      <c r="D508" s="44" t="str">
        <f>'Booth detail'!HE2</f>
        <v>ECUED12152</v>
      </c>
      <c r="E508" s="44" t="str">
        <f>'Booth detail'!HF2</f>
        <v>ECUEC67949</v>
      </c>
      <c r="F508" s="44" t="str">
        <f>'Booth detail'!HG2</f>
        <v>ECUEC64903</v>
      </c>
      <c r="G508" s="44" t="str">
        <f>'Booth detail'!HH2</f>
        <v>ECUEC60614</v>
      </c>
      <c r="H508" s="44" t="str">
        <f>'Booth detail'!HI2</f>
        <v>ECUED25753</v>
      </c>
      <c r="I508" s="44" t="str">
        <f>'Booth detail'!HJ2</f>
        <v>ECUEC64632</v>
      </c>
      <c r="J508" s="44" t="str">
        <f>'Booth detail'!HK2</f>
        <v>ECUEC60494</v>
      </c>
      <c r="K508" s="44" t="str">
        <f>'Booth detail'!HL2</f>
        <v>ECUEC50422</v>
      </c>
      <c r="L508" s="44" t="str">
        <f>'Booth detail'!HM2</f>
        <v>ECUEC64964</v>
      </c>
      <c r="M508" s="44" t="str">
        <f>'Booth detail'!HN2</f>
        <v>ECUEC67799</v>
      </c>
      <c r="N508" s="44" t="str">
        <f>'Booth detail'!HO2</f>
        <v>ECUEC51379</v>
      </c>
      <c r="O508" s="44" t="str">
        <f>'Booth detail'!HP2</f>
        <v>ECUEC64980</v>
      </c>
      <c r="P508" s="44" t="str">
        <f>'Booth detail'!HQ2</f>
        <v>ECUEC48878</v>
      </c>
      <c r="Q508" s="196"/>
      <c r="R508" s="196"/>
      <c r="S508" s="196"/>
    </row>
    <row r="509" spans="1:19" ht="41.25" customHeight="1">
      <c r="A509" s="198" t="s">
        <v>20</v>
      </c>
      <c r="B509" s="199"/>
      <c r="C509" s="55" t="str">
        <f>'Booth detail'!HD3</f>
        <v>-</v>
      </c>
      <c r="D509" s="55" t="str">
        <f>'Booth detail'!HE3</f>
        <v>-</v>
      </c>
      <c r="E509" s="55" t="str">
        <f>'Booth detail'!HF3</f>
        <v>-</v>
      </c>
      <c r="F509" s="55" t="str">
        <f>'Booth detail'!HG3</f>
        <v>-</v>
      </c>
      <c r="G509" s="55" t="str">
        <f>'Booth detail'!HH3</f>
        <v>-</v>
      </c>
      <c r="H509" s="55" t="str">
        <f>'Booth detail'!HI3</f>
        <v>-</v>
      </c>
      <c r="I509" s="55" t="str">
        <f>'Booth detail'!HJ3</f>
        <v>-</v>
      </c>
      <c r="J509" s="55" t="str">
        <f>'Booth detail'!HK3</f>
        <v>-</v>
      </c>
      <c r="K509" s="55" t="str">
        <f>'Booth detail'!HL3</f>
        <v>-</v>
      </c>
      <c r="L509" s="55" t="str">
        <f>'Booth detail'!HM3</f>
        <v>-</v>
      </c>
      <c r="M509" s="55" t="str">
        <f>'Booth detail'!HN3</f>
        <v>-</v>
      </c>
      <c r="N509" s="55" t="str">
        <f>'Booth detail'!HO3</f>
        <v>-</v>
      </c>
      <c r="O509" s="55" t="str">
        <f>'Booth detail'!HP3</f>
        <v>-</v>
      </c>
      <c r="P509" s="55" t="str">
        <f>'Booth detail'!HQ3</f>
        <v>-</v>
      </c>
      <c r="Q509" s="196"/>
      <c r="R509" s="196"/>
      <c r="S509" s="196"/>
    </row>
    <row r="510" spans="1:19">
      <c r="A510" s="14" t="s">
        <v>7</v>
      </c>
      <c r="B510" s="32" t="s">
        <v>8</v>
      </c>
      <c r="C510" s="33" t="s">
        <v>9</v>
      </c>
      <c r="D510" s="33" t="s">
        <v>9</v>
      </c>
      <c r="E510" s="33" t="s">
        <v>9</v>
      </c>
      <c r="F510" s="33" t="s">
        <v>9</v>
      </c>
      <c r="G510" s="33" t="s">
        <v>9</v>
      </c>
      <c r="H510" s="33" t="s">
        <v>9</v>
      </c>
      <c r="I510" s="33" t="s">
        <v>9</v>
      </c>
      <c r="J510" s="33" t="s">
        <v>9</v>
      </c>
      <c r="K510" s="33" t="s">
        <v>9</v>
      </c>
      <c r="L510" s="33" t="s">
        <v>9</v>
      </c>
      <c r="M510" s="33" t="s">
        <v>9</v>
      </c>
      <c r="N510" s="33" t="s">
        <v>9</v>
      </c>
      <c r="O510" s="33" t="s">
        <v>9</v>
      </c>
      <c r="P510" s="33" t="s">
        <v>9</v>
      </c>
      <c r="Q510" s="197"/>
      <c r="R510" s="197"/>
      <c r="S510" s="197"/>
    </row>
    <row r="511" spans="1:19" ht="18.75">
      <c r="A511" s="29">
        <v>1</v>
      </c>
      <c r="B511" s="15" t="str">
        <f>'Candidate List'!B2</f>
        <v>Manveer Singh</v>
      </c>
      <c r="C511" s="13">
        <v>237</v>
      </c>
      <c r="D511" s="13">
        <v>155</v>
      </c>
      <c r="E511" s="13">
        <v>266</v>
      </c>
      <c r="F511" s="13">
        <v>354</v>
      </c>
      <c r="G511" s="13">
        <v>386</v>
      </c>
      <c r="H511" s="13">
        <v>228</v>
      </c>
      <c r="I511" s="13">
        <v>90</v>
      </c>
      <c r="J511" s="13">
        <v>250</v>
      </c>
      <c r="K511" s="13">
        <v>23</v>
      </c>
      <c r="L511" s="13">
        <v>386</v>
      </c>
      <c r="M511" s="13">
        <v>65</v>
      </c>
      <c r="N511" s="13">
        <v>155</v>
      </c>
      <c r="O511" s="13">
        <v>330</v>
      </c>
      <c r="P511" s="13">
        <v>225</v>
      </c>
      <c r="Q511" s="30">
        <f>SUM(C511:P511)</f>
        <v>3150</v>
      </c>
      <c r="R511" s="30">
        <f>S477</f>
        <v>15993</v>
      </c>
      <c r="S511" s="30">
        <f>Q511+R511</f>
        <v>19143</v>
      </c>
    </row>
    <row r="512" spans="1:19" ht="18.75">
      <c r="A512" s="29">
        <v>2</v>
      </c>
      <c r="B512" s="15" t="str">
        <f>'Candidate List'!B3</f>
        <v>Rahul Yadav</v>
      </c>
      <c r="C512" s="13">
        <v>54</v>
      </c>
      <c r="D512" s="13">
        <v>114</v>
      </c>
      <c r="E512" s="13">
        <v>13</v>
      </c>
      <c r="F512" s="13">
        <v>10</v>
      </c>
      <c r="G512" s="13">
        <v>37</v>
      </c>
      <c r="H512" s="13">
        <v>16</v>
      </c>
      <c r="I512" s="13">
        <v>267</v>
      </c>
      <c r="J512" s="13">
        <v>28</v>
      </c>
      <c r="K512" s="13">
        <v>60</v>
      </c>
      <c r="L512" s="13">
        <v>58</v>
      </c>
      <c r="M512" s="13">
        <v>18</v>
      </c>
      <c r="N512" s="13">
        <v>37</v>
      </c>
      <c r="O512" s="13">
        <v>38</v>
      </c>
      <c r="P512" s="13">
        <v>65</v>
      </c>
      <c r="Q512" s="30">
        <f t="shared" ref="Q512:Q524" si="60">SUM(C512:P512)</f>
        <v>815</v>
      </c>
      <c r="R512" s="30">
        <f t="shared" ref="R512:R524" si="61">S478</f>
        <v>51888</v>
      </c>
      <c r="S512" s="30">
        <f t="shared" ref="S512:S524" si="62">Q512+R512</f>
        <v>52703</v>
      </c>
    </row>
    <row r="513" spans="1:19" ht="18.75">
      <c r="A513" s="29">
        <v>3</v>
      </c>
      <c r="B513" s="15" t="str">
        <f>'Candidate List'!B4</f>
        <v>Lakshmi Raj</v>
      </c>
      <c r="C513" s="13">
        <v>305</v>
      </c>
      <c r="D513" s="13">
        <v>249</v>
      </c>
      <c r="E513" s="13">
        <v>92</v>
      </c>
      <c r="F513" s="13">
        <v>60</v>
      </c>
      <c r="G513" s="13">
        <v>268</v>
      </c>
      <c r="H513" s="13">
        <v>460</v>
      </c>
      <c r="I513" s="13">
        <v>178</v>
      </c>
      <c r="J513" s="13">
        <v>228</v>
      </c>
      <c r="K513" s="13">
        <v>618</v>
      </c>
      <c r="L513" s="13">
        <v>194</v>
      </c>
      <c r="M513" s="13">
        <v>275</v>
      </c>
      <c r="N513" s="13">
        <v>240</v>
      </c>
      <c r="O513" s="13">
        <v>259</v>
      </c>
      <c r="P513" s="13">
        <v>427</v>
      </c>
      <c r="Q513" s="30">
        <f t="shared" si="60"/>
        <v>3853</v>
      </c>
      <c r="R513" s="30">
        <f t="shared" si="61"/>
        <v>42547</v>
      </c>
      <c r="S513" s="30">
        <f t="shared" si="62"/>
        <v>46400</v>
      </c>
    </row>
    <row r="514" spans="1:19" ht="18.75">
      <c r="A514" s="29">
        <v>4</v>
      </c>
      <c r="B514" s="15" t="str">
        <f>'Candidate List'!B5</f>
        <v>Saleem Akhtar Khan</v>
      </c>
      <c r="C514" s="13">
        <v>2</v>
      </c>
      <c r="D514" s="13">
        <v>8</v>
      </c>
      <c r="E514" s="13">
        <v>0</v>
      </c>
      <c r="F514" s="13">
        <v>0</v>
      </c>
      <c r="G514" s="13">
        <v>5</v>
      </c>
      <c r="H514" s="13">
        <v>6</v>
      </c>
      <c r="I514" s="13">
        <v>2</v>
      </c>
      <c r="J514" s="13">
        <v>8</v>
      </c>
      <c r="K514" s="13">
        <v>8</v>
      </c>
      <c r="L514" s="13">
        <v>4</v>
      </c>
      <c r="M514" s="13">
        <v>1</v>
      </c>
      <c r="N514" s="13">
        <v>2</v>
      </c>
      <c r="O514" s="13">
        <v>1</v>
      </c>
      <c r="P514" s="13">
        <v>6</v>
      </c>
      <c r="Q514" s="30">
        <f t="shared" si="60"/>
        <v>53</v>
      </c>
      <c r="R514" s="30">
        <f t="shared" si="61"/>
        <v>1028</v>
      </c>
      <c r="S514" s="30">
        <f t="shared" si="62"/>
        <v>1081</v>
      </c>
    </row>
    <row r="515" spans="1:19" ht="18.75">
      <c r="A515" s="29">
        <v>5</v>
      </c>
      <c r="B515" s="15" t="str">
        <f>'Candidate List'!B6</f>
        <v>Ajay Kumar</v>
      </c>
      <c r="C515" s="13">
        <v>13</v>
      </c>
      <c r="D515" s="13">
        <v>8</v>
      </c>
      <c r="E515" s="13">
        <v>91</v>
      </c>
      <c r="F515" s="13">
        <v>48</v>
      </c>
      <c r="G515" s="13">
        <v>6</v>
      </c>
      <c r="H515" s="13">
        <v>2</v>
      </c>
      <c r="I515" s="13">
        <v>1</v>
      </c>
      <c r="J515" s="13">
        <v>5</v>
      </c>
      <c r="K515" s="13">
        <v>0</v>
      </c>
      <c r="L515" s="13">
        <v>1</v>
      </c>
      <c r="M515" s="13">
        <v>7</v>
      </c>
      <c r="N515" s="13">
        <v>4</v>
      </c>
      <c r="O515" s="13">
        <v>39</v>
      </c>
      <c r="P515" s="13">
        <v>25</v>
      </c>
      <c r="Q515" s="30">
        <f t="shared" si="60"/>
        <v>250</v>
      </c>
      <c r="R515" s="30">
        <f t="shared" si="61"/>
        <v>227</v>
      </c>
      <c r="S515" s="30">
        <f t="shared" si="62"/>
        <v>477</v>
      </c>
    </row>
    <row r="516" spans="1:19" ht="18.75">
      <c r="A516" s="29">
        <v>6</v>
      </c>
      <c r="B516" s="15" t="str">
        <f>'Candidate List'!B7</f>
        <v>Ajay Kumar Sharma</v>
      </c>
      <c r="C516" s="13">
        <v>0</v>
      </c>
      <c r="D516" s="13">
        <v>0</v>
      </c>
      <c r="E516" s="13">
        <v>1</v>
      </c>
      <c r="F516" s="13">
        <v>0</v>
      </c>
      <c r="G516" s="13">
        <v>1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2</v>
      </c>
      <c r="O516" s="13">
        <v>2</v>
      </c>
      <c r="P516" s="13">
        <v>0</v>
      </c>
      <c r="Q516" s="30">
        <f t="shared" si="60"/>
        <v>6</v>
      </c>
      <c r="R516" s="30">
        <f t="shared" si="61"/>
        <v>39</v>
      </c>
      <c r="S516" s="30">
        <f t="shared" si="62"/>
        <v>45</v>
      </c>
    </row>
    <row r="517" spans="1:19" ht="18.75">
      <c r="A517" s="29">
        <v>7</v>
      </c>
      <c r="B517" s="15" t="str">
        <f>'Candidate List'!B8</f>
        <v>Amit Singh Tomar</v>
      </c>
      <c r="C517" s="13">
        <v>3</v>
      </c>
      <c r="D517" s="13">
        <v>4</v>
      </c>
      <c r="E517" s="13">
        <v>0</v>
      </c>
      <c r="F517" s="13">
        <v>0</v>
      </c>
      <c r="G517" s="13">
        <v>3</v>
      </c>
      <c r="H517" s="13">
        <v>1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2</v>
      </c>
      <c r="Q517" s="30">
        <f t="shared" si="60"/>
        <v>13</v>
      </c>
      <c r="R517" s="30">
        <f t="shared" si="61"/>
        <v>77</v>
      </c>
      <c r="S517" s="30">
        <f t="shared" si="62"/>
        <v>90</v>
      </c>
    </row>
    <row r="518" spans="1:19" ht="18.75">
      <c r="A518" s="29">
        <v>8</v>
      </c>
      <c r="B518" s="15" t="str">
        <f>'Candidate List'!B9</f>
        <v>Darshan Sharma</v>
      </c>
      <c r="C518" s="13">
        <v>2</v>
      </c>
      <c r="D518" s="13">
        <v>0</v>
      </c>
      <c r="E518" s="13">
        <v>6</v>
      </c>
      <c r="F518" s="13">
        <v>2</v>
      </c>
      <c r="G518" s="13">
        <v>2</v>
      </c>
      <c r="H518" s="13">
        <v>1</v>
      </c>
      <c r="I518" s="13">
        <v>1</v>
      </c>
      <c r="J518" s="13">
        <v>2</v>
      </c>
      <c r="K518" s="13">
        <v>1</v>
      </c>
      <c r="L518" s="13">
        <v>4</v>
      </c>
      <c r="M518" s="13">
        <v>0</v>
      </c>
      <c r="N518" s="13">
        <v>3</v>
      </c>
      <c r="O518" s="13">
        <v>1</v>
      </c>
      <c r="P518" s="13">
        <v>1</v>
      </c>
      <c r="Q518" s="30">
        <f t="shared" si="60"/>
        <v>26</v>
      </c>
      <c r="R518" s="30">
        <f t="shared" si="61"/>
        <v>151</v>
      </c>
      <c r="S518" s="30">
        <f t="shared" si="62"/>
        <v>177</v>
      </c>
    </row>
    <row r="519" spans="1:19" ht="18.75">
      <c r="A519" s="29">
        <v>9</v>
      </c>
      <c r="B519" s="15" t="str">
        <f>'Candidate List'!B10</f>
        <v>Dilshad Ahmad</v>
      </c>
      <c r="C519" s="13">
        <v>1</v>
      </c>
      <c r="D519" s="13">
        <v>1</v>
      </c>
      <c r="E519" s="13">
        <v>2</v>
      </c>
      <c r="F519" s="13">
        <v>0</v>
      </c>
      <c r="G519" s="13">
        <v>2</v>
      </c>
      <c r="H519" s="13">
        <v>0</v>
      </c>
      <c r="I519" s="13">
        <v>7</v>
      </c>
      <c r="J519" s="13">
        <v>1</v>
      </c>
      <c r="K519" s="13">
        <v>0</v>
      </c>
      <c r="L519" s="13">
        <v>1</v>
      </c>
      <c r="M519" s="13">
        <v>2</v>
      </c>
      <c r="N519" s="13">
        <v>1</v>
      </c>
      <c r="O519" s="13">
        <v>0</v>
      </c>
      <c r="P519" s="13">
        <v>1</v>
      </c>
      <c r="Q519" s="30">
        <f t="shared" si="60"/>
        <v>19</v>
      </c>
      <c r="R519" s="30">
        <f t="shared" si="61"/>
        <v>905</v>
      </c>
      <c r="S519" s="30">
        <f t="shared" si="62"/>
        <v>924</v>
      </c>
    </row>
    <row r="520" spans="1:19" ht="18.75">
      <c r="A520" s="29">
        <v>10</v>
      </c>
      <c r="B520" s="15" t="str">
        <f>'Candidate List'!B11</f>
        <v>Raju Thakur</v>
      </c>
      <c r="C520" s="13">
        <v>5</v>
      </c>
      <c r="D520" s="13">
        <v>4</v>
      </c>
      <c r="E520" s="13">
        <v>0</v>
      </c>
      <c r="F520" s="13">
        <v>0</v>
      </c>
      <c r="G520" s="13">
        <v>2</v>
      </c>
      <c r="H520" s="13">
        <v>3</v>
      </c>
      <c r="I520" s="13">
        <v>1</v>
      </c>
      <c r="J520" s="13">
        <v>3</v>
      </c>
      <c r="K520" s="13">
        <v>6</v>
      </c>
      <c r="L520" s="13">
        <v>0</v>
      </c>
      <c r="M520" s="13">
        <v>1</v>
      </c>
      <c r="N520" s="13">
        <v>3</v>
      </c>
      <c r="O520" s="13">
        <v>3</v>
      </c>
      <c r="P520" s="13">
        <v>2</v>
      </c>
      <c r="Q520" s="30">
        <f t="shared" si="60"/>
        <v>33</v>
      </c>
      <c r="R520" s="30">
        <f t="shared" si="61"/>
        <v>509</v>
      </c>
      <c r="S520" s="30">
        <f t="shared" si="62"/>
        <v>542</v>
      </c>
    </row>
    <row r="521" spans="1:19" ht="18.75">
      <c r="A521" s="29">
        <v>11</v>
      </c>
      <c r="B521" s="15" t="str">
        <f>'Candidate List'!B12</f>
        <v>Bablu</v>
      </c>
      <c r="C521" s="13">
        <v>3</v>
      </c>
      <c r="D521" s="13">
        <v>3</v>
      </c>
      <c r="E521" s="13">
        <v>0</v>
      </c>
      <c r="F521" s="13">
        <v>0</v>
      </c>
      <c r="G521" s="13">
        <v>2</v>
      </c>
      <c r="H521" s="13">
        <v>0</v>
      </c>
      <c r="I521" s="13">
        <v>2</v>
      </c>
      <c r="J521" s="13">
        <v>1</v>
      </c>
      <c r="K521" s="13">
        <v>3</v>
      </c>
      <c r="L521" s="13">
        <v>0</v>
      </c>
      <c r="M521" s="13">
        <v>0</v>
      </c>
      <c r="N521" s="13">
        <v>1</v>
      </c>
      <c r="O521" s="13">
        <v>0</v>
      </c>
      <c r="P521" s="13">
        <v>2</v>
      </c>
      <c r="Q521" s="30">
        <f t="shared" si="60"/>
        <v>17</v>
      </c>
      <c r="R521" s="30">
        <f t="shared" si="61"/>
        <v>225</v>
      </c>
      <c r="S521" s="30">
        <f t="shared" si="62"/>
        <v>242</v>
      </c>
    </row>
    <row r="522" spans="1:19" ht="18.75">
      <c r="A522" s="29">
        <v>12</v>
      </c>
      <c r="B522" s="15" t="str">
        <f>'Candidate List'!B13</f>
        <v>NOTA</v>
      </c>
      <c r="C522" s="13">
        <v>6</v>
      </c>
      <c r="D522" s="13">
        <v>3</v>
      </c>
      <c r="E522" s="13">
        <v>1</v>
      </c>
      <c r="F522" s="13">
        <v>2</v>
      </c>
      <c r="G522" s="13">
        <v>8</v>
      </c>
      <c r="H522" s="13">
        <v>6</v>
      </c>
      <c r="I522" s="13">
        <v>0</v>
      </c>
      <c r="J522" s="13">
        <v>0</v>
      </c>
      <c r="K522" s="13">
        <v>0</v>
      </c>
      <c r="L522" s="13">
        <v>8</v>
      </c>
      <c r="M522" s="13">
        <v>2</v>
      </c>
      <c r="N522" s="13">
        <v>0</v>
      </c>
      <c r="O522" s="13">
        <v>8</v>
      </c>
      <c r="P522" s="13">
        <v>5</v>
      </c>
      <c r="Q522" s="30">
        <f t="shared" si="60"/>
        <v>49</v>
      </c>
      <c r="R522" s="30">
        <f t="shared" si="61"/>
        <v>488</v>
      </c>
      <c r="S522" s="30">
        <f t="shared" si="62"/>
        <v>537</v>
      </c>
    </row>
    <row r="523" spans="1:19">
      <c r="A523" s="187" t="s">
        <v>11</v>
      </c>
      <c r="B523" s="187"/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30">
        <f t="shared" si="60"/>
        <v>0</v>
      </c>
      <c r="R523" s="30">
        <f t="shared" si="61"/>
        <v>0</v>
      </c>
      <c r="S523" s="30">
        <f t="shared" si="62"/>
        <v>0</v>
      </c>
    </row>
    <row r="524" spans="1:19">
      <c r="A524" s="188" t="s">
        <v>12</v>
      </c>
      <c r="B524" s="188"/>
      <c r="C524" s="30">
        <f t="shared" ref="C524:P524" si="63">SUM(C511:C523)</f>
        <v>631</v>
      </c>
      <c r="D524" s="30">
        <f t="shared" si="63"/>
        <v>549</v>
      </c>
      <c r="E524" s="30">
        <f t="shared" si="63"/>
        <v>472</v>
      </c>
      <c r="F524" s="30">
        <f t="shared" si="63"/>
        <v>476</v>
      </c>
      <c r="G524" s="30">
        <f t="shared" si="63"/>
        <v>722</v>
      </c>
      <c r="H524" s="30">
        <f t="shared" si="63"/>
        <v>723</v>
      </c>
      <c r="I524" s="30">
        <f t="shared" si="63"/>
        <v>549</v>
      </c>
      <c r="J524" s="30">
        <f t="shared" si="63"/>
        <v>526</v>
      </c>
      <c r="K524" s="30">
        <f t="shared" si="63"/>
        <v>719</v>
      </c>
      <c r="L524" s="30">
        <f t="shared" si="63"/>
        <v>656</v>
      </c>
      <c r="M524" s="30">
        <f t="shared" si="63"/>
        <v>371</v>
      </c>
      <c r="N524" s="30">
        <f t="shared" si="63"/>
        <v>448</v>
      </c>
      <c r="O524" s="30">
        <f t="shared" si="63"/>
        <v>681</v>
      </c>
      <c r="P524" s="30">
        <f t="shared" si="63"/>
        <v>761</v>
      </c>
      <c r="Q524" s="30">
        <f t="shared" si="60"/>
        <v>8284</v>
      </c>
      <c r="R524" s="30">
        <f t="shared" si="61"/>
        <v>114077</v>
      </c>
      <c r="S524" s="30">
        <f t="shared" si="62"/>
        <v>122361</v>
      </c>
    </row>
    <row r="525" spans="1:19" ht="42.75" customHeight="1">
      <c r="A525" s="5"/>
      <c r="B525" s="5"/>
      <c r="C525" s="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8"/>
      <c r="R525" s="7"/>
      <c r="S525" s="7"/>
    </row>
    <row r="526" spans="1:19" ht="22.5">
      <c r="A526" s="31"/>
      <c r="B526" s="31"/>
      <c r="C526" s="10" t="s">
        <v>13</v>
      </c>
      <c r="D526" s="10" t="s">
        <v>13</v>
      </c>
      <c r="E526" s="10" t="s">
        <v>13</v>
      </c>
      <c r="F526" s="10" t="s">
        <v>13</v>
      </c>
      <c r="G526" s="10" t="s">
        <v>13</v>
      </c>
      <c r="H526" s="10" t="s">
        <v>13</v>
      </c>
      <c r="I526" s="10" t="s">
        <v>13</v>
      </c>
      <c r="J526" s="10" t="s">
        <v>13</v>
      </c>
      <c r="K526" s="10" t="s">
        <v>13</v>
      </c>
      <c r="L526" s="10" t="s">
        <v>13</v>
      </c>
      <c r="M526" s="10" t="s">
        <v>13</v>
      </c>
      <c r="N526" s="10" t="s">
        <v>13</v>
      </c>
      <c r="O526" s="10" t="s">
        <v>13</v>
      </c>
      <c r="P526" s="10" t="s">
        <v>13</v>
      </c>
      <c r="Q526" s="10" t="s">
        <v>13</v>
      </c>
      <c r="R526" s="10" t="s">
        <v>13</v>
      </c>
      <c r="S526" s="10" t="s">
        <v>13</v>
      </c>
    </row>
    <row r="527" spans="1:19" ht="39" customHeight="1">
      <c r="A527" s="31"/>
      <c r="B527" s="3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 ht="22.5">
      <c r="A528" s="31"/>
      <c r="B528" s="31"/>
      <c r="C528" s="10" t="s">
        <v>14</v>
      </c>
      <c r="D528" s="10" t="s">
        <v>14</v>
      </c>
      <c r="E528" s="10" t="s">
        <v>14</v>
      </c>
      <c r="F528" s="10" t="s">
        <v>14</v>
      </c>
      <c r="G528" s="10" t="s">
        <v>14</v>
      </c>
      <c r="H528" s="10" t="s">
        <v>14</v>
      </c>
      <c r="I528" s="10" t="s">
        <v>14</v>
      </c>
      <c r="J528" s="10" t="s">
        <v>14</v>
      </c>
      <c r="K528" s="10" t="s">
        <v>14</v>
      </c>
      <c r="L528" s="10" t="s">
        <v>14</v>
      </c>
      <c r="M528" s="10" t="s">
        <v>14</v>
      </c>
      <c r="N528" s="10" t="s">
        <v>14</v>
      </c>
      <c r="O528" s="10" t="s">
        <v>14</v>
      </c>
      <c r="P528" s="10" t="s">
        <v>14</v>
      </c>
      <c r="Q528" s="10" t="s">
        <v>14</v>
      </c>
      <c r="R528" s="10" t="s">
        <v>14</v>
      </c>
      <c r="S528" s="10" t="s">
        <v>14</v>
      </c>
    </row>
    <row r="529" spans="1:1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</row>
    <row r="530" spans="1:19">
      <c r="A530" s="189" t="s">
        <v>15</v>
      </c>
      <c r="B530" s="189"/>
      <c r="C530" s="164" t="s">
        <v>16</v>
      </c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31"/>
      <c r="S530" s="31"/>
    </row>
    <row r="531" spans="1:19">
      <c r="A531" s="31"/>
      <c r="B531" s="31"/>
      <c r="C531" s="164" t="s">
        <v>17</v>
      </c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31"/>
      <c r="S531" s="31"/>
    </row>
    <row r="532" spans="1:19">
      <c r="A532" s="31"/>
      <c r="B532" s="31"/>
      <c r="C532" s="164" t="s">
        <v>44</v>
      </c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31"/>
      <c r="S532" s="31"/>
    </row>
    <row r="533" spans="1:19">
      <c r="A533" s="31"/>
      <c r="B533" s="31"/>
      <c r="C533" s="164" t="s">
        <v>45</v>
      </c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31"/>
      <c r="S533" s="31"/>
    </row>
    <row r="538" spans="1:19" ht="26.25">
      <c r="A538" s="190" t="s">
        <v>0</v>
      </c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</row>
    <row r="539" spans="1:19" ht="19.5">
      <c r="A539" s="191" t="s">
        <v>1225</v>
      </c>
      <c r="B539" s="191"/>
      <c r="C539" s="191"/>
      <c r="D539" s="191"/>
      <c r="E539" s="191"/>
      <c r="F539" s="191"/>
      <c r="G539" s="191"/>
      <c r="H539" s="191"/>
      <c r="I539" s="1"/>
      <c r="J539" s="1"/>
      <c r="K539" s="192" t="s">
        <v>36</v>
      </c>
      <c r="L539" s="192"/>
      <c r="M539" s="192"/>
      <c r="N539" s="192"/>
      <c r="O539" s="1"/>
      <c r="P539" s="193" t="s">
        <v>1</v>
      </c>
      <c r="Q539" s="193"/>
      <c r="R539" s="194">
        <v>44630</v>
      </c>
      <c r="S539" s="194"/>
    </row>
    <row r="540" spans="1:19">
      <c r="A540" s="188" t="s">
        <v>2</v>
      </c>
      <c r="B540" s="188"/>
      <c r="C540" s="30">
        <v>1</v>
      </c>
      <c r="D540" s="30">
        <v>2</v>
      </c>
      <c r="E540" s="30">
        <v>3</v>
      </c>
      <c r="F540" s="30">
        <v>4</v>
      </c>
      <c r="G540" s="30">
        <v>5</v>
      </c>
      <c r="H540" s="30">
        <v>6</v>
      </c>
      <c r="I540" s="30">
        <v>7</v>
      </c>
      <c r="J540" s="30">
        <v>8</v>
      </c>
      <c r="K540" s="30">
        <v>9</v>
      </c>
      <c r="L540" s="30">
        <v>10</v>
      </c>
      <c r="M540" s="30">
        <v>11</v>
      </c>
      <c r="N540" s="30">
        <v>12</v>
      </c>
      <c r="O540" s="30">
        <v>13</v>
      </c>
      <c r="P540" s="30">
        <v>14</v>
      </c>
      <c r="Q540" s="195" t="s">
        <v>3</v>
      </c>
      <c r="R540" s="195" t="s">
        <v>4</v>
      </c>
      <c r="S540" s="195" t="s">
        <v>5</v>
      </c>
    </row>
    <row r="541" spans="1:19">
      <c r="A541" s="165" t="s">
        <v>6</v>
      </c>
      <c r="B541" s="167"/>
      <c r="C541" s="40">
        <f>'Booth detail'!HR1</f>
        <v>225</v>
      </c>
      <c r="D541" s="40">
        <f>'Booth detail'!HS1</f>
        <v>226</v>
      </c>
      <c r="E541" s="40">
        <f>'Booth detail'!HT1</f>
        <v>227</v>
      </c>
      <c r="F541" s="40">
        <f>'Booth detail'!HU1</f>
        <v>228</v>
      </c>
      <c r="G541" s="40">
        <f>'Booth detail'!HV1</f>
        <v>229</v>
      </c>
      <c r="H541" s="40">
        <f>'Booth detail'!HW1</f>
        <v>230</v>
      </c>
      <c r="I541" s="40">
        <f>'Booth detail'!HX1</f>
        <v>231</v>
      </c>
      <c r="J541" s="40">
        <f>'Booth detail'!HY1</f>
        <v>232</v>
      </c>
      <c r="K541" s="40">
        <f>'Booth detail'!HZ1</f>
        <v>233</v>
      </c>
      <c r="L541" s="40">
        <f>'Booth detail'!IA1</f>
        <v>234</v>
      </c>
      <c r="M541" s="40">
        <f>'Booth detail'!IB1</f>
        <v>235</v>
      </c>
      <c r="N541" s="40">
        <f>'Booth detail'!IC1</f>
        <v>236</v>
      </c>
      <c r="O541" s="40">
        <f>'Booth detail'!ID1</f>
        <v>237</v>
      </c>
      <c r="P541" s="40">
        <f>'Booth detail'!IE1</f>
        <v>238</v>
      </c>
      <c r="Q541" s="196"/>
      <c r="R541" s="196"/>
      <c r="S541" s="196"/>
    </row>
    <row r="542" spans="1:19" ht="25.5">
      <c r="A542" s="165" t="s">
        <v>18</v>
      </c>
      <c r="B542" s="167"/>
      <c r="C542" s="44" t="str">
        <f>'Booth detail'!HR2</f>
        <v>ECUEC64930</v>
      </c>
      <c r="D542" s="44" t="str">
        <f>'Booth detail'!HS2</f>
        <v>ECUEC57696</v>
      </c>
      <c r="E542" s="44" t="str">
        <f>'Booth detail'!HT2</f>
        <v>ECUEC50396</v>
      </c>
      <c r="F542" s="44" t="str">
        <f>'Booth detail'!HU2</f>
        <v>ECUED24545</v>
      </c>
      <c r="G542" s="44" t="str">
        <f>'Booth detail'!HV2</f>
        <v>ECUEC98811</v>
      </c>
      <c r="H542" s="44" t="str">
        <f>'Booth detail'!HW2</f>
        <v>ECUEC55905</v>
      </c>
      <c r="I542" s="44" t="str">
        <f>'Booth detail'!HX2</f>
        <v>ECUED23064</v>
      </c>
      <c r="J542" s="44" t="str">
        <f>'Booth detail'!HY2</f>
        <v>ECUEC67998</v>
      </c>
      <c r="K542" s="44" t="str">
        <f>'Booth detail'!HZ2</f>
        <v>ECUEC60802</v>
      </c>
      <c r="L542" s="44" t="str">
        <f>'Booth detail'!IA2</f>
        <v>ECUEC64474</v>
      </c>
      <c r="M542" s="44" t="str">
        <f>'Booth detail'!IB2</f>
        <v>ECUEC67794</v>
      </c>
      <c r="N542" s="44" t="str">
        <f>'Booth detail'!IC2</f>
        <v>ECUEC67480</v>
      </c>
      <c r="O542" s="44" t="str">
        <f>'Booth detail'!ID2</f>
        <v>ECUED23861</v>
      </c>
      <c r="P542" s="44" t="str">
        <f>'Booth detail'!IE2</f>
        <v>ECUED24516</v>
      </c>
      <c r="Q542" s="196"/>
      <c r="R542" s="196"/>
      <c r="S542" s="196"/>
    </row>
    <row r="543" spans="1:19" ht="42" customHeight="1">
      <c r="A543" s="198" t="s">
        <v>20</v>
      </c>
      <c r="B543" s="199"/>
      <c r="C543" s="55" t="str">
        <f>'Booth detail'!HR3</f>
        <v>-</v>
      </c>
      <c r="D543" s="55" t="str">
        <f>'Booth detail'!HS3</f>
        <v>-</v>
      </c>
      <c r="E543" s="55" t="str">
        <f>'Booth detail'!HT3</f>
        <v>-</v>
      </c>
      <c r="F543" s="55" t="str">
        <f>'Booth detail'!HU3</f>
        <v>-</v>
      </c>
      <c r="G543" s="55" t="str">
        <f>'Booth detail'!HV3</f>
        <v>-</v>
      </c>
      <c r="H543" s="55" t="str">
        <f>'Booth detail'!HW3</f>
        <v>-</v>
      </c>
      <c r="I543" s="55" t="str">
        <f>'Booth detail'!HX3</f>
        <v>-</v>
      </c>
      <c r="J543" s="55" t="str">
        <f>'Booth detail'!HY3</f>
        <v>-</v>
      </c>
      <c r="K543" s="55" t="str">
        <f>'Booth detail'!HZ3</f>
        <v>-</v>
      </c>
      <c r="L543" s="55" t="str">
        <f>'Booth detail'!IA3</f>
        <v>-</v>
      </c>
      <c r="M543" s="55" t="str">
        <f>'Booth detail'!IB3</f>
        <v>-</v>
      </c>
      <c r="N543" s="55" t="str">
        <f>'Booth detail'!IC3</f>
        <v>-</v>
      </c>
      <c r="O543" s="55" t="str">
        <f>'Booth detail'!ID3</f>
        <v>-</v>
      </c>
      <c r="P543" s="55" t="str">
        <f>'Booth detail'!IE3</f>
        <v>-</v>
      </c>
      <c r="Q543" s="196"/>
      <c r="R543" s="196"/>
      <c r="S543" s="196"/>
    </row>
    <row r="544" spans="1:19">
      <c r="A544" s="14" t="s">
        <v>7</v>
      </c>
      <c r="B544" s="32" t="s">
        <v>8</v>
      </c>
      <c r="C544" s="33" t="s">
        <v>9</v>
      </c>
      <c r="D544" s="33" t="s">
        <v>9</v>
      </c>
      <c r="E544" s="33" t="s">
        <v>9</v>
      </c>
      <c r="F544" s="33" t="s">
        <v>9</v>
      </c>
      <c r="G544" s="33" t="s">
        <v>9</v>
      </c>
      <c r="H544" s="33" t="s">
        <v>9</v>
      </c>
      <c r="I544" s="33" t="s">
        <v>9</v>
      </c>
      <c r="J544" s="33" t="s">
        <v>9</v>
      </c>
      <c r="K544" s="33" t="s">
        <v>9</v>
      </c>
      <c r="L544" s="33" t="s">
        <v>9</v>
      </c>
      <c r="M544" s="33" t="s">
        <v>9</v>
      </c>
      <c r="N544" s="33" t="s">
        <v>9</v>
      </c>
      <c r="O544" s="33" t="s">
        <v>9</v>
      </c>
      <c r="P544" s="33" t="s">
        <v>9</v>
      </c>
      <c r="Q544" s="197"/>
      <c r="R544" s="197"/>
      <c r="S544" s="197"/>
    </row>
    <row r="545" spans="1:19" ht="18.75">
      <c r="A545" s="29">
        <v>1</v>
      </c>
      <c r="B545" s="15" t="str">
        <f>'Candidate List'!B2</f>
        <v>Manveer Singh</v>
      </c>
      <c r="C545" s="13">
        <v>353</v>
      </c>
      <c r="D545" s="13">
        <v>106</v>
      </c>
      <c r="E545" s="13">
        <v>7</v>
      </c>
      <c r="F545" s="13">
        <v>14</v>
      </c>
      <c r="G545" s="13">
        <v>43</v>
      </c>
      <c r="H545" s="13">
        <v>18</v>
      </c>
      <c r="I545" s="13">
        <v>115</v>
      </c>
      <c r="J545" s="13">
        <v>5</v>
      </c>
      <c r="K545" s="13">
        <v>602</v>
      </c>
      <c r="L545" s="13">
        <v>365</v>
      </c>
      <c r="M545" s="13">
        <v>53</v>
      </c>
      <c r="N545" s="13">
        <v>6</v>
      </c>
      <c r="O545" s="13">
        <v>107</v>
      </c>
      <c r="P545" s="13">
        <v>59</v>
      </c>
      <c r="Q545" s="30">
        <f>SUM(C545:P545)</f>
        <v>1853</v>
      </c>
      <c r="R545" s="30">
        <f>S511</f>
        <v>19143</v>
      </c>
      <c r="S545" s="30">
        <f>Q545+R545</f>
        <v>20996</v>
      </c>
    </row>
    <row r="546" spans="1:19" ht="18.75">
      <c r="A546" s="29">
        <v>2</v>
      </c>
      <c r="B546" s="15" t="str">
        <f>'Candidate List'!B3</f>
        <v>Rahul Yadav</v>
      </c>
      <c r="C546" s="13">
        <v>32</v>
      </c>
      <c r="D546" s="13">
        <v>26</v>
      </c>
      <c r="E546" s="13">
        <v>182</v>
      </c>
      <c r="F546" s="13">
        <v>20</v>
      </c>
      <c r="G546" s="13">
        <v>33</v>
      </c>
      <c r="H546" s="13">
        <v>29</v>
      </c>
      <c r="I546" s="13">
        <v>104</v>
      </c>
      <c r="J546" s="13">
        <v>33</v>
      </c>
      <c r="K546" s="13">
        <v>10</v>
      </c>
      <c r="L546" s="13">
        <v>80</v>
      </c>
      <c r="M546" s="13">
        <v>692</v>
      </c>
      <c r="N546" s="13">
        <v>34</v>
      </c>
      <c r="O546" s="13">
        <v>159</v>
      </c>
      <c r="P546" s="13">
        <v>613</v>
      </c>
      <c r="Q546" s="30">
        <f t="shared" ref="Q546:Q558" si="64">SUM(C546:P546)</f>
        <v>2047</v>
      </c>
      <c r="R546" s="30">
        <f t="shared" ref="R546:R558" si="65">S512</f>
        <v>52703</v>
      </c>
      <c r="S546" s="30">
        <f t="shared" ref="S546:S558" si="66">Q546+R546</f>
        <v>54750</v>
      </c>
    </row>
    <row r="547" spans="1:19" ht="18.75">
      <c r="A547" s="29">
        <v>3</v>
      </c>
      <c r="B547" s="15" t="str">
        <f>'Candidate List'!B4</f>
        <v>Lakshmi Raj</v>
      </c>
      <c r="C547" s="13">
        <v>138</v>
      </c>
      <c r="D547" s="13">
        <v>324</v>
      </c>
      <c r="E547" s="13">
        <v>252</v>
      </c>
      <c r="F547" s="13">
        <v>586</v>
      </c>
      <c r="G547" s="13">
        <v>622</v>
      </c>
      <c r="H547" s="13">
        <v>488</v>
      </c>
      <c r="I547" s="13">
        <v>588</v>
      </c>
      <c r="J547" s="13">
        <v>769</v>
      </c>
      <c r="K547" s="13">
        <v>63</v>
      </c>
      <c r="L547" s="13">
        <v>253</v>
      </c>
      <c r="M547" s="13">
        <v>31</v>
      </c>
      <c r="N547" s="13">
        <v>614</v>
      </c>
      <c r="O547" s="13">
        <v>485</v>
      </c>
      <c r="P547" s="13">
        <v>16</v>
      </c>
      <c r="Q547" s="30">
        <f t="shared" si="64"/>
        <v>5229</v>
      </c>
      <c r="R547" s="30">
        <f t="shared" si="65"/>
        <v>46400</v>
      </c>
      <c r="S547" s="30">
        <f t="shared" si="66"/>
        <v>51629</v>
      </c>
    </row>
    <row r="548" spans="1:19" ht="18.75">
      <c r="A548" s="29">
        <v>4</v>
      </c>
      <c r="B548" s="15" t="str">
        <f>'Candidate List'!B5</f>
        <v>Saleem Akhtar Khan</v>
      </c>
      <c r="C548" s="13">
        <v>2</v>
      </c>
      <c r="D548" s="13">
        <v>4</v>
      </c>
      <c r="E548" s="13">
        <v>4</v>
      </c>
      <c r="F548" s="13">
        <v>7</v>
      </c>
      <c r="G548" s="13">
        <v>6</v>
      </c>
      <c r="H548" s="13">
        <v>9</v>
      </c>
      <c r="I548" s="13">
        <v>12</v>
      </c>
      <c r="J548" s="13">
        <v>4</v>
      </c>
      <c r="K548" s="13">
        <v>0</v>
      </c>
      <c r="L548" s="13">
        <v>3</v>
      </c>
      <c r="M548" s="13">
        <v>5</v>
      </c>
      <c r="N548" s="13">
        <v>5</v>
      </c>
      <c r="O548" s="13">
        <v>14</v>
      </c>
      <c r="P548" s="13">
        <v>3</v>
      </c>
      <c r="Q548" s="30">
        <f t="shared" si="64"/>
        <v>78</v>
      </c>
      <c r="R548" s="30">
        <f t="shared" si="65"/>
        <v>1081</v>
      </c>
      <c r="S548" s="30">
        <f t="shared" si="66"/>
        <v>1159</v>
      </c>
    </row>
    <row r="549" spans="1:19" ht="18.75">
      <c r="A549" s="29">
        <v>5</v>
      </c>
      <c r="B549" s="15" t="str">
        <f>'Candidate List'!B6</f>
        <v>Ajay Kumar</v>
      </c>
      <c r="C549" s="13">
        <v>5</v>
      </c>
      <c r="D549" s="13">
        <v>16</v>
      </c>
      <c r="E549" s="13">
        <v>0</v>
      </c>
      <c r="F549" s="13">
        <v>1</v>
      </c>
      <c r="G549" s="13">
        <v>2</v>
      </c>
      <c r="H549" s="13">
        <v>0</v>
      </c>
      <c r="I549" s="13">
        <v>8</v>
      </c>
      <c r="J549" s="13">
        <v>0</v>
      </c>
      <c r="K549" s="13">
        <v>0</v>
      </c>
      <c r="L549" s="13">
        <v>1</v>
      </c>
      <c r="M549" s="13">
        <v>0</v>
      </c>
      <c r="N549" s="13">
        <v>1</v>
      </c>
      <c r="O549" s="13">
        <v>0</v>
      </c>
      <c r="P549" s="13">
        <v>0</v>
      </c>
      <c r="Q549" s="30">
        <f t="shared" si="64"/>
        <v>34</v>
      </c>
      <c r="R549" s="30">
        <f t="shared" si="65"/>
        <v>477</v>
      </c>
      <c r="S549" s="30">
        <f t="shared" si="66"/>
        <v>511</v>
      </c>
    </row>
    <row r="550" spans="1:19" ht="18.75">
      <c r="A550" s="29">
        <v>6</v>
      </c>
      <c r="B550" s="15" t="str">
        <f>'Candidate List'!B7</f>
        <v>Ajay Kumar Sharma</v>
      </c>
      <c r="C550" s="13">
        <v>0</v>
      </c>
      <c r="D550" s="13">
        <v>0</v>
      </c>
      <c r="E550" s="13">
        <v>0</v>
      </c>
      <c r="F550" s="13">
        <v>0</v>
      </c>
      <c r="G550" s="13">
        <v>1</v>
      </c>
      <c r="H550" s="13">
        <v>0</v>
      </c>
      <c r="I550" s="13">
        <v>1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1</v>
      </c>
      <c r="Q550" s="30">
        <f t="shared" si="64"/>
        <v>3</v>
      </c>
      <c r="R550" s="30">
        <f t="shared" si="65"/>
        <v>45</v>
      </c>
      <c r="S550" s="30">
        <f t="shared" si="66"/>
        <v>48</v>
      </c>
    </row>
    <row r="551" spans="1:19" ht="18.75">
      <c r="A551" s="29">
        <v>7</v>
      </c>
      <c r="B551" s="15" t="str">
        <f>'Candidate List'!B8</f>
        <v>Amit Singh Tomar</v>
      </c>
      <c r="C551" s="13">
        <v>0</v>
      </c>
      <c r="D551" s="13">
        <v>0</v>
      </c>
      <c r="E551" s="13">
        <v>0</v>
      </c>
      <c r="F551" s="13">
        <v>1</v>
      </c>
      <c r="G551" s="13">
        <v>1</v>
      </c>
      <c r="H551" s="13">
        <v>0</v>
      </c>
      <c r="I551" s="13">
        <v>0</v>
      </c>
      <c r="J551" s="13">
        <v>0</v>
      </c>
      <c r="K551" s="13">
        <v>0</v>
      </c>
      <c r="L551" s="13">
        <v>2</v>
      </c>
      <c r="M551" s="13">
        <v>0</v>
      </c>
      <c r="N551" s="13">
        <v>0</v>
      </c>
      <c r="O551" s="13">
        <v>0</v>
      </c>
      <c r="P551" s="13">
        <v>0</v>
      </c>
      <c r="Q551" s="30">
        <f t="shared" si="64"/>
        <v>4</v>
      </c>
      <c r="R551" s="30">
        <f t="shared" si="65"/>
        <v>90</v>
      </c>
      <c r="S551" s="30">
        <f t="shared" si="66"/>
        <v>94</v>
      </c>
    </row>
    <row r="552" spans="1:19" ht="18.75">
      <c r="A552" s="29">
        <v>8</v>
      </c>
      <c r="B552" s="15" t="str">
        <f>'Candidate List'!B9</f>
        <v>Darshan Sharma</v>
      </c>
      <c r="C552" s="13">
        <v>1</v>
      </c>
      <c r="D552" s="13">
        <v>1</v>
      </c>
      <c r="E552" s="13">
        <v>0</v>
      </c>
      <c r="F552" s="13">
        <v>0</v>
      </c>
      <c r="G552" s="13">
        <v>1</v>
      </c>
      <c r="H552" s="13">
        <v>0</v>
      </c>
      <c r="I552" s="13">
        <v>7</v>
      </c>
      <c r="J552" s="13">
        <v>0</v>
      </c>
      <c r="K552" s="13">
        <v>4</v>
      </c>
      <c r="L552" s="13">
        <v>3</v>
      </c>
      <c r="M552" s="13">
        <v>0</v>
      </c>
      <c r="N552" s="13">
        <v>0</v>
      </c>
      <c r="O552" s="13">
        <v>0</v>
      </c>
      <c r="P552" s="13">
        <v>1</v>
      </c>
      <c r="Q552" s="30">
        <f t="shared" si="64"/>
        <v>18</v>
      </c>
      <c r="R552" s="30">
        <f t="shared" si="65"/>
        <v>177</v>
      </c>
      <c r="S552" s="30">
        <f t="shared" si="66"/>
        <v>195</v>
      </c>
    </row>
    <row r="553" spans="1:19" ht="18.75">
      <c r="A553" s="29">
        <v>9</v>
      </c>
      <c r="B553" s="15" t="str">
        <f>'Candidate List'!B10</f>
        <v>Dilshad Ahmad</v>
      </c>
      <c r="C553" s="13">
        <v>0</v>
      </c>
      <c r="D553" s="13">
        <v>0</v>
      </c>
      <c r="E553" s="13">
        <v>0</v>
      </c>
      <c r="F553" s="13">
        <v>0</v>
      </c>
      <c r="G553" s="13">
        <v>2</v>
      </c>
      <c r="H553" s="13">
        <v>2</v>
      </c>
      <c r="I553" s="13">
        <v>1</v>
      </c>
      <c r="J553" s="13">
        <v>1</v>
      </c>
      <c r="K553" s="13">
        <v>0</v>
      </c>
      <c r="L553" s="13">
        <v>5</v>
      </c>
      <c r="M553" s="13">
        <v>39</v>
      </c>
      <c r="N553" s="13">
        <v>0</v>
      </c>
      <c r="O553" s="13">
        <v>2</v>
      </c>
      <c r="P553" s="13">
        <v>2</v>
      </c>
      <c r="Q553" s="30">
        <f t="shared" si="64"/>
        <v>54</v>
      </c>
      <c r="R553" s="30">
        <f t="shared" si="65"/>
        <v>924</v>
      </c>
      <c r="S553" s="30">
        <f t="shared" si="66"/>
        <v>978</v>
      </c>
    </row>
    <row r="554" spans="1:19" ht="18.75">
      <c r="A554" s="29">
        <v>10</v>
      </c>
      <c r="B554" s="15" t="str">
        <f>'Candidate List'!B11</f>
        <v>Raju Thakur</v>
      </c>
      <c r="C554" s="13">
        <v>2</v>
      </c>
      <c r="D554" s="13">
        <v>0</v>
      </c>
      <c r="E554" s="13">
        <v>1</v>
      </c>
      <c r="F554" s="13">
        <v>6</v>
      </c>
      <c r="G554" s="13">
        <v>7</v>
      </c>
      <c r="H554" s="13">
        <v>4</v>
      </c>
      <c r="I554" s="13">
        <v>6</v>
      </c>
      <c r="J554" s="13">
        <v>1</v>
      </c>
      <c r="K554" s="13">
        <v>0</v>
      </c>
      <c r="L554" s="13">
        <v>7</v>
      </c>
      <c r="M554" s="13">
        <v>5</v>
      </c>
      <c r="N554" s="13">
        <v>2</v>
      </c>
      <c r="O554" s="13">
        <v>4</v>
      </c>
      <c r="P554" s="13">
        <v>4</v>
      </c>
      <c r="Q554" s="30">
        <f t="shared" si="64"/>
        <v>49</v>
      </c>
      <c r="R554" s="30">
        <f t="shared" si="65"/>
        <v>542</v>
      </c>
      <c r="S554" s="30">
        <f t="shared" si="66"/>
        <v>591</v>
      </c>
    </row>
    <row r="555" spans="1:19" ht="18.75">
      <c r="A555" s="29">
        <v>11</v>
      </c>
      <c r="B555" s="15" t="str">
        <f>'Candidate List'!B12</f>
        <v>Bablu</v>
      </c>
      <c r="C555" s="13">
        <v>1</v>
      </c>
      <c r="D555" s="13">
        <v>1</v>
      </c>
      <c r="E555" s="13">
        <v>0</v>
      </c>
      <c r="F555" s="13">
        <v>0</v>
      </c>
      <c r="G555" s="13">
        <v>2</v>
      </c>
      <c r="H555" s="13">
        <v>0</v>
      </c>
      <c r="I555" s="13">
        <v>1</v>
      </c>
      <c r="J555" s="13">
        <v>0</v>
      </c>
      <c r="K555" s="13">
        <v>2</v>
      </c>
      <c r="L555" s="13">
        <v>1</v>
      </c>
      <c r="M555" s="13">
        <v>1</v>
      </c>
      <c r="N555" s="13">
        <v>0</v>
      </c>
      <c r="O555" s="13">
        <v>1</v>
      </c>
      <c r="P555" s="13">
        <v>3</v>
      </c>
      <c r="Q555" s="30">
        <f t="shared" si="64"/>
        <v>13</v>
      </c>
      <c r="R555" s="30">
        <f t="shared" si="65"/>
        <v>242</v>
      </c>
      <c r="S555" s="30">
        <f t="shared" si="66"/>
        <v>255</v>
      </c>
    </row>
    <row r="556" spans="1:19" ht="18.75">
      <c r="A556" s="29">
        <v>12</v>
      </c>
      <c r="B556" s="15" t="str">
        <f>'Candidate List'!B13</f>
        <v>NOTA</v>
      </c>
      <c r="C556" s="13">
        <v>4</v>
      </c>
      <c r="D556" s="13">
        <v>4</v>
      </c>
      <c r="E556" s="13">
        <v>2</v>
      </c>
      <c r="F556" s="13">
        <v>4</v>
      </c>
      <c r="G556" s="13">
        <v>4</v>
      </c>
      <c r="H556" s="13">
        <v>2</v>
      </c>
      <c r="I556" s="13">
        <v>4</v>
      </c>
      <c r="J556" s="13">
        <v>3</v>
      </c>
      <c r="K556" s="13">
        <v>9</v>
      </c>
      <c r="L556" s="13">
        <v>4</v>
      </c>
      <c r="M556" s="13">
        <v>1</v>
      </c>
      <c r="N556" s="13">
        <v>1</v>
      </c>
      <c r="O556" s="13">
        <v>3</v>
      </c>
      <c r="P556" s="13">
        <v>3</v>
      </c>
      <c r="Q556" s="30">
        <f t="shared" si="64"/>
        <v>48</v>
      </c>
      <c r="R556" s="30">
        <f t="shared" si="65"/>
        <v>537</v>
      </c>
      <c r="S556" s="30">
        <f t="shared" si="66"/>
        <v>585</v>
      </c>
    </row>
    <row r="557" spans="1:19">
      <c r="A557" s="187" t="s">
        <v>11</v>
      </c>
      <c r="B557" s="187"/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30">
        <f t="shared" si="64"/>
        <v>0</v>
      </c>
      <c r="R557" s="30">
        <f t="shared" si="65"/>
        <v>0</v>
      </c>
      <c r="S557" s="30">
        <f t="shared" si="66"/>
        <v>0</v>
      </c>
    </row>
    <row r="558" spans="1:19">
      <c r="A558" s="188" t="s">
        <v>12</v>
      </c>
      <c r="B558" s="188"/>
      <c r="C558" s="30">
        <f t="shared" ref="C558:P558" si="67">SUM(C545:C557)</f>
        <v>538</v>
      </c>
      <c r="D558" s="30">
        <f t="shared" si="67"/>
        <v>482</v>
      </c>
      <c r="E558" s="30">
        <f t="shared" si="67"/>
        <v>448</v>
      </c>
      <c r="F558" s="30">
        <f t="shared" si="67"/>
        <v>639</v>
      </c>
      <c r="G558" s="30">
        <f t="shared" si="67"/>
        <v>724</v>
      </c>
      <c r="H558" s="30">
        <f t="shared" si="67"/>
        <v>552</v>
      </c>
      <c r="I558" s="30">
        <f t="shared" si="67"/>
        <v>847</v>
      </c>
      <c r="J558" s="30">
        <f t="shared" si="67"/>
        <v>816</v>
      </c>
      <c r="K558" s="30">
        <f t="shared" si="67"/>
        <v>690</v>
      </c>
      <c r="L558" s="30">
        <f t="shared" si="67"/>
        <v>724</v>
      </c>
      <c r="M558" s="30">
        <f t="shared" si="67"/>
        <v>827</v>
      </c>
      <c r="N558" s="30">
        <f t="shared" si="67"/>
        <v>663</v>
      </c>
      <c r="O558" s="30">
        <f t="shared" si="67"/>
        <v>775</v>
      </c>
      <c r="P558" s="30">
        <f t="shared" si="67"/>
        <v>705</v>
      </c>
      <c r="Q558" s="30">
        <f t="shared" si="64"/>
        <v>9430</v>
      </c>
      <c r="R558" s="30">
        <f t="shared" si="65"/>
        <v>122361</v>
      </c>
      <c r="S558" s="30">
        <f t="shared" si="66"/>
        <v>131791</v>
      </c>
    </row>
    <row r="559" spans="1:19" ht="42" customHeight="1">
      <c r="A559" s="5"/>
      <c r="B559" s="5"/>
      <c r="C559" s="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8"/>
      <c r="R559" s="7"/>
      <c r="S559" s="7"/>
    </row>
    <row r="560" spans="1:19" ht="22.5">
      <c r="A560" s="31"/>
      <c r="B560" s="31"/>
      <c r="C560" s="10" t="s">
        <v>13</v>
      </c>
      <c r="D560" s="10" t="s">
        <v>13</v>
      </c>
      <c r="E560" s="10" t="s">
        <v>13</v>
      </c>
      <c r="F560" s="10" t="s">
        <v>13</v>
      </c>
      <c r="G560" s="10" t="s">
        <v>13</v>
      </c>
      <c r="H560" s="10" t="s">
        <v>13</v>
      </c>
      <c r="I560" s="10" t="s">
        <v>13</v>
      </c>
      <c r="J560" s="10" t="s">
        <v>13</v>
      </c>
      <c r="K560" s="10" t="s">
        <v>13</v>
      </c>
      <c r="L560" s="10" t="s">
        <v>13</v>
      </c>
      <c r="M560" s="10" t="s">
        <v>13</v>
      </c>
      <c r="N560" s="10" t="s">
        <v>13</v>
      </c>
      <c r="O560" s="10" t="s">
        <v>13</v>
      </c>
      <c r="P560" s="10" t="s">
        <v>13</v>
      </c>
      <c r="Q560" s="10" t="s">
        <v>13</v>
      </c>
      <c r="R560" s="10" t="s">
        <v>13</v>
      </c>
      <c r="S560" s="10" t="s">
        <v>13</v>
      </c>
    </row>
    <row r="561" spans="1:19" ht="38.25" customHeight="1">
      <c r="A561" s="31"/>
      <c r="B561" s="3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 ht="22.5">
      <c r="A562" s="31"/>
      <c r="B562" s="31"/>
      <c r="C562" s="10" t="s">
        <v>14</v>
      </c>
      <c r="D562" s="10" t="s">
        <v>14</v>
      </c>
      <c r="E562" s="10" t="s">
        <v>14</v>
      </c>
      <c r="F562" s="10" t="s">
        <v>14</v>
      </c>
      <c r="G562" s="10" t="s">
        <v>14</v>
      </c>
      <c r="H562" s="10" t="s">
        <v>14</v>
      </c>
      <c r="I562" s="10" t="s">
        <v>14</v>
      </c>
      <c r="J562" s="10" t="s">
        <v>14</v>
      </c>
      <c r="K562" s="10" t="s">
        <v>14</v>
      </c>
      <c r="L562" s="10" t="s">
        <v>14</v>
      </c>
      <c r="M562" s="10" t="s">
        <v>14</v>
      </c>
      <c r="N562" s="10" t="s">
        <v>14</v>
      </c>
      <c r="O562" s="10" t="s">
        <v>14</v>
      </c>
      <c r="P562" s="10" t="s">
        <v>14</v>
      </c>
      <c r="Q562" s="10" t="s">
        <v>14</v>
      </c>
      <c r="R562" s="10" t="s">
        <v>14</v>
      </c>
      <c r="S562" s="10" t="s">
        <v>14</v>
      </c>
    </row>
    <row r="563" spans="1:19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</row>
    <row r="564" spans="1:19">
      <c r="A564" s="189" t="s">
        <v>15</v>
      </c>
      <c r="B564" s="189"/>
      <c r="C564" s="164" t="s">
        <v>16</v>
      </c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31"/>
      <c r="S564" s="31"/>
    </row>
    <row r="565" spans="1:19">
      <c r="A565" s="31"/>
      <c r="B565" s="31"/>
      <c r="C565" s="164" t="s">
        <v>17</v>
      </c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31"/>
      <c r="S565" s="31"/>
    </row>
    <row r="566" spans="1:19">
      <c r="A566" s="31"/>
      <c r="B566" s="31"/>
      <c r="C566" s="164" t="s">
        <v>44</v>
      </c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31"/>
      <c r="S566" s="31"/>
    </row>
    <row r="567" spans="1:19">
      <c r="A567" s="31"/>
      <c r="B567" s="31"/>
      <c r="C567" s="164" t="s">
        <v>45</v>
      </c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31"/>
      <c r="S567" s="31"/>
    </row>
    <row r="572" spans="1:19" ht="26.25">
      <c r="A572" s="190" t="s">
        <v>0</v>
      </c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</row>
    <row r="573" spans="1:19" ht="19.5">
      <c r="A573" s="191" t="s">
        <v>1225</v>
      </c>
      <c r="B573" s="191"/>
      <c r="C573" s="191"/>
      <c r="D573" s="191"/>
      <c r="E573" s="191"/>
      <c r="F573" s="191"/>
      <c r="G573" s="191"/>
      <c r="H573" s="191"/>
      <c r="I573" s="1"/>
      <c r="J573" s="1"/>
      <c r="K573" s="192" t="s">
        <v>37</v>
      </c>
      <c r="L573" s="192"/>
      <c r="M573" s="192"/>
      <c r="N573" s="192"/>
      <c r="O573" s="1"/>
      <c r="P573" s="193" t="s">
        <v>1</v>
      </c>
      <c r="Q573" s="193"/>
      <c r="R573" s="194">
        <v>44630</v>
      </c>
      <c r="S573" s="194"/>
    </row>
    <row r="574" spans="1:19">
      <c r="A574" s="188" t="s">
        <v>2</v>
      </c>
      <c r="B574" s="188"/>
      <c r="C574" s="30">
        <v>1</v>
      </c>
      <c r="D574" s="30">
        <v>2</v>
      </c>
      <c r="E574" s="30">
        <v>3</v>
      </c>
      <c r="F574" s="30">
        <v>4</v>
      </c>
      <c r="G574" s="30">
        <v>5</v>
      </c>
      <c r="H574" s="30">
        <v>6</v>
      </c>
      <c r="I574" s="30">
        <v>7</v>
      </c>
      <c r="J574" s="30">
        <v>8</v>
      </c>
      <c r="K574" s="30">
        <v>9</v>
      </c>
      <c r="L574" s="30">
        <v>10</v>
      </c>
      <c r="M574" s="30">
        <v>11</v>
      </c>
      <c r="N574" s="30">
        <v>12</v>
      </c>
      <c r="O574" s="30">
        <v>13</v>
      </c>
      <c r="P574" s="30">
        <v>14</v>
      </c>
      <c r="Q574" s="195" t="s">
        <v>3</v>
      </c>
      <c r="R574" s="195" t="s">
        <v>4</v>
      </c>
      <c r="S574" s="195" t="s">
        <v>5</v>
      </c>
    </row>
    <row r="575" spans="1:19">
      <c r="A575" s="165" t="s">
        <v>6</v>
      </c>
      <c r="B575" s="167"/>
      <c r="C575" s="40">
        <f>'Booth detail'!IF1</f>
        <v>239</v>
      </c>
      <c r="D575" s="40">
        <f>'Booth detail'!IG1</f>
        <v>240</v>
      </c>
      <c r="E575" s="40">
        <f>'Booth detail'!IH1</f>
        <v>241</v>
      </c>
      <c r="F575" s="40">
        <f>'Booth detail'!II1</f>
        <v>242</v>
      </c>
      <c r="G575" s="40">
        <f>'Booth detail'!IJ1</f>
        <v>243</v>
      </c>
      <c r="H575" s="40">
        <f>'Booth detail'!IK1</f>
        <v>244</v>
      </c>
      <c r="I575" s="40">
        <f>'Booth detail'!IL1</f>
        <v>245</v>
      </c>
      <c r="J575" s="40">
        <f>'Booth detail'!IM1</f>
        <v>246</v>
      </c>
      <c r="K575" s="40">
        <f>'Booth detail'!IN1</f>
        <v>247</v>
      </c>
      <c r="L575" s="40">
        <f>'Booth detail'!IO1</f>
        <v>248</v>
      </c>
      <c r="M575" s="40">
        <f>'Booth detail'!IP1</f>
        <v>249</v>
      </c>
      <c r="N575" s="40">
        <f>'Booth detail'!IQ1</f>
        <v>250</v>
      </c>
      <c r="O575" s="40">
        <f>'Booth detail'!IR1</f>
        <v>251</v>
      </c>
      <c r="P575" s="40">
        <f>'Booth detail'!IS1</f>
        <v>252</v>
      </c>
      <c r="Q575" s="196"/>
      <c r="R575" s="196"/>
      <c r="S575" s="196"/>
    </row>
    <row r="576" spans="1:19" ht="38.25">
      <c r="A576" s="165" t="s">
        <v>18</v>
      </c>
      <c r="B576" s="167"/>
      <c r="C576" s="44" t="str">
        <f>'Booth detail'!IF2</f>
        <v>ECUEC64921</v>
      </c>
      <c r="D576" s="44" t="str">
        <f>'Booth detail'!IG2</f>
        <v xml:space="preserve">
ECUEC55735</v>
      </c>
      <c r="E576" s="44" t="str">
        <f>'Booth detail'!IH2</f>
        <v xml:space="preserve">
ECUEC51209</v>
      </c>
      <c r="F576" s="44" t="str">
        <f>'Booth detail'!II2</f>
        <v>ECUED11340</v>
      </c>
      <c r="G576" s="44" t="str">
        <f>'Booth detail'!IJ2</f>
        <v>ECUEC57677</v>
      </c>
      <c r="H576" s="44" t="str">
        <f>'Booth detail'!IK2</f>
        <v>ECUEC64359</v>
      </c>
      <c r="I576" s="44" t="str">
        <f>'Booth detail'!IL2</f>
        <v>ECUEC65059</v>
      </c>
      <c r="J576" s="44" t="str">
        <f>'Booth detail'!IM2</f>
        <v>ECUEC47740</v>
      </c>
      <c r="K576" s="44" t="str">
        <f>'Booth detail'!IN2</f>
        <v>ECUEC52588</v>
      </c>
      <c r="L576" s="44" t="str">
        <f>'Booth detail'!IO2</f>
        <v>ECUEC50220</v>
      </c>
      <c r="M576" s="44" t="str">
        <f>'Booth detail'!IP2</f>
        <v>ECUEC57713</v>
      </c>
      <c r="N576" s="44" t="str">
        <f>'Booth detail'!IQ2</f>
        <v>ECUEC57831</v>
      </c>
      <c r="O576" s="44" t="str">
        <f>'Booth detail'!IR2</f>
        <v>ECUED00162</v>
      </c>
      <c r="P576" s="44" t="str">
        <f>'Booth detail'!IS2</f>
        <v>ECUEC50811</v>
      </c>
      <c r="Q576" s="196"/>
      <c r="R576" s="196"/>
      <c r="S576" s="196"/>
    </row>
    <row r="577" spans="1:19" ht="39" customHeight="1">
      <c r="A577" s="198" t="s">
        <v>20</v>
      </c>
      <c r="B577" s="199"/>
      <c r="C577" s="55" t="str">
        <f>'Booth detail'!IF3</f>
        <v>-</v>
      </c>
      <c r="D577" s="55" t="str">
        <f>'Booth detail'!IG3</f>
        <v>-</v>
      </c>
      <c r="E577" s="55" t="str">
        <f>'Booth detail'!IH3</f>
        <v>-</v>
      </c>
      <c r="F577" s="55" t="str">
        <f>'Booth detail'!II3</f>
        <v>-</v>
      </c>
      <c r="G577" s="55" t="str">
        <f>'Booth detail'!IJ3</f>
        <v>-</v>
      </c>
      <c r="H577" s="55" t="str">
        <f>'Booth detail'!IK3</f>
        <v>-</v>
      </c>
      <c r="I577" s="55" t="str">
        <f>'Booth detail'!IL3</f>
        <v>-</v>
      </c>
      <c r="J577" s="55" t="str">
        <f>'Booth detail'!IM3</f>
        <v>-</v>
      </c>
      <c r="K577" s="55" t="str">
        <f>'Booth detail'!IN3</f>
        <v>-</v>
      </c>
      <c r="L577" s="55" t="str">
        <f>'Booth detail'!IO3</f>
        <v>-</v>
      </c>
      <c r="M577" s="55" t="str">
        <f>'Booth detail'!IP3</f>
        <v>-</v>
      </c>
      <c r="N577" s="55" t="str">
        <f>'Booth detail'!IQ3</f>
        <v>-</v>
      </c>
      <c r="O577" s="55" t="str">
        <f>'Booth detail'!IR3</f>
        <v>-</v>
      </c>
      <c r="P577" s="55" t="str">
        <f>'Booth detail'!IS3</f>
        <v>-</v>
      </c>
      <c r="Q577" s="196"/>
      <c r="R577" s="196"/>
      <c r="S577" s="196"/>
    </row>
    <row r="578" spans="1:19">
      <c r="A578" s="14" t="s">
        <v>7</v>
      </c>
      <c r="B578" s="32" t="s">
        <v>8</v>
      </c>
      <c r="C578" s="33" t="s">
        <v>9</v>
      </c>
      <c r="D578" s="33" t="s">
        <v>9</v>
      </c>
      <c r="E578" s="33" t="s">
        <v>9</v>
      </c>
      <c r="F578" s="33" t="s">
        <v>9</v>
      </c>
      <c r="G578" s="33" t="s">
        <v>9</v>
      </c>
      <c r="H578" s="33" t="s">
        <v>9</v>
      </c>
      <c r="I578" s="33" t="s">
        <v>9</v>
      </c>
      <c r="J578" s="33" t="s">
        <v>9</v>
      </c>
      <c r="K578" s="33" t="s">
        <v>9</v>
      </c>
      <c r="L578" s="33" t="s">
        <v>9</v>
      </c>
      <c r="M578" s="33" t="s">
        <v>9</v>
      </c>
      <c r="N578" s="33" t="s">
        <v>9</v>
      </c>
      <c r="O578" s="33" t="s">
        <v>9</v>
      </c>
      <c r="P578" s="33" t="s">
        <v>9</v>
      </c>
      <c r="Q578" s="197"/>
      <c r="R578" s="197"/>
      <c r="S578" s="197"/>
    </row>
    <row r="579" spans="1:19" ht="18.75">
      <c r="A579" s="29">
        <v>1</v>
      </c>
      <c r="B579" s="15" t="str">
        <f>'Candidate List'!B2</f>
        <v>Manveer Singh</v>
      </c>
      <c r="C579" s="13">
        <v>29</v>
      </c>
      <c r="D579" s="13">
        <v>19</v>
      </c>
      <c r="E579" s="13">
        <v>35</v>
      </c>
      <c r="F579" s="13">
        <v>39</v>
      </c>
      <c r="G579" s="13">
        <v>37</v>
      </c>
      <c r="H579" s="13">
        <v>24</v>
      </c>
      <c r="I579" s="13">
        <v>7</v>
      </c>
      <c r="J579" s="13">
        <v>8</v>
      </c>
      <c r="K579" s="13">
        <v>28</v>
      </c>
      <c r="L579" s="13">
        <v>17</v>
      </c>
      <c r="M579" s="13">
        <v>10</v>
      </c>
      <c r="N579" s="13">
        <v>74</v>
      </c>
      <c r="O579" s="13">
        <v>22</v>
      </c>
      <c r="P579" s="13">
        <v>10</v>
      </c>
      <c r="Q579" s="30">
        <f>SUM(C579:P579)</f>
        <v>359</v>
      </c>
      <c r="R579" s="30">
        <f>S545</f>
        <v>20996</v>
      </c>
      <c r="S579" s="30">
        <f>Q579+R579</f>
        <v>21355</v>
      </c>
    </row>
    <row r="580" spans="1:19" ht="18.75">
      <c r="A580" s="29">
        <v>2</v>
      </c>
      <c r="B580" s="15" t="str">
        <f>'Candidate List'!B3</f>
        <v>Rahul Yadav</v>
      </c>
      <c r="C580" s="13">
        <v>640</v>
      </c>
      <c r="D580" s="13">
        <v>598</v>
      </c>
      <c r="E580" s="13">
        <v>354</v>
      </c>
      <c r="F580" s="13">
        <v>374</v>
      </c>
      <c r="G580" s="13">
        <v>749</v>
      </c>
      <c r="H580" s="13">
        <v>515</v>
      </c>
      <c r="I580" s="13">
        <v>153</v>
      </c>
      <c r="J580" s="13">
        <v>210</v>
      </c>
      <c r="K580" s="13">
        <v>435</v>
      </c>
      <c r="L580" s="13">
        <v>516</v>
      </c>
      <c r="M580" s="13">
        <v>78</v>
      </c>
      <c r="N580" s="13">
        <v>259</v>
      </c>
      <c r="O580" s="13">
        <v>280</v>
      </c>
      <c r="P580" s="13">
        <v>464</v>
      </c>
      <c r="Q580" s="30">
        <f t="shared" ref="Q580:Q592" si="68">SUM(C580:P580)</f>
        <v>5625</v>
      </c>
      <c r="R580" s="30">
        <f t="shared" ref="R580:R592" si="69">S546</f>
        <v>54750</v>
      </c>
      <c r="S580" s="30">
        <f t="shared" ref="S580:S592" si="70">Q580+R580</f>
        <v>60375</v>
      </c>
    </row>
    <row r="581" spans="1:19" ht="18.75">
      <c r="A581" s="29">
        <v>3</v>
      </c>
      <c r="B581" s="15" t="str">
        <f>'Candidate List'!B4</f>
        <v>Lakshmi Raj</v>
      </c>
      <c r="C581" s="13">
        <v>21</v>
      </c>
      <c r="D581" s="13">
        <v>7</v>
      </c>
      <c r="E581" s="13">
        <v>127</v>
      </c>
      <c r="F581" s="13">
        <v>136</v>
      </c>
      <c r="G581" s="13">
        <v>24</v>
      </c>
      <c r="H581" s="13">
        <v>150</v>
      </c>
      <c r="I581" s="13">
        <v>603</v>
      </c>
      <c r="J581" s="13">
        <v>576</v>
      </c>
      <c r="K581" s="13">
        <v>220</v>
      </c>
      <c r="L581" s="13">
        <v>143</v>
      </c>
      <c r="M581" s="13">
        <v>356</v>
      </c>
      <c r="N581" s="13">
        <v>406</v>
      </c>
      <c r="O581" s="13">
        <v>351</v>
      </c>
      <c r="P581" s="13">
        <v>11</v>
      </c>
      <c r="Q581" s="30">
        <f t="shared" si="68"/>
        <v>3131</v>
      </c>
      <c r="R581" s="30">
        <f t="shared" si="69"/>
        <v>51629</v>
      </c>
      <c r="S581" s="30">
        <f t="shared" si="70"/>
        <v>54760</v>
      </c>
    </row>
    <row r="582" spans="1:19" ht="18.75">
      <c r="A582" s="29">
        <v>4</v>
      </c>
      <c r="B582" s="15" t="str">
        <f>'Candidate List'!B5</f>
        <v>Saleem Akhtar Khan</v>
      </c>
      <c r="C582" s="13">
        <v>2</v>
      </c>
      <c r="D582" s="13">
        <v>0</v>
      </c>
      <c r="E582" s="13">
        <v>13</v>
      </c>
      <c r="F582" s="13">
        <v>10</v>
      </c>
      <c r="G582" s="13">
        <v>9</v>
      </c>
      <c r="H582" s="13">
        <v>12</v>
      </c>
      <c r="I582" s="13">
        <v>6</v>
      </c>
      <c r="J582" s="13">
        <v>6</v>
      </c>
      <c r="K582" s="13">
        <v>4</v>
      </c>
      <c r="L582" s="13">
        <v>4</v>
      </c>
      <c r="M582" s="13">
        <v>2</v>
      </c>
      <c r="N582" s="13">
        <v>5</v>
      </c>
      <c r="O582" s="13">
        <v>2</v>
      </c>
      <c r="P582" s="13">
        <v>1</v>
      </c>
      <c r="Q582" s="30">
        <f t="shared" si="68"/>
        <v>76</v>
      </c>
      <c r="R582" s="30">
        <f t="shared" si="69"/>
        <v>1159</v>
      </c>
      <c r="S582" s="30">
        <f t="shared" si="70"/>
        <v>1235</v>
      </c>
    </row>
    <row r="583" spans="1:19" ht="18.75">
      <c r="A583" s="29">
        <v>5</v>
      </c>
      <c r="B583" s="15" t="str">
        <f>'Candidate List'!B6</f>
        <v>Ajay Kumar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1</v>
      </c>
      <c r="I583" s="13">
        <v>1</v>
      </c>
      <c r="J583" s="13">
        <v>1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30">
        <f t="shared" si="68"/>
        <v>3</v>
      </c>
      <c r="R583" s="30">
        <f t="shared" si="69"/>
        <v>511</v>
      </c>
      <c r="S583" s="30">
        <f t="shared" si="70"/>
        <v>514</v>
      </c>
    </row>
    <row r="584" spans="1:19" ht="18.75">
      <c r="A584" s="29">
        <v>6</v>
      </c>
      <c r="B584" s="15" t="str">
        <f>'Candidate List'!B7</f>
        <v>Ajay Kumar Sharma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1</v>
      </c>
      <c r="J584" s="13">
        <v>0</v>
      </c>
      <c r="K584" s="13">
        <v>0</v>
      </c>
      <c r="L584" s="13">
        <v>1</v>
      </c>
      <c r="M584" s="13">
        <v>0</v>
      </c>
      <c r="N584" s="13">
        <v>1</v>
      </c>
      <c r="O584" s="13">
        <v>0</v>
      </c>
      <c r="P584" s="13">
        <v>0</v>
      </c>
      <c r="Q584" s="30">
        <f t="shared" si="68"/>
        <v>3</v>
      </c>
      <c r="R584" s="30">
        <f t="shared" si="69"/>
        <v>48</v>
      </c>
      <c r="S584" s="30">
        <f t="shared" si="70"/>
        <v>51</v>
      </c>
    </row>
    <row r="585" spans="1:19" ht="18.75">
      <c r="A585" s="29">
        <v>7</v>
      </c>
      <c r="B585" s="15" t="str">
        <f>'Candidate List'!B8</f>
        <v>Amit Singh Tomar</v>
      </c>
      <c r="C585" s="13">
        <v>0</v>
      </c>
      <c r="D585" s="13">
        <v>0</v>
      </c>
      <c r="E585" s="13">
        <v>0</v>
      </c>
      <c r="F585" s="13">
        <v>0</v>
      </c>
      <c r="G585" s="13">
        <v>1</v>
      </c>
      <c r="H585" s="13">
        <v>0</v>
      </c>
      <c r="I585" s="13">
        <v>0</v>
      </c>
      <c r="J585" s="13">
        <v>1</v>
      </c>
      <c r="K585" s="13">
        <v>0</v>
      </c>
      <c r="L585" s="13">
        <v>3</v>
      </c>
      <c r="M585" s="13">
        <v>0</v>
      </c>
      <c r="N585" s="13">
        <v>0</v>
      </c>
      <c r="O585" s="13">
        <v>0</v>
      </c>
      <c r="P585" s="13">
        <v>0</v>
      </c>
      <c r="Q585" s="30">
        <f t="shared" si="68"/>
        <v>5</v>
      </c>
      <c r="R585" s="30">
        <f t="shared" si="69"/>
        <v>94</v>
      </c>
      <c r="S585" s="30">
        <f t="shared" si="70"/>
        <v>99</v>
      </c>
    </row>
    <row r="586" spans="1:19" ht="18.75">
      <c r="A586" s="29">
        <v>8</v>
      </c>
      <c r="B586" s="15" t="str">
        <f>'Candidate List'!B9</f>
        <v>Darshan Sharma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2</v>
      </c>
      <c r="I586" s="13">
        <v>1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30">
        <f t="shared" si="68"/>
        <v>3</v>
      </c>
      <c r="R586" s="30">
        <f t="shared" si="69"/>
        <v>195</v>
      </c>
      <c r="S586" s="30">
        <f t="shared" si="70"/>
        <v>198</v>
      </c>
    </row>
    <row r="587" spans="1:19" ht="18.75">
      <c r="A587" s="29">
        <v>9</v>
      </c>
      <c r="B587" s="15" t="str">
        <f>'Candidate List'!B10</f>
        <v>Dilshad Ahmad</v>
      </c>
      <c r="C587" s="13">
        <v>3</v>
      </c>
      <c r="D587" s="13">
        <v>17</v>
      </c>
      <c r="E587" s="13">
        <v>10</v>
      </c>
      <c r="F587" s="13">
        <v>8</v>
      </c>
      <c r="G587" s="13">
        <v>11</v>
      </c>
      <c r="H587" s="13">
        <v>42</v>
      </c>
      <c r="I587" s="13">
        <v>2</v>
      </c>
      <c r="J587" s="13">
        <v>6</v>
      </c>
      <c r="K587" s="13">
        <v>20</v>
      </c>
      <c r="L587" s="13">
        <v>15</v>
      </c>
      <c r="M587" s="13">
        <v>2</v>
      </c>
      <c r="N587" s="13">
        <v>1</v>
      </c>
      <c r="O587" s="13">
        <v>2</v>
      </c>
      <c r="P587" s="13">
        <v>18</v>
      </c>
      <c r="Q587" s="30">
        <f t="shared" si="68"/>
        <v>157</v>
      </c>
      <c r="R587" s="30">
        <f t="shared" si="69"/>
        <v>978</v>
      </c>
      <c r="S587" s="30">
        <f t="shared" si="70"/>
        <v>1135</v>
      </c>
    </row>
    <row r="588" spans="1:19" ht="18.75">
      <c r="A588" s="29">
        <v>10</v>
      </c>
      <c r="B588" s="15" t="str">
        <f>'Candidate List'!B11</f>
        <v>Raju Thakur</v>
      </c>
      <c r="C588" s="13">
        <v>3</v>
      </c>
      <c r="D588" s="13">
        <v>1</v>
      </c>
      <c r="E588" s="13">
        <v>1</v>
      </c>
      <c r="F588" s="13">
        <v>0</v>
      </c>
      <c r="G588" s="13">
        <v>5</v>
      </c>
      <c r="H588" s="13">
        <v>1</v>
      </c>
      <c r="I588" s="13">
        <v>8</v>
      </c>
      <c r="J588" s="13">
        <v>7</v>
      </c>
      <c r="K588" s="13">
        <v>2</v>
      </c>
      <c r="L588" s="13">
        <v>13</v>
      </c>
      <c r="M588" s="13">
        <v>2</v>
      </c>
      <c r="N588" s="13">
        <v>3</v>
      </c>
      <c r="O588" s="13">
        <v>6</v>
      </c>
      <c r="P588" s="13">
        <v>2</v>
      </c>
      <c r="Q588" s="30">
        <f t="shared" si="68"/>
        <v>54</v>
      </c>
      <c r="R588" s="30">
        <f t="shared" si="69"/>
        <v>591</v>
      </c>
      <c r="S588" s="30">
        <f t="shared" si="70"/>
        <v>645</v>
      </c>
    </row>
    <row r="589" spans="1:19" ht="18.75">
      <c r="A589" s="29">
        <v>11</v>
      </c>
      <c r="B589" s="15" t="str">
        <f>'Candidate List'!B12</f>
        <v>Bablu</v>
      </c>
      <c r="C589" s="13">
        <v>0</v>
      </c>
      <c r="D589" s="13">
        <v>0</v>
      </c>
      <c r="E589" s="13">
        <v>3</v>
      </c>
      <c r="F589" s="13">
        <v>0</v>
      </c>
      <c r="G589" s="13">
        <v>1</v>
      </c>
      <c r="H589" s="13">
        <v>1</v>
      </c>
      <c r="I589" s="13">
        <v>4</v>
      </c>
      <c r="J589" s="13">
        <v>1</v>
      </c>
      <c r="K589" s="13">
        <v>0</v>
      </c>
      <c r="L589" s="13">
        <v>1</v>
      </c>
      <c r="M589" s="13">
        <v>2</v>
      </c>
      <c r="N589" s="13">
        <v>2</v>
      </c>
      <c r="O589" s="13">
        <v>0</v>
      </c>
      <c r="P589" s="13">
        <v>2</v>
      </c>
      <c r="Q589" s="30">
        <f t="shared" si="68"/>
        <v>17</v>
      </c>
      <c r="R589" s="30">
        <f t="shared" si="69"/>
        <v>255</v>
      </c>
      <c r="S589" s="30">
        <f t="shared" si="70"/>
        <v>272</v>
      </c>
    </row>
    <row r="590" spans="1:19" ht="18.75">
      <c r="A590" s="29">
        <v>12</v>
      </c>
      <c r="B590" s="15" t="str">
        <f>'Candidate List'!B13</f>
        <v>NOTA</v>
      </c>
      <c r="C590" s="13">
        <v>1</v>
      </c>
      <c r="D590" s="13">
        <v>0</v>
      </c>
      <c r="E590" s="13">
        <v>0</v>
      </c>
      <c r="F590" s="13">
        <v>1</v>
      </c>
      <c r="G590" s="13">
        <v>0</v>
      </c>
      <c r="H590" s="13">
        <v>6</v>
      </c>
      <c r="I590" s="13">
        <v>0</v>
      </c>
      <c r="J590" s="13">
        <v>3</v>
      </c>
      <c r="K590" s="13">
        <v>2</v>
      </c>
      <c r="L590" s="13">
        <v>2</v>
      </c>
      <c r="M590" s="13">
        <v>4</v>
      </c>
      <c r="N590" s="13">
        <v>1</v>
      </c>
      <c r="O590" s="13">
        <v>4</v>
      </c>
      <c r="P590" s="13">
        <v>0</v>
      </c>
      <c r="Q590" s="30">
        <f t="shared" si="68"/>
        <v>24</v>
      </c>
      <c r="R590" s="30">
        <f t="shared" si="69"/>
        <v>585</v>
      </c>
      <c r="S590" s="30">
        <f t="shared" si="70"/>
        <v>609</v>
      </c>
    </row>
    <row r="591" spans="1:19">
      <c r="A591" s="187" t="s">
        <v>11</v>
      </c>
      <c r="B591" s="187"/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30">
        <f t="shared" si="68"/>
        <v>0</v>
      </c>
      <c r="R591" s="30">
        <f t="shared" si="69"/>
        <v>0</v>
      </c>
      <c r="S591" s="30">
        <f t="shared" si="70"/>
        <v>0</v>
      </c>
    </row>
    <row r="592" spans="1:19">
      <c r="A592" s="188" t="s">
        <v>12</v>
      </c>
      <c r="B592" s="188"/>
      <c r="C592" s="30">
        <f t="shared" ref="C592:P592" si="71">SUM(C579:C591)</f>
        <v>699</v>
      </c>
      <c r="D592" s="30">
        <f t="shared" si="71"/>
        <v>642</v>
      </c>
      <c r="E592" s="30">
        <f t="shared" si="71"/>
        <v>543</v>
      </c>
      <c r="F592" s="30">
        <f t="shared" si="71"/>
        <v>568</v>
      </c>
      <c r="G592" s="30">
        <f t="shared" si="71"/>
        <v>837</v>
      </c>
      <c r="H592" s="30">
        <f t="shared" si="71"/>
        <v>754</v>
      </c>
      <c r="I592" s="30">
        <f t="shared" si="71"/>
        <v>786</v>
      </c>
      <c r="J592" s="30">
        <f t="shared" si="71"/>
        <v>819</v>
      </c>
      <c r="K592" s="30">
        <f t="shared" si="71"/>
        <v>711</v>
      </c>
      <c r="L592" s="30">
        <f t="shared" si="71"/>
        <v>715</v>
      </c>
      <c r="M592" s="30">
        <f t="shared" si="71"/>
        <v>456</v>
      </c>
      <c r="N592" s="30">
        <f t="shared" si="71"/>
        <v>752</v>
      </c>
      <c r="O592" s="30">
        <f t="shared" si="71"/>
        <v>667</v>
      </c>
      <c r="P592" s="30">
        <f t="shared" si="71"/>
        <v>508</v>
      </c>
      <c r="Q592" s="30">
        <f t="shared" si="68"/>
        <v>9457</v>
      </c>
      <c r="R592" s="30">
        <f t="shared" si="69"/>
        <v>131791</v>
      </c>
      <c r="S592" s="30">
        <f t="shared" si="70"/>
        <v>141248</v>
      </c>
    </row>
    <row r="593" spans="1:19" ht="38.25" customHeight="1">
      <c r="A593" s="5"/>
      <c r="B593" s="5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8"/>
      <c r="R593" s="7"/>
      <c r="S593" s="7"/>
    </row>
    <row r="594" spans="1:19" ht="22.5">
      <c r="A594" s="31"/>
      <c r="B594" s="31"/>
      <c r="C594" s="10" t="s">
        <v>13</v>
      </c>
      <c r="D594" s="10" t="s">
        <v>13</v>
      </c>
      <c r="E594" s="10" t="s">
        <v>13</v>
      </c>
      <c r="F594" s="10" t="s">
        <v>13</v>
      </c>
      <c r="G594" s="10" t="s">
        <v>13</v>
      </c>
      <c r="H594" s="10" t="s">
        <v>13</v>
      </c>
      <c r="I594" s="10" t="s">
        <v>13</v>
      </c>
      <c r="J594" s="10" t="s">
        <v>13</v>
      </c>
      <c r="K594" s="10" t="s">
        <v>13</v>
      </c>
      <c r="L594" s="10" t="s">
        <v>13</v>
      </c>
      <c r="M594" s="10" t="s">
        <v>13</v>
      </c>
      <c r="N594" s="10" t="s">
        <v>13</v>
      </c>
      <c r="O594" s="10" t="s">
        <v>13</v>
      </c>
      <c r="P594" s="10" t="s">
        <v>13</v>
      </c>
      <c r="Q594" s="10" t="s">
        <v>13</v>
      </c>
      <c r="R594" s="10" t="s">
        <v>13</v>
      </c>
      <c r="S594" s="10" t="s">
        <v>13</v>
      </c>
    </row>
    <row r="595" spans="1:19" ht="36" customHeight="1">
      <c r="A595" s="31"/>
      <c r="B595" s="3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 ht="22.5">
      <c r="A596" s="31"/>
      <c r="B596" s="31"/>
      <c r="C596" s="10" t="s">
        <v>14</v>
      </c>
      <c r="D596" s="10" t="s">
        <v>14</v>
      </c>
      <c r="E596" s="10" t="s">
        <v>14</v>
      </c>
      <c r="F596" s="10" t="s">
        <v>14</v>
      </c>
      <c r="G596" s="10" t="s">
        <v>14</v>
      </c>
      <c r="H596" s="10" t="s">
        <v>14</v>
      </c>
      <c r="I596" s="10" t="s">
        <v>14</v>
      </c>
      <c r="J596" s="10" t="s">
        <v>14</v>
      </c>
      <c r="K596" s="10" t="s">
        <v>14</v>
      </c>
      <c r="L596" s="10" t="s">
        <v>14</v>
      </c>
      <c r="M596" s="10" t="s">
        <v>14</v>
      </c>
      <c r="N596" s="10" t="s">
        <v>14</v>
      </c>
      <c r="O596" s="10" t="s">
        <v>14</v>
      </c>
      <c r="P596" s="10" t="s">
        <v>14</v>
      </c>
      <c r="Q596" s="10" t="s">
        <v>14</v>
      </c>
      <c r="R596" s="10" t="s">
        <v>14</v>
      </c>
      <c r="S596" s="10" t="s">
        <v>14</v>
      </c>
    </row>
    <row r="597" spans="1:19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</row>
    <row r="598" spans="1:19">
      <c r="A598" s="189" t="s">
        <v>15</v>
      </c>
      <c r="B598" s="189"/>
      <c r="C598" s="164" t="s">
        <v>16</v>
      </c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31"/>
      <c r="S598" s="31"/>
    </row>
    <row r="599" spans="1:19">
      <c r="A599" s="31"/>
      <c r="B599" s="31"/>
      <c r="C599" s="164" t="s">
        <v>17</v>
      </c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31"/>
      <c r="S599" s="31"/>
    </row>
    <row r="600" spans="1:19">
      <c r="A600" s="31"/>
      <c r="B600" s="31"/>
      <c r="C600" s="164" t="s">
        <v>44</v>
      </c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31"/>
      <c r="S600" s="31"/>
    </row>
    <row r="601" spans="1:19">
      <c r="A601" s="31"/>
      <c r="B601" s="31"/>
      <c r="C601" s="164" t="s">
        <v>45</v>
      </c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31"/>
      <c r="S601" s="31"/>
    </row>
    <row r="606" spans="1:19" ht="26.25">
      <c r="A606" s="190" t="s">
        <v>0</v>
      </c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</row>
    <row r="607" spans="1:19" ht="19.5">
      <c r="A607" s="191" t="s">
        <v>1225</v>
      </c>
      <c r="B607" s="191"/>
      <c r="C607" s="191"/>
      <c r="D607" s="191"/>
      <c r="E607" s="191"/>
      <c r="F607" s="191"/>
      <c r="G607" s="191"/>
      <c r="H607" s="191"/>
      <c r="I607" s="1"/>
      <c r="J607" s="1"/>
      <c r="K607" s="192" t="s">
        <v>38</v>
      </c>
      <c r="L607" s="192"/>
      <c r="M607" s="192"/>
      <c r="N607" s="192"/>
      <c r="O607" s="1"/>
      <c r="P607" s="193" t="s">
        <v>1</v>
      </c>
      <c r="Q607" s="193"/>
      <c r="R607" s="194">
        <v>44630</v>
      </c>
      <c r="S607" s="194"/>
    </row>
    <row r="608" spans="1:19">
      <c r="A608" s="188" t="s">
        <v>2</v>
      </c>
      <c r="B608" s="188"/>
      <c r="C608" s="30">
        <v>1</v>
      </c>
      <c r="D608" s="30">
        <v>2</v>
      </c>
      <c r="E608" s="30">
        <v>3</v>
      </c>
      <c r="F608" s="30">
        <v>4</v>
      </c>
      <c r="G608" s="30">
        <v>5</v>
      </c>
      <c r="H608" s="30">
        <v>6</v>
      </c>
      <c r="I608" s="30">
        <v>7</v>
      </c>
      <c r="J608" s="30">
        <v>8</v>
      </c>
      <c r="K608" s="30">
        <v>9</v>
      </c>
      <c r="L608" s="30">
        <v>10</v>
      </c>
      <c r="M608" s="30">
        <v>11</v>
      </c>
      <c r="N608" s="30">
        <v>12</v>
      </c>
      <c r="O608" s="30">
        <v>13</v>
      </c>
      <c r="P608" s="30">
        <v>14</v>
      </c>
      <c r="Q608" s="195" t="s">
        <v>3</v>
      </c>
      <c r="R608" s="195" t="s">
        <v>4</v>
      </c>
      <c r="S608" s="195" t="s">
        <v>5</v>
      </c>
    </row>
    <row r="609" spans="1:19">
      <c r="A609" s="165" t="s">
        <v>6</v>
      </c>
      <c r="B609" s="167"/>
      <c r="C609" s="40">
        <f>'Booth detail'!IT1</f>
        <v>253</v>
      </c>
      <c r="D609" s="40">
        <f>'Booth detail'!IU1</f>
        <v>254</v>
      </c>
      <c r="E609" s="40">
        <f>'Booth detail'!IV1</f>
        <v>255</v>
      </c>
      <c r="F609" s="40">
        <f>'Booth detail'!IW1</f>
        <v>256</v>
      </c>
      <c r="G609" s="40">
        <f>'Booth detail'!IX1</f>
        <v>257</v>
      </c>
      <c r="H609" s="40">
        <f>'Booth detail'!IY1</f>
        <v>258</v>
      </c>
      <c r="I609" s="40">
        <f>'Booth detail'!IZ1</f>
        <v>259</v>
      </c>
      <c r="J609" s="40">
        <f>'Booth detail'!JA1</f>
        <v>260</v>
      </c>
      <c r="K609" s="40">
        <f>'Booth detail'!JB1</f>
        <v>261</v>
      </c>
      <c r="L609" s="40">
        <f>'Booth detail'!JC1</f>
        <v>262</v>
      </c>
      <c r="M609" s="40">
        <f>'Booth detail'!JD1</f>
        <v>263</v>
      </c>
      <c r="N609" s="40">
        <f>'Booth detail'!JE1</f>
        <v>264</v>
      </c>
      <c r="O609" s="40">
        <f>'Booth detail'!JF1</f>
        <v>265</v>
      </c>
      <c r="P609" s="40">
        <f>'Booth detail'!JG1</f>
        <v>266</v>
      </c>
      <c r="Q609" s="196"/>
      <c r="R609" s="196"/>
      <c r="S609" s="196"/>
    </row>
    <row r="610" spans="1:19" ht="25.5">
      <c r="A610" s="165" t="s">
        <v>18</v>
      </c>
      <c r="B610" s="167"/>
      <c r="C610" s="44" t="str">
        <f>'Booth detail'!IT2</f>
        <v>ECUEC50097</v>
      </c>
      <c r="D610" s="44" t="str">
        <f>'Booth detail'!IU2</f>
        <v>ECUED29579</v>
      </c>
      <c r="E610" s="44" t="str">
        <f>'Booth detail'!IV2</f>
        <v>ECUEC67721</v>
      </c>
      <c r="F610" s="44" t="str">
        <f>'Booth detail'!IW2</f>
        <v>ECUEC67421</v>
      </c>
      <c r="G610" s="44" t="str">
        <f>'Booth detail'!IX2</f>
        <v>ECUEC60721</v>
      </c>
      <c r="H610" s="44" t="str">
        <f>'Booth detail'!IY2</f>
        <v>ECUEC57492</v>
      </c>
      <c r="I610" s="44" t="str">
        <f>'Booth detail'!IZ2</f>
        <v>ECUEC51172</v>
      </c>
      <c r="J610" s="44" t="str">
        <f>'Booth detail'!JA2</f>
        <v>ECUEC57477</v>
      </c>
      <c r="K610" s="44" t="str">
        <f>'Booth detail'!JB2</f>
        <v>ECUED29317</v>
      </c>
      <c r="L610" s="44" t="str">
        <f>'Booth detail'!JC2</f>
        <v>ECUEC67413</v>
      </c>
      <c r="M610" s="44" t="str">
        <f>'Booth detail'!JD2</f>
        <v>ECUEC54603</v>
      </c>
      <c r="N610" s="44" t="str">
        <f>'Booth detail'!JE2</f>
        <v>ECUEC50943</v>
      </c>
      <c r="O610" s="44" t="str">
        <f>'Booth detail'!JF2</f>
        <v>ECUEC64682</v>
      </c>
      <c r="P610" s="44" t="str">
        <f>'Booth detail'!JG2</f>
        <v>ECUEC64193</v>
      </c>
      <c r="Q610" s="196"/>
      <c r="R610" s="196"/>
      <c r="S610" s="196"/>
    </row>
    <row r="611" spans="1:19" ht="44.25" customHeight="1">
      <c r="A611" s="198" t="s">
        <v>20</v>
      </c>
      <c r="B611" s="199"/>
      <c r="C611" s="55" t="str">
        <f>'Booth detail'!IT3</f>
        <v>-</v>
      </c>
      <c r="D611" s="55" t="str">
        <f>'Booth detail'!IU3</f>
        <v>-</v>
      </c>
      <c r="E611" s="55" t="str">
        <f>'Booth detail'!IV3</f>
        <v>-</v>
      </c>
      <c r="F611" s="55" t="str">
        <f>'Booth detail'!IW3</f>
        <v>-</v>
      </c>
      <c r="G611" s="55" t="str">
        <f>'Booth detail'!IX3</f>
        <v>-</v>
      </c>
      <c r="H611" s="55" t="str">
        <f>'Booth detail'!IY3</f>
        <v>-</v>
      </c>
      <c r="I611" s="55" t="str">
        <f>'Booth detail'!IZ3</f>
        <v>-</v>
      </c>
      <c r="J611" s="55" t="str">
        <f>'Booth detail'!JA3</f>
        <v>-</v>
      </c>
      <c r="K611" s="55" t="str">
        <f>'Booth detail'!JB3</f>
        <v>-</v>
      </c>
      <c r="L611" s="55" t="str">
        <f>'Booth detail'!JC3</f>
        <v>-</v>
      </c>
      <c r="M611" s="55" t="str">
        <f>'Booth detail'!JD3</f>
        <v>-</v>
      </c>
      <c r="N611" s="55" t="str">
        <f>'Booth detail'!JE3</f>
        <v>-</v>
      </c>
      <c r="O611" s="55" t="str">
        <f>'Booth detail'!JF3</f>
        <v>-</v>
      </c>
      <c r="P611" s="55" t="str">
        <f>'Booth detail'!JG3</f>
        <v>-</v>
      </c>
      <c r="Q611" s="196"/>
      <c r="R611" s="196"/>
      <c r="S611" s="196"/>
    </row>
    <row r="612" spans="1:19">
      <c r="A612" s="14" t="s">
        <v>7</v>
      </c>
      <c r="B612" s="32" t="s">
        <v>8</v>
      </c>
      <c r="C612" s="33" t="s">
        <v>9</v>
      </c>
      <c r="D612" s="33" t="s">
        <v>9</v>
      </c>
      <c r="E612" s="33" t="s">
        <v>9</v>
      </c>
      <c r="F612" s="33" t="s">
        <v>9</v>
      </c>
      <c r="G612" s="33" t="s">
        <v>9</v>
      </c>
      <c r="H612" s="33" t="s">
        <v>9</v>
      </c>
      <c r="I612" s="33" t="s">
        <v>9</v>
      </c>
      <c r="J612" s="33" t="s">
        <v>9</v>
      </c>
      <c r="K612" s="33" t="s">
        <v>9</v>
      </c>
      <c r="L612" s="33" t="s">
        <v>9</v>
      </c>
      <c r="M612" s="33" t="s">
        <v>9</v>
      </c>
      <c r="N612" s="33" t="s">
        <v>9</v>
      </c>
      <c r="O612" s="33" t="s">
        <v>9</v>
      </c>
      <c r="P612" s="33" t="s">
        <v>9</v>
      </c>
      <c r="Q612" s="197"/>
      <c r="R612" s="197"/>
      <c r="S612" s="197"/>
    </row>
    <row r="613" spans="1:19" ht="18.75">
      <c r="A613" s="29">
        <v>1</v>
      </c>
      <c r="B613" s="15" t="str">
        <f>'Candidate List'!B2</f>
        <v>Manveer Singh</v>
      </c>
      <c r="C613" s="13">
        <v>25</v>
      </c>
      <c r="D613" s="13">
        <v>19</v>
      </c>
      <c r="E613" s="13">
        <v>9</v>
      </c>
      <c r="F613" s="13">
        <v>13</v>
      </c>
      <c r="G613" s="13">
        <v>17</v>
      </c>
      <c r="H613" s="13">
        <v>12</v>
      </c>
      <c r="I613" s="13">
        <v>1</v>
      </c>
      <c r="J613" s="13">
        <v>3</v>
      </c>
      <c r="K613" s="13">
        <v>103</v>
      </c>
      <c r="L613" s="13">
        <v>10</v>
      </c>
      <c r="M613" s="13">
        <v>4</v>
      </c>
      <c r="N613" s="13">
        <v>10</v>
      </c>
      <c r="O613" s="13">
        <v>30</v>
      </c>
      <c r="P613" s="13">
        <v>36</v>
      </c>
      <c r="Q613" s="30">
        <f>SUM(C613:P613)</f>
        <v>292</v>
      </c>
      <c r="R613" s="30">
        <f>S579</f>
        <v>21355</v>
      </c>
      <c r="S613" s="30">
        <f>Q613+R613</f>
        <v>21647</v>
      </c>
    </row>
    <row r="614" spans="1:19" ht="18.75">
      <c r="A614" s="29">
        <v>2</v>
      </c>
      <c r="B614" s="15" t="str">
        <f>'Candidate List'!B3</f>
        <v>Rahul Yadav</v>
      </c>
      <c r="C614" s="13">
        <v>521</v>
      </c>
      <c r="D614" s="13">
        <v>387</v>
      </c>
      <c r="E614" s="13">
        <v>710</v>
      </c>
      <c r="F614" s="13">
        <v>326</v>
      </c>
      <c r="G614" s="13">
        <v>116</v>
      </c>
      <c r="H614" s="13">
        <v>557</v>
      </c>
      <c r="I614" s="13">
        <v>16</v>
      </c>
      <c r="J614" s="13">
        <v>8</v>
      </c>
      <c r="K614" s="13">
        <v>24</v>
      </c>
      <c r="L614" s="13">
        <v>290</v>
      </c>
      <c r="M614" s="13">
        <v>207</v>
      </c>
      <c r="N614" s="13">
        <v>244</v>
      </c>
      <c r="O614" s="13">
        <v>518</v>
      </c>
      <c r="P614" s="13">
        <v>359</v>
      </c>
      <c r="Q614" s="30">
        <f t="shared" ref="Q614:Q626" si="72">SUM(C614:P614)</f>
        <v>4283</v>
      </c>
      <c r="R614" s="30">
        <f t="shared" ref="R614:R626" si="73">S580</f>
        <v>60375</v>
      </c>
      <c r="S614" s="30">
        <f t="shared" ref="S614:S626" si="74">Q614+R614</f>
        <v>64658</v>
      </c>
    </row>
    <row r="615" spans="1:19" ht="18.75">
      <c r="A615" s="29">
        <v>3</v>
      </c>
      <c r="B615" s="15" t="str">
        <f>'Candidate List'!B4</f>
        <v>Lakshmi Raj</v>
      </c>
      <c r="C615" s="13">
        <v>51</v>
      </c>
      <c r="D615" s="13">
        <v>7</v>
      </c>
      <c r="E615" s="13">
        <v>40</v>
      </c>
      <c r="F615" s="13">
        <v>62</v>
      </c>
      <c r="G615" s="13">
        <v>251</v>
      </c>
      <c r="H615" s="13">
        <v>211</v>
      </c>
      <c r="I615" s="13">
        <v>484</v>
      </c>
      <c r="J615" s="13">
        <v>472</v>
      </c>
      <c r="K615" s="13">
        <v>211</v>
      </c>
      <c r="L615" s="13">
        <v>533</v>
      </c>
      <c r="M615" s="13">
        <v>566</v>
      </c>
      <c r="N615" s="13">
        <v>315</v>
      </c>
      <c r="O615" s="13">
        <v>223</v>
      </c>
      <c r="P615" s="13">
        <v>48</v>
      </c>
      <c r="Q615" s="30">
        <f t="shared" si="72"/>
        <v>3474</v>
      </c>
      <c r="R615" s="30">
        <f t="shared" si="73"/>
        <v>54760</v>
      </c>
      <c r="S615" s="30">
        <f t="shared" si="74"/>
        <v>58234</v>
      </c>
    </row>
    <row r="616" spans="1:19" ht="18.75">
      <c r="A616" s="29">
        <v>4</v>
      </c>
      <c r="B616" s="15" t="str">
        <f>'Candidate List'!B5</f>
        <v>Saleem Akhtar Khan</v>
      </c>
      <c r="C616" s="13">
        <v>5</v>
      </c>
      <c r="D616" s="13">
        <v>2</v>
      </c>
      <c r="E616" s="13">
        <v>1</v>
      </c>
      <c r="F616" s="13">
        <v>1</v>
      </c>
      <c r="G616" s="13">
        <v>2</v>
      </c>
      <c r="H616" s="13">
        <v>2</v>
      </c>
      <c r="I616" s="13">
        <v>3</v>
      </c>
      <c r="J616" s="13">
        <v>2</v>
      </c>
      <c r="K616" s="13">
        <v>2</v>
      </c>
      <c r="L616" s="13">
        <v>2</v>
      </c>
      <c r="M616" s="13">
        <v>5</v>
      </c>
      <c r="N616" s="13">
        <v>5</v>
      </c>
      <c r="O616" s="13">
        <v>7</v>
      </c>
      <c r="P616" s="13">
        <v>6</v>
      </c>
      <c r="Q616" s="30">
        <f t="shared" si="72"/>
        <v>45</v>
      </c>
      <c r="R616" s="30">
        <f t="shared" si="73"/>
        <v>1235</v>
      </c>
      <c r="S616" s="30">
        <f t="shared" si="74"/>
        <v>1280</v>
      </c>
    </row>
    <row r="617" spans="1:19" ht="18.75">
      <c r="A617" s="29">
        <v>5</v>
      </c>
      <c r="B617" s="15" t="str">
        <f>'Candidate List'!B6</f>
        <v>Ajay Kumar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2</v>
      </c>
      <c r="M617" s="13">
        <v>0</v>
      </c>
      <c r="N617" s="13">
        <v>1</v>
      </c>
      <c r="O617" s="13">
        <v>1</v>
      </c>
      <c r="P617" s="13">
        <v>0</v>
      </c>
      <c r="Q617" s="30">
        <f t="shared" si="72"/>
        <v>4</v>
      </c>
      <c r="R617" s="30">
        <f t="shared" si="73"/>
        <v>514</v>
      </c>
      <c r="S617" s="30">
        <f t="shared" si="74"/>
        <v>518</v>
      </c>
    </row>
    <row r="618" spans="1:19" ht="18.75">
      <c r="A618" s="29">
        <v>6</v>
      </c>
      <c r="B618" s="15" t="str">
        <f>'Candidate List'!B7</f>
        <v>Ajay Kumar Sharma</v>
      </c>
      <c r="C618" s="13">
        <v>1</v>
      </c>
      <c r="D618" s="13">
        <v>1</v>
      </c>
      <c r="E618" s="13">
        <v>0</v>
      </c>
      <c r="F618" s="13">
        <v>0</v>
      </c>
      <c r="G618" s="13">
        <v>1</v>
      </c>
      <c r="H618" s="13">
        <v>1</v>
      </c>
      <c r="I618" s="13">
        <v>0</v>
      </c>
      <c r="J618" s="13">
        <v>0</v>
      </c>
      <c r="K618" s="13">
        <v>0</v>
      </c>
      <c r="L618" s="13">
        <v>0</v>
      </c>
      <c r="M618" s="13">
        <v>1</v>
      </c>
      <c r="N618" s="13">
        <v>1</v>
      </c>
      <c r="O618" s="13">
        <v>0</v>
      </c>
      <c r="P618" s="13">
        <v>0</v>
      </c>
      <c r="Q618" s="30">
        <f t="shared" si="72"/>
        <v>6</v>
      </c>
      <c r="R618" s="30">
        <f t="shared" si="73"/>
        <v>51</v>
      </c>
      <c r="S618" s="30">
        <f t="shared" si="74"/>
        <v>57</v>
      </c>
    </row>
    <row r="619" spans="1:19" ht="18.75">
      <c r="A619" s="29">
        <v>7</v>
      </c>
      <c r="B619" s="15" t="str">
        <f>'Candidate List'!B8</f>
        <v>Amit Singh Tomar</v>
      </c>
      <c r="C619" s="13">
        <v>1</v>
      </c>
      <c r="D619" s="13">
        <v>0</v>
      </c>
      <c r="E619" s="13">
        <v>0</v>
      </c>
      <c r="F619" s="13">
        <v>0</v>
      </c>
      <c r="G619" s="13">
        <v>2</v>
      </c>
      <c r="H619" s="13">
        <v>0</v>
      </c>
      <c r="I619" s="13">
        <v>0</v>
      </c>
      <c r="J619" s="13">
        <v>1</v>
      </c>
      <c r="K619" s="13">
        <v>0</v>
      </c>
      <c r="L619" s="13">
        <v>0</v>
      </c>
      <c r="M619" s="13">
        <v>1</v>
      </c>
      <c r="N619" s="13">
        <v>0</v>
      </c>
      <c r="O619" s="13">
        <v>0</v>
      </c>
      <c r="P619" s="13">
        <v>0</v>
      </c>
      <c r="Q619" s="30">
        <f t="shared" si="72"/>
        <v>5</v>
      </c>
      <c r="R619" s="30">
        <f t="shared" si="73"/>
        <v>99</v>
      </c>
      <c r="S619" s="30">
        <f t="shared" si="74"/>
        <v>104</v>
      </c>
    </row>
    <row r="620" spans="1:19" ht="18.75">
      <c r="A620" s="29">
        <v>8</v>
      </c>
      <c r="B620" s="15" t="str">
        <f>'Candidate List'!B9</f>
        <v>Darshan Sharma</v>
      </c>
      <c r="C620" s="13">
        <v>0</v>
      </c>
      <c r="D620" s="13">
        <v>0</v>
      </c>
      <c r="E620" s="13">
        <v>1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3</v>
      </c>
      <c r="N620" s="13">
        <v>0</v>
      </c>
      <c r="O620" s="13">
        <v>1</v>
      </c>
      <c r="P620" s="13">
        <v>0</v>
      </c>
      <c r="Q620" s="30">
        <f t="shared" si="72"/>
        <v>5</v>
      </c>
      <c r="R620" s="30">
        <f t="shared" si="73"/>
        <v>198</v>
      </c>
      <c r="S620" s="30">
        <f t="shared" si="74"/>
        <v>203</v>
      </c>
    </row>
    <row r="621" spans="1:19" ht="18.75">
      <c r="A621" s="29">
        <v>9</v>
      </c>
      <c r="B621" s="15" t="str">
        <f>'Candidate List'!B10</f>
        <v>Dilshad Ahmad</v>
      </c>
      <c r="C621" s="13">
        <v>1</v>
      </c>
      <c r="D621" s="13">
        <v>8</v>
      </c>
      <c r="E621" s="13">
        <v>22</v>
      </c>
      <c r="F621" s="13">
        <v>3</v>
      </c>
      <c r="G621" s="13">
        <v>2</v>
      </c>
      <c r="H621" s="13">
        <v>2</v>
      </c>
      <c r="I621" s="13">
        <v>1</v>
      </c>
      <c r="J621" s="13">
        <v>1</v>
      </c>
      <c r="K621" s="13">
        <v>0</v>
      </c>
      <c r="L621" s="13">
        <v>1</v>
      </c>
      <c r="M621" s="13">
        <v>2</v>
      </c>
      <c r="N621" s="13">
        <v>2</v>
      </c>
      <c r="O621" s="13">
        <v>10</v>
      </c>
      <c r="P621" s="13">
        <v>1</v>
      </c>
      <c r="Q621" s="30">
        <f t="shared" si="72"/>
        <v>56</v>
      </c>
      <c r="R621" s="30">
        <f t="shared" si="73"/>
        <v>1135</v>
      </c>
      <c r="S621" s="30">
        <f t="shared" si="74"/>
        <v>1191</v>
      </c>
    </row>
    <row r="622" spans="1:19" ht="18.75">
      <c r="A622" s="29">
        <v>10</v>
      </c>
      <c r="B622" s="15" t="str">
        <f>'Candidate List'!B11</f>
        <v>Raju Thakur</v>
      </c>
      <c r="C622" s="13">
        <v>6</v>
      </c>
      <c r="D622" s="13">
        <v>5</v>
      </c>
      <c r="E622" s="13">
        <v>1</v>
      </c>
      <c r="F622" s="13">
        <v>1</v>
      </c>
      <c r="G622" s="13">
        <v>2</v>
      </c>
      <c r="H622" s="13">
        <v>4</v>
      </c>
      <c r="I622" s="13">
        <v>1</v>
      </c>
      <c r="J622" s="13">
        <v>0</v>
      </c>
      <c r="K622" s="13">
        <v>4</v>
      </c>
      <c r="L622" s="13">
        <v>8</v>
      </c>
      <c r="M622" s="13">
        <v>3</v>
      </c>
      <c r="N622" s="13">
        <v>6</v>
      </c>
      <c r="O622" s="13">
        <v>5</v>
      </c>
      <c r="P622" s="13">
        <v>1</v>
      </c>
      <c r="Q622" s="30">
        <f t="shared" si="72"/>
        <v>47</v>
      </c>
      <c r="R622" s="30">
        <f t="shared" si="73"/>
        <v>645</v>
      </c>
      <c r="S622" s="30">
        <f t="shared" si="74"/>
        <v>692</v>
      </c>
    </row>
    <row r="623" spans="1:19" ht="18.75">
      <c r="A623" s="29">
        <v>11</v>
      </c>
      <c r="B623" s="15" t="str">
        <f>'Candidate List'!B12</f>
        <v>Bablu</v>
      </c>
      <c r="C623" s="13">
        <v>2</v>
      </c>
      <c r="D623" s="13">
        <v>0</v>
      </c>
      <c r="E623" s="13">
        <v>0</v>
      </c>
      <c r="F623" s="13">
        <v>0</v>
      </c>
      <c r="G623" s="13">
        <v>1</v>
      </c>
      <c r="H623" s="13">
        <v>3</v>
      </c>
      <c r="I623" s="13">
        <v>0</v>
      </c>
      <c r="J623" s="13">
        <v>0</v>
      </c>
      <c r="K623" s="13">
        <v>0</v>
      </c>
      <c r="L623" s="13">
        <v>2</v>
      </c>
      <c r="M623" s="13">
        <v>0</v>
      </c>
      <c r="N623" s="13">
        <v>1</v>
      </c>
      <c r="O623" s="13">
        <v>1</v>
      </c>
      <c r="P623" s="13">
        <v>1</v>
      </c>
      <c r="Q623" s="30">
        <f t="shared" si="72"/>
        <v>11</v>
      </c>
      <c r="R623" s="30">
        <f t="shared" si="73"/>
        <v>272</v>
      </c>
      <c r="S623" s="30">
        <f t="shared" si="74"/>
        <v>283</v>
      </c>
    </row>
    <row r="624" spans="1:19" ht="18.75">
      <c r="A624" s="29">
        <v>12</v>
      </c>
      <c r="B624" s="15" t="str">
        <f>'Candidate List'!B13</f>
        <v>NOTA</v>
      </c>
      <c r="C624" s="13">
        <v>0</v>
      </c>
      <c r="D624" s="13">
        <v>0</v>
      </c>
      <c r="E624" s="13">
        <v>1</v>
      </c>
      <c r="F624" s="13">
        <v>0</v>
      </c>
      <c r="G624" s="13">
        <v>3</v>
      </c>
      <c r="H624" s="13">
        <v>1</v>
      </c>
      <c r="I624" s="13">
        <v>2</v>
      </c>
      <c r="J624" s="13">
        <v>0</v>
      </c>
      <c r="K624" s="13">
        <v>3</v>
      </c>
      <c r="L624" s="13">
        <v>1</v>
      </c>
      <c r="M624" s="13">
        <v>4</v>
      </c>
      <c r="N624" s="13">
        <v>0</v>
      </c>
      <c r="O624" s="13">
        <v>1</v>
      </c>
      <c r="P624" s="13">
        <v>1</v>
      </c>
      <c r="Q624" s="30">
        <f t="shared" si="72"/>
        <v>17</v>
      </c>
      <c r="R624" s="30">
        <f t="shared" si="73"/>
        <v>609</v>
      </c>
      <c r="S624" s="30">
        <f t="shared" si="74"/>
        <v>626</v>
      </c>
    </row>
    <row r="625" spans="1:19">
      <c r="A625" s="187" t="s">
        <v>11</v>
      </c>
      <c r="B625" s="187"/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30">
        <f t="shared" si="72"/>
        <v>0</v>
      </c>
      <c r="R625" s="30">
        <f t="shared" si="73"/>
        <v>0</v>
      </c>
      <c r="S625" s="30">
        <f t="shared" si="74"/>
        <v>0</v>
      </c>
    </row>
    <row r="626" spans="1:19">
      <c r="A626" s="188" t="s">
        <v>12</v>
      </c>
      <c r="B626" s="188"/>
      <c r="C626" s="30">
        <f t="shared" ref="C626:P626" si="75">SUM(C613:C625)</f>
        <v>613</v>
      </c>
      <c r="D626" s="30">
        <f t="shared" si="75"/>
        <v>429</v>
      </c>
      <c r="E626" s="30">
        <f t="shared" si="75"/>
        <v>785</v>
      </c>
      <c r="F626" s="30">
        <f t="shared" si="75"/>
        <v>406</v>
      </c>
      <c r="G626" s="30">
        <f t="shared" si="75"/>
        <v>397</v>
      </c>
      <c r="H626" s="30">
        <f t="shared" si="75"/>
        <v>793</v>
      </c>
      <c r="I626" s="30">
        <f t="shared" si="75"/>
        <v>508</v>
      </c>
      <c r="J626" s="30">
        <f t="shared" si="75"/>
        <v>487</v>
      </c>
      <c r="K626" s="30">
        <f t="shared" si="75"/>
        <v>347</v>
      </c>
      <c r="L626" s="30">
        <f t="shared" si="75"/>
        <v>849</v>
      </c>
      <c r="M626" s="30">
        <f t="shared" si="75"/>
        <v>796</v>
      </c>
      <c r="N626" s="30">
        <f t="shared" si="75"/>
        <v>585</v>
      </c>
      <c r="O626" s="30">
        <f t="shared" si="75"/>
        <v>797</v>
      </c>
      <c r="P626" s="30">
        <f t="shared" si="75"/>
        <v>453</v>
      </c>
      <c r="Q626" s="30">
        <f t="shared" si="72"/>
        <v>8245</v>
      </c>
      <c r="R626" s="30">
        <f t="shared" si="73"/>
        <v>141248</v>
      </c>
      <c r="S626" s="30">
        <f t="shared" si="74"/>
        <v>149493</v>
      </c>
    </row>
    <row r="627" spans="1:19" ht="39.75" customHeight="1">
      <c r="A627" s="5"/>
      <c r="B627" s="5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8"/>
      <c r="R627" s="7"/>
      <c r="S627" s="7"/>
    </row>
    <row r="628" spans="1:19" ht="22.5">
      <c r="A628" s="31"/>
      <c r="B628" s="31"/>
      <c r="C628" s="10" t="s">
        <v>13</v>
      </c>
      <c r="D628" s="10" t="s">
        <v>13</v>
      </c>
      <c r="E628" s="10" t="s">
        <v>13</v>
      </c>
      <c r="F628" s="10" t="s">
        <v>13</v>
      </c>
      <c r="G628" s="10" t="s">
        <v>13</v>
      </c>
      <c r="H628" s="10" t="s">
        <v>13</v>
      </c>
      <c r="I628" s="10" t="s">
        <v>13</v>
      </c>
      <c r="J628" s="10" t="s">
        <v>13</v>
      </c>
      <c r="K628" s="10" t="s">
        <v>13</v>
      </c>
      <c r="L628" s="10" t="s">
        <v>13</v>
      </c>
      <c r="M628" s="10" t="s">
        <v>13</v>
      </c>
      <c r="N628" s="10" t="s">
        <v>13</v>
      </c>
      <c r="O628" s="10" t="s">
        <v>13</v>
      </c>
      <c r="P628" s="10" t="s">
        <v>13</v>
      </c>
      <c r="Q628" s="10" t="s">
        <v>13</v>
      </c>
      <c r="R628" s="10" t="s">
        <v>13</v>
      </c>
      <c r="S628" s="10" t="s">
        <v>13</v>
      </c>
    </row>
    <row r="629" spans="1:19" ht="39" customHeight="1">
      <c r="A629" s="31"/>
      <c r="B629" s="3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 ht="22.5">
      <c r="A630" s="31"/>
      <c r="B630" s="31"/>
      <c r="C630" s="10" t="s">
        <v>14</v>
      </c>
      <c r="D630" s="10" t="s">
        <v>14</v>
      </c>
      <c r="E630" s="10" t="s">
        <v>14</v>
      </c>
      <c r="F630" s="10" t="s">
        <v>14</v>
      </c>
      <c r="G630" s="10" t="s">
        <v>14</v>
      </c>
      <c r="H630" s="10" t="s">
        <v>14</v>
      </c>
      <c r="I630" s="10" t="s">
        <v>14</v>
      </c>
      <c r="J630" s="10" t="s">
        <v>14</v>
      </c>
      <c r="K630" s="10" t="s">
        <v>14</v>
      </c>
      <c r="L630" s="10" t="s">
        <v>14</v>
      </c>
      <c r="M630" s="10" t="s">
        <v>14</v>
      </c>
      <c r="N630" s="10" t="s">
        <v>14</v>
      </c>
      <c r="O630" s="10" t="s">
        <v>14</v>
      </c>
      <c r="P630" s="10" t="s">
        <v>14</v>
      </c>
      <c r="Q630" s="10" t="s">
        <v>14</v>
      </c>
      <c r="R630" s="10" t="s">
        <v>14</v>
      </c>
      <c r="S630" s="10" t="s">
        <v>14</v>
      </c>
    </row>
    <row r="631" spans="1:19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</row>
    <row r="632" spans="1:19">
      <c r="A632" s="189" t="s">
        <v>15</v>
      </c>
      <c r="B632" s="189"/>
      <c r="C632" s="164" t="s">
        <v>16</v>
      </c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31"/>
      <c r="S632" s="31"/>
    </row>
    <row r="633" spans="1:19">
      <c r="A633" s="31"/>
      <c r="B633" s="31"/>
      <c r="C633" s="164" t="s">
        <v>17</v>
      </c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31"/>
      <c r="S633" s="31"/>
    </row>
    <row r="634" spans="1:19">
      <c r="A634" s="31"/>
      <c r="B634" s="31"/>
      <c r="C634" s="164" t="s">
        <v>44</v>
      </c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31"/>
      <c r="S634" s="31"/>
    </row>
    <row r="635" spans="1:19">
      <c r="A635" s="31"/>
      <c r="B635" s="31"/>
      <c r="C635" s="164" t="s">
        <v>45</v>
      </c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31"/>
      <c r="S635" s="31"/>
    </row>
    <row r="639" spans="1:19" ht="26.25">
      <c r="A639" s="190" t="s">
        <v>0</v>
      </c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</row>
    <row r="640" spans="1:19" ht="19.5">
      <c r="A640" s="191" t="s">
        <v>1225</v>
      </c>
      <c r="B640" s="191"/>
      <c r="C640" s="191"/>
      <c r="D640" s="191"/>
      <c r="E640" s="191"/>
      <c r="F640" s="191"/>
      <c r="G640" s="191"/>
      <c r="H640" s="191"/>
      <c r="I640" s="1"/>
      <c r="J640" s="1"/>
      <c r="K640" s="192" t="s">
        <v>39</v>
      </c>
      <c r="L640" s="192"/>
      <c r="M640" s="192"/>
      <c r="N640" s="192"/>
      <c r="O640" s="1"/>
      <c r="P640" s="193" t="s">
        <v>1</v>
      </c>
      <c r="Q640" s="193"/>
      <c r="R640" s="194">
        <v>44630</v>
      </c>
      <c r="S640" s="194"/>
    </row>
    <row r="641" spans="1:19">
      <c r="A641" s="188" t="s">
        <v>2</v>
      </c>
      <c r="B641" s="188"/>
      <c r="C641" s="30">
        <v>1</v>
      </c>
      <c r="D641" s="30">
        <v>2</v>
      </c>
      <c r="E641" s="30">
        <v>3</v>
      </c>
      <c r="F641" s="30">
        <v>4</v>
      </c>
      <c r="G641" s="30">
        <v>5</v>
      </c>
      <c r="H641" s="30">
        <v>6</v>
      </c>
      <c r="I641" s="30">
        <v>7</v>
      </c>
      <c r="J641" s="30">
        <v>8</v>
      </c>
      <c r="K641" s="30">
        <v>9</v>
      </c>
      <c r="L641" s="30">
        <v>10</v>
      </c>
      <c r="M641" s="30">
        <v>11</v>
      </c>
      <c r="N641" s="30">
        <v>12</v>
      </c>
      <c r="O641" s="30">
        <v>13</v>
      </c>
      <c r="P641" s="30">
        <v>14</v>
      </c>
      <c r="Q641" s="195" t="s">
        <v>3</v>
      </c>
      <c r="R641" s="195" t="s">
        <v>4</v>
      </c>
      <c r="S641" s="195" t="s">
        <v>5</v>
      </c>
    </row>
    <row r="642" spans="1:19">
      <c r="A642" s="165" t="s">
        <v>6</v>
      </c>
      <c r="B642" s="167"/>
      <c r="C642" s="49">
        <f>'Booth detail'!JH1</f>
        <v>267</v>
      </c>
      <c r="D642" s="49">
        <f>'Booth detail'!JI1</f>
        <v>268</v>
      </c>
      <c r="E642" s="49">
        <f>'Booth detail'!JJ1</f>
        <v>269</v>
      </c>
      <c r="F642" s="49">
        <f>'Booth detail'!JK1</f>
        <v>270</v>
      </c>
      <c r="G642" s="49">
        <f>'Booth detail'!JL1</f>
        <v>271</v>
      </c>
      <c r="H642" s="49">
        <f>'Booth detail'!JM1</f>
        <v>272</v>
      </c>
      <c r="I642" s="49">
        <f>'Booth detail'!JN1</f>
        <v>273</v>
      </c>
      <c r="J642" s="49">
        <f>'Booth detail'!JO1</f>
        <v>274</v>
      </c>
      <c r="K642" s="49">
        <f>'Booth detail'!JP1</f>
        <v>275</v>
      </c>
      <c r="L642" s="49">
        <f>'Booth detail'!JQ1</f>
        <v>276</v>
      </c>
      <c r="M642" s="49">
        <f>'Booth detail'!JR1</f>
        <v>277</v>
      </c>
      <c r="N642" s="49">
        <f>'Booth detail'!JS1</f>
        <v>278</v>
      </c>
      <c r="O642" s="49">
        <f>'Booth detail'!JT1</f>
        <v>279</v>
      </c>
      <c r="P642" s="49">
        <f>'Booth detail'!JU1</f>
        <v>280</v>
      </c>
      <c r="Q642" s="196"/>
      <c r="R642" s="196"/>
      <c r="S642" s="196"/>
    </row>
    <row r="643" spans="1:19" ht="25.5">
      <c r="A643" s="165" t="s">
        <v>18</v>
      </c>
      <c r="B643" s="167"/>
      <c r="C643" s="50" t="str">
        <f>'Booth detail'!JH2</f>
        <v>ECUEC47732</v>
      </c>
      <c r="D643" s="50" t="str">
        <f>'Booth detail'!JI2</f>
        <v>ECUEC64545</v>
      </c>
      <c r="E643" s="50" t="str">
        <f>'Booth detail'!JJ2</f>
        <v>ECUEC60295</v>
      </c>
      <c r="F643" s="50" t="str">
        <f>'Booth detail'!JK2</f>
        <v>ECUEC50450</v>
      </c>
      <c r="G643" s="50" t="str">
        <f>'Booth detail'!JL2</f>
        <v>ECUEC63782</v>
      </c>
      <c r="H643" s="50" t="str">
        <f>'Booth detail'!JM2</f>
        <v>ECUEC60520</v>
      </c>
      <c r="I643" s="50" t="str">
        <f>'Booth detail'!JN2</f>
        <v>ECUEC60347</v>
      </c>
      <c r="J643" s="50" t="str">
        <f>'Booth detail'!JO2</f>
        <v>ECUEC53986</v>
      </c>
      <c r="K643" s="50" t="str">
        <f>'Booth detail'!JP2</f>
        <v>ECUED29239</v>
      </c>
      <c r="L643" s="50" t="str">
        <f>'Booth detail'!JQ2</f>
        <v>ECUEC47909</v>
      </c>
      <c r="M643" s="50" t="str">
        <f>'Booth detail'!JR2</f>
        <v>ECUED29891</v>
      </c>
      <c r="N643" s="50" t="str">
        <f>'Booth detail'!JS2</f>
        <v>ECUED21446</v>
      </c>
      <c r="O643" s="50" t="str">
        <f>'Booth detail'!JT2</f>
        <v>ECUEC57122</v>
      </c>
      <c r="P643" s="50" t="str">
        <f>'Booth detail'!JU2</f>
        <v>ECUEC47962</v>
      </c>
      <c r="Q643" s="196"/>
      <c r="R643" s="196"/>
      <c r="S643" s="196"/>
    </row>
    <row r="644" spans="1:19" ht="39.75" customHeight="1">
      <c r="A644" s="198" t="s">
        <v>20</v>
      </c>
      <c r="B644" s="199"/>
      <c r="C644" s="57" t="str">
        <f>'Booth detail'!JH3</f>
        <v>-</v>
      </c>
      <c r="D644" s="57" t="str">
        <f>'Booth detail'!JI3</f>
        <v>-</v>
      </c>
      <c r="E644" s="57" t="str">
        <f>'Booth detail'!JJ3</f>
        <v>-</v>
      </c>
      <c r="F644" s="57" t="str">
        <f>'Booth detail'!JK3</f>
        <v>-</v>
      </c>
      <c r="G644" s="57" t="str">
        <f>'Booth detail'!JL3</f>
        <v>-</v>
      </c>
      <c r="H644" s="57" t="str">
        <f>'Booth detail'!JM3</f>
        <v>-</v>
      </c>
      <c r="I644" s="57" t="str">
        <f>'Booth detail'!JN3</f>
        <v>-</v>
      </c>
      <c r="J644" s="57" t="str">
        <f>'Booth detail'!JO3</f>
        <v>-</v>
      </c>
      <c r="K644" s="57" t="str">
        <f>'Booth detail'!JP3</f>
        <v>-</v>
      </c>
      <c r="L644" s="57" t="str">
        <f>'Booth detail'!JQ3</f>
        <v>-</v>
      </c>
      <c r="M644" s="57" t="str">
        <f>'Booth detail'!JR3</f>
        <v>-</v>
      </c>
      <c r="N644" s="57" t="str">
        <f>'Booth detail'!JS3</f>
        <v>-</v>
      </c>
      <c r="O644" s="57" t="str">
        <f>'Booth detail'!JT3</f>
        <v>-</v>
      </c>
      <c r="P644" s="57" t="str">
        <f>'Booth detail'!JU3</f>
        <v>-</v>
      </c>
      <c r="Q644" s="196"/>
      <c r="R644" s="196"/>
      <c r="S644" s="196"/>
    </row>
    <row r="645" spans="1:19">
      <c r="A645" s="14" t="s">
        <v>7</v>
      </c>
      <c r="B645" s="32" t="s">
        <v>8</v>
      </c>
      <c r="C645" s="33" t="s">
        <v>9</v>
      </c>
      <c r="D645" s="33" t="s">
        <v>9</v>
      </c>
      <c r="E645" s="33" t="s">
        <v>9</v>
      </c>
      <c r="F645" s="33" t="s">
        <v>9</v>
      </c>
      <c r="G645" s="33" t="s">
        <v>9</v>
      </c>
      <c r="H645" s="33" t="s">
        <v>9</v>
      </c>
      <c r="I645" s="33" t="s">
        <v>9</v>
      </c>
      <c r="J645" s="33" t="s">
        <v>9</v>
      </c>
      <c r="K645" s="33" t="s">
        <v>9</v>
      </c>
      <c r="L645" s="33" t="s">
        <v>9</v>
      </c>
      <c r="M645" s="33" t="s">
        <v>9</v>
      </c>
      <c r="N645" s="33" t="s">
        <v>9</v>
      </c>
      <c r="O645" s="33" t="s">
        <v>9</v>
      </c>
      <c r="P645" s="33" t="s">
        <v>9</v>
      </c>
      <c r="Q645" s="197"/>
      <c r="R645" s="197"/>
      <c r="S645" s="197"/>
    </row>
    <row r="646" spans="1:19" ht="18.75">
      <c r="A646" s="29">
        <v>1</v>
      </c>
      <c r="B646" s="15" t="str">
        <f>'Candidate List'!B2</f>
        <v>Manveer Singh</v>
      </c>
      <c r="C646" s="13">
        <v>303</v>
      </c>
      <c r="D646" s="13">
        <v>386</v>
      </c>
      <c r="E646" s="13">
        <v>202</v>
      </c>
      <c r="F646" s="13">
        <v>415</v>
      </c>
      <c r="G646" s="13">
        <v>82</v>
      </c>
      <c r="H646" s="13">
        <v>124</v>
      </c>
      <c r="I646" s="13">
        <v>7</v>
      </c>
      <c r="J646" s="13">
        <v>6</v>
      </c>
      <c r="K646" s="13">
        <v>16</v>
      </c>
      <c r="L646" s="13">
        <v>18</v>
      </c>
      <c r="M646" s="13">
        <v>68</v>
      </c>
      <c r="N646" s="13">
        <v>44</v>
      </c>
      <c r="O646" s="13">
        <v>4</v>
      </c>
      <c r="P646" s="13">
        <v>36</v>
      </c>
      <c r="Q646" s="30">
        <f>SUM(C646:P646)</f>
        <v>1711</v>
      </c>
      <c r="R646" s="30">
        <f>S613</f>
        <v>21647</v>
      </c>
      <c r="S646" s="30">
        <f>Q646+R646</f>
        <v>23358</v>
      </c>
    </row>
    <row r="647" spans="1:19" ht="18.75">
      <c r="A647" s="29">
        <v>2</v>
      </c>
      <c r="B647" s="15" t="str">
        <f>'Candidate List'!B3</f>
        <v>Rahul Yadav</v>
      </c>
      <c r="C647" s="13">
        <v>151</v>
      </c>
      <c r="D647" s="13">
        <v>43</v>
      </c>
      <c r="E647" s="13">
        <v>95</v>
      </c>
      <c r="F647" s="13">
        <v>12</v>
      </c>
      <c r="G647" s="13">
        <v>14</v>
      </c>
      <c r="H647" s="13">
        <v>197</v>
      </c>
      <c r="I647" s="13">
        <v>29</v>
      </c>
      <c r="J647" s="13">
        <v>9</v>
      </c>
      <c r="K647" s="13">
        <v>15</v>
      </c>
      <c r="L647" s="13">
        <v>25</v>
      </c>
      <c r="M647" s="13">
        <v>9</v>
      </c>
      <c r="N647" s="13">
        <v>430</v>
      </c>
      <c r="O647" s="13">
        <v>63</v>
      </c>
      <c r="P647" s="13">
        <v>585</v>
      </c>
      <c r="Q647" s="30">
        <f t="shared" ref="Q647:Q659" si="76">SUM(C647:P647)</f>
        <v>1677</v>
      </c>
      <c r="R647" s="30">
        <f t="shared" ref="R647:R659" si="77">S614</f>
        <v>64658</v>
      </c>
      <c r="S647" s="30">
        <f t="shared" ref="S647:S659" si="78">Q647+R647</f>
        <v>66335</v>
      </c>
    </row>
    <row r="648" spans="1:19" ht="18.75">
      <c r="A648" s="29">
        <v>3</v>
      </c>
      <c r="B648" s="15" t="str">
        <f>'Candidate List'!B4</f>
        <v>Lakshmi Raj</v>
      </c>
      <c r="C648" s="13">
        <v>59</v>
      </c>
      <c r="D648" s="13">
        <v>96</v>
      </c>
      <c r="E648" s="13">
        <v>221</v>
      </c>
      <c r="F648" s="13">
        <v>76</v>
      </c>
      <c r="G648" s="13">
        <v>358</v>
      </c>
      <c r="H648" s="13">
        <v>184</v>
      </c>
      <c r="I648" s="13">
        <v>766</v>
      </c>
      <c r="J648" s="13">
        <v>498</v>
      </c>
      <c r="K648" s="13">
        <v>416</v>
      </c>
      <c r="L648" s="13">
        <v>699</v>
      </c>
      <c r="M648" s="13">
        <v>191</v>
      </c>
      <c r="N648" s="13">
        <v>33</v>
      </c>
      <c r="O648" s="13">
        <v>396</v>
      </c>
      <c r="P648" s="13">
        <v>2</v>
      </c>
      <c r="Q648" s="30">
        <f t="shared" si="76"/>
        <v>3995</v>
      </c>
      <c r="R648" s="30">
        <f t="shared" si="77"/>
        <v>58234</v>
      </c>
      <c r="S648" s="30">
        <f t="shared" si="78"/>
        <v>62229</v>
      </c>
    </row>
    <row r="649" spans="1:19" ht="18.75">
      <c r="A649" s="29">
        <v>4</v>
      </c>
      <c r="B649" s="15" t="str">
        <f>'Candidate List'!B5</f>
        <v>Saleem Akhtar Khan</v>
      </c>
      <c r="C649" s="13">
        <v>9</v>
      </c>
      <c r="D649" s="13">
        <v>2</v>
      </c>
      <c r="E649" s="13">
        <v>8</v>
      </c>
      <c r="F649" s="13">
        <v>3</v>
      </c>
      <c r="G649" s="13">
        <v>2</v>
      </c>
      <c r="H649" s="13">
        <v>6</v>
      </c>
      <c r="I649" s="13">
        <v>8</v>
      </c>
      <c r="J649" s="13">
        <v>6</v>
      </c>
      <c r="K649" s="13">
        <v>5</v>
      </c>
      <c r="L649" s="13">
        <v>4</v>
      </c>
      <c r="M649" s="13">
        <v>1</v>
      </c>
      <c r="N649" s="13">
        <v>1</v>
      </c>
      <c r="O649" s="13">
        <v>1</v>
      </c>
      <c r="P649" s="13">
        <v>3</v>
      </c>
      <c r="Q649" s="30">
        <f t="shared" si="76"/>
        <v>59</v>
      </c>
      <c r="R649" s="30">
        <f t="shared" si="77"/>
        <v>1280</v>
      </c>
      <c r="S649" s="30">
        <f t="shared" si="78"/>
        <v>1339</v>
      </c>
    </row>
    <row r="650" spans="1:19" ht="18.75">
      <c r="A650" s="29">
        <v>5</v>
      </c>
      <c r="B650" s="15" t="str">
        <f>'Candidate List'!B6</f>
        <v>Ajay Kumar</v>
      </c>
      <c r="C650" s="13">
        <v>2</v>
      </c>
      <c r="D650" s="13">
        <v>0</v>
      </c>
      <c r="E650" s="13">
        <v>1</v>
      </c>
      <c r="F650" s="13">
        <v>0</v>
      </c>
      <c r="G650" s="13">
        <v>4</v>
      </c>
      <c r="H650" s="13">
        <v>1</v>
      </c>
      <c r="I650" s="13">
        <v>0</v>
      </c>
      <c r="J650" s="13">
        <v>0</v>
      </c>
      <c r="K650" s="13">
        <v>0</v>
      </c>
      <c r="L650" s="13">
        <v>0</v>
      </c>
      <c r="M650" s="13">
        <v>2</v>
      </c>
      <c r="N650" s="13">
        <v>1</v>
      </c>
      <c r="O650" s="13">
        <v>0</v>
      </c>
      <c r="P650" s="13">
        <v>0</v>
      </c>
      <c r="Q650" s="30">
        <f t="shared" si="76"/>
        <v>11</v>
      </c>
      <c r="R650" s="30">
        <f t="shared" si="77"/>
        <v>518</v>
      </c>
      <c r="S650" s="30">
        <f t="shared" si="78"/>
        <v>529</v>
      </c>
    </row>
    <row r="651" spans="1:19" ht="18.75">
      <c r="A651" s="29">
        <v>6</v>
      </c>
      <c r="B651" s="15" t="str">
        <f>'Candidate List'!B7</f>
        <v>Ajay Kumar Sharma</v>
      </c>
      <c r="C651" s="13">
        <v>1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1</v>
      </c>
      <c r="O651" s="13">
        <v>0</v>
      </c>
      <c r="P651" s="13">
        <v>0</v>
      </c>
      <c r="Q651" s="30">
        <f t="shared" si="76"/>
        <v>2</v>
      </c>
      <c r="R651" s="30">
        <f t="shared" si="77"/>
        <v>57</v>
      </c>
      <c r="S651" s="30">
        <f t="shared" si="78"/>
        <v>59</v>
      </c>
    </row>
    <row r="652" spans="1:19" ht="18.75">
      <c r="A652" s="29">
        <v>7</v>
      </c>
      <c r="B652" s="15" t="str">
        <f>'Candidate List'!B8</f>
        <v>Amit Singh Tomar</v>
      </c>
      <c r="C652" s="13">
        <v>0</v>
      </c>
      <c r="D652" s="13">
        <v>0</v>
      </c>
      <c r="E652" s="13">
        <v>1</v>
      </c>
      <c r="F652" s="13">
        <v>0</v>
      </c>
      <c r="G652" s="13">
        <v>2</v>
      </c>
      <c r="H652" s="13">
        <v>0</v>
      </c>
      <c r="I652" s="13">
        <v>0</v>
      </c>
      <c r="J652" s="13">
        <v>2</v>
      </c>
      <c r="K652" s="13">
        <v>0</v>
      </c>
      <c r="L652" s="13">
        <v>0</v>
      </c>
      <c r="M652" s="13">
        <v>0</v>
      </c>
      <c r="N652" s="13">
        <v>0</v>
      </c>
      <c r="O652" s="13">
        <v>1</v>
      </c>
      <c r="P652" s="13">
        <v>0</v>
      </c>
      <c r="Q652" s="30">
        <f t="shared" si="76"/>
        <v>6</v>
      </c>
      <c r="R652" s="30">
        <f t="shared" si="77"/>
        <v>104</v>
      </c>
      <c r="S652" s="30">
        <f t="shared" si="78"/>
        <v>110</v>
      </c>
    </row>
    <row r="653" spans="1:19" ht="18.75">
      <c r="A653" s="29">
        <v>8</v>
      </c>
      <c r="B653" s="15" t="str">
        <f>'Candidate List'!B9</f>
        <v>Darshan Sharma</v>
      </c>
      <c r="C653" s="13">
        <v>0</v>
      </c>
      <c r="D653" s="13">
        <v>0</v>
      </c>
      <c r="E653" s="13">
        <v>1</v>
      </c>
      <c r="F653" s="13">
        <v>4</v>
      </c>
      <c r="G653" s="13">
        <v>0</v>
      </c>
      <c r="H653" s="13">
        <v>0</v>
      </c>
      <c r="I653" s="13">
        <v>1</v>
      </c>
      <c r="J653" s="13">
        <v>0</v>
      </c>
      <c r="K653" s="13">
        <v>0</v>
      </c>
      <c r="L653" s="13">
        <v>1</v>
      </c>
      <c r="M653" s="13">
        <v>0</v>
      </c>
      <c r="N653" s="13">
        <v>0</v>
      </c>
      <c r="O653" s="13">
        <v>1</v>
      </c>
      <c r="P653" s="13">
        <v>0</v>
      </c>
      <c r="Q653" s="30">
        <f t="shared" si="76"/>
        <v>8</v>
      </c>
      <c r="R653" s="30">
        <f t="shared" si="77"/>
        <v>203</v>
      </c>
      <c r="S653" s="30">
        <f t="shared" si="78"/>
        <v>211</v>
      </c>
    </row>
    <row r="654" spans="1:19" ht="18.75">
      <c r="A654" s="29">
        <v>9</v>
      </c>
      <c r="B654" s="15" t="str">
        <f>'Candidate List'!B10</f>
        <v>Dilshad Ahmad</v>
      </c>
      <c r="C654" s="13">
        <v>11</v>
      </c>
      <c r="D654" s="13">
        <v>0</v>
      </c>
      <c r="E654" s="13">
        <v>0</v>
      </c>
      <c r="F654" s="13">
        <v>0</v>
      </c>
      <c r="G654" s="13">
        <v>1</v>
      </c>
      <c r="H654" s="13">
        <v>3</v>
      </c>
      <c r="I654" s="13">
        <v>2</v>
      </c>
      <c r="J654" s="13">
        <v>0</v>
      </c>
      <c r="K654" s="13">
        <v>0</v>
      </c>
      <c r="L654" s="13">
        <v>0</v>
      </c>
      <c r="M654" s="13">
        <v>0</v>
      </c>
      <c r="N654" s="13">
        <v>19</v>
      </c>
      <c r="O654" s="13">
        <v>0</v>
      </c>
      <c r="P654" s="13">
        <v>20</v>
      </c>
      <c r="Q654" s="30">
        <f t="shared" si="76"/>
        <v>56</v>
      </c>
      <c r="R654" s="30">
        <f t="shared" si="77"/>
        <v>1191</v>
      </c>
      <c r="S654" s="30">
        <f t="shared" si="78"/>
        <v>1247</v>
      </c>
    </row>
    <row r="655" spans="1:19" ht="18.75">
      <c r="A655" s="29">
        <v>10</v>
      </c>
      <c r="B655" s="15" t="str">
        <f>'Candidate List'!B11</f>
        <v>Raju Thakur</v>
      </c>
      <c r="C655" s="13">
        <v>0</v>
      </c>
      <c r="D655" s="13">
        <v>2</v>
      </c>
      <c r="E655" s="13">
        <v>2</v>
      </c>
      <c r="F655" s="13">
        <v>3</v>
      </c>
      <c r="G655" s="13">
        <v>7</v>
      </c>
      <c r="H655" s="13">
        <v>3</v>
      </c>
      <c r="I655" s="13">
        <v>2</v>
      </c>
      <c r="J655" s="13">
        <v>6</v>
      </c>
      <c r="K655" s="13">
        <v>0</v>
      </c>
      <c r="L655" s="13">
        <v>5</v>
      </c>
      <c r="M655" s="13">
        <v>0</v>
      </c>
      <c r="N655" s="13">
        <v>1</v>
      </c>
      <c r="O655" s="13">
        <v>1</v>
      </c>
      <c r="P655" s="13">
        <v>2</v>
      </c>
      <c r="Q655" s="30">
        <f t="shared" si="76"/>
        <v>34</v>
      </c>
      <c r="R655" s="30">
        <f t="shared" si="77"/>
        <v>692</v>
      </c>
      <c r="S655" s="30">
        <f t="shared" si="78"/>
        <v>726</v>
      </c>
    </row>
    <row r="656" spans="1:19" ht="18.75">
      <c r="A656" s="29">
        <v>11</v>
      </c>
      <c r="B656" s="15" t="str">
        <f>'Candidate List'!B12</f>
        <v>Bablu</v>
      </c>
      <c r="C656" s="13">
        <v>2</v>
      </c>
      <c r="D656" s="13">
        <v>0</v>
      </c>
      <c r="E656" s="13">
        <v>0</v>
      </c>
      <c r="F656" s="13">
        <v>4</v>
      </c>
      <c r="G656" s="13">
        <v>0</v>
      </c>
      <c r="H656" s="13">
        <v>4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3</v>
      </c>
      <c r="O656" s="13">
        <v>0</v>
      </c>
      <c r="P656" s="13">
        <v>2</v>
      </c>
      <c r="Q656" s="30">
        <f t="shared" si="76"/>
        <v>15</v>
      </c>
      <c r="R656" s="30">
        <f t="shared" si="77"/>
        <v>283</v>
      </c>
      <c r="S656" s="30">
        <f t="shared" si="78"/>
        <v>298</v>
      </c>
    </row>
    <row r="657" spans="1:19" ht="18.75">
      <c r="A657" s="29">
        <v>12</v>
      </c>
      <c r="B657" s="15" t="str">
        <f>'Candidate List'!B13</f>
        <v>NOTA</v>
      </c>
      <c r="C657" s="13">
        <v>2</v>
      </c>
      <c r="D657" s="13">
        <v>4</v>
      </c>
      <c r="E657" s="13">
        <v>5</v>
      </c>
      <c r="F657" s="13">
        <v>3</v>
      </c>
      <c r="G657" s="13">
        <v>3</v>
      </c>
      <c r="H657" s="13">
        <v>5</v>
      </c>
      <c r="I657" s="13">
        <v>5</v>
      </c>
      <c r="J657" s="13">
        <v>2</v>
      </c>
      <c r="K657" s="13">
        <v>0</v>
      </c>
      <c r="L657" s="13">
        <v>0</v>
      </c>
      <c r="M657" s="13">
        <v>4</v>
      </c>
      <c r="N657" s="13">
        <v>4</v>
      </c>
      <c r="O657" s="13">
        <v>0</v>
      </c>
      <c r="P657" s="13">
        <v>0</v>
      </c>
      <c r="Q657" s="30">
        <f t="shared" si="76"/>
        <v>37</v>
      </c>
      <c r="R657" s="30">
        <f t="shared" si="77"/>
        <v>626</v>
      </c>
      <c r="S657" s="30">
        <f t="shared" si="78"/>
        <v>663</v>
      </c>
    </row>
    <row r="658" spans="1:19">
      <c r="A658" s="187" t="s">
        <v>11</v>
      </c>
      <c r="B658" s="187"/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30">
        <f t="shared" si="76"/>
        <v>0</v>
      </c>
      <c r="R658" s="30">
        <f t="shared" si="77"/>
        <v>0</v>
      </c>
      <c r="S658" s="30">
        <f t="shared" si="78"/>
        <v>0</v>
      </c>
    </row>
    <row r="659" spans="1:19">
      <c r="A659" s="188" t="s">
        <v>12</v>
      </c>
      <c r="B659" s="188"/>
      <c r="C659" s="30">
        <f t="shared" ref="C659:P659" si="79">SUM(C646:C658)</f>
        <v>540</v>
      </c>
      <c r="D659" s="30">
        <f t="shared" si="79"/>
        <v>533</v>
      </c>
      <c r="E659" s="30">
        <f t="shared" si="79"/>
        <v>536</v>
      </c>
      <c r="F659" s="30">
        <f t="shared" si="79"/>
        <v>520</v>
      </c>
      <c r="G659" s="30">
        <f t="shared" si="79"/>
        <v>473</v>
      </c>
      <c r="H659" s="30">
        <f t="shared" si="79"/>
        <v>527</v>
      </c>
      <c r="I659" s="30">
        <f t="shared" si="79"/>
        <v>820</v>
      </c>
      <c r="J659" s="30">
        <f t="shared" si="79"/>
        <v>529</v>
      </c>
      <c r="K659" s="30">
        <f t="shared" si="79"/>
        <v>452</v>
      </c>
      <c r="L659" s="30">
        <f t="shared" si="79"/>
        <v>752</v>
      </c>
      <c r="M659" s="30">
        <f t="shared" si="79"/>
        <v>275</v>
      </c>
      <c r="N659" s="30">
        <f t="shared" si="79"/>
        <v>537</v>
      </c>
      <c r="O659" s="30">
        <f t="shared" si="79"/>
        <v>467</v>
      </c>
      <c r="P659" s="30">
        <f t="shared" si="79"/>
        <v>650</v>
      </c>
      <c r="Q659" s="30">
        <f t="shared" si="76"/>
        <v>7611</v>
      </c>
      <c r="R659" s="30">
        <f t="shared" si="77"/>
        <v>149493</v>
      </c>
      <c r="S659" s="30">
        <f t="shared" si="78"/>
        <v>157104</v>
      </c>
    </row>
    <row r="660" spans="1:19" ht="42.75" customHeight="1">
      <c r="A660" s="5"/>
      <c r="B660" s="5"/>
      <c r="C660" s="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8"/>
      <c r="R660" s="7"/>
      <c r="S660" s="7"/>
    </row>
    <row r="661" spans="1:19" ht="22.5">
      <c r="A661" s="31"/>
      <c r="B661" s="31"/>
      <c r="C661" s="10" t="s">
        <v>13</v>
      </c>
      <c r="D661" s="10" t="s">
        <v>13</v>
      </c>
      <c r="E661" s="10" t="s">
        <v>13</v>
      </c>
      <c r="F661" s="10" t="s">
        <v>13</v>
      </c>
      <c r="G661" s="10" t="s">
        <v>13</v>
      </c>
      <c r="H661" s="10" t="s">
        <v>13</v>
      </c>
      <c r="I661" s="10" t="s">
        <v>13</v>
      </c>
      <c r="J661" s="10" t="s">
        <v>13</v>
      </c>
      <c r="K661" s="10" t="s">
        <v>13</v>
      </c>
      <c r="L661" s="10" t="s">
        <v>13</v>
      </c>
      <c r="M661" s="10" t="s">
        <v>13</v>
      </c>
      <c r="N661" s="10" t="s">
        <v>13</v>
      </c>
      <c r="O661" s="10" t="s">
        <v>13</v>
      </c>
      <c r="P661" s="10" t="s">
        <v>13</v>
      </c>
      <c r="Q661" s="10" t="s">
        <v>13</v>
      </c>
      <c r="R661" s="10" t="s">
        <v>13</v>
      </c>
      <c r="S661" s="10" t="s">
        <v>13</v>
      </c>
    </row>
    <row r="662" spans="1:19" ht="38.25" customHeight="1">
      <c r="A662" s="31"/>
      <c r="B662" s="3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 ht="22.5">
      <c r="A663" s="31"/>
      <c r="B663" s="31"/>
      <c r="C663" s="10" t="s">
        <v>14</v>
      </c>
      <c r="D663" s="10" t="s">
        <v>14</v>
      </c>
      <c r="E663" s="10" t="s">
        <v>14</v>
      </c>
      <c r="F663" s="10" t="s">
        <v>14</v>
      </c>
      <c r="G663" s="10" t="s">
        <v>14</v>
      </c>
      <c r="H663" s="10" t="s">
        <v>14</v>
      </c>
      <c r="I663" s="10" t="s">
        <v>14</v>
      </c>
      <c r="J663" s="10" t="s">
        <v>14</v>
      </c>
      <c r="K663" s="10" t="s">
        <v>14</v>
      </c>
      <c r="L663" s="10" t="s">
        <v>14</v>
      </c>
      <c r="M663" s="10" t="s">
        <v>14</v>
      </c>
      <c r="N663" s="10" t="s">
        <v>14</v>
      </c>
      <c r="O663" s="10" t="s">
        <v>14</v>
      </c>
      <c r="P663" s="10" t="s">
        <v>14</v>
      </c>
      <c r="Q663" s="10" t="s">
        <v>14</v>
      </c>
      <c r="R663" s="10" t="s">
        <v>14</v>
      </c>
      <c r="S663" s="10" t="s">
        <v>14</v>
      </c>
    </row>
    <row r="664" spans="1:19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</row>
    <row r="665" spans="1:19">
      <c r="A665" s="189" t="s">
        <v>15</v>
      </c>
      <c r="B665" s="189"/>
      <c r="C665" s="164" t="s">
        <v>16</v>
      </c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31"/>
      <c r="S665" s="31"/>
    </row>
    <row r="666" spans="1:19">
      <c r="A666" s="31"/>
      <c r="B666" s="31"/>
      <c r="C666" s="164" t="s">
        <v>17</v>
      </c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31"/>
      <c r="S666" s="31"/>
    </row>
    <row r="667" spans="1:19">
      <c r="A667" s="31"/>
      <c r="B667" s="31"/>
      <c r="C667" s="164" t="s">
        <v>44</v>
      </c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31"/>
      <c r="S667" s="31"/>
    </row>
    <row r="668" spans="1:19">
      <c r="A668" s="31"/>
      <c r="B668" s="31"/>
      <c r="C668" s="164" t="s">
        <v>45</v>
      </c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31"/>
      <c r="S668" s="31"/>
    </row>
    <row r="673" spans="1:19" ht="26.25">
      <c r="A673" s="190" t="s">
        <v>0</v>
      </c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</row>
    <row r="674" spans="1:19" ht="19.5">
      <c r="A674" s="191" t="s">
        <v>1225</v>
      </c>
      <c r="B674" s="191"/>
      <c r="C674" s="191"/>
      <c r="D674" s="191"/>
      <c r="E674" s="191"/>
      <c r="F674" s="191"/>
      <c r="G674" s="191"/>
      <c r="H674" s="191"/>
      <c r="I674" s="1"/>
      <c r="J674" s="1"/>
      <c r="K674" s="192" t="s">
        <v>40</v>
      </c>
      <c r="L674" s="192"/>
      <c r="M674" s="192"/>
      <c r="N674" s="192"/>
      <c r="O674" s="1"/>
      <c r="P674" s="193" t="s">
        <v>1</v>
      </c>
      <c r="Q674" s="193"/>
      <c r="R674" s="194">
        <v>44630</v>
      </c>
      <c r="S674" s="194"/>
    </row>
    <row r="675" spans="1:19">
      <c r="A675" s="188" t="s">
        <v>2</v>
      </c>
      <c r="B675" s="188"/>
      <c r="C675" s="30">
        <v>1</v>
      </c>
      <c r="D675" s="30">
        <v>2</v>
      </c>
      <c r="E675" s="30">
        <v>3</v>
      </c>
      <c r="F675" s="30">
        <v>4</v>
      </c>
      <c r="G675" s="30">
        <v>5</v>
      </c>
      <c r="H675" s="30">
        <v>6</v>
      </c>
      <c r="I675" s="30">
        <v>7</v>
      </c>
      <c r="J675" s="30">
        <v>8</v>
      </c>
      <c r="K675" s="30">
        <v>9</v>
      </c>
      <c r="L675" s="30">
        <v>10</v>
      </c>
      <c r="M675" s="30">
        <v>11</v>
      </c>
      <c r="N675" s="30">
        <v>12</v>
      </c>
      <c r="O675" s="30">
        <v>13</v>
      </c>
      <c r="P675" s="30">
        <v>14</v>
      </c>
      <c r="Q675" s="195" t="s">
        <v>3</v>
      </c>
      <c r="R675" s="195" t="s">
        <v>4</v>
      </c>
      <c r="S675" s="195" t="s">
        <v>5</v>
      </c>
    </row>
    <row r="676" spans="1:19">
      <c r="A676" s="165" t="s">
        <v>6</v>
      </c>
      <c r="B676" s="167"/>
      <c r="C676" s="40">
        <f>'Booth detail'!JV1</f>
        <v>281</v>
      </c>
      <c r="D676" s="40">
        <f>'Booth detail'!JW1</f>
        <v>282</v>
      </c>
      <c r="E676" s="40">
        <f>'Booth detail'!JX1</f>
        <v>283</v>
      </c>
      <c r="F676" s="40">
        <f>'Booth detail'!JY1</f>
        <v>284</v>
      </c>
      <c r="G676" s="40">
        <f>'Booth detail'!JZ1</f>
        <v>285</v>
      </c>
      <c r="H676" s="40">
        <f>'Booth detail'!KA1</f>
        <v>286</v>
      </c>
      <c r="I676" s="40">
        <f>'Booth detail'!KB1</f>
        <v>287</v>
      </c>
      <c r="J676" s="40">
        <f>'Booth detail'!KC1</f>
        <v>288</v>
      </c>
      <c r="K676" s="40">
        <f>'Booth detail'!KD1</f>
        <v>289</v>
      </c>
      <c r="L676" s="40">
        <f>'Booth detail'!KE1</f>
        <v>290</v>
      </c>
      <c r="M676" s="40">
        <f>'Booth detail'!KF1</f>
        <v>291</v>
      </c>
      <c r="N676" s="40">
        <f>'Booth detail'!KG1</f>
        <v>292</v>
      </c>
      <c r="O676" s="40">
        <f>'Booth detail'!KH1</f>
        <v>293</v>
      </c>
      <c r="P676" s="40">
        <f>'Booth detail'!KI1</f>
        <v>294</v>
      </c>
      <c r="Q676" s="196"/>
      <c r="R676" s="196"/>
      <c r="S676" s="196"/>
    </row>
    <row r="677" spans="1:19" ht="25.5">
      <c r="A677" s="165" t="s">
        <v>18</v>
      </c>
      <c r="B677" s="167"/>
      <c r="C677" s="44" t="str">
        <f>'Booth detail'!JV2</f>
        <v>ECUEC51319</v>
      </c>
      <c r="D677" s="44" t="str">
        <f>'Booth detail'!JW2</f>
        <v>ECUEC51268</v>
      </c>
      <c r="E677" s="44" t="str">
        <f>'Booth detail'!JX2</f>
        <v>ECUED23812</v>
      </c>
      <c r="F677" s="44" t="str">
        <f>'Booth detail'!JY2</f>
        <v>ECUEC51177</v>
      </c>
      <c r="G677" s="44" t="str">
        <f>'Booth detail'!JZ2</f>
        <v>ECUED29285</v>
      </c>
      <c r="H677" s="44" t="str">
        <f>'Booth detail'!KA2</f>
        <v>ECUEC51296</v>
      </c>
      <c r="I677" s="44" t="str">
        <f>'Booth detail'!KB2</f>
        <v>ECUEC67335</v>
      </c>
      <c r="J677" s="44" t="str">
        <f>'Booth detail'!KC2</f>
        <v>ECUEC50126</v>
      </c>
      <c r="K677" s="44" t="str">
        <f>'Booth detail'!KD2</f>
        <v>ECUEC52620</v>
      </c>
      <c r="L677" s="44" t="str">
        <f>'Booth detail'!KE2</f>
        <v>ECUEC50745</v>
      </c>
      <c r="M677" s="44" t="str">
        <f>'Booth detail'!KF2</f>
        <v>ECUEC50178</v>
      </c>
      <c r="N677" s="44" t="str">
        <f>'Booth detail'!KG2</f>
        <v>ECUEC67981</v>
      </c>
      <c r="O677" s="44" t="str">
        <f>'Booth detail'!KH2</f>
        <v>ECUEC48796</v>
      </c>
      <c r="P677" s="44" t="str">
        <f>'Booth detail'!KI2</f>
        <v>ECUEC57308</v>
      </c>
      <c r="Q677" s="196"/>
      <c r="R677" s="196"/>
      <c r="S677" s="196"/>
    </row>
    <row r="678" spans="1:19" ht="45" customHeight="1">
      <c r="A678" s="198" t="s">
        <v>20</v>
      </c>
      <c r="B678" s="199"/>
      <c r="C678" s="55" t="str">
        <f>'Booth detail'!JV3</f>
        <v>-</v>
      </c>
      <c r="D678" s="55" t="str">
        <f>'Booth detail'!JW3</f>
        <v>-</v>
      </c>
      <c r="E678" s="55" t="str">
        <f>'Booth detail'!JX3</f>
        <v>-</v>
      </c>
      <c r="F678" s="55" t="str">
        <f>'Booth detail'!JY3</f>
        <v>-</v>
      </c>
      <c r="G678" s="55" t="str">
        <f>'Booth detail'!JZ3</f>
        <v>-</v>
      </c>
      <c r="H678" s="55" t="str">
        <f>'Booth detail'!KA3</f>
        <v>-</v>
      </c>
      <c r="I678" s="55" t="str">
        <f>'Booth detail'!KB3</f>
        <v>-</v>
      </c>
      <c r="J678" s="55" t="str">
        <f>'Booth detail'!KC3</f>
        <v>-</v>
      </c>
      <c r="K678" s="55" t="str">
        <f>'Booth detail'!KD3</f>
        <v>-</v>
      </c>
      <c r="L678" s="55" t="str">
        <f>'Booth detail'!KE3</f>
        <v>-</v>
      </c>
      <c r="M678" s="55" t="str">
        <f>'Booth detail'!KF3</f>
        <v>-</v>
      </c>
      <c r="N678" s="55" t="str">
        <f>'Booth detail'!KG3</f>
        <v>-</v>
      </c>
      <c r="O678" s="55" t="str">
        <f>'Booth detail'!KH3</f>
        <v>-</v>
      </c>
      <c r="P678" s="55" t="str">
        <f>'Booth detail'!KI3</f>
        <v>-</v>
      </c>
      <c r="Q678" s="196"/>
      <c r="R678" s="196"/>
      <c r="S678" s="196"/>
    </row>
    <row r="679" spans="1:19">
      <c r="A679" s="14" t="s">
        <v>7</v>
      </c>
      <c r="B679" s="38" t="s">
        <v>8</v>
      </c>
      <c r="C679" s="33" t="s">
        <v>9</v>
      </c>
      <c r="D679" s="33" t="s">
        <v>9</v>
      </c>
      <c r="E679" s="33" t="s">
        <v>9</v>
      </c>
      <c r="F679" s="33" t="s">
        <v>9</v>
      </c>
      <c r="G679" s="33" t="s">
        <v>9</v>
      </c>
      <c r="H679" s="33" t="s">
        <v>9</v>
      </c>
      <c r="I679" s="33" t="s">
        <v>9</v>
      </c>
      <c r="J679" s="33" t="s">
        <v>9</v>
      </c>
      <c r="K679" s="33" t="s">
        <v>9</v>
      </c>
      <c r="L679" s="33" t="s">
        <v>9</v>
      </c>
      <c r="M679" s="33" t="s">
        <v>9</v>
      </c>
      <c r="N679" s="33" t="s">
        <v>9</v>
      </c>
      <c r="O679" s="33" t="s">
        <v>9</v>
      </c>
      <c r="P679" s="33" t="s">
        <v>9</v>
      </c>
      <c r="Q679" s="197"/>
      <c r="R679" s="197"/>
      <c r="S679" s="197"/>
    </row>
    <row r="680" spans="1:19" ht="18.75">
      <c r="A680" s="29">
        <v>1</v>
      </c>
      <c r="B680" s="15" t="str">
        <f>'Candidate List'!B2</f>
        <v>Manveer Singh</v>
      </c>
      <c r="C680" s="13">
        <v>61</v>
      </c>
      <c r="D680" s="13">
        <v>7</v>
      </c>
      <c r="E680" s="13">
        <v>11</v>
      </c>
      <c r="F680" s="13">
        <v>7</v>
      </c>
      <c r="G680" s="13">
        <v>12</v>
      </c>
      <c r="H680" s="13">
        <v>24</v>
      </c>
      <c r="I680" s="13">
        <v>34</v>
      </c>
      <c r="J680" s="13">
        <v>9</v>
      </c>
      <c r="K680" s="13">
        <v>12</v>
      </c>
      <c r="L680" s="13">
        <v>12</v>
      </c>
      <c r="M680" s="13">
        <v>17</v>
      </c>
      <c r="N680" s="13">
        <v>33</v>
      </c>
      <c r="O680" s="13">
        <v>64</v>
      </c>
      <c r="P680" s="13">
        <v>453</v>
      </c>
      <c r="Q680" s="30">
        <f>SUM(C680:P680)</f>
        <v>756</v>
      </c>
      <c r="R680" s="30">
        <f>S646</f>
        <v>23358</v>
      </c>
      <c r="S680" s="30">
        <f>Q680+R680</f>
        <v>24114</v>
      </c>
    </row>
    <row r="681" spans="1:19" ht="18.75">
      <c r="A681" s="29">
        <v>2</v>
      </c>
      <c r="B681" s="15" t="str">
        <f>'Candidate List'!B3</f>
        <v>Rahul Yadav</v>
      </c>
      <c r="C681" s="13">
        <v>702</v>
      </c>
      <c r="D681" s="13">
        <v>532</v>
      </c>
      <c r="E681" s="13">
        <v>587</v>
      </c>
      <c r="F681" s="13">
        <v>135</v>
      </c>
      <c r="G681" s="13">
        <v>478</v>
      </c>
      <c r="H681" s="13">
        <v>377</v>
      </c>
      <c r="I681" s="13">
        <v>84</v>
      </c>
      <c r="J681" s="13">
        <v>430</v>
      </c>
      <c r="K681" s="13">
        <v>39</v>
      </c>
      <c r="L681" s="13">
        <v>46</v>
      </c>
      <c r="M681" s="13">
        <v>23</v>
      </c>
      <c r="N681" s="13">
        <v>25</v>
      </c>
      <c r="O681" s="13">
        <v>15</v>
      </c>
      <c r="P681" s="13">
        <v>101</v>
      </c>
      <c r="Q681" s="30">
        <f t="shared" ref="Q681:Q693" si="80">SUM(C681:P681)</f>
        <v>3574</v>
      </c>
      <c r="R681" s="30">
        <f t="shared" ref="R681:R693" si="81">S647</f>
        <v>66335</v>
      </c>
      <c r="S681" s="30">
        <f t="shared" ref="S681:S693" si="82">Q681+R681</f>
        <v>69909</v>
      </c>
    </row>
    <row r="682" spans="1:19" ht="18.75">
      <c r="A682" s="29">
        <v>3</v>
      </c>
      <c r="B682" s="15" t="str">
        <f>'Candidate List'!B4</f>
        <v>Lakshmi Raj</v>
      </c>
      <c r="C682" s="13">
        <v>27</v>
      </c>
      <c r="D682" s="13">
        <v>3</v>
      </c>
      <c r="E682" s="13">
        <v>12</v>
      </c>
      <c r="F682" s="13">
        <v>484</v>
      </c>
      <c r="G682" s="13">
        <v>27</v>
      </c>
      <c r="H682" s="13">
        <v>159</v>
      </c>
      <c r="I682" s="13">
        <v>582</v>
      </c>
      <c r="J682" s="13">
        <v>34</v>
      </c>
      <c r="K682" s="13">
        <v>742</v>
      </c>
      <c r="L682" s="13">
        <v>603</v>
      </c>
      <c r="M682" s="13">
        <v>523</v>
      </c>
      <c r="N682" s="13">
        <v>483</v>
      </c>
      <c r="O682" s="13">
        <v>317</v>
      </c>
      <c r="P682" s="13">
        <v>119</v>
      </c>
      <c r="Q682" s="30">
        <f t="shared" si="80"/>
        <v>4115</v>
      </c>
      <c r="R682" s="30">
        <f t="shared" si="81"/>
        <v>62229</v>
      </c>
      <c r="S682" s="30">
        <f t="shared" si="82"/>
        <v>66344</v>
      </c>
    </row>
    <row r="683" spans="1:19" ht="18.75">
      <c r="A683" s="29">
        <v>4</v>
      </c>
      <c r="B683" s="15" t="str">
        <f>'Candidate List'!B5</f>
        <v>Saleem Akhtar Khan</v>
      </c>
      <c r="C683" s="13">
        <v>32</v>
      </c>
      <c r="D683" s="13">
        <v>4</v>
      </c>
      <c r="E683" s="13">
        <v>9</v>
      </c>
      <c r="F683" s="13">
        <v>2</v>
      </c>
      <c r="G683" s="13">
        <v>7</v>
      </c>
      <c r="H683" s="13">
        <v>6</v>
      </c>
      <c r="I683" s="13">
        <v>2</v>
      </c>
      <c r="J683" s="13">
        <v>1</v>
      </c>
      <c r="K683" s="13">
        <v>1</v>
      </c>
      <c r="L683" s="13">
        <v>3</v>
      </c>
      <c r="M683" s="13">
        <v>1</v>
      </c>
      <c r="N683" s="13">
        <v>7</v>
      </c>
      <c r="O683" s="13">
        <v>1</v>
      </c>
      <c r="P683" s="13">
        <v>2</v>
      </c>
      <c r="Q683" s="30">
        <f t="shared" si="80"/>
        <v>78</v>
      </c>
      <c r="R683" s="30">
        <f t="shared" si="81"/>
        <v>1339</v>
      </c>
      <c r="S683" s="30">
        <f t="shared" si="82"/>
        <v>1417</v>
      </c>
    </row>
    <row r="684" spans="1:19" ht="18.75">
      <c r="A684" s="29">
        <v>5</v>
      </c>
      <c r="B684" s="15" t="str">
        <f>'Candidate List'!B6</f>
        <v>Ajay Kumar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3</v>
      </c>
      <c r="J684" s="13">
        <v>0</v>
      </c>
      <c r="K684" s="13">
        <v>1</v>
      </c>
      <c r="L684" s="13">
        <v>0</v>
      </c>
      <c r="M684" s="13">
        <v>0</v>
      </c>
      <c r="N684" s="13">
        <v>3</v>
      </c>
      <c r="O684" s="13">
        <v>0</v>
      </c>
      <c r="P684" s="13">
        <v>4</v>
      </c>
      <c r="Q684" s="30">
        <f t="shared" si="80"/>
        <v>11</v>
      </c>
      <c r="R684" s="30">
        <f t="shared" si="81"/>
        <v>529</v>
      </c>
      <c r="S684" s="30">
        <f t="shared" si="82"/>
        <v>540</v>
      </c>
    </row>
    <row r="685" spans="1:19" ht="18.75">
      <c r="A685" s="29">
        <v>6</v>
      </c>
      <c r="B685" s="15" t="str">
        <f>'Candidate List'!B7</f>
        <v>Ajay Kumar Sharma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2</v>
      </c>
      <c r="O685" s="13">
        <v>1</v>
      </c>
      <c r="P685" s="13">
        <v>1</v>
      </c>
      <c r="Q685" s="30">
        <f t="shared" si="80"/>
        <v>4</v>
      </c>
      <c r="R685" s="30">
        <f t="shared" si="81"/>
        <v>59</v>
      </c>
      <c r="S685" s="30">
        <f t="shared" si="82"/>
        <v>63</v>
      </c>
    </row>
    <row r="686" spans="1:19" ht="18.75">
      <c r="A686" s="29">
        <v>7</v>
      </c>
      <c r="B686" s="15" t="str">
        <f>'Candidate List'!B8</f>
        <v>Amit Singh Tomar</v>
      </c>
      <c r="C686" s="13">
        <v>3</v>
      </c>
      <c r="D686" s="13">
        <v>0</v>
      </c>
      <c r="E686" s="13">
        <v>1</v>
      </c>
      <c r="F686" s="13">
        <v>0</v>
      </c>
      <c r="G686" s="13">
        <v>0</v>
      </c>
      <c r="H686" s="13">
        <v>0</v>
      </c>
      <c r="I686" s="13">
        <v>0</v>
      </c>
      <c r="J686" s="13">
        <v>1</v>
      </c>
      <c r="K686" s="13">
        <v>0</v>
      </c>
      <c r="L686" s="13">
        <v>0</v>
      </c>
      <c r="M686" s="13">
        <v>1</v>
      </c>
      <c r="N686" s="13">
        <v>1</v>
      </c>
      <c r="O686" s="13">
        <v>1</v>
      </c>
      <c r="P686" s="13">
        <v>1</v>
      </c>
      <c r="Q686" s="30">
        <f t="shared" si="80"/>
        <v>9</v>
      </c>
      <c r="R686" s="30">
        <f t="shared" si="81"/>
        <v>110</v>
      </c>
      <c r="S686" s="30">
        <f t="shared" si="82"/>
        <v>119</v>
      </c>
    </row>
    <row r="687" spans="1:19" ht="18.75">
      <c r="A687" s="29">
        <v>8</v>
      </c>
      <c r="B687" s="15" t="str">
        <f>'Candidate List'!B9</f>
        <v>Darshan Sharma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3</v>
      </c>
      <c r="I687" s="13">
        <v>1</v>
      </c>
      <c r="J687" s="13">
        <v>0</v>
      </c>
      <c r="K687" s="13">
        <v>0</v>
      </c>
      <c r="L687" s="13">
        <v>0</v>
      </c>
      <c r="M687" s="13">
        <v>0</v>
      </c>
      <c r="N687" s="13">
        <v>4</v>
      </c>
      <c r="O687" s="13">
        <v>0</v>
      </c>
      <c r="P687" s="13">
        <v>2</v>
      </c>
      <c r="Q687" s="30">
        <f t="shared" si="80"/>
        <v>10</v>
      </c>
      <c r="R687" s="30">
        <f t="shared" si="81"/>
        <v>211</v>
      </c>
      <c r="S687" s="30">
        <f t="shared" si="82"/>
        <v>221</v>
      </c>
    </row>
    <row r="688" spans="1:19" ht="18.75">
      <c r="A688" s="29">
        <v>9</v>
      </c>
      <c r="B688" s="15" t="str">
        <f>'Candidate List'!B10</f>
        <v>Dilshad Ahmad</v>
      </c>
      <c r="C688" s="13">
        <v>19</v>
      </c>
      <c r="D688" s="13">
        <v>34</v>
      </c>
      <c r="E688" s="13">
        <v>13</v>
      </c>
      <c r="F688" s="13">
        <v>2</v>
      </c>
      <c r="G688" s="13">
        <v>3</v>
      </c>
      <c r="H688" s="13">
        <v>3</v>
      </c>
      <c r="I688" s="13">
        <v>3</v>
      </c>
      <c r="J688" s="13">
        <v>2</v>
      </c>
      <c r="K688" s="13">
        <v>0</v>
      </c>
      <c r="L688" s="13">
        <v>1</v>
      </c>
      <c r="M688" s="13">
        <v>0</v>
      </c>
      <c r="N688" s="13">
        <v>2</v>
      </c>
      <c r="O688" s="13">
        <v>0</v>
      </c>
      <c r="P688" s="13">
        <v>0</v>
      </c>
      <c r="Q688" s="30">
        <f t="shared" si="80"/>
        <v>82</v>
      </c>
      <c r="R688" s="30">
        <f t="shared" si="81"/>
        <v>1247</v>
      </c>
      <c r="S688" s="30">
        <f t="shared" si="82"/>
        <v>1329</v>
      </c>
    </row>
    <row r="689" spans="1:19" ht="18.75">
      <c r="A689" s="29">
        <v>10</v>
      </c>
      <c r="B689" s="15" t="str">
        <f>'Candidate List'!B11</f>
        <v>Raju Thakur</v>
      </c>
      <c r="C689" s="13">
        <v>5</v>
      </c>
      <c r="D689" s="13">
        <v>1</v>
      </c>
      <c r="E689" s="13">
        <v>2</v>
      </c>
      <c r="F689" s="13">
        <v>2</v>
      </c>
      <c r="G689" s="13">
        <v>3</v>
      </c>
      <c r="H689" s="13">
        <v>1</v>
      </c>
      <c r="I689" s="13">
        <v>5</v>
      </c>
      <c r="J689" s="13">
        <v>1</v>
      </c>
      <c r="K689" s="13">
        <v>2</v>
      </c>
      <c r="L689" s="13">
        <v>5</v>
      </c>
      <c r="M689" s="13">
        <v>2</v>
      </c>
      <c r="N689" s="13">
        <v>5</v>
      </c>
      <c r="O689" s="13">
        <v>2</v>
      </c>
      <c r="P689" s="13">
        <v>3</v>
      </c>
      <c r="Q689" s="30">
        <f t="shared" si="80"/>
        <v>39</v>
      </c>
      <c r="R689" s="30">
        <f t="shared" si="81"/>
        <v>726</v>
      </c>
      <c r="S689" s="30">
        <f t="shared" si="82"/>
        <v>765</v>
      </c>
    </row>
    <row r="690" spans="1:19" ht="18.75">
      <c r="A690" s="29">
        <v>11</v>
      </c>
      <c r="B690" s="15" t="str">
        <f>'Candidate List'!B12</f>
        <v>Bablu</v>
      </c>
      <c r="C690" s="13">
        <v>1</v>
      </c>
      <c r="D690" s="13">
        <v>0</v>
      </c>
      <c r="E690" s="13">
        <v>0</v>
      </c>
      <c r="F690" s="13">
        <v>1</v>
      </c>
      <c r="G690" s="13">
        <v>1</v>
      </c>
      <c r="H690" s="13">
        <v>2</v>
      </c>
      <c r="I690" s="13">
        <v>0</v>
      </c>
      <c r="J690" s="13">
        <v>2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30">
        <f t="shared" si="80"/>
        <v>7</v>
      </c>
      <c r="R690" s="30">
        <f t="shared" si="81"/>
        <v>298</v>
      </c>
      <c r="S690" s="30">
        <f t="shared" si="82"/>
        <v>305</v>
      </c>
    </row>
    <row r="691" spans="1:19" ht="18.75">
      <c r="A691" s="29">
        <v>12</v>
      </c>
      <c r="B691" s="15" t="str">
        <f>'Candidate List'!B13</f>
        <v>NOTA</v>
      </c>
      <c r="C691" s="13">
        <v>3</v>
      </c>
      <c r="D691" s="13">
        <v>1</v>
      </c>
      <c r="E691" s="13">
        <v>2</v>
      </c>
      <c r="F691" s="13">
        <v>1</v>
      </c>
      <c r="G691" s="13">
        <v>4</v>
      </c>
      <c r="H691" s="13">
        <v>0</v>
      </c>
      <c r="I691" s="13">
        <v>2</v>
      </c>
      <c r="J691" s="13">
        <v>2</v>
      </c>
      <c r="K691" s="13">
        <v>1</v>
      </c>
      <c r="L691" s="13">
        <v>6</v>
      </c>
      <c r="M691" s="13">
        <v>2</v>
      </c>
      <c r="N691" s="13">
        <v>2</v>
      </c>
      <c r="O691" s="13">
        <v>0</v>
      </c>
      <c r="P691" s="13">
        <v>4</v>
      </c>
      <c r="Q691" s="30">
        <f t="shared" si="80"/>
        <v>30</v>
      </c>
      <c r="R691" s="30">
        <f t="shared" si="81"/>
        <v>663</v>
      </c>
      <c r="S691" s="30">
        <f t="shared" si="82"/>
        <v>693</v>
      </c>
    </row>
    <row r="692" spans="1:19">
      <c r="A692" s="187" t="s">
        <v>11</v>
      </c>
      <c r="B692" s="187"/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30">
        <f t="shared" si="80"/>
        <v>0</v>
      </c>
      <c r="R692" s="30">
        <f t="shared" si="81"/>
        <v>0</v>
      </c>
      <c r="S692" s="30">
        <f t="shared" si="82"/>
        <v>0</v>
      </c>
    </row>
    <row r="693" spans="1:19">
      <c r="A693" s="188" t="s">
        <v>12</v>
      </c>
      <c r="B693" s="188"/>
      <c r="C693" s="30">
        <f t="shared" ref="C693:P693" si="83">SUM(C680:C692)</f>
        <v>853</v>
      </c>
      <c r="D693" s="30">
        <f t="shared" si="83"/>
        <v>582</v>
      </c>
      <c r="E693" s="30">
        <f t="shared" si="83"/>
        <v>637</v>
      </c>
      <c r="F693" s="30">
        <f t="shared" si="83"/>
        <v>634</v>
      </c>
      <c r="G693" s="30">
        <f t="shared" si="83"/>
        <v>535</v>
      </c>
      <c r="H693" s="30">
        <f t="shared" si="83"/>
        <v>575</v>
      </c>
      <c r="I693" s="30">
        <f t="shared" si="83"/>
        <v>716</v>
      </c>
      <c r="J693" s="30">
        <f t="shared" si="83"/>
        <v>482</v>
      </c>
      <c r="K693" s="30">
        <f t="shared" si="83"/>
        <v>798</v>
      </c>
      <c r="L693" s="30">
        <f t="shared" si="83"/>
        <v>676</v>
      </c>
      <c r="M693" s="30">
        <f t="shared" si="83"/>
        <v>569</v>
      </c>
      <c r="N693" s="30">
        <f t="shared" si="83"/>
        <v>567</v>
      </c>
      <c r="O693" s="30">
        <f t="shared" si="83"/>
        <v>401</v>
      </c>
      <c r="P693" s="30">
        <f t="shared" si="83"/>
        <v>690</v>
      </c>
      <c r="Q693" s="30">
        <f t="shared" si="80"/>
        <v>8715</v>
      </c>
      <c r="R693" s="30">
        <f t="shared" si="81"/>
        <v>157104</v>
      </c>
      <c r="S693" s="30">
        <f t="shared" si="82"/>
        <v>165819</v>
      </c>
    </row>
    <row r="694" spans="1:19" ht="41.25" customHeight="1">
      <c r="A694" s="5"/>
      <c r="B694" s="5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8"/>
      <c r="R694" s="7"/>
      <c r="S694" s="7"/>
    </row>
    <row r="695" spans="1:19" ht="22.5">
      <c r="A695" s="31"/>
      <c r="B695" s="31"/>
      <c r="C695" s="10" t="s">
        <v>13</v>
      </c>
      <c r="D695" s="10" t="s">
        <v>13</v>
      </c>
      <c r="E695" s="10" t="s">
        <v>13</v>
      </c>
      <c r="F695" s="10" t="s">
        <v>13</v>
      </c>
      <c r="G695" s="10" t="s">
        <v>13</v>
      </c>
      <c r="H695" s="10" t="s">
        <v>13</v>
      </c>
      <c r="I695" s="10" t="s">
        <v>13</v>
      </c>
      <c r="J695" s="10" t="s">
        <v>13</v>
      </c>
      <c r="K695" s="10" t="s">
        <v>13</v>
      </c>
      <c r="L695" s="10" t="s">
        <v>13</v>
      </c>
      <c r="M695" s="10" t="s">
        <v>13</v>
      </c>
      <c r="N695" s="10" t="s">
        <v>13</v>
      </c>
      <c r="O695" s="10" t="s">
        <v>13</v>
      </c>
      <c r="P695" s="10" t="s">
        <v>13</v>
      </c>
      <c r="Q695" s="10" t="s">
        <v>13</v>
      </c>
      <c r="R695" s="10" t="s">
        <v>13</v>
      </c>
      <c r="S695" s="10" t="s">
        <v>13</v>
      </c>
    </row>
    <row r="696" spans="1:19" ht="37.5" customHeight="1">
      <c r="A696" s="31"/>
      <c r="B696" s="3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 ht="22.5">
      <c r="A697" s="31"/>
      <c r="B697" s="31"/>
      <c r="C697" s="10" t="s">
        <v>14</v>
      </c>
      <c r="D697" s="10" t="s">
        <v>14</v>
      </c>
      <c r="E697" s="10" t="s">
        <v>14</v>
      </c>
      <c r="F697" s="10" t="s">
        <v>14</v>
      </c>
      <c r="G697" s="10" t="s">
        <v>14</v>
      </c>
      <c r="H697" s="10" t="s">
        <v>14</v>
      </c>
      <c r="I697" s="10" t="s">
        <v>14</v>
      </c>
      <c r="J697" s="10" t="s">
        <v>14</v>
      </c>
      <c r="K697" s="10" t="s">
        <v>14</v>
      </c>
      <c r="L697" s="10" t="s">
        <v>14</v>
      </c>
      <c r="M697" s="10" t="s">
        <v>14</v>
      </c>
      <c r="N697" s="10" t="s">
        <v>14</v>
      </c>
      <c r="O697" s="10" t="s">
        <v>14</v>
      </c>
      <c r="P697" s="10" t="s">
        <v>14</v>
      </c>
      <c r="Q697" s="10" t="s">
        <v>14</v>
      </c>
      <c r="R697" s="10" t="s">
        <v>14</v>
      </c>
      <c r="S697" s="10" t="s">
        <v>14</v>
      </c>
    </row>
    <row r="698" spans="1:19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</row>
    <row r="699" spans="1:19">
      <c r="A699" s="189" t="s">
        <v>15</v>
      </c>
      <c r="B699" s="189"/>
      <c r="C699" s="164" t="s">
        <v>16</v>
      </c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31"/>
      <c r="S699" s="31"/>
    </row>
    <row r="700" spans="1:19">
      <c r="A700" s="31"/>
      <c r="B700" s="31"/>
      <c r="C700" s="164" t="s">
        <v>17</v>
      </c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31"/>
      <c r="S700" s="31"/>
    </row>
    <row r="701" spans="1:19">
      <c r="A701" s="31"/>
      <c r="B701" s="31"/>
      <c r="C701" s="164" t="s">
        <v>44</v>
      </c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31"/>
      <c r="S701" s="31"/>
    </row>
    <row r="702" spans="1:19">
      <c r="A702" s="31"/>
      <c r="B702" s="31"/>
      <c r="C702" s="164" t="s">
        <v>45</v>
      </c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31"/>
      <c r="S702" s="31"/>
    </row>
    <row r="707" spans="1:19" ht="26.25">
      <c r="A707" s="190" t="s">
        <v>0</v>
      </c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</row>
    <row r="708" spans="1:19" ht="19.5">
      <c r="A708" s="191" t="s">
        <v>1225</v>
      </c>
      <c r="B708" s="191"/>
      <c r="C708" s="191"/>
      <c r="D708" s="191"/>
      <c r="E708" s="191"/>
      <c r="F708" s="191"/>
      <c r="G708" s="191"/>
      <c r="H708" s="191"/>
      <c r="I708" s="1"/>
      <c r="J708" s="1"/>
      <c r="K708" s="192" t="s">
        <v>41</v>
      </c>
      <c r="L708" s="192"/>
      <c r="M708" s="192"/>
      <c r="N708" s="192"/>
      <c r="O708" s="1"/>
      <c r="P708" s="193" t="s">
        <v>1</v>
      </c>
      <c r="Q708" s="193"/>
      <c r="R708" s="194">
        <v>44630</v>
      </c>
      <c r="S708" s="194"/>
    </row>
    <row r="709" spans="1:19">
      <c r="A709" s="188" t="s">
        <v>2</v>
      </c>
      <c r="B709" s="188"/>
      <c r="C709" s="30">
        <v>1</v>
      </c>
      <c r="D709" s="30">
        <v>2</v>
      </c>
      <c r="E709" s="30">
        <v>3</v>
      </c>
      <c r="F709" s="30">
        <v>4</v>
      </c>
      <c r="G709" s="30">
        <v>5</v>
      </c>
      <c r="H709" s="30">
        <v>6</v>
      </c>
      <c r="I709" s="30">
        <v>7</v>
      </c>
      <c r="J709" s="30">
        <v>8</v>
      </c>
      <c r="K709" s="30">
        <v>9</v>
      </c>
      <c r="L709" s="30">
        <v>10</v>
      </c>
      <c r="M709" s="30">
        <v>11</v>
      </c>
      <c r="N709" s="30">
        <v>12</v>
      </c>
      <c r="O709" s="30">
        <v>13</v>
      </c>
      <c r="P709" s="30">
        <v>14</v>
      </c>
      <c r="Q709" s="195" t="s">
        <v>3</v>
      </c>
      <c r="R709" s="195" t="s">
        <v>4</v>
      </c>
      <c r="S709" s="195" t="s">
        <v>5</v>
      </c>
    </row>
    <row r="710" spans="1:19">
      <c r="A710" s="165" t="s">
        <v>6</v>
      </c>
      <c r="B710" s="167"/>
      <c r="C710" s="49">
        <f>'Booth detail'!KJ1</f>
        <v>295</v>
      </c>
      <c r="D710" s="49">
        <f>'Booth detail'!KK1</f>
        <v>296</v>
      </c>
      <c r="E710" s="49">
        <f>'Booth detail'!KL1</f>
        <v>297</v>
      </c>
      <c r="F710" s="49">
        <f>'Booth detail'!KM1</f>
        <v>298</v>
      </c>
      <c r="G710" s="49">
        <f>'Booth detail'!KN1</f>
        <v>299</v>
      </c>
      <c r="H710" s="49">
        <f>'Booth detail'!KO1</f>
        <v>300</v>
      </c>
      <c r="I710" s="49">
        <f>'Booth detail'!KP1</f>
        <v>301</v>
      </c>
      <c r="J710" s="49">
        <f>'Booth detail'!KQ1</f>
        <v>302</v>
      </c>
      <c r="K710" s="49">
        <f>'Booth detail'!KR1</f>
        <v>303</v>
      </c>
      <c r="L710" s="49">
        <f>'Booth detail'!KS1</f>
        <v>304</v>
      </c>
      <c r="M710" s="49">
        <f>'Booth detail'!KT1</f>
        <v>305</v>
      </c>
      <c r="N710" s="49">
        <f>'Booth detail'!KU1</f>
        <v>306</v>
      </c>
      <c r="O710" s="49">
        <f>'Booth detail'!KV1</f>
        <v>307</v>
      </c>
      <c r="P710" s="49">
        <f>'Booth detail'!KW1</f>
        <v>308</v>
      </c>
      <c r="Q710" s="196"/>
      <c r="R710" s="196"/>
      <c r="S710" s="196"/>
    </row>
    <row r="711" spans="1:19" ht="25.5">
      <c r="A711" s="165" t="s">
        <v>18</v>
      </c>
      <c r="B711" s="167"/>
      <c r="C711" s="50" t="str">
        <f>'Booth detail'!KJ2</f>
        <v>ECUEC67959</v>
      </c>
      <c r="D711" s="50" t="str">
        <f>'Booth detail'!KK2</f>
        <v>ECUEC52485</v>
      </c>
      <c r="E711" s="50" t="str">
        <f>'Booth detail'!KL2</f>
        <v>ECUEC57980</v>
      </c>
      <c r="F711" s="50" t="str">
        <f>'Booth detail'!KM2</f>
        <v>ECUEC57741</v>
      </c>
      <c r="G711" s="50" t="str">
        <f>'Booth detail'!KN2</f>
        <v>ECUEC67245</v>
      </c>
      <c r="H711" s="50" t="str">
        <f>'Booth detail'!KO2</f>
        <v>ECUEC53767</v>
      </c>
      <c r="I711" s="50" t="str">
        <f>'Booth detail'!KP2</f>
        <v>ECUEC64418</v>
      </c>
      <c r="J711" s="50" t="str">
        <f>'Booth detail'!KQ2</f>
        <v>ECUEC63590</v>
      </c>
      <c r="K711" s="50" t="str">
        <f>'Booth detail'!KR2</f>
        <v>ECUEC60594</v>
      </c>
      <c r="L711" s="50" t="str">
        <f>'Booth detail'!KS2</f>
        <v>ECUEC47807</v>
      </c>
      <c r="M711" s="50" t="str">
        <f>'Booth detail'!KT2</f>
        <v>ECUEC52759</v>
      </c>
      <c r="N711" s="50" t="str">
        <f>'Booth detail'!KU2</f>
        <v>ECUEC53030</v>
      </c>
      <c r="O711" s="50" t="str">
        <f>'Booth detail'!KV2</f>
        <v>ECUEC57548</v>
      </c>
      <c r="P711" s="50" t="str">
        <f>'Booth detail'!KW2</f>
        <v>ECUEC67570</v>
      </c>
      <c r="Q711" s="196"/>
      <c r="R711" s="196"/>
      <c r="S711" s="196"/>
    </row>
    <row r="712" spans="1:19" ht="39.75" customHeight="1">
      <c r="A712" s="198" t="s">
        <v>20</v>
      </c>
      <c r="B712" s="199"/>
      <c r="C712" s="65" t="str">
        <f>'Booth detail'!KJ3</f>
        <v>-</v>
      </c>
      <c r="D712" s="65" t="str">
        <f>'Booth detail'!KK3</f>
        <v>-</v>
      </c>
      <c r="E712" s="65" t="str">
        <f>'Booth detail'!KL3</f>
        <v>-</v>
      </c>
      <c r="F712" s="65" t="str">
        <f>'Booth detail'!KM3</f>
        <v>-</v>
      </c>
      <c r="G712" s="65" t="str">
        <f>'Booth detail'!KN3</f>
        <v>-</v>
      </c>
      <c r="H712" s="65" t="str">
        <f>'Booth detail'!KO3</f>
        <v>-</v>
      </c>
      <c r="I712" s="65" t="str">
        <f>'Booth detail'!KP3</f>
        <v>-</v>
      </c>
      <c r="J712" s="65" t="str">
        <f>'Booth detail'!KQ3</f>
        <v>-</v>
      </c>
      <c r="K712" s="65" t="str">
        <f>'Booth detail'!KR3</f>
        <v>-</v>
      </c>
      <c r="L712" s="65" t="str">
        <f>'Booth detail'!KS3</f>
        <v>-</v>
      </c>
      <c r="M712" s="65" t="str">
        <f>'Booth detail'!KT3</f>
        <v>-</v>
      </c>
      <c r="N712" s="65" t="str">
        <f>'Booth detail'!KU3</f>
        <v>-</v>
      </c>
      <c r="O712" s="65" t="str">
        <f>'Booth detail'!KV3</f>
        <v>-</v>
      </c>
      <c r="P712" s="65" t="str">
        <f>'Booth detail'!KW3</f>
        <v>-</v>
      </c>
      <c r="Q712" s="196"/>
      <c r="R712" s="196"/>
      <c r="S712" s="196"/>
    </row>
    <row r="713" spans="1:19">
      <c r="A713" s="14" t="s">
        <v>7</v>
      </c>
      <c r="B713" s="32" t="s">
        <v>8</v>
      </c>
      <c r="C713" s="33" t="s">
        <v>9</v>
      </c>
      <c r="D713" s="33" t="s">
        <v>9</v>
      </c>
      <c r="E713" s="33" t="s">
        <v>9</v>
      </c>
      <c r="F713" s="33" t="s">
        <v>9</v>
      </c>
      <c r="G713" s="33" t="s">
        <v>9</v>
      </c>
      <c r="H713" s="33" t="s">
        <v>9</v>
      </c>
      <c r="I713" s="33" t="s">
        <v>9</v>
      </c>
      <c r="J713" s="33" t="s">
        <v>9</v>
      </c>
      <c r="K713" s="33" t="s">
        <v>9</v>
      </c>
      <c r="L713" s="33" t="s">
        <v>9</v>
      </c>
      <c r="M713" s="33" t="s">
        <v>9</v>
      </c>
      <c r="N713" s="33" t="s">
        <v>9</v>
      </c>
      <c r="O713" s="33" t="s">
        <v>9</v>
      </c>
      <c r="P713" s="33" t="s">
        <v>9</v>
      </c>
      <c r="Q713" s="197"/>
      <c r="R713" s="197"/>
      <c r="S713" s="197"/>
    </row>
    <row r="714" spans="1:19" ht="18.75">
      <c r="A714" s="29">
        <v>1</v>
      </c>
      <c r="B714" s="15" t="str">
        <f>'Candidate List'!B2</f>
        <v>Manveer Singh</v>
      </c>
      <c r="C714" s="13">
        <v>238</v>
      </c>
      <c r="D714" s="13">
        <v>8</v>
      </c>
      <c r="E714" s="13">
        <v>529</v>
      </c>
      <c r="F714" s="13">
        <v>221</v>
      </c>
      <c r="G714" s="13">
        <v>18</v>
      </c>
      <c r="H714" s="13">
        <v>14</v>
      </c>
      <c r="I714" s="13">
        <v>13</v>
      </c>
      <c r="J714" s="13">
        <v>14</v>
      </c>
      <c r="K714" s="13">
        <v>28</v>
      </c>
      <c r="L714" s="13">
        <v>11</v>
      </c>
      <c r="M714" s="13">
        <v>27</v>
      </c>
      <c r="N714" s="13">
        <v>12</v>
      </c>
      <c r="O714" s="13">
        <v>26</v>
      </c>
      <c r="P714" s="13">
        <v>18</v>
      </c>
      <c r="Q714" s="30">
        <f>SUM(C714:P714)</f>
        <v>1177</v>
      </c>
      <c r="R714" s="30">
        <f>S680</f>
        <v>24114</v>
      </c>
      <c r="S714" s="30">
        <f>Q714+R714</f>
        <v>25291</v>
      </c>
    </row>
    <row r="715" spans="1:19" ht="18.75">
      <c r="A715" s="29">
        <v>2</v>
      </c>
      <c r="B715" s="15" t="str">
        <f>'Candidate List'!B3</f>
        <v>Rahul Yadav</v>
      </c>
      <c r="C715" s="13">
        <v>297</v>
      </c>
      <c r="D715" s="13">
        <v>134</v>
      </c>
      <c r="E715" s="13">
        <v>24</v>
      </c>
      <c r="F715" s="13">
        <v>3</v>
      </c>
      <c r="G715" s="13">
        <v>30</v>
      </c>
      <c r="H715" s="13">
        <v>40</v>
      </c>
      <c r="I715" s="13">
        <v>376</v>
      </c>
      <c r="J715" s="13">
        <v>643</v>
      </c>
      <c r="K715" s="13">
        <v>482</v>
      </c>
      <c r="L715" s="13">
        <v>482</v>
      </c>
      <c r="M715" s="13">
        <v>399</v>
      </c>
      <c r="N715" s="13">
        <v>405</v>
      </c>
      <c r="O715" s="13">
        <v>473</v>
      </c>
      <c r="P715" s="13">
        <v>550</v>
      </c>
      <c r="Q715" s="30">
        <f t="shared" ref="Q715:Q727" si="84">SUM(C715:P715)</f>
        <v>4338</v>
      </c>
      <c r="R715" s="30">
        <f t="shared" ref="R715:R727" si="85">S681</f>
        <v>69909</v>
      </c>
      <c r="S715" s="30">
        <f t="shared" ref="S715:S727" si="86">Q715+R715</f>
        <v>74247</v>
      </c>
    </row>
    <row r="716" spans="1:19" ht="18.75">
      <c r="A716" s="29">
        <v>3</v>
      </c>
      <c r="B716" s="15" t="str">
        <f>'Candidate List'!B4</f>
        <v>Lakshmi Raj</v>
      </c>
      <c r="C716" s="13">
        <v>80</v>
      </c>
      <c r="D716" s="13">
        <v>289</v>
      </c>
      <c r="E716" s="13">
        <v>120</v>
      </c>
      <c r="F716" s="13">
        <v>35</v>
      </c>
      <c r="G716" s="13">
        <v>454</v>
      </c>
      <c r="H716" s="13">
        <v>489</v>
      </c>
      <c r="I716" s="13">
        <v>261</v>
      </c>
      <c r="J716" s="13">
        <v>12</v>
      </c>
      <c r="K716" s="13">
        <v>10</v>
      </c>
      <c r="L716" s="13">
        <v>23</v>
      </c>
      <c r="M716" s="13">
        <v>135</v>
      </c>
      <c r="N716" s="13">
        <v>7</v>
      </c>
      <c r="O716" s="13">
        <v>12</v>
      </c>
      <c r="P716" s="13">
        <v>11</v>
      </c>
      <c r="Q716" s="30">
        <f t="shared" si="84"/>
        <v>1938</v>
      </c>
      <c r="R716" s="30">
        <f t="shared" si="85"/>
        <v>66344</v>
      </c>
      <c r="S716" s="30">
        <f t="shared" si="86"/>
        <v>68282</v>
      </c>
    </row>
    <row r="717" spans="1:19" ht="18.75">
      <c r="A717" s="29">
        <v>4</v>
      </c>
      <c r="B717" s="15" t="str">
        <f>'Candidate List'!B5</f>
        <v>Saleem Akhtar Khan</v>
      </c>
      <c r="C717" s="13">
        <v>1</v>
      </c>
      <c r="D717" s="13">
        <v>1</v>
      </c>
      <c r="E717" s="13">
        <v>2</v>
      </c>
      <c r="F717" s="13">
        <v>1</v>
      </c>
      <c r="G717" s="13">
        <v>2</v>
      </c>
      <c r="H717" s="13">
        <v>5</v>
      </c>
      <c r="I717" s="13">
        <v>3</v>
      </c>
      <c r="J717" s="13">
        <v>11</v>
      </c>
      <c r="K717" s="13">
        <v>5</v>
      </c>
      <c r="L717" s="13">
        <v>10</v>
      </c>
      <c r="M717" s="13">
        <v>4</v>
      </c>
      <c r="N717" s="13">
        <v>31</v>
      </c>
      <c r="O717" s="13">
        <v>19</v>
      </c>
      <c r="P717" s="13">
        <v>11</v>
      </c>
      <c r="Q717" s="30">
        <f t="shared" si="84"/>
        <v>106</v>
      </c>
      <c r="R717" s="30">
        <f t="shared" si="85"/>
        <v>1417</v>
      </c>
      <c r="S717" s="30">
        <f t="shared" si="86"/>
        <v>1523</v>
      </c>
    </row>
    <row r="718" spans="1:19" ht="18.75">
      <c r="A718" s="29">
        <v>5</v>
      </c>
      <c r="B718" s="15" t="str">
        <f>'Candidate List'!B6</f>
        <v>Ajay Kumar</v>
      </c>
      <c r="C718" s="13">
        <v>2</v>
      </c>
      <c r="D718" s="13">
        <v>1</v>
      </c>
      <c r="E718" s="13">
        <v>3</v>
      </c>
      <c r="F718" s="13">
        <v>0</v>
      </c>
      <c r="G718" s="13">
        <v>0</v>
      </c>
      <c r="H718" s="13">
        <v>2</v>
      </c>
      <c r="I718" s="13">
        <v>0</v>
      </c>
      <c r="J718" s="13">
        <v>0</v>
      </c>
      <c r="K718" s="13">
        <v>0</v>
      </c>
      <c r="L718" s="13">
        <v>1</v>
      </c>
      <c r="M718" s="13">
        <v>1</v>
      </c>
      <c r="N718" s="13">
        <v>0</v>
      </c>
      <c r="O718" s="13">
        <v>1</v>
      </c>
      <c r="P718" s="13">
        <v>0</v>
      </c>
      <c r="Q718" s="30">
        <f t="shared" si="84"/>
        <v>11</v>
      </c>
      <c r="R718" s="30">
        <f t="shared" si="85"/>
        <v>540</v>
      </c>
      <c r="S718" s="30">
        <f t="shared" si="86"/>
        <v>551</v>
      </c>
    </row>
    <row r="719" spans="1:19" ht="18.75">
      <c r="A719" s="29">
        <v>6</v>
      </c>
      <c r="B719" s="15" t="str">
        <f>'Candidate List'!B7</f>
        <v>Ajay Kumar Sharma</v>
      </c>
      <c r="C719" s="13">
        <v>0</v>
      </c>
      <c r="D719" s="13">
        <v>0</v>
      </c>
      <c r="E719" s="13">
        <v>2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  <c r="K719" s="13">
        <v>1</v>
      </c>
      <c r="L719" s="13">
        <v>0</v>
      </c>
      <c r="M719" s="13">
        <v>2</v>
      </c>
      <c r="N719" s="13">
        <v>0</v>
      </c>
      <c r="O719" s="13">
        <v>0</v>
      </c>
      <c r="P719" s="13">
        <v>0</v>
      </c>
      <c r="Q719" s="30">
        <f t="shared" si="84"/>
        <v>5</v>
      </c>
      <c r="R719" s="30">
        <f t="shared" si="85"/>
        <v>63</v>
      </c>
      <c r="S719" s="30">
        <f t="shared" si="86"/>
        <v>68</v>
      </c>
    </row>
    <row r="720" spans="1:19" ht="18.75">
      <c r="A720" s="29">
        <v>7</v>
      </c>
      <c r="B720" s="15" t="str">
        <f>'Candidate List'!B8</f>
        <v>Amit Singh Tomar</v>
      </c>
      <c r="C720" s="13">
        <v>0</v>
      </c>
      <c r="D720" s="13">
        <v>0</v>
      </c>
      <c r="E720" s="13">
        <v>1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>
        <v>0</v>
      </c>
      <c r="L720" s="13">
        <v>1</v>
      </c>
      <c r="M720" s="13">
        <v>0</v>
      </c>
      <c r="N720" s="13">
        <v>1</v>
      </c>
      <c r="O720" s="13">
        <v>0</v>
      </c>
      <c r="P720" s="13">
        <v>0</v>
      </c>
      <c r="Q720" s="30">
        <f t="shared" si="84"/>
        <v>3</v>
      </c>
      <c r="R720" s="30">
        <f t="shared" si="85"/>
        <v>119</v>
      </c>
      <c r="S720" s="30">
        <f t="shared" si="86"/>
        <v>122</v>
      </c>
    </row>
    <row r="721" spans="1:19" ht="18.75">
      <c r="A721" s="29">
        <v>8</v>
      </c>
      <c r="B721" s="15" t="str">
        <f>'Candidate List'!B9</f>
        <v>Darshan Sharma</v>
      </c>
      <c r="C721" s="13">
        <v>0</v>
      </c>
      <c r="D721" s="13">
        <v>1</v>
      </c>
      <c r="E721" s="13">
        <v>4</v>
      </c>
      <c r="F721" s="13">
        <v>2</v>
      </c>
      <c r="G721" s="13">
        <v>0</v>
      </c>
      <c r="H721" s="13">
        <v>2</v>
      </c>
      <c r="I721" s="13">
        <v>0</v>
      </c>
      <c r="J721" s="13">
        <v>0</v>
      </c>
      <c r="K721" s="13">
        <v>1</v>
      </c>
      <c r="L721" s="13">
        <v>0</v>
      </c>
      <c r="M721" s="13">
        <v>0</v>
      </c>
      <c r="N721" s="13">
        <v>2</v>
      </c>
      <c r="O721" s="13">
        <v>0</v>
      </c>
      <c r="P721" s="13">
        <v>1</v>
      </c>
      <c r="Q721" s="30">
        <f t="shared" si="84"/>
        <v>13</v>
      </c>
      <c r="R721" s="30">
        <f t="shared" si="85"/>
        <v>221</v>
      </c>
      <c r="S721" s="30">
        <f t="shared" si="86"/>
        <v>234</v>
      </c>
    </row>
    <row r="722" spans="1:19" ht="18.75">
      <c r="A722" s="29">
        <v>9</v>
      </c>
      <c r="B722" s="15" t="str">
        <f>'Candidate List'!B10</f>
        <v>Dilshad Ahmad</v>
      </c>
      <c r="C722" s="13">
        <v>0</v>
      </c>
      <c r="D722" s="13">
        <v>0</v>
      </c>
      <c r="E722" s="13">
        <v>1</v>
      </c>
      <c r="F722" s="13">
        <v>0</v>
      </c>
      <c r="G722" s="13">
        <v>0</v>
      </c>
      <c r="H722" s="13">
        <v>1</v>
      </c>
      <c r="I722" s="13">
        <v>10</v>
      </c>
      <c r="J722" s="13">
        <v>15</v>
      </c>
      <c r="K722" s="13">
        <v>10</v>
      </c>
      <c r="L722" s="13">
        <v>7</v>
      </c>
      <c r="M722" s="13">
        <v>7</v>
      </c>
      <c r="N722" s="13">
        <v>11</v>
      </c>
      <c r="O722" s="13">
        <v>27</v>
      </c>
      <c r="P722" s="13">
        <v>7</v>
      </c>
      <c r="Q722" s="30">
        <f t="shared" si="84"/>
        <v>96</v>
      </c>
      <c r="R722" s="30">
        <f t="shared" si="85"/>
        <v>1329</v>
      </c>
      <c r="S722" s="30">
        <f t="shared" si="86"/>
        <v>1425</v>
      </c>
    </row>
    <row r="723" spans="1:19" ht="18.75">
      <c r="A723" s="29">
        <v>10</v>
      </c>
      <c r="B723" s="15" t="str">
        <f>'Candidate List'!B11</f>
        <v>Raju Thakur</v>
      </c>
      <c r="C723" s="13">
        <v>1</v>
      </c>
      <c r="D723" s="13">
        <v>1</v>
      </c>
      <c r="E723" s="13">
        <v>4</v>
      </c>
      <c r="F723" s="13">
        <v>0</v>
      </c>
      <c r="G723" s="13">
        <v>0</v>
      </c>
      <c r="H723" s="13">
        <v>2</v>
      </c>
      <c r="I723" s="13">
        <v>0</v>
      </c>
      <c r="J723" s="13">
        <v>0</v>
      </c>
      <c r="K723" s="13">
        <v>1</v>
      </c>
      <c r="L723" s="13">
        <v>3</v>
      </c>
      <c r="M723" s="13">
        <v>4</v>
      </c>
      <c r="N723" s="13">
        <v>0</v>
      </c>
      <c r="O723" s="13">
        <v>2</v>
      </c>
      <c r="P723" s="13">
        <v>7</v>
      </c>
      <c r="Q723" s="30">
        <f t="shared" si="84"/>
        <v>25</v>
      </c>
      <c r="R723" s="30">
        <f t="shared" si="85"/>
        <v>765</v>
      </c>
      <c r="S723" s="30">
        <f t="shared" si="86"/>
        <v>790</v>
      </c>
    </row>
    <row r="724" spans="1:19" ht="18.75">
      <c r="A724" s="29">
        <v>11</v>
      </c>
      <c r="B724" s="15" t="str">
        <f>'Candidate List'!B12</f>
        <v>Bablu</v>
      </c>
      <c r="C724" s="13">
        <v>0</v>
      </c>
      <c r="D724" s="13">
        <v>0</v>
      </c>
      <c r="E724" s="13">
        <v>3</v>
      </c>
      <c r="F724" s="13">
        <v>0</v>
      </c>
      <c r="G724" s="13">
        <v>1</v>
      </c>
      <c r="H724" s="13">
        <v>1</v>
      </c>
      <c r="I724" s="13">
        <v>0</v>
      </c>
      <c r="J724" s="13">
        <v>1</v>
      </c>
      <c r="K724" s="13">
        <v>0</v>
      </c>
      <c r="L724" s="13">
        <v>2</v>
      </c>
      <c r="M724" s="13">
        <v>0</v>
      </c>
      <c r="N724" s="13">
        <v>3</v>
      </c>
      <c r="O724" s="13">
        <v>0</v>
      </c>
      <c r="P724" s="13">
        <v>1</v>
      </c>
      <c r="Q724" s="30">
        <f t="shared" si="84"/>
        <v>12</v>
      </c>
      <c r="R724" s="30">
        <f t="shared" si="85"/>
        <v>305</v>
      </c>
      <c r="S724" s="30">
        <f t="shared" si="86"/>
        <v>317</v>
      </c>
    </row>
    <row r="725" spans="1:19" ht="18.75">
      <c r="A725" s="29">
        <v>12</v>
      </c>
      <c r="B725" s="15" t="str">
        <f>'Candidate List'!B13</f>
        <v>NOTA</v>
      </c>
      <c r="C725" s="13">
        <v>3</v>
      </c>
      <c r="D725" s="13">
        <v>1</v>
      </c>
      <c r="E725" s="13">
        <v>13</v>
      </c>
      <c r="F725" s="13">
        <v>2</v>
      </c>
      <c r="G725" s="13">
        <v>0</v>
      </c>
      <c r="H725" s="13">
        <v>2</v>
      </c>
      <c r="I725" s="13">
        <v>0</v>
      </c>
      <c r="J725" s="13">
        <v>2</v>
      </c>
      <c r="K725" s="13">
        <v>3</v>
      </c>
      <c r="L725" s="13">
        <v>4</v>
      </c>
      <c r="M725" s="13">
        <v>0</v>
      </c>
      <c r="N725" s="13">
        <v>2</v>
      </c>
      <c r="O725" s="13">
        <v>2</v>
      </c>
      <c r="P725" s="13">
        <v>0</v>
      </c>
      <c r="Q725" s="30">
        <f t="shared" si="84"/>
        <v>34</v>
      </c>
      <c r="R725" s="30">
        <f t="shared" si="85"/>
        <v>693</v>
      </c>
      <c r="S725" s="30">
        <f t="shared" si="86"/>
        <v>727</v>
      </c>
    </row>
    <row r="726" spans="1:19">
      <c r="A726" s="187" t="s">
        <v>11</v>
      </c>
      <c r="B726" s="187"/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30">
        <f t="shared" si="84"/>
        <v>0</v>
      </c>
      <c r="R726" s="30">
        <f t="shared" si="85"/>
        <v>0</v>
      </c>
      <c r="S726" s="30">
        <f t="shared" si="86"/>
        <v>0</v>
      </c>
    </row>
    <row r="727" spans="1:19">
      <c r="A727" s="188" t="s">
        <v>12</v>
      </c>
      <c r="B727" s="188"/>
      <c r="C727" s="30">
        <f t="shared" ref="C727:P727" si="87">SUM(C714:C726)</f>
        <v>622</v>
      </c>
      <c r="D727" s="30">
        <f t="shared" si="87"/>
        <v>436</v>
      </c>
      <c r="E727" s="30">
        <f t="shared" si="87"/>
        <v>706</v>
      </c>
      <c r="F727" s="30">
        <f t="shared" si="87"/>
        <v>264</v>
      </c>
      <c r="G727" s="30">
        <f t="shared" si="87"/>
        <v>505</v>
      </c>
      <c r="H727" s="30">
        <f t="shared" si="87"/>
        <v>558</v>
      </c>
      <c r="I727" s="30">
        <f t="shared" si="87"/>
        <v>663</v>
      </c>
      <c r="J727" s="30">
        <f t="shared" si="87"/>
        <v>698</v>
      </c>
      <c r="K727" s="30">
        <f t="shared" si="87"/>
        <v>541</v>
      </c>
      <c r="L727" s="30">
        <f t="shared" si="87"/>
        <v>544</v>
      </c>
      <c r="M727" s="30">
        <f t="shared" si="87"/>
        <v>579</v>
      </c>
      <c r="N727" s="30">
        <f t="shared" si="87"/>
        <v>474</v>
      </c>
      <c r="O727" s="30">
        <f t="shared" si="87"/>
        <v>562</v>
      </c>
      <c r="P727" s="30">
        <f t="shared" si="87"/>
        <v>606</v>
      </c>
      <c r="Q727" s="30">
        <f t="shared" si="84"/>
        <v>7758</v>
      </c>
      <c r="R727" s="30">
        <f t="shared" si="85"/>
        <v>165819</v>
      </c>
      <c r="S727" s="30">
        <f t="shared" si="86"/>
        <v>173577</v>
      </c>
    </row>
    <row r="728" spans="1:19" ht="40.5" customHeight="1">
      <c r="A728" s="5"/>
      <c r="B728" s="5"/>
      <c r="C728" s="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8"/>
      <c r="R728" s="7"/>
      <c r="S728" s="7"/>
    </row>
    <row r="729" spans="1:19" ht="22.5">
      <c r="A729" s="31"/>
      <c r="B729" s="31"/>
      <c r="C729" s="10" t="s">
        <v>13</v>
      </c>
      <c r="D729" s="10" t="s">
        <v>13</v>
      </c>
      <c r="E729" s="10" t="s">
        <v>13</v>
      </c>
      <c r="F729" s="10" t="s">
        <v>13</v>
      </c>
      <c r="G729" s="10" t="s">
        <v>13</v>
      </c>
      <c r="H729" s="10" t="s">
        <v>13</v>
      </c>
      <c r="I729" s="10" t="s">
        <v>13</v>
      </c>
      <c r="J729" s="10" t="s">
        <v>13</v>
      </c>
      <c r="K729" s="10" t="s">
        <v>13</v>
      </c>
      <c r="L729" s="10" t="s">
        <v>13</v>
      </c>
      <c r="M729" s="10" t="s">
        <v>13</v>
      </c>
      <c r="N729" s="10" t="s">
        <v>13</v>
      </c>
      <c r="O729" s="10" t="s">
        <v>13</v>
      </c>
      <c r="P729" s="10" t="s">
        <v>13</v>
      </c>
      <c r="Q729" s="10" t="s">
        <v>13</v>
      </c>
      <c r="R729" s="10" t="s">
        <v>13</v>
      </c>
      <c r="S729" s="10" t="s">
        <v>13</v>
      </c>
    </row>
    <row r="730" spans="1:19" ht="36" customHeight="1">
      <c r="A730" s="31"/>
      <c r="B730" s="3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 ht="22.5">
      <c r="A731" s="31"/>
      <c r="B731" s="31"/>
      <c r="C731" s="10" t="s">
        <v>14</v>
      </c>
      <c r="D731" s="10" t="s">
        <v>14</v>
      </c>
      <c r="E731" s="10" t="s">
        <v>14</v>
      </c>
      <c r="F731" s="10" t="s">
        <v>14</v>
      </c>
      <c r="G731" s="10" t="s">
        <v>14</v>
      </c>
      <c r="H731" s="10" t="s">
        <v>14</v>
      </c>
      <c r="I731" s="10" t="s">
        <v>14</v>
      </c>
      <c r="J731" s="10" t="s">
        <v>14</v>
      </c>
      <c r="K731" s="10" t="s">
        <v>14</v>
      </c>
      <c r="L731" s="10" t="s">
        <v>14</v>
      </c>
      <c r="M731" s="10" t="s">
        <v>14</v>
      </c>
      <c r="N731" s="10" t="s">
        <v>14</v>
      </c>
      <c r="O731" s="10" t="s">
        <v>14</v>
      </c>
      <c r="P731" s="10" t="s">
        <v>14</v>
      </c>
      <c r="Q731" s="10" t="s">
        <v>14</v>
      </c>
      <c r="R731" s="10" t="s">
        <v>14</v>
      </c>
      <c r="S731" s="10" t="s">
        <v>14</v>
      </c>
    </row>
    <row r="732" spans="1:19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</row>
    <row r="733" spans="1:19">
      <c r="A733" s="189" t="s">
        <v>15</v>
      </c>
      <c r="B733" s="189"/>
      <c r="C733" s="164" t="s">
        <v>16</v>
      </c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31"/>
      <c r="S733" s="31"/>
    </row>
    <row r="734" spans="1:19">
      <c r="A734" s="31"/>
      <c r="B734" s="31"/>
      <c r="C734" s="164" t="s">
        <v>17</v>
      </c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31"/>
      <c r="S734" s="31"/>
    </row>
    <row r="735" spans="1:19">
      <c r="A735" s="31"/>
      <c r="B735" s="31"/>
      <c r="C735" s="164" t="s">
        <v>44</v>
      </c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31"/>
      <c r="S735" s="31"/>
    </row>
    <row r="736" spans="1:19">
      <c r="A736" s="31"/>
      <c r="B736" s="31"/>
      <c r="C736" s="164" t="s">
        <v>45</v>
      </c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31"/>
      <c r="S736" s="31"/>
    </row>
    <row r="741" spans="1:19" ht="26.25">
      <c r="A741" s="190" t="s">
        <v>0</v>
      </c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</row>
    <row r="742" spans="1:19" ht="19.5">
      <c r="A742" s="191" t="s">
        <v>1225</v>
      </c>
      <c r="B742" s="191"/>
      <c r="C742" s="191"/>
      <c r="D742" s="191"/>
      <c r="E742" s="191"/>
      <c r="F742" s="191"/>
      <c r="G742" s="191"/>
      <c r="H742" s="191"/>
      <c r="I742" s="1"/>
      <c r="J742" s="1"/>
      <c r="K742" s="192" t="s">
        <v>42</v>
      </c>
      <c r="L742" s="192"/>
      <c r="M742" s="192"/>
      <c r="N742" s="192"/>
      <c r="O742" s="1"/>
      <c r="P742" s="193" t="s">
        <v>1</v>
      </c>
      <c r="Q742" s="193"/>
      <c r="R742" s="194">
        <v>44630</v>
      </c>
      <c r="S742" s="194"/>
    </row>
    <row r="743" spans="1:19">
      <c r="A743" s="188" t="s">
        <v>2</v>
      </c>
      <c r="B743" s="188"/>
      <c r="C743" s="30">
        <v>1</v>
      </c>
      <c r="D743" s="30">
        <v>2</v>
      </c>
      <c r="E743" s="30">
        <v>3</v>
      </c>
      <c r="F743" s="30">
        <v>4</v>
      </c>
      <c r="G743" s="30">
        <v>5</v>
      </c>
      <c r="H743" s="30">
        <v>6</v>
      </c>
      <c r="I743" s="30">
        <v>7</v>
      </c>
      <c r="J743" s="30">
        <v>8</v>
      </c>
      <c r="K743" s="30">
        <v>9</v>
      </c>
      <c r="L743" s="30">
        <v>10</v>
      </c>
      <c r="M743" s="30">
        <v>11</v>
      </c>
      <c r="N743" s="30">
        <v>12</v>
      </c>
      <c r="O743" s="30">
        <v>13</v>
      </c>
      <c r="P743" s="30">
        <v>14</v>
      </c>
      <c r="Q743" s="195" t="s">
        <v>3</v>
      </c>
      <c r="R743" s="195" t="s">
        <v>4</v>
      </c>
      <c r="S743" s="195" t="s">
        <v>5</v>
      </c>
    </row>
    <row r="744" spans="1:19">
      <c r="A744" s="165" t="s">
        <v>6</v>
      </c>
      <c r="B744" s="167"/>
      <c r="C744" s="40">
        <f>'Booth detail'!KX1</f>
        <v>309</v>
      </c>
      <c r="D744" s="40">
        <f>'Booth detail'!KY1</f>
        <v>310</v>
      </c>
      <c r="E744" s="40">
        <f>'Booth detail'!KZ1</f>
        <v>311</v>
      </c>
      <c r="F744" s="40">
        <f>'Booth detail'!LA1</f>
        <v>312</v>
      </c>
      <c r="G744" s="40">
        <f>'Booth detail'!LB1</f>
        <v>313</v>
      </c>
      <c r="H744" s="40">
        <f>'Booth detail'!LC1</f>
        <v>314</v>
      </c>
      <c r="I744" s="40">
        <f>'Booth detail'!LD1</f>
        <v>315</v>
      </c>
      <c r="J744" s="40">
        <f>'Booth detail'!LE1</f>
        <v>316</v>
      </c>
      <c r="K744" s="40">
        <f>'Booth detail'!LF1</f>
        <v>317</v>
      </c>
      <c r="L744" s="40">
        <f>'Booth detail'!LG1</f>
        <v>318</v>
      </c>
      <c r="M744" s="40">
        <f>'Booth detail'!LH1</f>
        <v>319</v>
      </c>
      <c r="N744" s="40">
        <f>'Booth detail'!LI1</f>
        <v>320</v>
      </c>
      <c r="O744" s="40">
        <f>'Booth detail'!LJ1</f>
        <v>321</v>
      </c>
      <c r="P744" s="40">
        <f>'Booth detail'!LK1</f>
        <v>322</v>
      </c>
      <c r="Q744" s="196"/>
      <c r="R744" s="196"/>
      <c r="S744" s="196"/>
    </row>
    <row r="745" spans="1:19" ht="25.5">
      <c r="A745" s="165" t="s">
        <v>18</v>
      </c>
      <c r="B745" s="167"/>
      <c r="C745" s="44" t="str">
        <f>'Booth detail'!KX2</f>
        <v>ECUED23406</v>
      </c>
      <c r="D745" s="44" t="str">
        <f>'Booth detail'!KY2</f>
        <v>ECUEC50389</v>
      </c>
      <c r="E745" s="44" t="str">
        <f>'Booth detail'!KZ2</f>
        <v>ECUED29938</v>
      </c>
      <c r="F745" s="44" t="str">
        <f>'Booth detail'!LA2</f>
        <v>ECUEC67080</v>
      </c>
      <c r="G745" s="44" t="str">
        <f>'Booth detail'!LB2</f>
        <v>ECUEC57948</v>
      </c>
      <c r="H745" s="44" t="str">
        <f>'Booth detail'!LC2</f>
        <v>ECUEC60219</v>
      </c>
      <c r="I745" s="44" t="str">
        <f>'Booth detail'!LD2</f>
        <v>ECUEC59978</v>
      </c>
      <c r="J745" s="44" t="str">
        <f>'Booth detail'!LE2</f>
        <v>ECUEC57229</v>
      </c>
      <c r="K745" s="44" t="str">
        <f>'Booth detail'!LF2</f>
        <v>ECUEC67321</v>
      </c>
      <c r="L745" s="44" t="str">
        <f>'Booth detail'!LG2</f>
        <v>ECUEC67420</v>
      </c>
      <c r="M745" s="44" t="str">
        <f>'Booth detail'!LH2</f>
        <v>ECUEC67662</v>
      </c>
      <c r="N745" s="44" t="str">
        <f>'Booth detail'!LI2</f>
        <v>ECUED21857</v>
      </c>
      <c r="O745" s="44" t="str">
        <f>'Booth detail'!LJ2</f>
        <v>ECUEC63674</v>
      </c>
      <c r="P745" s="44" t="str">
        <f>'Booth detail'!LK2</f>
        <v>ECUEC48411</v>
      </c>
      <c r="Q745" s="196"/>
      <c r="R745" s="196"/>
      <c r="S745" s="196"/>
    </row>
    <row r="746" spans="1:19" ht="41.25" customHeight="1">
      <c r="A746" s="165" t="s">
        <v>20</v>
      </c>
      <c r="B746" s="167"/>
      <c r="C746" s="66" t="str">
        <f>'Booth detail'!KX3</f>
        <v>-</v>
      </c>
      <c r="D746" s="66" t="str">
        <f>'Booth detail'!KY3</f>
        <v>-</v>
      </c>
      <c r="E746" s="66" t="str">
        <f>'Booth detail'!KZ3</f>
        <v>-</v>
      </c>
      <c r="F746" s="66" t="str">
        <f>'Booth detail'!LA3</f>
        <v>-</v>
      </c>
      <c r="G746" s="66" t="str">
        <f>'Booth detail'!LB3</f>
        <v>-</v>
      </c>
      <c r="H746" s="66" t="str">
        <f>'Booth detail'!LC3</f>
        <v>-</v>
      </c>
      <c r="I746" s="66" t="str">
        <f>'Booth detail'!LD3</f>
        <v>-</v>
      </c>
      <c r="J746" s="66" t="str">
        <f>'Booth detail'!LE3</f>
        <v>-</v>
      </c>
      <c r="K746" s="66" t="str">
        <f>'Booth detail'!LF3</f>
        <v>-</v>
      </c>
      <c r="L746" s="66" t="str">
        <f>'Booth detail'!LG3</f>
        <v>-</v>
      </c>
      <c r="M746" s="66" t="str">
        <f>'Booth detail'!LH3</f>
        <v>-</v>
      </c>
      <c r="N746" s="66" t="str">
        <f>'Booth detail'!LI3</f>
        <v>-</v>
      </c>
      <c r="O746" s="66" t="str">
        <f>'Booth detail'!LJ3</f>
        <v>-</v>
      </c>
      <c r="P746" s="66" t="str">
        <f>'Booth detail'!LK3</f>
        <v>-</v>
      </c>
      <c r="Q746" s="196"/>
      <c r="R746" s="196"/>
      <c r="S746" s="196"/>
    </row>
    <row r="747" spans="1:19">
      <c r="A747" s="14" t="s">
        <v>7</v>
      </c>
      <c r="B747" s="32" t="s">
        <v>8</v>
      </c>
      <c r="C747" s="33" t="s">
        <v>9</v>
      </c>
      <c r="D747" s="33" t="s">
        <v>9</v>
      </c>
      <c r="E747" s="33" t="s">
        <v>9</v>
      </c>
      <c r="F747" s="33" t="s">
        <v>9</v>
      </c>
      <c r="G747" s="33" t="s">
        <v>9</v>
      </c>
      <c r="H747" s="33" t="s">
        <v>9</v>
      </c>
      <c r="I747" s="33" t="s">
        <v>9</v>
      </c>
      <c r="J747" s="33" t="s">
        <v>9</v>
      </c>
      <c r="K747" s="33" t="s">
        <v>9</v>
      </c>
      <c r="L747" s="33" t="s">
        <v>9</v>
      </c>
      <c r="M747" s="33" t="s">
        <v>9</v>
      </c>
      <c r="N747" s="33" t="s">
        <v>9</v>
      </c>
      <c r="O747" s="33" t="s">
        <v>9</v>
      </c>
      <c r="P747" s="33" t="s">
        <v>9</v>
      </c>
      <c r="Q747" s="197"/>
      <c r="R747" s="197"/>
      <c r="S747" s="197"/>
    </row>
    <row r="748" spans="1:19" ht="18.75">
      <c r="A748" s="29">
        <v>1</v>
      </c>
      <c r="B748" s="15" t="str">
        <f>'Candidate List'!B2</f>
        <v>Manveer Singh</v>
      </c>
      <c r="C748" s="13">
        <v>23</v>
      </c>
      <c r="D748" s="13">
        <v>26</v>
      </c>
      <c r="E748" s="13">
        <v>23</v>
      </c>
      <c r="F748" s="13">
        <v>19</v>
      </c>
      <c r="G748" s="13">
        <v>57</v>
      </c>
      <c r="H748" s="13">
        <v>17</v>
      </c>
      <c r="I748" s="13">
        <v>19</v>
      </c>
      <c r="J748" s="13">
        <v>31</v>
      </c>
      <c r="K748" s="13">
        <v>271</v>
      </c>
      <c r="L748" s="13">
        <v>109</v>
      </c>
      <c r="M748" s="13">
        <v>55</v>
      </c>
      <c r="N748" s="13">
        <v>296</v>
      </c>
      <c r="O748" s="13">
        <v>23</v>
      </c>
      <c r="P748" s="13">
        <v>0</v>
      </c>
      <c r="Q748" s="30">
        <f>SUM(C748:P748)</f>
        <v>969</v>
      </c>
      <c r="R748" s="30">
        <f>S714</f>
        <v>25291</v>
      </c>
      <c r="S748" s="30">
        <f>Q748+R748</f>
        <v>26260</v>
      </c>
    </row>
    <row r="749" spans="1:19" ht="18.75">
      <c r="A749" s="29">
        <v>2</v>
      </c>
      <c r="B749" s="15" t="str">
        <f>'Candidate List'!B3</f>
        <v>Rahul Yadav</v>
      </c>
      <c r="C749" s="13">
        <v>520</v>
      </c>
      <c r="D749" s="13">
        <v>94</v>
      </c>
      <c r="E749" s="13">
        <v>102</v>
      </c>
      <c r="F749" s="13">
        <v>17</v>
      </c>
      <c r="G749" s="13">
        <v>20</v>
      </c>
      <c r="H749" s="13">
        <v>134</v>
      </c>
      <c r="I749" s="13">
        <v>68</v>
      </c>
      <c r="J749" s="13">
        <v>185</v>
      </c>
      <c r="K749" s="13">
        <v>32</v>
      </c>
      <c r="L749" s="13">
        <v>42</v>
      </c>
      <c r="M749" s="13">
        <v>41</v>
      </c>
      <c r="N749" s="13">
        <v>34</v>
      </c>
      <c r="O749" s="13">
        <v>28</v>
      </c>
      <c r="P749" s="13">
        <v>8</v>
      </c>
      <c r="Q749" s="30">
        <f t="shared" ref="Q749:Q761" si="88">SUM(C749:P749)</f>
        <v>1325</v>
      </c>
      <c r="R749" s="30">
        <f t="shared" ref="R749:R761" si="89">S715</f>
        <v>74247</v>
      </c>
      <c r="S749" s="30">
        <f t="shared" ref="S749:S761" si="90">Q749+R749</f>
        <v>75572</v>
      </c>
    </row>
    <row r="750" spans="1:19" ht="18.75">
      <c r="A750" s="29">
        <v>3</v>
      </c>
      <c r="B750" s="15" t="str">
        <f>'Candidate List'!B4</f>
        <v>Lakshmi Raj</v>
      </c>
      <c r="C750" s="13">
        <v>1</v>
      </c>
      <c r="D750" s="13">
        <v>549</v>
      </c>
      <c r="E750" s="13">
        <v>658</v>
      </c>
      <c r="F750" s="13">
        <v>369</v>
      </c>
      <c r="G750" s="13">
        <v>422</v>
      </c>
      <c r="H750" s="13">
        <v>610</v>
      </c>
      <c r="I750" s="13">
        <v>610</v>
      </c>
      <c r="J750" s="13">
        <v>397</v>
      </c>
      <c r="K750" s="13">
        <v>264</v>
      </c>
      <c r="L750" s="13">
        <v>342</v>
      </c>
      <c r="M750" s="13">
        <v>346</v>
      </c>
      <c r="N750" s="13">
        <v>159</v>
      </c>
      <c r="O750" s="13">
        <v>383</v>
      </c>
      <c r="P750" s="13">
        <v>433</v>
      </c>
      <c r="Q750" s="30">
        <f t="shared" si="88"/>
        <v>5543</v>
      </c>
      <c r="R750" s="30">
        <f t="shared" si="89"/>
        <v>68282</v>
      </c>
      <c r="S750" s="30">
        <f t="shared" si="90"/>
        <v>73825</v>
      </c>
    </row>
    <row r="751" spans="1:19" ht="18.75">
      <c r="A751" s="29">
        <v>4</v>
      </c>
      <c r="B751" s="15" t="str">
        <f>'Candidate List'!B5</f>
        <v>Saleem Akhtar Khan</v>
      </c>
      <c r="C751" s="13">
        <v>21</v>
      </c>
      <c r="D751" s="13">
        <v>3</v>
      </c>
      <c r="E751" s="13">
        <v>4</v>
      </c>
      <c r="F751" s="13">
        <v>12</v>
      </c>
      <c r="G751" s="13">
        <v>2</v>
      </c>
      <c r="H751" s="13">
        <v>5</v>
      </c>
      <c r="I751" s="13">
        <v>7</v>
      </c>
      <c r="J751" s="13">
        <v>6</v>
      </c>
      <c r="K751" s="13">
        <v>3</v>
      </c>
      <c r="L751" s="13">
        <v>3</v>
      </c>
      <c r="M751" s="13">
        <v>2</v>
      </c>
      <c r="N751" s="13">
        <v>6</v>
      </c>
      <c r="O751" s="13">
        <v>6</v>
      </c>
      <c r="P751" s="13">
        <v>0</v>
      </c>
      <c r="Q751" s="30">
        <f t="shared" si="88"/>
        <v>80</v>
      </c>
      <c r="R751" s="30">
        <f t="shared" si="89"/>
        <v>1523</v>
      </c>
      <c r="S751" s="30">
        <f t="shared" si="90"/>
        <v>1603</v>
      </c>
    </row>
    <row r="752" spans="1:19" ht="18.75">
      <c r="A752" s="29">
        <v>5</v>
      </c>
      <c r="B752" s="15" t="str">
        <f>'Candidate List'!B6</f>
        <v>Ajay Kumar</v>
      </c>
      <c r="C752" s="13">
        <v>1</v>
      </c>
      <c r="D752" s="13">
        <v>1</v>
      </c>
      <c r="E752" s="13">
        <v>1</v>
      </c>
      <c r="F752" s="13">
        <v>0</v>
      </c>
      <c r="G752" s="13">
        <v>0</v>
      </c>
      <c r="H752" s="13">
        <v>0</v>
      </c>
      <c r="I752" s="13">
        <v>0</v>
      </c>
      <c r="J752" s="13">
        <v>1</v>
      </c>
      <c r="K752" s="13">
        <v>4</v>
      </c>
      <c r="L752" s="13">
        <v>5</v>
      </c>
      <c r="M752" s="13">
        <v>1</v>
      </c>
      <c r="N752" s="13">
        <v>0</v>
      </c>
      <c r="O752" s="13">
        <v>0</v>
      </c>
      <c r="P752" s="13">
        <v>1</v>
      </c>
      <c r="Q752" s="30">
        <f t="shared" si="88"/>
        <v>15</v>
      </c>
      <c r="R752" s="30">
        <f t="shared" si="89"/>
        <v>551</v>
      </c>
      <c r="S752" s="30">
        <f t="shared" si="90"/>
        <v>566</v>
      </c>
    </row>
    <row r="753" spans="1:19" ht="18.75">
      <c r="A753" s="29">
        <v>6</v>
      </c>
      <c r="B753" s="15" t="str">
        <f>'Candidate List'!B7</f>
        <v>Ajay Kumar Sharma</v>
      </c>
      <c r="C753" s="13">
        <v>0</v>
      </c>
      <c r="D753" s="13">
        <v>0</v>
      </c>
      <c r="E753" s="13">
        <v>0</v>
      </c>
      <c r="F753" s="13">
        <v>0</v>
      </c>
      <c r="G753" s="13">
        <v>1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1</v>
      </c>
      <c r="O753" s="13">
        <v>0</v>
      </c>
      <c r="P753" s="13">
        <v>1</v>
      </c>
      <c r="Q753" s="30">
        <f t="shared" si="88"/>
        <v>3</v>
      </c>
      <c r="R753" s="30">
        <f t="shared" si="89"/>
        <v>68</v>
      </c>
      <c r="S753" s="30">
        <f t="shared" si="90"/>
        <v>71</v>
      </c>
    </row>
    <row r="754" spans="1:19" ht="18.75">
      <c r="A754" s="29">
        <v>7</v>
      </c>
      <c r="B754" s="15" t="str">
        <f>'Candidate List'!B8</f>
        <v>Amit Singh Tomar</v>
      </c>
      <c r="C754" s="13">
        <v>1</v>
      </c>
      <c r="D754" s="13">
        <v>1</v>
      </c>
      <c r="E754" s="13">
        <v>0</v>
      </c>
      <c r="F754" s="13">
        <v>0</v>
      </c>
      <c r="G754" s="13">
        <v>0</v>
      </c>
      <c r="H754" s="13">
        <v>0</v>
      </c>
      <c r="I754" s="13">
        <v>0</v>
      </c>
      <c r="J754" s="13">
        <v>1</v>
      </c>
      <c r="K754" s="13">
        <v>2</v>
      </c>
      <c r="L754" s="13">
        <v>0</v>
      </c>
      <c r="M754" s="13">
        <v>1</v>
      </c>
      <c r="N754" s="13">
        <v>0</v>
      </c>
      <c r="O754" s="13">
        <v>0</v>
      </c>
      <c r="P754" s="13">
        <v>1</v>
      </c>
      <c r="Q754" s="30">
        <f t="shared" si="88"/>
        <v>7</v>
      </c>
      <c r="R754" s="30">
        <f t="shared" si="89"/>
        <v>122</v>
      </c>
      <c r="S754" s="30">
        <f t="shared" si="90"/>
        <v>129</v>
      </c>
    </row>
    <row r="755" spans="1:19" ht="18.75">
      <c r="A755" s="29">
        <v>8</v>
      </c>
      <c r="B755" s="15" t="str">
        <f>'Candidate List'!B9</f>
        <v>Darshan Sharma</v>
      </c>
      <c r="C755" s="13">
        <v>0</v>
      </c>
      <c r="D755" s="13">
        <v>1</v>
      </c>
      <c r="E755" s="13">
        <v>2</v>
      </c>
      <c r="F755" s="13">
        <v>0</v>
      </c>
      <c r="G755" s="13">
        <v>1</v>
      </c>
      <c r="H755" s="13">
        <v>1</v>
      </c>
      <c r="I755" s="13">
        <v>1</v>
      </c>
      <c r="J755" s="13">
        <v>3</v>
      </c>
      <c r="K755" s="13">
        <v>1</v>
      </c>
      <c r="L755" s="13">
        <v>0</v>
      </c>
      <c r="M755" s="13">
        <v>1</v>
      </c>
      <c r="N755" s="13">
        <v>0</v>
      </c>
      <c r="O755" s="13">
        <v>3</v>
      </c>
      <c r="P755" s="13">
        <v>0</v>
      </c>
      <c r="Q755" s="30">
        <f t="shared" si="88"/>
        <v>14</v>
      </c>
      <c r="R755" s="30">
        <f t="shared" si="89"/>
        <v>234</v>
      </c>
      <c r="S755" s="30">
        <f t="shared" si="90"/>
        <v>248</v>
      </c>
    </row>
    <row r="756" spans="1:19" ht="18.75">
      <c r="A756" s="29">
        <v>9</v>
      </c>
      <c r="B756" s="15" t="str">
        <f>'Candidate List'!B10</f>
        <v>Dilshad Ahmad</v>
      </c>
      <c r="C756" s="13">
        <v>24</v>
      </c>
      <c r="D756" s="13">
        <v>1</v>
      </c>
      <c r="E756" s="13">
        <v>0</v>
      </c>
      <c r="F756" s="13">
        <v>1</v>
      </c>
      <c r="G756" s="13">
        <v>1</v>
      </c>
      <c r="H756" s="13">
        <v>0</v>
      </c>
      <c r="I756" s="13">
        <v>0</v>
      </c>
      <c r="J756" s="13">
        <v>4</v>
      </c>
      <c r="K756" s="13">
        <v>1</v>
      </c>
      <c r="L756" s="13">
        <v>2</v>
      </c>
      <c r="M756" s="13">
        <v>1</v>
      </c>
      <c r="N756" s="13">
        <v>0</v>
      </c>
      <c r="O756" s="13">
        <v>0</v>
      </c>
      <c r="P756" s="13">
        <v>0</v>
      </c>
      <c r="Q756" s="30">
        <f t="shared" si="88"/>
        <v>35</v>
      </c>
      <c r="R756" s="30">
        <f t="shared" si="89"/>
        <v>1425</v>
      </c>
      <c r="S756" s="30">
        <f t="shared" si="90"/>
        <v>1460</v>
      </c>
    </row>
    <row r="757" spans="1:19" ht="18.75">
      <c r="A757" s="29">
        <v>10</v>
      </c>
      <c r="B757" s="15" t="str">
        <f>'Candidate List'!B11</f>
        <v>Raju Thakur</v>
      </c>
      <c r="C757" s="13">
        <v>5</v>
      </c>
      <c r="D757" s="13">
        <v>1</v>
      </c>
      <c r="E757" s="13">
        <v>0</v>
      </c>
      <c r="F757" s="13">
        <v>3</v>
      </c>
      <c r="G757" s="13">
        <v>2</v>
      </c>
      <c r="H757" s="13">
        <v>1</v>
      </c>
      <c r="I757" s="13">
        <v>9</v>
      </c>
      <c r="J757" s="13">
        <v>3</v>
      </c>
      <c r="K757" s="13">
        <v>3</v>
      </c>
      <c r="L757" s="13">
        <v>2</v>
      </c>
      <c r="M757" s="13">
        <v>7</v>
      </c>
      <c r="N757" s="13">
        <v>1</v>
      </c>
      <c r="O757" s="13">
        <v>6</v>
      </c>
      <c r="P757" s="13">
        <v>1</v>
      </c>
      <c r="Q757" s="30">
        <f t="shared" si="88"/>
        <v>44</v>
      </c>
      <c r="R757" s="30">
        <f t="shared" si="89"/>
        <v>790</v>
      </c>
      <c r="S757" s="30">
        <f t="shared" si="90"/>
        <v>834</v>
      </c>
    </row>
    <row r="758" spans="1:19" ht="18.75">
      <c r="A758" s="29">
        <v>11</v>
      </c>
      <c r="B758" s="15" t="str">
        <f>'Candidate List'!B12</f>
        <v>Bablu</v>
      </c>
      <c r="C758" s="13">
        <v>5</v>
      </c>
      <c r="D758" s="13">
        <v>1</v>
      </c>
      <c r="E758" s="13">
        <v>1</v>
      </c>
      <c r="F758" s="13">
        <v>1</v>
      </c>
      <c r="G758" s="13">
        <v>0</v>
      </c>
      <c r="H758" s="13">
        <v>1</v>
      </c>
      <c r="I758" s="13">
        <v>3</v>
      </c>
      <c r="J758" s="13">
        <v>1</v>
      </c>
      <c r="K758" s="13">
        <v>2</v>
      </c>
      <c r="L758" s="13">
        <v>2</v>
      </c>
      <c r="M758" s="13">
        <v>1</v>
      </c>
      <c r="N758" s="13">
        <v>0</v>
      </c>
      <c r="O758" s="13">
        <v>0</v>
      </c>
      <c r="P758" s="13">
        <v>0</v>
      </c>
      <c r="Q758" s="30">
        <f t="shared" si="88"/>
        <v>18</v>
      </c>
      <c r="R758" s="30">
        <f t="shared" si="89"/>
        <v>317</v>
      </c>
      <c r="S758" s="30">
        <f t="shared" si="90"/>
        <v>335</v>
      </c>
    </row>
    <row r="759" spans="1:19" ht="18.75">
      <c r="A759" s="29">
        <v>12</v>
      </c>
      <c r="B759" s="15" t="str">
        <f>'Candidate List'!B13</f>
        <v>NOTA</v>
      </c>
      <c r="C759" s="13">
        <v>3</v>
      </c>
      <c r="D759" s="13">
        <v>4</v>
      </c>
      <c r="E759" s="13">
        <v>1</v>
      </c>
      <c r="F759" s="13">
        <v>2</v>
      </c>
      <c r="G759" s="13">
        <v>1</v>
      </c>
      <c r="H759" s="13">
        <v>5</v>
      </c>
      <c r="I759" s="13">
        <v>2</v>
      </c>
      <c r="J759" s="13">
        <v>4</v>
      </c>
      <c r="K759" s="13">
        <v>11</v>
      </c>
      <c r="L759" s="13">
        <v>0</v>
      </c>
      <c r="M759" s="13">
        <v>4</v>
      </c>
      <c r="N759" s="13">
        <v>6</v>
      </c>
      <c r="O759" s="13">
        <v>3</v>
      </c>
      <c r="P759" s="13">
        <v>1</v>
      </c>
      <c r="Q759" s="30">
        <f t="shared" si="88"/>
        <v>47</v>
      </c>
      <c r="R759" s="30">
        <f t="shared" si="89"/>
        <v>727</v>
      </c>
      <c r="S759" s="30">
        <f t="shared" si="90"/>
        <v>774</v>
      </c>
    </row>
    <row r="760" spans="1:19">
      <c r="A760" s="187" t="s">
        <v>11</v>
      </c>
      <c r="B760" s="187"/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30">
        <f t="shared" si="88"/>
        <v>0</v>
      </c>
      <c r="R760" s="30">
        <f t="shared" si="89"/>
        <v>0</v>
      </c>
      <c r="S760" s="30">
        <f t="shared" si="90"/>
        <v>0</v>
      </c>
    </row>
    <row r="761" spans="1:19">
      <c r="A761" s="188" t="s">
        <v>12</v>
      </c>
      <c r="B761" s="188"/>
      <c r="C761" s="30">
        <f t="shared" ref="C761:P761" si="91">SUM(C748:C760)</f>
        <v>604</v>
      </c>
      <c r="D761" s="30">
        <f t="shared" si="91"/>
        <v>682</v>
      </c>
      <c r="E761" s="30">
        <f t="shared" si="91"/>
        <v>792</v>
      </c>
      <c r="F761" s="30">
        <f t="shared" si="91"/>
        <v>424</v>
      </c>
      <c r="G761" s="30">
        <f t="shared" si="91"/>
        <v>507</v>
      </c>
      <c r="H761" s="30">
        <f t="shared" si="91"/>
        <v>774</v>
      </c>
      <c r="I761" s="30">
        <f t="shared" si="91"/>
        <v>719</v>
      </c>
      <c r="J761" s="30">
        <f t="shared" si="91"/>
        <v>636</v>
      </c>
      <c r="K761" s="30">
        <f t="shared" si="91"/>
        <v>594</v>
      </c>
      <c r="L761" s="30">
        <f t="shared" si="91"/>
        <v>507</v>
      </c>
      <c r="M761" s="30">
        <f t="shared" si="91"/>
        <v>460</v>
      </c>
      <c r="N761" s="30">
        <f t="shared" si="91"/>
        <v>503</v>
      </c>
      <c r="O761" s="30">
        <f t="shared" si="91"/>
        <v>452</v>
      </c>
      <c r="P761" s="30">
        <f t="shared" si="91"/>
        <v>446</v>
      </c>
      <c r="Q761" s="30">
        <f t="shared" si="88"/>
        <v>8100</v>
      </c>
      <c r="R761" s="30">
        <f t="shared" si="89"/>
        <v>173577</v>
      </c>
      <c r="S761" s="30">
        <f t="shared" si="90"/>
        <v>181677</v>
      </c>
    </row>
    <row r="762" spans="1:19" ht="39.75" customHeight="1">
      <c r="A762" s="5"/>
      <c r="B762" s="5"/>
      <c r="C762" s="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8"/>
      <c r="R762" s="7"/>
      <c r="S762" s="7"/>
    </row>
    <row r="763" spans="1:19" ht="22.5">
      <c r="A763" s="31"/>
      <c r="B763" s="31"/>
      <c r="C763" s="10" t="s">
        <v>13</v>
      </c>
      <c r="D763" s="10" t="s">
        <v>13</v>
      </c>
      <c r="E763" s="10" t="s">
        <v>13</v>
      </c>
      <c r="F763" s="10" t="s">
        <v>13</v>
      </c>
      <c r="G763" s="10" t="s">
        <v>13</v>
      </c>
      <c r="H763" s="10" t="s">
        <v>13</v>
      </c>
      <c r="I763" s="10" t="s">
        <v>13</v>
      </c>
      <c r="J763" s="10" t="s">
        <v>13</v>
      </c>
      <c r="K763" s="10" t="s">
        <v>13</v>
      </c>
      <c r="L763" s="10" t="s">
        <v>13</v>
      </c>
      <c r="M763" s="10" t="s">
        <v>13</v>
      </c>
      <c r="N763" s="10" t="s">
        <v>13</v>
      </c>
      <c r="O763" s="10" t="s">
        <v>13</v>
      </c>
      <c r="P763" s="10" t="s">
        <v>13</v>
      </c>
      <c r="Q763" s="10" t="s">
        <v>13</v>
      </c>
      <c r="R763" s="10" t="s">
        <v>13</v>
      </c>
      <c r="S763" s="10" t="s">
        <v>13</v>
      </c>
    </row>
    <row r="764" spans="1:19" ht="38.25" customHeight="1">
      <c r="A764" s="31"/>
      <c r="B764" s="3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 ht="22.5">
      <c r="A765" s="31"/>
      <c r="B765" s="31"/>
      <c r="C765" s="10" t="s">
        <v>14</v>
      </c>
      <c r="D765" s="10" t="s">
        <v>14</v>
      </c>
      <c r="E765" s="10" t="s">
        <v>14</v>
      </c>
      <c r="F765" s="10" t="s">
        <v>14</v>
      </c>
      <c r="G765" s="10" t="s">
        <v>14</v>
      </c>
      <c r="H765" s="10" t="s">
        <v>14</v>
      </c>
      <c r="I765" s="10" t="s">
        <v>14</v>
      </c>
      <c r="J765" s="10" t="s">
        <v>14</v>
      </c>
      <c r="K765" s="10" t="s">
        <v>14</v>
      </c>
      <c r="L765" s="10" t="s">
        <v>14</v>
      </c>
      <c r="M765" s="10" t="s">
        <v>14</v>
      </c>
      <c r="N765" s="10" t="s">
        <v>14</v>
      </c>
      <c r="O765" s="10" t="s">
        <v>14</v>
      </c>
      <c r="P765" s="10" t="s">
        <v>14</v>
      </c>
      <c r="Q765" s="10" t="s">
        <v>14</v>
      </c>
      <c r="R765" s="10" t="s">
        <v>14</v>
      </c>
      <c r="S765" s="10" t="s">
        <v>14</v>
      </c>
    </row>
    <row r="766" spans="1:19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</row>
    <row r="767" spans="1:19">
      <c r="A767" s="189" t="s">
        <v>15</v>
      </c>
      <c r="B767" s="189"/>
      <c r="C767" s="164" t="s">
        <v>16</v>
      </c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31"/>
      <c r="S767" s="31"/>
    </row>
    <row r="768" spans="1:19">
      <c r="A768" s="31"/>
      <c r="B768" s="31"/>
      <c r="C768" s="164" t="s">
        <v>17</v>
      </c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31"/>
      <c r="S768" s="31"/>
    </row>
    <row r="769" spans="1:19">
      <c r="A769" s="31"/>
      <c r="B769" s="31"/>
      <c r="C769" s="164" t="s">
        <v>44</v>
      </c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31"/>
      <c r="S769" s="31"/>
    </row>
    <row r="770" spans="1:19">
      <c r="A770" s="31"/>
      <c r="B770" s="31"/>
      <c r="C770" s="164" t="s">
        <v>45</v>
      </c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31"/>
      <c r="S770" s="31"/>
    </row>
    <row r="775" spans="1:19" ht="26.25">
      <c r="A775" s="190" t="s">
        <v>0</v>
      </c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</row>
    <row r="776" spans="1:19" ht="19.5">
      <c r="A776" s="191" t="s">
        <v>1225</v>
      </c>
      <c r="B776" s="191"/>
      <c r="C776" s="191"/>
      <c r="D776" s="191"/>
      <c r="E776" s="191"/>
      <c r="F776" s="191"/>
      <c r="G776" s="191"/>
      <c r="H776" s="191"/>
      <c r="I776" s="1"/>
      <c r="J776" s="1"/>
      <c r="K776" s="192" t="s">
        <v>43</v>
      </c>
      <c r="L776" s="192"/>
      <c r="M776" s="192"/>
      <c r="N776" s="192"/>
      <c r="O776" s="1"/>
      <c r="P776" s="193" t="s">
        <v>1</v>
      </c>
      <c r="Q776" s="193"/>
      <c r="R776" s="194">
        <v>44630</v>
      </c>
      <c r="S776" s="194"/>
    </row>
    <row r="777" spans="1:19">
      <c r="A777" s="188" t="s">
        <v>2</v>
      </c>
      <c r="B777" s="188"/>
      <c r="C777" s="30">
        <v>1</v>
      </c>
      <c r="D777" s="30">
        <v>2</v>
      </c>
      <c r="E777" s="30">
        <v>3</v>
      </c>
      <c r="F777" s="30">
        <v>4</v>
      </c>
      <c r="G777" s="30">
        <v>5</v>
      </c>
      <c r="H777" s="30">
        <v>6</v>
      </c>
      <c r="I777" s="30">
        <v>7</v>
      </c>
      <c r="J777" s="30">
        <v>8</v>
      </c>
      <c r="K777" s="30">
        <v>9</v>
      </c>
      <c r="L777" s="30">
        <v>10</v>
      </c>
      <c r="M777" s="30">
        <v>11</v>
      </c>
      <c r="N777" s="30">
        <v>12</v>
      </c>
      <c r="O777" s="30">
        <v>13</v>
      </c>
      <c r="P777" s="30">
        <v>14</v>
      </c>
      <c r="Q777" s="195" t="s">
        <v>3</v>
      </c>
      <c r="R777" s="195" t="s">
        <v>4</v>
      </c>
      <c r="S777" s="195" t="s">
        <v>5</v>
      </c>
    </row>
    <row r="778" spans="1:19">
      <c r="A778" s="165" t="s">
        <v>6</v>
      </c>
      <c r="B778" s="167"/>
      <c r="C778" s="40">
        <f>'Booth detail'!LL1</f>
        <v>323</v>
      </c>
      <c r="D778" s="40">
        <f>'Booth detail'!LM1</f>
        <v>324</v>
      </c>
      <c r="E778" s="40">
        <f>'Booth detail'!LN1</f>
        <v>325</v>
      </c>
      <c r="F778" s="40">
        <f>'Booth detail'!LO1</f>
        <v>326</v>
      </c>
      <c r="G778" s="40">
        <f>'Booth detail'!LP1</f>
        <v>327</v>
      </c>
      <c r="H778" s="40">
        <f>'Booth detail'!LQ1</f>
        <v>328</v>
      </c>
      <c r="I778" s="40">
        <f>'Booth detail'!LR1</f>
        <v>329</v>
      </c>
      <c r="J778" s="40">
        <f>'Booth detail'!LS1</f>
        <v>330</v>
      </c>
      <c r="K778" s="40">
        <f>'Booth detail'!LT1</f>
        <v>331</v>
      </c>
      <c r="L778" s="40">
        <f>'Booth detail'!LU1</f>
        <v>332</v>
      </c>
      <c r="M778" s="40">
        <f>'Booth detail'!LV1</f>
        <v>333</v>
      </c>
      <c r="N778" s="40">
        <f>'Booth detail'!LW1</f>
        <v>334</v>
      </c>
      <c r="O778" s="40">
        <f>'Booth detail'!LX1</f>
        <v>335</v>
      </c>
      <c r="P778" s="40">
        <f>'Booth detail'!LY1</f>
        <v>336</v>
      </c>
      <c r="Q778" s="196"/>
      <c r="R778" s="196"/>
      <c r="S778" s="196"/>
    </row>
    <row r="779" spans="1:19" ht="25.5">
      <c r="A779" s="165" t="s">
        <v>18</v>
      </c>
      <c r="B779" s="167"/>
      <c r="C779" s="44" t="str">
        <f>'Booth detail'!LL2</f>
        <v>ECUEC57211</v>
      </c>
      <c r="D779" s="44" t="str">
        <f>'Booth detail'!LM2</f>
        <v>ECUEC50095</v>
      </c>
      <c r="E779" s="44" t="str">
        <f>'Booth detail'!LN2</f>
        <v>ECUEC67425</v>
      </c>
      <c r="F779" s="44" t="str">
        <f>'Booth detail'!LO2</f>
        <v>ECUED25095</v>
      </c>
      <c r="G779" s="44" t="str">
        <f>'Booth detail'!LP2</f>
        <v>ECUED14315</v>
      </c>
      <c r="H779" s="44" t="str">
        <f>'Booth detail'!LQ2</f>
        <v>ECUEC54024</v>
      </c>
      <c r="I779" s="44" t="str">
        <f>'Booth detail'!LR2</f>
        <v>ECUED12259</v>
      </c>
      <c r="J779" s="44" t="str">
        <f>'Booth detail'!LS2</f>
        <v>ECUEC57415</v>
      </c>
      <c r="K779" s="44" t="str">
        <f>'Booth detail'!LT2</f>
        <v>ECUEC50653</v>
      </c>
      <c r="L779" s="44" t="str">
        <f>'Booth detail'!LU2</f>
        <v>ECUEC64929</v>
      </c>
      <c r="M779" s="44" t="str">
        <f>'Booth detail'!LV2</f>
        <v>ECUEC50532</v>
      </c>
      <c r="N779" s="44" t="str">
        <f>'Booth detail'!LW2</f>
        <v>ECUEC67617</v>
      </c>
      <c r="O779" s="44" t="str">
        <f>'Booth detail'!LX2</f>
        <v>ECUEC50648</v>
      </c>
      <c r="P779" s="44" t="str">
        <f>'Booth detail'!LY2</f>
        <v>ECUEC51527</v>
      </c>
      <c r="Q779" s="196"/>
      <c r="R779" s="196"/>
      <c r="S779" s="196"/>
    </row>
    <row r="780" spans="1:19" ht="45" customHeight="1">
      <c r="A780" s="198" t="s">
        <v>20</v>
      </c>
      <c r="B780" s="199"/>
      <c r="C780" s="55" t="str">
        <f>'Booth detail'!LL3</f>
        <v>-</v>
      </c>
      <c r="D780" s="55" t="str">
        <f>'Booth detail'!LM3</f>
        <v>-</v>
      </c>
      <c r="E780" s="55" t="str">
        <f>'Booth detail'!LN3</f>
        <v>-</v>
      </c>
      <c r="F780" s="55" t="str">
        <f>'Booth detail'!LO3</f>
        <v>-</v>
      </c>
      <c r="G780" s="55" t="str">
        <f>'Booth detail'!LP3</f>
        <v>-</v>
      </c>
      <c r="H780" s="55" t="str">
        <f>'Booth detail'!LQ3</f>
        <v>-</v>
      </c>
      <c r="I780" s="55" t="str">
        <f>'Booth detail'!LR3</f>
        <v>-</v>
      </c>
      <c r="J780" s="55" t="str">
        <f>'Booth detail'!LS3</f>
        <v>-</v>
      </c>
      <c r="K780" s="55" t="str">
        <f>'Booth detail'!LT3</f>
        <v>-</v>
      </c>
      <c r="L780" s="55" t="str">
        <f>'Booth detail'!LU3</f>
        <v>-</v>
      </c>
      <c r="M780" s="55" t="str">
        <f>'Booth detail'!LV3</f>
        <v>-</v>
      </c>
      <c r="N780" s="55" t="str">
        <f>'Booth detail'!LW3</f>
        <v>-</v>
      </c>
      <c r="O780" s="55" t="str">
        <f>'Booth detail'!LX3</f>
        <v>-</v>
      </c>
      <c r="P780" s="55" t="str">
        <f>'Booth detail'!LY3</f>
        <v>-</v>
      </c>
      <c r="Q780" s="196"/>
      <c r="R780" s="196"/>
      <c r="S780" s="196"/>
    </row>
    <row r="781" spans="1:19">
      <c r="A781" s="14" t="s">
        <v>7</v>
      </c>
      <c r="B781" s="32" t="s">
        <v>8</v>
      </c>
      <c r="C781" s="33" t="s">
        <v>9</v>
      </c>
      <c r="D781" s="33" t="s">
        <v>9</v>
      </c>
      <c r="E781" s="33" t="s">
        <v>9</v>
      </c>
      <c r="F781" s="33" t="s">
        <v>9</v>
      </c>
      <c r="G781" s="33" t="s">
        <v>9</v>
      </c>
      <c r="H781" s="33" t="s">
        <v>9</v>
      </c>
      <c r="I781" s="33" t="s">
        <v>9</v>
      </c>
      <c r="J781" s="33" t="s">
        <v>9</v>
      </c>
      <c r="K781" s="33" t="s">
        <v>9</v>
      </c>
      <c r="L781" s="33" t="s">
        <v>9</v>
      </c>
      <c r="M781" s="33" t="s">
        <v>9</v>
      </c>
      <c r="N781" s="33" t="s">
        <v>9</v>
      </c>
      <c r="O781" s="33" t="s">
        <v>9</v>
      </c>
      <c r="P781" s="33" t="s">
        <v>9</v>
      </c>
      <c r="Q781" s="197"/>
      <c r="R781" s="197"/>
      <c r="S781" s="197"/>
    </row>
    <row r="782" spans="1:19" ht="18.75">
      <c r="A782" s="29">
        <v>1</v>
      </c>
      <c r="B782" s="15" t="str">
        <f>'Candidate List'!B2</f>
        <v>Manveer Singh</v>
      </c>
      <c r="C782" s="13">
        <v>169</v>
      </c>
      <c r="D782" s="13">
        <v>201</v>
      </c>
      <c r="E782" s="13">
        <v>118</v>
      </c>
      <c r="F782" s="13">
        <v>119</v>
      </c>
      <c r="G782" s="13">
        <v>168</v>
      </c>
      <c r="H782" s="13">
        <v>12</v>
      </c>
      <c r="I782" s="13">
        <v>5</v>
      </c>
      <c r="J782" s="13">
        <v>1</v>
      </c>
      <c r="K782" s="13">
        <v>162</v>
      </c>
      <c r="L782" s="13">
        <v>181</v>
      </c>
      <c r="M782" s="13">
        <v>492</v>
      </c>
      <c r="N782" s="13">
        <v>69</v>
      </c>
      <c r="O782" s="13">
        <v>320</v>
      </c>
      <c r="P782" s="13">
        <v>80</v>
      </c>
      <c r="Q782" s="30">
        <f>SUM(C782:P782)</f>
        <v>2097</v>
      </c>
      <c r="R782" s="30">
        <f>S748</f>
        <v>26260</v>
      </c>
      <c r="S782" s="30">
        <f>Q782+R782</f>
        <v>28357</v>
      </c>
    </row>
    <row r="783" spans="1:19" ht="18.75">
      <c r="A783" s="29">
        <v>2</v>
      </c>
      <c r="B783" s="15" t="str">
        <f>'Candidate List'!B3</f>
        <v>Rahul Yadav</v>
      </c>
      <c r="C783" s="13">
        <v>25</v>
      </c>
      <c r="D783" s="13">
        <v>74</v>
      </c>
      <c r="E783" s="13">
        <v>30</v>
      </c>
      <c r="F783" s="13">
        <v>27</v>
      </c>
      <c r="G783" s="13">
        <v>34</v>
      </c>
      <c r="H783" s="13">
        <v>97</v>
      </c>
      <c r="I783" s="13">
        <v>140</v>
      </c>
      <c r="J783" s="13">
        <v>69</v>
      </c>
      <c r="K783" s="13">
        <v>62</v>
      </c>
      <c r="L783" s="13">
        <v>35</v>
      </c>
      <c r="M783" s="13">
        <v>15</v>
      </c>
      <c r="N783" s="13">
        <v>320</v>
      </c>
      <c r="O783" s="13">
        <v>115</v>
      </c>
      <c r="P783" s="13">
        <v>236</v>
      </c>
      <c r="Q783" s="30">
        <f t="shared" ref="Q783:Q795" si="92">SUM(C783:P783)</f>
        <v>1279</v>
      </c>
      <c r="R783" s="30">
        <f t="shared" ref="R783:R795" si="93">S749</f>
        <v>75572</v>
      </c>
      <c r="S783" s="30">
        <f t="shared" ref="S783:S795" si="94">Q783+R783</f>
        <v>76851</v>
      </c>
    </row>
    <row r="784" spans="1:19" ht="18.75">
      <c r="A784" s="29">
        <v>3</v>
      </c>
      <c r="B784" s="15" t="str">
        <f>'Candidate List'!B4</f>
        <v>Lakshmi Raj</v>
      </c>
      <c r="C784" s="13">
        <v>483</v>
      </c>
      <c r="D784" s="13">
        <v>285</v>
      </c>
      <c r="E784" s="13">
        <v>181</v>
      </c>
      <c r="F784" s="13">
        <v>490</v>
      </c>
      <c r="G784" s="13">
        <v>385</v>
      </c>
      <c r="H784" s="13">
        <v>264</v>
      </c>
      <c r="I784" s="13">
        <v>256</v>
      </c>
      <c r="J784" s="13">
        <v>321</v>
      </c>
      <c r="K784" s="13">
        <v>298</v>
      </c>
      <c r="L784" s="13">
        <v>142</v>
      </c>
      <c r="M784" s="13">
        <v>85</v>
      </c>
      <c r="N784" s="13">
        <v>79</v>
      </c>
      <c r="O784" s="13">
        <v>53</v>
      </c>
      <c r="P784" s="13">
        <v>392</v>
      </c>
      <c r="Q784" s="30">
        <f t="shared" si="92"/>
        <v>3714</v>
      </c>
      <c r="R784" s="30">
        <f t="shared" si="93"/>
        <v>73825</v>
      </c>
      <c r="S784" s="30">
        <f t="shared" si="94"/>
        <v>77539</v>
      </c>
    </row>
    <row r="785" spans="1:19" ht="18.75">
      <c r="A785" s="29">
        <v>4</v>
      </c>
      <c r="B785" s="15" t="str">
        <f>'Candidate List'!B5</f>
        <v>Saleem Akhtar Khan</v>
      </c>
      <c r="C785" s="13">
        <v>3</v>
      </c>
      <c r="D785" s="13">
        <v>5</v>
      </c>
      <c r="E785" s="13">
        <v>1</v>
      </c>
      <c r="F785" s="13">
        <v>3</v>
      </c>
      <c r="G785" s="13">
        <v>1</v>
      </c>
      <c r="H785" s="13">
        <v>2</v>
      </c>
      <c r="I785" s="13">
        <v>3</v>
      </c>
      <c r="J785" s="13">
        <v>1</v>
      </c>
      <c r="K785" s="13">
        <v>5</v>
      </c>
      <c r="L785" s="13">
        <v>3</v>
      </c>
      <c r="M785" s="13">
        <v>2</v>
      </c>
      <c r="N785" s="13">
        <v>1</v>
      </c>
      <c r="O785" s="13">
        <v>3</v>
      </c>
      <c r="P785" s="13">
        <v>3</v>
      </c>
      <c r="Q785" s="30">
        <f t="shared" si="92"/>
        <v>36</v>
      </c>
      <c r="R785" s="30">
        <f t="shared" si="93"/>
        <v>1603</v>
      </c>
      <c r="S785" s="30">
        <f t="shared" si="94"/>
        <v>1639</v>
      </c>
    </row>
    <row r="786" spans="1:19" ht="18.75">
      <c r="A786" s="29">
        <v>5</v>
      </c>
      <c r="B786" s="15" t="str">
        <f>'Candidate List'!B6</f>
        <v>Ajay Kumar</v>
      </c>
      <c r="C786" s="13">
        <v>1</v>
      </c>
      <c r="D786" s="13">
        <v>12</v>
      </c>
      <c r="E786" s="13">
        <v>11</v>
      </c>
      <c r="F786" s="13">
        <v>10</v>
      </c>
      <c r="G786" s="13">
        <v>5</v>
      </c>
      <c r="H786" s="13">
        <v>0</v>
      </c>
      <c r="I786" s="13">
        <v>0</v>
      </c>
      <c r="J786" s="13">
        <v>0</v>
      </c>
      <c r="K786" s="13">
        <v>2</v>
      </c>
      <c r="L786" s="13">
        <v>1</v>
      </c>
      <c r="M786" s="13">
        <v>0</v>
      </c>
      <c r="N786" s="13">
        <v>0</v>
      </c>
      <c r="O786" s="13">
        <v>0</v>
      </c>
      <c r="P786" s="13">
        <v>1</v>
      </c>
      <c r="Q786" s="30">
        <f t="shared" si="92"/>
        <v>43</v>
      </c>
      <c r="R786" s="30">
        <f t="shared" si="93"/>
        <v>566</v>
      </c>
      <c r="S786" s="30">
        <f t="shared" si="94"/>
        <v>609</v>
      </c>
    </row>
    <row r="787" spans="1:19" ht="18.75">
      <c r="A787" s="29">
        <v>6</v>
      </c>
      <c r="B787" s="15" t="str">
        <f>'Candidate List'!B7</f>
        <v>Ajay Kumar Sharma</v>
      </c>
      <c r="C787" s="13">
        <v>0</v>
      </c>
      <c r="D787" s="13">
        <v>3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1</v>
      </c>
      <c r="L787" s="13">
        <v>0</v>
      </c>
      <c r="M787" s="13">
        <v>0</v>
      </c>
      <c r="N787" s="13">
        <v>0</v>
      </c>
      <c r="O787" s="13">
        <v>0</v>
      </c>
      <c r="P787" s="13">
        <v>2</v>
      </c>
      <c r="Q787" s="30">
        <f t="shared" si="92"/>
        <v>6</v>
      </c>
      <c r="R787" s="30">
        <f t="shared" si="93"/>
        <v>71</v>
      </c>
      <c r="S787" s="30">
        <f t="shared" si="94"/>
        <v>77</v>
      </c>
    </row>
    <row r="788" spans="1:19" ht="18.75">
      <c r="A788" s="29">
        <v>7</v>
      </c>
      <c r="B788" s="15" t="str">
        <f>'Candidate List'!B8</f>
        <v>Amit Singh Tomar</v>
      </c>
      <c r="C788" s="13">
        <v>0</v>
      </c>
      <c r="D788" s="13">
        <v>0</v>
      </c>
      <c r="E788" s="13">
        <v>0</v>
      </c>
      <c r="F788" s="13">
        <v>1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2</v>
      </c>
      <c r="Q788" s="30">
        <f t="shared" si="92"/>
        <v>3</v>
      </c>
      <c r="R788" s="30">
        <f t="shared" si="93"/>
        <v>129</v>
      </c>
      <c r="S788" s="30">
        <f t="shared" si="94"/>
        <v>132</v>
      </c>
    </row>
    <row r="789" spans="1:19" ht="18.75">
      <c r="A789" s="29">
        <v>8</v>
      </c>
      <c r="B789" s="15" t="str">
        <f>'Candidate List'!B9</f>
        <v>Darshan Sharma</v>
      </c>
      <c r="C789" s="13">
        <v>2</v>
      </c>
      <c r="D789" s="13">
        <v>1</v>
      </c>
      <c r="E789" s="13">
        <v>0</v>
      </c>
      <c r="F789" s="13">
        <v>0</v>
      </c>
      <c r="G789" s="13">
        <v>1</v>
      </c>
      <c r="H789" s="13">
        <v>1</v>
      </c>
      <c r="I789" s="13">
        <v>0</v>
      </c>
      <c r="J789" s="13">
        <v>0</v>
      </c>
      <c r="K789" s="13">
        <v>3</v>
      </c>
      <c r="L789" s="13">
        <v>0</v>
      </c>
      <c r="M789" s="13">
        <v>1</v>
      </c>
      <c r="N789" s="13">
        <v>1</v>
      </c>
      <c r="O789" s="13">
        <v>1</v>
      </c>
      <c r="P789" s="13">
        <v>2</v>
      </c>
      <c r="Q789" s="30">
        <f t="shared" si="92"/>
        <v>13</v>
      </c>
      <c r="R789" s="30">
        <f t="shared" si="93"/>
        <v>248</v>
      </c>
      <c r="S789" s="30">
        <f t="shared" si="94"/>
        <v>261</v>
      </c>
    </row>
    <row r="790" spans="1:19" ht="18.75">
      <c r="A790" s="29">
        <v>9</v>
      </c>
      <c r="B790" s="15" t="str">
        <f>'Candidate List'!B10</f>
        <v>Dilshad Ahmad</v>
      </c>
      <c r="C790" s="13">
        <v>0</v>
      </c>
      <c r="D790" s="13">
        <v>0</v>
      </c>
      <c r="E790" s="13">
        <v>0</v>
      </c>
      <c r="F790" s="13">
        <v>1</v>
      </c>
      <c r="G790" s="13">
        <v>0</v>
      </c>
      <c r="H790" s="13">
        <v>0</v>
      </c>
      <c r="I790" s="13">
        <v>0</v>
      </c>
      <c r="J790" s="13">
        <v>0</v>
      </c>
      <c r="K790" s="13">
        <v>1</v>
      </c>
      <c r="L790" s="13">
        <v>2</v>
      </c>
      <c r="M790" s="13">
        <v>1</v>
      </c>
      <c r="N790" s="13">
        <v>2</v>
      </c>
      <c r="O790" s="13">
        <v>2</v>
      </c>
      <c r="P790" s="13">
        <v>1</v>
      </c>
      <c r="Q790" s="30">
        <f t="shared" si="92"/>
        <v>10</v>
      </c>
      <c r="R790" s="30">
        <f t="shared" si="93"/>
        <v>1460</v>
      </c>
      <c r="S790" s="30">
        <f t="shared" si="94"/>
        <v>1470</v>
      </c>
    </row>
    <row r="791" spans="1:19" ht="18.75">
      <c r="A791" s="29">
        <v>10</v>
      </c>
      <c r="B791" s="15" t="str">
        <f>'Candidate List'!B11</f>
        <v>Raju Thakur</v>
      </c>
      <c r="C791" s="13">
        <v>5</v>
      </c>
      <c r="D791" s="13">
        <v>8</v>
      </c>
      <c r="E791" s="13">
        <v>2</v>
      </c>
      <c r="F791" s="13">
        <v>3</v>
      </c>
      <c r="G791" s="13">
        <v>1</v>
      </c>
      <c r="H791" s="13">
        <v>1</v>
      </c>
      <c r="I791" s="13">
        <v>0</v>
      </c>
      <c r="J791" s="13">
        <v>2</v>
      </c>
      <c r="K791" s="13">
        <v>2</v>
      </c>
      <c r="L791" s="13">
        <v>1</v>
      </c>
      <c r="M791" s="13">
        <v>0</v>
      </c>
      <c r="N791" s="13">
        <v>2</v>
      </c>
      <c r="O791" s="13">
        <v>1</v>
      </c>
      <c r="P791" s="13">
        <v>7</v>
      </c>
      <c r="Q791" s="30">
        <f t="shared" si="92"/>
        <v>35</v>
      </c>
      <c r="R791" s="30">
        <f t="shared" si="93"/>
        <v>834</v>
      </c>
      <c r="S791" s="30">
        <f t="shared" si="94"/>
        <v>869</v>
      </c>
    </row>
    <row r="792" spans="1:19" ht="18.75">
      <c r="A792" s="29">
        <v>11</v>
      </c>
      <c r="B792" s="15" t="str">
        <f>'Candidate List'!B12</f>
        <v>Bablu</v>
      </c>
      <c r="C792" s="13">
        <v>2</v>
      </c>
      <c r="D792" s="13">
        <v>2</v>
      </c>
      <c r="E792" s="13">
        <v>1</v>
      </c>
      <c r="F792" s="13">
        <v>2</v>
      </c>
      <c r="G792" s="13">
        <v>1</v>
      </c>
      <c r="H792" s="13">
        <v>0</v>
      </c>
      <c r="I792" s="13">
        <v>0</v>
      </c>
      <c r="J792" s="13">
        <v>0</v>
      </c>
      <c r="K792" s="13">
        <v>2</v>
      </c>
      <c r="L792" s="13">
        <v>0</v>
      </c>
      <c r="M792" s="13">
        <v>2</v>
      </c>
      <c r="N792" s="13">
        <v>3</v>
      </c>
      <c r="O792" s="13">
        <v>0</v>
      </c>
      <c r="P792" s="13">
        <v>2</v>
      </c>
      <c r="Q792" s="30">
        <f t="shared" si="92"/>
        <v>17</v>
      </c>
      <c r="R792" s="30">
        <f t="shared" si="93"/>
        <v>335</v>
      </c>
      <c r="S792" s="30">
        <f t="shared" si="94"/>
        <v>352</v>
      </c>
    </row>
    <row r="793" spans="1:19" ht="18.75">
      <c r="A793" s="29">
        <v>12</v>
      </c>
      <c r="B793" s="15" t="str">
        <f>'Candidate List'!B13</f>
        <v>NOTA</v>
      </c>
      <c r="C793" s="13">
        <v>2</v>
      </c>
      <c r="D793" s="13">
        <v>5</v>
      </c>
      <c r="E793" s="13">
        <v>1</v>
      </c>
      <c r="F793" s="13">
        <v>3</v>
      </c>
      <c r="G793" s="13">
        <v>1</v>
      </c>
      <c r="H793" s="13">
        <v>1</v>
      </c>
      <c r="I793" s="13">
        <v>1</v>
      </c>
      <c r="J793" s="13">
        <v>2</v>
      </c>
      <c r="K793" s="13">
        <v>9</v>
      </c>
      <c r="L793" s="13">
        <v>5</v>
      </c>
      <c r="M793" s="13">
        <v>12</v>
      </c>
      <c r="N793" s="13">
        <v>2</v>
      </c>
      <c r="O793" s="13">
        <v>8</v>
      </c>
      <c r="P793" s="13">
        <v>3</v>
      </c>
      <c r="Q793" s="30">
        <f t="shared" si="92"/>
        <v>55</v>
      </c>
      <c r="R793" s="30">
        <f t="shared" si="93"/>
        <v>774</v>
      </c>
      <c r="S793" s="30">
        <f t="shared" si="94"/>
        <v>829</v>
      </c>
    </row>
    <row r="794" spans="1:19">
      <c r="A794" s="187" t="s">
        <v>11</v>
      </c>
      <c r="B794" s="187"/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30">
        <f t="shared" si="92"/>
        <v>0</v>
      </c>
      <c r="R794" s="30">
        <f t="shared" si="93"/>
        <v>0</v>
      </c>
      <c r="S794" s="30">
        <f t="shared" si="94"/>
        <v>0</v>
      </c>
    </row>
    <row r="795" spans="1:19">
      <c r="A795" s="188" t="s">
        <v>12</v>
      </c>
      <c r="B795" s="188"/>
      <c r="C795" s="30">
        <f t="shared" ref="C795:P795" si="95">SUM(C782:C794)</f>
        <v>692</v>
      </c>
      <c r="D795" s="30">
        <f t="shared" si="95"/>
        <v>596</v>
      </c>
      <c r="E795" s="30">
        <f t="shared" si="95"/>
        <v>345</v>
      </c>
      <c r="F795" s="30">
        <f t="shared" si="95"/>
        <v>659</v>
      </c>
      <c r="G795" s="30">
        <f t="shared" si="95"/>
        <v>597</v>
      </c>
      <c r="H795" s="30">
        <f t="shared" si="95"/>
        <v>378</v>
      </c>
      <c r="I795" s="30">
        <f t="shared" si="95"/>
        <v>405</v>
      </c>
      <c r="J795" s="30">
        <f t="shared" si="95"/>
        <v>396</v>
      </c>
      <c r="K795" s="30">
        <f t="shared" si="95"/>
        <v>547</v>
      </c>
      <c r="L795" s="30">
        <f t="shared" si="95"/>
        <v>370</v>
      </c>
      <c r="M795" s="30">
        <f t="shared" si="95"/>
        <v>610</v>
      </c>
      <c r="N795" s="30">
        <f t="shared" si="95"/>
        <v>479</v>
      </c>
      <c r="O795" s="30">
        <f t="shared" si="95"/>
        <v>503</v>
      </c>
      <c r="P795" s="30">
        <f t="shared" si="95"/>
        <v>731</v>
      </c>
      <c r="Q795" s="30">
        <f t="shared" si="92"/>
        <v>7308</v>
      </c>
      <c r="R795" s="30">
        <f t="shared" si="93"/>
        <v>181677</v>
      </c>
      <c r="S795" s="30">
        <f t="shared" si="94"/>
        <v>188985</v>
      </c>
    </row>
    <row r="796" spans="1:19" ht="39.75" customHeight="1">
      <c r="A796" s="5"/>
      <c r="B796" s="5"/>
      <c r="C796" s="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8"/>
      <c r="R796" s="7"/>
      <c r="S796" s="7"/>
    </row>
    <row r="797" spans="1:19" ht="22.5">
      <c r="A797" s="31"/>
      <c r="B797" s="31"/>
      <c r="C797" s="10" t="s">
        <v>13</v>
      </c>
      <c r="D797" s="10" t="s">
        <v>13</v>
      </c>
      <c r="E797" s="10" t="s">
        <v>13</v>
      </c>
      <c r="F797" s="10" t="s">
        <v>13</v>
      </c>
      <c r="G797" s="10" t="s">
        <v>13</v>
      </c>
      <c r="H797" s="10" t="s">
        <v>13</v>
      </c>
      <c r="I797" s="10" t="s">
        <v>13</v>
      </c>
      <c r="J797" s="10" t="s">
        <v>13</v>
      </c>
      <c r="K797" s="10" t="s">
        <v>13</v>
      </c>
      <c r="L797" s="10" t="s">
        <v>13</v>
      </c>
      <c r="M797" s="10" t="s">
        <v>13</v>
      </c>
      <c r="N797" s="10" t="s">
        <v>13</v>
      </c>
      <c r="O797" s="10" t="s">
        <v>13</v>
      </c>
      <c r="P797" s="10" t="s">
        <v>13</v>
      </c>
      <c r="Q797" s="10" t="s">
        <v>13</v>
      </c>
      <c r="R797" s="10" t="s">
        <v>13</v>
      </c>
      <c r="S797" s="10" t="s">
        <v>13</v>
      </c>
    </row>
    <row r="798" spans="1:19" ht="36" customHeight="1">
      <c r="A798" s="31"/>
      <c r="B798" s="3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 ht="22.5">
      <c r="A799" s="31"/>
      <c r="B799" s="31"/>
      <c r="C799" s="10" t="s">
        <v>14</v>
      </c>
      <c r="D799" s="10" t="s">
        <v>14</v>
      </c>
      <c r="E799" s="10" t="s">
        <v>14</v>
      </c>
      <c r="F799" s="10" t="s">
        <v>14</v>
      </c>
      <c r="G799" s="10" t="s">
        <v>14</v>
      </c>
      <c r="H799" s="10" t="s">
        <v>14</v>
      </c>
      <c r="I799" s="10" t="s">
        <v>14</v>
      </c>
      <c r="J799" s="10" t="s">
        <v>14</v>
      </c>
      <c r="K799" s="10" t="s">
        <v>14</v>
      </c>
      <c r="L799" s="10" t="s">
        <v>14</v>
      </c>
      <c r="M799" s="10" t="s">
        <v>14</v>
      </c>
      <c r="N799" s="10" t="s">
        <v>14</v>
      </c>
      <c r="O799" s="10" t="s">
        <v>14</v>
      </c>
      <c r="P799" s="10" t="s">
        <v>14</v>
      </c>
      <c r="Q799" s="10" t="s">
        <v>14</v>
      </c>
      <c r="R799" s="10" t="s">
        <v>14</v>
      </c>
      <c r="S799" s="10" t="s">
        <v>14</v>
      </c>
    </row>
    <row r="800" spans="1:19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</row>
    <row r="801" spans="1:19">
      <c r="A801" s="189" t="s">
        <v>15</v>
      </c>
      <c r="B801" s="189"/>
      <c r="C801" s="164" t="s">
        <v>16</v>
      </c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31"/>
      <c r="S801" s="31"/>
    </row>
    <row r="802" spans="1:19">
      <c r="A802" s="31"/>
      <c r="B802" s="31"/>
      <c r="C802" s="164" t="s">
        <v>17</v>
      </c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31"/>
      <c r="S802" s="31"/>
    </row>
    <row r="803" spans="1:19">
      <c r="A803" s="31"/>
      <c r="B803" s="31"/>
      <c r="C803" s="164" t="s">
        <v>44</v>
      </c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31"/>
      <c r="S803" s="31"/>
    </row>
    <row r="804" spans="1:19">
      <c r="A804" s="31"/>
      <c r="B804" s="31"/>
      <c r="C804" s="164" t="s">
        <v>45</v>
      </c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31"/>
      <c r="S804" s="31"/>
    </row>
    <row r="809" spans="1:19" ht="26.25">
      <c r="A809" s="190" t="s">
        <v>0</v>
      </c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</row>
    <row r="810" spans="1:19" ht="19.5">
      <c r="A810" s="191" t="s">
        <v>1225</v>
      </c>
      <c r="B810" s="191"/>
      <c r="C810" s="191"/>
      <c r="D810" s="191"/>
      <c r="E810" s="191"/>
      <c r="F810" s="191"/>
      <c r="G810" s="191"/>
      <c r="H810" s="191"/>
      <c r="I810" s="1"/>
      <c r="J810" s="1"/>
      <c r="K810" s="192" t="s">
        <v>75</v>
      </c>
      <c r="L810" s="192"/>
      <c r="M810" s="192"/>
      <c r="N810" s="192"/>
      <c r="O810" s="1"/>
      <c r="P810" s="193" t="s">
        <v>1</v>
      </c>
      <c r="Q810" s="193"/>
      <c r="R810" s="194">
        <v>44630</v>
      </c>
      <c r="S810" s="194"/>
    </row>
    <row r="811" spans="1:19">
      <c r="A811" s="188" t="s">
        <v>2</v>
      </c>
      <c r="B811" s="188"/>
      <c r="C811" s="30">
        <v>1</v>
      </c>
      <c r="D811" s="30">
        <v>2</v>
      </c>
      <c r="E811" s="30">
        <v>3</v>
      </c>
      <c r="F811" s="30">
        <v>4</v>
      </c>
      <c r="G811" s="30">
        <v>5</v>
      </c>
      <c r="H811" s="30">
        <v>6</v>
      </c>
      <c r="I811" s="30">
        <v>7</v>
      </c>
      <c r="J811" s="30">
        <v>8</v>
      </c>
      <c r="K811" s="30">
        <v>9</v>
      </c>
      <c r="L811" s="30">
        <v>10</v>
      </c>
      <c r="M811" s="30">
        <v>11</v>
      </c>
      <c r="N811" s="30">
        <v>12</v>
      </c>
      <c r="O811" s="30">
        <v>13</v>
      </c>
      <c r="P811" s="30">
        <v>14</v>
      </c>
      <c r="Q811" s="195" t="s">
        <v>3</v>
      </c>
      <c r="R811" s="195" t="s">
        <v>4</v>
      </c>
      <c r="S811" s="195" t="s">
        <v>5</v>
      </c>
    </row>
    <row r="812" spans="1:19">
      <c r="A812" s="165" t="s">
        <v>6</v>
      </c>
      <c r="B812" s="167"/>
      <c r="C812" s="49">
        <f>'Booth detail'!LZ1</f>
        <v>337</v>
      </c>
      <c r="D812" s="49">
        <f>'Booth detail'!MA1</f>
        <v>338</v>
      </c>
      <c r="E812" s="49">
        <f>'Booth detail'!MB1</f>
        <v>339</v>
      </c>
      <c r="F812" s="49">
        <f>'Booth detail'!MC1</f>
        <v>340</v>
      </c>
      <c r="G812" s="49">
        <f>'Booth detail'!MD1</f>
        <v>341</v>
      </c>
      <c r="H812" s="49">
        <f>'Booth detail'!ME1</f>
        <v>342</v>
      </c>
      <c r="I812" s="49">
        <f>'Booth detail'!MF1</f>
        <v>343</v>
      </c>
      <c r="J812" s="49">
        <f>'Booth detail'!MG1</f>
        <v>344</v>
      </c>
      <c r="K812" s="49">
        <f>'Booth detail'!MH1</f>
        <v>345</v>
      </c>
      <c r="L812" s="49">
        <f>'Booth detail'!MI1</f>
        <v>346</v>
      </c>
      <c r="M812" s="49">
        <f>'Booth detail'!MJ1</f>
        <v>347</v>
      </c>
      <c r="N812" s="49">
        <f>'Booth detail'!MK1</f>
        <v>348</v>
      </c>
      <c r="O812" s="49">
        <f>'Booth detail'!ML1</f>
        <v>349</v>
      </c>
      <c r="P812" s="49">
        <f>'Booth detail'!MM1</f>
        <v>350</v>
      </c>
      <c r="Q812" s="196"/>
      <c r="R812" s="196"/>
      <c r="S812" s="196"/>
    </row>
    <row r="813" spans="1:19" ht="25.5">
      <c r="A813" s="165" t="s">
        <v>18</v>
      </c>
      <c r="B813" s="167"/>
      <c r="C813" s="50" t="str">
        <f>'Booth detail'!LZ2</f>
        <v>ECUED14247</v>
      </c>
      <c r="D813" s="50" t="str">
        <f>'Booth detail'!MA2</f>
        <v>ECUED24989</v>
      </c>
      <c r="E813" s="50" t="str">
        <f>'Booth detail'!MB2</f>
        <v>ECUEC47893</v>
      </c>
      <c r="F813" s="50" t="str">
        <f>'Booth detail'!MC2</f>
        <v>ECUEC57922</v>
      </c>
      <c r="G813" s="50" t="str">
        <f>'Booth detail'!MD2</f>
        <v>ECUEC67343</v>
      </c>
      <c r="H813" s="50" t="str">
        <f>'Booth detail'!ME2</f>
        <v>ECUEC57766</v>
      </c>
      <c r="I813" s="50" t="str">
        <f>'Booth detail'!MF2</f>
        <v>ECUEC64373</v>
      </c>
      <c r="J813" s="50" t="str">
        <f>'Booth detail'!MG2</f>
        <v>ECUEC47955</v>
      </c>
      <c r="K813" s="50" t="str">
        <f>'Booth detail'!MH2</f>
        <v>ECUEC63179</v>
      </c>
      <c r="L813" s="50" t="str">
        <f>'Booth detail'!MI2</f>
        <v>ECUEC50102</v>
      </c>
      <c r="M813" s="50" t="str">
        <f>'Booth detail'!MJ2</f>
        <v>ECUEC64794</v>
      </c>
      <c r="N813" s="50" t="str">
        <f>'Booth detail'!MK2</f>
        <v>ECUEC67535</v>
      </c>
      <c r="O813" s="50" t="str">
        <f>'Booth detail'!ML2</f>
        <v>ECUEC63678</v>
      </c>
      <c r="P813" s="50" t="str">
        <f>'Booth detail'!MM2</f>
        <v>ECUEC60935</v>
      </c>
      <c r="Q813" s="196"/>
      <c r="R813" s="196"/>
      <c r="S813" s="196"/>
    </row>
    <row r="814" spans="1:19" ht="41.25" customHeight="1">
      <c r="A814" s="198" t="s">
        <v>20</v>
      </c>
      <c r="B814" s="199"/>
      <c r="C814" s="65" t="str">
        <f>'Booth detail'!LZ3</f>
        <v>-</v>
      </c>
      <c r="D814" s="65" t="str">
        <f>'Booth detail'!MA3</f>
        <v>-</v>
      </c>
      <c r="E814" s="65" t="str">
        <f>'Booth detail'!MB3</f>
        <v>-</v>
      </c>
      <c r="F814" s="65" t="str">
        <f>'Booth detail'!MC3</f>
        <v>-</v>
      </c>
      <c r="G814" s="65" t="str">
        <f>'Booth detail'!MD3</f>
        <v>-</v>
      </c>
      <c r="H814" s="65" t="str">
        <f>'Booth detail'!ME3</f>
        <v>-</v>
      </c>
      <c r="I814" s="65" t="str">
        <f>'Booth detail'!MF3</f>
        <v>-</v>
      </c>
      <c r="J814" s="65" t="str">
        <f>'Booth detail'!MG3</f>
        <v>-</v>
      </c>
      <c r="K814" s="65" t="str">
        <f>'Booth detail'!MH3</f>
        <v>-</v>
      </c>
      <c r="L814" s="65" t="str">
        <f>'Booth detail'!MI3</f>
        <v>-</v>
      </c>
      <c r="M814" s="65" t="str">
        <f>'Booth detail'!MJ3</f>
        <v>-</v>
      </c>
      <c r="N814" s="65" t="str">
        <f>'Booth detail'!MK3</f>
        <v>-</v>
      </c>
      <c r="O814" s="65" t="str">
        <f>'Booth detail'!ML3</f>
        <v>-</v>
      </c>
      <c r="P814" s="65" t="str">
        <f>'Booth detail'!MM3</f>
        <v>-</v>
      </c>
      <c r="Q814" s="196"/>
      <c r="R814" s="196"/>
      <c r="S814" s="196"/>
    </row>
    <row r="815" spans="1:19">
      <c r="A815" s="14" t="s">
        <v>7</v>
      </c>
      <c r="B815" s="32" t="s">
        <v>8</v>
      </c>
      <c r="C815" s="33" t="s">
        <v>9</v>
      </c>
      <c r="D815" s="33" t="s">
        <v>9</v>
      </c>
      <c r="E815" s="33" t="s">
        <v>9</v>
      </c>
      <c r="F815" s="33" t="s">
        <v>9</v>
      </c>
      <c r="G815" s="33" t="s">
        <v>9</v>
      </c>
      <c r="H815" s="33" t="s">
        <v>9</v>
      </c>
      <c r="I815" s="33" t="s">
        <v>9</v>
      </c>
      <c r="J815" s="33" t="s">
        <v>9</v>
      </c>
      <c r="K815" s="33" t="s">
        <v>9</v>
      </c>
      <c r="L815" s="33" t="s">
        <v>9</v>
      </c>
      <c r="M815" s="33" t="s">
        <v>9</v>
      </c>
      <c r="N815" s="33" t="s">
        <v>9</v>
      </c>
      <c r="O815" s="33" t="s">
        <v>9</v>
      </c>
      <c r="P815" s="33" t="s">
        <v>9</v>
      </c>
      <c r="Q815" s="197"/>
      <c r="R815" s="197"/>
      <c r="S815" s="197"/>
    </row>
    <row r="816" spans="1:19" ht="18.75">
      <c r="A816" s="29">
        <v>1</v>
      </c>
      <c r="B816" s="15" t="str">
        <f>'Candidate List'!B2</f>
        <v>Manveer Singh</v>
      </c>
      <c r="C816" s="13">
        <v>63</v>
      </c>
      <c r="D816" s="13">
        <v>27</v>
      </c>
      <c r="E816" s="13">
        <v>118</v>
      </c>
      <c r="F816" s="13">
        <v>183</v>
      </c>
      <c r="G816" s="13">
        <v>170</v>
      </c>
      <c r="H816" s="13">
        <v>23</v>
      </c>
      <c r="I816" s="13">
        <v>157</v>
      </c>
      <c r="J816" s="13">
        <v>272</v>
      </c>
      <c r="K816" s="13">
        <v>5</v>
      </c>
      <c r="L816" s="13">
        <v>177</v>
      </c>
      <c r="M816" s="13">
        <v>132</v>
      </c>
      <c r="N816" s="13">
        <v>6</v>
      </c>
      <c r="O816" s="13">
        <v>20</v>
      </c>
      <c r="P816" s="13">
        <v>76</v>
      </c>
      <c r="Q816" s="30">
        <f>SUM(C816:P816)</f>
        <v>1429</v>
      </c>
      <c r="R816" s="30">
        <f>S782</f>
        <v>28357</v>
      </c>
      <c r="S816" s="30">
        <f>Q816+R816</f>
        <v>29786</v>
      </c>
    </row>
    <row r="817" spans="1:19" ht="18.75">
      <c r="A817" s="29">
        <v>2</v>
      </c>
      <c r="B817" s="15" t="str">
        <f>'Candidate List'!B3</f>
        <v>Rahul Yadav</v>
      </c>
      <c r="C817" s="13">
        <v>118</v>
      </c>
      <c r="D817" s="13">
        <v>279</v>
      </c>
      <c r="E817" s="13">
        <v>385</v>
      </c>
      <c r="F817" s="13">
        <v>500</v>
      </c>
      <c r="G817" s="13">
        <v>445</v>
      </c>
      <c r="H817" s="13">
        <v>206</v>
      </c>
      <c r="I817" s="13">
        <v>44</v>
      </c>
      <c r="J817" s="13">
        <v>196</v>
      </c>
      <c r="K817" s="13">
        <v>97</v>
      </c>
      <c r="L817" s="13">
        <v>293</v>
      </c>
      <c r="M817" s="13">
        <v>241</v>
      </c>
      <c r="N817" s="13">
        <v>543</v>
      </c>
      <c r="O817" s="13">
        <v>417</v>
      </c>
      <c r="P817" s="13">
        <v>137</v>
      </c>
      <c r="Q817" s="30">
        <f t="shared" ref="Q817:Q829" si="96">SUM(C817:P817)</f>
        <v>3901</v>
      </c>
      <c r="R817" s="30">
        <f t="shared" ref="R817:R829" si="97">S783</f>
        <v>76851</v>
      </c>
      <c r="S817" s="30">
        <f t="shared" ref="S817:S829" si="98">Q817+R817</f>
        <v>80752</v>
      </c>
    </row>
    <row r="818" spans="1:19" ht="18.75">
      <c r="A818" s="29">
        <v>3</v>
      </c>
      <c r="B818" s="15" t="str">
        <f>'Candidate List'!B4</f>
        <v>Lakshmi Raj</v>
      </c>
      <c r="C818" s="13">
        <v>286</v>
      </c>
      <c r="D818" s="13">
        <v>313</v>
      </c>
      <c r="E818" s="13">
        <v>172</v>
      </c>
      <c r="F818" s="13">
        <v>30</v>
      </c>
      <c r="G818" s="13">
        <v>51</v>
      </c>
      <c r="H818" s="13">
        <v>73</v>
      </c>
      <c r="I818" s="13">
        <v>313</v>
      </c>
      <c r="J818" s="13">
        <v>64</v>
      </c>
      <c r="K818" s="13">
        <v>414</v>
      </c>
      <c r="L818" s="13">
        <v>137</v>
      </c>
      <c r="M818" s="13">
        <v>129</v>
      </c>
      <c r="N818" s="13">
        <v>87</v>
      </c>
      <c r="O818" s="13">
        <v>141</v>
      </c>
      <c r="P818" s="13">
        <v>417</v>
      </c>
      <c r="Q818" s="30">
        <f t="shared" si="96"/>
        <v>2627</v>
      </c>
      <c r="R818" s="30">
        <f t="shared" si="97"/>
        <v>77539</v>
      </c>
      <c r="S818" s="30">
        <f t="shared" si="98"/>
        <v>80166</v>
      </c>
    </row>
    <row r="819" spans="1:19" ht="18.75">
      <c r="A819" s="29">
        <v>4</v>
      </c>
      <c r="B819" s="15" t="str">
        <f>'Candidate List'!B5</f>
        <v>Saleem Akhtar Khan</v>
      </c>
      <c r="C819" s="13">
        <v>5</v>
      </c>
      <c r="D819" s="13">
        <v>12</v>
      </c>
      <c r="E819" s="13">
        <v>1</v>
      </c>
      <c r="F819" s="13">
        <v>6</v>
      </c>
      <c r="G819" s="13">
        <v>4</v>
      </c>
      <c r="H819" s="13">
        <v>2</v>
      </c>
      <c r="I819" s="13">
        <v>1</v>
      </c>
      <c r="J819" s="13">
        <v>2</v>
      </c>
      <c r="K819" s="13">
        <v>9</v>
      </c>
      <c r="L819" s="13">
        <v>1</v>
      </c>
      <c r="M819" s="13">
        <v>3</v>
      </c>
      <c r="N819" s="13">
        <v>5</v>
      </c>
      <c r="O819" s="13">
        <v>1</v>
      </c>
      <c r="P819" s="13">
        <v>4</v>
      </c>
      <c r="Q819" s="30">
        <f t="shared" si="96"/>
        <v>56</v>
      </c>
      <c r="R819" s="30">
        <f t="shared" si="97"/>
        <v>1639</v>
      </c>
      <c r="S819" s="30">
        <f t="shared" si="98"/>
        <v>1695</v>
      </c>
    </row>
    <row r="820" spans="1:19" ht="18.75">
      <c r="A820" s="29">
        <v>5</v>
      </c>
      <c r="B820" s="15" t="str">
        <f>'Candidate List'!B6</f>
        <v>Ajay Kumar</v>
      </c>
      <c r="C820" s="13">
        <v>0</v>
      </c>
      <c r="D820" s="13">
        <v>1</v>
      </c>
      <c r="E820" s="13">
        <v>3</v>
      </c>
      <c r="F820" s="13">
        <v>2</v>
      </c>
      <c r="G820" s="13">
        <v>1</v>
      </c>
      <c r="H820" s="13">
        <v>2</v>
      </c>
      <c r="I820" s="13">
        <v>0</v>
      </c>
      <c r="J820" s="13">
        <v>0</v>
      </c>
      <c r="K820" s="13">
        <v>0</v>
      </c>
      <c r="L820" s="13">
        <v>1</v>
      </c>
      <c r="M820" s="13">
        <v>0</v>
      </c>
      <c r="N820" s="13">
        <v>0</v>
      </c>
      <c r="O820" s="13">
        <v>0</v>
      </c>
      <c r="P820" s="13">
        <v>0</v>
      </c>
      <c r="Q820" s="30">
        <f t="shared" si="96"/>
        <v>10</v>
      </c>
      <c r="R820" s="30">
        <f t="shared" si="97"/>
        <v>609</v>
      </c>
      <c r="S820" s="30">
        <f t="shared" si="98"/>
        <v>619</v>
      </c>
    </row>
    <row r="821" spans="1:19" ht="18.75">
      <c r="A821" s="29">
        <v>6</v>
      </c>
      <c r="B821" s="15" t="str">
        <f>'Candidate List'!B7</f>
        <v>Ajay Kumar Sharma</v>
      </c>
      <c r="C821" s="13">
        <v>0</v>
      </c>
      <c r="D821" s="13">
        <v>1</v>
      </c>
      <c r="E821" s="13">
        <v>0</v>
      </c>
      <c r="F821" s="13">
        <v>1</v>
      </c>
      <c r="G821" s="13">
        <v>1</v>
      </c>
      <c r="H821" s="13">
        <v>0</v>
      </c>
      <c r="I821" s="13">
        <v>0</v>
      </c>
      <c r="J821" s="13">
        <v>0</v>
      </c>
      <c r="K821" s="13">
        <v>1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30">
        <f t="shared" si="96"/>
        <v>4</v>
      </c>
      <c r="R821" s="30">
        <f t="shared" si="97"/>
        <v>77</v>
      </c>
      <c r="S821" s="30">
        <f t="shared" si="98"/>
        <v>81</v>
      </c>
    </row>
    <row r="822" spans="1:19" ht="18.75">
      <c r="A822" s="29">
        <v>7</v>
      </c>
      <c r="B822" s="15" t="str">
        <f>'Candidate List'!B8</f>
        <v>Amit Singh Tomar</v>
      </c>
      <c r="C822" s="13">
        <v>0</v>
      </c>
      <c r="D822" s="13">
        <v>2</v>
      </c>
      <c r="E822" s="13">
        <v>0</v>
      </c>
      <c r="F822" s="13">
        <v>2</v>
      </c>
      <c r="G822" s="13">
        <v>0</v>
      </c>
      <c r="H822" s="13">
        <v>0</v>
      </c>
      <c r="I822" s="13">
        <v>0</v>
      </c>
      <c r="J822" s="13">
        <v>1</v>
      </c>
      <c r="K822" s="13">
        <v>1</v>
      </c>
      <c r="L822" s="13">
        <v>2</v>
      </c>
      <c r="M822" s="13">
        <v>1</v>
      </c>
      <c r="N822" s="13">
        <v>0</v>
      </c>
      <c r="O822" s="13">
        <v>0</v>
      </c>
      <c r="P822" s="13">
        <v>1</v>
      </c>
      <c r="Q822" s="30">
        <f t="shared" si="96"/>
        <v>10</v>
      </c>
      <c r="R822" s="30">
        <f t="shared" si="97"/>
        <v>132</v>
      </c>
      <c r="S822" s="30">
        <f t="shared" si="98"/>
        <v>142</v>
      </c>
    </row>
    <row r="823" spans="1:19" ht="18.75">
      <c r="A823" s="29">
        <v>8</v>
      </c>
      <c r="B823" s="15" t="str">
        <f>'Candidate List'!B9</f>
        <v>Darshan Sharma</v>
      </c>
      <c r="C823" s="13">
        <v>0</v>
      </c>
      <c r="D823" s="13">
        <v>0</v>
      </c>
      <c r="E823" s="13">
        <v>1</v>
      </c>
      <c r="F823" s="13">
        <v>0</v>
      </c>
      <c r="G823" s="13">
        <v>0</v>
      </c>
      <c r="H823" s="13">
        <v>1</v>
      </c>
      <c r="I823" s="13">
        <v>0</v>
      </c>
      <c r="J823" s="13">
        <v>0</v>
      </c>
      <c r="K823" s="13">
        <v>1</v>
      </c>
      <c r="L823" s="13">
        <v>0</v>
      </c>
      <c r="M823" s="13">
        <v>0</v>
      </c>
      <c r="N823" s="13">
        <v>1</v>
      </c>
      <c r="O823" s="13">
        <v>0</v>
      </c>
      <c r="P823" s="13">
        <v>0</v>
      </c>
      <c r="Q823" s="30">
        <f t="shared" si="96"/>
        <v>4</v>
      </c>
      <c r="R823" s="30">
        <f t="shared" si="97"/>
        <v>261</v>
      </c>
      <c r="S823" s="30">
        <f t="shared" si="98"/>
        <v>265</v>
      </c>
    </row>
    <row r="824" spans="1:19" ht="18.75">
      <c r="A824" s="29">
        <v>9</v>
      </c>
      <c r="B824" s="15" t="str">
        <f>'Candidate List'!B10</f>
        <v>Dilshad Ahmad</v>
      </c>
      <c r="C824" s="13">
        <v>0</v>
      </c>
      <c r="D824" s="13">
        <v>0</v>
      </c>
      <c r="E824" s="13">
        <v>4</v>
      </c>
      <c r="F824" s="13">
        <v>3</v>
      </c>
      <c r="G824" s="13">
        <v>2</v>
      </c>
      <c r="H824" s="13">
        <v>0</v>
      </c>
      <c r="I824" s="13">
        <v>0</v>
      </c>
      <c r="J824" s="13">
        <v>0</v>
      </c>
      <c r="K824" s="13">
        <v>2</v>
      </c>
      <c r="L824" s="13">
        <v>1</v>
      </c>
      <c r="M824" s="13">
        <v>1</v>
      </c>
      <c r="N824" s="13">
        <v>6</v>
      </c>
      <c r="O824" s="13">
        <v>0</v>
      </c>
      <c r="P824" s="13">
        <v>1</v>
      </c>
      <c r="Q824" s="30">
        <f t="shared" si="96"/>
        <v>20</v>
      </c>
      <c r="R824" s="30">
        <f t="shared" si="97"/>
        <v>1470</v>
      </c>
      <c r="S824" s="30">
        <f t="shared" si="98"/>
        <v>1490</v>
      </c>
    </row>
    <row r="825" spans="1:19" ht="18.75">
      <c r="A825" s="29">
        <v>10</v>
      </c>
      <c r="B825" s="15" t="str">
        <f>'Candidate List'!B11</f>
        <v>Raju Thakur</v>
      </c>
      <c r="C825" s="13">
        <v>2</v>
      </c>
      <c r="D825" s="13">
        <v>4</v>
      </c>
      <c r="E825" s="13">
        <v>5</v>
      </c>
      <c r="F825" s="13">
        <v>6</v>
      </c>
      <c r="G825" s="13">
        <v>1</v>
      </c>
      <c r="H825" s="13">
        <v>2</v>
      </c>
      <c r="I825" s="13">
        <v>0</v>
      </c>
      <c r="J825" s="13">
        <v>0</v>
      </c>
      <c r="K825" s="13">
        <v>1</v>
      </c>
      <c r="L825" s="13">
        <v>3</v>
      </c>
      <c r="M825" s="13">
        <v>3</v>
      </c>
      <c r="N825" s="13">
        <v>1</v>
      </c>
      <c r="O825" s="13">
        <v>1</v>
      </c>
      <c r="P825" s="13">
        <v>3</v>
      </c>
      <c r="Q825" s="30">
        <f t="shared" si="96"/>
        <v>32</v>
      </c>
      <c r="R825" s="30">
        <f t="shared" si="97"/>
        <v>869</v>
      </c>
      <c r="S825" s="30">
        <f t="shared" si="98"/>
        <v>901</v>
      </c>
    </row>
    <row r="826" spans="1:19" ht="18.75">
      <c r="A826" s="29">
        <v>11</v>
      </c>
      <c r="B826" s="15" t="str">
        <f>'Candidate List'!B12</f>
        <v>Bablu</v>
      </c>
      <c r="C826" s="13">
        <v>1</v>
      </c>
      <c r="D826" s="13">
        <v>5</v>
      </c>
      <c r="E826" s="13">
        <v>7</v>
      </c>
      <c r="F826" s="13">
        <v>1</v>
      </c>
      <c r="G826" s="13">
        <v>0</v>
      </c>
      <c r="H826" s="13">
        <v>0</v>
      </c>
      <c r="I826" s="13">
        <v>2</v>
      </c>
      <c r="J826" s="13">
        <v>2</v>
      </c>
      <c r="K826" s="13">
        <v>3</v>
      </c>
      <c r="L826" s="13">
        <v>4</v>
      </c>
      <c r="M826" s="13">
        <v>0</v>
      </c>
      <c r="N826" s="13">
        <v>5</v>
      </c>
      <c r="O826" s="13">
        <v>3</v>
      </c>
      <c r="P826" s="13">
        <v>4</v>
      </c>
      <c r="Q826" s="30">
        <f t="shared" si="96"/>
        <v>37</v>
      </c>
      <c r="R826" s="30">
        <f t="shared" si="97"/>
        <v>352</v>
      </c>
      <c r="S826" s="30">
        <f t="shared" si="98"/>
        <v>389</v>
      </c>
    </row>
    <row r="827" spans="1:19" ht="18.75">
      <c r="A827" s="29">
        <v>12</v>
      </c>
      <c r="B827" s="15" t="str">
        <f>'Candidate List'!B13</f>
        <v>NOTA</v>
      </c>
      <c r="C827" s="13">
        <v>0</v>
      </c>
      <c r="D827" s="13">
        <v>6</v>
      </c>
      <c r="E827" s="13">
        <v>2</v>
      </c>
      <c r="F827" s="13">
        <v>6</v>
      </c>
      <c r="G827" s="13">
        <v>6</v>
      </c>
      <c r="H827" s="13">
        <v>1</v>
      </c>
      <c r="I827" s="13">
        <v>7</v>
      </c>
      <c r="J827" s="13">
        <v>2</v>
      </c>
      <c r="K827" s="13">
        <v>9</v>
      </c>
      <c r="L827" s="13">
        <v>7</v>
      </c>
      <c r="M827" s="13">
        <v>4</v>
      </c>
      <c r="N827" s="13">
        <v>3</v>
      </c>
      <c r="O827" s="13">
        <v>2</v>
      </c>
      <c r="P827" s="13">
        <v>0</v>
      </c>
      <c r="Q827" s="30">
        <f t="shared" si="96"/>
        <v>55</v>
      </c>
      <c r="R827" s="30">
        <f t="shared" si="97"/>
        <v>829</v>
      </c>
      <c r="S827" s="30">
        <f t="shared" si="98"/>
        <v>884</v>
      </c>
    </row>
    <row r="828" spans="1:19">
      <c r="A828" s="187" t="s">
        <v>11</v>
      </c>
      <c r="B828" s="187"/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30">
        <f t="shared" si="96"/>
        <v>0</v>
      </c>
      <c r="R828" s="30">
        <f t="shared" si="97"/>
        <v>0</v>
      </c>
      <c r="S828" s="30">
        <f t="shared" si="98"/>
        <v>0</v>
      </c>
    </row>
    <row r="829" spans="1:19">
      <c r="A829" s="188" t="s">
        <v>12</v>
      </c>
      <c r="B829" s="188"/>
      <c r="C829" s="30">
        <f t="shared" ref="C829:P829" si="99">SUM(C816:C828)</f>
        <v>475</v>
      </c>
      <c r="D829" s="30">
        <f t="shared" si="99"/>
        <v>650</v>
      </c>
      <c r="E829" s="30">
        <f t="shared" si="99"/>
        <v>698</v>
      </c>
      <c r="F829" s="30">
        <f t="shared" si="99"/>
        <v>740</v>
      </c>
      <c r="G829" s="30">
        <f t="shared" si="99"/>
        <v>681</v>
      </c>
      <c r="H829" s="30">
        <f t="shared" si="99"/>
        <v>310</v>
      </c>
      <c r="I829" s="30">
        <f t="shared" si="99"/>
        <v>524</v>
      </c>
      <c r="J829" s="30">
        <f t="shared" si="99"/>
        <v>539</v>
      </c>
      <c r="K829" s="30">
        <f t="shared" si="99"/>
        <v>543</v>
      </c>
      <c r="L829" s="30">
        <f t="shared" si="99"/>
        <v>626</v>
      </c>
      <c r="M829" s="30">
        <f t="shared" si="99"/>
        <v>514</v>
      </c>
      <c r="N829" s="30">
        <f t="shared" si="99"/>
        <v>657</v>
      </c>
      <c r="O829" s="30">
        <f t="shared" si="99"/>
        <v>585</v>
      </c>
      <c r="P829" s="30">
        <f t="shared" si="99"/>
        <v>643</v>
      </c>
      <c r="Q829" s="30">
        <f t="shared" si="96"/>
        <v>8185</v>
      </c>
      <c r="R829" s="30">
        <f t="shared" si="97"/>
        <v>188985</v>
      </c>
      <c r="S829" s="30">
        <f t="shared" si="98"/>
        <v>197170</v>
      </c>
    </row>
    <row r="830" spans="1:19" ht="39" customHeight="1">
      <c r="A830" s="5"/>
      <c r="B830" s="5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8"/>
      <c r="R830" s="7"/>
      <c r="S830" s="7"/>
    </row>
    <row r="831" spans="1:19" ht="22.5">
      <c r="A831" s="31"/>
      <c r="B831" s="31"/>
      <c r="C831" s="10" t="s">
        <v>13</v>
      </c>
      <c r="D831" s="10" t="s">
        <v>13</v>
      </c>
      <c r="E831" s="10" t="s">
        <v>13</v>
      </c>
      <c r="F831" s="10" t="s">
        <v>13</v>
      </c>
      <c r="G831" s="10" t="s">
        <v>13</v>
      </c>
      <c r="H831" s="10" t="s">
        <v>13</v>
      </c>
      <c r="I831" s="10" t="s">
        <v>13</v>
      </c>
      <c r="J831" s="10" t="s">
        <v>13</v>
      </c>
      <c r="K831" s="10" t="s">
        <v>13</v>
      </c>
      <c r="L831" s="10" t="s">
        <v>13</v>
      </c>
      <c r="M831" s="10" t="s">
        <v>13</v>
      </c>
      <c r="N831" s="10" t="s">
        <v>13</v>
      </c>
      <c r="O831" s="10" t="s">
        <v>13</v>
      </c>
      <c r="P831" s="10" t="s">
        <v>13</v>
      </c>
      <c r="Q831" s="10" t="s">
        <v>13</v>
      </c>
      <c r="R831" s="10" t="s">
        <v>13</v>
      </c>
      <c r="S831" s="10" t="s">
        <v>13</v>
      </c>
    </row>
    <row r="832" spans="1:19" ht="38.25" customHeight="1">
      <c r="A832" s="31"/>
      <c r="B832" s="3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 ht="22.5">
      <c r="A833" s="31"/>
      <c r="B833" s="31"/>
      <c r="C833" s="10" t="s">
        <v>14</v>
      </c>
      <c r="D833" s="10" t="s">
        <v>14</v>
      </c>
      <c r="E833" s="10" t="s">
        <v>14</v>
      </c>
      <c r="F833" s="10" t="s">
        <v>14</v>
      </c>
      <c r="G833" s="10" t="s">
        <v>14</v>
      </c>
      <c r="H833" s="10" t="s">
        <v>14</v>
      </c>
      <c r="I833" s="10" t="s">
        <v>14</v>
      </c>
      <c r="J833" s="10" t="s">
        <v>14</v>
      </c>
      <c r="K833" s="10" t="s">
        <v>14</v>
      </c>
      <c r="L833" s="10" t="s">
        <v>14</v>
      </c>
      <c r="M833" s="10" t="s">
        <v>14</v>
      </c>
      <c r="N833" s="10" t="s">
        <v>14</v>
      </c>
      <c r="O833" s="10" t="s">
        <v>14</v>
      </c>
      <c r="P833" s="10" t="s">
        <v>14</v>
      </c>
      <c r="Q833" s="10" t="s">
        <v>14</v>
      </c>
      <c r="R833" s="10" t="s">
        <v>14</v>
      </c>
      <c r="S833" s="10" t="s">
        <v>14</v>
      </c>
    </row>
    <row r="834" spans="1:19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</row>
    <row r="835" spans="1:19">
      <c r="A835" s="189" t="s">
        <v>15</v>
      </c>
      <c r="B835" s="189"/>
      <c r="C835" s="164" t="s">
        <v>16</v>
      </c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31"/>
      <c r="S835" s="31"/>
    </row>
    <row r="836" spans="1:19">
      <c r="A836" s="31"/>
      <c r="B836" s="31"/>
      <c r="C836" s="164" t="s">
        <v>17</v>
      </c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31"/>
      <c r="S836" s="31"/>
    </row>
    <row r="837" spans="1:19">
      <c r="A837" s="31"/>
      <c r="B837" s="31"/>
      <c r="C837" s="164" t="s">
        <v>44</v>
      </c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31"/>
      <c r="S837" s="31"/>
    </row>
    <row r="838" spans="1:19">
      <c r="A838" s="31"/>
      <c r="B838" s="31"/>
      <c r="C838" s="164" t="s">
        <v>45</v>
      </c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31"/>
      <c r="S838" s="31"/>
    </row>
    <row r="843" spans="1:19" ht="26.25">
      <c r="A843" s="190" t="s">
        <v>0</v>
      </c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</row>
    <row r="844" spans="1:19" ht="19.5">
      <c r="A844" s="191" t="s">
        <v>1225</v>
      </c>
      <c r="B844" s="191"/>
      <c r="C844" s="191"/>
      <c r="D844" s="191"/>
      <c r="E844" s="191"/>
      <c r="F844" s="191"/>
      <c r="G844" s="191"/>
      <c r="H844" s="191"/>
      <c r="I844" s="1"/>
      <c r="J844" s="1"/>
      <c r="K844" s="192" t="s">
        <v>76</v>
      </c>
      <c r="L844" s="192"/>
      <c r="M844" s="192"/>
      <c r="N844" s="192"/>
      <c r="O844" s="1"/>
      <c r="P844" s="193" t="s">
        <v>1</v>
      </c>
      <c r="Q844" s="193"/>
      <c r="R844" s="194">
        <v>44630</v>
      </c>
      <c r="S844" s="194"/>
    </row>
    <row r="845" spans="1:19">
      <c r="A845" s="188" t="s">
        <v>2</v>
      </c>
      <c r="B845" s="188"/>
      <c r="C845" s="30">
        <v>1</v>
      </c>
      <c r="D845" s="30">
        <v>2</v>
      </c>
      <c r="E845" s="30">
        <v>3</v>
      </c>
      <c r="F845" s="30">
        <v>4</v>
      </c>
      <c r="G845" s="30">
        <v>5</v>
      </c>
      <c r="H845" s="30">
        <v>6</v>
      </c>
      <c r="I845" s="30">
        <v>7</v>
      </c>
      <c r="J845" s="30">
        <v>8</v>
      </c>
      <c r="K845" s="30">
        <v>9</v>
      </c>
      <c r="L845" s="30">
        <v>10</v>
      </c>
      <c r="M845" s="30">
        <v>11</v>
      </c>
      <c r="N845" s="30">
        <v>12</v>
      </c>
      <c r="O845" s="30">
        <v>13</v>
      </c>
      <c r="P845" s="30">
        <v>14</v>
      </c>
      <c r="Q845" s="195" t="s">
        <v>3</v>
      </c>
      <c r="R845" s="195" t="s">
        <v>4</v>
      </c>
      <c r="S845" s="195" t="s">
        <v>5</v>
      </c>
    </row>
    <row r="846" spans="1:19">
      <c r="A846" s="165" t="s">
        <v>6</v>
      </c>
      <c r="B846" s="167"/>
      <c r="C846" s="40">
        <f>'Booth detail'!MN1</f>
        <v>351</v>
      </c>
      <c r="D846" s="40">
        <f>'Booth detail'!MO1</f>
        <v>352</v>
      </c>
      <c r="E846" s="40">
        <f>'Booth detail'!MP1</f>
        <v>353</v>
      </c>
      <c r="F846" s="40">
        <f>'Booth detail'!MQ1</f>
        <v>354</v>
      </c>
      <c r="G846" s="40">
        <f>'Booth detail'!MR1</f>
        <v>355</v>
      </c>
      <c r="H846" s="40">
        <f>'Booth detail'!MS1</f>
        <v>356</v>
      </c>
      <c r="I846" s="40">
        <f>'Booth detail'!MT1</f>
        <v>357</v>
      </c>
      <c r="J846" s="40">
        <f>'Booth detail'!MU1</f>
        <v>358</v>
      </c>
      <c r="K846" s="40">
        <f>'Booth detail'!MV1</f>
        <v>359</v>
      </c>
      <c r="L846" s="40">
        <f>'Booth detail'!MW1</f>
        <v>360</v>
      </c>
      <c r="M846" s="40">
        <f>'Booth detail'!MX1</f>
        <v>361</v>
      </c>
      <c r="N846" s="40">
        <f>'Booth detail'!MY1</f>
        <v>362</v>
      </c>
      <c r="O846" s="40">
        <f>'Booth detail'!MZ1</f>
        <v>363</v>
      </c>
      <c r="P846" s="40">
        <f>'Booth detail'!NA1</f>
        <v>364</v>
      </c>
      <c r="Q846" s="196"/>
      <c r="R846" s="196"/>
      <c r="S846" s="196"/>
    </row>
    <row r="847" spans="1:19" ht="25.5">
      <c r="A847" s="165" t="s">
        <v>18</v>
      </c>
      <c r="B847" s="167"/>
      <c r="C847" s="44" t="str">
        <f>'Booth detail'!MN2</f>
        <v>ECUEC98675</v>
      </c>
      <c r="D847" s="44" t="str">
        <f>'Booth detail'!MO2</f>
        <v>ECUED25020</v>
      </c>
      <c r="E847" s="44" t="str">
        <f>'Booth detail'!MP2</f>
        <v>ECUEC54150</v>
      </c>
      <c r="F847" s="44" t="str">
        <f>'Booth detail'!MQ2</f>
        <v>ECUEC64710</v>
      </c>
      <c r="G847" s="44" t="str">
        <f>'Booth detail'!MR2</f>
        <v>ECUEC64688</v>
      </c>
      <c r="H847" s="44" t="str">
        <f>'Booth detail'!MS2</f>
        <v>ECUED25211</v>
      </c>
      <c r="I847" s="44" t="str">
        <f>'Booth detail'!MT2</f>
        <v>ECUEC57227</v>
      </c>
      <c r="J847" s="44" t="str">
        <f>'Booth detail'!MU2</f>
        <v>ECUEC67560</v>
      </c>
      <c r="K847" s="44" t="str">
        <f>'Booth detail'!MV2</f>
        <v>ECUED22276</v>
      </c>
      <c r="L847" s="44" t="str">
        <f>'Booth detail'!MW2</f>
        <v>ECUEC64130</v>
      </c>
      <c r="M847" s="44" t="str">
        <f>'Booth detail'!MX2</f>
        <v>ECUEC64605</v>
      </c>
      <c r="N847" s="44" t="str">
        <f>'Booth detail'!MY2</f>
        <v>ECUEC55762</v>
      </c>
      <c r="O847" s="44" t="str">
        <f>'Booth detail'!MZ2</f>
        <v>ECUEC64148</v>
      </c>
      <c r="P847" s="44" t="str">
        <f>'Booth detail'!NA2</f>
        <v>ECUEC67055</v>
      </c>
      <c r="Q847" s="196"/>
      <c r="R847" s="196"/>
      <c r="S847" s="196"/>
    </row>
    <row r="848" spans="1:19" ht="39.75" customHeight="1">
      <c r="A848" s="198" t="s">
        <v>20</v>
      </c>
      <c r="B848" s="199"/>
      <c r="C848" s="55" t="str">
        <f>'Booth detail'!MN3</f>
        <v>-</v>
      </c>
      <c r="D848" s="55" t="str">
        <f>'Booth detail'!MO3</f>
        <v>-</v>
      </c>
      <c r="E848" s="55" t="str">
        <f>'Booth detail'!MP3</f>
        <v>-</v>
      </c>
      <c r="F848" s="55" t="str">
        <f>'Booth detail'!MQ3</f>
        <v>-</v>
      </c>
      <c r="G848" s="55" t="str">
        <f>'Booth detail'!MR3</f>
        <v>-</v>
      </c>
      <c r="H848" s="55" t="str">
        <f>'Booth detail'!MS3</f>
        <v>-</v>
      </c>
      <c r="I848" s="55" t="str">
        <f>'Booth detail'!MT3</f>
        <v>-</v>
      </c>
      <c r="J848" s="55" t="str">
        <f>'Booth detail'!MU3</f>
        <v>-</v>
      </c>
      <c r="K848" s="55" t="str">
        <f>'Booth detail'!MV3</f>
        <v>-</v>
      </c>
      <c r="L848" s="55" t="str">
        <f>'Booth detail'!MW3</f>
        <v>-</v>
      </c>
      <c r="M848" s="55" t="str">
        <f>'Booth detail'!MX3</f>
        <v>-</v>
      </c>
      <c r="N848" s="55" t="str">
        <f>'Booth detail'!MY3</f>
        <v>-</v>
      </c>
      <c r="O848" s="55" t="str">
        <f>'Booth detail'!MZ3</f>
        <v>-</v>
      </c>
      <c r="P848" s="55" t="str">
        <f>'Booth detail'!NA3</f>
        <v>-</v>
      </c>
      <c r="Q848" s="196"/>
      <c r="R848" s="196"/>
      <c r="S848" s="196"/>
    </row>
    <row r="849" spans="1:19">
      <c r="A849" s="14" t="s">
        <v>7</v>
      </c>
      <c r="B849" s="32" t="s">
        <v>8</v>
      </c>
      <c r="C849" s="33" t="s">
        <v>9</v>
      </c>
      <c r="D849" s="33" t="s">
        <v>9</v>
      </c>
      <c r="E849" s="33" t="s">
        <v>9</v>
      </c>
      <c r="F849" s="33" t="s">
        <v>9</v>
      </c>
      <c r="G849" s="33" t="s">
        <v>9</v>
      </c>
      <c r="H849" s="33" t="s">
        <v>9</v>
      </c>
      <c r="I849" s="33" t="s">
        <v>9</v>
      </c>
      <c r="J849" s="33" t="s">
        <v>9</v>
      </c>
      <c r="K849" s="33" t="s">
        <v>9</v>
      </c>
      <c r="L849" s="33" t="s">
        <v>9</v>
      </c>
      <c r="M849" s="33" t="s">
        <v>9</v>
      </c>
      <c r="N849" s="33" t="s">
        <v>9</v>
      </c>
      <c r="O849" s="33" t="s">
        <v>9</v>
      </c>
      <c r="P849" s="33" t="s">
        <v>9</v>
      </c>
      <c r="Q849" s="197"/>
      <c r="R849" s="197"/>
      <c r="S849" s="197"/>
    </row>
    <row r="850" spans="1:19" ht="18.75">
      <c r="A850" s="29">
        <v>1</v>
      </c>
      <c r="B850" s="15" t="str">
        <f>'Candidate List'!B2</f>
        <v>Manveer Singh</v>
      </c>
      <c r="C850" s="13">
        <v>118</v>
      </c>
      <c r="D850" s="13">
        <v>66</v>
      </c>
      <c r="E850" s="13">
        <v>197</v>
      </c>
      <c r="F850" s="13">
        <v>61</v>
      </c>
      <c r="G850" s="13">
        <v>123</v>
      </c>
      <c r="H850" s="13">
        <v>15</v>
      </c>
      <c r="I850" s="13">
        <v>389</v>
      </c>
      <c r="J850" s="13">
        <v>3</v>
      </c>
      <c r="K850" s="13">
        <v>219</v>
      </c>
      <c r="L850" s="13">
        <v>11</v>
      </c>
      <c r="M850" s="13">
        <v>49</v>
      </c>
      <c r="N850" s="13">
        <v>74</v>
      </c>
      <c r="O850" s="13">
        <v>50</v>
      </c>
      <c r="P850" s="13">
        <v>4</v>
      </c>
      <c r="Q850" s="30">
        <f>SUM(C850:P850)</f>
        <v>1379</v>
      </c>
      <c r="R850" s="30">
        <f>S816</f>
        <v>29786</v>
      </c>
      <c r="S850" s="30">
        <f>Q850+R850</f>
        <v>31165</v>
      </c>
    </row>
    <row r="851" spans="1:19" ht="18.75">
      <c r="A851" s="29">
        <v>2</v>
      </c>
      <c r="B851" s="15" t="str">
        <f>'Candidate List'!B3</f>
        <v>Rahul Yadav</v>
      </c>
      <c r="C851" s="13">
        <v>334</v>
      </c>
      <c r="D851" s="13">
        <v>75</v>
      </c>
      <c r="E851" s="13">
        <v>32</v>
      </c>
      <c r="F851" s="13">
        <v>45</v>
      </c>
      <c r="G851" s="13">
        <v>9</v>
      </c>
      <c r="H851" s="13">
        <v>237</v>
      </c>
      <c r="I851" s="13">
        <v>85</v>
      </c>
      <c r="J851" s="13">
        <v>4</v>
      </c>
      <c r="K851" s="13">
        <v>64</v>
      </c>
      <c r="L851" s="13">
        <v>121</v>
      </c>
      <c r="M851" s="13">
        <v>115</v>
      </c>
      <c r="N851" s="13">
        <v>164</v>
      </c>
      <c r="O851" s="13">
        <v>33</v>
      </c>
      <c r="P851" s="13">
        <v>113</v>
      </c>
      <c r="Q851" s="30">
        <f t="shared" ref="Q851:Q863" si="100">SUM(C851:P851)</f>
        <v>1431</v>
      </c>
      <c r="R851" s="30">
        <f t="shared" ref="R851:R863" si="101">S817</f>
        <v>80752</v>
      </c>
      <c r="S851" s="30">
        <f t="shared" ref="S851:S863" si="102">Q851+R851</f>
        <v>82183</v>
      </c>
    </row>
    <row r="852" spans="1:19" ht="18.75">
      <c r="A852" s="29">
        <v>3</v>
      </c>
      <c r="B852" s="15" t="str">
        <f>'Candidate List'!B4</f>
        <v>Lakshmi Raj</v>
      </c>
      <c r="C852" s="13">
        <v>331</v>
      </c>
      <c r="D852" s="13">
        <v>478</v>
      </c>
      <c r="E852" s="13">
        <v>349</v>
      </c>
      <c r="F852" s="13">
        <v>267</v>
      </c>
      <c r="G852" s="13">
        <v>437</v>
      </c>
      <c r="H852" s="13">
        <v>456</v>
      </c>
      <c r="I852" s="13">
        <v>304</v>
      </c>
      <c r="J852" s="13">
        <v>338</v>
      </c>
      <c r="K852" s="13">
        <v>382</v>
      </c>
      <c r="L852" s="13">
        <v>660</v>
      </c>
      <c r="M852" s="13">
        <v>566</v>
      </c>
      <c r="N852" s="13">
        <v>499</v>
      </c>
      <c r="O852" s="13">
        <v>296</v>
      </c>
      <c r="P852" s="13">
        <v>419</v>
      </c>
      <c r="Q852" s="30">
        <f t="shared" si="100"/>
        <v>5782</v>
      </c>
      <c r="R852" s="30">
        <f t="shared" si="101"/>
        <v>80166</v>
      </c>
      <c r="S852" s="30">
        <f t="shared" si="102"/>
        <v>85948</v>
      </c>
    </row>
    <row r="853" spans="1:19" ht="18.75">
      <c r="A853" s="29">
        <v>4</v>
      </c>
      <c r="B853" s="15" t="str">
        <f>'Candidate List'!B5</f>
        <v>Saleem Akhtar Khan</v>
      </c>
      <c r="C853" s="13">
        <v>8</v>
      </c>
      <c r="D853" s="13">
        <v>4</v>
      </c>
      <c r="E853" s="13">
        <v>4</v>
      </c>
      <c r="F853" s="13">
        <v>0</v>
      </c>
      <c r="G853" s="13">
        <v>0</v>
      </c>
      <c r="H853" s="13">
        <v>1</v>
      </c>
      <c r="I853" s="13">
        <v>3</v>
      </c>
      <c r="J853" s="13">
        <v>2</v>
      </c>
      <c r="K853" s="13">
        <v>1</v>
      </c>
      <c r="L853" s="13">
        <v>4</v>
      </c>
      <c r="M853" s="13">
        <v>6</v>
      </c>
      <c r="N853" s="13">
        <v>3</v>
      </c>
      <c r="O853" s="13">
        <v>1</v>
      </c>
      <c r="P853" s="13">
        <v>3</v>
      </c>
      <c r="Q853" s="30">
        <f t="shared" si="100"/>
        <v>40</v>
      </c>
      <c r="R853" s="30">
        <f t="shared" si="101"/>
        <v>1695</v>
      </c>
      <c r="S853" s="30">
        <f t="shared" si="102"/>
        <v>1735</v>
      </c>
    </row>
    <row r="854" spans="1:19" ht="18.75">
      <c r="A854" s="29">
        <v>5</v>
      </c>
      <c r="B854" s="15" t="str">
        <f>'Candidate List'!B6</f>
        <v>Ajay Kumar</v>
      </c>
      <c r="C854" s="13">
        <v>2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1</v>
      </c>
      <c r="M854" s="13">
        <v>2</v>
      </c>
      <c r="N854" s="13">
        <v>0</v>
      </c>
      <c r="O854" s="13">
        <v>0</v>
      </c>
      <c r="P854" s="13">
        <v>1</v>
      </c>
      <c r="Q854" s="30">
        <f t="shared" si="100"/>
        <v>6</v>
      </c>
      <c r="R854" s="30">
        <f t="shared" si="101"/>
        <v>619</v>
      </c>
      <c r="S854" s="30">
        <f t="shared" si="102"/>
        <v>625</v>
      </c>
    </row>
    <row r="855" spans="1:19" ht="18.75">
      <c r="A855" s="29">
        <v>6</v>
      </c>
      <c r="B855" s="15" t="str">
        <f>'Candidate List'!B7</f>
        <v>Ajay Kumar Sharma</v>
      </c>
      <c r="C855" s="13">
        <v>1</v>
      </c>
      <c r="D855" s="13">
        <v>0</v>
      </c>
      <c r="E855" s="13">
        <v>1</v>
      </c>
      <c r="F855" s="13">
        <v>0</v>
      </c>
      <c r="G855" s="13">
        <v>0</v>
      </c>
      <c r="H855" s="13">
        <v>1</v>
      </c>
      <c r="I855" s="13">
        <v>0</v>
      </c>
      <c r="J855" s="13">
        <v>1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30">
        <f t="shared" si="100"/>
        <v>4</v>
      </c>
      <c r="R855" s="30">
        <f t="shared" si="101"/>
        <v>81</v>
      </c>
      <c r="S855" s="30">
        <f t="shared" si="102"/>
        <v>85</v>
      </c>
    </row>
    <row r="856" spans="1:19" ht="18.75">
      <c r="A856" s="29">
        <v>7</v>
      </c>
      <c r="B856" s="15" t="str">
        <f>'Candidate List'!B8</f>
        <v>Amit Singh Tomar</v>
      </c>
      <c r="C856" s="13">
        <v>1</v>
      </c>
      <c r="D856" s="13">
        <v>1</v>
      </c>
      <c r="E856" s="13">
        <v>0</v>
      </c>
      <c r="F856" s="13">
        <v>0</v>
      </c>
      <c r="G856" s="13">
        <v>0</v>
      </c>
      <c r="H856" s="13">
        <v>2</v>
      </c>
      <c r="I856" s="13">
        <v>1</v>
      </c>
      <c r="J856" s="13">
        <v>0</v>
      </c>
      <c r="K856" s="13">
        <v>0</v>
      </c>
      <c r="L856" s="13">
        <v>0</v>
      </c>
      <c r="M856" s="13">
        <v>1</v>
      </c>
      <c r="N856" s="13">
        <v>0</v>
      </c>
      <c r="O856" s="13">
        <v>1</v>
      </c>
      <c r="P856" s="13">
        <v>0</v>
      </c>
      <c r="Q856" s="30">
        <f t="shared" si="100"/>
        <v>7</v>
      </c>
      <c r="R856" s="30">
        <f t="shared" si="101"/>
        <v>142</v>
      </c>
      <c r="S856" s="30">
        <f t="shared" si="102"/>
        <v>149</v>
      </c>
    </row>
    <row r="857" spans="1:19" ht="18.75">
      <c r="A857" s="29">
        <v>8</v>
      </c>
      <c r="B857" s="15" t="str">
        <f>'Candidate List'!B9</f>
        <v>Darshan Sharma</v>
      </c>
      <c r="C857" s="13">
        <v>6</v>
      </c>
      <c r="D857" s="13">
        <v>0</v>
      </c>
      <c r="E857" s="13">
        <v>0</v>
      </c>
      <c r="F857" s="13">
        <v>2</v>
      </c>
      <c r="G857" s="13">
        <v>0</v>
      </c>
      <c r="H857" s="13">
        <v>1</v>
      </c>
      <c r="I857" s="13">
        <v>0</v>
      </c>
      <c r="J857" s="13">
        <v>0</v>
      </c>
      <c r="K857" s="13">
        <v>3</v>
      </c>
      <c r="L857" s="13">
        <v>0</v>
      </c>
      <c r="M857" s="13">
        <v>0</v>
      </c>
      <c r="N857" s="13">
        <v>2</v>
      </c>
      <c r="O857" s="13">
        <v>2</v>
      </c>
      <c r="P857" s="13">
        <v>0</v>
      </c>
      <c r="Q857" s="30">
        <f t="shared" si="100"/>
        <v>16</v>
      </c>
      <c r="R857" s="30">
        <f t="shared" si="101"/>
        <v>265</v>
      </c>
      <c r="S857" s="30">
        <f t="shared" si="102"/>
        <v>281</v>
      </c>
    </row>
    <row r="858" spans="1:19" ht="18.75">
      <c r="A858" s="29">
        <v>9</v>
      </c>
      <c r="B858" s="15" t="str">
        <f>'Candidate List'!B10</f>
        <v>Dilshad Ahmad</v>
      </c>
      <c r="C858" s="13">
        <v>2</v>
      </c>
      <c r="D858" s="13">
        <v>0</v>
      </c>
      <c r="E858" s="13">
        <v>3</v>
      </c>
      <c r="F858" s="13">
        <v>0</v>
      </c>
      <c r="G858" s="13">
        <v>0</v>
      </c>
      <c r="H858" s="13">
        <v>1</v>
      </c>
      <c r="I858" s="13">
        <v>3</v>
      </c>
      <c r="J858" s="13">
        <v>0</v>
      </c>
      <c r="K858" s="13">
        <v>0</v>
      </c>
      <c r="L858" s="13">
        <v>2</v>
      </c>
      <c r="M858" s="13">
        <v>1</v>
      </c>
      <c r="N858" s="13">
        <v>0</v>
      </c>
      <c r="O858" s="13">
        <v>0</v>
      </c>
      <c r="P858" s="13">
        <v>1</v>
      </c>
      <c r="Q858" s="30">
        <f t="shared" si="100"/>
        <v>13</v>
      </c>
      <c r="R858" s="30">
        <f t="shared" si="101"/>
        <v>1490</v>
      </c>
      <c r="S858" s="30">
        <f t="shared" si="102"/>
        <v>1503</v>
      </c>
    </row>
    <row r="859" spans="1:19" ht="18.75">
      <c r="A859" s="29">
        <v>10</v>
      </c>
      <c r="B859" s="15" t="str">
        <f>'Candidate List'!B11</f>
        <v>Raju Thakur</v>
      </c>
      <c r="C859" s="13">
        <v>6</v>
      </c>
      <c r="D859" s="13">
        <v>1</v>
      </c>
      <c r="E859" s="13">
        <v>2</v>
      </c>
      <c r="F859" s="13">
        <v>4</v>
      </c>
      <c r="G859" s="13">
        <v>7</v>
      </c>
      <c r="H859" s="13">
        <v>6</v>
      </c>
      <c r="I859" s="13">
        <v>2</v>
      </c>
      <c r="J859" s="13">
        <v>0</v>
      </c>
      <c r="K859" s="13">
        <v>0</v>
      </c>
      <c r="L859" s="13">
        <v>7</v>
      </c>
      <c r="M859" s="13">
        <v>3</v>
      </c>
      <c r="N859" s="13">
        <v>2</v>
      </c>
      <c r="O859" s="13">
        <v>4</v>
      </c>
      <c r="P859" s="13">
        <v>5</v>
      </c>
      <c r="Q859" s="30">
        <f t="shared" si="100"/>
        <v>49</v>
      </c>
      <c r="R859" s="30">
        <f t="shared" si="101"/>
        <v>901</v>
      </c>
      <c r="S859" s="30">
        <f t="shared" si="102"/>
        <v>950</v>
      </c>
    </row>
    <row r="860" spans="1:19" ht="18.75">
      <c r="A860" s="29">
        <v>11</v>
      </c>
      <c r="B860" s="15" t="str">
        <f>'Candidate List'!B12</f>
        <v>Bablu</v>
      </c>
      <c r="C860" s="13">
        <v>3</v>
      </c>
      <c r="D860" s="13">
        <v>1</v>
      </c>
      <c r="E860" s="13">
        <v>5</v>
      </c>
      <c r="F860" s="13">
        <v>2</v>
      </c>
      <c r="G860" s="13">
        <v>0</v>
      </c>
      <c r="H860" s="13">
        <v>1</v>
      </c>
      <c r="I860" s="13">
        <v>1</v>
      </c>
      <c r="J860" s="13">
        <v>0</v>
      </c>
      <c r="K860" s="13">
        <v>0</v>
      </c>
      <c r="L860" s="13">
        <v>3</v>
      </c>
      <c r="M860" s="13">
        <v>1</v>
      </c>
      <c r="N860" s="13">
        <v>1</v>
      </c>
      <c r="O860" s="13">
        <v>2</v>
      </c>
      <c r="P860" s="13">
        <v>0</v>
      </c>
      <c r="Q860" s="30">
        <f t="shared" si="100"/>
        <v>20</v>
      </c>
      <c r="R860" s="30">
        <f t="shared" si="101"/>
        <v>389</v>
      </c>
      <c r="S860" s="30">
        <f t="shared" si="102"/>
        <v>409</v>
      </c>
    </row>
    <row r="861" spans="1:19" ht="18.75">
      <c r="A861" s="29">
        <v>12</v>
      </c>
      <c r="B861" s="15" t="str">
        <f>'Candidate List'!B13</f>
        <v>NOTA</v>
      </c>
      <c r="C861" s="13">
        <v>4</v>
      </c>
      <c r="D861" s="13">
        <v>2</v>
      </c>
      <c r="E861" s="13">
        <v>7</v>
      </c>
      <c r="F861" s="13">
        <v>0</v>
      </c>
      <c r="G861" s="13">
        <v>1</v>
      </c>
      <c r="H861" s="13">
        <v>1</v>
      </c>
      <c r="I861" s="13">
        <v>6</v>
      </c>
      <c r="J861" s="13">
        <v>1</v>
      </c>
      <c r="K861" s="13">
        <v>4</v>
      </c>
      <c r="L861" s="13">
        <v>4</v>
      </c>
      <c r="M861" s="13">
        <v>3</v>
      </c>
      <c r="N861" s="13">
        <v>0</v>
      </c>
      <c r="O861" s="13">
        <v>0</v>
      </c>
      <c r="P861" s="13">
        <v>2</v>
      </c>
      <c r="Q861" s="30">
        <f t="shared" si="100"/>
        <v>35</v>
      </c>
      <c r="R861" s="30">
        <f t="shared" si="101"/>
        <v>884</v>
      </c>
      <c r="S861" s="30">
        <f t="shared" si="102"/>
        <v>919</v>
      </c>
    </row>
    <row r="862" spans="1:19">
      <c r="A862" s="187" t="s">
        <v>11</v>
      </c>
      <c r="B862" s="187"/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30">
        <f t="shared" si="100"/>
        <v>0</v>
      </c>
      <c r="R862" s="30">
        <f t="shared" si="101"/>
        <v>0</v>
      </c>
      <c r="S862" s="30">
        <f t="shared" si="102"/>
        <v>0</v>
      </c>
    </row>
    <row r="863" spans="1:19">
      <c r="A863" s="188" t="s">
        <v>12</v>
      </c>
      <c r="B863" s="188"/>
      <c r="C863" s="30">
        <f t="shared" ref="C863:P863" si="103">SUM(C850:C862)</f>
        <v>816</v>
      </c>
      <c r="D863" s="30">
        <f t="shared" si="103"/>
        <v>628</v>
      </c>
      <c r="E863" s="30">
        <f t="shared" si="103"/>
        <v>600</v>
      </c>
      <c r="F863" s="30">
        <f t="shared" si="103"/>
        <v>381</v>
      </c>
      <c r="G863" s="30">
        <f t="shared" si="103"/>
        <v>577</v>
      </c>
      <c r="H863" s="30">
        <f t="shared" si="103"/>
        <v>722</v>
      </c>
      <c r="I863" s="30">
        <f t="shared" si="103"/>
        <v>794</v>
      </c>
      <c r="J863" s="30">
        <f t="shared" si="103"/>
        <v>349</v>
      </c>
      <c r="K863" s="30">
        <f t="shared" si="103"/>
        <v>673</v>
      </c>
      <c r="L863" s="30">
        <f t="shared" si="103"/>
        <v>813</v>
      </c>
      <c r="M863" s="30">
        <f t="shared" si="103"/>
        <v>747</v>
      </c>
      <c r="N863" s="30">
        <f t="shared" si="103"/>
        <v>745</v>
      </c>
      <c r="O863" s="30">
        <f t="shared" si="103"/>
        <v>389</v>
      </c>
      <c r="P863" s="30">
        <f t="shared" si="103"/>
        <v>548</v>
      </c>
      <c r="Q863" s="30">
        <f t="shared" si="100"/>
        <v>8782</v>
      </c>
      <c r="R863" s="30">
        <f t="shared" si="101"/>
        <v>197170</v>
      </c>
      <c r="S863" s="30">
        <f t="shared" si="102"/>
        <v>205952</v>
      </c>
    </row>
    <row r="864" spans="1:19" ht="40.5" customHeight="1">
      <c r="A864" s="5"/>
      <c r="B864" s="5"/>
      <c r="C864" s="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8"/>
      <c r="R864" s="7"/>
      <c r="S864" s="7"/>
    </row>
    <row r="865" spans="1:19" ht="22.5">
      <c r="A865" s="31"/>
      <c r="B865" s="31"/>
      <c r="C865" s="10" t="s">
        <v>13</v>
      </c>
      <c r="D865" s="10" t="s">
        <v>13</v>
      </c>
      <c r="E865" s="10" t="s">
        <v>13</v>
      </c>
      <c r="F865" s="10" t="s">
        <v>13</v>
      </c>
      <c r="G865" s="10" t="s">
        <v>13</v>
      </c>
      <c r="H865" s="10" t="s">
        <v>13</v>
      </c>
      <c r="I865" s="10" t="s">
        <v>13</v>
      </c>
      <c r="J865" s="10" t="s">
        <v>13</v>
      </c>
      <c r="K865" s="10" t="s">
        <v>13</v>
      </c>
      <c r="L865" s="10" t="s">
        <v>13</v>
      </c>
      <c r="M865" s="10" t="s">
        <v>13</v>
      </c>
      <c r="N865" s="10" t="s">
        <v>13</v>
      </c>
      <c r="O865" s="10" t="s">
        <v>13</v>
      </c>
      <c r="P865" s="10" t="s">
        <v>13</v>
      </c>
      <c r="Q865" s="10" t="s">
        <v>13</v>
      </c>
      <c r="R865" s="10" t="s">
        <v>13</v>
      </c>
      <c r="S865" s="10" t="s">
        <v>13</v>
      </c>
    </row>
    <row r="866" spans="1:19" ht="39.75" customHeight="1">
      <c r="A866" s="31"/>
      <c r="B866" s="3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 ht="22.5">
      <c r="A867" s="31"/>
      <c r="B867" s="31"/>
      <c r="C867" s="10" t="s">
        <v>14</v>
      </c>
      <c r="D867" s="10" t="s">
        <v>14</v>
      </c>
      <c r="E867" s="10" t="s">
        <v>14</v>
      </c>
      <c r="F867" s="10" t="s">
        <v>14</v>
      </c>
      <c r="G867" s="10" t="s">
        <v>14</v>
      </c>
      <c r="H867" s="10" t="s">
        <v>14</v>
      </c>
      <c r="I867" s="10" t="s">
        <v>14</v>
      </c>
      <c r="J867" s="10" t="s">
        <v>14</v>
      </c>
      <c r="K867" s="10" t="s">
        <v>14</v>
      </c>
      <c r="L867" s="10" t="s">
        <v>14</v>
      </c>
      <c r="M867" s="10" t="s">
        <v>14</v>
      </c>
      <c r="N867" s="10" t="s">
        <v>14</v>
      </c>
      <c r="O867" s="10" t="s">
        <v>14</v>
      </c>
      <c r="P867" s="10" t="s">
        <v>14</v>
      </c>
      <c r="Q867" s="10" t="s">
        <v>14</v>
      </c>
      <c r="R867" s="10" t="s">
        <v>14</v>
      </c>
      <c r="S867" s="10" t="s">
        <v>14</v>
      </c>
    </row>
    <row r="868" spans="1:19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</row>
    <row r="869" spans="1:19">
      <c r="A869" s="189" t="s">
        <v>15</v>
      </c>
      <c r="B869" s="189"/>
      <c r="C869" s="164" t="s">
        <v>16</v>
      </c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31"/>
      <c r="S869" s="31"/>
    </row>
    <row r="870" spans="1:19">
      <c r="A870" s="31"/>
      <c r="B870" s="31"/>
      <c r="C870" s="164" t="s">
        <v>17</v>
      </c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31"/>
      <c r="S870" s="31"/>
    </row>
    <row r="871" spans="1:19">
      <c r="A871" s="31"/>
      <c r="B871" s="31"/>
      <c r="C871" s="164" t="s">
        <v>44</v>
      </c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31"/>
      <c r="S871" s="31"/>
    </row>
    <row r="872" spans="1:19">
      <c r="A872" s="31"/>
      <c r="B872" s="31"/>
      <c r="C872" s="164" t="s">
        <v>45</v>
      </c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31"/>
      <c r="S872" s="31"/>
    </row>
    <row r="876" spans="1:19" ht="26.25">
      <c r="A876" s="190" t="s">
        <v>0</v>
      </c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</row>
    <row r="877" spans="1:19" ht="19.5">
      <c r="A877" s="191" t="s">
        <v>1225</v>
      </c>
      <c r="B877" s="191"/>
      <c r="C877" s="191"/>
      <c r="D877" s="191"/>
      <c r="E877" s="191"/>
      <c r="F877" s="191"/>
      <c r="G877" s="191"/>
      <c r="H877" s="191"/>
      <c r="I877" s="1"/>
      <c r="J877" s="1"/>
      <c r="K877" s="192" t="s">
        <v>77</v>
      </c>
      <c r="L877" s="192"/>
      <c r="M877" s="192"/>
      <c r="N877" s="192"/>
      <c r="O877" s="1"/>
      <c r="P877" s="193" t="s">
        <v>1</v>
      </c>
      <c r="Q877" s="193"/>
      <c r="R877" s="194">
        <v>44630</v>
      </c>
      <c r="S877" s="194"/>
    </row>
    <row r="878" spans="1:19">
      <c r="A878" s="188" t="s">
        <v>2</v>
      </c>
      <c r="B878" s="188"/>
      <c r="C878" s="30">
        <v>1</v>
      </c>
      <c r="D878" s="30">
        <v>2</v>
      </c>
      <c r="E878" s="30">
        <v>3</v>
      </c>
      <c r="F878" s="30">
        <v>4</v>
      </c>
      <c r="G878" s="30">
        <v>5</v>
      </c>
      <c r="H878" s="30">
        <v>6</v>
      </c>
      <c r="I878" s="30">
        <v>7</v>
      </c>
      <c r="J878" s="30">
        <v>8</v>
      </c>
      <c r="K878" s="30">
        <v>9</v>
      </c>
      <c r="L878" s="30">
        <v>10</v>
      </c>
      <c r="M878" s="30">
        <v>11</v>
      </c>
      <c r="N878" s="30">
        <v>12</v>
      </c>
      <c r="O878" s="30">
        <v>13</v>
      </c>
      <c r="P878" s="30">
        <v>14</v>
      </c>
      <c r="Q878" s="195" t="s">
        <v>3</v>
      </c>
      <c r="R878" s="195" t="s">
        <v>4</v>
      </c>
      <c r="S878" s="195" t="s">
        <v>5</v>
      </c>
    </row>
    <row r="879" spans="1:19">
      <c r="A879" s="165" t="s">
        <v>6</v>
      </c>
      <c r="B879" s="167"/>
      <c r="C879" s="49">
        <f>'Booth detail'!NB1</f>
        <v>365</v>
      </c>
      <c r="D879" s="49">
        <f>'Booth detail'!NC1</f>
        <v>366</v>
      </c>
      <c r="E879" s="49">
        <f>'Booth detail'!ND1</f>
        <v>367</v>
      </c>
      <c r="F879" s="49">
        <f>'Booth detail'!NE1</f>
        <v>368</v>
      </c>
      <c r="G879" s="49">
        <f>'Booth detail'!NF1</f>
        <v>369</v>
      </c>
      <c r="H879" s="49">
        <f>'Booth detail'!NG1</f>
        <v>370</v>
      </c>
      <c r="I879" s="49">
        <f>'Booth detail'!NH1</f>
        <v>371</v>
      </c>
      <c r="J879" s="49">
        <f>'Booth detail'!NI1</f>
        <v>372</v>
      </c>
      <c r="K879" s="49">
        <f>'Booth detail'!NJ1</f>
        <v>373</v>
      </c>
      <c r="L879" s="49">
        <f>'Booth detail'!NK1</f>
        <v>374</v>
      </c>
      <c r="M879" s="49">
        <f>'Booth detail'!NL1</f>
        <v>375</v>
      </c>
      <c r="N879" s="49">
        <f>'Booth detail'!NM1</f>
        <v>376</v>
      </c>
      <c r="O879" s="49">
        <f>'Booth detail'!NN1</f>
        <v>377</v>
      </c>
      <c r="P879" s="49">
        <f>'Booth detail'!NO1</f>
        <v>378</v>
      </c>
      <c r="Q879" s="196"/>
      <c r="R879" s="196"/>
      <c r="S879" s="196"/>
    </row>
    <row r="880" spans="1:19" ht="54" customHeight="1">
      <c r="A880" s="165" t="s">
        <v>18</v>
      </c>
      <c r="B880" s="167"/>
      <c r="C880" s="50" t="str">
        <f>'Booth detail'!NB2</f>
        <v>ECUEC57563</v>
      </c>
      <c r="D880" s="50" t="str">
        <f>'Booth detail'!NC2</f>
        <v>ECUEC52102</v>
      </c>
      <c r="E880" s="50" t="str">
        <f>'Booth detail'!ND2</f>
        <v>ECUEC63623</v>
      </c>
      <c r="F880" s="50" t="str">
        <f>'Booth detail'!NE2</f>
        <v>ECUEC67765</v>
      </c>
      <c r="G880" s="50" t="str">
        <f>'Booth detail'!NF2</f>
        <v>ECUEC50403</v>
      </c>
      <c r="H880" s="50" t="str">
        <f>'Booth detail'!NG2</f>
        <v>ECUEC53743</v>
      </c>
      <c r="I880" s="50" t="str">
        <f>'Booth detail'!NH2</f>
        <v>ECUEC64939</v>
      </c>
      <c r="J880" s="50" t="str">
        <f>'Booth detail'!NI2</f>
        <v>ECUEC64382</v>
      </c>
      <c r="K880" s="50" t="str">
        <f>'Booth detail'!NJ2</f>
        <v>ECUEC50604</v>
      </c>
      <c r="L880" s="50" t="str">
        <f>'Booth detail'!NK2</f>
        <v>ECUED25639</v>
      </c>
      <c r="M880" s="50" t="str">
        <f>'Booth detail'!NL2</f>
        <v>ECUED29128</v>
      </c>
      <c r="N880" s="50" t="str">
        <f>'Booth detail'!NM2</f>
        <v>ECUEC51505</v>
      </c>
      <c r="O880" s="64" t="str">
        <f>'Booth detail'!NN2</f>
        <v>ECUEC67087/
ECUED11300</v>
      </c>
      <c r="P880" s="50" t="str">
        <f>'Booth detail'!NO2</f>
        <v>ECUEC64835</v>
      </c>
      <c r="Q880" s="196"/>
      <c r="R880" s="196"/>
      <c r="S880" s="196"/>
    </row>
    <row r="881" spans="1:19" ht="39.75" customHeight="1">
      <c r="A881" s="198" t="s">
        <v>20</v>
      </c>
      <c r="B881" s="199"/>
      <c r="C881" s="57" t="str">
        <f>'Booth detail'!NB3</f>
        <v>-</v>
      </c>
      <c r="D881" s="57" t="str">
        <f>'Booth detail'!NC3</f>
        <v>-</v>
      </c>
      <c r="E881" s="57" t="str">
        <f>'Booth detail'!ND3</f>
        <v>-</v>
      </c>
      <c r="F881" s="57" t="str">
        <f>'Booth detail'!NE3</f>
        <v>-</v>
      </c>
      <c r="G881" s="57" t="str">
        <f>'Booth detail'!NF3</f>
        <v>-</v>
      </c>
      <c r="H881" s="57" t="str">
        <f>'Booth detail'!NG3</f>
        <v>-</v>
      </c>
      <c r="I881" s="57" t="str">
        <f>'Booth detail'!NH3</f>
        <v>-</v>
      </c>
      <c r="J881" s="57" t="str">
        <f>'Booth detail'!NI3</f>
        <v>-</v>
      </c>
      <c r="K881" s="57" t="str">
        <f>'Booth detail'!NJ3</f>
        <v>-</v>
      </c>
      <c r="L881" s="57" t="str">
        <f>'Booth detail'!NK3</f>
        <v>-</v>
      </c>
      <c r="M881" s="57" t="str">
        <f>'Booth detail'!NL3</f>
        <v>-</v>
      </c>
      <c r="N881" s="57" t="str">
        <f>'Booth detail'!NM3</f>
        <v>-</v>
      </c>
      <c r="O881" s="57" t="str">
        <f>'Booth detail'!NN3</f>
        <v>-</v>
      </c>
      <c r="P881" s="57" t="str">
        <f>'Booth detail'!NO3</f>
        <v>-</v>
      </c>
      <c r="Q881" s="196"/>
      <c r="R881" s="196"/>
      <c r="S881" s="196"/>
    </row>
    <row r="882" spans="1:19">
      <c r="A882" s="14" t="s">
        <v>7</v>
      </c>
      <c r="B882" s="32" t="s">
        <v>8</v>
      </c>
      <c r="C882" s="33" t="s">
        <v>9</v>
      </c>
      <c r="D882" s="33" t="s">
        <v>9</v>
      </c>
      <c r="E882" s="33" t="s">
        <v>9</v>
      </c>
      <c r="F882" s="33" t="s">
        <v>9</v>
      </c>
      <c r="G882" s="33" t="s">
        <v>9</v>
      </c>
      <c r="H882" s="33" t="s">
        <v>9</v>
      </c>
      <c r="I882" s="33" t="s">
        <v>9</v>
      </c>
      <c r="J882" s="33" t="s">
        <v>9</v>
      </c>
      <c r="K882" s="33" t="s">
        <v>9</v>
      </c>
      <c r="L882" s="33" t="s">
        <v>9</v>
      </c>
      <c r="M882" s="33" t="s">
        <v>9</v>
      </c>
      <c r="N882" s="33" t="s">
        <v>9</v>
      </c>
      <c r="O882" s="33" t="s">
        <v>9</v>
      </c>
      <c r="P882" s="33" t="s">
        <v>9</v>
      </c>
      <c r="Q882" s="197"/>
      <c r="R882" s="197"/>
      <c r="S882" s="197"/>
    </row>
    <row r="883" spans="1:19" ht="18.75">
      <c r="A883" s="29">
        <v>1</v>
      </c>
      <c r="B883" s="15" t="str">
        <f>'Candidate List'!B2</f>
        <v>Manveer Singh</v>
      </c>
      <c r="C883" s="13">
        <v>98</v>
      </c>
      <c r="D883" s="13">
        <v>13</v>
      </c>
      <c r="E883" s="13">
        <v>8</v>
      </c>
      <c r="F883" s="13">
        <v>254</v>
      </c>
      <c r="G883" s="13">
        <v>203</v>
      </c>
      <c r="H883" s="13">
        <v>156</v>
      </c>
      <c r="I883" s="13">
        <v>54</v>
      </c>
      <c r="J883" s="13">
        <v>238</v>
      </c>
      <c r="K883" s="13">
        <v>66</v>
      </c>
      <c r="L883" s="13">
        <v>41</v>
      </c>
      <c r="M883" s="13">
        <v>43</v>
      </c>
      <c r="N883" s="13">
        <v>58</v>
      </c>
      <c r="O883" s="13">
        <v>353</v>
      </c>
      <c r="P883" s="13">
        <v>11</v>
      </c>
      <c r="Q883" s="30">
        <f>SUM(C883:P883)</f>
        <v>1596</v>
      </c>
      <c r="R883" s="30">
        <f>S850</f>
        <v>31165</v>
      </c>
      <c r="S883" s="30">
        <f>Q883+R883</f>
        <v>32761</v>
      </c>
    </row>
    <row r="884" spans="1:19" ht="18.75">
      <c r="A884" s="29">
        <v>2</v>
      </c>
      <c r="B884" s="15" t="str">
        <f>'Candidate List'!B3</f>
        <v>Rahul Yadav</v>
      </c>
      <c r="C884" s="13">
        <v>297</v>
      </c>
      <c r="D884" s="13">
        <v>315</v>
      </c>
      <c r="E884" s="13">
        <v>224</v>
      </c>
      <c r="F884" s="13">
        <v>207</v>
      </c>
      <c r="G884" s="13">
        <v>39</v>
      </c>
      <c r="H884" s="13">
        <v>37</v>
      </c>
      <c r="I884" s="13">
        <v>169</v>
      </c>
      <c r="J884" s="13">
        <v>27</v>
      </c>
      <c r="K884" s="13">
        <v>134</v>
      </c>
      <c r="L884" s="13">
        <v>126</v>
      </c>
      <c r="M884" s="13">
        <v>144</v>
      </c>
      <c r="N884" s="13">
        <v>99</v>
      </c>
      <c r="O884" s="13">
        <v>75</v>
      </c>
      <c r="P884" s="13">
        <v>69</v>
      </c>
      <c r="Q884" s="30">
        <f t="shared" ref="Q884:Q896" si="104">SUM(C884:P884)</f>
        <v>1962</v>
      </c>
      <c r="R884" s="30">
        <f t="shared" ref="R884:R896" si="105">S851</f>
        <v>82183</v>
      </c>
      <c r="S884" s="30">
        <f t="shared" ref="S884:S896" si="106">Q884+R884</f>
        <v>84145</v>
      </c>
    </row>
    <row r="885" spans="1:19" ht="18.75">
      <c r="A885" s="29">
        <v>3</v>
      </c>
      <c r="B885" s="15" t="str">
        <f>'Candidate List'!B4</f>
        <v>Lakshmi Raj</v>
      </c>
      <c r="C885" s="13">
        <v>137</v>
      </c>
      <c r="D885" s="13">
        <v>302</v>
      </c>
      <c r="E885" s="13">
        <v>411</v>
      </c>
      <c r="F885" s="13">
        <v>97</v>
      </c>
      <c r="G885" s="13">
        <v>349</v>
      </c>
      <c r="H885" s="13">
        <v>449</v>
      </c>
      <c r="I885" s="13">
        <v>479</v>
      </c>
      <c r="J885" s="13">
        <v>339</v>
      </c>
      <c r="K885" s="13">
        <v>504</v>
      </c>
      <c r="L885" s="13">
        <v>531</v>
      </c>
      <c r="M885" s="13">
        <v>312</v>
      </c>
      <c r="N885" s="13">
        <v>376</v>
      </c>
      <c r="O885" s="13">
        <v>126</v>
      </c>
      <c r="P885" s="13">
        <v>461</v>
      </c>
      <c r="Q885" s="30">
        <f t="shared" si="104"/>
        <v>4873</v>
      </c>
      <c r="R885" s="30">
        <f t="shared" si="105"/>
        <v>85948</v>
      </c>
      <c r="S885" s="30">
        <f t="shared" si="106"/>
        <v>90821</v>
      </c>
    </row>
    <row r="886" spans="1:19" ht="18.75">
      <c r="A886" s="29">
        <v>4</v>
      </c>
      <c r="B886" s="15" t="str">
        <f>'Candidate List'!B5</f>
        <v>Saleem Akhtar Khan</v>
      </c>
      <c r="C886" s="13">
        <v>1</v>
      </c>
      <c r="D886" s="13">
        <v>5</v>
      </c>
      <c r="E886" s="13">
        <v>7</v>
      </c>
      <c r="F886" s="13">
        <v>1</v>
      </c>
      <c r="G886" s="13">
        <v>1</v>
      </c>
      <c r="H886" s="13">
        <v>1</v>
      </c>
      <c r="I886" s="13">
        <v>6</v>
      </c>
      <c r="J886" s="13">
        <v>3</v>
      </c>
      <c r="K886" s="13">
        <v>7</v>
      </c>
      <c r="L886" s="13">
        <v>3</v>
      </c>
      <c r="M886" s="13">
        <v>7</v>
      </c>
      <c r="N886" s="13">
        <v>1</v>
      </c>
      <c r="O886" s="13">
        <v>4</v>
      </c>
      <c r="P886" s="13">
        <v>10</v>
      </c>
      <c r="Q886" s="30">
        <f t="shared" si="104"/>
        <v>57</v>
      </c>
      <c r="R886" s="30">
        <f t="shared" si="105"/>
        <v>1735</v>
      </c>
      <c r="S886" s="30">
        <f t="shared" si="106"/>
        <v>1792</v>
      </c>
    </row>
    <row r="887" spans="1:19" ht="18.75">
      <c r="A887" s="29">
        <v>5</v>
      </c>
      <c r="B887" s="15" t="str">
        <f>'Candidate List'!B6</f>
        <v>Ajay Kumar</v>
      </c>
      <c r="C887" s="13">
        <v>1</v>
      </c>
      <c r="D887" s="13">
        <v>0</v>
      </c>
      <c r="E887" s="13">
        <v>2</v>
      </c>
      <c r="F887" s="13">
        <v>0</v>
      </c>
      <c r="G887" s="13">
        <v>0</v>
      </c>
      <c r="H887" s="13">
        <v>1</v>
      </c>
      <c r="I887" s="13">
        <v>0</v>
      </c>
      <c r="J887" s="13">
        <v>0</v>
      </c>
      <c r="K887" s="13">
        <v>0</v>
      </c>
      <c r="L887" s="13">
        <v>0</v>
      </c>
      <c r="M887" s="13">
        <v>3</v>
      </c>
      <c r="N887" s="13">
        <v>1</v>
      </c>
      <c r="O887" s="13">
        <v>1</v>
      </c>
      <c r="P887" s="13">
        <v>0</v>
      </c>
      <c r="Q887" s="30">
        <f t="shared" si="104"/>
        <v>9</v>
      </c>
      <c r="R887" s="30">
        <f t="shared" si="105"/>
        <v>625</v>
      </c>
      <c r="S887" s="30">
        <f t="shared" si="106"/>
        <v>634</v>
      </c>
    </row>
    <row r="888" spans="1:19" ht="18.75">
      <c r="A888" s="29">
        <v>6</v>
      </c>
      <c r="B888" s="15" t="str">
        <f>'Candidate List'!B7</f>
        <v>Ajay Kumar Sharma</v>
      </c>
      <c r="C888" s="13">
        <v>0</v>
      </c>
      <c r="D888" s="13">
        <v>2</v>
      </c>
      <c r="E888" s="13">
        <v>1</v>
      </c>
      <c r="F888" s="13">
        <v>0</v>
      </c>
      <c r="G888" s="13">
        <v>0</v>
      </c>
      <c r="H888" s="13">
        <v>0</v>
      </c>
      <c r="I888" s="13">
        <v>1</v>
      </c>
      <c r="J888" s="13">
        <v>0</v>
      </c>
      <c r="K888" s="13">
        <v>0</v>
      </c>
      <c r="L888" s="13">
        <v>0</v>
      </c>
      <c r="M888" s="13">
        <v>1</v>
      </c>
      <c r="N888" s="13">
        <v>1</v>
      </c>
      <c r="O888" s="13">
        <v>1</v>
      </c>
      <c r="P888" s="13">
        <v>1</v>
      </c>
      <c r="Q888" s="30">
        <f t="shared" si="104"/>
        <v>8</v>
      </c>
      <c r="R888" s="30">
        <f t="shared" si="105"/>
        <v>85</v>
      </c>
      <c r="S888" s="30">
        <f t="shared" si="106"/>
        <v>93</v>
      </c>
    </row>
    <row r="889" spans="1:19" ht="18.75">
      <c r="A889" s="29">
        <v>7</v>
      </c>
      <c r="B889" s="15" t="str">
        <f>'Candidate List'!B8</f>
        <v>Amit Singh Tomar</v>
      </c>
      <c r="C889" s="13">
        <v>0</v>
      </c>
      <c r="D889" s="13">
        <v>1</v>
      </c>
      <c r="E889" s="13">
        <v>0</v>
      </c>
      <c r="F889" s="13">
        <v>1</v>
      </c>
      <c r="G889" s="13">
        <v>0</v>
      </c>
      <c r="H889" s="13">
        <v>1</v>
      </c>
      <c r="I889" s="13">
        <v>1</v>
      </c>
      <c r="J889" s="13">
        <v>0</v>
      </c>
      <c r="K889" s="13">
        <v>0</v>
      </c>
      <c r="L889" s="13">
        <v>0</v>
      </c>
      <c r="M889" s="13">
        <v>0</v>
      </c>
      <c r="N889" s="13">
        <v>1</v>
      </c>
      <c r="O889" s="13">
        <v>1</v>
      </c>
      <c r="P889" s="13">
        <v>1</v>
      </c>
      <c r="Q889" s="30">
        <f t="shared" si="104"/>
        <v>7</v>
      </c>
      <c r="R889" s="30">
        <f t="shared" si="105"/>
        <v>149</v>
      </c>
      <c r="S889" s="30">
        <f t="shared" si="106"/>
        <v>156</v>
      </c>
    </row>
    <row r="890" spans="1:19" ht="18.75">
      <c r="A890" s="29">
        <v>8</v>
      </c>
      <c r="B890" s="15" t="str">
        <f>'Candidate List'!B9</f>
        <v>Darshan Sharma</v>
      </c>
      <c r="C890" s="13">
        <v>0</v>
      </c>
      <c r="D890" s="13">
        <v>1</v>
      </c>
      <c r="E890" s="13">
        <v>1</v>
      </c>
      <c r="F890" s="13">
        <v>0</v>
      </c>
      <c r="G890" s="13">
        <v>2</v>
      </c>
      <c r="H890" s="13">
        <v>1</v>
      </c>
      <c r="I890" s="13">
        <v>1</v>
      </c>
      <c r="J890" s="13">
        <v>1</v>
      </c>
      <c r="K890" s="13">
        <v>2</v>
      </c>
      <c r="L890" s="13">
        <v>2</v>
      </c>
      <c r="M890" s="13">
        <v>2</v>
      </c>
      <c r="N890" s="13">
        <v>10</v>
      </c>
      <c r="O890" s="13">
        <v>0</v>
      </c>
      <c r="P890" s="13">
        <v>1</v>
      </c>
      <c r="Q890" s="30">
        <f t="shared" si="104"/>
        <v>24</v>
      </c>
      <c r="R890" s="30">
        <f t="shared" si="105"/>
        <v>281</v>
      </c>
      <c r="S890" s="30">
        <f t="shared" si="106"/>
        <v>305</v>
      </c>
    </row>
    <row r="891" spans="1:19" ht="18.75">
      <c r="A891" s="29">
        <v>9</v>
      </c>
      <c r="B891" s="15" t="str">
        <f>'Candidate List'!B10</f>
        <v>Dilshad Ahmad</v>
      </c>
      <c r="C891" s="13">
        <v>17</v>
      </c>
      <c r="D891" s="13">
        <v>5</v>
      </c>
      <c r="E891" s="13">
        <v>0</v>
      </c>
      <c r="F891" s="13">
        <v>0</v>
      </c>
      <c r="G891" s="13">
        <v>1</v>
      </c>
      <c r="H891" s="13">
        <v>0</v>
      </c>
      <c r="I891" s="13">
        <v>2</v>
      </c>
      <c r="J891" s="13">
        <v>0</v>
      </c>
      <c r="K891" s="13">
        <v>0</v>
      </c>
      <c r="L891" s="13">
        <v>0</v>
      </c>
      <c r="M891" s="13">
        <v>8</v>
      </c>
      <c r="N891" s="13">
        <v>0</v>
      </c>
      <c r="O891" s="13">
        <v>1</v>
      </c>
      <c r="P891" s="13">
        <v>1</v>
      </c>
      <c r="Q891" s="30">
        <f t="shared" si="104"/>
        <v>35</v>
      </c>
      <c r="R891" s="30">
        <f t="shared" si="105"/>
        <v>1503</v>
      </c>
      <c r="S891" s="30">
        <f t="shared" si="106"/>
        <v>1538</v>
      </c>
    </row>
    <row r="892" spans="1:19" ht="18.75">
      <c r="A892" s="29">
        <v>10</v>
      </c>
      <c r="B892" s="15" t="str">
        <f>'Candidate List'!B11</f>
        <v>Raju Thakur</v>
      </c>
      <c r="C892" s="13">
        <v>2</v>
      </c>
      <c r="D892" s="13">
        <v>1</v>
      </c>
      <c r="E892" s="13">
        <v>3</v>
      </c>
      <c r="F892" s="13">
        <v>2</v>
      </c>
      <c r="G892" s="13">
        <v>6</v>
      </c>
      <c r="H892" s="13">
        <v>1</v>
      </c>
      <c r="I892" s="13">
        <v>5</v>
      </c>
      <c r="J892" s="13">
        <v>1</v>
      </c>
      <c r="K892" s="13">
        <v>2</v>
      </c>
      <c r="L892" s="13">
        <v>1</v>
      </c>
      <c r="M892" s="13">
        <v>6</v>
      </c>
      <c r="N892" s="13">
        <v>0</v>
      </c>
      <c r="O892" s="13">
        <v>1</v>
      </c>
      <c r="P892" s="13">
        <v>0</v>
      </c>
      <c r="Q892" s="30">
        <f t="shared" si="104"/>
        <v>31</v>
      </c>
      <c r="R892" s="30">
        <f t="shared" si="105"/>
        <v>950</v>
      </c>
      <c r="S892" s="30">
        <f t="shared" si="106"/>
        <v>981</v>
      </c>
    </row>
    <row r="893" spans="1:19" ht="18.75">
      <c r="A893" s="29">
        <v>11</v>
      </c>
      <c r="B893" s="15" t="str">
        <f>'Candidate List'!B12</f>
        <v>Bablu</v>
      </c>
      <c r="C893" s="13">
        <v>3</v>
      </c>
      <c r="D893" s="13">
        <v>3</v>
      </c>
      <c r="E893" s="13">
        <v>2</v>
      </c>
      <c r="F893" s="13">
        <v>2</v>
      </c>
      <c r="G893" s="13">
        <v>0</v>
      </c>
      <c r="H893" s="13">
        <v>6</v>
      </c>
      <c r="I893" s="13">
        <v>0</v>
      </c>
      <c r="J893" s="13">
        <v>0</v>
      </c>
      <c r="K893" s="13">
        <v>1</v>
      </c>
      <c r="L893" s="13">
        <v>2</v>
      </c>
      <c r="M893" s="13">
        <v>2</v>
      </c>
      <c r="N893" s="13">
        <v>1</v>
      </c>
      <c r="O893" s="13">
        <v>0</v>
      </c>
      <c r="P893" s="13">
        <v>0</v>
      </c>
      <c r="Q893" s="30">
        <f t="shared" si="104"/>
        <v>22</v>
      </c>
      <c r="R893" s="30">
        <f t="shared" si="105"/>
        <v>409</v>
      </c>
      <c r="S893" s="30">
        <f t="shared" si="106"/>
        <v>431</v>
      </c>
    </row>
    <row r="894" spans="1:19" ht="18.75">
      <c r="A894" s="29">
        <v>12</v>
      </c>
      <c r="B894" s="15" t="str">
        <f>'Candidate List'!B13</f>
        <v>NOTA</v>
      </c>
      <c r="C894" s="13">
        <v>4</v>
      </c>
      <c r="D894" s="13">
        <v>3</v>
      </c>
      <c r="E894" s="13">
        <v>4</v>
      </c>
      <c r="F894" s="13">
        <v>4</v>
      </c>
      <c r="G894" s="13">
        <v>2</v>
      </c>
      <c r="H894" s="13"/>
      <c r="I894" s="13">
        <v>1</v>
      </c>
      <c r="J894" s="13">
        <v>4</v>
      </c>
      <c r="K894" s="13">
        <v>3</v>
      </c>
      <c r="L894" s="13">
        <v>0</v>
      </c>
      <c r="M894" s="13">
        <v>4</v>
      </c>
      <c r="N894" s="13">
        <v>2</v>
      </c>
      <c r="O894" s="13">
        <v>1</v>
      </c>
      <c r="P894" s="13">
        <v>2</v>
      </c>
      <c r="Q894" s="30">
        <f t="shared" si="104"/>
        <v>34</v>
      </c>
      <c r="R894" s="30">
        <f t="shared" si="105"/>
        <v>919</v>
      </c>
      <c r="S894" s="30">
        <f t="shared" si="106"/>
        <v>953</v>
      </c>
    </row>
    <row r="895" spans="1:19">
      <c r="A895" s="187" t="s">
        <v>11</v>
      </c>
      <c r="B895" s="187"/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30">
        <f t="shared" si="104"/>
        <v>0</v>
      </c>
      <c r="R895" s="30">
        <f t="shared" si="105"/>
        <v>0</v>
      </c>
      <c r="S895" s="30">
        <f t="shared" si="106"/>
        <v>0</v>
      </c>
    </row>
    <row r="896" spans="1:19">
      <c r="A896" s="188" t="s">
        <v>12</v>
      </c>
      <c r="B896" s="188"/>
      <c r="C896" s="30">
        <f t="shared" ref="C896:P896" si="107">SUM(C883:C895)</f>
        <v>560</v>
      </c>
      <c r="D896" s="30">
        <f t="shared" si="107"/>
        <v>651</v>
      </c>
      <c r="E896" s="30">
        <f t="shared" si="107"/>
        <v>663</v>
      </c>
      <c r="F896" s="30">
        <f t="shared" si="107"/>
        <v>568</v>
      </c>
      <c r="G896" s="30">
        <f t="shared" si="107"/>
        <v>603</v>
      </c>
      <c r="H896" s="30">
        <f t="shared" si="107"/>
        <v>653</v>
      </c>
      <c r="I896" s="30">
        <f t="shared" si="107"/>
        <v>719</v>
      </c>
      <c r="J896" s="30">
        <f t="shared" si="107"/>
        <v>613</v>
      </c>
      <c r="K896" s="30">
        <f t="shared" si="107"/>
        <v>719</v>
      </c>
      <c r="L896" s="30">
        <f t="shared" si="107"/>
        <v>706</v>
      </c>
      <c r="M896" s="30">
        <f t="shared" si="107"/>
        <v>532</v>
      </c>
      <c r="N896" s="30">
        <f t="shared" si="107"/>
        <v>550</v>
      </c>
      <c r="O896" s="30">
        <f t="shared" si="107"/>
        <v>564</v>
      </c>
      <c r="P896" s="30">
        <f t="shared" si="107"/>
        <v>557</v>
      </c>
      <c r="Q896" s="30">
        <f t="shared" si="104"/>
        <v>8658</v>
      </c>
      <c r="R896" s="30">
        <f t="shared" si="105"/>
        <v>205952</v>
      </c>
      <c r="S896" s="30">
        <f t="shared" si="106"/>
        <v>214610</v>
      </c>
    </row>
    <row r="897" spans="1:19" ht="39.75" customHeight="1">
      <c r="A897" s="5"/>
      <c r="B897" s="5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8"/>
      <c r="R897" s="7"/>
      <c r="S897" s="7"/>
    </row>
    <row r="898" spans="1:19" ht="22.5">
      <c r="A898" s="31"/>
      <c r="B898" s="31"/>
      <c r="C898" s="10" t="s">
        <v>13</v>
      </c>
      <c r="D898" s="10" t="s">
        <v>13</v>
      </c>
      <c r="E898" s="10" t="s">
        <v>13</v>
      </c>
      <c r="F898" s="10" t="s">
        <v>13</v>
      </c>
      <c r="G898" s="10" t="s">
        <v>13</v>
      </c>
      <c r="H898" s="10" t="s">
        <v>13</v>
      </c>
      <c r="I898" s="10" t="s">
        <v>13</v>
      </c>
      <c r="J898" s="10" t="s">
        <v>13</v>
      </c>
      <c r="K898" s="10" t="s">
        <v>13</v>
      </c>
      <c r="L898" s="10" t="s">
        <v>13</v>
      </c>
      <c r="M898" s="10" t="s">
        <v>13</v>
      </c>
      <c r="N898" s="10" t="s">
        <v>13</v>
      </c>
      <c r="O898" s="10" t="s">
        <v>13</v>
      </c>
      <c r="P898" s="10" t="s">
        <v>13</v>
      </c>
      <c r="Q898" s="10" t="s">
        <v>13</v>
      </c>
      <c r="R898" s="10" t="s">
        <v>13</v>
      </c>
      <c r="S898" s="10" t="s">
        <v>13</v>
      </c>
    </row>
    <row r="899" spans="1:19" ht="35.25" customHeight="1">
      <c r="A899" s="31"/>
      <c r="B899" s="3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 ht="22.5">
      <c r="A900" s="31"/>
      <c r="B900" s="31"/>
      <c r="C900" s="10" t="s">
        <v>14</v>
      </c>
      <c r="D900" s="10" t="s">
        <v>14</v>
      </c>
      <c r="E900" s="10" t="s">
        <v>14</v>
      </c>
      <c r="F900" s="10" t="s">
        <v>14</v>
      </c>
      <c r="G900" s="10" t="s">
        <v>14</v>
      </c>
      <c r="H900" s="10" t="s">
        <v>14</v>
      </c>
      <c r="I900" s="10" t="s">
        <v>14</v>
      </c>
      <c r="J900" s="10" t="s">
        <v>14</v>
      </c>
      <c r="K900" s="10" t="s">
        <v>14</v>
      </c>
      <c r="L900" s="10" t="s">
        <v>14</v>
      </c>
      <c r="M900" s="10" t="s">
        <v>14</v>
      </c>
      <c r="N900" s="10" t="s">
        <v>14</v>
      </c>
      <c r="O900" s="10" t="s">
        <v>14</v>
      </c>
      <c r="P900" s="10" t="s">
        <v>14</v>
      </c>
      <c r="Q900" s="10" t="s">
        <v>14</v>
      </c>
      <c r="R900" s="10" t="s">
        <v>14</v>
      </c>
      <c r="S900" s="10" t="s">
        <v>14</v>
      </c>
    </row>
    <row r="901" spans="1:19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</row>
    <row r="902" spans="1:19">
      <c r="A902" s="189" t="s">
        <v>15</v>
      </c>
      <c r="B902" s="189"/>
      <c r="C902" s="164" t="s">
        <v>16</v>
      </c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31"/>
      <c r="S902" s="31"/>
    </row>
    <row r="903" spans="1:19">
      <c r="A903" s="31"/>
      <c r="B903" s="31"/>
      <c r="C903" s="164" t="s">
        <v>17</v>
      </c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31"/>
      <c r="S903" s="31"/>
    </row>
    <row r="904" spans="1:19">
      <c r="A904" s="31"/>
      <c r="B904" s="31"/>
      <c r="C904" s="164" t="s">
        <v>44</v>
      </c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31"/>
      <c r="S904" s="31"/>
    </row>
    <row r="905" spans="1:19">
      <c r="A905" s="31"/>
      <c r="B905" s="31"/>
      <c r="C905" s="164" t="s">
        <v>45</v>
      </c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31"/>
      <c r="S905" s="31"/>
    </row>
    <row r="909" spans="1:19" ht="26.25">
      <c r="A909" s="190" t="s">
        <v>0</v>
      </c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</row>
    <row r="910" spans="1:19" ht="19.5">
      <c r="A910" s="191" t="s">
        <v>1225</v>
      </c>
      <c r="B910" s="191"/>
      <c r="C910" s="191"/>
      <c r="D910" s="191"/>
      <c r="E910" s="191"/>
      <c r="F910" s="191"/>
      <c r="G910" s="191"/>
      <c r="H910" s="191"/>
      <c r="I910" s="1"/>
      <c r="J910" s="1"/>
      <c r="K910" s="192" t="s">
        <v>78</v>
      </c>
      <c r="L910" s="192"/>
      <c r="M910" s="192"/>
      <c r="N910" s="192"/>
      <c r="O910" s="1"/>
      <c r="P910" s="193" t="s">
        <v>1</v>
      </c>
      <c r="Q910" s="193"/>
      <c r="R910" s="194">
        <v>44630</v>
      </c>
      <c r="S910" s="194"/>
    </row>
    <row r="911" spans="1:19">
      <c r="A911" s="188" t="s">
        <v>2</v>
      </c>
      <c r="B911" s="188"/>
      <c r="C911" s="30">
        <v>1</v>
      </c>
      <c r="D911" s="30">
        <v>2</v>
      </c>
      <c r="E911" s="30">
        <v>3</v>
      </c>
      <c r="F911" s="30">
        <v>4</v>
      </c>
      <c r="G911" s="30">
        <v>5</v>
      </c>
      <c r="H911" s="30">
        <v>6</v>
      </c>
      <c r="I911" s="30">
        <v>7</v>
      </c>
      <c r="J911" s="30">
        <v>8</v>
      </c>
      <c r="K911" s="30">
        <v>9</v>
      </c>
      <c r="L911" s="30">
        <v>10</v>
      </c>
      <c r="M911" s="30">
        <v>11</v>
      </c>
      <c r="N911" s="30">
        <v>12</v>
      </c>
      <c r="O911" s="30">
        <v>13</v>
      </c>
      <c r="P911" s="30">
        <v>14</v>
      </c>
      <c r="Q911" s="195" t="s">
        <v>3</v>
      </c>
      <c r="R911" s="195" t="s">
        <v>4</v>
      </c>
      <c r="S911" s="195" t="s">
        <v>5</v>
      </c>
    </row>
    <row r="912" spans="1:19">
      <c r="A912" s="165" t="s">
        <v>6</v>
      </c>
      <c r="B912" s="167"/>
      <c r="C912" s="40">
        <f>'Booth detail'!NP1</f>
        <v>379</v>
      </c>
      <c r="D912" s="40">
        <f>'Booth detail'!NQ1</f>
        <v>380</v>
      </c>
      <c r="E912" s="40">
        <f>'Booth detail'!NR1</f>
        <v>381</v>
      </c>
      <c r="F912" s="40">
        <f>'Booth detail'!NS1</f>
        <v>382</v>
      </c>
      <c r="G912" s="40">
        <f>'Booth detail'!NT1</f>
        <v>383</v>
      </c>
      <c r="H912" s="40">
        <f>'Booth detail'!NU1</f>
        <v>384</v>
      </c>
      <c r="I912" s="40">
        <f>'Booth detail'!NV1</f>
        <v>385</v>
      </c>
      <c r="J912" s="40">
        <f>'Booth detail'!NW1</f>
        <v>386</v>
      </c>
      <c r="K912" s="40">
        <f>'Booth detail'!NX1</f>
        <v>387</v>
      </c>
      <c r="L912" s="40">
        <f>'Booth detail'!NY1</f>
        <v>388</v>
      </c>
      <c r="M912" s="40">
        <f>'Booth detail'!NZ1</f>
        <v>389</v>
      </c>
      <c r="N912" s="40">
        <f>'Booth detail'!OA1</f>
        <v>390</v>
      </c>
      <c r="O912" s="40">
        <f>'Booth detail'!OB1</f>
        <v>391</v>
      </c>
      <c r="P912" s="40">
        <f>'Booth detail'!OC1</f>
        <v>392</v>
      </c>
      <c r="Q912" s="196"/>
      <c r="R912" s="196"/>
      <c r="S912" s="196"/>
    </row>
    <row r="913" spans="1:19" ht="25.5">
      <c r="A913" s="165" t="s">
        <v>18</v>
      </c>
      <c r="B913" s="167"/>
      <c r="C913" s="44" t="str">
        <f>'Booth detail'!NP2</f>
        <v>ECUED07082</v>
      </c>
      <c r="D913" s="44" t="str">
        <f>'Booth detail'!NQ2</f>
        <v>ECUEC57218</v>
      </c>
      <c r="E913" s="44" t="str">
        <f>'Booth detail'!NR2</f>
        <v>ECUEC50427</v>
      </c>
      <c r="F913" s="44" t="str">
        <f>'Booth detail'!NS2</f>
        <v>ECUED24881</v>
      </c>
      <c r="G913" s="44" t="str">
        <f>'Booth detail'!NT2</f>
        <v>ECUED23652</v>
      </c>
      <c r="H913" s="44" t="str">
        <f>'Booth detail'!NU2</f>
        <v>ECUEC64920</v>
      </c>
      <c r="I913" s="44" t="str">
        <f>'Booth detail'!NV2</f>
        <v>ECUEC67567</v>
      </c>
      <c r="J913" s="44" t="str">
        <f>'Booth detail'!NW2</f>
        <v>ECUEC52557</v>
      </c>
      <c r="K913" s="44" t="str">
        <f>'Booth detail'!NX2</f>
        <v>ECUEC51064</v>
      </c>
      <c r="L913" s="44" t="str">
        <f>'Booth detail'!NY2</f>
        <v>ECUEC60119</v>
      </c>
      <c r="M913" s="44" t="str">
        <f>'Booth detail'!NZ2</f>
        <v>ECUEC57873</v>
      </c>
      <c r="N913" s="44" t="str">
        <f>'Booth detail'!OA2</f>
        <v>ECUED25082</v>
      </c>
      <c r="O913" s="44" t="str">
        <f>'Booth detail'!OB2</f>
        <v>ECUEC64714</v>
      </c>
      <c r="P913" s="44" t="str">
        <f>'Booth detail'!OC2</f>
        <v>ECUEC64982</v>
      </c>
      <c r="Q913" s="196"/>
      <c r="R913" s="196"/>
      <c r="S913" s="196"/>
    </row>
    <row r="914" spans="1:19" ht="39" customHeight="1">
      <c r="A914" s="198" t="s">
        <v>20</v>
      </c>
      <c r="B914" s="199"/>
      <c r="C914" s="55" t="str">
        <f>'Booth detail'!NP3</f>
        <v>-</v>
      </c>
      <c r="D914" s="55" t="str">
        <f>'Booth detail'!NQ3</f>
        <v>-</v>
      </c>
      <c r="E914" s="55" t="str">
        <f>'Booth detail'!NR3</f>
        <v>-</v>
      </c>
      <c r="F914" s="55" t="str">
        <f>'Booth detail'!NS3</f>
        <v>-</v>
      </c>
      <c r="G914" s="55" t="str">
        <f>'Booth detail'!NT3</f>
        <v>-</v>
      </c>
      <c r="H914" s="55" t="str">
        <f>'Booth detail'!NU3</f>
        <v>-</v>
      </c>
      <c r="I914" s="55" t="str">
        <f>'Booth detail'!NV3</f>
        <v>-</v>
      </c>
      <c r="J914" s="55" t="str">
        <f>'Booth detail'!NW3</f>
        <v>-</v>
      </c>
      <c r="K914" s="55" t="str">
        <f>'Booth detail'!NX3</f>
        <v>-</v>
      </c>
      <c r="L914" s="55" t="str">
        <f>'Booth detail'!NY3</f>
        <v>-</v>
      </c>
      <c r="M914" s="55" t="str">
        <f>'Booth detail'!NZ3</f>
        <v>-</v>
      </c>
      <c r="N914" s="55" t="str">
        <f>'Booth detail'!OA3</f>
        <v>-</v>
      </c>
      <c r="O914" s="55" t="str">
        <f>'Booth detail'!OB3</f>
        <v>-</v>
      </c>
      <c r="P914" s="55" t="str">
        <f>'Booth detail'!OC3</f>
        <v>-</v>
      </c>
      <c r="Q914" s="196"/>
      <c r="R914" s="196"/>
      <c r="S914" s="196"/>
    </row>
    <row r="915" spans="1:19">
      <c r="A915" s="14" t="s">
        <v>7</v>
      </c>
      <c r="B915" s="32" t="s">
        <v>8</v>
      </c>
      <c r="C915" s="33" t="s">
        <v>9</v>
      </c>
      <c r="D915" s="33" t="s">
        <v>9</v>
      </c>
      <c r="E915" s="33" t="s">
        <v>9</v>
      </c>
      <c r="F915" s="33" t="s">
        <v>9</v>
      </c>
      <c r="G915" s="33" t="s">
        <v>9</v>
      </c>
      <c r="H915" s="33" t="s">
        <v>9</v>
      </c>
      <c r="I915" s="33" t="s">
        <v>9</v>
      </c>
      <c r="J915" s="33" t="s">
        <v>9</v>
      </c>
      <c r="K915" s="33" t="s">
        <v>9</v>
      </c>
      <c r="L915" s="33" t="s">
        <v>9</v>
      </c>
      <c r="M915" s="33" t="s">
        <v>9</v>
      </c>
      <c r="N915" s="33" t="s">
        <v>9</v>
      </c>
      <c r="O915" s="33" t="s">
        <v>9</v>
      </c>
      <c r="P915" s="33" t="s">
        <v>9</v>
      </c>
      <c r="Q915" s="197"/>
      <c r="R915" s="197"/>
      <c r="S915" s="197"/>
    </row>
    <row r="916" spans="1:19" ht="18.75">
      <c r="A916" s="29">
        <v>1</v>
      </c>
      <c r="B916" s="15" t="str">
        <f>'Candidate List'!B2</f>
        <v>Manveer Singh</v>
      </c>
      <c r="C916" s="13">
        <v>246</v>
      </c>
      <c r="D916" s="13">
        <v>3</v>
      </c>
      <c r="E916" s="13">
        <v>40</v>
      </c>
      <c r="F916" s="13">
        <v>78</v>
      </c>
      <c r="G916" s="13">
        <v>8</v>
      </c>
      <c r="H916" s="13">
        <v>193</v>
      </c>
      <c r="I916" s="13">
        <v>57</v>
      </c>
      <c r="J916" s="13">
        <v>58</v>
      </c>
      <c r="K916" s="13">
        <v>465</v>
      </c>
      <c r="L916" s="13">
        <v>171</v>
      </c>
      <c r="M916" s="13">
        <v>35</v>
      </c>
      <c r="N916" s="13">
        <v>8</v>
      </c>
      <c r="O916" s="13">
        <v>54</v>
      </c>
      <c r="P916" s="13">
        <v>160</v>
      </c>
      <c r="Q916" s="30">
        <f>SUM(C916:P916)</f>
        <v>1576</v>
      </c>
      <c r="R916" s="30">
        <f>S883</f>
        <v>32761</v>
      </c>
      <c r="S916" s="30">
        <f>Q916+R916</f>
        <v>34337</v>
      </c>
    </row>
    <row r="917" spans="1:19" ht="18.75">
      <c r="A917" s="29">
        <v>2</v>
      </c>
      <c r="B917" s="15" t="str">
        <f>'Candidate List'!B3</f>
        <v>Rahul Yadav</v>
      </c>
      <c r="C917" s="13">
        <v>32</v>
      </c>
      <c r="D917" s="13">
        <v>14</v>
      </c>
      <c r="E917" s="13">
        <v>45</v>
      </c>
      <c r="F917" s="13">
        <v>115</v>
      </c>
      <c r="G917" s="13">
        <v>93</v>
      </c>
      <c r="H917" s="13">
        <v>194</v>
      </c>
      <c r="I917" s="13">
        <v>42</v>
      </c>
      <c r="J917" s="13">
        <v>70</v>
      </c>
      <c r="K917" s="13">
        <v>14</v>
      </c>
      <c r="L917" s="13">
        <v>101</v>
      </c>
      <c r="M917" s="13">
        <v>166</v>
      </c>
      <c r="N917" s="13">
        <v>81</v>
      </c>
      <c r="O917" s="13">
        <v>79</v>
      </c>
      <c r="P917" s="13">
        <v>11</v>
      </c>
      <c r="Q917" s="30">
        <f t="shared" ref="Q917:Q929" si="108">SUM(C917:P917)</f>
        <v>1057</v>
      </c>
      <c r="R917" s="30">
        <f t="shared" ref="R917:R929" si="109">S884</f>
        <v>84145</v>
      </c>
      <c r="S917" s="30">
        <f t="shared" ref="S917:S929" si="110">Q917+R917</f>
        <v>85202</v>
      </c>
    </row>
    <row r="918" spans="1:19" ht="18.75">
      <c r="A918" s="29">
        <v>3</v>
      </c>
      <c r="B918" s="15" t="str">
        <f>'Candidate List'!B4</f>
        <v>Lakshmi Raj</v>
      </c>
      <c r="C918" s="13">
        <v>419</v>
      </c>
      <c r="D918" s="13">
        <v>406</v>
      </c>
      <c r="E918" s="13">
        <v>426</v>
      </c>
      <c r="F918" s="13">
        <v>487</v>
      </c>
      <c r="G918" s="13">
        <v>682</v>
      </c>
      <c r="H918" s="13">
        <v>367</v>
      </c>
      <c r="I918" s="13">
        <v>743</v>
      </c>
      <c r="J918" s="13">
        <v>294</v>
      </c>
      <c r="K918" s="13">
        <v>235</v>
      </c>
      <c r="L918" s="13">
        <v>574</v>
      </c>
      <c r="M918" s="13">
        <v>539</v>
      </c>
      <c r="N918" s="13">
        <v>382</v>
      </c>
      <c r="O918" s="13">
        <v>455</v>
      </c>
      <c r="P918" s="13">
        <v>223</v>
      </c>
      <c r="Q918" s="30">
        <f t="shared" si="108"/>
        <v>6232</v>
      </c>
      <c r="R918" s="30">
        <f t="shared" si="109"/>
        <v>90821</v>
      </c>
      <c r="S918" s="30">
        <f t="shared" si="110"/>
        <v>97053</v>
      </c>
    </row>
    <row r="919" spans="1:19" ht="18.75">
      <c r="A919" s="29">
        <v>4</v>
      </c>
      <c r="B919" s="15" t="str">
        <f>'Candidate List'!B5</f>
        <v>Saleem Akhtar Khan</v>
      </c>
      <c r="C919" s="13">
        <v>7</v>
      </c>
      <c r="D919" s="13">
        <v>2</v>
      </c>
      <c r="E919" s="13">
        <v>5</v>
      </c>
      <c r="F919" s="13">
        <v>4</v>
      </c>
      <c r="G919" s="13">
        <v>11</v>
      </c>
      <c r="H919" s="13">
        <v>6</v>
      </c>
      <c r="I919" s="13">
        <v>7</v>
      </c>
      <c r="J919" s="13">
        <v>1</v>
      </c>
      <c r="K919" s="13">
        <v>3</v>
      </c>
      <c r="L919" s="13">
        <v>5</v>
      </c>
      <c r="M919" s="13">
        <v>12</v>
      </c>
      <c r="N919" s="13">
        <v>3</v>
      </c>
      <c r="O919" s="13">
        <v>1</v>
      </c>
      <c r="P919" s="13">
        <v>3</v>
      </c>
      <c r="Q919" s="30">
        <f t="shared" si="108"/>
        <v>70</v>
      </c>
      <c r="R919" s="30">
        <f t="shared" si="109"/>
        <v>1792</v>
      </c>
      <c r="S919" s="30">
        <f t="shared" si="110"/>
        <v>1862</v>
      </c>
    </row>
    <row r="920" spans="1:19" ht="18.75">
      <c r="A920" s="29">
        <v>5</v>
      </c>
      <c r="B920" s="15" t="str">
        <f>'Candidate List'!B6</f>
        <v>Ajay Kumar</v>
      </c>
      <c r="C920" s="13">
        <v>1</v>
      </c>
      <c r="D920" s="13">
        <v>0</v>
      </c>
      <c r="E920" s="13">
        <v>0</v>
      </c>
      <c r="F920" s="13">
        <v>0</v>
      </c>
      <c r="G920" s="13">
        <v>0</v>
      </c>
      <c r="H920" s="13">
        <v>1</v>
      </c>
      <c r="I920" s="13">
        <v>0</v>
      </c>
      <c r="J920" s="13">
        <v>0</v>
      </c>
      <c r="K920" s="13">
        <v>1</v>
      </c>
      <c r="L920" s="13">
        <v>0</v>
      </c>
      <c r="M920" s="13">
        <v>1</v>
      </c>
      <c r="N920" s="13">
        <v>0</v>
      </c>
      <c r="O920" s="13">
        <v>1</v>
      </c>
      <c r="P920" s="13">
        <v>0</v>
      </c>
      <c r="Q920" s="30">
        <f t="shared" si="108"/>
        <v>5</v>
      </c>
      <c r="R920" s="30">
        <f t="shared" si="109"/>
        <v>634</v>
      </c>
      <c r="S920" s="30">
        <f t="shared" si="110"/>
        <v>639</v>
      </c>
    </row>
    <row r="921" spans="1:19" ht="18.75">
      <c r="A921" s="29">
        <v>6</v>
      </c>
      <c r="B921" s="15" t="str">
        <f>'Candidate List'!B7</f>
        <v>Ajay Kumar Sharma</v>
      </c>
      <c r="C921" s="13">
        <v>0</v>
      </c>
      <c r="D921" s="13">
        <v>0</v>
      </c>
      <c r="E921" s="13">
        <v>0</v>
      </c>
      <c r="F921" s="13">
        <v>1</v>
      </c>
      <c r="G921" s="13">
        <v>1</v>
      </c>
      <c r="H921" s="13">
        <v>1</v>
      </c>
      <c r="I921" s="13">
        <v>0</v>
      </c>
      <c r="J921" s="13">
        <v>2</v>
      </c>
      <c r="K921" s="13">
        <v>0</v>
      </c>
      <c r="L921" s="13">
        <v>1</v>
      </c>
      <c r="M921" s="13">
        <v>1</v>
      </c>
      <c r="N921" s="13">
        <v>0</v>
      </c>
      <c r="O921" s="13">
        <v>0</v>
      </c>
      <c r="P921" s="13">
        <v>0</v>
      </c>
      <c r="Q921" s="30">
        <f t="shared" si="108"/>
        <v>7</v>
      </c>
      <c r="R921" s="30">
        <f t="shared" si="109"/>
        <v>93</v>
      </c>
      <c r="S921" s="30">
        <f t="shared" si="110"/>
        <v>100</v>
      </c>
    </row>
    <row r="922" spans="1:19" ht="18.75">
      <c r="A922" s="29">
        <v>7</v>
      </c>
      <c r="B922" s="15" t="str">
        <f>'Candidate List'!B8</f>
        <v>Amit Singh Tomar</v>
      </c>
      <c r="C922" s="13">
        <v>0</v>
      </c>
      <c r="D922" s="13">
        <v>0</v>
      </c>
      <c r="E922" s="13">
        <v>0</v>
      </c>
      <c r="F922" s="13">
        <v>1</v>
      </c>
      <c r="G922" s="13">
        <v>1</v>
      </c>
      <c r="H922" s="13">
        <v>0</v>
      </c>
      <c r="I922" s="13">
        <v>0</v>
      </c>
      <c r="J922" s="13">
        <v>0</v>
      </c>
      <c r="K922" s="13">
        <v>1</v>
      </c>
      <c r="L922" s="13">
        <v>0</v>
      </c>
      <c r="M922" s="13">
        <v>2</v>
      </c>
      <c r="N922" s="13">
        <v>0</v>
      </c>
      <c r="O922" s="13">
        <v>0</v>
      </c>
      <c r="P922" s="13">
        <v>0</v>
      </c>
      <c r="Q922" s="30">
        <f t="shared" si="108"/>
        <v>5</v>
      </c>
      <c r="R922" s="30">
        <f t="shared" si="109"/>
        <v>156</v>
      </c>
      <c r="S922" s="30">
        <f t="shared" si="110"/>
        <v>161</v>
      </c>
    </row>
    <row r="923" spans="1:19" ht="18.75">
      <c r="A923" s="29">
        <v>8</v>
      </c>
      <c r="B923" s="15" t="str">
        <f>'Candidate List'!B9</f>
        <v>Darshan Sharma</v>
      </c>
      <c r="C923" s="13">
        <v>4</v>
      </c>
      <c r="D923" s="13">
        <v>0</v>
      </c>
      <c r="E923" s="13">
        <v>0</v>
      </c>
      <c r="F923" s="13">
        <v>3</v>
      </c>
      <c r="G923" s="13">
        <v>0</v>
      </c>
      <c r="H923" s="13">
        <v>1</v>
      </c>
      <c r="I923" s="13">
        <v>1</v>
      </c>
      <c r="J923" s="13">
        <v>0</v>
      </c>
      <c r="K923" s="13">
        <v>0</v>
      </c>
      <c r="L923" s="13">
        <v>0</v>
      </c>
      <c r="M923" s="13">
        <v>1</v>
      </c>
      <c r="N923" s="13">
        <v>1</v>
      </c>
      <c r="O923" s="13">
        <v>2</v>
      </c>
      <c r="P923" s="13">
        <v>0</v>
      </c>
      <c r="Q923" s="30">
        <f t="shared" si="108"/>
        <v>13</v>
      </c>
      <c r="R923" s="30">
        <f t="shared" si="109"/>
        <v>305</v>
      </c>
      <c r="S923" s="30">
        <f t="shared" si="110"/>
        <v>318</v>
      </c>
    </row>
    <row r="924" spans="1:19" ht="18.75">
      <c r="A924" s="29">
        <v>9</v>
      </c>
      <c r="B924" s="15" t="str">
        <f>'Candidate List'!B10</f>
        <v>Dilshad Ahmad</v>
      </c>
      <c r="C924" s="13">
        <v>2</v>
      </c>
      <c r="D924" s="13">
        <v>0</v>
      </c>
      <c r="E924" s="13">
        <v>1</v>
      </c>
      <c r="F924" s="13">
        <v>0</v>
      </c>
      <c r="G924" s="13">
        <v>0</v>
      </c>
      <c r="H924" s="13">
        <v>0</v>
      </c>
      <c r="I924" s="13">
        <v>0</v>
      </c>
      <c r="J924" s="13">
        <v>1</v>
      </c>
      <c r="K924" s="13">
        <v>1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30">
        <f t="shared" si="108"/>
        <v>5</v>
      </c>
      <c r="R924" s="30">
        <f t="shared" si="109"/>
        <v>1538</v>
      </c>
      <c r="S924" s="30">
        <f t="shared" si="110"/>
        <v>1543</v>
      </c>
    </row>
    <row r="925" spans="1:19" ht="18.75">
      <c r="A925" s="29">
        <v>10</v>
      </c>
      <c r="B925" s="15" t="str">
        <f>'Candidate List'!B11</f>
        <v>Raju Thakur</v>
      </c>
      <c r="C925" s="13">
        <v>0</v>
      </c>
      <c r="D925" s="13">
        <v>2</v>
      </c>
      <c r="E925" s="13">
        <v>2</v>
      </c>
      <c r="F925" s="13">
        <v>6</v>
      </c>
      <c r="G925" s="13">
        <v>3</v>
      </c>
      <c r="H925" s="13">
        <v>1</v>
      </c>
      <c r="I925" s="13">
        <v>7</v>
      </c>
      <c r="J925" s="13">
        <v>3</v>
      </c>
      <c r="K925" s="13">
        <v>1</v>
      </c>
      <c r="L925" s="13">
        <v>1</v>
      </c>
      <c r="M925" s="13">
        <v>10</v>
      </c>
      <c r="N925" s="13">
        <v>4</v>
      </c>
      <c r="O925" s="13">
        <v>4</v>
      </c>
      <c r="P925" s="13">
        <v>2</v>
      </c>
      <c r="Q925" s="30">
        <f t="shared" si="108"/>
        <v>46</v>
      </c>
      <c r="R925" s="30">
        <f t="shared" si="109"/>
        <v>981</v>
      </c>
      <c r="S925" s="30">
        <f t="shared" si="110"/>
        <v>1027</v>
      </c>
    </row>
    <row r="926" spans="1:19" ht="18.75">
      <c r="A926" s="29">
        <v>11</v>
      </c>
      <c r="B926" s="15" t="str">
        <f>'Candidate List'!B12</f>
        <v>Bablu</v>
      </c>
      <c r="C926" s="13">
        <v>1</v>
      </c>
      <c r="D926" s="13">
        <v>0</v>
      </c>
      <c r="E926" s="13">
        <v>0</v>
      </c>
      <c r="F926" s="13">
        <v>2</v>
      </c>
      <c r="G926" s="13">
        <v>0</v>
      </c>
      <c r="H926" s="13">
        <v>1</v>
      </c>
      <c r="I926" s="13">
        <v>0</v>
      </c>
      <c r="J926" s="13">
        <v>0</v>
      </c>
      <c r="K926" s="13">
        <v>3</v>
      </c>
      <c r="L926" s="13">
        <v>1</v>
      </c>
      <c r="M926" s="13">
        <v>5</v>
      </c>
      <c r="N926" s="13">
        <v>0</v>
      </c>
      <c r="O926" s="13">
        <v>1</v>
      </c>
      <c r="P926" s="13">
        <v>0</v>
      </c>
      <c r="Q926" s="30">
        <f t="shared" si="108"/>
        <v>14</v>
      </c>
      <c r="R926" s="30">
        <f t="shared" si="109"/>
        <v>431</v>
      </c>
      <c r="S926" s="30">
        <f t="shared" si="110"/>
        <v>445</v>
      </c>
    </row>
    <row r="927" spans="1:19" ht="18.75">
      <c r="A927" s="29">
        <v>12</v>
      </c>
      <c r="B927" s="15" t="str">
        <f>'Candidate List'!B13</f>
        <v>NOTA</v>
      </c>
      <c r="C927" s="13">
        <v>5</v>
      </c>
      <c r="D927" s="13">
        <v>0</v>
      </c>
      <c r="E927" s="13">
        <v>1</v>
      </c>
      <c r="F927" s="13">
        <v>1</v>
      </c>
      <c r="G927" s="13">
        <v>1</v>
      </c>
      <c r="H927" s="13">
        <v>3</v>
      </c>
      <c r="I927" s="13">
        <v>0</v>
      </c>
      <c r="J927" s="13">
        <v>2</v>
      </c>
      <c r="K927" s="13">
        <v>4</v>
      </c>
      <c r="L927" s="13">
        <v>4</v>
      </c>
      <c r="M927" s="13">
        <v>5</v>
      </c>
      <c r="N927" s="13">
        <v>1</v>
      </c>
      <c r="O927" s="13">
        <v>3</v>
      </c>
      <c r="P927" s="13">
        <v>4</v>
      </c>
      <c r="Q927" s="30">
        <f t="shared" si="108"/>
        <v>34</v>
      </c>
      <c r="R927" s="30">
        <f t="shared" si="109"/>
        <v>953</v>
      </c>
      <c r="S927" s="30">
        <f t="shared" si="110"/>
        <v>987</v>
      </c>
    </row>
    <row r="928" spans="1:19">
      <c r="A928" s="187" t="s">
        <v>11</v>
      </c>
      <c r="B928" s="187"/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30">
        <f t="shared" si="108"/>
        <v>0</v>
      </c>
      <c r="R928" s="30">
        <f t="shared" si="109"/>
        <v>0</v>
      </c>
      <c r="S928" s="30">
        <f t="shared" si="110"/>
        <v>0</v>
      </c>
    </row>
    <row r="929" spans="1:19">
      <c r="A929" s="188" t="s">
        <v>12</v>
      </c>
      <c r="B929" s="188"/>
      <c r="C929" s="30">
        <f t="shared" ref="C929:P929" si="111">SUM(C916:C928)</f>
        <v>717</v>
      </c>
      <c r="D929" s="30">
        <f t="shared" si="111"/>
        <v>427</v>
      </c>
      <c r="E929" s="30">
        <f t="shared" si="111"/>
        <v>520</v>
      </c>
      <c r="F929" s="30">
        <f t="shared" si="111"/>
        <v>698</v>
      </c>
      <c r="G929" s="30">
        <f t="shared" si="111"/>
        <v>800</v>
      </c>
      <c r="H929" s="30">
        <f t="shared" si="111"/>
        <v>768</v>
      </c>
      <c r="I929" s="30">
        <f t="shared" si="111"/>
        <v>857</v>
      </c>
      <c r="J929" s="30">
        <f t="shared" si="111"/>
        <v>431</v>
      </c>
      <c r="K929" s="30">
        <f t="shared" si="111"/>
        <v>728</v>
      </c>
      <c r="L929" s="30">
        <f t="shared" si="111"/>
        <v>858</v>
      </c>
      <c r="M929" s="30">
        <f t="shared" si="111"/>
        <v>777</v>
      </c>
      <c r="N929" s="30">
        <f t="shared" si="111"/>
        <v>480</v>
      </c>
      <c r="O929" s="30">
        <f t="shared" si="111"/>
        <v>600</v>
      </c>
      <c r="P929" s="30">
        <f t="shared" si="111"/>
        <v>403</v>
      </c>
      <c r="Q929" s="30">
        <f t="shared" si="108"/>
        <v>9064</v>
      </c>
      <c r="R929" s="30">
        <f t="shared" si="109"/>
        <v>214610</v>
      </c>
      <c r="S929" s="30">
        <f t="shared" si="110"/>
        <v>223674</v>
      </c>
    </row>
    <row r="930" spans="1:19" ht="42" customHeight="1">
      <c r="A930" s="5"/>
      <c r="B930" s="5"/>
      <c r="C930" s="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8"/>
      <c r="R930" s="7"/>
      <c r="S930" s="7"/>
    </row>
    <row r="931" spans="1:19" ht="22.5">
      <c r="A931" s="31"/>
      <c r="B931" s="31"/>
      <c r="C931" s="10" t="s">
        <v>13</v>
      </c>
      <c r="D931" s="10" t="s">
        <v>13</v>
      </c>
      <c r="E931" s="10" t="s">
        <v>13</v>
      </c>
      <c r="F931" s="10" t="s">
        <v>13</v>
      </c>
      <c r="G931" s="10" t="s">
        <v>13</v>
      </c>
      <c r="H931" s="10" t="s">
        <v>13</v>
      </c>
      <c r="I931" s="10" t="s">
        <v>13</v>
      </c>
      <c r="J931" s="10" t="s">
        <v>13</v>
      </c>
      <c r="K931" s="10" t="s">
        <v>13</v>
      </c>
      <c r="L931" s="10" t="s">
        <v>13</v>
      </c>
      <c r="M931" s="10" t="s">
        <v>13</v>
      </c>
      <c r="N931" s="10" t="s">
        <v>13</v>
      </c>
      <c r="O931" s="10" t="s">
        <v>13</v>
      </c>
      <c r="P931" s="10" t="s">
        <v>13</v>
      </c>
      <c r="Q931" s="10" t="s">
        <v>13</v>
      </c>
      <c r="R931" s="10" t="s">
        <v>13</v>
      </c>
      <c r="S931" s="10" t="s">
        <v>13</v>
      </c>
    </row>
    <row r="932" spans="1:19" ht="37.5" customHeight="1">
      <c r="A932" s="31"/>
      <c r="B932" s="3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 ht="22.5">
      <c r="A933" s="31"/>
      <c r="B933" s="31"/>
      <c r="C933" s="10" t="s">
        <v>14</v>
      </c>
      <c r="D933" s="10" t="s">
        <v>14</v>
      </c>
      <c r="E933" s="10" t="s">
        <v>14</v>
      </c>
      <c r="F933" s="10" t="s">
        <v>14</v>
      </c>
      <c r="G933" s="10" t="s">
        <v>14</v>
      </c>
      <c r="H933" s="10" t="s">
        <v>14</v>
      </c>
      <c r="I933" s="10" t="s">
        <v>14</v>
      </c>
      <c r="J933" s="10" t="s">
        <v>14</v>
      </c>
      <c r="K933" s="10" t="s">
        <v>14</v>
      </c>
      <c r="L933" s="10" t="s">
        <v>14</v>
      </c>
      <c r="M933" s="10" t="s">
        <v>14</v>
      </c>
      <c r="N933" s="10" t="s">
        <v>14</v>
      </c>
      <c r="O933" s="10" t="s">
        <v>14</v>
      </c>
      <c r="P933" s="10" t="s">
        <v>14</v>
      </c>
      <c r="Q933" s="10" t="s">
        <v>14</v>
      </c>
      <c r="R933" s="10" t="s">
        <v>14</v>
      </c>
      <c r="S933" s="10" t="s">
        <v>14</v>
      </c>
    </row>
    <row r="934" spans="1:19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</row>
    <row r="935" spans="1:19">
      <c r="A935" s="189" t="s">
        <v>15</v>
      </c>
      <c r="B935" s="189"/>
      <c r="C935" s="164" t="s">
        <v>16</v>
      </c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31"/>
      <c r="S935" s="31"/>
    </row>
    <row r="936" spans="1:19">
      <c r="A936" s="31"/>
      <c r="B936" s="31"/>
      <c r="C936" s="164" t="s">
        <v>17</v>
      </c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31"/>
      <c r="S936" s="31"/>
    </row>
    <row r="937" spans="1:19">
      <c r="A937" s="31"/>
      <c r="B937" s="31"/>
      <c r="C937" s="164" t="s">
        <v>44</v>
      </c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31"/>
      <c r="S937" s="31"/>
    </row>
    <row r="938" spans="1:19">
      <c r="A938" s="31"/>
      <c r="B938" s="31"/>
      <c r="C938" s="164" t="s">
        <v>45</v>
      </c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31"/>
      <c r="S938" s="31"/>
    </row>
    <row r="943" spans="1:19" ht="26.25">
      <c r="A943" s="190" t="s">
        <v>0</v>
      </c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</row>
    <row r="944" spans="1:19" ht="19.5">
      <c r="A944" s="191" t="s">
        <v>1225</v>
      </c>
      <c r="B944" s="191"/>
      <c r="C944" s="191"/>
      <c r="D944" s="191"/>
      <c r="E944" s="191"/>
      <c r="F944" s="191"/>
      <c r="G944" s="191"/>
      <c r="H944" s="191"/>
      <c r="I944" s="1"/>
      <c r="J944" s="1"/>
      <c r="K944" s="192" t="s">
        <v>79</v>
      </c>
      <c r="L944" s="192"/>
      <c r="M944" s="192"/>
      <c r="N944" s="192"/>
      <c r="O944" s="1"/>
      <c r="P944" s="193" t="s">
        <v>1</v>
      </c>
      <c r="Q944" s="193"/>
      <c r="R944" s="194">
        <v>44630</v>
      </c>
      <c r="S944" s="194"/>
    </row>
    <row r="945" spans="1:19">
      <c r="A945" s="188" t="s">
        <v>2</v>
      </c>
      <c r="B945" s="188"/>
      <c r="C945" s="30">
        <v>1</v>
      </c>
      <c r="D945" s="30">
        <v>2</v>
      </c>
      <c r="E945" s="30">
        <v>3</v>
      </c>
      <c r="F945" s="30">
        <v>4</v>
      </c>
      <c r="G945" s="30">
        <v>5</v>
      </c>
      <c r="H945" s="30">
        <v>6</v>
      </c>
      <c r="I945" s="30">
        <v>7</v>
      </c>
      <c r="J945" s="30">
        <v>8</v>
      </c>
      <c r="K945" s="30">
        <v>9</v>
      </c>
      <c r="L945" s="30">
        <v>10</v>
      </c>
      <c r="M945" s="30">
        <v>11</v>
      </c>
      <c r="N945" s="30">
        <v>12</v>
      </c>
      <c r="O945" s="30">
        <v>13</v>
      </c>
      <c r="P945" s="30">
        <v>14</v>
      </c>
      <c r="Q945" s="195" t="s">
        <v>3</v>
      </c>
      <c r="R945" s="195" t="s">
        <v>4</v>
      </c>
      <c r="S945" s="195" t="s">
        <v>5</v>
      </c>
    </row>
    <row r="946" spans="1:19">
      <c r="A946" s="165" t="s">
        <v>6</v>
      </c>
      <c r="B946" s="167"/>
      <c r="C946" s="40">
        <f>'Booth detail'!OD1</f>
        <v>393</v>
      </c>
      <c r="D946" s="40">
        <f>'Booth detail'!OE1</f>
        <v>394</v>
      </c>
      <c r="E946" s="40">
        <f>'Booth detail'!OF1</f>
        <v>395</v>
      </c>
      <c r="F946" s="40">
        <f>'Booth detail'!OG1</f>
        <v>396</v>
      </c>
      <c r="G946" s="40">
        <f>'Booth detail'!OH1</f>
        <v>397</v>
      </c>
      <c r="H946" s="40">
        <f>'Booth detail'!OI1</f>
        <v>398</v>
      </c>
      <c r="I946" s="40">
        <f>'Booth detail'!OJ1</f>
        <v>399</v>
      </c>
      <c r="J946" s="40">
        <f>'Booth detail'!OK1</f>
        <v>400</v>
      </c>
      <c r="K946" s="40">
        <f>'Booth detail'!OL1</f>
        <v>401</v>
      </c>
      <c r="L946" s="40">
        <f>'Booth detail'!OM1</f>
        <v>402</v>
      </c>
      <c r="M946" s="40">
        <f>'Booth detail'!ON1</f>
        <v>403</v>
      </c>
      <c r="N946" s="40">
        <f>'Booth detail'!OO1</f>
        <v>404</v>
      </c>
      <c r="O946" s="40">
        <f>'Booth detail'!OP1</f>
        <v>405</v>
      </c>
      <c r="P946" s="40">
        <f>'Booth detail'!OQ1</f>
        <v>406</v>
      </c>
      <c r="Q946" s="196"/>
      <c r="R946" s="196"/>
      <c r="S946" s="196"/>
    </row>
    <row r="947" spans="1:19" ht="25.5">
      <c r="A947" s="165" t="s">
        <v>18</v>
      </c>
      <c r="B947" s="167"/>
      <c r="C947" s="44" t="str">
        <f>'Booth detail'!OD2</f>
        <v>ECUEC64918</v>
      </c>
      <c r="D947" s="44" t="str">
        <f>'Booth detail'!OE2</f>
        <v>ECUEC60670</v>
      </c>
      <c r="E947" s="44" t="str">
        <f>'Booth detail'!OF2</f>
        <v>ECUEC54129</v>
      </c>
      <c r="F947" s="44" t="str">
        <f>'Booth detail'!OG2</f>
        <v>ECUEC53920</v>
      </c>
      <c r="G947" s="44" t="str">
        <f>'Booth detail'!OH2</f>
        <v>ECUEC67991</v>
      </c>
      <c r="H947" s="44" t="str">
        <f>'Booth detail'!OI2</f>
        <v>ECUED24951</v>
      </c>
      <c r="I947" s="44" t="str">
        <f>'Booth detail'!OJ2</f>
        <v>ECUED22341</v>
      </c>
      <c r="J947" s="44" t="str">
        <f>'Booth detail'!OK2</f>
        <v>ECUEC57188</v>
      </c>
      <c r="K947" s="44" t="str">
        <f>'Booth detail'!OL2</f>
        <v>ECUEC64975</v>
      </c>
      <c r="L947" s="44" t="str">
        <f>'Booth detail'!OM2</f>
        <v>ECUEC57890</v>
      </c>
      <c r="M947" s="44" t="str">
        <f>'Booth detail'!ON2</f>
        <v>ECUEC50995</v>
      </c>
      <c r="N947" s="44" t="str">
        <f>'Booth detail'!OO2</f>
        <v>ECUEC64841</v>
      </c>
      <c r="O947" s="44" t="str">
        <f>'Booth detail'!OP2</f>
        <v>ECUEC64959</v>
      </c>
      <c r="P947" s="44" t="str">
        <f>'Booth detail'!OQ2</f>
        <v>ECUEC67605</v>
      </c>
      <c r="Q947" s="196"/>
      <c r="R947" s="196"/>
      <c r="S947" s="196"/>
    </row>
    <row r="948" spans="1:19" ht="40.5" customHeight="1">
      <c r="A948" s="198" t="s">
        <v>20</v>
      </c>
      <c r="B948" s="199"/>
      <c r="C948" s="55" t="str">
        <f>'Booth detail'!OD3</f>
        <v>-</v>
      </c>
      <c r="D948" s="55" t="str">
        <f>'Booth detail'!OE3</f>
        <v>-</v>
      </c>
      <c r="E948" s="55" t="str">
        <f>'Booth detail'!OF3</f>
        <v>-</v>
      </c>
      <c r="F948" s="55" t="str">
        <f>'Booth detail'!OG3</f>
        <v>-</v>
      </c>
      <c r="G948" s="55" t="str">
        <f>'Booth detail'!OH3</f>
        <v>-</v>
      </c>
      <c r="H948" s="55" t="str">
        <f>'Booth detail'!OI3</f>
        <v>-</v>
      </c>
      <c r="I948" s="55" t="str">
        <f>'Booth detail'!OJ3</f>
        <v>-</v>
      </c>
      <c r="J948" s="55" t="str">
        <f>'Booth detail'!OK3</f>
        <v>-</v>
      </c>
      <c r="K948" s="55" t="str">
        <f>'Booth detail'!OL3</f>
        <v>-</v>
      </c>
      <c r="L948" s="55" t="str">
        <f>'Booth detail'!OM3</f>
        <v>-</v>
      </c>
      <c r="M948" s="55" t="str">
        <f>'Booth detail'!ON3</f>
        <v>-</v>
      </c>
      <c r="N948" s="55" t="str">
        <f>'Booth detail'!OO3</f>
        <v>-</v>
      </c>
      <c r="O948" s="55" t="str">
        <f>'Booth detail'!OP3</f>
        <v>-</v>
      </c>
      <c r="P948" s="55" t="str">
        <f>'Booth detail'!OQ3</f>
        <v>-</v>
      </c>
      <c r="Q948" s="196"/>
      <c r="R948" s="196"/>
      <c r="S948" s="196"/>
    </row>
    <row r="949" spans="1:19">
      <c r="A949" s="14" t="s">
        <v>7</v>
      </c>
      <c r="B949" s="32" t="s">
        <v>8</v>
      </c>
      <c r="C949" s="33" t="s">
        <v>9</v>
      </c>
      <c r="D949" s="33" t="s">
        <v>9</v>
      </c>
      <c r="E949" s="33" t="s">
        <v>9</v>
      </c>
      <c r="F949" s="33" t="s">
        <v>9</v>
      </c>
      <c r="G949" s="33" t="s">
        <v>9</v>
      </c>
      <c r="H949" s="33" t="s">
        <v>9</v>
      </c>
      <c r="I949" s="33" t="s">
        <v>9</v>
      </c>
      <c r="J949" s="33" t="s">
        <v>9</v>
      </c>
      <c r="K949" s="33" t="s">
        <v>9</v>
      </c>
      <c r="L949" s="33" t="s">
        <v>9</v>
      </c>
      <c r="M949" s="33" t="s">
        <v>9</v>
      </c>
      <c r="N949" s="33" t="s">
        <v>9</v>
      </c>
      <c r="O949" s="33" t="s">
        <v>9</v>
      </c>
      <c r="P949" s="33" t="s">
        <v>9</v>
      </c>
      <c r="Q949" s="197"/>
      <c r="R949" s="197"/>
      <c r="S949" s="197"/>
    </row>
    <row r="950" spans="1:19" ht="18.75">
      <c r="A950" s="29">
        <v>1</v>
      </c>
      <c r="B950" s="15" t="str">
        <f>'Candidate List'!B2</f>
        <v>Manveer Singh</v>
      </c>
      <c r="C950" s="13">
        <v>215</v>
      </c>
      <c r="D950" s="13">
        <v>89</v>
      </c>
      <c r="E950" s="13">
        <v>71</v>
      </c>
      <c r="F950" s="13">
        <v>47</v>
      </c>
      <c r="G950" s="13">
        <v>1</v>
      </c>
      <c r="H950" s="13">
        <v>5</v>
      </c>
      <c r="I950" s="13">
        <v>6</v>
      </c>
      <c r="J950" s="13">
        <v>8</v>
      </c>
      <c r="K950" s="13">
        <v>6</v>
      </c>
      <c r="L950" s="13">
        <v>7</v>
      </c>
      <c r="M950" s="13">
        <v>200</v>
      </c>
      <c r="N950" s="13">
        <v>2</v>
      </c>
      <c r="O950" s="13">
        <v>0</v>
      </c>
      <c r="P950" s="13">
        <v>36</v>
      </c>
      <c r="Q950" s="30">
        <f>SUM(C950:P950)</f>
        <v>693</v>
      </c>
      <c r="R950" s="30">
        <f>S916</f>
        <v>34337</v>
      </c>
      <c r="S950" s="30">
        <f>Q950+R950</f>
        <v>35030</v>
      </c>
    </row>
    <row r="951" spans="1:19" ht="18.75">
      <c r="A951" s="29">
        <v>2</v>
      </c>
      <c r="B951" s="15" t="str">
        <f>'Candidate List'!B3</f>
        <v>Rahul Yadav</v>
      </c>
      <c r="C951" s="13">
        <v>81</v>
      </c>
      <c r="D951" s="13">
        <v>131</v>
      </c>
      <c r="E951" s="13">
        <v>280</v>
      </c>
      <c r="F951" s="13">
        <v>59</v>
      </c>
      <c r="G951" s="13">
        <v>3</v>
      </c>
      <c r="H951" s="13">
        <v>34</v>
      </c>
      <c r="I951" s="13">
        <v>226</v>
      </c>
      <c r="J951" s="13">
        <v>353</v>
      </c>
      <c r="K951" s="13">
        <v>511</v>
      </c>
      <c r="L951" s="13">
        <v>226</v>
      </c>
      <c r="M951" s="13">
        <v>81</v>
      </c>
      <c r="N951" s="13">
        <v>22</v>
      </c>
      <c r="O951" s="13">
        <v>69</v>
      </c>
      <c r="P951" s="13">
        <v>13</v>
      </c>
      <c r="Q951" s="30">
        <f t="shared" ref="Q951:Q963" si="112">SUM(C951:P951)</f>
        <v>2089</v>
      </c>
      <c r="R951" s="30">
        <f t="shared" ref="R951:R963" si="113">S917</f>
        <v>85202</v>
      </c>
      <c r="S951" s="30">
        <f t="shared" ref="S951:S963" si="114">Q951+R951</f>
        <v>87291</v>
      </c>
    </row>
    <row r="952" spans="1:19" ht="18.75">
      <c r="A952" s="29">
        <v>3</v>
      </c>
      <c r="B952" s="15" t="str">
        <f>'Candidate List'!B4</f>
        <v>Lakshmi Raj</v>
      </c>
      <c r="C952" s="13">
        <v>241</v>
      </c>
      <c r="D952" s="13">
        <v>464</v>
      </c>
      <c r="E952" s="13">
        <v>280</v>
      </c>
      <c r="F952" s="13">
        <v>344</v>
      </c>
      <c r="G952" s="13">
        <v>558</v>
      </c>
      <c r="H952" s="13">
        <v>466</v>
      </c>
      <c r="I952" s="13">
        <v>232</v>
      </c>
      <c r="J952" s="13">
        <v>156</v>
      </c>
      <c r="K952" s="13">
        <v>6</v>
      </c>
      <c r="L952" s="13">
        <v>204</v>
      </c>
      <c r="M952" s="13">
        <v>139</v>
      </c>
      <c r="N952" s="13">
        <v>487</v>
      </c>
      <c r="O952" s="13">
        <v>258</v>
      </c>
      <c r="P952" s="13">
        <v>648</v>
      </c>
      <c r="Q952" s="30">
        <f t="shared" si="112"/>
        <v>4483</v>
      </c>
      <c r="R952" s="30">
        <f t="shared" si="113"/>
        <v>97053</v>
      </c>
      <c r="S952" s="30">
        <f t="shared" si="114"/>
        <v>101536</v>
      </c>
    </row>
    <row r="953" spans="1:19" ht="18.75">
      <c r="A953" s="29">
        <v>4</v>
      </c>
      <c r="B953" s="15" t="str">
        <f>'Candidate List'!B5</f>
        <v>Saleem Akhtar Khan</v>
      </c>
      <c r="C953" s="13">
        <v>2</v>
      </c>
      <c r="D953" s="13">
        <v>5</v>
      </c>
      <c r="E953" s="13">
        <v>5</v>
      </c>
      <c r="F953" s="13">
        <v>3</v>
      </c>
      <c r="G953" s="13">
        <v>1</v>
      </c>
      <c r="H953" s="13">
        <v>6</v>
      </c>
      <c r="I953" s="13">
        <v>6</v>
      </c>
      <c r="J953" s="13">
        <v>6</v>
      </c>
      <c r="K953" s="13">
        <v>1</v>
      </c>
      <c r="L953" s="13">
        <v>2</v>
      </c>
      <c r="M953" s="13">
        <v>3</v>
      </c>
      <c r="N953" s="13">
        <v>6</v>
      </c>
      <c r="O953" s="13">
        <v>2</v>
      </c>
      <c r="P953" s="13">
        <v>3</v>
      </c>
      <c r="Q953" s="30">
        <f t="shared" si="112"/>
        <v>51</v>
      </c>
      <c r="R953" s="30">
        <f t="shared" si="113"/>
        <v>1862</v>
      </c>
      <c r="S953" s="30">
        <f t="shared" si="114"/>
        <v>1913</v>
      </c>
    </row>
    <row r="954" spans="1:19" ht="18.75">
      <c r="A954" s="29">
        <v>5</v>
      </c>
      <c r="B954" s="15" t="str">
        <f>'Candidate List'!B6</f>
        <v>Ajay Kumar</v>
      </c>
      <c r="C954" s="13">
        <v>0</v>
      </c>
      <c r="D954" s="13">
        <v>2</v>
      </c>
      <c r="E954" s="13">
        <v>1</v>
      </c>
      <c r="F954" s="13">
        <v>0</v>
      </c>
      <c r="G954" s="13">
        <v>1</v>
      </c>
      <c r="H954" s="13">
        <v>0</v>
      </c>
      <c r="I954" s="13">
        <v>0</v>
      </c>
      <c r="J954" s="13">
        <v>1</v>
      </c>
      <c r="K954" s="13">
        <v>0</v>
      </c>
      <c r="L954" s="13">
        <v>1</v>
      </c>
      <c r="M954" s="13">
        <v>0</v>
      </c>
      <c r="N954" s="13">
        <v>0</v>
      </c>
      <c r="O954" s="13">
        <v>0</v>
      </c>
      <c r="P954" s="13">
        <v>0</v>
      </c>
      <c r="Q954" s="30">
        <f t="shared" si="112"/>
        <v>6</v>
      </c>
      <c r="R954" s="30">
        <f t="shared" si="113"/>
        <v>639</v>
      </c>
      <c r="S954" s="30">
        <f t="shared" si="114"/>
        <v>645</v>
      </c>
    </row>
    <row r="955" spans="1:19" ht="18.75">
      <c r="A955" s="29">
        <v>6</v>
      </c>
      <c r="B955" s="15" t="str">
        <f>'Candidate List'!B7</f>
        <v>Ajay Kumar Sharma</v>
      </c>
      <c r="C955" s="13">
        <v>0</v>
      </c>
      <c r="D955" s="13">
        <v>0</v>
      </c>
      <c r="E955" s="13">
        <v>1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1</v>
      </c>
      <c r="N955" s="13">
        <v>0</v>
      </c>
      <c r="O955" s="13">
        <v>0</v>
      </c>
      <c r="P955" s="13">
        <v>0</v>
      </c>
      <c r="Q955" s="30">
        <f t="shared" si="112"/>
        <v>2</v>
      </c>
      <c r="R955" s="30">
        <f t="shared" si="113"/>
        <v>100</v>
      </c>
      <c r="S955" s="30">
        <f t="shared" si="114"/>
        <v>102</v>
      </c>
    </row>
    <row r="956" spans="1:19" ht="18.75">
      <c r="A956" s="29">
        <v>7</v>
      </c>
      <c r="B956" s="15" t="str">
        <f>'Candidate List'!B8</f>
        <v>Amit Singh Tomar</v>
      </c>
      <c r="C956" s="13">
        <v>0</v>
      </c>
      <c r="D956" s="13">
        <v>0</v>
      </c>
      <c r="E956" s="13">
        <v>1</v>
      </c>
      <c r="F956" s="13">
        <v>1</v>
      </c>
      <c r="G956" s="13">
        <v>0</v>
      </c>
      <c r="H956" s="13">
        <v>1</v>
      </c>
      <c r="I956" s="13">
        <v>0</v>
      </c>
      <c r="J956" s="13">
        <v>0</v>
      </c>
      <c r="K956" s="13">
        <v>1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30">
        <f t="shared" si="112"/>
        <v>4</v>
      </c>
      <c r="R956" s="30">
        <f t="shared" si="113"/>
        <v>161</v>
      </c>
      <c r="S956" s="30">
        <f t="shared" si="114"/>
        <v>165</v>
      </c>
    </row>
    <row r="957" spans="1:19" ht="18.75">
      <c r="A957" s="29">
        <v>8</v>
      </c>
      <c r="B957" s="15" t="str">
        <f>'Candidate List'!B9</f>
        <v>Darshan Sharma</v>
      </c>
      <c r="C957" s="13">
        <v>1</v>
      </c>
      <c r="D957" s="13">
        <v>4</v>
      </c>
      <c r="E957" s="13">
        <v>2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1</v>
      </c>
      <c r="N957" s="13">
        <v>0</v>
      </c>
      <c r="O957" s="13">
        <v>0</v>
      </c>
      <c r="P957" s="13">
        <v>1</v>
      </c>
      <c r="Q957" s="30">
        <f t="shared" si="112"/>
        <v>9</v>
      </c>
      <c r="R957" s="30">
        <f t="shared" si="113"/>
        <v>318</v>
      </c>
      <c r="S957" s="30">
        <f t="shared" si="114"/>
        <v>327</v>
      </c>
    </row>
    <row r="958" spans="1:19" ht="18.75">
      <c r="A958" s="29">
        <v>9</v>
      </c>
      <c r="B958" s="15" t="str">
        <f>'Candidate List'!B10</f>
        <v>Dilshad Ahmad</v>
      </c>
      <c r="C958" s="13">
        <v>0</v>
      </c>
      <c r="D958" s="13">
        <v>0</v>
      </c>
      <c r="E958" s="13">
        <v>9</v>
      </c>
      <c r="F958" s="13">
        <v>0</v>
      </c>
      <c r="G958" s="13">
        <v>1</v>
      </c>
      <c r="H958" s="13">
        <v>1</v>
      </c>
      <c r="I958" s="13">
        <v>3</v>
      </c>
      <c r="J958" s="13">
        <v>3</v>
      </c>
      <c r="K958" s="13">
        <v>11</v>
      </c>
      <c r="L958" s="13">
        <v>2</v>
      </c>
      <c r="M958" s="13">
        <v>1</v>
      </c>
      <c r="N958" s="13">
        <v>0</v>
      </c>
      <c r="O958" s="13">
        <v>0</v>
      </c>
      <c r="P958" s="13">
        <v>0</v>
      </c>
      <c r="Q958" s="30">
        <f t="shared" si="112"/>
        <v>31</v>
      </c>
      <c r="R958" s="30">
        <f t="shared" si="113"/>
        <v>1543</v>
      </c>
      <c r="S958" s="30">
        <f t="shared" si="114"/>
        <v>1574</v>
      </c>
    </row>
    <row r="959" spans="1:19" ht="18.75">
      <c r="A959" s="29">
        <v>10</v>
      </c>
      <c r="B959" s="15" t="str">
        <f>'Candidate List'!B11</f>
        <v>Raju Thakur</v>
      </c>
      <c r="C959" s="13">
        <v>8</v>
      </c>
      <c r="D959" s="13">
        <v>2</v>
      </c>
      <c r="E959" s="13">
        <v>2</v>
      </c>
      <c r="F959" s="13">
        <v>8</v>
      </c>
      <c r="G959" s="13">
        <v>6</v>
      </c>
      <c r="H959" s="13">
        <v>20</v>
      </c>
      <c r="I959" s="13">
        <v>4</v>
      </c>
      <c r="J959" s="13">
        <v>1</v>
      </c>
      <c r="K959" s="13">
        <v>1</v>
      </c>
      <c r="L959" s="13">
        <v>2</v>
      </c>
      <c r="M959" s="13">
        <v>1</v>
      </c>
      <c r="N959" s="13">
        <v>1</v>
      </c>
      <c r="O959" s="13">
        <v>1</v>
      </c>
      <c r="P959" s="13">
        <v>1</v>
      </c>
      <c r="Q959" s="30">
        <f t="shared" si="112"/>
        <v>58</v>
      </c>
      <c r="R959" s="30">
        <f t="shared" si="113"/>
        <v>1027</v>
      </c>
      <c r="S959" s="30">
        <f t="shared" si="114"/>
        <v>1085</v>
      </c>
    </row>
    <row r="960" spans="1:19" ht="18.75">
      <c r="A960" s="29">
        <v>11</v>
      </c>
      <c r="B960" s="15" t="str">
        <f>'Candidate List'!B12</f>
        <v>Bablu</v>
      </c>
      <c r="C960" s="13">
        <v>1</v>
      </c>
      <c r="D960" s="13">
        <v>1</v>
      </c>
      <c r="E960" s="13">
        <v>2</v>
      </c>
      <c r="F960" s="13">
        <v>0</v>
      </c>
      <c r="G960" s="13">
        <v>2</v>
      </c>
      <c r="H960" s="13">
        <v>0</v>
      </c>
      <c r="I960" s="13">
        <v>0</v>
      </c>
      <c r="J960" s="13">
        <v>0</v>
      </c>
      <c r="K960" s="13">
        <v>0</v>
      </c>
      <c r="L960" s="13">
        <v>3</v>
      </c>
      <c r="M960" s="13">
        <v>0</v>
      </c>
      <c r="N960" s="13">
        <v>0</v>
      </c>
      <c r="O960" s="13">
        <v>0</v>
      </c>
      <c r="P960" s="13">
        <v>0</v>
      </c>
      <c r="Q960" s="30">
        <f t="shared" si="112"/>
        <v>9</v>
      </c>
      <c r="R960" s="30">
        <f t="shared" si="113"/>
        <v>445</v>
      </c>
      <c r="S960" s="30">
        <f t="shared" si="114"/>
        <v>454</v>
      </c>
    </row>
    <row r="961" spans="1:19" ht="18.75">
      <c r="A961" s="29">
        <v>12</v>
      </c>
      <c r="B961" s="15" t="str">
        <f>'Candidate List'!B13</f>
        <v>NOTA</v>
      </c>
      <c r="C961" s="13">
        <v>2</v>
      </c>
      <c r="D961" s="13">
        <v>4</v>
      </c>
      <c r="E961" s="13">
        <v>5</v>
      </c>
      <c r="F961" s="13">
        <v>3</v>
      </c>
      <c r="G961" s="13">
        <v>1</v>
      </c>
      <c r="H961" s="13">
        <v>3</v>
      </c>
      <c r="I961" s="13">
        <v>4</v>
      </c>
      <c r="J961" s="13">
        <v>2</v>
      </c>
      <c r="K961" s="13">
        <v>2</v>
      </c>
      <c r="L961" s="13">
        <v>5</v>
      </c>
      <c r="M961" s="13">
        <v>3</v>
      </c>
      <c r="N961" s="13">
        <v>1</v>
      </c>
      <c r="O961" s="13">
        <v>1</v>
      </c>
      <c r="P961" s="13">
        <v>3</v>
      </c>
      <c r="Q961" s="30">
        <f t="shared" si="112"/>
        <v>39</v>
      </c>
      <c r="R961" s="30">
        <f t="shared" si="113"/>
        <v>987</v>
      </c>
      <c r="S961" s="30">
        <f t="shared" si="114"/>
        <v>1026</v>
      </c>
    </row>
    <row r="962" spans="1:19">
      <c r="A962" s="187" t="s">
        <v>11</v>
      </c>
      <c r="B962" s="187"/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30">
        <f t="shared" si="112"/>
        <v>0</v>
      </c>
      <c r="R962" s="30">
        <f t="shared" si="113"/>
        <v>0</v>
      </c>
      <c r="S962" s="30">
        <f t="shared" si="114"/>
        <v>0</v>
      </c>
    </row>
    <row r="963" spans="1:19">
      <c r="A963" s="188" t="s">
        <v>12</v>
      </c>
      <c r="B963" s="188"/>
      <c r="C963" s="30">
        <f t="shared" ref="C963:P963" si="115">SUM(C950:C962)</f>
        <v>551</v>
      </c>
      <c r="D963" s="30">
        <f t="shared" si="115"/>
        <v>702</v>
      </c>
      <c r="E963" s="30">
        <f t="shared" si="115"/>
        <v>659</v>
      </c>
      <c r="F963" s="30">
        <f t="shared" si="115"/>
        <v>465</v>
      </c>
      <c r="G963" s="30">
        <f t="shared" si="115"/>
        <v>574</v>
      </c>
      <c r="H963" s="30">
        <f t="shared" si="115"/>
        <v>536</v>
      </c>
      <c r="I963" s="30">
        <f t="shared" si="115"/>
        <v>481</v>
      </c>
      <c r="J963" s="30">
        <f t="shared" si="115"/>
        <v>530</v>
      </c>
      <c r="K963" s="30">
        <f t="shared" si="115"/>
        <v>539</v>
      </c>
      <c r="L963" s="30">
        <f t="shared" si="115"/>
        <v>452</v>
      </c>
      <c r="M963" s="30">
        <f t="shared" si="115"/>
        <v>430</v>
      </c>
      <c r="N963" s="30">
        <f t="shared" si="115"/>
        <v>519</v>
      </c>
      <c r="O963" s="30">
        <f t="shared" si="115"/>
        <v>331</v>
      </c>
      <c r="P963" s="30">
        <f t="shared" si="115"/>
        <v>705</v>
      </c>
      <c r="Q963" s="30">
        <f t="shared" si="112"/>
        <v>7474</v>
      </c>
      <c r="R963" s="30">
        <f t="shared" si="113"/>
        <v>223674</v>
      </c>
      <c r="S963" s="30">
        <f t="shared" si="114"/>
        <v>231148</v>
      </c>
    </row>
    <row r="964" spans="1:19" ht="39.75" customHeight="1">
      <c r="A964" s="5"/>
      <c r="B964" s="5"/>
      <c r="C964" s="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8"/>
      <c r="R964" s="7"/>
      <c r="S964" s="7"/>
    </row>
    <row r="965" spans="1:19" ht="22.5">
      <c r="A965" s="31"/>
      <c r="B965" s="31"/>
      <c r="C965" s="10" t="s">
        <v>13</v>
      </c>
      <c r="D965" s="10" t="s">
        <v>13</v>
      </c>
      <c r="E965" s="10" t="s">
        <v>13</v>
      </c>
      <c r="F965" s="10" t="s">
        <v>13</v>
      </c>
      <c r="G965" s="10" t="s">
        <v>13</v>
      </c>
      <c r="H965" s="10" t="s">
        <v>13</v>
      </c>
      <c r="I965" s="10" t="s">
        <v>13</v>
      </c>
      <c r="J965" s="10" t="s">
        <v>13</v>
      </c>
      <c r="K965" s="10" t="s">
        <v>13</v>
      </c>
      <c r="L965" s="10" t="s">
        <v>13</v>
      </c>
      <c r="M965" s="10" t="s">
        <v>13</v>
      </c>
      <c r="N965" s="10" t="s">
        <v>13</v>
      </c>
      <c r="O965" s="10" t="s">
        <v>13</v>
      </c>
      <c r="P965" s="10" t="s">
        <v>13</v>
      </c>
      <c r="Q965" s="10" t="s">
        <v>13</v>
      </c>
      <c r="R965" s="10" t="s">
        <v>13</v>
      </c>
      <c r="S965" s="10" t="s">
        <v>13</v>
      </c>
    </row>
    <row r="966" spans="1:19" ht="38.25" customHeight="1">
      <c r="A966" s="31"/>
      <c r="B966" s="3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 ht="22.5">
      <c r="A967" s="31"/>
      <c r="B967" s="31"/>
      <c r="C967" s="10" t="s">
        <v>14</v>
      </c>
      <c r="D967" s="10" t="s">
        <v>14</v>
      </c>
      <c r="E967" s="10" t="s">
        <v>14</v>
      </c>
      <c r="F967" s="10" t="s">
        <v>14</v>
      </c>
      <c r="G967" s="10" t="s">
        <v>14</v>
      </c>
      <c r="H967" s="10" t="s">
        <v>14</v>
      </c>
      <c r="I967" s="10" t="s">
        <v>14</v>
      </c>
      <c r="J967" s="10" t="s">
        <v>14</v>
      </c>
      <c r="K967" s="10" t="s">
        <v>14</v>
      </c>
      <c r="L967" s="10" t="s">
        <v>14</v>
      </c>
      <c r="M967" s="10" t="s">
        <v>14</v>
      </c>
      <c r="N967" s="10" t="s">
        <v>14</v>
      </c>
      <c r="O967" s="10" t="s">
        <v>14</v>
      </c>
      <c r="P967" s="10" t="s">
        <v>14</v>
      </c>
      <c r="Q967" s="10" t="s">
        <v>14</v>
      </c>
      <c r="R967" s="10" t="s">
        <v>14</v>
      </c>
      <c r="S967" s="10" t="s">
        <v>14</v>
      </c>
    </row>
    <row r="968" spans="1:19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</row>
    <row r="969" spans="1:19">
      <c r="A969" s="189" t="s">
        <v>15</v>
      </c>
      <c r="B969" s="189"/>
      <c r="C969" s="164" t="s">
        <v>16</v>
      </c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31"/>
      <c r="S969" s="31"/>
    </row>
    <row r="970" spans="1:19">
      <c r="A970" s="31"/>
      <c r="B970" s="31"/>
      <c r="C970" s="164" t="s">
        <v>17</v>
      </c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31"/>
      <c r="S970" s="31"/>
    </row>
    <row r="971" spans="1:19">
      <c r="A971" s="31"/>
      <c r="B971" s="31"/>
      <c r="C971" s="164" t="s">
        <v>44</v>
      </c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31"/>
      <c r="S971" s="31"/>
    </row>
    <row r="972" spans="1:19">
      <c r="A972" s="31"/>
      <c r="B972" s="31"/>
      <c r="C972" s="164" t="s">
        <v>45</v>
      </c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31"/>
      <c r="S972" s="31"/>
    </row>
    <row r="977" spans="1:19" ht="26.25">
      <c r="A977" s="190" t="s">
        <v>0</v>
      </c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</row>
    <row r="978" spans="1:19" ht="19.5">
      <c r="A978" s="191" t="s">
        <v>1225</v>
      </c>
      <c r="B978" s="191"/>
      <c r="C978" s="191"/>
      <c r="D978" s="191"/>
      <c r="E978" s="191"/>
      <c r="F978" s="191"/>
      <c r="G978" s="191"/>
      <c r="H978" s="191"/>
      <c r="I978" s="1"/>
      <c r="J978" s="1"/>
      <c r="K978" s="192" t="s">
        <v>85</v>
      </c>
      <c r="L978" s="192"/>
      <c r="M978" s="192"/>
      <c r="N978" s="192"/>
      <c r="O978" s="1"/>
      <c r="P978" s="193" t="s">
        <v>1</v>
      </c>
      <c r="Q978" s="193"/>
      <c r="R978" s="194">
        <v>44630</v>
      </c>
      <c r="S978" s="194"/>
    </row>
    <row r="979" spans="1:19">
      <c r="A979" s="188" t="s">
        <v>2</v>
      </c>
      <c r="B979" s="188"/>
      <c r="C979" s="30">
        <v>1</v>
      </c>
      <c r="D979" s="30">
        <v>2</v>
      </c>
      <c r="E979" s="30">
        <v>3</v>
      </c>
      <c r="F979" s="30">
        <v>4</v>
      </c>
      <c r="G979" s="30">
        <v>5</v>
      </c>
      <c r="H979" s="30">
        <v>6</v>
      </c>
      <c r="I979" s="30">
        <v>7</v>
      </c>
      <c r="J979" s="30">
        <v>8</v>
      </c>
      <c r="K979" s="30">
        <v>9</v>
      </c>
      <c r="L979" s="30">
        <v>10</v>
      </c>
      <c r="M979" s="30">
        <v>11</v>
      </c>
      <c r="N979" s="30">
        <v>12</v>
      </c>
      <c r="O979" s="30">
        <v>13</v>
      </c>
      <c r="P979" s="30">
        <v>14</v>
      </c>
      <c r="Q979" s="195" t="s">
        <v>3</v>
      </c>
      <c r="R979" s="195" t="s">
        <v>4</v>
      </c>
      <c r="S979" s="195" t="s">
        <v>5</v>
      </c>
    </row>
    <row r="980" spans="1:19">
      <c r="A980" s="165" t="s">
        <v>6</v>
      </c>
      <c r="B980" s="167"/>
      <c r="C980" s="40">
        <f>'Booth detail'!OR1</f>
        <v>407</v>
      </c>
      <c r="D980" s="40">
        <f>'Booth detail'!OS1</f>
        <v>408</v>
      </c>
      <c r="E980" s="40">
        <f>'Booth detail'!OT1</f>
        <v>409</v>
      </c>
      <c r="F980" s="40">
        <f>'Booth detail'!OU1</f>
        <v>410</v>
      </c>
      <c r="G980" s="40">
        <f>'Booth detail'!OV1</f>
        <v>411</v>
      </c>
      <c r="H980" s="40">
        <f>'Booth detail'!OW1</f>
        <v>412</v>
      </c>
      <c r="I980" s="40">
        <f>'Booth detail'!OX1</f>
        <v>413</v>
      </c>
      <c r="J980" s="40">
        <f>'Booth detail'!OY1</f>
        <v>414</v>
      </c>
      <c r="K980" s="40">
        <f>'Booth detail'!OZ1</f>
        <v>415</v>
      </c>
      <c r="L980" s="40">
        <f>'Booth detail'!PA1</f>
        <v>416</v>
      </c>
      <c r="M980" s="40">
        <f>'Booth detail'!PB1</f>
        <v>417</v>
      </c>
      <c r="N980" s="40">
        <f>'Booth detail'!PC1</f>
        <v>418</v>
      </c>
      <c r="O980" s="40">
        <f>'Booth detail'!PD1</f>
        <v>419</v>
      </c>
      <c r="P980" s="40">
        <f>'Booth detail'!PE1</f>
        <v>420</v>
      </c>
      <c r="Q980" s="196"/>
      <c r="R980" s="196"/>
      <c r="S980" s="196"/>
    </row>
    <row r="981" spans="1:19" ht="25.5">
      <c r="A981" s="165" t="s">
        <v>18</v>
      </c>
      <c r="B981" s="167"/>
      <c r="C981" s="44" t="str">
        <f>'Booth detail'!OR2</f>
        <v>ECUEC54320</v>
      </c>
      <c r="D981" s="44" t="str">
        <f>'Booth detail'!OS2</f>
        <v>ECUEC57854</v>
      </c>
      <c r="E981" s="44" t="str">
        <f>'Booth detail'!OT2</f>
        <v>ECUEC47765</v>
      </c>
      <c r="F981" s="44" t="str">
        <f>'Booth detail'!OU2</f>
        <v>ECUEC54084</v>
      </c>
      <c r="G981" s="44" t="str">
        <f>'Booth detail'!OV2</f>
        <v>ECUEC51365</v>
      </c>
      <c r="H981" s="44" t="str">
        <f>'Booth detail'!OW2</f>
        <v>ECUEC67677</v>
      </c>
      <c r="I981" s="44" t="str">
        <f>'Booth detail'!OX2</f>
        <v>ECUEC60730</v>
      </c>
      <c r="J981" s="44" t="str">
        <f>'Booth detail'!OY2</f>
        <v>ECUEC57726</v>
      </c>
      <c r="K981" s="44" t="str">
        <f>'Booth detail'!OZ2</f>
        <v>ECUED24121</v>
      </c>
      <c r="L981" s="44" t="str">
        <f>'Booth detail'!PA2</f>
        <v>ECUEC50066</v>
      </c>
      <c r="M981" s="44" t="str">
        <f>'Booth detail'!PB2</f>
        <v>ECUEC50830</v>
      </c>
      <c r="N981" s="44" t="str">
        <f>'Booth detail'!PC2</f>
        <v>ECUEC51470</v>
      </c>
      <c r="O981" s="44" t="str">
        <f>'Booth detail'!PD2</f>
        <v>ECUEC57513</v>
      </c>
      <c r="P981" s="44" t="str">
        <f>'Booth detail'!PE2</f>
        <v>ECUEC98442</v>
      </c>
      <c r="Q981" s="196"/>
      <c r="R981" s="196"/>
      <c r="S981" s="196"/>
    </row>
    <row r="982" spans="1:19" ht="42" customHeight="1">
      <c r="A982" s="198" t="s">
        <v>20</v>
      </c>
      <c r="B982" s="199"/>
      <c r="C982" s="55" t="str">
        <f>'Booth detail'!OR3</f>
        <v>-</v>
      </c>
      <c r="D982" s="55" t="str">
        <f>'Booth detail'!OS3</f>
        <v>-</v>
      </c>
      <c r="E982" s="55" t="str">
        <f>'Booth detail'!OT3</f>
        <v>-</v>
      </c>
      <c r="F982" s="55" t="str">
        <f>'Booth detail'!OU3</f>
        <v>-</v>
      </c>
      <c r="G982" s="55" t="str">
        <f>'Booth detail'!OV3</f>
        <v>-</v>
      </c>
      <c r="H982" s="55" t="str">
        <f>'Booth detail'!OW3</f>
        <v>-</v>
      </c>
      <c r="I982" s="55" t="str">
        <f>'Booth detail'!OX3</f>
        <v>-</v>
      </c>
      <c r="J982" s="55" t="str">
        <f>'Booth detail'!OY3</f>
        <v>-</v>
      </c>
      <c r="K982" s="55" t="str">
        <f>'Booth detail'!OZ3</f>
        <v>-</v>
      </c>
      <c r="L982" s="55" t="str">
        <f>'Booth detail'!PA3</f>
        <v>-</v>
      </c>
      <c r="M982" s="55" t="str">
        <f>'Booth detail'!PB3</f>
        <v>-</v>
      </c>
      <c r="N982" s="55" t="str">
        <f>'Booth detail'!PC3</f>
        <v>-</v>
      </c>
      <c r="O982" s="55" t="str">
        <f>'Booth detail'!PD3</f>
        <v>-</v>
      </c>
      <c r="P982" s="55" t="str">
        <f>'Booth detail'!PE3</f>
        <v>-</v>
      </c>
      <c r="Q982" s="196"/>
      <c r="R982" s="196"/>
      <c r="S982" s="196"/>
    </row>
    <row r="983" spans="1:19">
      <c r="A983" s="14" t="s">
        <v>7</v>
      </c>
      <c r="B983" s="32" t="s">
        <v>8</v>
      </c>
      <c r="C983" s="33" t="s">
        <v>9</v>
      </c>
      <c r="D983" s="33" t="s">
        <v>9</v>
      </c>
      <c r="E983" s="33" t="s">
        <v>9</v>
      </c>
      <c r="F983" s="33" t="s">
        <v>9</v>
      </c>
      <c r="G983" s="33" t="s">
        <v>9</v>
      </c>
      <c r="H983" s="33" t="s">
        <v>9</v>
      </c>
      <c r="I983" s="33" t="s">
        <v>9</v>
      </c>
      <c r="J983" s="33" t="s">
        <v>9</v>
      </c>
      <c r="K983" s="33" t="s">
        <v>9</v>
      </c>
      <c r="L983" s="33" t="s">
        <v>9</v>
      </c>
      <c r="M983" s="33" t="s">
        <v>9</v>
      </c>
      <c r="N983" s="33" t="s">
        <v>9</v>
      </c>
      <c r="O983" s="33" t="s">
        <v>9</v>
      </c>
      <c r="P983" s="33" t="s">
        <v>9</v>
      </c>
      <c r="Q983" s="197"/>
      <c r="R983" s="197"/>
      <c r="S983" s="197"/>
    </row>
    <row r="984" spans="1:19" ht="18.75">
      <c r="A984" s="29">
        <v>1</v>
      </c>
      <c r="B984" s="15" t="str">
        <f>'Candidate List'!B2</f>
        <v>Manveer Singh</v>
      </c>
      <c r="C984" s="13">
        <v>8</v>
      </c>
      <c r="D984" s="13">
        <v>1</v>
      </c>
      <c r="E984" s="13">
        <v>2</v>
      </c>
      <c r="F984" s="13">
        <v>6</v>
      </c>
      <c r="G984" s="13">
        <v>14</v>
      </c>
      <c r="H984" s="13">
        <v>1</v>
      </c>
      <c r="I984" s="13">
        <v>7</v>
      </c>
      <c r="J984" s="13">
        <v>72</v>
      </c>
      <c r="K984" s="13">
        <v>4</v>
      </c>
      <c r="L984" s="13">
        <v>167</v>
      </c>
      <c r="M984" s="13">
        <v>53</v>
      </c>
      <c r="N984" s="13">
        <v>168</v>
      </c>
      <c r="O984" s="13">
        <v>42</v>
      </c>
      <c r="P984" s="13">
        <v>714</v>
      </c>
      <c r="Q984" s="30">
        <f>SUM(C984:P984)</f>
        <v>1259</v>
      </c>
      <c r="R984" s="30">
        <f>S950</f>
        <v>35030</v>
      </c>
      <c r="S984" s="30">
        <f>Q984+R984</f>
        <v>36289</v>
      </c>
    </row>
    <row r="985" spans="1:19" ht="18.75">
      <c r="A985" s="29">
        <v>2</v>
      </c>
      <c r="B985" s="15" t="str">
        <f>'Candidate List'!B3</f>
        <v>Rahul Yadav</v>
      </c>
      <c r="C985" s="13">
        <v>42</v>
      </c>
      <c r="D985" s="13">
        <v>150</v>
      </c>
      <c r="E985" s="13">
        <v>139</v>
      </c>
      <c r="F985" s="13">
        <v>54</v>
      </c>
      <c r="G985" s="13">
        <v>459</v>
      </c>
      <c r="H985" s="13">
        <v>391</v>
      </c>
      <c r="I985" s="13">
        <v>557</v>
      </c>
      <c r="J985" s="13">
        <v>150</v>
      </c>
      <c r="K985" s="13">
        <v>239</v>
      </c>
      <c r="L985" s="13">
        <v>49</v>
      </c>
      <c r="M985" s="13">
        <v>177</v>
      </c>
      <c r="N985" s="13">
        <v>167</v>
      </c>
      <c r="O985" s="13">
        <v>7</v>
      </c>
      <c r="P985" s="13">
        <v>18</v>
      </c>
      <c r="Q985" s="30">
        <f t="shared" ref="Q985:Q997" si="116">SUM(C985:P985)</f>
        <v>2599</v>
      </c>
      <c r="R985" s="30">
        <f t="shared" ref="R985:R997" si="117">S951</f>
        <v>87291</v>
      </c>
      <c r="S985" s="30">
        <f t="shared" ref="S985:S997" si="118">Q985+R985</f>
        <v>89890</v>
      </c>
    </row>
    <row r="986" spans="1:19" ht="18.75">
      <c r="A986" s="29">
        <v>3</v>
      </c>
      <c r="B986" s="15" t="str">
        <f>'Candidate List'!B4</f>
        <v>Lakshmi Raj</v>
      </c>
      <c r="C986" s="13">
        <v>533</v>
      </c>
      <c r="D986" s="13">
        <v>529</v>
      </c>
      <c r="E986" s="13">
        <v>392</v>
      </c>
      <c r="F986" s="13">
        <v>415</v>
      </c>
      <c r="G986" s="13">
        <v>163</v>
      </c>
      <c r="H986" s="13">
        <v>109</v>
      </c>
      <c r="I986" s="13">
        <v>19</v>
      </c>
      <c r="J986" s="13">
        <v>267</v>
      </c>
      <c r="K986" s="13">
        <v>259</v>
      </c>
      <c r="L986" s="13">
        <v>186</v>
      </c>
      <c r="M986" s="13">
        <v>514</v>
      </c>
      <c r="N986" s="13">
        <v>339</v>
      </c>
      <c r="O986" s="13">
        <v>554</v>
      </c>
      <c r="P986" s="13">
        <v>30</v>
      </c>
      <c r="Q986" s="30">
        <f t="shared" si="116"/>
        <v>4309</v>
      </c>
      <c r="R986" s="30">
        <f t="shared" si="117"/>
        <v>101536</v>
      </c>
      <c r="S986" s="30">
        <f t="shared" si="118"/>
        <v>105845</v>
      </c>
    </row>
    <row r="987" spans="1:19" ht="18.75">
      <c r="A987" s="29">
        <v>4</v>
      </c>
      <c r="B987" s="15" t="str">
        <f>'Candidate List'!B5</f>
        <v>Saleem Akhtar Khan</v>
      </c>
      <c r="C987" s="13">
        <v>6</v>
      </c>
      <c r="D987" s="13">
        <v>12</v>
      </c>
      <c r="E987" s="13">
        <v>3</v>
      </c>
      <c r="F987" s="13">
        <v>6</v>
      </c>
      <c r="G987" s="13">
        <v>7</v>
      </c>
      <c r="H987" s="13">
        <v>19</v>
      </c>
      <c r="I987" s="13">
        <v>4</v>
      </c>
      <c r="J987" s="13">
        <v>2</v>
      </c>
      <c r="K987" s="13">
        <v>5</v>
      </c>
      <c r="L987" s="13">
        <v>2</v>
      </c>
      <c r="M987" s="13">
        <v>12</v>
      </c>
      <c r="N987" s="13">
        <v>3</v>
      </c>
      <c r="O987" s="13">
        <v>2</v>
      </c>
      <c r="P987" s="13">
        <v>0</v>
      </c>
      <c r="Q987" s="30">
        <f t="shared" si="116"/>
        <v>83</v>
      </c>
      <c r="R987" s="30">
        <f t="shared" si="117"/>
        <v>1913</v>
      </c>
      <c r="S987" s="30">
        <f t="shared" si="118"/>
        <v>1996</v>
      </c>
    </row>
    <row r="988" spans="1:19" ht="18.75">
      <c r="A988" s="29">
        <v>5</v>
      </c>
      <c r="B988" s="15" t="str">
        <f>'Candidate List'!B6</f>
        <v>Ajay Kumar</v>
      </c>
      <c r="C988" s="13">
        <v>1</v>
      </c>
      <c r="D988" s="13">
        <v>0</v>
      </c>
      <c r="E988" s="13">
        <v>0</v>
      </c>
      <c r="F988" s="13">
        <v>0</v>
      </c>
      <c r="G988" s="13">
        <v>1</v>
      </c>
      <c r="H988" s="13">
        <v>0</v>
      </c>
      <c r="I988" s="13">
        <v>0</v>
      </c>
      <c r="J988" s="13">
        <v>0</v>
      </c>
      <c r="K988" s="13">
        <v>0</v>
      </c>
      <c r="L988" s="13">
        <v>2</v>
      </c>
      <c r="M988" s="13">
        <v>2</v>
      </c>
      <c r="N988" s="13">
        <v>0</v>
      </c>
      <c r="O988" s="13">
        <v>0</v>
      </c>
      <c r="P988" s="13">
        <v>0</v>
      </c>
      <c r="Q988" s="30">
        <f t="shared" si="116"/>
        <v>6</v>
      </c>
      <c r="R988" s="30">
        <f t="shared" si="117"/>
        <v>645</v>
      </c>
      <c r="S988" s="30">
        <f t="shared" si="118"/>
        <v>651</v>
      </c>
    </row>
    <row r="989" spans="1:19" ht="18.75">
      <c r="A989" s="29">
        <v>6</v>
      </c>
      <c r="B989" s="15" t="str">
        <f>'Candidate List'!B7</f>
        <v>Ajay Kumar Sharma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1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30">
        <f t="shared" si="116"/>
        <v>1</v>
      </c>
      <c r="R989" s="30">
        <f t="shared" si="117"/>
        <v>102</v>
      </c>
      <c r="S989" s="30">
        <f t="shared" si="118"/>
        <v>103</v>
      </c>
    </row>
    <row r="990" spans="1:19" ht="18.75">
      <c r="A990" s="29">
        <v>7</v>
      </c>
      <c r="B990" s="15" t="str">
        <f>'Candidate List'!B8</f>
        <v>Amit Singh Tomar</v>
      </c>
      <c r="C990" s="13">
        <v>0</v>
      </c>
      <c r="D990" s="13">
        <v>0</v>
      </c>
      <c r="E990" s="13">
        <v>0</v>
      </c>
      <c r="F990" s="13">
        <v>0</v>
      </c>
      <c r="G990" s="13">
        <v>1</v>
      </c>
      <c r="H990" s="13">
        <v>0</v>
      </c>
      <c r="I990" s="13">
        <v>0</v>
      </c>
      <c r="J990" s="13">
        <v>1</v>
      </c>
      <c r="K990" s="13">
        <v>1</v>
      </c>
      <c r="L990" s="13">
        <v>0</v>
      </c>
      <c r="M990" s="13">
        <v>2</v>
      </c>
      <c r="N990" s="13">
        <v>0</v>
      </c>
      <c r="O990" s="13">
        <v>0</v>
      </c>
      <c r="P990" s="13">
        <v>0</v>
      </c>
      <c r="Q990" s="30">
        <f t="shared" si="116"/>
        <v>5</v>
      </c>
      <c r="R990" s="30">
        <f t="shared" si="117"/>
        <v>165</v>
      </c>
      <c r="S990" s="30">
        <f t="shared" si="118"/>
        <v>170</v>
      </c>
    </row>
    <row r="991" spans="1:19" ht="18.75">
      <c r="A991" s="29">
        <v>8</v>
      </c>
      <c r="B991" s="15" t="str">
        <f>'Candidate List'!B9</f>
        <v>Darshan Sharma</v>
      </c>
      <c r="C991" s="13">
        <v>2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3">
        <v>1</v>
      </c>
      <c r="L991" s="13">
        <v>1</v>
      </c>
      <c r="M991" s="13">
        <v>5</v>
      </c>
      <c r="N991" s="13">
        <v>0</v>
      </c>
      <c r="O991" s="13">
        <v>0</v>
      </c>
      <c r="P991" s="13">
        <v>0</v>
      </c>
      <c r="Q991" s="30">
        <f t="shared" si="116"/>
        <v>9</v>
      </c>
      <c r="R991" s="30">
        <f t="shared" si="117"/>
        <v>327</v>
      </c>
      <c r="S991" s="30">
        <f t="shared" si="118"/>
        <v>336</v>
      </c>
    </row>
    <row r="992" spans="1:19" ht="18.75">
      <c r="A992" s="29">
        <v>9</v>
      </c>
      <c r="B992" s="15" t="str">
        <f>'Candidate List'!B10</f>
        <v>Dilshad Ahmad</v>
      </c>
      <c r="C992" s="13">
        <v>0</v>
      </c>
      <c r="D992" s="13">
        <v>0</v>
      </c>
      <c r="E992" s="13">
        <v>1</v>
      </c>
      <c r="F992" s="13">
        <v>0</v>
      </c>
      <c r="G992" s="13">
        <v>5</v>
      </c>
      <c r="H992" s="13">
        <v>13</v>
      </c>
      <c r="I992" s="13">
        <v>44</v>
      </c>
      <c r="J992" s="13">
        <v>2</v>
      </c>
      <c r="K992" s="13">
        <v>1</v>
      </c>
      <c r="L992" s="13">
        <v>1</v>
      </c>
      <c r="M992" s="13">
        <v>3</v>
      </c>
      <c r="N992" s="13">
        <v>0</v>
      </c>
      <c r="O992" s="13">
        <v>0</v>
      </c>
      <c r="P992" s="13">
        <v>0</v>
      </c>
      <c r="Q992" s="30">
        <f t="shared" si="116"/>
        <v>70</v>
      </c>
      <c r="R992" s="30">
        <f t="shared" si="117"/>
        <v>1574</v>
      </c>
      <c r="S992" s="30">
        <f t="shared" si="118"/>
        <v>1644</v>
      </c>
    </row>
    <row r="993" spans="1:19" ht="18.75">
      <c r="A993" s="29">
        <v>10</v>
      </c>
      <c r="B993" s="15" t="str">
        <f>'Candidate List'!B11</f>
        <v>Raju Thakur</v>
      </c>
      <c r="C993" s="13">
        <v>3</v>
      </c>
      <c r="D993" s="13">
        <v>2</v>
      </c>
      <c r="E993" s="13">
        <v>8</v>
      </c>
      <c r="F993" s="13">
        <v>6</v>
      </c>
      <c r="G993" s="13">
        <v>2</v>
      </c>
      <c r="H993" s="13">
        <v>2</v>
      </c>
      <c r="I993" s="13">
        <v>3</v>
      </c>
      <c r="J993" s="13">
        <v>5</v>
      </c>
      <c r="K993" s="13">
        <v>4</v>
      </c>
      <c r="L993" s="13">
        <v>0</v>
      </c>
      <c r="M993" s="13">
        <v>7</v>
      </c>
      <c r="N993" s="13">
        <v>1</v>
      </c>
      <c r="O993" s="13">
        <v>2</v>
      </c>
      <c r="P993" s="13">
        <v>0</v>
      </c>
      <c r="Q993" s="30">
        <f t="shared" si="116"/>
        <v>45</v>
      </c>
      <c r="R993" s="30">
        <f t="shared" si="117"/>
        <v>1085</v>
      </c>
      <c r="S993" s="30">
        <f t="shared" si="118"/>
        <v>1130</v>
      </c>
    </row>
    <row r="994" spans="1:19" ht="18.75">
      <c r="A994" s="29">
        <v>11</v>
      </c>
      <c r="B994" s="15" t="str">
        <f>'Candidate List'!B12</f>
        <v>Bablu</v>
      </c>
      <c r="C994" s="13">
        <v>0</v>
      </c>
      <c r="D994" s="13">
        <v>0</v>
      </c>
      <c r="E994" s="13">
        <v>0</v>
      </c>
      <c r="F994" s="13">
        <v>1</v>
      </c>
      <c r="G994" s="13">
        <v>1</v>
      </c>
      <c r="H994" s="13">
        <v>2</v>
      </c>
      <c r="I994" s="13">
        <v>1</v>
      </c>
      <c r="J994" s="13">
        <v>1</v>
      </c>
      <c r="K994" s="13">
        <v>0</v>
      </c>
      <c r="L994" s="13">
        <v>0</v>
      </c>
      <c r="M994" s="13">
        <v>0</v>
      </c>
      <c r="N994" s="13">
        <v>2</v>
      </c>
      <c r="O994" s="13">
        <v>2</v>
      </c>
      <c r="P994" s="13">
        <v>0</v>
      </c>
      <c r="Q994" s="30">
        <f t="shared" si="116"/>
        <v>10</v>
      </c>
      <c r="R994" s="30">
        <f t="shared" si="117"/>
        <v>454</v>
      </c>
      <c r="S994" s="30">
        <f t="shared" si="118"/>
        <v>464</v>
      </c>
    </row>
    <row r="995" spans="1:19" ht="18.75">
      <c r="A995" s="29">
        <v>12</v>
      </c>
      <c r="B995" s="15" t="str">
        <f>'Candidate List'!B13</f>
        <v>NOTA</v>
      </c>
      <c r="C995" s="13">
        <v>3</v>
      </c>
      <c r="D995" s="13">
        <v>3</v>
      </c>
      <c r="E995" s="13">
        <v>0</v>
      </c>
      <c r="F995" s="13">
        <v>1</v>
      </c>
      <c r="G995" s="13">
        <v>1</v>
      </c>
      <c r="H995" s="13">
        <v>1</v>
      </c>
      <c r="I995" s="13">
        <v>4</v>
      </c>
      <c r="J995" s="13">
        <v>1</v>
      </c>
      <c r="K995" s="13">
        <v>0</v>
      </c>
      <c r="L995" s="13">
        <v>1</v>
      </c>
      <c r="M995" s="13">
        <v>3</v>
      </c>
      <c r="N995" s="13">
        <v>2</v>
      </c>
      <c r="O995" s="13">
        <v>2</v>
      </c>
      <c r="P995" s="13">
        <v>5</v>
      </c>
      <c r="Q995" s="30">
        <f t="shared" si="116"/>
        <v>27</v>
      </c>
      <c r="R995" s="30">
        <f t="shared" si="117"/>
        <v>1026</v>
      </c>
      <c r="S995" s="30">
        <f t="shared" si="118"/>
        <v>1053</v>
      </c>
    </row>
    <row r="996" spans="1:19">
      <c r="A996" s="187" t="s">
        <v>11</v>
      </c>
      <c r="B996" s="187"/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30">
        <f t="shared" si="116"/>
        <v>0</v>
      </c>
      <c r="R996" s="30">
        <f t="shared" si="117"/>
        <v>0</v>
      </c>
      <c r="S996" s="30">
        <f t="shared" si="118"/>
        <v>0</v>
      </c>
    </row>
    <row r="997" spans="1:19">
      <c r="A997" s="188" t="s">
        <v>12</v>
      </c>
      <c r="B997" s="188"/>
      <c r="C997" s="30">
        <f t="shared" ref="C997:P997" si="119">SUM(C984:C996)</f>
        <v>598</v>
      </c>
      <c r="D997" s="30">
        <f t="shared" si="119"/>
        <v>697</v>
      </c>
      <c r="E997" s="30">
        <f t="shared" si="119"/>
        <v>545</v>
      </c>
      <c r="F997" s="30">
        <f t="shared" si="119"/>
        <v>489</v>
      </c>
      <c r="G997" s="30">
        <f t="shared" si="119"/>
        <v>654</v>
      </c>
      <c r="H997" s="30">
        <f t="shared" si="119"/>
        <v>538</v>
      </c>
      <c r="I997" s="30">
        <f t="shared" si="119"/>
        <v>639</v>
      </c>
      <c r="J997" s="30">
        <f t="shared" si="119"/>
        <v>502</v>
      </c>
      <c r="K997" s="30">
        <f t="shared" si="119"/>
        <v>514</v>
      </c>
      <c r="L997" s="30">
        <f t="shared" si="119"/>
        <v>409</v>
      </c>
      <c r="M997" s="30">
        <f t="shared" si="119"/>
        <v>778</v>
      </c>
      <c r="N997" s="30">
        <f t="shared" si="119"/>
        <v>682</v>
      </c>
      <c r="O997" s="30">
        <f t="shared" si="119"/>
        <v>611</v>
      </c>
      <c r="P997" s="30">
        <f t="shared" si="119"/>
        <v>767</v>
      </c>
      <c r="Q997" s="30">
        <f t="shared" si="116"/>
        <v>8423</v>
      </c>
      <c r="R997" s="30">
        <f t="shared" si="117"/>
        <v>231148</v>
      </c>
      <c r="S997" s="30">
        <f t="shared" si="118"/>
        <v>239571</v>
      </c>
    </row>
    <row r="998" spans="1:19" ht="40.5" customHeight="1">
      <c r="A998" s="5"/>
      <c r="B998" s="5"/>
      <c r="C998" s="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8"/>
      <c r="R998" s="7"/>
      <c r="S998" s="7"/>
    </row>
    <row r="999" spans="1:19" ht="22.5">
      <c r="A999" s="31"/>
      <c r="B999" s="31"/>
      <c r="C999" s="10" t="s">
        <v>13</v>
      </c>
      <c r="D999" s="10" t="s">
        <v>13</v>
      </c>
      <c r="E999" s="10" t="s">
        <v>13</v>
      </c>
      <c r="F999" s="10" t="s">
        <v>13</v>
      </c>
      <c r="G999" s="10" t="s">
        <v>13</v>
      </c>
      <c r="H999" s="10" t="s">
        <v>13</v>
      </c>
      <c r="I999" s="10" t="s">
        <v>13</v>
      </c>
      <c r="J999" s="10" t="s">
        <v>13</v>
      </c>
      <c r="K999" s="10" t="s">
        <v>13</v>
      </c>
      <c r="L999" s="10" t="s">
        <v>13</v>
      </c>
      <c r="M999" s="10" t="s">
        <v>13</v>
      </c>
      <c r="N999" s="10" t="s">
        <v>13</v>
      </c>
      <c r="O999" s="10" t="s">
        <v>13</v>
      </c>
      <c r="P999" s="10" t="s">
        <v>13</v>
      </c>
      <c r="Q999" s="10" t="s">
        <v>13</v>
      </c>
      <c r="R999" s="10" t="s">
        <v>13</v>
      </c>
      <c r="S999" s="10" t="s">
        <v>13</v>
      </c>
    </row>
    <row r="1000" spans="1:19" ht="37.5" customHeight="1">
      <c r="A1000" s="31"/>
      <c r="B1000" s="31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 ht="22.5">
      <c r="A1001" s="31"/>
      <c r="B1001" s="31"/>
      <c r="C1001" s="10" t="s">
        <v>14</v>
      </c>
      <c r="D1001" s="10" t="s">
        <v>14</v>
      </c>
      <c r="E1001" s="10" t="s">
        <v>14</v>
      </c>
      <c r="F1001" s="10" t="s">
        <v>14</v>
      </c>
      <c r="G1001" s="10" t="s">
        <v>14</v>
      </c>
      <c r="H1001" s="10" t="s">
        <v>14</v>
      </c>
      <c r="I1001" s="10" t="s">
        <v>14</v>
      </c>
      <c r="J1001" s="10" t="s">
        <v>14</v>
      </c>
      <c r="K1001" s="10" t="s">
        <v>14</v>
      </c>
      <c r="L1001" s="10" t="s">
        <v>14</v>
      </c>
      <c r="M1001" s="10" t="s">
        <v>14</v>
      </c>
      <c r="N1001" s="10" t="s">
        <v>14</v>
      </c>
      <c r="O1001" s="10" t="s">
        <v>14</v>
      </c>
      <c r="P1001" s="10" t="s">
        <v>14</v>
      </c>
      <c r="Q1001" s="10" t="s">
        <v>14</v>
      </c>
      <c r="R1001" s="10" t="s">
        <v>14</v>
      </c>
      <c r="S1001" s="10" t="s">
        <v>14</v>
      </c>
    </row>
    <row r="1002" spans="1:19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</row>
    <row r="1003" spans="1:19">
      <c r="A1003" s="189" t="s">
        <v>15</v>
      </c>
      <c r="B1003" s="189"/>
      <c r="C1003" s="164" t="s">
        <v>16</v>
      </c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31"/>
      <c r="S1003" s="31"/>
    </row>
    <row r="1004" spans="1:19">
      <c r="A1004" s="31"/>
      <c r="B1004" s="31"/>
      <c r="C1004" s="164" t="s">
        <v>17</v>
      </c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31"/>
      <c r="S1004" s="31"/>
    </row>
    <row r="1005" spans="1:19">
      <c r="A1005" s="31"/>
      <c r="B1005" s="31"/>
      <c r="C1005" s="164" t="s">
        <v>44</v>
      </c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31"/>
      <c r="S1005" s="31"/>
    </row>
    <row r="1006" spans="1:19">
      <c r="A1006" s="31"/>
      <c r="B1006" s="31"/>
      <c r="C1006" s="164" t="s">
        <v>45</v>
      </c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31"/>
      <c r="S1006" s="31"/>
    </row>
    <row r="1010" spans="1:19" ht="26.25">
      <c r="A1010" s="190" t="s">
        <v>0</v>
      </c>
      <c r="B1010" s="190"/>
      <c r="C1010" s="190"/>
      <c r="D1010" s="190"/>
      <c r="E1010" s="190"/>
      <c r="F1010" s="190"/>
      <c r="G1010" s="190"/>
      <c r="H1010" s="190"/>
      <c r="I1010" s="190"/>
      <c r="J1010" s="190"/>
      <c r="K1010" s="190"/>
      <c r="L1010" s="190"/>
      <c r="M1010" s="190"/>
      <c r="N1010" s="190"/>
      <c r="O1010" s="190"/>
      <c r="P1010" s="190"/>
      <c r="Q1010" s="190"/>
      <c r="R1010" s="190"/>
      <c r="S1010" s="190"/>
    </row>
    <row r="1011" spans="1:19" ht="19.5">
      <c r="A1011" s="191" t="s">
        <v>1225</v>
      </c>
      <c r="B1011" s="191"/>
      <c r="C1011" s="191"/>
      <c r="D1011" s="191"/>
      <c r="E1011" s="191"/>
      <c r="F1011" s="191"/>
      <c r="G1011" s="191"/>
      <c r="H1011" s="191"/>
      <c r="I1011" s="1"/>
      <c r="J1011" s="1"/>
      <c r="K1011" s="192" t="s">
        <v>87</v>
      </c>
      <c r="L1011" s="192"/>
      <c r="M1011" s="192"/>
      <c r="N1011" s="192"/>
      <c r="O1011" s="1"/>
      <c r="P1011" s="193" t="s">
        <v>1</v>
      </c>
      <c r="Q1011" s="193"/>
      <c r="R1011" s="194">
        <v>44630</v>
      </c>
      <c r="S1011" s="194"/>
    </row>
    <row r="1012" spans="1:19">
      <c r="A1012" s="188" t="s">
        <v>2</v>
      </c>
      <c r="B1012" s="188"/>
      <c r="C1012" s="30">
        <v>1</v>
      </c>
      <c r="D1012" s="30">
        <v>2</v>
      </c>
      <c r="E1012" s="30">
        <v>3</v>
      </c>
      <c r="F1012" s="30">
        <v>4</v>
      </c>
      <c r="G1012" s="30">
        <v>5</v>
      </c>
      <c r="H1012" s="30">
        <v>6</v>
      </c>
      <c r="I1012" s="30">
        <v>7</v>
      </c>
      <c r="J1012" s="30">
        <v>8</v>
      </c>
      <c r="K1012" s="30">
        <v>9</v>
      </c>
      <c r="L1012" s="30">
        <v>10</v>
      </c>
      <c r="M1012" s="30">
        <v>11</v>
      </c>
      <c r="N1012" s="30">
        <v>12</v>
      </c>
      <c r="O1012" s="30">
        <v>13</v>
      </c>
      <c r="P1012" s="30">
        <v>14</v>
      </c>
      <c r="Q1012" s="195" t="s">
        <v>3</v>
      </c>
      <c r="R1012" s="195" t="s">
        <v>4</v>
      </c>
      <c r="S1012" s="195" t="s">
        <v>5</v>
      </c>
    </row>
    <row r="1013" spans="1:19">
      <c r="A1013" s="165" t="s">
        <v>6</v>
      </c>
      <c r="B1013" s="167"/>
      <c r="C1013" s="49">
        <f>'Booth detail'!PF1</f>
        <v>421</v>
      </c>
      <c r="D1013" s="49">
        <f>'Booth detail'!PG1</f>
        <v>422</v>
      </c>
      <c r="E1013" s="49">
        <f>'Booth detail'!PH1</f>
        <v>423</v>
      </c>
      <c r="F1013" s="49">
        <f>'Booth detail'!PI1</f>
        <v>424</v>
      </c>
      <c r="G1013" s="49">
        <f>'Booth detail'!PJ1</f>
        <v>425</v>
      </c>
      <c r="H1013" s="49">
        <f>'Booth detail'!PK1</f>
        <v>426</v>
      </c>
      <c r="I1013" s="49">
        <f>'Booth detail'!PL1</f>
        <v>427</v>
      </c>
      <c r="J1013" s="49">
        <f>'Booth detail'!PM1</f>
        <v>428</v>
      </c>
      <c r="K1013" s="49">
        <f>'Booth detail'!PN1</f>
        <v>429</v>
      </c>
      <c r="L1013" s="49">
        <f>'Booth detail'!PO1</f>
        <v>430</v>
      </c>
      <c r="M1013" s="49">
        <f>'Booth detail'!PP1</f>
        <v>431</v>
      </c>
      <c r="N1013" s="49">
        <f>'Booth detail'!PQ1</f>
        <v>432</v>
      </c>
      <c r="O1013" s="49">
        <f>'Booth detail'!PR1</f>
        <v>433</v>
      </c>
      <c r="P1013" s="49">
        <f>'Booth detail'!PS1</f>
        <v>434</v>
      </c>
      <c r="Q1013" s="196"/>
      <c r="R1013" s="196"/>
      <c r="S1013" s="196"/>
    </row>
    <row r="1014" spans="1:19" ht="55.5" customHeight="1">
      <c r="A1014" s="165" t="s">
        <v>18</v>
      </c>
      <c r="B1014" s="167"/>
      <c r="C1014" s="50" t="str">
        <f>'Booth detail'!PF2</f>
        <v>ECUEC60554</v>
      </c>
      <c r="D1014" s="50" t="str">
        <f>'Booth detail'!PG2</f>
        <v>ECUEC57861</v>
      </c>
      <c r="E1014" s="63" t="str">
        <f>'Booth detail'!PH2</f>
        <v>ECUEC60579/
ECUEC50182</v>
      </c>
      <c r="F1014" s="50" t="str">
        <f>'Booth detail'!PI2</f>
        <v>ECUEC57413</v>
      </c>
      <c r="G1014" s="50" t="str">
        <f>'Booth detail'!PJ2</f>
        <v>ECUEC60978</v>
      </c>
      <c r="H1014" s="50" t="str">
        <f>'Booth detail'!PK2</f>
        <v>ECUEC64211</v>
      </c>
      <c r="I1014" s="50" t="str">
        <f>'Booth detail'!PL2</f>
        <v>ECUEC57673</v>
      </c>
      <c r="J1014" s="50" t="str">
        <f>'Booth detail'!PM2</f>
        <v>ECUEC51828</v>
      </c>
      <c r="K1014" s="50" t="str">
        <f>'Booth detail'!PN2</f>
        <v>ECUED15456</v>
      </c>
      <c r="L1014" s="50" t="str">
        <f>'Booth detail'!PO2</f>
        <v>ECUED00327</v>
      </c>
      <c r="M1014" s="50" t="str">
        <f>'Booth detail'!PP2</f>
        <v>ECUEC64621</v>
      </c>
      <c r="N1014" s="50" t="str">
        <f>'Booth detail'!PQ2</f>
        <v>ECUED24977</v>
      </c>
      <c r="O1014" s="50" t="str">
        <f>'Booth detail'!PR2</f>
        <v>ECUEC64559</v>
      </c>
      <c r="P1014" s="50" t="str">
        <f>'Booth detail'!PS2</f>
        <v>ECUEC50731</v>
      </c>
      <c r="Q1014" s="196"/>
      <c r="R1014" s="196"/>
      <c r="S1014" s="196"/>
    </row>
    <row r="1015" spans="1:19" ht="41.25" customHeight="1">
      <c r="A1015" s="198" t="s">
        <v>20</v>
      </c>
      <c r="B1015" s="199"/>
      <c r="C1015" s="57" t="str">
        <f>'Booth detail'!PF3</f>
        <v>-</v>
      </c>
      <c r="D1015" s="57" t="str">
        <f>'Booth detail'!PG3</f>
        <v>-</v>
      </c>
      <c r="E1015" s="57" t="str">
        <f>'Booth detail'!PH3</f>
        <v>-</v>
      </c>
      <c r="F1015" s="57" t="str">
        <f>'Booth detail'!PI3</f>
        <v>-</v>
      </c>
      <c r="G1015" s="57" t="str">
        <f>'Booth detail'!PJ3</f>
        <v>-</v>
      </c>
      <c r="H1015" s="57" t="str">
        <f>'Booth detail'!PK3</f>
        <v>-</v>
      </c>
      <c r="I1015" s="57" t="str">
        <f>'Booth detail'!PL3</f>
        <v>-</v>
      </c>
      <c r="J1015" s="57" t="str">
        <f>'Booth detail'!PM3</f>
        <v>-</v>
      </c>
      <c r="K1015" s="57" t="str">
        <f>'Booth detail'!PN3</f>
        <v>-</v>
      </c>
      <c r="L1015" s="57" t="str">
        <f>'Booth detail'!PO3</f>
        <v>-</v>
      </c>
      <c r="M1015" s="57" t="str">
        <f>'Booth detail'!PP3</f>
        <v>-</v>
      </c>
      <c r="N1015" s="57" t="str">
        <f>'Booth detail'!PQ3</f>
        <v>-</v>
      </c>
      <c r="O1015" s="57" t="str">
        <f>'Booth detail'!PR3</f>
        <v>-</v>
      </c>
      <c r="P1015" s="57" t="str">
        <f>'Booth detail'!PS3</f>
        <v>-</v>
      </c>
      <c r="Q1015" s="196"/>
      <c r="R1015" s="196"/>
      <c r="S1015" s="196"/>
    </row>
    <row r="1016" spans="1:19">
      <c r="A1016" s="14" t="s">
        <v>7</v>
      </c>
      <c r="B1016" s="32" t="s">
        <v>8</v>
      </c>
      <c r="C1016" s="33" t="s">
        <v>9</v>
      </c>
      <c r="D1016" s="33" t="s">
        <v>9</v>
      </c>
      <c r="E1016" s="33" t="s">
        <v>9</v>
      </c>
      <c r="F1016" s="33" t="s">
        <v>9</v>
      </c>
      <c r="G1016" s="33" t="s">
        <v>9</v>
      </c>
      <c r="H1016" s="33" t="s">
        <v>9</v>
      </c>
      <c r="I1016" s="33" t="s">
        <v>9</v>
      </c>
      <c r="J1016" s="33" t="s">
        <v>9</v>
      </c>
      <c r="K1016" s="33" t="s">
        <v>9</v>
      </c>
      <c r="L1016" s="33" t="s">
        <v>9</v>
      </c>
      <c r="M1016" s="33" t="s">
        <v>9</v>
      </c>
      <c r="N1016" s="33" t="s">
        <v>9</v>
      </c>
      <c r="O1016" s="33" t="s">
        <v>9</v>
      </c>
      <c r="P1016" s="33" t="s">
        <v>9</v>
      </c>
      <c r="Q1016" s="197"/>
      <c r="R1016" s="197"/>
      <c r="S1016" s="197"/>
    </row>
    <row r="1017" spans="1:19" ht="18.75">
      <c r="A1017" s="29">
        <v>1</v>
      </c>
      <c r="B1017" s="15" t="str">
        <f>'Candidate List'!B2</f>
        <v>Manveer Singh</v>
      </c>
      <c r="C1017" s="13">
        <v>200</v>
      </c>
      <c r="D1017" s="13">
        <v>46</v>
      </c>
      <c r="E1017" s="13">
        <v>18</v>
      </c>
      <c r="F1017" s="13">
        <v>32</v>
      </c>
      <c r="G1017" s="13">
        <v>5</v>
      </c>
      <c r="H1017" s="13">
        <v>159</v>
      </c>
      <c r="I1017" s="13">
        <v>2</v>
      </c>
      <c r="J1017" s="13">
        <v>2</v>
      </c>
      <c r="K1017" s="13">
        <v>4</v>
      </c>
      <c r="L1017" s="13">
        <v>2</v>
      </c>
      <c r="M1017" s="13">
        <v>52</v>
      </c>
      <c r="N1017" s="13"/>
      <c r="O1017" s="13">
        <v>19</v>
      </c>
      <c r="P1017" s="13">
        <v>51</v>
      </c>
      <c r="Q1017" s="30">
        <f>SUM(C1017:P1017)</f>
        <v>592</v>
      </c>
      <c r="R1017" s="30">
        <f>S984</f>
        <v>36289</v>
      </c>
      <c r="S1017" s="30">
        <f>Q1017+R1017</f>
        <v>36881</v>
      </c>
    </row>
    <row r="1018" spans="1:19" ht="18.75">
      <c r="A1018" s="29">
        <v>2</v>
      </c>
      <c r="B1018" s="15" t="str">
        <f>'Candidate List'!B3</f>
        <v>Rahul Yadav</v>
      </c>
      <c r="C1018" s="13">
        <v>48</v>
      </c>
      <c r="D1018" s="13">
        <v>155</v>
      </c>
      <c r="E1018" s="13">
        <v>114</v>
      </c>
      <c r="F1018" s="13">
        <v>672</v>
      </c>
      <c r="G1018" s="13">
        <v>73</v>
      </c>
      <c r="H1018" s="13">
        <v>137</v>
      </c>
      <c r="I1018" s="13">
        <v>195</v>
      </c>
      <c r="J1018" s="13">
        <v>197</v>
      </c>
      <c r="K1018" s="13">
        <v>132</v>
      </c>
      <c r="L1018" s="13">
        <v>114</v>
      </c>
      <c r="M1018" s="13">
        <v>218</v>
      </c>
      <c r="N1018" s="13"/>
      <c r="O1018" s="13">
        <v>31</v>
      </c>
      <c r="P1018" s="13">
        <v>143</v>
      </c>
      <c r="Q1018" s="30">
        <f t="shared" ref="Q1018:Q1030" si="120">SUM(C1018:P1018)</f>
        <v>2229</v>
      </c>
      <c r="R1018" s="30">
        <f t="shared" ref="R1018:R1030" si="121">S985</f>
        <v>89890</v>
      </c>
      <c r="S1018" s="30">
        <f t="shared" ref="S1018:S1030" si="122">Q1018+R1018</f>
        <v>92119</v>
      </c>
    </row>
    <row r="1019" spans="1:19" ht="18.75">
      <c r="A1019" s="29">
        <v>3</v>
      </c>
      <c r="B1019" s="15" t="str">
        <f>'Candidate List'!B4</f>
        <v>Lakshmi Raj</v>
      </c>
      <c r="C1019" s="13">
        <v>142</v>
      </c>
      <c r="D1019" s="13">
        <v>336</v>
      </c>
      <c r="E1019" s="13">
        <v>341</v>
      </c>
      <c r="F1019" s="13">
        <v>98</v>
      </c>
      <c r="G1019" s="13">
        <v>364</v>
      </c>
      <c r="H1019" s="13">
        <v>207</v>
      </c>
      <c r="I1019" s="13">
        <v>325</v>
      </c>
      <c r="J1019" s="13">
        <v>297</v>
      </c>
      <c r="K1019" s="13">
        <v>409</v>
      </c>
      <c r="L1019" s="13">
        <v>290</v>
      </c>
      <c r="M1019" s="13">
        <v>402</v>
      </c>
      <c r="N1019" s="13"/>
      <c r="O1019" s="13">
        <v>751</v>
      </c>
      <c r="P1019" s="13">
        <v>283</v>
      </c>
      <c r="Q1019" s="30">
        <f t="shared" si="120"/>
        <v>4245</v>
      </c>
      <c r="R1019" s="30">
        <f t="shared" si="121"/>
        <v>105845</v>
      </c>
      <c r="S1019" s="30">
        <f t="shared" si="122"/>
        <v>110090</v>
      </c>
    </row>
    <row r="1020" spans="1:19" ht="18.75">
      <c r="A1020" s="29">
        <v>4</v>
      </c>
      <c r="B1020" s="15" t="str">
        <f>'Candidate List'!B5</f>
        <v>Saleem Akhtar Khan</v>
      </c>
      <c r="C1020" s="13">
        <v>5</v>
      </c>
      <c r="D1020" s="13">
        <v>3</v>
      </c>
      <c r="E1020" s="13">
        <v>2</v>
      </c>
      <c r="F1020" s="13">
        <v>49</v>
      </c>
      <c r="G1020" s="13">
        <v>4</v>
      </c>
      <c r="H1020" s="13">
        <v>0</v>
      </c>
      <c r="I1020" s="13">
        <v>9</v>
      </c>
      <c r="J1020" s="13">
        <v>10</v>
      </c>
      <c r="K1020" s="13">
        <v>6</v>
      </c>
      <c r="L1020" s="13">
        <v>18</v>
      </c>
      <c r="M1020" s="13">
        <v>8</v>
      </c>
      <c r="N1020" s="13"/>
      <c r="O1020" s="13">
        <v>10</v>
      </c>
      <c r="P1020" s="13">
        <v>2</v>
      </c>
      <c r="Q1020" s="30">
        <f t="shared" si="120"/>
        <v>126</v>
      </c>
      <c r="R1020" s="30">
        <f t="shared" si="121"/>
        <v>1996</v>
      </c>
      <c r="S1020" s="30">
        <f t="shared" si="122"/>
        <v>2122</v>
      </c>
    </row>
    <row r="1021" spans="1:19" ht="18.75">
      <c r="A1021" s="29">
        <v>5</v>
      </c>
      <c r="B1021" s="15" t="str">
        <f>'Candidate List'!B6</f>
        <v>Ajay Kumar</v>
      </c>
      <c r="C1021" s="13">
        <v>0</v>
      </c>
      <c r="D1021" s="13">
        <v>0</v>
      </c>
      <c r="E1021" s="13">
        <v>1</v>
      </c>
      <c r="F1021" s="13">
        <v>1</v>
      </c>
      <c r="G1021" s="13">
        <v>0</v>
      </c>
      <c r="H1021" s="13">
        <v>0</v>
      </c>
      <c r="I1021" s="13">
        <v>0</v>
      </c>
      <c r="J1021" s="13">
        <v>0</v>
      </c>
      <c r="K1021" s="13">
        <v>1</v>
      </c>
      <c r="L1021" s="13">
        <v>1</v>
      </c>
      <c r="M1021" s="13">
        <v>0</v>
      </c>
      <c r="N1021" s="13"/>
      <c r="O1021" s="13">
        <v>1</v>
      </c>
      <c r="P1021" s="13">
        <v>0</v>
      </c>
      <c r="Q1021" s="30">
        <f t="shared" si="120"/>
        <v>5</v>
      </c>
      <c r="R1021" s="30">
        <f t="shared" si="121"/>
        <v>651</v>
      </c>
      <c r="S1021" s="30">
        <f t="shared" si="122"/>
        <v>656</v>
      </c>
    </row>
    <row r="1022" spans="1:19" ht="18.75">
      <c r="A1022" s="29">
        <v>6</v>
      </c>
      <c r="B1022" s="15" t="str">
        <f>'Candidate List'!B7</f>
        <v>Ajay Kumar Sharma</v>
      </c>
      <c r="C1022" s="13">
        <v>0</v>
      </c>
      <c r="D1022" s="13">
        <v>0</v>
      </c>
      <c r="E1022" s="13">
        <v>1</v>
      </c>
      <c r="F1022" s="13">
        <v>4</v>
      </c>
      <c r="G1022" s="13">
        <v>0</v>
      </c>
      <c r="H1022" s="13">
        <v>0</v>
      </c>
      <c r="I1022" s="13">
        <v>1</v>
      </c>
      <c r="J1022" s="13">
        <v>0</v>
      </c>
      <c r="K1022" s="13">
        <v>0</v>
      </c>
      <c r="L1022" s="13">
        <v>0</v>
      </c>
      <c r="M1022" s="13">
        <v>0</v>
      </c>
      <c r="N1022" s="13"/>
      <c r="O1022" s="13">
        <v>0</v>
      </c>
      <c r="P1022" s="13">
        <v>0</v>
      </c>
      <c r="Q1022" s="30">
        <f t="shared" si="120"/>
        <v>6</v>
      </c>
      <c r="R1022" s="30">
        <f t="shared" si="121"/>
        <v>103</v>
      </c>
      <c r="S1022" s="30">
        <f t="shared" si="122"/>
        <v>109</v>
      </c>
    </row>
    <row r="1023" spans="1:19" ht="18.75">
      <c r="A1023" s="29">
        <v>7</v>
      </c>
      <c r="B1023" s="15" t="str">
        <f>'Candidate List'!B8</f>
        <v>Amit Singh Tomar</v>
      </c>
      <c r="C1023" s="13">
        <v>0</v>
      </c>
      <c r="D1023" s="13">
        <v>0</v>
      </c>
      <c r="E1023" s="13">
        <v>0</v>
      </c>
      <c r="F1023" s="13">
        <v>1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2</v>
      </c>
      <c r="M1023" s="13">
        <v>0</v>
      </c>
      <c r="N1023" s="13"/>
      <c r="O1023" s="13">
        <v>0</v>
      </c>
      <c r="P1023" s="13">
        <v>0</v>
      </c>
      <c r="Q1023" s="30">
        <f t="shared" si="120"/>
        <v>3</v>
      </c>
      <c r="R1023" s="30">
        <f t="shared" si="121"/>
        <v>170</v>
      </c>
      <c r="S1023" s="30">
        <f t="shared" si="122"/>
        <v>173</v>
      </c>
    </row>
    <row r="1024" spans="1:19" ht="18.75">
      <c r="A1024" s="29">
        <v>8</v>
      </c>
      <c r="B1024" s="15" t="str">
        <f>'Candidate List'!B9</f>
        <v>Darshan Sharma</v>
      </c>
      <c r="C1024" s="13">
        <v>1</v>
      </c>
      <c r="D1024" s="13">
        <v>0</v>
      </c>
      <c r="E1024" s="13">
        <v>0</v>
      </c>
      <c r="F1024" s="13">
        <v>0</v>
      </c>
      <c r="G1024" s="13">
        <v>1</v>
      </c>
      <c r="H1024" s="13">
        <v>1</v>
      </c>
      <c r="I1024" s="13">
        <v>1</v>
      </c>
      <c r="J1024" s="13">
        <v>0</v>
      </c>
      <c r="K1024" s="13">
        <v>0</v>
      </c>
      <c r="L1024" s="13">
        <v>0</v>
      </c>
      <c r="M1024" s="13">
        <v>3</v>
      </c>
      <c r="N1024" s="13"/>
      <c r="O1024" s="13">
        <v>0</v>
      </c>
      <c r="P1024" s="13">
        <v>0</v>
      </c>
      <c r="Q1024" s="30">
        <f t="shared" si="120"/>
        <v>7</v>
      </c>
      <c r="R1024" s="30">
        <f t="shared" si="121"/>
        <v>336</v>
      </c>
      <c r="S1024" s="30">
        <f t="shared" si="122"/>
        <v>343</v>
      </c>
    </row>
    <row r="1025" spans="1:19" ht="18.75">
      <c r="A1025" s="29">
        <v>9</v>
      </c>
      <c r="B1025" s="15" t="str">
        <f>'Candidate List'!B10</f>
        <v>Dilshad Ahmad</v>
      </c>
      <c r="C1025" s="13">
        <v>1</v>
      </c>
      <c r="D1025" s="13">
        <v>0</v>
      </c>
      <c r="E1025" s="13">
        <v>0</v>
      </c>
      <c r="F1025" s="13">
        <v>55</v>
      </c>
      <c r="G1025" s="13">
        <v>0</v>
      </c>
      <c r="H1025" s="13">
        <v>0</v>
      </c>
      <c r="I1025" s="13">
        <v>0</v>
      </c>
      <c r="J1025" s="13">
        <v>1</v>
      </c>
      <c r="K1025" s="13">
        <v>0</v>
      </c>
      <c r="L1025" s="13">
        <v>0</v>
      </c>
      <c r="M1025" s="13">
        <v>3</v>
      </c>
      <c r="N1025" s="13"/>
      <c r="O1025" s="13">
        <v>0</v>
      </c>
      <c r="P1025" s="13">
        <v>0</v>
      </c>
      <c r="Q1025" s="30">
        <f t="shared" si="120"/>
        <v>60</v>
      </c>
      <c r="R1025" s="30">
        <f t="shared" si="121"/>
        <v>1644</v>
      </c>
      <c r="S1025" s="30">
        <f t="shared" si="122"/>
        <v>1704</v>
      </c>
    </row>
    <row r="1026" spans="1:19" ht="18.75">
      <c r="A1026" s="29">
        <v>10</v>
      </c>
      <c r="B1026" s="15" t="str">
        <f>'Candidate List'!B11</f>
        <v>Raju Thakur</v>
      </c>
      <c r="C1026" s="13">
        <v>4</v>
      </c>
      <c r="D1026" s="13">
        <v>4</v>
      </c>
      <c r="E1026" s="13">
        <v>2</v>
      </c>
      <c r="F1026" s="13">
        <v>5</v>
      </c>
      <c r="G1026" s="13">
        <v>4</v>
      </c>
      <c r="H1026" s="13">
        <v>1</v>
      </c>
      <c r="I1026" s="13">
        <v>2</v>
      </c>
      <c r="J1026" s="13">
        <v>1</v>
      </c>
      <c r="K1026" s="13">
        <v>0</v>
      </c>
      <c r="L1026" s="13">
        <v>1</v>
      </c>
      <c r="M1026" s="13">
        <v>9</v>
      </c>
      <c r="N1026" s="13"/>
      <c r="O1026" s="13">
        <v>8</v>
      </c>
      <c r="P1026" s="13">
        <v>2</v>
      </c>
      <c r="Q1026" s="30">
        <f t="shared" si="120"/>
        <v>43</v>
      </c>
      <c r="R1026" s="30">
        <f t="shared" si="121"/>
        <v>1130</v>
      </c>
      <c r="S1026" s="30">
        <f t="shared" si="122"/>
        <v>1173</v>
      </c>
    </row>
    <row r="1027" spans="1:19" ht="18.75">
      <c r="A1027" s="29">
        <v>11</v>
      </c>
      <c r="B1027" s="15" t="str">
        <f>'Candidate List'!B12</f>
        <v>Bablu</v>
      </c>
      <c r="C1027" s="13">
        <v>0</v>
      </c>
      <c r="D1027" s="13">
        <v>1</v>
      </c>
      <c r="E1027" s="13">
        <v>1</v>
      </c>
      <c r="F1027" s="13">
        <v>7</v>
      </c>
      <c r="G1027" s="13">
        <v>0</v>
      </c>
      <c r="H1027" s="13">
        <v>0</v>
      </c>
      <c r="I1027" s="13">
        <v>1</v>
      </c>
      <c r="J1027" s="13">
        <v>2</v>
      </c>
      <c r="K1027" s="13">
        <v>2</v>
      </c>
      <c r="L1027" s="13">
        <v>0</v>
      </c>
      <c r="M1027" s="13">
        <v>1</v>
      </c>
      <c r="N1027" s="13"/>
      <c r="O1027" s="13">
        <v>0</v>
      </c>
      <c r="P1027" s="13">
        <v>0</v>
      </c>
      <c r="Q1027" s="30">
        <f t="shared" si="120"/>
        <v>15</v>
      </c>
      <c r="R1027" s="30">
        <f t="shared" si="121"/>
        <v>464</v>
      </c>
      <c r="S1027" s="30">
        <f t="shared" si="122"/>
        <v>479</v>
      </c>
    </row>
    <row r="1028" spans="1:19" ht="18.75">
      <c r="A1028" s="29">
        <v>12</v>
      </c>
      <c r="B1028" s="15" t="str">
        <f>'Candidate List'!B13</f>
        <v>NOTA</v>
      </c>
      <c r="C1028" s="13">
        <v>3</v>
      </c>
      <c r="D1028" s="13">
        <v>2</v>
      </c>
      <c r="E1028" s="13">
        <v>3</v>
      </c>
      <c r="F1028" s="13">
        <v>5</v>
      </c>
      <c r="G1028" s="13">
        <v>0</v>
      </c>
      <c r="H1028" s="13">
        <v>3</v>
      </c>
      <c r="I1028" s="13">
        <v>2</v>
      </c>
      <c r="J1028" s="13">
        <v>0</v>
      </c>
      <c r="K1028" s="13">
        <v>3</v>
      </c>
      <c r="L1028" s="13">
        <v>1</v>
      </c>
      <c r="M1028" s="13">
        <v>1</v>
      </c>
      <c r="N1028" s="13"/>
      <c r="O1028" s="13">
        <v>0</v>
      </c>
      <c r="P1028" s="13">
        <v>0</v>
      </c>
      <c r="Q1028" s="30">
        <f t="shared" si="120"/>
        <v>23</v>
      </c>
      <c r="R1028" s="30">
        <f t="shared" si="121"/>
        <v>1053</v>
      </c>
      <c r="S1028" s="30">
        <f t="shared" si="122"/>
        <v>1076</v>
      </c>
    </row>
    <row r="1029" spans="1:19">
      <c r="A1029" s="187" t="s">
        <v>11</v>
      </c>
      <c r="B1029" s="187"/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30">
        <f t="shared" si="120"/>
        <v>0</v>
      </c>
      <c r="R1029" s="30">
        <f t="shared" si="121"/>
        <v>0</v>
      </c>
      <c r="S1029" s="30">
        <f t="shared" si="122"/>
        <v>0</v>
      </c>
    </row>
    <row r="1030" spans="1:19">
      <c r="A1030" s="188" t="s">
        <v>12</v>
      </c>
      <c r="B1030" s="188"/>
      <c r="C1030" s="30">
        <f t="shared" ref="C1030:P1030" si="123">SUM(C1017:C1029)</f>
        <v>404</v>
      </c>
      <c r="D1030" s="30">
        <f t="shared" si="123"/>
        <v>547</v>
      </c>
      <c r="E1030" s="30">
        <f t="shared" si="123"/>
        <v>483</v>
      </c>
      <c r="F1030" s="30">
        <f t="shared" si="123"/>
        <v>929</v>
      </c>
      <c r="G1030" s="30">
        <f t="shared" si="123"/>
        <v>451</v>
      </c>
      <c r="H1030" s="30">
        <f t="shared" si="123"/>
        <v>508</v>
      </c>
      <c r="I1030" s="30">
        <f t="shared" si="123"/>
        <v>538</v>
      </c>
      <c r="J1030" s="30">
        <f t="shared" si="123"/>
        <v>510</v>
      </c>
      <c r="K1030" s="30">
        <f t="shared" si="123"/>
        <v>557</v>
      </c>
      <c r="L1030" s="30">
        <f t="shared" si="123"/>
        <v>429</v>
      </c>
      <c r="M1030" s="30">
        <f t="shared" si="123"/>
        <v>697</v>
      </c>
      <c r="N1030" s="30">
        <f t="shared" si="123"/>
        <v>0</v>
      </c>
      <c r="O1030" s="30">
        <f t="shared" si="123"/>
        <v>820</v>
      </c>
      <c r="P1030" s="30">
        <f t="shared" si="123"/>
        <v>481</v>
      </c>
      <c r="Q1030" s="30">
        <f t="shared" si="120"/>
        <v>7354</v>
      </c>
      <c r="R1030" s="30">
        <f t="shared" si="121"/>
        <v>239571</v>
      </c>
      <c r="S1030" s="30">
        <f t="shared" si="122"/>
        <v>246925</v>
      </c>
    </row>
    <row r="1031" spans="1:19" ht="38.25" customHeight="1">
      <c r="A1031" s="5"/>
      <c r="B1031" s="5"/>
      <c r="C1031" s="6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8"/>
      <c r="R1031" s="7"/>
      <c r="S1031" s="7"/>
    </row>
    <row r="1032" spans="1:19" ht="22.5">
      <c r="A1032" s="31"/>
      <c r="B1032" s="31"/>
      <c r="C1032" s="10" t="s">
        <v>13</v>
      </c>
      <c r="D1032" s="10" t="s">
        <v>13</v>
      </c>
      <c r="E1032" s="10" t="s">
        <v>13</v>
      </c>
      <c r="F1032" s="10" t="s">
        <v>13</v>
      </c>
      <c r="G1032" s="10" t="s">
        <v>13</v>
      </c>
      <c r="H1032" s="10" t="s">
        <v>13</v>
      </c>
      <c r="I1032" s="10" t="s">
        <v>13</v>
      </c>
      <c r="J1032" s="10" t="s">
        <v>13</v>
      </c>
      <c r="K1032" s="10" t="s">
        <v>13</v>
      </c>
      <c r="L1032" s="10" t="s">
        <v>13</v>
      </c>
      <c r="M1032" s="10" t="s">
        <v>13</v>
      </c>
      <c r="N1032" s="10" t="s">
        <v>13</v>
      </c>
      <c r="O1032" s="10" t="s">
        <v>13</v>
      </c>
      <c r="P1032" s="10" t="s">
        <v>13</v>
      </c>
      <c r="Q1032" s="10" t="s">
        <v>13</v>
      </c>
      <c r="R1032" s="10" t="s">
        <v>13</v>
      </c>
      <c r="S1032" s="10" t="s">
        <v>13</v>
      </c>
    </row>
    <row r="1033" spans="1:19" ht="36.75" customHeight="1">
      <c r="A1033" s="31"/>
      <c r="B1033" s="31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 ht="22.5">
      <c r="A1034" s="31"/>
      <c r="B1034" s="31"/>
      <c r="C1034" s="10" t="s">
        <v>14</v>
      </c>
      <c r="D1034" s="10" t="s">
        <v>14</v>
      </c>
      <c r="E1034" s="10" t="s">
        <v>14</v>
      </c>
      <c r="F1034" s="10" t="s">
        <v>14</v>
      </c>
      <c r="G1034" s="10" t="s">
        <v>14</v>
      </c>
      <c r="H1034" s="10" t="s">
        <v>14</v>
      </c>
      <c r="I1034" s="10" t="s">
        <v>14</v>
      </c>
      <c r="J1034" s="10" t="s">
        <v>14</v>
      </c>
      <c r="K1034" s="10" t="s">
        <v>14</v>
      </c>
      <c r="L1034" s="10" t="s">
        <v>14</v>
      </c>
      <c r="M1034" s="10" t="s">
        <v>14</v>
      </c>
      <c r="N1034" s="10" t="s">
        <v>14</v>
      </c>
      <c r="O1034" s="10" t="s">
        <v>14</v>
      </c>
      <c r="P1034" s="10" t="s">
        <v>14</v>
      </c>
      <c r="Q1034" s="10" t="s">
        <v>14</v>
      </c>
      <c r="R1034" s="10" t="s">
        <v>14</v>
      </c>
      <c r="S1034" s="10" t="s">
        <v>14</v>
      </c>
    </row>
    <row r="1035" spans="1:19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</row>
    <row r="1036" spans="1:19">
      <c r="A1036" s="189" t="s">
        <v>15</v>
      </c>
      <c r="B1036" s="189"/>
      <c r="C1036" s="164" t="s">
        <v>16</v>
      </c>
      <c r="D1036" s="164"/>
      <c r="E1036" s="164"/>
      <c r="F1036" s="164"/>
      <c r="G1036" s="164"/>
      <c r="H1036" s="164"/>
      <c r="I1036" s="164"/>
      <c r="J1036" s="164"/>
      <c r="K1036" s="164"/>
      <c r="L1036" s="164"/>
      <c r="M1036" s="164"/>
      <c r="N1036" s="164"/>
      <c r="O1036" s="164"/>
      <c r="P1036" s="164"/>
      <c r="Q1036" s="164"/>
      <c r="R1036" s="31"/>
      <c r="S1036" s="31"/>
    </row>
    <row r="1037" spans="1:19">
      <c r="A1037" s="31"/>
      <c r="B1037" s="31"/>
      <c r="C1037" s="164" t="s">
        <v>17</v>
      </c>
      <c r="D1037" s="164"/>
      <c r="E1037" s="164"/>
      <c r="F1037" s="164"/>
      <c r="G1037" s="164"/>
      <c r="H1037" s="164"/>
      <c r="I1037" s="164"/>
      <c r="J1037" s="164"/>
      <c r="K1037" s="164"/>
      <c r="L1037" s="164"/>
      <c r="M1037" s="164"/>
      <c r="N1037" s="164"/>
      <c r="O1037" s="164"/>
      <c r="P1037" s="164"/>
      <c r="Q1037" s="164"/>
      <c r="R1037" s="31"/>
      <c r="S1037" s="31"/>
    </row>
    <row r="1038" spans="1:19">
      <c r="A1038" s="31"/>
      <c r="B1038" s="31"/>
      <c r="C1038" s="164" t="s">
        <v>44</v>
      </c>
      <c r="D1038" s="164"/>
      <c r="E1038" s="164"/>
      <c r="F1038" s="164"/>
      <c r="G1038" s="164"/>
      <c r="H1038" s="164"/>
      <c r="I1038" s="164"/>
      <c r="J1038" s="164"/>
      <c r="K1038" s="164"/>
      <c r="L1038" s="164"/>
      <c r="M1038" s="164"/>
      <c r="N1038" s="164"/>
      <c r="O1038" s="164"/>
      <c r="P1038" s="164"/>
      <c r="Q1038" s="164"/>
      <c r="R1038" s="31"/>
      <c r="S1038" s="31"/>
    </row>
    <row r="1039" spans="1:19">
      <c r="A1039" s="31"/>
      <c r="B1039" s="31"/>
      <c r="C1039" s="164" t="s">
        <v>45</v>
      </c>
      <c r="D1039" s="164"/>
      <c r="E1039" s="164"/>
      <c r="F1039" s="164"/>
      <c r="G1039" s="164"/>
      <c r="H1039" s="164"/>
      <c r="I1039" s="164"/>
      <c r="J1039" s="164"/>
      <c r="K1039" s="164"/>
      <c r="L1039" s="164"/>
      <c r="M1039" s="164"/>
      <c r="N1039" s="164"/>
      <c r="O1039" s="164"/>
      <c r="P1039" s="164"/>
      <c r="Q1039" s="164"/>
      <c r="R1039" s="31"/>
      <c r="S1039" s="31"/>
    </row>
    <row r="1043" spans="1:19" ht="26.25">
      <c r="A1043" s="190" t="s">
        <v>0</v>
      </c>
      <c r="B1043" s="190"/>
      <c r="C1043" s="190"/>
      <c r="D1043" s="190"/>
      <c r="E1043" s="190"/>
      <c r="F1043" s="190"/>
      <c r="G1043" s="190"/>
      <c r="H1043" s="190"/>
      <c r="I1043" s="190"/>
      <c r="J1043" s="190"/>
      <c r="K1043" s="190"/>
      <c r="L1043" s="190"/>
      <c r="M1043" s="190"/>
      <c r="N1043" s="190"/>
      <c r="O1043" s="190"/>
      <c r="P1043" s="190"/>
      <c r="Q1043" s="190"/>
      <c r="R1043" s="190"/>
      <c r="S1043" s="190"/>
    </row>
    <row r="1044" spans="1:19" ht="19.5">
      <c r="A1044" s="191" t="s">
        <v>1225</v>
      </c>
      <c r="B1044" s="191"/>
      <c r="C1044" s="191"/>
      <c r="D1044" s="191"/>
      <c r="E1044" s="191"/>
      <c r="F1044" s="191"/>
      <c r="G1044" s="191"/>
      <c r="H1044" s="191"/>
      <c r="I1044" s="1"/>
      <c r="J1044" s="1"/>
      <c r="K1044" s="192" t="s">
        <v>1067</v>
      </c>
      <c r="L1044" s="192"/>
      <c r="M1044" s="192"/>
      <c r="N1044" s="192"/>
      <c r="O1044" s="1"/>
      <c r="P1044" s="193" t="s">
        <v>1</v>
      </c>
      <c r="Q1044" s="193"/>
      <c r="R1044" s="194">
        <v>44630</v>
      </c>
      <c r="S1044" s="194"/>
    </row>
    <row r="1045" spans="1:19">
      <c r="A1045" s="188" t="s">
        <v>2</v>
      </c>
      <c r="B1045" s="188"/>
      <c r="C1045" s="30">
        <v>1</v>
      </c>
      <c r="D1045" s="30">
        <v>2</v>
      </c>
      <c r="E1045" s="30">
        <v>3</v>
      </c>
      <c r="F1045" s="30">
        <v>4</v>
      </c>
      <c r="G1045" s="30">
        <v>5</v>
      </c>
      <c r="H1045" s="30">
        <v>6</v>
      </c>
      <c r="I1045" s="30">
        <v>7</v>
      </c>
      <c r="J1045" s="30">
        <v>8</v>
      </c>
      <c r="K1045" s="30">
        <v>9</v>
      </c>
      <c r="L1045" s="30">
        <v>10</v>
      </c>
      <c r="M1045" s="30">
        <v>11</v>
      </c>
      <c r="N1045" s="30">
        <v>12</v>
      </c>
      <c r="O1045" s="30">
        <v>13</v>
      </c>
      <c r="P1045" s="30">
        <v>14</v>
      </c>
      <c r="Q1045" s="195" t="s">
        <v>3</v>
      </c>
      <c r="R1045" s="195" t="s">
        <v>4</v>
      </c>
      <c r="S1045" s="195" t="s">
        <v>5</v>
      </c>
    </row>
    <row r="1046" spans="1:19">
      <c r="A1046" s="165" t="s">
        <v>6</v>
      </c>
      <c r="B1046" s="167"/>
      <c r="C1046" s="40">
        <f>'Booth detail'!PT1</f>
        <v>435</v>
      </c>
      <c r="D1046" s="40">
        <f>'Booth detail'!PU1</f>
        <v>436</v>
      </c>
      <c r="E1046" s="40">
        <f>'Booth detail'!PV1</f>
        <v>437</v>
      </c>
      <c r="F1046" s="40">
        <f>'Booth detail'!PW1</f>
        <v>438</v>
      </c>
      <c r="G1046" s="40">
        <f>'Booth detail'!PX1</f>
        <v>439</v>
      </c>
      <c r="H1046" s="40">
        <f>'Booth detail'!PY1</f>
        <v>440</v>
      </c>
      <c r="I1046" s="40">
        <f>'Booth detail'!PZ1</f>
        <v>441</v>
      </c>
      <c r="J1046" s="40">
        <f>'Booth detail'!QA1</f>
        <v>442</v>
      </c>
      <c r="K1046" s="40">
        <f>'Booth detail'!QB1</f>
        <v>443</v>
      </c>
      <c r="L1046" s="40">
        <f>'Booth detail'!QC1</f>
        <v>444</v>
      </c>
      <c r="M1046" s="40">
        <f>'Booth detail'!QD1</f>
        <v>445</v>
      </c>
      <c r="N1046" s="40">
        <f>'Booth detail'!QE1</f>
        <v>446</v>
      </c>
      <c r="O1046" s="40">
        <f>'Booth detail'!QF1</f>
        <v>447</v>
      </c>
      <c r="P1046" s="40">
        <f>'Booth detail'!QG1</f>
        <v>448</v>
      </c>
      <c r="Q1046" s="196"/>
      <c r="R1046" s="196"/>
      <c r="S1046" s="196"/>
    </row>
    <row r="1047" spans="1:19" ht="25.5">
      <c r="A1047" s="165" t="s">
        <v>18</v>
      </c>
      <c r="B1047" s="167"/>
      <c r="C1047" s="44" t="str">
        <f>'Booth detail'!PT2</f>
        <v>ECUEC55092</v>
      </c>
      <c r="D1047" s="44" t="str">
        <f>'Booth detail'!PU2</f>
        <v>ECUEC67615</v>
      </c>
      <c r="E1047" s="44" t="str">
        <f>'Booth detail'!PV2</f>
        <v>ECUEC60321</v>
      </c>
      <c r="F1047" s="44" t="str">
        <f>'Booth detail'!PW2</f>
        <v>ECUEC51926</v>
      </c>
      <c r="G1047" s="44" t="str">
        <f>'Booth detail'!PX2</f>
        <v>ECUEC60411</v>
      </c>
      <c r="H1047" s="44" t="str">
        <f>'Booth detail'!PY2</f>
        <v>ECUED29348</v>
      </c>
      <c r="I1047" s="44" t="str">
        <f>'Booth detail'!PZ2</f>
        <v>ECUEC51109</v>
      </c>
      <c r="J1047" s="44" t="str">
        <f>'Booth detail'!QA2</f>
        <v>ECUEC51218</v>
      </c>
      <c r="K1047" s="44" t="str">
        <f>'Booth detail'!QB2</f>
        <v>ECUEC64764</v>
      </c>
      <c r="L1047" s="44" t="str">
        <f>'Booth detail'!QC2</f>
        <v>ECUEC47826</v>
      </c>
      <c r="M1047" s="44" t="str">
        <f>'Booth detail'!QD2</f>
        <v>ECUEC60232</v>
      </c>
      <c r="N1047" s="44" t="str">
        <f>'Booth detail'!QE2</f>
        <v>ECUEC64363</v>
      </c>
      <c r="O1047" s="44" t="str">
        <f>'Booth detail'!QF2</f>
        <v>ECUEC60434</v>
      </c>
      <c r="P1047" s="44" t="str">
        <f>'Booth detail'!QG2</f>
        <v>ECUED21381</v>
      </c>
      <c r="Q1047" s="196"/>
      <c r="R1047" s="196"/>
      <c r="S1047" s="196"/>
    </row>
    <row r="1048" spans="1:19" ht="45.75" customHeight="1">
      <c r="A1048" s="198" t="s">
        <v>20</v>
      </c>
      <c r="B1048" s="199"/>
      <c r="C1048" s="55" t="str">
        <f>'Booth detail'!PT3</f>
        <v>-</v>
      </c>
      <c r="D1048" s="55" t="str">
        <f>'Booth detail'!PU3</f>
        <v>-</v>
      </c>
      <c r="E1048" s="55" t="str">
        <f>'Booth detail'!PV3</f>
        <v>-</v>
      </c>
      <c r="F1048" s="55" t="str">
        <f>'Booth detail'!PW3</f>
        <v>-</v>
      </c>
      <c r="G1048" s="55" t="str">
        <f>'Booth detail'!PX3</f>
        <v>-</v>
      </c>
      <c r="H1048" s="55" t="str">
        <f>'Booth detail'!PY3</f>
        <v>-</v>
      </c>
      <c r="I1048" s="55" t="str">
        <f>'Booth detail'!PZ3</f>
        <v>-</v>
      </c>
      <c r="J1048" s="55" t="str">
        <f>'Booth detail'!QA3</f>
        <v>-</v>
      </c>
      <c r="K1048" s="55" t="str">
        <f>'Booth detail'!QB3</f>
        <v>-</v>
      </c>
      <c r="L1048" s="55" t="str">
        <f>'Booth detail'!QC3</f>
        <v>-</v>
      </c>
      <c r="M1048" s="55" t="str">
        <f>'Booth detail'!QD3</f>
        <v>-</v>
      </c>
      <c r="N1048" s="55" t="str">
        <f>'Booth detail'!QE3</f>
        <v>-</v>
      </c>
      <c r="O1048" s="55" t="str">
        <f>'Booth detail'!QF3</f>
        <v>-</v>
      </c>
      <c r="P1048" s="55" t="str">
        <f>'Booth detail'!QG3</f>
        <v>-</v>
      </c>
      <c r="Q1048" s="196"/>
      <c r="R1048" s="196"/>
      <c r="S1048" s="196"/>
    </row>
    <row r="1049" spans="1:19">
      <c r="A1049" s="14" t="s">
        <v>7</v>
      </c>
      <c r="B1049" s="32" t="s">
        <v>8</v>
      </c>
      <c r="C1049" s="33" t="s">
        <v>9</v>
      </c>
      <c r="D1049" s="33" t="s">
        <v>9</v>
      </c>
      <c r="E1049" s="33" t="s">
        <v>9</v>
      </c>
      <c r="F1049" s="33" t="s">
        <v>9</v>
      </c>
      <c r="G1049" s="33" t="s">
        <v>9</v>
      </c>
      <c r="H1049" s="33" t="s">
        <v>9</v>
      </c>
      <c r="I1049" s="33" t="s">
        <v>9</v>
      </c>
      <c r="J1049" s="33" t="s">
        <v>9</v>
      </c>
      <c r="K1049" s="33" t="s">
        <v>9</v>
      </c>
      <c r="L1049" s="33" t="s">
        <v>9</v>
      </c>
      <c r="M1049" s="33" t="s">
        <v>9</v>
      </c>
      <c r="N1049" s="33" t="s">
        <v>9</v>
      </c>
      <c r="O1049" s="33" t="s">
        <v>9</v>
      </c>
      <c r="P1049" s="33" t="s">
        <v>9</v>
      </c>
      <c r="Q1049" s="197"/>
      <c r="R1049" s="197"/>
      <c r="S1049" s="197"/>
    </row>
    <row r="1050" spans="1:19" ht="18.75">
      <c r="A1050" s="29">
        <v>1</v>
      </c>
      <c r="B1050" s="15" t="str">
        <f>'Candidate List'!B2</f>
        <v>Manveer Singh</v>
      </c>
      <c r="C1050" s="13">
        <v>96</v>
      </c>
      <c r="D1050" s="13">
        <v>526</v>
      </c>
      <c r="E1050" s="13">
        <v>229</v>
      </c>
      <c r="F1050" s="13">
        <v>26</v>
      </c>
      <c r="G1050" s="13">
        <v>327</v>
      </c>
      <c r="H1050" s="13">
        <v>78</v>
      </c>
      <c r="I1050" s="13">
        <v>62</v>
      </c>
      <c r="J1050" s="13">
        <v>102</v>
      </c>
      <c r="K1050" s="13">
        <v>7</v>
      </c>
      <c r="L1050" s="13">
        <v>285</v>
      </c>
      <c r="M1050" s="13">
        <v>180</v>
      </c>
      <c r="N1050" s="13">
        <v>69</v>
      </c>
      <c r="O1050" s="13">
        <v>284</v>
      </c>
      <c r="P1050" s="13">
        <v>217</v>
      </c>
      <c r="Q1050" s="30">
        <f>SUM(C1050:P1050)</f>
        <v>2488</v>
      </c>
      <c r="R1050" s="30">
        <f>S1017</f>
        <v>36881</v>
      </c>
      <c r="S1050" s="30">
        <f>Q1050+R1050</f>
        <v>39369</v>
      </c>
    </row>
    <row r="1051" spans="1:19" ht="18.75">
      <c r="A1051" s="29">
        <v>2</v>
      </c>
      <c r="B1051" s="15" t="str">
        <f>'Candidate List'!B3</f>
        <v>Rahul Yadav</v>
      </c>
      <c r="C1051" s="13">
        <v>217</v>
      </c>
      <c r="D1051" s="13">
        <v>100</v>
      </c>
      <c r="E1051" s="13">
        <v>97</v>
      </c>
      <c r="F1051" s="13">
        <v>70</v>
      </c>
      <c r="G1051" s="13">
        <v>55</v>
      </c>
      <c r="H1051" s="13">
        <v>72</v>
      </c>
      <c r="I1051" s="13">
        <v>115</v>
      </c>
      <c r="J1051" s="13">
        <v>545</v>
      </c>
      <c r="K1051" s="13">
        <v>404</v>
      </c>
      <c r="L1051" s="13">
        <v>89</v>
      </c>
      <c r="M1051" s="13">
        <v>38</v>
      </c>
      <c r="N1051" s="13">
        <v>140</v>
      </c>
      <c r="O1051" s="13">
        <v>49</v>
      </c>
      <c r="P1051" s="13">
        <v>13</v>
      </c>
      <c r="Q1051" s="30">
        <f t="shared" ref="Q1051:Q1063" si="124">SUM(C1051:P1051)</f>
        <v>2004</v>
      </c>
      <c r="R1051" s="30">
        <f t="shared" ref="R1051:R1063" si="125">S1018</f>
        <v>92119</v>
      </c>
      <c r="S1051" s="30">
        <f t="shared" ref="S1051:S1063" si="126">Q1051+R1051</f>
        <v>94123</v>
      </c>
    </row>
    <row r="1052" spans="1:19" ht="18.75">
      <c r="A1052" s="29">
        <v>3</v>
      </c>
      <c r="B1052" s="15" t="str">
        <f>'Candidate List'!B4</f>
        <v>Lakshmi Raj</v>
      </c>
      <c r="C1052" s="13">
        <v>180</v>
      </c>
      <c r="D1052" s="13">
        <v>271</v>
      </c>
      <c r="E1052" s="13">
        <v>217</v>
      </c>
      <c r="F1052" s="13">
        <v>394</v>
      </c>
      <c r="G1052" s="13">
        <v>220</v>
      </c>
      <c r="H1052" s="13">
        <v>447</v>
      </c>
      <c r="I1052" s="13">
        <v>401</v>
      </c>
      <c r="J1052" s="13">
        <v>126</v>
      </c>
      <c r="K1052" s="13">
        <v>310</v>
      </c>
      <c r="L1052" s="13">
        <v>398</v>
      </c>
      <c r="M1052" s="13">
        <v>432</v>
      </c>
      <c r="N1052" s="13">
        <v>470</v>
      </c>
      <c r="O1052" s="13">
        <v>435</v>
      </c>
      <c r="P1052" s="13">
        <v>330</v>
      </c>
      <c r="Q1052" s="30">
        <f t="shared" si="124"/>
        <v>4631</v>
      </c>
      <c r="R1052" s="30">
        <f t="shared" si="125"/>
        <v>110090</v>
      </c>
      <c r="S1052" s="30">
        <f t="shared" si="126"/>
        <v>114721</v>
      </c>
    </row>
    <row r="1053" spans="1:19" ht="18.75">
      <c r="A1053" s="29">
        <v>4</v>
      </c>
      <c r="B1053" s="15" t="str">
        <f>'Candidate List'!B5</f>
        <v>Saleem Akhtar Khan</v>
      </c>
      <c r="C1053" s="13">
        <v>1</v>
      </c>
      <c r="D1053" s="13">
        <v>9</v>
      </c>
      <c r="E1053" s="13">
        <v>5</v>
      </c>
      <c r="F1053" s="13">
        <v>1</v>
      </c>
      <c r="G1053" s="13">
        <v>0</v>
      </c>
      <c r="H1053" s="13">
        <v>4</v>
      </c>
      <c r="I1053" s="13">
        <v>1</v>
      </c>
      <c r="J1053" s="13">
        <v>4</v>
      </c>
      <c r="K1053" s="13">
        <v>3</v>
      </c>
      <c r="L1053" s="13">
        <v>6</v>
      </c>
      <c r="M1053" s="13">
        <v>1</v>
      </c>
      <c r="N1053" s="13">
        <v>2</v>
      </c>
      <c r="O1053" s="13">
        <v>4</v>
      </c>
      <c r="P1053" s="13">
        <v>2</v>
      </c>
      <c r="Q1053" s="30">
        <f t="shared" si="124"/>
        <v>43</v>
      </c>
      <c r="R1053" s="30">
        <f t="shared" si="125"/>
        <v>2122</v>
      </c>
      <c r="S1053" s="30">
        <f t="shared" si="126"/>
        <v>2165</v>
      </c>
    </row>
    <row r="1054" spans="1:19" ht="18.75">
      <c r="A1054" s="29">
        <v>5</v>
      </c>
      <c r="B1054" s="15" t="str">
        <f>'Candidate List'!B6</f>
        <v>Ajay Kumar</v>
      </c>
      <c r="C1054" s="13">
        <v>1</v>
      </c>
      <c r="D1054" s="13">
        <v>2</v>
      </c>
      <c r="E1054" s="13">
        <v>1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1</v>
      </c>
      <c r="M1054" s="13">
        <v>0</v>
      </c>
      <c r="N1054" s="13">
        <v>1</v>
      </c>
      <c r="O1054" s="13">
        <v>1</v>
      </c>
      <c r="P1054" s="13">
        <v>0</v>
      </c>
      <c r="Q1054" s="30">
        <f t="shared" si="124"/>
        <v>7</v>
      </c>
      <c r="R1054" s="30">
        <f t="shared" si="125"/>
        <v>656</v>
      </c>
      <c r="S1054" s="30">
        <f t="shared" si="126"/>
        <v>663</v>
      </c>
    </row>
    <row r="1055" spans="1:19" ht="18.75">
      <c r="A1055" s="29">
        <v>6</v>
      </c>
      <c r="B1055" s="15" t="str">
        <f>'Candidate List'!B7</f>
        <v>Ajay Kumar Sharma</v>
      </c>
      <c r="C1055" s="13">
        <v>0</v>
      </c>
      <c r="D1055" s="13">
        <v>0</v>
      </c>
      <c r="E1055" s="13">
        <v>0</v>
      </c>
      <c r="F1055" s="13">
        <v>1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30">
        <f t="shared" si="124"/>
        <v>1</v>
      </c>
      <c r="R1055" s="30">
        <f t="shared" si="125"/>
        <v>109</v>
      </c>
      <c r="S1055" s="30">
        <f t="shared" si="126"/>
        <v>110</v>
      </c>
    </row>
    <row r="1056" spans="1:19" ht="18.75">
      <c r="A1056" s="29">
        <v>7</v>
      </c>
      <c r="B1056" s="15" t="str">
        <f>'Candidate List'!B8</f>
        <v>Amit Singh Tomar</v>
      </c>
      <c r="C1056" s="13">
        <v>0</v>
      </c>
      <c r="D1056" s="13">
        <v>5</v>
      </c>
      <c r="E1056" s="13">
        <v>1</v>
      </c>
      <c r="F1056" s="13">
        <v>1</v>
      </c>
      <c r="G1056" s="13">
        <v>0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2</v>
      </c>
      <c r="O1056" s="13">
        <v>2</v>
      </c>
      <c r="P1056" s="13">
        <v>1</v>
      </c>
      <c r="Q1056" s="30">
        <f t="shared" si="124"/>
        <v>12</v>
      </c>
      <c r="R1056" s="30">
        <f t="shared" si="125"/>
        <v>173</v>
      </c>
      <c r="S1056" s="30">
        <f t="shared" si="126"/>
        <v>185</v>
      </c>
    </row>
    <row r="1057" spans="1:19" ht="18.75">
      <c r="A1057" s="29">
        <v>8</v>
      </c>
      <c r="B1057" s="15" t="str">
        <f>'Candidate List'!B9</f>
        <v>Darshan Sharma</v>
      </c>
      <c r="C1057" s="13">
        <v>0</v>
      </c>
      <c r="D1057" s="13">
        <v>7</v>
      </c>
      <c r="E1057" s="13">
        <v>0</v>
      </c>
      <c r="F1057" s="13">
        <v>0</v>
      </c>
      <c r="G1057" s="13">
        <v>1</v>
      </c>
      <c r="H1057" s="13">
        <v>0</v>
      </c>
      <c r="I1057" s="13">
        <v>0</v>
      </c>
      <c r="J1057" s="13">
        <v>0</v>
      </c>
      <c r="K1057" s="13">
        <v>1</v>
      </c>
      <c r="L1057" s="13">
        <v>0</v>
      </c>
      <c r="M1057" s="13">
        <v>4</v>
      </c>
      <c r="N1057" s="13">
        <v>4</v>
      </c>
      <c r="O1057" s="13">
        <v>3</v>
      </c>
      <c r="P1057" s="13">
        <v>0</v>
      </c>
      <c r="Q1057" s="30">
        <f t="shared" si="124"/>
        <v>20</v>
      </c>
      <c r="R1057" s="30">
        <f t="shared" si="125"/>
        <v>343</v>
      </c>
      <c r="S1057" s="30">
        <f t="shared" si="126"/>
        <v>363</v>
      </c>
    </row>
    <row r="1058" spans="1:19" ht="18.75">
      <c r="A1058" s="29">
        <v>9</v>
      </c>
      <c r="B1058" s="15" t="str">
        <f>'Candidate List'!B10</f>
        <v>Dilshad Ahmad</v>
      </c>
      <c r="C1058" s="13">
        <v>1</v>
      </c>
      <c r="D1058" s="13">
        <v>0</v>
      </c>
      <c r="E1058" s="13">
        <v>0</v>
      </c>
      <c r="F1058" s="13">
        <v>0</v>
      </c>
      <c r="G1058" s="13">
        <v>1</v>
      </c>
      <c r="H1058" s="13">
        <v>0</v>
      </c>
      <c r="I1058" s="13">
        <v>0</v>
      </c>
      <c r="J1058" s="13">
        <v>3</v>
      </c>
      <c r="K1058" s="13">
        <v>2</v>
      </c>
      <c r="L1058" s="13">
        <v>0</v>
      </c>
      <c r="M1058" s="13">
        <v>0</v>
      </c>
      <c r="N1058" s="13">
        <v>1</v>
      </c>
      <c r="O1058" s="13">
        <v>2</v>
      </c>
      <c r="P1058" s="13">
        <v>0</v>
      </c>
      <c r="Q1058" s="30">
        <f t="shared" si="124"/>
        <v>10</v>
      </c>
      <c r="R1058" s="30">
        <f t="shared" si="125"/>
        <v>1704</v>
      </c>
      <c r="S1058" s="30">
        <f t="shared" si="126"/>
        <v>1714</v>
      </c>
    </row>
    <row r="1059" spans="1:19" ht="18.75">
      <c r="A1059" s="29">
        <v>10</v>
      </c>
      <c r="B1059" s="15" t="str">
        <f>'Candidate List'!B11</f>
        <v>Raju Thakur</v>
      </c>
      <c r="C1059" s="13">
        <v>0</v>
      </c>
      <c r="D1059" s="13">
        <v>9</v>
      </c>
      <c r="E1059" s="13">
        <v>3</v>
      </c>
      <c r="F1059" s="13">
        <v>6</v>
      </c>
      <c r="G1059" s="13">
        <v>4</v>
      </c>
      <c r="H1059" s="13">
        <v>2</v>
      </c>
      <c r="I1059" s="13">
        <v>2</v>
      </c>
      <c r="J1059" s="13">
        <v>7</v>
      </c>
      <c r="K1059" s="13">
        <v>7</v>
      </c>
      <c r="L1059" s="13">
        <v>3</v>
      </c>
      <c r="M1059" s="13">
        <v>6</v>
      </c>
      <c r="N1059" s="13">
        <v>5</v>
      </c>
      <c r="O1059" s="13">
        <v>5</v>
      </c>
      <c r="P1059" s="13">
        <v>7</v>
      </c>
      <c r="Q1059" s="30">
        <f t="shared" si="124"/>
        <v>66</v>
      </c>
      <c r="R1059" s="30">
        <f t="shared" si="125"/>
        <v>1173</v>
      </c>
      <c r="S1059" s="30">
        <f t="shared" si="126"/>
        <v>1239</v>
      </c>
    </row>
    <row r="1060" spans="1:19" ht="18.75">
      <c r="A1060" s="29">
        <v>11</v>
      </c>
      <c r="B1060" s="15" t="str">
        <f>'Candidate List'!B12</f>
        <v>Bablu</v>
      </c>
      <c r="C1060" s="13">
        <v>3</v>
      </c>
      <c r="D1060" s="13">
        <v>1</v>
      </c>
      <c r="E1060" s="13">
        <v>2</v>
      </c>
      <c r="F1060" s="13">
        <v>0</v>
      </c>
      <c r="G1060" s="13">
        <v>1</v>
      </c>
      <c r="H1060" s="13">
        <v>0</v>
      </c>
      <c r="I1060" s="13">
        <v>2</v>
      </c>
      <c r="J1060" s="13">
        <v>0</v>
      </c>
      <c r="K1060" s="13">
        <v>4</v>
      </c>
      <c r="L1060" s="13">
        <v>1</v>
      </c>
      <c r="M1060" s="13">
        <v>2</v>
      </c>
      <c r="N1060" s="13">
        <v>0</v>
      </c>
      <c r="O1060" s="13">
        <v>2</v>
      </c>
      <c r="P1060" s="13">
        <v>1</v>
      </c>
      <c r="Q1060" s="30">
        <f t="shared" si="124"/>
        <v>19</v>
      </c>
      <c r="R1060" s="30">
        <f t="shared" si="125"/>
        <v>479</v>
      </c>
      <c r="S1060" s="30">
        <f t="shared" si="126"/>
        <v>498</v>
      </c>
    </row>
    <row r="1061" spans="1:19" ht="18.75">
      <c r="A1061" s="29">
        <v>12</v>
      </c>
      <c r="B1061" s="15" t="str">
        <f>'Candidate List'!B13</f>
        <v>NOTA</v>
      </c>
      <c r="C1061" s="13">
        <v>0</v>
      </c>
      <c r="D1061" s="13">
        <v>4</v>
      </c>
      <c r="E1061" s="13">
        <v>3</v>
      </c>
      <c r="F1061" s="13">
        <v>1</v>
      </c>
      <c r="G1061" s="13">
        <v>5</v>
      </c>
      <c r="H1061" s="13">
        <v>2</v>
      </c>
      <c r="I1061" s="13">
        <v>2</v>
      </c>
      <c r="J1061" s="13">
        <v>3</v>
      </c>
      <c r="K1061" s="13">
        <v>12</v>
      </c>
      <c r="L1061" s="13">
        <v>2</v>
      </c>
      <c r="M1061" s="13">
        <v>4</v>
      </c>
      <c r="N1061" s="13">
        <v>1</v>
      </c>
      <c r="O1061" s="13">
        <v>7</v>
      </c>
      <c r="P1061" s="13">
        <v>6</v>
      </c>
      <c r="Q1061" s="30">
        <f t="shared" si="124"/>
        <v>52</v>
      </c>
      <c r="R1061" s="30">
        <f t="shared" si="125"/>
        <v>1076</v>
      </c>
      <c r="S1061" s="30">
        <f t="shared" si="126"/>
        <v>1128</v>
      </c>
    </row>
    <row r="1062" spans="1:19">
      <c r="A1062" s="187" t="s">
        <v>11</v>
      </c>
      <c r="B1062" s="187"/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30">
        <f t="shared" si="124"/>
        <v>0</v>
      </c>
      <c r="R1062" s="30">
        <f t="shared" si="125"/>
        <v>0</v>
      </c>
      <c r="S1062" s="30">
        <f t="shared" si="126"/>
        <v>0</v>
      </c>
    </row>
    <row r="1063" spans="1:19">
      <c r="A1063" s="188" t="s">
        <v>12</v>
      </c>
      <c r="B1063" s="188"/>
      <c r="C1063" s="30">
        <f t="shared" ref="C1063:P1063" si="127">SUM(C1050:C1062)</f>
        <v>499</v>
      </c>
      <c r="D1063" s="30">
        <f t="shared" si="127"/>
        <v>934</v>
      </c>
      <c r="E1063" s="30">
        <f t="shared" si="127"/>
        <v>558</v>
      </c>
      <c r="F1063" s="30">
        <f t="shared" si="127"/>
        <v>500</v>
      </c>
      <c r="G1063" s="30">
        <f t="shared" si="127"/>
        <v>614</v>
      </c>
      <c r="H1063" s="30">
        <f t="shared" si="127"/>
        <v>605</v>
      </c>
      <c r="I1063" s="30">
        <f t="shared" si="127"/>
        <v>585</v>
      </c>
      <c r="J1063" s="30">
        <f t="shared" si="127"/>
        <v>790</v>
      </c>
      <c r="K1063" s="30">
        <f t="shared" si="127"/>
        <v>750</v>
      </c>
      <c r="L1063" s="30">
        <f t="shared" si="127"/>
        <v>785</v>
      </c>
      <c r="M1063" s="30">
        <f t="shared" si="127"/>
        <v>667</v>
      </c>
      <c r="N1063" s="30">
        <f t="shared" si="127"/>
        <v>695</v>
      </c>
      <c r="O1063" s="30">
        <f t="shared" si="127"/>
        <v>794</v>
      </c>
      <c r="P1063" s="30">
        <f t="shared" si="127"/>
        <v>577</v>
      </c>
      <c r="Q1063" s="30">
        <f t="shared" si="124"/>
        <v>9353</v>
      </c>
      <c r="R1063" s="30">
        <f t="shared" si="125"/>
        <v>246925</v>
      </c>
      <c r="S1063" s="30">
        <f t="shared" si="126"/>
        <v>256278</v>
      </c>
    </row>
    <row r="1064" spans="1:19" ht="37.5" customHeight="1">
      <c r="A1064" s="5"/>
      <c r="B1064" s="5"/>
      <c r="C1064" s="6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8"/>
      <c r="R1064" s="7"/>
      <c r="S1064" s="7"/>
    </row>
    <row r="1065" spans="1:19" ht="22.5">
      <c r="A1065" s="31"/>
      <c r="B1065" s="31"/>
      <c r="C1065" s="10" t="s">
        <v>13</v>
      </c>
      <c r="D1065" s="10" t="s">
        <v>13</v>
      </c>
      <c r="E1065" s="10" t="s">
        <v>13</v>
      </c>
      <c r="F1065" s="10" t="s">
        <v>13</v>
      </c>
      <c r="G1065" s="10" t="s">
        <v>13</v>
      </c>
      <c r="H1065" s="10" t="s">
        <v>13</v>
      </c>
      <c r="I1065" s="10" t="s">
        <v>13</v>
      </c>
      <c r="J1065" s="10" t="s">
        <v>13</v>
      </c>
      <c r="K1065" s="10" t="s">
        <v>13</v>
      </c>
      <c r="L1065" s="10" t="s">
        <v>13</v>
      </c>
      <c r="M1065" s="10" t="s">
        <v>13</v>
      </c>
      <c r="N1065" s="10" t="s">
        <v>13</v>
      </c>
      <c r="O1065" s="10" t="s">
        <v>13</v>
      </c>
      <c r="P1065" s="10" t="s">
        <v>13</v>
      </c>
      <c r="Q1065" s="10" t="s">
        <v>13</v>
      </c>
      <c r="R1065" s="10" t="s">
        <v>13</v>
      </c>
      <c r="S1065" s="10" t="s">
        <v>13</v>
      </c>
    </row>
    <row r="1066" spans="1:19" ht="32.25" customHeight="1">
      <c r="A1066" s="31"/>
      <c r="B1066" s="31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 ht="22.5">
      <c r="A1067" s="31"/>
      <c r="B1067" s="31"/>
      <c r="C1067" s="10" t="s">
        <v>14</v>
      </c>
      <c r="D1067" s="10" t="s">
        <v>14</v>
      </c>
      <c r="E1067" s="10" t="s">
        <v>14</v>
      </c>
      <c r="F1067" s="10" t="s">
        <v>14</v>
      </c>
      <c r="G1067" s="10" t="s">
        <v>14</v>
      </c>
      <c r="H1067" s="10" t="s">
        <v>14</v>
      </c>
      <c r="I1067" s="10" t="s">
        <v>14</v>
      </c>
      <c r="J1067" s="10" t="s">
        <v>14</v>
      </c>
      <c r="K1067" s="10" t="s">
        <v>14</v>
      </c>
      <c r="L1067" s="10" t="s">
        <v>14</v>
      </c>
      <c r="M1067" s="10" t="s">
        <v>14</v>
      </c>
      <c r="N1067" s="10" t="s">
        <v>14</v>
      </c>
      <c r="O1067" s="10" t="s">
        <v>14</v>
      </c>
      <c r="P1067" s="10" t="s">
        <v>14</v>
      </c>
      <c r="Q1067" s="10" t="s">
        <v>14</v>
      </c>
      <c r="R1067" s="10" t="s">
        <v>14</v>
      </c>
      <c r="S1067" s="10" t="s">
        <v>14</v>
      </c>
    </row>
    <row r="1068" spans="1:19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</row>
    <row r="1069" spans="1:19">
      <c r="A1069" s="189" t="s">
        <v>15</v>
      </c>
      <c r="B1069" s="189"/>
      <c r="C1069" s="164" t="s">
        <v>16</v>
      </c>
      <c r="D1069" s="164"/>
      <c r="E1069" s="164"/>
      <c r="F1069" s="164"/>
      <c r="G1069" s="164"/>
      <c r="H1069" s="164"/>
      <c r="I1069" s="164"/>
      <c r="J1069" s="164"/>
      <c r="K1069" s="164"/>
      <c r="L1069" s="164"/>
      <c r="M1069" s="164"/>
      <c r="N1069" s="164"/>
      <c r="O1069" s="164"/>
      <c r="P1069" s="164"/>
      <c r="Q1069" s="164"/>
      <c r="R1069" s="31"/>
      <c r="S1069" s="31"/>
    </row>
    <row r="1070" spans="1:19">
      <c r="A1070" s="31"/>
      <c r="B1070" s="31"/>
      <c r="C1070" s="164" t="s">
        <v>17</v>
      </c>
      <c r="D1070" s="164"/>
      <c r="E1070" s="164"/>
      <c r="F1070" s="164"/>
      <c r="G1070" s="164"/>
      <c r="H1070" s="164"/>
      <c r="I1070" s="164"/>
      <c r="J1070" s="164"/>
      <c r="K1070" s="164"/>
      <c r="L1070" s="164"/>
      <c r="M1070" s="164"/>
      <c r="N1070" s="164"/>
      <c r="O1070" s="164"/>
      <c r="P1070" s="164"/>
      <c r="Q1070" s="164"/>
      <c r="R1070" s="31"/>
      <c r="S1070" s="31"/>
    </row>
    <row r="1071" spans="1:19">
      <c r="A1071" s="31"/>
      <c r="B1071" s="31"/>
      <c r="C1071" s="164" t="s">
        <v>44</v>
      </c>
      <c r="D1071" s="164"/>
      <c r="E1071" s="164"/>
      <c r="F1071" s="164"/>
      <c r="G1071" s="164"/>
      <c r="H1071" s="164"/>
      <c r="I1071" s="164"/>
      <c r="J1071" s="164"/>
      <c r="K1071" s="164"/>
      <c r="L1071" s="164"/>
      <c r="M1071" s="164"/>
      <c r="N1071" s="164"/>
      <c r="O1071" s="164"/>
      <c r="P1071" s="164"/>
      <c r="Q1071" s="164"/>
      <c r="R1071" s="31"/>
      <c r="S1071" s="31"/>
    </row>
    <row r="1072" spans="1:19">
      <c r="A1072" s="31"/>
      <c r="B1072" s="31"/>
      <c r="C1072" s="164" t="s">
        <v>45</v>
      </c>
      <c r="D1072" s="164"/>
      <c r="E1072" s="164"/>
      <c r="F1072" s="164"/>
      <c r="G1072" s="164"/>
      <c r="H1072" s="164"/>
      <c r="I1072" s="164"/>
      <c r="J1072" s="164"/>
      <c r="K1072" s="164"/>
      <c r="L1072" s="164"/>
      <c r="M1072" s="164"/>
      <c r="N1072" s="164"/>
      <c r="O1072" s="164"/>
      <c r="P1072" s="164"/>
      <c r="Q1072" s="164"/>
      <c r="R1072" s="31"/>
      <c r="S1072" s="31"/>
    </row>
    <row r="1077" spans="1:19" ht="26.25">
      <c r="A1077" s="190" t="s">
        <v>0</v>
      </c>
      <c r="B1077" s="190"/>
      <c r="C1077" s="190"/>
      <c r="D1077" s="190"/>
      <c r="E1077" s="190"/>
      <c r="F1077" s="190"/>
      <c r="G1077" s="190"/>
      <c r="H1077" s="190"/>
      <c r="I1077" s="190"/>
      <c r="J1077" s="190"/>
      <c r="K1077" s="190"/>
      <c r="L1077" s="190"/>
      <c r="M1077" s="190"/>
      <c r="N1077" s="190"/>
      <c r="O1077" s="190"/>
      <c r="P1077" s="190"/>
      <c r="Q1077" s="190"/>
      <c r="R1077" s="190"/>
      <c r="S1077" s="190"/>
    </row>
    <row r="1078" spans="1:19" ht="19.5">
      <c r="A1078" s="191" t="s">
        <v>1225</v>
      </c>
      <c r="B1078" s="191"/>
      <c r="C1078" s="191"/>
      <c r="D1078" s="191"/>
      <c r="E1078" s="191"/>
      <c r="F1078" s="191"/>
      <c r="G1078" s="191"/>
      <c r="H1078" s="191"/>
      <c r="I1078" s="1"/>
      <c r="J1078" s="1"/>
      <c r="K1078" s="192" t="s">
        <v>1068</v>
      </c>
      <c r="L1078" s="192"/>
      <c r="M1078" s="192"/>
      <c r="N1078" s="192"/>
      <c r="O1078" s="1"/>
      <c r="P1078" s="193" t="s">
        <v>1</v>
      </c>
      <c r="Q1078" s="193"/>
      <c r="R1078" s="194">
        <v>44630</v>
      </c>
      <c r="S1078" s="194"/>
    </row>
    <row r="1079" spans="1:19">
      <c r="A1079" s="188" t="s">
        <v>2</v>
      </c>
      <c r="B1079" s="188"/>
      <c r="C1079" s="30">
        <v>1</v>
      </c>
      <c r="D1079" s="30">
        <v>2</v>
      </c>
      <c r="E1079" s="30">
        <v>3</v>
      </c>
      <c r="F1079" s="30">
        <v>4</v>
      </c>
      <c r="G1079" s="30">
        <v>5</v>
      </c>
      <c r="H1079" s="30">
        <v>6</v>
      </c>
      <c r="I1079" s="30">
        <v>7</v>
      </c>
      <c r="J1079" s="30">
        <v>8</v>
      </c>
      <c r="K1079" s="30">
        <v>9</v>
      </c>
      <c r="L1079" s="30">
        <v>10</v>
      </c>
      <c r="M1079" s="30">
        <v>11</v>
      </c>
      <c r="N1079" s="30">
        <v>12</v>
      </c>
      <c r="O1079" s="30">
        <v>13</v>
      </c>
      <c r="P1079" s="30">
        <v>14</v>
      </c>
      <c r="Q1079" s="195" t="s">
        <v>3</v>
      </c>
      <c r="R1079" s="195" t="s">
        <v>4</v>
      </c>
      <c r="S1079" s="195" t="s">
        <v>5</v>
      </c>
    </row>
    <row r="1080" spans="1:19">
      <c r="A1080" s="165" t="s">
        <v>6</v>
      </c>
      <c r="B1080" s="167"/>
      <c r="C1080" s="49">
        <f>'Booth detail'!QH1</f>
        <v>449</v>
      </c>
      <c r="D1080" s="49">
        <f>'Booth detail'!QI1</f>
        <v>450</v>
      </c>
      <c r="E1080" s="49">
        <f>'Booth detail'!QJ1</f>
        <v>451</v>
      </c>
      <c r="F1080" s="49">
        <f>'Booth detail'!QK1</f>
        <v>452</v>
      </c>
      <c r="G1080" s="49">
        <f>'Booth detail'!QL1</f>
        <v>453</v>
      </c>
      <c r="H1080" s="49">
        <f>'Booth detail'!QM1</f>
        <v>454</v>
      </c>
      <c r="I1080" s="49">
        <f>'Booth detail'!QN1</f>
        <v>455</v>
      </c>
      <c r="J1080" s="49">
        <f>'Booth detail'!QO1</f>
        <v>456</v>
      </c>
      <c r="K1080" s="49">
        <f>'Booth detail'!QP1</f>
        <v>457</v>
      </c>
      <c r="L1080" s="49">
        <f>'Booth detail'!QQ1</f>
        <v>458</v>
      </c>
      <c r="M1080" s="49">
        <f>'Booth detail'!QR1</f>
        <v>459</v>
      </c>
      <c r="N1080" s="49">
        <f>'Booth detail'!QS1</f>
        <v>460</v>
      </c>
      <c r="O1080" s="49">
        <f>'Booth detail'!QT1</f>
        <v>461</v>
      </c>
      <c r="P1080" s="49">
        <f>'Booth detail'!QU1</f>
        <v>462</v>
      </c>
      <c r="Q1080" s="196"/>
      <c r="R1080" s="196"/>
      <c r="S1080" s="196"/>
    </row>
    <row r="1081" spans="1:19" ht="25.5">
      <c r="A1081" s="165" t="s">
        <v>18</v>
      </c>
      <c r="B1081" s="167"/>
      <c r="C1081" s="50" t="str">
        <f>'Booth detail'!QH2</f>
        <v>ECUEC47889</v>
      </c>
      <c r="D1081" s="50" t="str">
        <f>'Booth detail'!QI2</f>
        <v>ECUEC50338</v>
      </c>
      <c r="E1081" s="50" t="str">
        <f>'Booth detail'!QJ2</f>
        <v>ECUEC62436</v>
      </c>
      <c r="F1081" s="50" t="str">
        <f>'Booth detail'!QK2</f>
        <v>ECUED23646</v>
      </c>
      <c r="G1081" s="50" t="str">
        <f>'Booth detail'!QL2</f>
        <v>ECUEC57796</v>
      </c>
      <c r="H1081" s="50" t="str">
        <f>'Booth detail'!QM2</f>
        <v>ECUED21633</v>
      </c>
      <c r="I1081" s="50" t="str">
        <f>'Booth detail'!QN2</f>
        <v>ECUEC47381</v>
      </c>
      <c r="J1081" s="50" t="str">
        <f>'Booth detail'!QO2</f>
        <v>ECUEC57549</v>
      </c>
      <c r="K1081" s="50" t="str">
        <f>'Booth detail'!QP2</f>
        <v>ECUED24410</v>
      </c>
      <c r="L1081" s="50" t="str">
        <f>'Booth detail'!QQ2</f>
        <v>ECUEC50997</v>
      </c>
      <c r="M1081" s="50" t="str">
        <f>'Booth detail'!QR2</f>
        <v>ECUEC51091</v>
      </c>
      <c r="N1081" s="50" t="str">
        <f>'Booth detail'!QS2</f>
        <v>ECUEC64901</v>
      </c>
      <c r="O1081" s="50" t="str">
        <f>'Booth detail'!QT2</f>
        <v>ECUED25149</v>
      </c>
      <c r="P1081" s="50" t="str">
        <f>'Booth detail'!QU2</f>
        <v>ECUEC57961</v>
      </c>
      <c r="Q1081" s="196"/>
      <c r="R1081" s="196"/>
      <c r="S1081" s="196"/>
    </row>
    <row r="1082" spans="1:19" ht="45" customHeight="1">
      <c r="A1082" s="198" t="s">
        <v>20</v>
      </c>
      <c r="B1082" s="199"/>
      <c r="C1082" s="57" t="str">
        <f>'Booth detail'!QH3</f>
        <v>-</v>
      </c>
      <c r="D1082" s="57" t="str">
        <f>'Booth detail'!QI3</f>
        <v>-</v>
      </c>
      <c r="E1082" s="57" t="str">
        <f>'Booth detail'!QJ3</f>
        <v>-</v>
      </c>
      <c r="F1082" s="57" t="str">
        <f>'Booth detail'!QK3</f>
        <v>-</v>
      </c>
      <c r="G1082" s="57" t="str">
        <f>'Booth detail'!QL3</f>
        <v>-</v>
      </c>
      <c r="H1082" s="57" t="str">
        <f>'Booth detail'!QM3</f>
        <v>-</v>
      </c>
      <c r="I1082" s="57" t="str">
        <f>'Booth detail'!QN3</f>
        <v>-</v>
      </c>
      <c r="J1082" s="57" t="str">
        <f>'Booth detail'!QO3</f>
        <v>-</v>
      </c>
      <c r="K1082" s="57" t="str">
        <f>'Booth detail'!QP3</f>
        <v>-</v>
      </c>
      <c r="L1082" s="57" t="str">
        <f>'Booth detail'!QQ3</f>
        <v>-</v>
      </c>
      <c r="M1082" s="57" t="str">
        <f>'Booth detail'!QR3</f>
        <v>-</v>
      </c>
      <c r="N1082" s="57" t="str">
        <f>'Booth detail'!QS3</f>
        <v>-</v>
      </c>
      <c r="O1082" s="57" t="str">
        <f>'Booth detail'!QT3</f>
        <v>-</v>
      </c>
      <c r="P1082" s="57" t="str">
        <f>'Booth detail'!QU3</f>
        <v>-</v>
      </c>
      <c r="Q1082" s="196"/>
      <c r="R1082" s="196"/>
      <c r="S1082" s="196"/>
    </row>
    <row r="1083" spans="1:19">
      <c r="A1083" s="14" t="s">
        <v>7</v>
      </c>
      <c r="B1083" s="32" t="s">
        <v>8</v>
      </c>
      <c r="C1083" s="33" t="s">
        <v>9</v>
      </c>
      <c r="D1083" s="33" t="s">
        <v>9</v>
      </c>
      <c r="E1083" s="33" t="s">
        <v>9</v>
      </c>
      <c r="F1083" s="33" t="s">
        <v>9</v>
      </c>
      <c r="G1083" s="33" t="s">
        <v>9</v>
      </c>
      <c r="H1083" s="33" t="s">
        <v>9</v>
      </c>
      <c r="I1083" s="33" t="s">
        <v>9</v>
      </c>
      <c r="J1083" s="33" t="s">
        <v>9</v>
      </c>
      <c r="K1083" s="33" t="s">
        <v>9</v>
      </c>
      <c r="L1083" s="33" t="s">
        <v>9</v>
      </c>
      <c r="M1083" s="33" t="s">
        <v>9</v>
      </c>
      <c r="N1083" s="33" t="s">
        <v>9</v>
      </c>
      <c r="O1083" s="33" t="s">
        <v>9</v>
      </c>
      <c r="P1083" s="33" t="s">
        <v>9</v>
      </c>
      <c r="Q1083" s="197"/>
      <c r="R1083" s="197"/>
      <c r="S1083" s="197"/>
    </row>
    <row r="1084" spans="1:19" ht="18.75">
      <c r="A1084" s="29">
        <v>1</v>
      </c>
      <c r="B1084" s="15" t="str">
        <f>'Candidate List'!B2</f>
        <v>Manveer Singh</v>
      </c>
      <c r="C1084" s="13">
        <v>1</v>
      </c>
      <c r="D1084" s="13">
        <v>28</v>
      </c>
      <c r="E1084" s="13">
        <v>149</v>
      </c>
      <c r="F1084" s="13">
        <v>1</v>
      </c>
      <c r="G1084" s="13">
        <v>139</v>
      </c>
      <c r="H1084" s="13">
        <v>7</v>
      </c>
      <c r="I1084" s="13">
        <v>177</v>
      </c>
      <c r="J1084" s="13">
        <v>72</v>
      </c>
      <c r="K1084" s="13">
        <v>4</v>
      </c>
      <c r="L1084" s="13">
        <v>71</v>
      </c>
      <c r="M1084" s="13">
        <v>65</v>
      </c>
      <c r="N1084" s="13">
        <v>32</v>
      </c>
      <c r="O1084" s="13">
        <v>218</v>
      </c>
      <c r="P1084" s="13">
        <v>77</v>
      </c>
      <c r="Q1084" s="30">
        <f>SUM(C1084:P1084)</f>
        <v>1041</v>
      </c>
      <c r="R1084" s="30">
        <f>S1050</f>
        <v>39369</v>
      </c>
      <c r="S1084" s="30">
        <f>Q1084+R1084</f>
        <v>40410</v>
      </c>
    </row>
    <row r="1085" spans="1:19" ht="18.75">
      <c r="A1085" s="29">
        <v>2</v>
      </c>
      <c r="B1085" s="15" t="str">
        <f>'Candidate List'!B3</f>
        <v>Rahul Yadav</v>
      </c>
      <c r="C1085" s="13">
        <v>23</v>
      </c>
      <c r="D1085" s="13">
        <v>43</v>
      </c>
      <c r="E1085" s="13">
        <v>18</v>
      </c>
      <c r="F1085" s="13">
        <v>32</v>
      </c>
      <c r="G1085" s="13">
        <v>178</v>
      </c>
      <c r="H1085" s="13">
        <v>29</v>
      </c>
      <c r="I1085" s="13">
        <v>92</v>
      </c>
      <c r="J1085" s="13">
        <v>32</v>
      </c>
      <c r="K1085" s="13">
        <v>54</v>
      </c>
      <c r="L1085" s="13">
        <v>61</v>
      </c>
      <c r="M1085" s="13">
        <v>117</v>
      </c>
      <c r="N1085" s="13">
        <v>72</v>
      </c>
      <c r="O1085" s="13">
        <v>47</v>
      </c>
      <c r="P1085" s="13">
        <v>69</v>
      </c>
      <c r="Q1085" s="30">
        <f t="shared" ref="Q1085:Q1097" si="128">SUM(C1085:P1085)</f>
        <v>867</v>
      </c>
      <c r="R1085" s="30">
        <f t="shared" ref="R1085:R1096" si="129">S1051</f>
        <v>94123</v>
      </c>
      <c r="S1085" s="30">
        <f t="shared" ref="S1085:S1097" si="130">Q1085+R1085</f>
        <v>94990</v>
      </c>
    </row>
    <row r="1086" spans="1:19" ht="18.75">
      <c r="A1086" s="29">
        <v>3</v>
      </c>
      <c r="B1086" s="15" t="str">
        <f>'Candidate List'!B4</f>
        <v>Lakshmi Raj</v>
      </c>
      <c r="C1086" s="13">
        <v>492</v>
      </c>
      <c r="D1086" s="13">
        <v>406</v>
      </c>
      <c r="E1086" s="13">
        <v>295</v>
      </c>
      <c r="F1086" s="13">
        <v>865</v>
      </c>
      <c r="G1086" s="13">
        <v>574</v>
      </c>
      <c r="H1086" s="13">
        <v>659</v>
      </c>
      <c r="I1086" s="13">
        <v>457</v>
      </c>
      <c r="J1086" s="13">
        <v>238</v>
      </c>
      <c r="K1086" s="13">
        <v>523</v>
      </c>
      <c r="L1086" s="13">
        <v>404</v>
      </c>
      <c r="M1086" s="13">
        <v>608</v>
      </c>
      <c r="N1086" s="13">
        <v>458</v>
      </c>
      <c r="O1086" s="13">
        <v>382</v>
      </c>
      <c r="P1086" s="13">
        <v>379</v>
      </c>
      <c r="Q1086" s="30">
        <f t="shared" si="128"/>
        <v>6740</v>
      </c>
      <c r="R1086" s="30">
        <f t="shared" si="129"/>
        <v>114721</v>
      </c>
      <c r="S1086" s="30">
        <f t="shared" si="130"/>
        <v>121461</v>
      </c>
    </row>
    <row r="1087" spans="1:19" ht="18.75">
      <c r="A1087" s="29">
        <v>4</v>
      </c>
      <c r="B1087" s="15" t="str">
        <f>'Candidate List'!B5</f>
        <v>Saleem Akhtar Khan</v>
      </c>
      <c r="C1087" s="13">
        <v>3</v>
      </c>
      <c r="D1087" s="13">
        <v>3</v>
      </c>
      <c r="E1087" s="13">
        <v>8</v>
      </c>
      <c r="F1087" s="13">
        <v>3</v>
      </c>
      <c r="G1087" s="13">
        <v>6</v>
      </c>
      <c r="H1087" s="13">
        <v>1</v>
      </c>
      <c r="I1087" s="13">
        <v>5</v>
      </c>
      <c r="J1087" s="13">
        <v>3</v>
      </c>
      <c r="K1087" s="13">
        <v>6</v>
      </c>
      <c r="L1087" s="13">
        <v>2</v>
      </c>
      <c r="M1087" s="13">
        <v>9</v>
      </c>
      <c r="N1087" s="13">
        <v>6</v>
      </c>
      <c r="O1087" s="13">
        <v>6</v>
      </c>
      <c r="P1087" s="13">
        <v>1</v>
      </c>
      <c r="Q1087" s="30">
        <f t="shared" si="128"/>
        <v>62</v>
      </c>
      <c r="R1087" s="30">
        <f t="shared" si="129"/>
        <v>2165</v>
      </c>
      <c r="S1087" s="30">
        <f t="shared" si="130"/>
        <v>2227</v>
      </c>
    </row>
    <row r="1088" spans="1:19" ht="18.75">
      <c r="A1088" s="29">
        <v>5</v>
      </c>
      <c r="B1088" s="15" t="str">
        <f>'Candidate List'!B6</f>
        <v>Ajay Kumar</v>
      </c>
      <c r="C1088" s="13">
        <v>0</v>
      </c>
      <c r="D1088" s="13">
        <v>0</v>
      </c>
      <c r="E1088" s="13">
        <v>2</v>
      </c>
      <c r="F1088" s="13">
        <v>0</v>
      </c>
      <c r="G1088" s="13">
        <v>0</v>
      </c>
      <c r="H1088" s="13">
        <v>0</v>
      </c>
      <c r="I1088" s="13">
        <v>1</v>
      </c>
      <c r="J1088" s="13">
        <v>0</v>
      </c>
      <c r="K1088" s="13">
        <v>1</v>
      </c>
      <c r="L1088" s="13">
        <v>1</v>
      </c>
      <c r="M1088" s="13">
        <v>1</v>
      </c>
      <c r="N1088" s="13">
        <v>0</v>
      </c>
      <c r="O1088" s="13">
        <v>3</v>
      </c>
      <c r="P1088" s="13">
        <v>3</v>
      </c>
      <c r="Q1088" s="30">
        <f t="shared" si="128"/>
        <v>12</v>
      </c>
      <c r="R1088" s="30">
        <f t="shared" si="129"/>
        <v>663</v>
      </c>
      <c r="S1088" s="30">
        <f t="shared" si="130"/>
        <v>675</v>
      </c>
    </row>
    <row r="1089" spans="1:19" ht="18.75">
      <c r="A1089" s="29">
        <v>6</v>
      </c>
      <c r="B1089" s="15" t="str">
        <f>'Candidate List'!B7</f>
        <v>Ajay Kumar Sharma</v>
      </c>
      <c r="C1089" s="13">
        <v>0</v>
      </c>
      <c r="D1089" s="13">
        <v>0</v>
      </c>
      <c r="E1089" s="13">
        <v>1</v>
      </c>
      <c r="F1089" s="13">
        <v>0</v>
      </c>
      <c r="G1089" s="13">
        <v>1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30">
        <f t="shared" si="128"/>
        <v>2</v>
      </c>
      <c r="R1089" s="30">
        <f t="shared" si="129"/>
        <v>110</v>
      </c>
      <c r="S1089" s="30">
        <f t="shared" si="130"/>
        <v>112</v>
      </c>
    </row>
    <row r="1090" spans="1:19" ht="18.75">
      <c r="A1090" s="29">
        <v>7</v>
      </c>
      <c r="B1090" s="15" t="str">
        <f>'Candidate List'!B8</f>
        <v>Amit Singh Tomar</v>
      </c>
      <c r="C1090" s="13">
        <v>0</v>
      </c>
      <c r="D1090" s="13">
        <v>2</v>
      </c>
      <c r="E1090" s="13">
        <v>0</v>
      </c>
      <c r="F1090" s="13">
        <v>2</v>
      </c>
      <c r="G1090" s="13">
        <v>1</v>
      </c>
      <c r="H1090" s="13">
        <v>1</v>
      </c>
      <c r="I1090" s="13">
        <v>0</v>
      </c>
      <c r="J1090" s="13">
        <v>0</v>
      </c>
      <c r="K1090" s="13">
        <v>0</v>
      </c>
      <c r="L1090" s="13">
        <v>0</v>
      </c>
      <c r="M1090" s="13">
        <v>1</v>
      </c>
      <c r="N1090" s="13">
        <v>2</v>
      </c>
      <c r="O1090" s="13">
        <v>0</v>
      </c>
      <c r="P1090" s="13">
        <v>0</v>
      </c>
      <c r="Q1090" s="30">
        <f t="shared" si="128"/>
        <v>9</v>
      </c>
      <c r="R1090" s="30">
        <f t="shared" si="129"/>
        <v>185</v>
      </c>
      <c r="S1090" s="30">
        <f t="shared" si="130"/>
        <v>194</v>
      </c>
    </row>
    <row r="1091" spans="1:19" ht="18.75">
      <c r="A1091" s="29">
        <v>8</v>
      </c>
      <c r="B1091" s="15" t="str">
        <f>'Candidate List'!B9</f>
        <v>Darshan Sharma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3</v>
      </c>
      <c r="I1091" s="13">
        <v>2</v>
      </c>
      <c r="J1091" s="13">
        <v>0</v>
      </c>
      <c r="K1091" s="13">
        <v>0</v>
      </c>
      <c r="L1091" s="13">
        <v>1</v>
      </c>
      <c r="M1091" s="13">
        <v>0</v>
      </c>
      <c r="N1091" s="13">
        <v>4</v>
      </c>
      <c r="O1091" s="13">
        <v>3</v>
      </c>
      <c r="P1091" s="13">
        <v>57</v>
      </c>
      <c r="Q1091" s="30">
        <f t="shared" si="128"/>
        <v>70</v>
      </c>
      <c r="R1091" s="30">
        <f t="shared" si="129"/>
        <v>363</v>
      </c>
      <c r="S1091" s="30">
        <f t="shared" si="130"/>
        <v>433</v>
      </c>
    </row>
    <row r="1092" spans="1:19" ht="18.75">
      <c r="A1092" s="29">
        <v>9</v>
      </c>
      <c r="B1092" s="15" t="str">
        <f>'Candidate List'!B10</f>
        <v>Dilshad Ahmad</v>
      </c>
      <c r="C1092" s="13">
        <v>0</v>
      </c>
      <c r="D1092" s="13">
        <v>1</v>
      </c>
      <c r="E1092" s="13">
        <v>2</v>
      </c>
      <c r="F1092" s="13">
        <v>1</v>
      </c>
      <c r="G1092" s="13">
        <v>0</v>
      </c>
      <c r="H1092" s="13">
        <v>2</v>
      </c>
      <c r="I1092" s="13">
        <v>2</v>
      </c>
      <c r="J1092" s="13">
        <v>1</v>
      </c>
      <c r="K1092" s="13">
        <v>1</v>
      </c>
      <c r="L1092" s="13">
        <v>0</v>
      </c>
      <c r="M1092" s="13">
        <v>1</v>
      </c>
      <c r="N1092" s="13">
        <v>0</v>
      </c>
      <c r="O1092" s="13">
        <v>0</v>
      </c>
      <c r="P1092" s="13">
        <v>1</v>
      </c>
      <c r="Q1092" s="30">
        <f t="shared" si="128"/>
        <v>12</v>
      </c>
      <c r="R1092" s="30">
        <f t="shared" si="129"/>
        <v>1714</v>
      </c>
      <c r="S1092" s="30">
        <f t="shared" si="130"/>
        <v>1726</v>
      </c>
    </row>
    <row r="1093" spans="1:19" ht="18.75">
      <c r="A1093" s="29">
        <v>10</v>
      </c>
      <c r="B1093" s="15" t="str">
        <f>'Candidate List'!B11</f>
        <v>Raju Thakur</v>
      </c>
      <c r="C1093" s="13">
        <v>1</v>
      </c>
      <c r="D1093" s="13">
        <v>3</v>
      </c>
      <c r="E1093" s="13">
        <v>5</v>
      </c>
      <c r="F1093" s="13">
        <v>9</v>
      </c>
      <c r="G1093" s="13">
        <v>8</v>
      </c>
      <c r="H1093" s="13">
        <v>4</v>
      </c>
      <c r="I1093" s="13">
        <v>5</v>
      </c>
      <c r="J1093" s="13">
        <v>2</v>
      </c>
      <c r="K1093" s="13">
        <v>4</v>
      </c>
      <c r="L1093" s="13">
        <v>5</v>
      </c>
      <c r="M1093" s="13">
        <v>11</v>
      </c>
      <c r="N1093" s="13">
        <v>4</v>
      </c>
      <c r="O1093" s="13">
        <v>3</v>
      </c>
      <c r="P1093" s="13">
        <v>3</v>
      </c>
      <c r="Q1093" s="30">
        <f t="shared" si="128"/>
        <v>67</v>
      </c>
      <c r="R1093" s="30">
        <f t="shared" si="129"/>
        <v>1239</v>
      </c>
      <c r="S1093" s="30">
        <f t="shared" si="130"/>
        <v>1306</v>
      </c>
    </row>
    <row r="1094" spans="1:19" ht="18.75">
      <c r="A1094" s="29">
        <v>11</v>
      </c>
      <c r="B1094" s="15" t="str">
        <f>'Candidate List'!B12</f>
        <v>Bablu</v>
      </c>
      <c r="C1094" s="13">
        <v>1</v>
      </c>
      <c r="D1094" s="13">
        <v>1</v>
      </c>
      <c r="E1094" s="13">
        <v>2</v>
      </c>
      <c r="F1094" s="13">
        <v>2</v>
      </c>
      <c r="G1094" s="13">
        <v>3</v>
      </c>
      <c r="H1094" s="13">
        <v>1</v>
      </c>
      <c r="I1094" s="13">
        <v>3</v>
      </c>
      <c r="J1094" s="13">
        <v>1</v>
      </c>
      <c r="K1094" s="13">
        <v>1</v>
      </c>
      <c r="L1094" s="13">
        <v>3</v>
      </c>
      <c r="M1094" s="13">
        <v>3</v>
      </c>
      <c r="N1094" s="13">
        <v>0</v>
      </c>
      <c r="O1094" s="13">
        <v>1</v>
      </c>
      <c r="P1094" s="13">
        <v>0</v>
      </c>
      <c r="Q1094" s="30">
        <f t="shared" si="128"/>
        <v>22</v>
      </c>
      <c r="R1094" s="30">
        <f t="shared" si="129"/>
        <v>498</v>
      </c>
      <c r="S1094" s="30">
        <f t="shared" si="130"/>
        <v>520</v>
      </c>
    </row>
    <row r="1095" spans="1:19" ht="18.75">
      <c r="A1095" s="29">
        <v>12</v>
      </c>
      <c r="B1095" s="15" t="str">
        <f>'Candidate List'!B13</f>
        <v>NOTA</v>
      </c>
      <c r="C1095" s="13">
        <v>1</v>
      </c>
      <c r="D1095" s="13">
        <v>0</v>
      </c>
      <c r="E1095" s="13">
        <v>5</v>
      </c>
      <c r="F1095" s="13">
        <v>2</v>
      </c>
      <c r="G1095" s="13">
        <v>6</v>
      </c>
      <c r="H1095" s="13">
        <v>2</v>
      </c>
      <c r="I1095" s="13">
        <v>3</v>
      </c>
      <c r="J1095" s="13">
        <v>2</v>
      </c>
      <c r="K1095" s="13">
        <v>3</v>
      </c>
      <c r="L1095" s="13">
        <v>2</v>
      </c>
      <c r="M1095" s="13">
        <v>6</v>
      </c>
      <c r="N1095" s="13">
        <v>2</v>
      </c>
      <c r="O1095" s="13">
        <v>2</v>
      </c>
      <c r="P1095" s="13">
        <v>1</v>
      </c>
      <c r="Q1095" s="30">
        <f t="shared" si="128"/>
        <v>37</v>
      </c>
      <c r="R1095" s="30">
        <f t="shared" si="129"/>
        <v>1128</v>
      </c>
      <c r="S1095" s="30">
        <f t="shared" si="130"/>
        <v>1165</v>
      </c>
    </row>
    <row r="1096" spans="1:19">
      <c r="A1096" s="187" t="s">
        <v>11</v>
      </c>
      <c r="B1096" s="187"/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30">
        <f t="shared" si="128"/>
        <v>0</v>
      </c>
      <c r="R1096" s="30">
        <f t="shared" si="129"/>
        <v>0</v>
      </c>
      <c r="S1096" s="30">
        <f t="shared" si="130"/>
        <v>0</v>
      </c>
    </row>
    <row r="1097" spans="1:19">
      <c r="A1097" s="188" t="s">
        <v>12</v>
      </c>
      <c r="B1097" s="188"/>
      <c r="C1097" s="30">
        <f t="shared" ref="C1097:P1097" si="131">SUM(C1084:C1096)</f>
        <v>522</v>
      </c>
      <c r="D1097" s="30">
        <f t="shared" si="131"/>
        <v>487</v>
      </c>
      <c r="E1097" s="30">
        <f t="shared" si="131"/>
        <v>487</v>
      </c>
      <c r="F1097" s="30">
        <f t="shared" si="131"/>
        <v>917</v>
      </c>
      <c r="G1097" s="30">
        <f t="shared" si="131"/>
        <v>916</v>
      </c>
      <c r="H1097" s="30">
        <f t="shared" si="131"/>
        <v>709</v>
      </c>
      <c r="I1097" s="30">
        <f t="shared" si="131"/>
        <v>747</v>
      </c>
      <c r="J1097" s="30">
        <f t="shared" si="131"/>
        <v>351</v>
      </c>
      <c r="K1097" s="30">
        <f t="shared" si="131"/>
        <v>597</v>
      </c>
      <c r="L1097" s="30">
        <f t="shared" si="131"/>
        <v>550</v>
      </c>
      <c r="M1097" s="30">
        <f t="shared" si="131"/>
        <v>822</v>
      </c>
      <c r="N1097" s="30">
        <f t="shared" si="131"/>
        <v>580</v>
      </c>
      <c r="O1097" s="30">
        <f t="shared" si="131"/>
        <v>665</v>
      </c>
      <c r="P1097" s="30">
        <f t="shared" si="131"/>
        <v>591</v>
      </c>
      <c r="Q1097" s="30">
        <f t="shared" si="128"/>
        <v>8941</v>
      </c>
      <c r="R1097" s="30">
        <f>S1063</f>
        <v>256278</v>
      </c>
      <c r="S1097" s="30">
        <f t="shared" si="130"/>
        <v>265219</v>
      </c>
    </row>
    <row r="1098" spans="1:19" ht="36" customHeight="1">
      <c r="A1098" s="5"/>
      <c r="B1098" s="5"/>
      <c r="C1098" s="6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8"/>
      <c r="R1098" s="7"/>
      <c r="S1098" s="7"/>
    </row>
    <row r="1099" spans="1:19" ht="22.5">
      <c r="A1099" s="31"/>
      <c r="B1099" s="31"/>
      <c r="C1099" s="10" t="s">
        <v>13</v>
      </c>
      <c r="D1099" s="10" t="s">
        <v>13</v>
      </c>
      <c r="E1099" s="10" t="s">
        <v>13</v>
      </c>
      <c r="F1099" s="10" t="s">
        <v>13</v>
      </c>
      <c r="G1099" s="10" t="s">
        <v>13</v>
      </c>
      <c r="H1099" s="10" t="s">
        <v>13</v>
      </c>
      <c r="I1099" s="10" t="s">
        <v>13</v>
      </c>
      <c r="J1099" s="10" t="s">
        <v>13</v>
      </c>
      <c r="K1099" s="10" t="s">
        <v>13</v>
      </c>
      <c r="L1099" s="10" t="s">
        <v>13</v>
      </c>
      <c r="M1099" s="10" t="s">
        <v>13</v>
      </c>
      <c r="N1099" s="10" t="s">
        <v>13</v>
      </c>
      <c r="O1099" s="10" t="s">
        <v>13</v>
      </c>
      <c r="P1099" s="10" t="s">
        <v>13</v>
      </c>
      <c r="Q1099" s="10" t="s">
        <v>13</v>
      </c>
      <c r="R1099" s="10" t="s">
        <v>13</v>
      </c>
      <c r="S1099" s="10" t="s">
        <v>13</v>
      </c>
    </row>
    <row r="1100" spans="1:19" ht="36" customHeight="1">
      <c r="A1100" s="31"/>
      <c r="B1100" s="31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 ht="22.5">
      <c r="A1101" s="31"/>
      <c r="B1101" s="31"/>
      <c r="C1101" s="10" t="s">
        <v>14</v>
      </c>
      <c r="D1101" s="10" t="s">
        <v>14</v>
      </c>
      <c r="E1101" s="10" t="s">
        <v>14</v>
      </c>
      <c r="F1101" s="10" t="s">
        <v>14</v>
      </c>
      <c r="G1101" s="10" t="s">
        <v>14</v>
      </c>
      <c r="H1101" s="10" t="s">
        <v>14</v>
      </c>
      <c r="I1101" s="10" t="s">
        <v>14</v>
      </c>
      <c r="J1101" s="10" t="s">
        <v>14</v>
      </c>
      <c r="K1101" s="10" t="s">
        <v>14</v>
      </c>
      <c r="L1101" s="10" t="s">
        <v>14</v>
      </c>
      <c r="M1101" s="10" t="s">
        <v>14</v>
      </c>
      <c r="N1101" s="10" t="s">
        <v>14</v>
      </c>
      <c r="O1101" s="10" t="s">
        <v>14</v>
      </c>
      <c r="P1101" s="10" t="s">
        <v>14</v>
      </c>
      <c r="Q1101" s="10" t="s">
        <v>14</v>
      </c>
      <c r="R1101" s="10" t="s">
        <v>14</v>
      </c>
      <c r="S1101" s="10" t="s">
        <v>14</v>
      </c>
    </row>
    <row r="1102" spans="1:19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</row>
    <row r="1103" spans="1:19">
      <c r="A1103" s="189" t="s">
        <v>15</v>
      </c>
      <c r="B1103" s="189"/>
      <c r="C1103" s="164" t="s">
        <v>16</v>
      </c>
      <c r="D1103" s="164"/>
      <c r="E1103" s="164"/>
      <c r="F1103" s="164"/>
      <c r="G1103" s="164"/>
      <c r="H1103" s="164"/>
      <c r="I1103" s="164"/>
      <c r="J1103" s="164"/>
      <c r="K1103" s="164"/>
      <c r="L1103" s="164"/>
      <c r="M1103" s="164"/>
      <c r="N1103" s="164"/>
      <c r="O1103" s="164"/>
      <c r="P1103" s="164"/>
      <c r="Q1103" s="164"/>
      <c r="R1103" s="31"/>
      <c r="S1103" s="31"/>
    </row>
    <row r="1104" spans="1:19">
      <c r="A1104" s="31"/>
      <c r="B1104" s="31"/>
      <c r="C1104" s="164" t="s">
        <v>17</v>
      </c>
      <c r="D1104" s="164"/>
      <c r="E1104" s="164"/>
      <c r="F1104" s="164"/>
      <c r="G1104" s="164"/>
      <c r="H1104" s="164"/>
      <c r="I1104" s="164"/>
      <c r="J1104" s="164"/>
      <c r="K1104" s="164"/>
      <c r="L1104" s="164"/>
      <c r="M1104" s="164"/>
      <c r="N1104" s="164"/>
      <c r="O1104" s="164"/>
      <c r="P1104" s="164"/>
      <c r="Q1104" s="164"/>
      <c r="R1104" s="31"/>
      <c r="S1104" s="31"/>
    </row>
    <row r="1105" spans="1:19">
      <c r="A1105" s="31"/>
      <c r="B1105" s="31"/>
      <c r="C1105" s="164" t="s">
        <v>44</v>
      </c>
      <c r="D1105" s="164"/>
      <c r="E1105" s="164"/>
      <c r="F1105" s="164"/>
      <c r="G1105" s="164"/>
      <c r="H1105" s="164"/>
      <c r="I1105" s="164"/>
      <c r="J1105" s="164"/>
      <c r="K1105" s="164"/>
      <c r="L1105" s="164"/>
      <c r="M1105" s="164"/>
      <c r="N1105" s="164"/>
      <c r="O1105" s="164"/>
      <c r="P1105" s="164"/>
      <c r="Q1105" s="164"/>
      <c r="R1105" s="31"/>
      <c r="S1105" s="31"/>
    </row>
    <row r="1106" spans="1:19">
      <c r="A1106" s="31"/>
      <c r="B1106" s="31"/>
      <c r="C1106" s="164" t="s">
        <v>45</v>
      </c>
      <c r="D1106" s="164"/>
      <c r="E1106" s="164"/>
      <c r="F1106" s="164"/>
      <c r="G1106" s="164"/>
      <c r="H1106" s="164"/>
      <c r="I1106" s="164"/>
      <c r="J1106" s="164"/>
      <c r="K1106" s="164"/>
      <c r="L1106" s="164"/>
      <c r="M1106" s="164"/>
      <c r="N1106" s="164"/>
      <c r="O1106" s="164"/>
      <c r="P1106" s="164"/>
      <c r="Q1106" s="164"/>
      <c r="R1106" s="31"/>
      <c r="S1106" s="31"/>
    </row>
    <row r="1111" spans="1:19" ht="26.25">
      <c r="A1111" s="190" t="s">
        <v>0</v>
      </c>
      <c r="B1111" s="190"/>
      <c r="C1111" s="190"/>
      <c r="D1111" s="190"/>
      <c r="E1111" s="190"/>
      <c r="F1111" s="190"/>
      <c r="G1111" s="190"/>
      <c r="H1111" s="190"/>
      <c r="I1111" s="190"/>
      <c r="J1111" s="190"/>
      <c r="K1111" s="190"/>
      <c r="L1111" s="190"/>
      <c r="M1111" s="190"/>
      <c r="N1111" s="190"/>
      <c r="O1111" s="190"/>
      <c r="P1111" s="190"/>
      <c r="Q1111" s="190"/>
      <c r="R1111" s="190"/>
      <c r="S1111" s="190"/>
    </row>
    <row r="1112" spans="1:19" ht="19.5">
      <c r="A1112" s="191" t="s">
        <v>1225</v>
      </c>
      <c r="B1112" s="191"/>
      <c r="C1112" s="191"/>
      <c r="D1112" s="191"/>
      <c r="E1112" s="191"/>
      <c r="F1112" s="191"/>
      <c r="G1112" s="191"/>
      <c r="H1112" s="191"/>
      <c r="I1112" s="1"/>
      <c r="J1112" s="1"/>
      <c r="K1112" s="192" t="s">
        <v>1069</v>
      </c>
      <c r="L1112" s="192"/>
      <c r="M1112" s="192"/>
      <c r="N1112" s="192"/>
      <c r="O1112" s="1"/>
      <c r="P1112" s="193" t="s">
        <v>1</v>
      </c>
      <c r="Q1112" s="193"/>
      <c r="R1112" s="194">
        <v>44630</v>
      </c>
      <c r="S1112" s="194"/>
    </row>
    <row r="1113" spans="1:19">
      <c r="A1113" s="188" t="s">
        <v>2</v>
      </c>
      <c r="B1113" s="188"/>
      <c r="C1113" s="30">
        <v>1</v>
      </c>
      <c r="D1113" s="30">
        <v>2</v>
      </c>
      <c r="E1113" s="30">
        <v>3</v>
      </c>
      <c r="F1113" s="30">
        <v>4</v>
      </c>
      <c r="G1113" s="30">
        <v>5</v>
      </c>
      <c r="H1113" s="30">
        <v>6</v>
      </c>
      <c r="I1113" s="30">
        <v>7</v>
      </c>
      <c r="J1113" s="30">
        <v>8</v>
      </c>
      <c r="K1113" s="30">
        <v>9</v>
      </c>
      <c r="L1113" s="75">
        <v>10</v>
      </c>
      <c r="M1113" s="75"/>
      <c r="N1113" s="75"/>
      <c r="O1113" s="75"/>
      <c r="P1113" s="75"/>
      <c r="Q1113" s="195" t="s">
        <v>3</v>
      </c>
      <c r="R1113" s="195" t="s">
        <v>4</v>
      </c>
      <c r="S1113" s="195" t="s">
        <v>5</v>
      </c>
    </row>
    <row r="1114" spans="1:19" ht="15" customHeight="1">
      <c r="A1114" s="165" t="s">
        <v>6</v>
      </c>
      <c r="B1114" s="167"/>
      <c r="C1114" s="40">
        <f>'Booth detail'!QV1</f>
        <v>463</v>
      </c>
      <c r="D1114" s="40">
        <f>'Booth detail'!QW1</f>
        <v>464</v>
      </c>
      <c r="E1114" s="40">
        <f>'Booth detail'!QX1</f>
        <v>465</v>
      </c>
      <c r="F1114" s="40">
        <f>'Booth detail'!QY1</f>
        <v>466</v>
      </c>
      <c r="G1114" s="40">
        <f>'Booth detail'!QZ1</f>
        <v>467</v>
      </c>
      <c r="H1114" s="40">
        <f>'Booth detail'!RA1</f>
        <v>468</v>
      </c>
      <c r="I1114" s="40">
        <f>'Booth detail'!RB1</f>
        <v>469</v>
      </c>
      <c r="J1114" s="40">
        <f>'Booth detail'!RC1</f>
        <v>470</v>
      </c>
      <c r="K1114" s="40">
        <f>'Booth detail'!RD1</f>
        <v>471</v>
      </c>
      <c r="L1114" s="40">
        <f>'Booth detail'!RE1</f>
        <v>472</v>
      </c>
      <c r="M1114" s="77"/>
      <c r="N1114" s="77"/>
      <c r="O1114" s="77"/>
      <c r="P1114" s="77"/>
      <c r="Q1114" s="196"/>
      <c r="R1114" s="196"/>
      <c r="S1114" s="196"/>
    </row>
    <row r="1115" spans="1:19" ht="25.5">
      <c r="A1115" s="165" t="s">
        <v>18</v>
      </c>
      <c r="B1115" s="167"/>
      <c r="C1115" s="44" t="str">
        <f>'Booth detail'!QV2</f>
        <v>ECUEC50136</v>
      </c>
      <c r="D1115" s="44" t="str">
        <f>'Booth detail'!QW2</f>
        <v>ECUEC52283</v>
      </c>
      <c r="E1115" s="44" t="str">
        <f>'Booth detail'!QX2</f>
        <v>ECUEC60250</v>
      </c>
      <c r="F1115" s="44" t="str">
        <f>'Booth detail'!QY2</f>
        <v>ECUEC52333</v>
      </c>
      <c r="G1115" s="44" t="str">
        <f>'Booth detail'!QZ2</f>
        <v>ECUEC57779</v>
      </c>
      <c r="H1115" s="44" t="str">
        <f>'Booth detail'!RA2</f>
        <v>ECUEC54014</v>
      </c>
      <c r="I1115" s="44" t="str">
        <f>'Booth detail'!RB2</f>
        <v>ECUEC57638</v>
      </c>
      <c r="J1115" s="44" t="str">
        <f>'Booth detail'!RC2</f>
        <v>ECUEC50559</v>
      </c>
      <c r="K1115" s="44" t="str">
        <f>'Booth detail'!RD2</f>
        <v>ECUEC57405</v>
      </c>
      <c r="L1115" s="44" t="str">
        <f>'Booth detail'!RE2</f>
        <v>ECUEC67305</v>
      </c>
      <c r="M1115" s="78"/>
      <c r="N1115" s="78"/>
      <c r="O1115" s="78"/>
      <c r="P1115" s="78"/>
      <c r="Q1115" s="196"/>
      <c r="R1115" s="196"/>
      <c r="S1115" s="196"/>
    </row>
    <row r="1116" spans="1:19" ht="45.75" customHeight="1">
      <c r="A1116" s="198" t="s">
        <v>20</v>
      </c>
      <c r="B1116" s="199"/>
      <c r="C1116" s="55" t="str">
        <f>'Booth detail'!QV3</f>
        <v>-</v>
      </c>
      <c r="D1116" s="55" t="str">
        <f>'Booth detail'!QW3</f>
        <v>-</v>
      </c>
      <c r="E1116" s="55" t="str">
        <f>'Booth detail'!QX3</f>
        <v>-</v>
      </c>
      <c r="F1116" s="55" t="str">
        <f>'Booth detail'!QY3</f>
        <v>-</v>
      </c>
      <c r="G1116" s="55" t="str">
        <f>'Booth detail'!QZ3</f>
        <v>-</v>
      </c>
      <c r="H1116" s="55" t="str">
        <f>'Booth detail'!RA3</f>
        <v>-</v>
      </c>
      <c r="I1116" s="55" t="str">
        <f>'Booth detail'!RB3</f>
        <v>-</v>
      </c>
      <c r="J1116" s="55" t="str">
        <f>'Booth detail'!RC3</f>
        <v>-</v>
      </c>
      <c r="K1116" s="55" t="str">
        <f>'Booth detail'!RD3</f>
        <v>-</v>
      </c>
      <c r="L1116" s="79" t="str">
        <f>'Booth detail'!RE3</f>
        <v>-</v>
      </c>
      <c r="M1116" s="79"/>
      <c r="N1116" s="79"/>
      <c r="O1116" s="79"/>
      <c r="P1116" s="79"/>
      <c r="Q1116" s="196"/>
      <c r="R1116" s="196"/>
      <c r="S1116" s="196"/>
    </row>
    <row r="1117" spans="1:19">
      <c r="A1117" s="14" t="s">
        <v>7</v>
      </c>
      <c r="B1117" s="32" t="s">
        <v>8</v>
      </c>
      <c r="C1117" s="33" t="s">
        <v>9</v>
      </c>
      <c r="D1117" s="33" t="s">
        <v>9</v>
      </c>
      <c r="E1117" s="33" t="s">
        <v>9</v>
      </c>
      <c r="F1117" s="33" t="s">
        <v>9</v>
      </c>
      <c r="G1117" s="33" t="s">
        <v>9</v>
      </c>
      <c r="H1117" s="33" t="s">
        <v>9</v>
      </c>
      <c r="I1117" s="33" t="s">
        <v>9</v>
      </c>
      <c r="J1117" s="33" t="s">
        <v>9</v>
      </c>
      <c r="K1117" s="33" t="s">
        <v>9</v>
      </c>
      <c r="L1117" s="73" t="s">
        <v>9</v>
      </c>
      <c r="M1117" s="75"/>
      <c r="N1117" s="75"/>
      <c r="O1117" s="75"/>
      <c r="P1117" s="75"/>
      <c r="Q1117" s="197"/>
      <c r="R1117" s="197"/>
      <c r="S1117" s="197"/>
    </row>
    <row r="1118" spans="1:19" ht="18.75">
      <c r="A1118" s="29">
        <v>1</v>
      </c>
      <c r="B1118" s="15" t="str">
        <f>'Candidate List'!B2</f>
        <v>Manveer Singh</v>
      </c>
      <c r="C1118" s="13">
        <v>112</v>
      </c>
      <c r="D1118" s="13">
        <v>307</v>
      </c>
      <c r="E1118" s="13">
        <v>269</v>
      </c>
      <c r="F1118" s="13">
        <v>175</v>
      </c>
      <c r="G1118" s="13">
        <v>245</v>
      </c>
      <c r="H1118" s="13">
        <v>4</v>
      </c>
      <c r="I1118" s="13">
        <v>264</v>
      </c>
      <c r="J1118" s="13">
        <v>9</v>
      </c>
      <c r="K1118" s="13">
        <v>27</v>
      </c>
      <c r="L1118" s="75">
        <v>36</v>
      </c>
      <c r="M1118" s="75"/>
      <c r="N1118" s="75"/>
      <c r="O1118" s="75"/>
      <c r="P1118" s="75"/>
      <c r="Q1118" s="30">
        <f>SUM(C1118:P1118)</f>
        <v>1448</v>
      </c>
      <c r="R1118" s="30">
        <f>S1084</f>
        <v>40410</v>
      </c>
      <c r="S1118" s="30">
        <f>Q1118+R1118</f>
        <v>41858</v>
      </c>
    </row>
    <row r="1119" spans="1:19" ht="18.75">
      <c r="A1119" s="29">
        <v>2</v>
      </c>
      <c r="B1119" s="15" t="str">
        <f>'Candidate List'!B3</f>
        <v>Rahul Yadav</v>
      </c>
      <c r="C1119" s="13">
        <v>39</v>
      </c>
      <c r="D1119" s="13">
        <v>61</v>
      </c>
      <c r="E1119" s="13">
        <v>38</v>
      </c>
      <c r="F1119" s="13">
        <v>81</v>
      </c>
      <c r="G1119" s="13">
        <v>93</v>
      </c>
      <c r="H1119" s="13">
        <v>50</v>
      </c>
      <c r="I1119" s="13">
        <v>8</v>
      </c>
      <c r="J1119" s="13">
        <v>78</v>
      </c>
      <c r="K1119" s="13">
        <v>127</v>
      </c>
      <c r="L1119" s="75">
        <v>83</v>
      </c>
      <c r="M1119" s="75"/>
      <c r="N1119" s="75"/>
      <c r="O1119" s="75"/>
      <c r="P1119" s="75"/>
      <c r="Q1119" s="30">
        <f t="shared" ref="Q1119:Q1131" si="132">SUM(C1119:P1119)</f>
        <v>658</v>
      </c>
      <c r="R1119" s="30">
        <f t="shared" ref="R1119:R1130" si="133">S1085</f>
        <v>94990</v>
      </c>
      <c r="S1119" s="30">
        <f t="shared" ref="S1119:S1131" si="134">Q1119+R1119</f>
        <v>95648</v>
      </c>
    </row>
    <row r="1120" spans="1:19" ht="18.75">
      <c r="A1120" s="29">
        <v>3</v>
      </c>
      <c r="B1120" s="15" t="str">
        <f>'Candidate List'!B4</f>
        <v>Lakshmi Raj</v>
      </c>
      <c r="C1120" s="13">
        <v>312</v>
      </c>
      <c r="D1120" s="13">
        <v>177</v>
      </c>
      <c r="E1120" s="13">
        <v>490</v>
      </c>
      <c r="F1120" s="13">
        <v>272</v>
      </c>
      <c r="G1120" s="13">
        <v>164</v>
      </c>
      <c r="H1120" s="13">
        <v>399</v>
      </c>
      <c r="I1120" s="13">
        <v>118</v>
      </c>
      <c r="J1120" s="13">
        <v>436</v>
      </c>
      <c r="K1120" s="13">
        <v>339</v>
      </c>
      <c r="L1120" s="75">
        <v>398</v>
      </c>
      <c r="M1120" s="75"/>
      <c r="N1120" s="75"/>
      <c r="O1120" s="75"/>
      <c r="P1120" s="75"/>
      <c r="Q1120" s="30">
        <f t="shared" si="132"/>
        <v>3105</v>
      </c>
      <c r="R1120" s="30">
        <f t="shared" si="133"/>
        <v>121461</v>
      </c>
      <c r="S1120" s="30">
        <f t="shared" si="134"/>
        <v>124566</v>
      </c>
    </row>
    <row r="1121" spans="1:19" ht="18.75">
      <c r="A1121" s="29">
        <v>4</v>
      </c>
      <c r="B1121" s="15" t="str">
        <f>'Candidate List'!B5</f>
        <v>Saleem Akhtar Khan</v>
      </c>
      <c r="C1121" s="13">
        <v>3</v>
      </c>
      <c r="D1121" s="13">
        <v>3</v>
      </c>
      <c r="E1121" s="13">
        <v>6</v>
      </c>
      <c r="F1121" s="13">
        <v>4</v>
      </c>
      <c r="G1121" s="13">
        <v>3</v>
      </c>
      <c r="H1121" s="13">
        <v>4</v>
      </c>
      <c r="I1121" s="13">
        <v>2</v>
      </c>
      <c r="J1121" s="13">
        <v>6</v>
      </c>
      <c r="K1121" s="13">
        <v>3</v>
      </c>
      <c r="L1121" s="75">
        <v>4</v>
      </c>
      <c r="M1121" s="75"/>
      <c r="N1121" s="75"/>
      <c r="O1121" s="75"/>
      <c r="P1121" s="75"/>
      <c r="Q1121" s="30">
        <f t="shared" si="132"/>
        <v>38</v>
      </c>
      <c r="R1121" s="30">
        <f t="shared" si="133"/>
        <v>2227</v>
      </c>
      <c r="S1121" s="30">
        <f t="shared" si="134"/>
        <v>2265</v>
      </c>
    </row>
    <row r="1122" spans="1:19" ht="18.75">
      <c r="A1122" s="29">
        <v>5</v>
      </c>
      <c r="B1122" s="15" t="str">
        <f>'Candidate List'!B6</f>
        <v>Ajay Kumar</v>
      </c>
      <c r="C1122" s="13">
        <v>0</v>
      </c>
      <c r="D1122" s="13">
        <v>1</v>
      </c>
      <c r="E1122" s="13">
        <v>0</v>
      </c>
      <c r="F1122" s="13">
        <v>0</v>
      </c>
      <c r="G1122" s="13">
        <v>0</v>
      </c>
      <c r="H1122" s="13">
        <v>2</v>
      </c>
      <c r="I1122" s="13">
        <v>1</v>
      </c>
      <c r="J1122" s="13">
        <v>0</v>
      </c>
      <c r="K1122" s="13">
        <v>2</v>
      </c>
      <c r="L1122" s="75">
        <v>0</v>
      </c>
      <c r="M1122" s="75"/>
      <c r="N1122" s="75"/>
      <c r="O1122" s="75"/>
      <c r="P1122" s="75"/>
      <c r="Q1122" s="30">
        <f t="shared" si="132"/>
        <v>6</v>
      </c>
      <c r="R1122" s="30">
        <f t="shared" si="133"/>
        <v>675</v>
      </c>
      <c r="S1122" s="30">
        <f t="shared" si="134"/>
        <v>681</v>
      </c>
    </row>
    <row r="1123" spans="1:19" ht="18.75">
      <c r="A1123" s="29">
        <v>6</v>
      </c>
      <c r="B1123" s="15" t="str">
        <f>'Candidate List'!B7</f>
        <v>Ajay Kumar Sharma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1</v>
      </c>
      <c r="I1123" s="13">
        <v>0</v>
      </c>
      <c r="J1123" s="13">
        <v>0</v>
      </c>
      <c r="K1123" s="13">
        <v>0</v>
      </c>
      <c r="L1123" s="75">
        <v>2</v>
      </c>
      <c r="M1123" s="75"/>
      <c r="N1123" s="75"/>
      <c r="O1123" s="75"/>
      <c r="P1123" s="75"/>
      <c r="Q1123" s="30">
        <f t="shared" si="132"/>
        <v>3</v>
      </c>
      <c r="R1123" s="30">
        <f t="shared" si="133"/>
        <v>112</v>
      </c>
      <c r="S1123" s="30">
        <f t="shared" si="134"/>
        <v>115</v>
      </c>
    </row>
    <row r="1124" spans="1:19" ht="18.75">
      <c r="A1124" s="29">
        <v>7</v>
      </c>
      <c r="B1124" s="15" t="str">
        <f>'Candidate List'!B8</f>
        <v>Amit Singh Tomar</v>
      </c>
      <c r="C1124" s="13">
        <v>1</v>
      </c>
      <c r="D1124" s="13">
        <v>1</v>
      </c>
      <c r="E1124" s="13">
        <v>0</v>
      </c>
      <c r="F1124" s="13">
        <v>0</v>
      </c>
      <c r="G1124" s="13">
        <v>1</v>
      </c>
      <c r="H1124" s="13">
        <v>0</v>
      </c>
      <c r="I1124" s="13">
        <v>0</v>
      </c>
      <c r="J1124" s="13">
        <v>2</v>
      </c>
      <c r="K1124" s="13">
        <v>2</v>
      </c>
      <c r="L1124" s="75">
        <v>0</v>
      </c>
      <c r="M1124" s="75"/>
      <c r="N1124" s="75"/>
      <c r="O1124" s="75"/>
      <c r="P1124" s="75"/>
      <c r="Q1124" s="30">
        <f t="shared" si="132"/>
        <v>7</v>
      </c>
      <c r="R1124" s="30">
        <f t="shared" si="133"/>
        <v>194</v>
      </c>
      <c r="S1124" s="30">
        <f t="shared" si="134"/>
        <v>201</v>
      </c>
    </row>
    <row r="1125" spans="1:19" ht="18.75">
      <c r="A1125" s="29">
        <v>8</v>
      </c>
      <c r="B1125" s="15" t="str">
        <f>'Candidate List'!B9</f>
        <v>Darshan Sharma</v>
      </c>
      <c r="C1125" s="13">
        <v>10</v>
      </c>
      <c r="D1125" s="13">
        <v>2</v>
      </c>
      <c r="E1125" s="13">
        <v>0</v>
      </c>
      <c r="F1125" s="13">
        <v>1</v>
      </c>
      <c r="G1125" s="13">
        <v>4</v>
      </c>
      <c r="H1125" s="13">
        <v>0</v>
      </c>
      <c r="I1125" s="13">
        <v>2</v>
      </c>
      <c r="J1125" s="13">
        <v>0</v>
      </c>
      <c r="K1125" s="13">
        <v>13</v>
      </c>
      <c r="L1125" s="75">
        <v>1</v>
      </c>
      <c r="M1125" s="75"/>
      <c r="N1125" s="75"/>
      <c r="O1125" s="75"/>
      <c r="P1125" s="75"/>
      <c r="Q1125" s="30">
        <f t="shared" si="132"/>
        <v>33</v>
      </c>
      <c r="R1125" s="30">
        <f t="shared" si="133"/>
        <v>433</v>
      </c>
      <c r="S1125" s="30">
        <f t="shared" si="134"/>
        <v>466</v>
      </c>
    </row>
    <row r="1126" spans="1:19" ht="18.75">
      <c r="A1126" s="29">
        <v>9</v>
      </c>
      <c r="B1126" s="15" t="str">
        <f>'Candidate List'!B10</f>
        <v>Dilshad Ahmad</v>
      </c>
      <c r="C1126" s="13">
        <v>0</v>
      </c>
      <c r="D1126" s="13">
        <v>2</v>
      </c>
      <c r="E1126" s="13">
        <v>0</v>
      </c>
      <c r="F1126" s="13">
        <v>0</v>
      </c>
      <c r="G1126" s="13">
        <v>0</v>
      </c>
      <c r="H1126" s="13">
        <v>1</v>
      </c>
      <c r="I1126" s="13">
        <v>0</v>
      </c>
      <c r="J1126" s="13">
        <v>0</v>
      </c>
      <c r="K1126" s="13">
        <v>0</v>
      </c>
      <c r="L1126" s="75">
        <v>0</v>
      </c>
      <c r="M1126" s="75"/>
      <c r="N1126" s="75"/>
      <c r="O1126" s="75"/>
      <c r="P1126" s="75"/>
      <c r="Q1126" s="30">
        <f t="shared" si="132"/>
        <v>3</v>
      </c>
      <c r="R1126" s="30">
        <f t="shared" si="133"/>
        <v>1726</v>
      </c>
      <c r="S1126" s="30">
        <f t="shared" si="134"/>
        <v>1729</v>
      </c>
    </row>
    <row r="1127" spans="1:19" ht="18.75">
      <c r="A1127" s="29">
        <v>10</v>
      </c>
      <c r="B1127" s="15" t="str">
        <f>'Candidate List'!B11</f>
        <v>Raju Thakur</v>
      </c>
      <c r="C1127" s="13">
        <v>5</v>
      </c>
      <c r="D1127" s="13">
        <v>4</v>
      </c>
      <c r="E1127" s="13">
        <v>2</v>
      </c>
      <c r="F1127" s="13">
        <v>3</v>
      </c>
      <c r="G1127" s="13">
        <v>3</v>
      </c>
      <c r="H1127" s="13">
        <v>0</v>
      </c>
      <c r="I1127" s="13">
        <v>1</v>
      </c>
      <c r="J1127" s="13">
        <v>10</v>
      </c>
      <c r="K1127" s="13">
        <v>2</v>
      </c>
      <c r="L1127" s="75">
        <v>2</v>
      </c>
      <c r="M1127" s="75"/>
      <c r="N1127" s="75"/>
      <c r="O1127" s="75"/>
      <c r="P1127" s="75"/>
      <c r="Q1127" s="30">
        <f t="shared" si="132"/>
        <v>32</v>
      </c>
      <c r="R1127" s="30">
        <f t="shared" si="133"/>
        <v>1306</v>
      </c>
      <c r="S1127" s="30">
        <f t="shared" si="134"/>
        <v>1338</v>
      </c>
    </row>
    <row r="1128" spans="1:19" ht="18.75">
      <c r="A1128" s="29">
        <v>11</v>
      </c>
      <c r="B1128" s="15" t="str">
        <f>'Candidate List'!B12</f>
        <v>Bablu</v>
      </c>
      <c r="C1128" s="13">
        <v>0</v>
      </c>
      <c r="D1128" s="13">
        <v>1</v>
      </c>
      <c r="E1128" s="13">
        <v>1</v>
      </c>
      <c r="F1128" s="13">
        <v>0</v>
      </c>
      <c r="G1128" s="13">
        <v>1</v>
      </c>
      <c r="H1128" s="13">
        <v>0</v>
      </c>
      <c r="I1128" s="13">
        <v>1</v>
      </c>
      <c r="J1128" s="13">
        <v>1</v>
      </c>
      <c r="K1128" s="13">
        <v>2</v>
      </c>
      <c r="L1128" s="75">
        <v>0</v>
      </c>
      <c r="M1128" s="75"/>
      <c r="N1128" s="75"/>
      <c r="O1128" s="75"/>
      <c r="P1128" s="75"/>
      <c r="Q1128" s="30">
        <f t="shared" si="132"/>
        <v>7</v>
      </c>
      <c r="R1128" s="30">
        <f t="shared" si="133"/>
        <v>520</v>
      </c>
      <c r="S1128" s="30">
        <f t="shared" si="134"/>
        <v>527</v>
      </c>
    </row>
    <row r="1129" spans="1:19" ht="18.75">
      <c r="A1129" s="29">
        <v>12</v>
      </c>
      <c r="B1129" s="15" t="str">
        <f>'Candidate List'!B13</f>
        <v>NOTA</v>
      </c>
      <c r="C1129" s="13">
        <v>4</v>
      </c>
      <c r="D1129" s="13">
        <v>5</v>
      </c>
      <c r="E1129" s="13">
        <v>8</v>
      </c>
      <c r="F1129" s="13">
        <v>2</v>
      </c>
      <c r="G1129" s="13">
        <v>0</v>
      </c>
      <c r="H1129" s="13">
        <v>1</v>
      </c>
      <c r="I1129" s="13">
        <v>3</v>
      </c>
      <c r="J1129" s="13">
        <v>0</v>
      </c>
      <c r="K1129" s="13">
        <v>0</v>
      </c>
      <c r="L1129" s="75">
        <v>0</v>
      </c>
      <c r="M1129" s="75"/>
      <c r="N1129" s="75"/>
      <c r="O1129" s="75"/>
      <c r="P1129" s="75"/>
      <c r="Q1129" s="30">
        <f t="shared" si="132"/>
        <v>23</v>
      </c>
      <c r="R1129" s="30">
        <f t="shared" si="133"/>
        <v>1165</v>
      </c>
      <c r="S1129" s="30">
        <f t="shared" si="134"/>
        <v>1188</v>
      </c>
    </row>
    <row r="1130" spans="1:19">
      <c r="A1130" s="187" t="s">
        <v>11</v>
      </c>
      <c r="B1130" s="187"/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75">
        <v>0</v>
      </c>
      <c r="M1130" s="75"/>
      <c r="N1130" s="75"/>
      <c r="O1130" s="75"/>
      <c r="P1130" s="75"/>
      <c r="Q1130" s="30">
        <f t="shared" si="132"/>
        <v>0</v>
      </c>
      <c r="R1130" s="30">
        <f t="shared" si="133"/>
        <v>0</v>
      </c>
      <c r="S1130" s="30">
        <f t="shared" si="134"/>
        <v>0</v>
      </c>
    </row>
    <row r="1131" spans="1:19">
      <c r="A1131" s="188" t="s">
        <v>12</v>
      </c>
      <c r="B1131" s="188"/>
      <c r="C1131" s="30">
        <f t="shared" ref="C1131:L1131" si="135">SUM(C1118:C1130)</f>
        <v>486</v>
      </c>
      <c r="D1131" s="30">
        <f t="shared" si="135"/>
        <v>564</v>
      </c>
      <c r="E1131" s="30">
        <f t="shared" si="135"/>
        <v>814</v>
      </c>
      <c r="F1131" s="30">
        <f t="shared" si="135"/>
        <v>538</v>
      </c>
      <c r="G1131" s="30">
        <f t="shared" si="135"/>
        <v>514</v>
      </c>
      <c r="H1131" s="30">
        <f t="shared" si="135"/>
        <v>462</v>
      </c>
      <c r="I1131" s="30">
        <f t="shared" si="135"/>
        <v>400</v>
      </c>
      <c r="J1131" s="30">
        <f t="shared" si="135"/>
        <v>542</v>
      </c>
      <c r="K1131" s="30">
        <f t="shared" si="135"/>
        <v>517</v>
      </c>
      <c r="L1131" s="76">
        <f t="shared" si="135"/>
        <v>526</v>
      </c>
      <c r="M1131" s="75"/>
      <c r="N1131" s="75"/>
      <c r="O1131" s="75"/>
      <c r="P1131" s="75"/>
      <c r="Q1131" s="30">
        <f t="shared" si="132"/>
        <v>5363</v>
      </c>
      <c r="R1131" s="30">
        <f>S1097</f>
        <v>265219</v>
      </c>
      <c r="S1131" s="30">
        <f t="shared" si="134"/>
        <v>270582</v>
      </c>
    </row>
    <row r="1132" spans="1:19" ht="39.75" customHeight="1">
      <c r="A1132" s="5"/>
      <c r="B1132" s="5"/>
      <c r="C1132" s="6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8"/>
      <c r="R1132" s="7"/>
      <c r="S1132" s="7"/>
    </row>
    <row r="1133" spans="1:19" ht="22.5">
      <c r="A1133" s="31"/>
      <c r="B1133" s="31"/>
      <c r="C1133" s="10" t="s">
        <v>13</v>
      </c>
      <c r="D1133" s="10" t="s">
        <v>13</v>
      </c>
      <c r="E1133" s="10" t="s">
        <v>13</v>
      </c>
      <c r="F1133" s="10" t="s">
        <v>13</v>
      </c>
      <c r="G1133" s="10" t="s">
        <v>13</v>
      </c>
      <c r="H1133" s="10" t="s">
        <v>13</v>
      </c>
      <c r="I1133" s="10" t="s">
        <v>13</v>
      </c>
      <c r="J1133" s="10" t="s">
        <v>13</v>
      </c>
      <c r="K1133" s="10" t="s">
        <v>13</v>
      </c>
      <c r="L1133" s="10" t="s">
        <v>13</v>
      </c>
      <c r="M1133" s="10" t="s">
        <v>13</v>
      </c>
      <c r="N1133" s="10" t="s">
        <v>13</v>
      </c>
      <c r="O1133" s="10" t="s">
        <v>13</v>
      </c>
      <c r="P1133" s="10" t="s">
        <v>13</v>
      </c>
      <c r="Q1133" s="10" t="s">
        <v>13</v>
      </c>
      <c r="R1133" s="10" t="s">
        <v>13</v>
      </c>
      <c r="S1133" s="10" t="s">
        <v>13</v>
      </c>
    </row>
    <row r="1134" spans="1:19" ht="35.25" customHeight="1">
      <c r="A1134" s="31"/>
      <c r="B1134" s="31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 ht="22.5">
      <c r="A1135" s="31"/>
      <c r="B1135" s="31"/>
      <c r="C1135" s="10" t="s">
        <v>14</v>
      </c>
      <c r="D1135" s="10" t="s">
        <v>14</v>
      </c>
      <c r="E1135" s="10" t="s">
        <v>14</v>
      </c>
      <c r="F1135" s="10" t="s">
        <v>14</v>
      </c>
      <c r="G1135" s="10" t="s">
        <v>14</v>
      </c>
      <c r="H1135" s="10" t="s">
        <v>14</v>
      </c>
      <c r="I1135" s="10" t="s">
        <v>14</v>
      </c>
      <c r="J1135" s="10" t="s">
        <v>14</v>
      </c>
      <c r="K1135" s="10" t="s">
        <v>14</v>
      </c>
      <c r="L1135" s="10" t="s">
        <v>14</v>
      </c>
      <c r="M1135" s="10" t="s">
        <v>14</v>
      </c>
      <c r="N1135" s="10" t="s">
        <v>14</v>
      </c>
      <c r="O1135" s="10" t="s">
        <v>14</v>
      </c>
      <c r="P1135" s="10" t="s">
        <v>14</v>
      </c>
      <c r="Q1135" s="10" t="s">
        <v>14</v>
      </c>
      <c r="R1135" s="10" t="s">
        <v>14</v>
      </c>
      <c r="S1135" s="10" t="s">
        <v>14</v>
      </c>
    </row>
    <row r="1136" spans="1:19">
      <c r="A1136" s="31"/>
      <c r="B1136" s="31"/>
      <c r="C1136" s="31"/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</row>
    <row r="1137" spans="1:19">
      <c r="A1137" s="189" t="s">
        <v>15</v>
      </c>
      <c r="B1137" s="189"/>
      <c r="C1137" s="164" t="s">
        <v>16</v>
      </c>
      <c r="D1137" s="164"/>
      <c r="E1137" s="164"/>
      <c r="F1137" s="164"/>
      <c r="G1137" s="164"/>
      <c r="H1137" s="164"/>
      <c r="I1137" s="164"/>
      <c r="J1137" s="164"/>
      <c r="K1137" s="164"/>
      <c r="L1137" s="164"/>
      <c r="M1137" s="164"/>
      <c r="N1137" s="164"/>
      <c r="O1137" s="164"/>
      <c r="P1137" s="164"/>
      <c r="Q1137" s="164"/>
      <c r="R1137" s="31"/>
      <c r="S1137" s="31"/>
    </row>
    <row r="1138" spans="1:19">
      <c r="A1138" s="31"/>
      <c r="B1138" s="31"/>
      <c r="C1138" s="164" t="s">
        <v>17</v>
      </c>
      <c r="D1138" s="164"/>
      <c r="E1138" s="164"/>
      <c r="F1138" s="164"/>
      <c r="G1138" s="164"/>
      <c r="H1138" s="164"/>
      <c r="I1138" s="164"/>
      <c r="J1138" s="164"/>
      <c r="K1138" s="164"/>
      <c r="L1138" s="164"/>
      <c r="M1138" s="164"/>
      <c r="N1138" s="164"/>
      <c r="O1138" s="164"/>
      <c r="P1138" s="164"/>
      <c r="Q1138" s="164"/>
      <c r="R1138" s="31"/>
      <c r="S1138" s="31"/>
    </row>
    <row r="1139" spans="1:19">
      <c r="A1139" s="31"/>
      <c r="B1139" s="31"/>
      <c r="C1139" s="164" t="s">
        <v>44</v>
      </c>
      <c r="D1139" s="164"/>
      <c r="E1139" s="164"/>
      <c r="F1139" s="164"/>
      <c r="G1139" s="164"/>
      <c r="H1139" s="164"/>
      <c r="I1139" s="164"/>
      <c r="J1139" s="164"/>
      <c r="K1139" s="164"/>
      <c r="L1139" s="164"/>
      <c r="M1139" s="164"/>
      <c r="N1139" s="164"/>
      <c r="O1139" s="164"/>
      <c r="P1139" s="164"/>
      <c r="Q1139" s="164"/>
      <c r="R1139" s="31"/>
      <c r="S1139" s="31"/>
    </row>
    <row r="1140" spans="1:19">
      <c r="A1140" s="31"/>
      <c r="B1140" s="31"/>
      <c r="C1140" s="164" t="s">
        <v>45</v>
      </c>
      <c r="D1140" s="164"/>
      <c r="E1140" s="164"/>
      <c r="F1140" s="164"/>
      <c r="G1140" s="164"/>
      <c r="H1140" s="164"/>
      <c r="I1140" s="164"/>
      <c r="J1140" s="164"/>
      <c r="K1140" s="164"/>
      <c r="L1140" s="164"/>
      <c r="M1140" s="164"/>
      <c r="N1140" s="164"/>
      <c r="O1140" s="164"/>
      <c r="P1140" s="164"/>
      <c r="Q1140" s="164"/>
      <c r="R1140" s="31"/>
      <c r="S1140" s="31"/>
    </row>
    <row r="1145" spans="1:19" ht="26.25">
      <c r="A1145" s="190" t="s">
        <v>0</v>
      </c>
      <c r="B1145" s="190"/>
      <c r="C1145" s="190"/>
      <c r="D1145" s="190"/>
      <c r="E1145" s="190"/>
      <c r="F1145" s="190"/>
      <c r="G1145" s="190"/>
      <c r="H1145" s="190"/>
      <c r="I1145" s="190"/>
      <c r="J1145" s="190"/>
      <c r="K1145" s="190"/>
      <c r="L1145" s="190"/>
      <c r="M1145" s="190"/>
      <c r="N1145" s="190"/>
      <c r="O1145" s="190"/>
      <c r="P1145" s="190"/>
      <c r="Q1145" s="190"/>
      <c r="R1145" s="190"/>
      <c r="S1145" s="190"/>
    </row>
    <row r="1146" spans="1:19" ht="19.5">
      <c r="A1146" s="191" t="s">
        <v>1225</v>
      </c>
      <c r="B1146" s="191"/>
      <c r="C1146" s="191"/>
      <c r="D1146" s="191"/>
      <c r="E1146" s="191"/>
      <c r="F1146" s="191"/>
      <c r="G1146" s="191"/>
      <c r="H1146" s="191"/>
      <c r="I1146" s="1"/>
      <c r="J1146" s="1"/>
      <c r="K1146" s="192" t="s">
        <v>1226</v>
      </c>
      <c r="L1146" s="192"/>
      <c r="M1146" s="192"/>
      <c r="N1146" s="192"/>
      <c r="O1146" s="1"/>
      <c r="P1146" s="193" t="s">
        <v>1</v>
      </c>
      <c r="Q1146" s="193"/>
      <c r="R1146" s="194">
        <v>44630</v>
      </c>
      <c r="S1146" s="194"/>
    </row>
    <row r="1147" spans="1:19" ht="15" customHeight="1">
      <c r="A1147" s="188" t="s">
        <v>2</v>
      </c>
      <c r="B1147" s="188"/>
      <c r="C1147" s="140">
        <v>1</v>
      </c>
      <c r="D1147" s="140"/>
      <c r="E1147" s="140"/>
      <c r="F1147" s="140"/>
      <c r="G1147" s="140"/>
      <c r="H1147" s="140"/>
      <c r="I1147" s="140"/>
      <c r="J1147" s="140"/>
      <c r="K1147" s="140"/>
      <c r="L1147" s="145"/>
      <c r="M1147" s="145"/>
      <c r="N1147" s="145"/>
      <c r="O1147" s="145"/>
      <c r="P1147" s="145"/>
      <c r="Q1147" s="195" t="s">
        <v>3</v>
      </c>
      <c r="R1147" s="195" t="s">
        <v>4</v>
      </c>
      <c r="S1147" s="195" t="s">
        <v>5</v>
      </c>
    </row>
    <row r="1148" spans="1:19" ht="15" customHeight="1">
      <c r="A1148" s="165" t="s">
        <v>6</v>
      </c>
      <c r="B1148" s="167"/>
      <c r="C1148" s="40">
        <v>432</v>
      </c>
      <c r="D1148" s="40"/>
      <c r="E1148" s="40"/>
      <c r="F1148" s="40"/>
      <c r="G1148" s="40"/>
      <c r="H1148" s="40"/>
      <c r="I1148" s="40"/>
      <c r="J1148" s="40"/>
      <c r="K1148" s="40"/>
      <c r="L1148" s="40"/>
      <c r="M1148" s="77"/>
      <c r="N1148" s="77"/>
      <c r="O1148" s="77"/>
      <c r="P1148" s="77"/>
      <c r="Q1148" s="196"/>
      <c r="R1148" s="196"/>
      <c r="S1148" s="196"/>
    </row>
    <row r="1149" spans="1:19">
      <c r="A1149" s="165" t="s">
        <v>18</v>
      </c>
      <c r="B1149" s="167"/>
      <c r="C1149" s="44">
        <f>'Booth detail'!QV36</f>
        <v>0</v>
      </c>
      <c r="D1149" s="44"/>
      <c r="E1149" s="44"/>
      <c r="F1149" s="44"/>
      <c r="G1149" s="44"/>
      <c r="H1149" s="44"/>
      <c r="I1149" s="44"/>
      <c r="J1149" s="44"/>
      <c r="K1149" s="44"/>
      <c r="L1149" s="44"/>
      <c r="M1149" s="78"/>
      <c r="N1149" s="78"/>
      <c r="O1149" s="78"/>
      <c r="P1149" s="78"/>
      <c r="Q1149" s="196"/>
      <c r="R1149" s="196"/>
      <c r="S1149" s="196"/>
    </row>
    <row r="1150" spans="1:19" ht="42.75" customHeight="1">
      <c r="A1150" s="198" t="s">
        <v>20</v>
      </c>
      <c r="B1150" s="199"/>
      <c r="C1150" s="74">
        <f>'Booth detail'!QV37</f>
        <v>0</v>
      </c>
      <c r="D1150" s="74"/>
      <c r="E1150" s="74"/>
      <c r="F1150" s="74"/>
      <c r="G1150" s="74"/>
      <c r="H1150" s="74"/>
      <c r="I1150" s="74"/>
      <c r="J1150" s="74"/>
      <c r="K1150" s="74"/>
      <c r="L1150" s="79"/>
      <c r="M1150" s="79"/>
      <c r="N1150" s="79"/>
      <c r="O1150" s="79"/>
      <c r="P1150" s="79"/>
      <c r="Q1150" s="196"/>
      <c r="R1150" s="196"/>
      <c r="S1150" s="196"/>
    </row>
    <row r="1151" spans="1:19">
      <c r="A1151" s="146" t="s">
        <v>7</v>
      </c>
      <c r="B1151" s="139" t="s">
        <v>8</v>
      </c>
      <c r="C1151" s="141" t="s">
        <v>9</v>
      </c>
      <c r="D1151" s="141"/>
      <c r="E1151" s="141"/>
      <c r="F1151" s="141"/>
      <c r="G1151" s="141"/>
      <c r="H1151" s="141"/>
      <c r="I1151" s="141"/>
      <c r="J1151" s="141"/>
      <c r="K1151" s="141"/>
      <c r="L1151" s="140"/>
      <c r="M1151" s="145"/>
      <c r="N1151" s="145"/>
      <c r="O1151" s="145"/>
      <c r="P1151" s="145"/>
      <c r="Q1151" s="197"/>
      <c r="R1151" s="197"/>
      <c r="S1151" s="197"/>
    </row>
    <row r="1152" spans="1:19" ht="18.75" customHeight="1">
      <c r="A1152" s="142">
        <v>1</v>
      </c>
      <c r="B1152" s="15" t="s">
        <v>113</v>
      </c>
      <c r="C1152" s="13">
        <v>493</v>
      </c>
      <c r="D1152" s="13"/>
      <c r="E1152" s="13"/>
      <c r="F1152" s="13"/>
      <c r="G1152" s="13"/>
      <c r="H1152" s="13"/>
      <c r="I1152" s="13"/>
      <c r="J1152" s="13"/>
      <c r="K1152" s="13"/>
      <c r="L1152" s="145"/>
      <c r="M1152" s="145"/>
      <c r="N1152" s="145"/>
      <c r="O1152" s="145"/>
      <c r="P1152" s="145"/>
      <c r="Q1152" s="140">
        <f>SUM(C1152:P1152)</f>
        <v>493</v>
      </c>
      <c r="R1152" s="140">
        <f>S1118</f>
        <v>41858</v>
      </c>
      <c r="S1152" s="140">
        <f>Q1152+R1152</f>
        <v>42351</v>
      </c>
    </row>
    <row r="1153" spans="1:19" ht="18.75" customHeight="1">
      <c r="A1153" s="142">
        <v>2</v>
      </c>
      <c r="B1153" s="15" t="s">
        <v>114</v>
      </c>
      <c r="C1153" s="13">
        <v>26</v>
      </c>
      <c r="D1153" s="13"/>
      <c r="E1153" s="13"/>
      <c r="F1153" s="13"/>
      <c r="G1153" s="13"/>
      <c r="H1153" s="13"/>
      <c r="I1153" s="13"/>
      <c r="J1153" s="13"/>
      <c r="K1153" s="13"/>
      <c r="L1153" s="145"/>
      <c r="M1153" s="145"/>
      <c r="N1153" s="145"/>
      <c r="O1153" s="145"/>
      <c r="P1153" s="145"/>
      <c r="Q1153" s="140">
        <f t="shared" ref="Q1153:Q1165" si="136">SUM(C1153:P1153)</f>
        <v>26</v>
      </c>
      <c r="R1153" s="140">
        <f t="shared" ref="R1153:R1165" si="137">S1119</f>
        <v>95648</v>
      </c>
      <c r="S1153" s="140">
        <f t="shared" ref="S1153:S1165" si="138">Q1153+R1153</f>
        <v>95674</v>
      </c>
    </row>
    <row r="1154" spans="1:19" ht="18.75" customHeight="1">
      <c r="A1154" s="142">
        <v>3</v>
      </c>
      <c r="B1154" s="15" t="s">
        <v>115</v>
      </c>
      <c r="C1154" s="13">
        <v>54</v>
      </c>
      <c r="D1154" s="13"/>
      <c r="E1154" s="13"/>
      <c r="F1154" s="13"/>
      <c r="G1154" s="13"/>
      <c r="H1154" s="13"/>
      <c r="I1154" s="13"/>
      <c r="J1154" s="13"/>
      <c r="K1154" s="13"/>
      <c r="L1154" s="145"/>
      <c r="M1154" s="145"/>
      <c r="N1154" s="145"/>
      <c r="O1154" s="145"/>
      <c r="P1154" s="145"/>
      <c r="Q1154" s="140">
        <f t="shared" si="136"/>
        <v>54</v>
      </c>
      <c r="R1154" s="140">
        <f t="shared" si="137"/>
        <v>124566</v>
      </c>
      <c r="S1154" s="140">
        <f t="shared" si="138"/>
        <v>124620</v>
      </c>
    </row>
    <row r="1155" spans="1:19" ht="18.75" customHeight="1">
      <c r="A1155" s="142">
        <v>4</v>
      </c>
      <c r="B1155" s="15" t="s">
        <v>116</v>
      </c>
      <c r="C1155" s="13">
        <v>2</v>
      </c>
      <c r="D1155" s="13"/>
      <c r="E1155" s="13"/>
      <c r="F1155" s="13"/>
      <c r="G1155" s="13"/>
      <c r="H1155" s="13"/>
      <c r="I1155" s="13"/>
      <c r="J1155" s="13"/>
      <c r="K1155" s="13"/>
      <c r="L1155" s="145"/>
      <c r="M1155" s="145"/>
      <c r="N1155" s="145"/>
      <c r="O1155" s="145"/>
      <c r="P1155" s="145"/>
      <c r="Q1155" s="140">
        <f t="shared" si="136"/>
        <v>2</v>
      </c>
      <c r="R1155" s="140">
        <f t="shared" si="137"/>
        <v>2265</v>
      </c>
      <c r="S1155" s="140">
        <f t="shared" si="138"/>
        <v>2267</v>
      </c>
    </row>
    <row r="1156" spans="1:19" ht="18.75" customHeight="1">
      <c r="A1156" s="142">
        <v>5</v>
      </c>
      <c r="B1156" s="15" t="s">
        <v>117</v>
      </c>
      <c r="C1156" s="13">
        <v>0</v>
      </c>
      <c r="D1156" s="13"/>
      <c r="E1156" s="13"/>
      <c r="F1156" s="13"/>
      <c r="G1156" s="13"/>
      <c r="H1156" s="13"/>
      <c r="I1156" s="13"/>
      <c r="J1156" s="13"/>
      <c r="K1156" s="13"/>
      <c r="L1156" s="145"/>
      <c r="M1156" s="145"/>
      <c r="N1156" s="145"/>
      <c r="O1156" s="145"/>
      <c r="P1156" s="145"/>
      <c r="Q1156" s="140">
        <f t="shared" si="136"/>
        <v>0</v>
      </c>
      <c r="R1156" s="140">
        <f t="shared" si="137"/>
        <v>681</v>
      </c>
      <c r="S1156" s="140">
        <f t="shared" si="138"/>
        <v>681</v>
      </c>
    </row>
    <row r="1157" spans="1:19" ht="18.75" customHeight="1">
      <c r="A1157" s="142">
        <v>6</v>
      </c>
      <c r="B1157" s="15" t="s">
        <v>118</v>
      </c>
      <c r="C1157" s="13">
        <v>2</v>
      </c>
      <c r="D1157" s="13"/>
      <c r="E1157" s="13"/>
      <c r="F1157" s="13"/>
      <c r="G1157" s="13"/>
      <c r="H1157" s="13"/>
      <c r="I1157" s="13"/>
      <c r="J1157" s="13"/>
      <c r="K1157" s="13"/>
      <c r="L1157" s="145"/>
      <c r="M1157" s="145"/>
      <c r="N1157" s="145"/>
      <c r="O1157" s="145"/>
      <c r="P1157" s="145"/>
      <c r="Q1157" s="140">
        <f t="shared" si="136"/>
        <v>2</v>
      </c>
      <c r="R1157" s="140">
        <f t="shared" si="137"/>
        <v>115</v>
      </c>
      <c r="S1157" s="140">
        <f t="shared" si="138"/>
        <v>117</v>
      </c>
    </row>
    <row r="1158" spans="1:19" ht="18.75" customHeight="1">
      <c r="A1158" s="142">
        <v>7</v>
      </c>
      <c r="B1158" s="15" t="s">
        <v>119</v>
      </c>
      <c r="C1158" s="13">
        <v>1</v>
      </c>
      <c r="D1158" s="13"/>
      <c r="E1158" s="13"/>
      <c r="F1158" s="13"/>
      <c r="G1158" s="13"/>
      <c r="H1158" s="13"/>
      <c r="I1158" s="13"/>
      <c r="J1158" s="13"/>
      <c r="K1158" s="13"/>
      <c r="L1158" s="145"/>
      <c r="M1158" s="145"/>
      <c r="N1158" s="145"/>
      <c r="O1158" s="145"/>
      <c r="P1158" s="145"/>
      <c r="Q1158" s="140">
        <f t="shared" si="136"/>
        <v>1</v>
      </c>
      <c r="R1158" s="140">
        <f t="shared" si="137"/>
        <v>201</v>
      </c>
      <c r="S1158" s="140">
        <f t="shared" si="138"/>
        <v>202</v>
      </c>
    </row>
    <row r="1159" spans="1:19" ht="18.75" customHeight="1">
      <c r="A1159" s="142">
        <v>8</v>
      </c>
      <c r="B1159" s="15" t="s">
        <v>120</v>
      </c>
      <c r="C1159" s="13">
        <v>1</v>
      </c>
      <c r="D1159" s="13"/>
      <c r="E1159" s="13"/>
      <c r="F1159" s="13"/>
      <c r="G1159" s="13"/>
      <c r="H1159" s="13"/>
      <c r="I1159" s="13"/>
      <c r="J1159" s="13"/>
      <c r="K1159" s="13"/>
      <c r="L1159" s="145"/>
      <c r="M1159" s="145"/>
      <c r="N1159" s="145"/>
      <c r="O1159" s="145"/>
      <c r="P1159" s="145"/>
      <c r="Q1159" s="140">
        <f t="shared" si="136"/>
        <v>1</v>
      </c>
      <c r="R1159" s="140">
        <f t="shared" si="137"/>
        <v>466</v>
      </c>
      <c r="S1159" s="140">
        <f t="shared" si="138"/>
        <v>467</v>
      </c>
    </row>
    <row r="1160" spans="1:19" ht="18.75" customHeight="1">
      <c r="A1160" s="142">
        <v>9</v>
      </c>
      <c r="B1160" s="15" t="s">
        <v>121</v>
      </c>
      <c r="C1160" s="13">
        <v>2</v>
      </c>
      <c r="D1160" s="13"/>
      <c r="E1160" s="13"/>
      <c r="F1160" s="13"/>
      <c r="G1160" s="13"/>
      <c r="H1160" s="13"/>
      <c r="I1160" s="13"/>
      <c r="J1160" s="13"/>
      <c r="K1160" s="13"/>
      <c r="L1160" s="145"/>
      <c r="M1160" s="145"/>
      <c r="N1160" s="145"/>
      <c r="O1160" s="145"/>
      <c r="P1160" s="145"/>
      <c r="Q1160" s="140">
        <f t="shared" si="136"/>
        <v>2</v>
      </c>
      <c r="R1160" s="140">
        <f t="shared" si="137"/>
        <v>1729</v>
      </c>
      <c r="S1160" s="140">
        <f t="shared" si="138"/>
        <v>1731</v>
      </c>
    </row>
    <row r="1161" spans="1:19" ht="18.75" customHeight="1">
      <c r="A1161" s="142">
        <v>10</v>
      </c>
      <c r="B1161" s="15" t="s">
        <v>122</v>
      </c>
      <c r="C1161" s="13">
        <v>2</v>
      </c>
      <c r="D1161" s="13"/>
      <c r="E1161" s="13"/>
      <c r="F1161" s="13"/>
      <c r="G1161" s="13"/>
      <c r="H1161" s="13"/>
      <c r="I1161" s="13"/>
      <c r="J1161" s="13"/>
      <c r="K1161" s="13"/>
      <c r="L1161" s="145"/>
      <c r="M1161" s="145"/>
      <c r="N1161" s="145"/>
      <c r="O1161" s="145"/>
      <c r="P1161" s="145"/>
      <c r="Q1161" s="140">
        <f t="shared" si="136"/>
        <v>2</v>
      </c>
      <c r="R1161" s="140">
        <f t="shared" si="137"/>
        <v>1338</v>
      </c>
      <c r="S1161" s="140">
        <f t="shared" si="138"/>
        <v>1340</v>
      </c>
    </row>
    <row r="1162" spans="1:19" ht="18.75" customHeight="1">
      <c r="A1162" s="142">
        <v>11</v>
      </c>
      <c r="B1162" s="15" t="s">
        <v>123</v>
      </c>
      <c r="C1162" s="13">
        <v>0</v>
      </c>
      <c r="D1162" s="13"/>
      <c r="E1162" s="13"/>
      <c r="F1162" s="13"/>
      <c r="G1162" s="13"/>
      <c r="H1162" s="13"/>
      <c r="I1162" s="13"/>
      <c r="J1162" s="13"/>
      <c r="K1162" s="13"/>
      <c r="L1162" s="145"/>
      <c r="M1162" s="145"/>
      <c r="N1162" s="145"/>
      <c r="O1162" s="145"/>
      <c r="P1162" s="145"/>
      <c r="Q1162" s="140">
        <f t="shared" si="136"/>
        <v>0</v>
      </c>
      <c r="R1162" s="140">
        <f t="shared" si="137"/>
        <v>527</v>
      </c>
      <c r="S1162" s="140">
        <f t="shared" si="138"/>
        <v>527</v>
      </c>
    </row>
    <row r="1163" spans="1:19" ht="18.75" customHeight="1">
      <c r="A1163" s="142">
        <v>12</v>
      </c>
      <c r="B1163" s="21" t="s">
        <v>10</v>
      </c>
      <c r="C1163" s="13">
        <v>6</v>
      </c>
      <c r="D1163" s="13"/>
      <c r="E1163" s="13"/>
      <c r="F1163" s="13"/>
      <c r="G1163" s="13"/>
      <c r="H1163" s="13"/>
      <c r="I1163" s="13"/>
      <c r="J1163" s="13"/>
      <c r="K1163" s="13"/>
      <c r="L1163" s="145"/>
      <c r="M1163" s="145"/>
      <c r="N1163" s="145"/>
      <c r="O1163" s="145"/>
      <c r="P1163" s="145"/>
      <c r="Q1163" s="140">
        <f t="shared" si="136"/>
        <v>6</v>
      </c>
      <c r="R1163" s="140">
        <f t="shared" si="137"/>
        <v>1188</v>
      </c>
      <c r="S1163" s="140">
        <f t="shared" si="138"/>
        <v>1194</v>
      </c>
    </row>
    <row r="1164" spans="1:19">
      <c r="A1164" s="187" t="s">
        <v>11</v>
      </c>
      <c r="B1164" s="187"/>
      <c r="C1164" s="4">
        <v>0</v>
      </c>
      <c r="D1164" s="4"/>
      <c r="E1164" s="4"/>
      <c r="F1164" s="4"/>
      <c r="G1164" s="4"/>
      <c r="H1164" s="4"/>
      <c r="I1164" s="4"/>
      <c r="J1164" s="4"/>
      <c r="K1164" s="4"/>
      <c r="L1164" s="145"/>
      <c r="M1164" s="145"/>
      <c r="N1164" s="145"/>
      <c r="O1164" s="145"/>
      <c r="P1164" s="145"/>
      <c r="Q1164" s="140">
        <f t="shared" si="136"/>
        <v>0</v>
      </c>
      <c r="R1164" s="140">
        <f t="shared" si="137"/>
        <v>0</v>
      </c>
      <c r="S1164" s="140">
        <f t="shared" si="138"/>
        <v>0</v>
      </c>
    </row>
    <row r="1165" spans="1:19">
      <c r="A1165" s="188" t="s">
        <v>12</v>
      </c>
      <c r="B1165" s="188"/>
      <c r="C1165" s="140">
        <f t="shared" ref="C1165" si="139">SUM(C1152:C1164)</f>
        <v>589</v>
      </c>
      <c r="D1165" s="140"/>
      <c r="E1165" s="140"/>
      <c r="F1165" s="140"/>
      <c r="G1165" s="140"/>
      <c r="H1165" s="140"/>
      <c r="I1165" s="140"/>
      <c r="J1165" s="140"/>
      <c r="K1165" s="140"/>
      <c r="L1165" s="144"/>
      <c r="M1165" s="145"/>
      <c r="N1165" s="145"/>
      <c r="O1165" s="145"/>
      <c r="P1165" s="145"/>
      <c r="Q1165" s="140">
        <f t="shared" si="136"/>
        <v>589</v>
      </c>
      <c r="R1165" s="140">
        <f t="shared" si="137"/>
        <v>270582</v>
      </c>
      <c r="S1165" s="140">
        <f t="shared" si="138"/>
        <v>271171</v>
      </c>
    </row>
    <row r="1166" spans="1:19" ht="42" customHeight="1">
      <c r="A1166" s="5"/>
      <c r="B1166" s="5"/>
      <c r="C1166" s="6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8"/>
      <c r="R1166" s="7"/>
      <c r="S1166" s="7"/>
    </row>
    <row r="1167" spans="1:19" ht="22.5">
      <c r="A1167" s="143"/>
      <c r="B1167" s="143"/>
      <c r="C1167" s="10" t="s">
        <v>13</v>
      </c>
      <c r="D1167" s="10" t="s">
        <v>13</v>
      </c>
      <c r="E1167" s="10" t="s">
        <v>13</v>
      </c>
      <c r="F1167" s="10" t="s">
        <v>13</v>
      </c>
      <c r="G1167" s="10" t="s">
        <v>13</v>
      </c>
      <c r="H1167" s="10" t="s">
        <v>13</v>
      </c>
      <c r="I1167" s="10" t="s">
        <v>13</v>
      </c>
      <c r="J1167" s="10" t="s">
        <v>13</v>
      </c>
      <c r="K1167" s="10" t="s">
        <v>13</v>
      </c>
      <c r="L1167" s="10" t="s">
        <v>13</v>
      </c>
      <c r="M1167" s="10" t="s">
        <v>13</v>
      </c>
      <c r="N1167" s="10" t="s">
        <v>13</v>
      </c>
      <c r="O1167" s="10" t="s">
        <v>13</v>
      </c>
      <c r="P1167" s="10" t="s">
        <v>13</v>
      </c>
      <c r="Q1167" s="10" t="s">
        <v>13</v>
      </c>
      <c r="R1167" s="10" t="s">
        <v>13</v>
      </c>
      <c r="S1167" s="10" t="s">
        <v>13</v>
      </c>
    </row>
    <row r="1168" spans="1:19" ht="39" customHeight="1">
      <c r="A1168" s="143"/>
      <c r="B1168" s="143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 ht="22.5">
      <c r="A1169" s="143"/>
      <c r="B1169" s="143"/>
      <c r="C1169" s="10" t="s">
        <v>14</v>
      </c>
      <c r="D1169" s="10" t="s">
        <v>14</v>
      </c>
      <c r="E1169" s="10" t="s">
        <v>14</v>
      </c>
      <c r="F1169" s="10" t="s">
        <v>14</v>
      </c>
      <c r="G1169" s="10" t="s">
        <v>14</v>
      </c>
      <c r="H1169" s="10" t="s">
        <v>14</v>
      </c>
      <c r="I1169" s="10" t="s">
        <v>14</v>
      </c>
      <c r="J1169" s="10" t="s">
        <v>14</v>
      </c>
      <c r="K1169" s="10" t="s">
        <v>14</v>
      </c>
      <c r="L1169" s="10" t="s">
        <v>14</v>
      </c>
      <c r="M1169" s="10" t="s">
        <v>14</v>
      </c>
      <c r="N1169" s="10" t="s">
        <v>14</v>
      </c>
      <c r="O1169" s="10" t="s">
        <v>14</v>
      </c>
      <c r="P1169" s="10" t="s">
        <v>14</v>
      </c>
      <c r="Q1169" s="10" t="s">
        <v>14</v>
      </c>
      <c r="R1169" s="10" t="s">
        <v>14</v>
      </c>
      <c r="S1169" s="10" t="s">
        <v>14</v>
      </c>
    </row>
    <row r="1170" spans="1:19">
      <c r="A1170" s="143"/>
      <c r="B1170" s="143"/>
      <c r="C1170" s="143"/>
      <c r="D1170" s="143"/>
      <c r="E1170" s="143"/>
      <c r="F1170" s="143"/>
      <c r="G1170" s="143"/>
      <c r="H1170" s="143"/>
      <c r="I1170" s="143"/>
      <c r="J1170" s="143"/>
      <c r="K1170" s="143"/>
      <c r="L1170" s="143"/>
      <c r="M1170" s="143"/>
      <c r="N1170" s="143"/>
      <c r="O1170" s="143"/>
      <c r="P1170" s="143"/>
      <c r="Q1170" s="143"/>
      <c r="R1170" s="143"/>
      <c r="S1170" s="143"/>
    </row>
    <row r="1171" spans="1:19">
      <c r="A1171" s="189" t="s">
        <v>15</v>
      </c>
      <c r="B1171" s="189"/>
      <c r="C1171" s="164" t="s">
        <v>16</v>
      </c>
      <c r="D1171" s="164"/>
      <c r="E1171" s="164"/>
      <c r="F1171" s="164"/>
      <c r="G1171" s="164"/>
      <c r="H1171" s="164"/>
      <c r="I1171" s="164"/>
      <c r="J1171" s="164"/>
      <c r="K1171" s="164"/>
      <c r="L1171" s="164"/>
      <c r="M1171" s="164"/>
      <c r="N1171" s="164"/>
      <c r="O1171" s="164"/>
      <c r="P1171" s="164"/>
      <c r="Q1171" s="164"/>
      <c r="R1171" s="143"/>
      <c r="S1171" s="143"/>
    </row>
    <row r="1172" spans="1:19">
      <c r="A1172" s="143"/>
      <c r="B1172" s="143"/>
      <c r="C1172" s="164" t="s">
        <v>17</v>
      </c>
      <c r="D1172" s="164"/>
      <c r="E1172" s="164"/>
      <c r="F1172" s="164"/>
      <c r="G1172" s="164"/>
      <c r="H1172" s="164"/>
      <c r="I1172" s="164"/>
      <c r="J1172" s="164"/>
      <c r="K1172" s="164"/>
      <c r="L1172" s="164"/>
      <c r="M1172" s="164"/>
      <c r="N1172" s="164"/>
      <c r="O1172" s="164"/>
      <c r="P1172" s="164"/>
      <c r="Q1172" s="164"/>
      <c r="R1172" s="143"/>
      <c r="S1172" s="143"/>
    </row>
    <row r="1173" spans="1:19">
      <c r="A1173" s="143"/>
      <c r="B1173" s="143"/>
      <c r="C1173" s="164" t="s">
        <v>44</v>
      </c>
      <c r="D1173" s="164"/>
      <c r="E1173" s="164"/>
      <c r="F1173" s="164"/>
      <c r="G1173" s="164"/>
      <c r="H1173" s="164"/>
      <c r="I1173" s="164"/>
      <c r="J1173" s="164"/>
      <c r="K1173" s="164"/>
      <c r="L1173" s="164"/>
      <c r="M1173" s="164"/>
      <c r="N1173" s="164"/>
      <c r="O1173" s="164"/>
      <c r="P1173" s="164"/>
      <c r="Q1173" s="164"/>
      <c r="R1173" s="143"/>
      <c r="S1173" s="143"/>
    </row>
    <row r="1174" spans="1:19">
      <c r="A1174" s="143"/>
      <c r="B1174" s="143"/>
      <c r="C1174" s="164" t="s">
        <v>45</v>
      </c>
      <c r="D1174" s="164"/>
      <c r="E1174" s="164"/>
      <c r="F1174" s="164"/>
      <c r="G1174" s="164"/>
      <c r="H1174" s="164"/>
      <c r="I1174" s="164"/>
      <c r="J1174" s="164"/>
      <c r="K1174" s="164"/>
      <c r="L1174" s="164"/>
      <c r="M1174" s="164"/>
      <c r="N1174" s="164"/>
      <c r="O1174" s="164"/>
      <c r="P1174" s="164"/>
      <c r="Q1174" s="164"/>
      <c r="R1174" s="143"/>
      <c r="S1174" s="143"/>
    </row>
    <row r="1178" spans="1:19" s="147" customFormat="1">
      <c r="H1178" s="52"/>
    </row>
    <row r="1179" spans="1:19" s="147" customFormat="1">
      <c r="H1179" s="52"/>
    </row>
    <row r="1180" spans="1:19" ht="26.25">
      <c r="A1180" s="190" t="s">
        <v>0</v>
      </c>
      <c r="B1180" s="190"/>
      <c r="C1180" s="190"/>
      <c r="D1180" s="190"/>
      <c r="E1180" s="190"/>
      <c r="F1180" s="190"/>
      <c r="G1180" s="190"/>
      <c r="H1180" s="190"/>
      <c r="I1180" s="190"/>
      <c r="J1180" s="190"/>
      <c r="K1180" s="190"/>
      <c r="L1180" s="190"/>
      <c r="M1180" s="190"/>
      <c r="N1180" s="190"/>
      <c r="O1180" s="190"/>
      <c r="P1180" s="190"/>
      <c r="Q1180" s="190"/>
      <c r="R1180" s="190"/>
      <c r="S1180" s="190"/>
    </row>
    <row r="1181" spans="1:19" ht="19.5">
      <c r="A1181" s="191" t="s">
        <v>1225</v>
      </c>
      <c r="B1181" s="191"/>
      <c r="C1181" s="191"/>
      <c r="D1181" s="191"/>
      <c r="E1181" s="191"/>
      <c r="F1181" s="191"/>
      <c r="G1181" s="191"/>
      <c r="H1181" s="191"/>
      <c r="I1181" s="1"/>
      <c r="J1181" s="1"/>
      <c r="K1181" s="192" t="s">
        <v>1069</v>
      </c>
      <c r="L1181" s="192"/>
      <c r="M1181" s="192"/>
      <c r="N1181" s="192"/>
      <c r="O1181" s="1"/>
      <c r="P1181" s="193" t="s">
        <v>1</v>
      </c>
      <c r="Q1181" s="193"/>
      <c r="R1181" s="194">
        <v>44630</v>
      </c>
      <c r="S1181" s="194"/>
    </row>
    <row r="1182" spans="1:19">
      <c r="A1182" s="168" t="s">
        <v>2</v>
      </c>
      <c r="B1182" s="169"/>
      <c r="C1182" s="165"/>
      <c r="D1182" s="166"/>
      <c r="E1182" s="166"/>
      <c r="F1182" s="166"/>
      <c r="G1182" s="166"/>
      <c r="H1182" s="166"/>
      <c r="I1182" s="166"/>
      <c r="J1182" s="166"/>
      <c r="K1182" s="166"/>
      <c r="L1182" s="166"/>
      <c r="M1182" s="166"/>
      <c r="N1182" s="166"/>
      <c r="O1182" s="166"/>
      <c r="P1182" s="167"/>
      <c r="Q1182" s="195" t="s">
        <v>3</v>
      </c>
      <c r="R1182" s="195" t="s">
        <v>4</v>
      </c>
      <c r="S1182" s="195" t="s">
        <v>5</v>
      </c>
    </row>
    <row r="1183" spans="1:19">
      <c r="A1183" s="170"/>
      <c r="B1183" s="171"/>
      <c r="C1183" s="172" t="s">
        <v>1070</v>
      </c>
      <c r="D1183" s="173"/>
      <c r="E1183" s="173"/>
      <c r="F1183" s="173"/>
      <c r="G1183" s="173"/>
      <c r="H1183" s="173"/>
      <c r="I1183" s="173"/>
      <c r="J1183" s="173"/>
      <c r="K1183" s="173"/>
      <c r="L1183" s="173"/>
      <c r="M1183" s="173"/>
      <c r="N1183" s="173"/>
      <c r="O1183" s="173"/>
      <c r="P1183" s="174"/>
      <c r="Q1183" s="196"/>
      <c r="R1183" s="196"/>
      <c r="S1183" s="196"/>
    </row>
    <row r="1184" spans="1:19">
      <c r="A1184" s="165"/>
      <c r="B1184" s="167"/>
      <c r="C1184" s="175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7"/>
      <c r="Q1184" s="196"/>
      <c r="R1184" s="196"/>
      <c r="S1184" s="196"/>
    </row>
    <row r="1185" spans="1:19">
      <c r="A1185" s="198" t="s">
        <v>20</v>
      </c>
      <c r="B1185" s="199"/>
      <c r="C1185" s="178"/>
      <c r="D1185" s="179"/>
      <c r="E1185" s="179"/>
      <c r="F1185" s="179"/>
      <c r="G1185" s="179"/>
      <c r="H1185" s="179"/>
      <c r="I1185" s="179"/>
      <c r="J1185" s="179"/>
      <c r="K1185" s="179"/>
      <c r="L1185" s="179"/>
      <c r="M1185" s="179"/>
      <c r="N1185" s="179"/>
      <c r="O1185" s="179"/>
      <c r="P1185" s="180"/>
      <c r="Q1185" s="196"/>
      <c r="R1185" s="196"/>
      <c r="S1185" s="196"/>
    </row>
    <row r="1186" spans="1:19">
      <c r="A1186" s="14" t="s">
        <v>7</v>
      </c>
      <c r="B1186" s="165" t="s">
        <v>8</v>
      </c>
      <c r="C1186" s="181"/>
      <c r="D1186" s="181"/>
      <c r="E1186" s="181"/>
      <c r="F1186" s="181"/>
      <c r="G1186" s="181"/>
      <c r="H1186" s="181"/>
      <c r="I1186" s="181"/>
      <c r="J1186" s="181"/>
      <c r="K1186" s="181"/>
      <c r="L1186" s="181"/>
      <c r="M1186" s="181"/>
      <c r="N1186" s="181"/>
      <c r="O1186" s="181"/>
      <c r="P1186" s="182"/>
      <c r="Q1186" s="197"/>
      <c r="R1186" s="197"/>
      <c r="S1186" s="197"/>
    </row>
    <row r="1187" spans="1:19" ht="15.75">
      <c r="A1187" s="69">
        <v>1</v>
      </c>
      <c r="B1187" s="15" t="str">
        <f>'Candidate List'!B2</f>
        <v>Manveer Singh</v>
      </c>
      <c r="C1187" s="183">
        <v>283</v>
      </c>
      <c r="D1187" s="184"/>
      <c r="E1187" s="184"/>
      <c r="F1187" s="184"/>
      <c r="G1187" s="184"/>
      <c r="H1187" s="184"/>
      <c r="I1187" s="184"/>
      <c r="J1187" s="184"/>
      <c r="K1187" s="184"/>
      <c r="L1187" s="184"/>
      <c r="M1187" s="184"/>
      <c r="N1187" s="184"/>
      <c r="O1187" s="184"/>
      <c r="P1187" s="185"/>
      <c r="Q1187" s="68">
        <f>C1187</f>
        <v>283</v>
      </c>
      <c r="R1187" s="68">
        <f>S1152</f>
        <v>42351</v>
      </c>
      <c r="S1187" s="68">
        <f>Q1187+R1187</f>
        <v>42634</v>
      </c>
    </row>
    <row r="1188" spans="1:19" ht="15.75">
      <c r="A1188" s="69">
        <v>2</v>
      </c>
      <c r="B1188" s="15" t="str">
        <f>'Candidate List'!B3</f>
        <v>Rahul Yadav</v>
      </c>
      <c r="C1188" s="183">
        <v>627</v>
      </c>
      <c r="D1188" s="184"/>
      <c r="E1188" s="184"/>
      <c r="F1188" s="184"/>
      <c r="G1188" s="184"/>
      <c r="H1188" s="184"/>
      <c r="I1188" s="184"/>
      <c r="J1188" s="184"/>
      <c r="K1188" s="184"/>
      <c r="L1188" s="184"/>
      <c r="M1188" s="184"/>
      <c r="N1188" s="184"/>
      <c r="O1188" s="184"/>
      <c r="P1188" s="185"/>
      <c r="Q1188" s="73">
        <f t="shared" ref="Q1188:Q1200" si="140">C1188</f>
        <v>627</v>
      </c>
      <c r="R1188" s="140">
        <f t="shared" ref="R1188:R1200" si="141">S1153</f>
        <v>95674</v>
      </c>
      <c r="S1188" s="68">
        <f t="shared" ref="S1188:S1200" si="142">Q1188+R1188</f>
        <v>96301</v>
      </c>
    </row>
    <row r="1189" spans="1:19" ht="15.75">
      <c r="A1189" s="69">
        <v>3</v>
      </c>
      <c r="B1189" s="15" t="str">
        <f>'Candidate List'!B4</f>
        <v>Lakshmi Raj</v>
      </c>
      <c r="C1189" s="183">
        <v>1024</v>
      </c>
      <c r="D1189" s="184"/>
      <c r="E1189" s="184"/>
      <c r="F1189" s="184"/>
      <c r="G1189" s="184"/>
      <c r="H1189" s="184"/>
      <c r="I1189" s="184"/>
      <c r="J1189" s="184"/>
      <c r="K1189" s="184"/>
      <c r="L1189" s="184"/>
      <c r="M1189" s="184"/>
      <c r="N1189" s="184"/>
      <c r="O1189" s="184"/>
      <c r="P1189" s="185"/>
      <c r="Q1189" s="73">
        <f t="shared" si="140"/>
        <v>1024</v>
      </c>
      <c r="R1189" s="140">
        <f t="shared" si="141"/>
        <v>124620</v>
      </c>
      <c r="S1189" s="68">
        <f t="shared" si="142"/>
        <v>125644</v>
      </c>
    </row>
    <row r="1190" spans="1:19" ht="15.75">
      <c r="A1190" s="69">
        <v>4</v>
      </c>
      <c r="B1190" s="15" t="str">
        <f>'Candidate List'!B5</f>
        <v>Saleem Akhtar Khan</v>
      </c>
      <c r="C1190" s="183">
        <v>14</v>
      </c>
      <c r="D1190" s="184"/>
      <c r="E1190" s="184"/>
      <c r="F1190" s="184"/>
      <c r="G1190" s="184"/>
      <c r="H1190" s="184"/>
      <c r="I1190" s="184"/>
      <c r="J1190" s="184"/>
      <c r="K1190" s="184"/>
      <c r="L1190" s="184"/>
      <c r="M1190" s="184"/>
      <c r="N1190" s="184"/>
      <c r="O1190" s="184"/>
      <c r="P1190" s="185"/>
      <c r="Q1190" s="73">
        <f t="shared" si="140"/>
        <v>14</v>
      </c>
      <c r="R1190" s="140">
        <f t="shared" si="141"/>
        <v>2267</v>
      </c>
      <c r="S1190" s="68">
        <f t="shared" si="142"/>
        <v>2281</v>
      </c>
    </row>
    <row r="1191" spans="1:19" ht="15.75">
      <c r="A1191" s="69">
        <v>5</v>
      </c>
      <c r="B1191" s="15" t="str">
        <f>'Candidate List'!B6</f>
        <v>Ajay Kumar</v>
      </c>
      <c r="C1191" s="183">
        <v>4</v>
      </c>
      <c r="D1191" s="184"/>
      <c r="E1191" s="184"/>
      <c r="F1191" s="184"/>
      <c r="G1191" s="184"/>
      <c r="H1191" s="184"/>
      <c r="I1191" s="184"/>
      <c r="J1191" s="184"/>
      <c r="K1191" s="184"/>
      <c r="L1191" s="184"/>
      <c r="M1191" s="184"/>
      <c r="N1191" s="184"/>
      <c r="O1191" s="184"/>
      <c r="P1191" s="185"/>
      <c r="Q1191" s="73">
        <f t="shared" si="140"/>
        <v>4</v>
      </c>
      <c r="R1191" s="140">
        <f t="shared" si="141"/>
        <v>681</v>
      </c>
      <c r="S1191" s="68">
        <f t="shared" si="142"/>
        <v>685</v>
      </c>
    </row>
    <row r="1192" spans="1:19" ht="15.75">
      <c r="A1192" s="69">
        <v>6</v>
      </c>
      <c r="B1192" s="15" t="str">
        <f>'Candidate List'!B7</f>
        <v>Ajay Kumar Sharma</v>
      </c>
      <c r="C1192" s="183">
        <v>0</v>
      </c>
      <c r="D1192" s="184"/>
      <c r="E1192" s="184"/>
      <c r="F1192" s="184"/>
      <c r="G1192" s="184"/>
      <c r="H1192" s="184"/>
      <c r="I1192" s="184"/>
      <c r="J1192" s="184"/>
      <c r="K1192" s="184"/>
      <c r="L1192" s="184"/>
      <c r="M1192" s="184"/>
      <c r="N1192" s="184"/>
      <c r="O1192" s="184"/>
      <c r="P1192" s="185"/>
      <c r="Q1192" s="73">
        <f t="shared" si="140"/>
        <v>0</v>
      </c>
      <c r="R1192" s="140">
        <f t="shared" si="141"/>
        <v>117</v>
      </c>
      <c r="S1192" s="68">
        <f t="shared" si="142"/>
        <v>117</v>
      </c>
    </row>
    <row r="1193" spans="1:19" ht="15.75">
      <c r="A1193" s="69">
        <v>7</v>
      </c>
      <c r="B1193" s="15" t="str">
        <f>'Candidate List'!B8</f>
        <v>Amit Singh Tomar</v>
      </c>
      <c r="C1193" s="183">
        <v>1</v>
      </c>
      <c r="D1193" s="184"/>
      <c r="E1193" s="184"/>
      <c r="F1193" s="184"/>
      <c r="G1193" s="184"/>
      <c r="H1193" s="184"/>
      <c r="I1193" s="184"/>
      <c r="J1193" s="184"/>
      <c r="K1193" s="184"/>
      <c r="L1193" s="184"/>
      <c r="M1193" s="184"/>
      <c r="N1193" s="184"/>
      <c r="O1193" s="184"/>
      <c r="P1193" s="185"/>
      <c r="Q1193" s="73">
        <f t="shared" si="140"/>
        <v>1</v>
      </c>
      <c r="R1193" s="140">
        <f t="shared" si="141"/>
        <v>202</v>
      </c>
      <c r="S1193" s="68">
        <f t="shared" si="142"/>
        <v>203</v>
      </c>
    </row>
    <row r="1194" spans="1:19" ht="15.75">
      <c r="A1194" s="69">
        <v>8</v>
      </c>
      <c r="B1194" s="15" t="str">
        <f>'Candidate List'!B9</f>
        <v>Darshan Sharma</v>
      </c>
      <c r="C1194" s="183">
        <v>5</v>
      </c>
      <c r="D1194" s="184"/>
      <c r="E1194" s="184"/>
      <c r="F1194" s="184"/>
      <c r="G1194" s="184"/>
      <c r="H1194" s="184"/>
      <c r="I1194" s="184"/>
      <c r="J1194" s="184"/>
      <c r="K1194" s="184"/>
      <c r="L1194" s="184"/>
      <c r="M1194" s="184"/>
      <c r="N1194" s="184"/>
      <c r="O1194" s="184"/>
      <c r="P1194" s="185"/>
      <c r="Q1194" s="73">
        <f t="shared" si="140"/>
        <v>5</v>
      </c>
      <c r="R1194" s="140">
        <f t="shared" si="141"/>
        <v>467</v>
      </c>
      <c r="S1194" s="68">
        <f t="shared" si="142"/>
        <v>472</v>
      </c>
    </row>
    <row r="1195" spans="1:19" ht="15.75">
      <c r="A1195" s="69">
        <v>9</v>
      </c>
      <c r="B1195" s="15" t="str">
        <f>'Candidate List'!B10</f>
        <v>Dilshad Ahmad</v>
      </c>
      <c r="C1195" s="183">
        <v>1</v>
      </c>
      <c r="D1195" s="184"/>
      <c r="E1195" s="184"/>
      <c r="F1195" s="184"/>
      <c r="G1195" s="184"/>
      <c r="H1195" s="184"/>
      <c r="I1195" s="184"/>
      <c r="J1195" s="184"/>
      <c r="K1195" s="184"/>
      <c r="L1195" s="184"/>
      <c r="M1195" s="184"/>
      <c r="N1195" s="184"/>
      <c r="O1195" s="184"/>
      <c r="P1195" s="185"/>
      <c r="Q1195" s="73">
        <f t="shared" si="140"/>
        <v>1</v>
      </c>
      <c r="R1195" s="140">
        <f t="shared" si="141"/>
        <v>1731</v>
      </c>
      <c r="S1195" s="68">
        <f t="shared" si="142"/>
        <v>1732</v>
      </c>
    </row>
    <row r="1196" spans="1:19" ht="15.75">
      <c r="A1196" s="69">
        <v>10</v>
      </c>
      <c r="B1196" s="15" t="str">
        <f>'Candidate List'!B11</f>
        <v>Raju Thakur</v>
      </c>
      <c r="C1196" s="183">
        <v>1</v>
      </c>
      <c r="D1196" s="184"/>
      <c r="E1196" s="184"/>
      <c r="F1196" s="184"/>
      <c r="G1196" s="184"/>
      <c r="H1196" s="184"/>
      <c r="I1196" s="184"/>
      <c r="J1196" s="184"/>
      <c r="K1196" s="184"/>
      <c r="L1196" s="184"/>
      <c r="M1196" s="184"/>
      <c r="N1196" s="184"/>
      <c r="O1196" s="184"/>
      <c r="P1196" s="185"/>
      <c r="Q1196" s="73">
        <f t="shared" si="140"/>
        <v>1</v>
      </c>
      <c r="R1196" s="140">
        <f t="shared" si="141"/>
        <v>1340</v>
      </c>
      <c r="S1196" s="68">
        <f t="shared" si="142"/>
        <v>1341</v>
      </c>
    </row>
    <row r="1197" spans="1:19" ht="15.75">
      <c r="A1197" s="69">
        <v>11</v>
      </c>
      <c r="B1197" s="15" t="str">
        <f>'Candidate List'!B12</f>
        <v>Bablu</v>
      </c>
      <c r="C1197" s="183">
        <v>1</v>
      </c>
      <c r="D1197" s="184"/>
      <c r="E1197" s="184"/>
      <c r="F1197" s="184"/>
      <c r="G1197" s="184"/>
      <c r="H1197" s="184"/>
      <c r="I1197" s="184"/>
      <c r="J1197" s="184"/>
      <c r="K1197" s="184"/>
      <c r="L1197" s="184"/>
      <c r="M1197" s="184"/>
      <c r="N1197" s="184"/>
      <c r="O1197" s="184"/>
      <c r="P1197" s="185"/>
      <c r="Q1197" s="73">
        <f t="shared" si="140"/>
        <v>1</v>
      </c>
      <c r="R1197" s="140">
        <f t="shared" si="141"/>
        <v>527</v>
      </c>
      <c r="S1197" s="68">
        <f t="shared" si="142"/>
        <v>528</v>
      </c>
    </row>
    <row r="1198" spans="1:19" ht="15.75">
      <c r="A1198" s="69">
        <v>12</v>
      </c>
      <c r="B1198" s="15" t="str">
        <f>'Candidate List'!B13</f>
        <v>NOTA</v>
      </c>
      <c r="C1198" s="183">
        <v>1</v>
      </c>
      <c r="D1198" s="184"/>
      <c r="E1198" s="184"/>
      <c r="F1198" s="184"/>
      <c r="G1198" s="184"/>
      <c r="H1198" s="184"/>
      <c r="I1198" s="184"/>
      <c r="J1198" s="184"/>
      <c r="K1198" s="184"/>
      <c r="L1198" s="184"/>
      <c r="M1198" s="184"/>
      <c r="N1198" s="184"/>
      <c r="O1198" s="184"/>
      <c r="P1198" s="185"/>
      <c r="Q1198" s="73">
        <f t="shared" si="140"/>
        <v>1</v>
      </c>
      <c r="R1198" s="140">
        <f t="shared" si="141"/>
        <v>1194</v>
      </c>
      <c r="S1198" s="68">
        <f t="shared" si="142"/>
        <v>1195</v>
      </c>
    </row>
    <row r="1199" spans="1:19" ht="15.75">
      <c r="A1199" s="187" t="s">
        <v>11</v>
      </c>
      <c r="B1199" s="187"/>
      <c r="C1199" s="183">
        <v>0</v>
      </c>
      <c r="D1199" s="184"/>
      <c r="E1199" s="184"/>
      <c r="F1199" s="184"/>
      <c r="G1199" s="184"/>
      <c r="H1199" s="184"/>
      <c r="I1199" s="184"/>
      <c r="J1199" s="184"/>
      <c r="K1199" s="184"/>
      <c r="L1199" s="184"/>
      <c r="M1199" s="184"/>
      <c r="N1199" s="184"/>
      <c r="O1199" s="184"/>
      <c r="P1199" s="185"/>
      <c r="Q1199" s="73">
        <f t="shared" si="140"/>
        <v>0</v>
      </c>
      <c r="R1199" s="140">
        <f t="shared" si="141"/>
        <v>0</v>
      </c>
      <c r="S1199" s="68">
        <f t="shared" si="142"/>
        <v>0</v>
      </c>
    </row>
    <row r="1200" spans="1:19" ht="15.75">
      <c r="A1200" s="188" t="s">
        <v>12</v>
      </c>
      <c r="B1200" s="188"/>
      <c r="C1200" s="186">
        <f>SUM(C1187:C1199)</f>
        <v>1962</v>
      </c>
      <c r="D1200" s="184"/>
      <c r="E1200" s="184"/>
      <c r="F1200" s="184"/>
      <c r="G1200" s="184"/>
      <c r="H1200" s="184"/>
      <c r="I1200" s="184"/>
      <c r="J1200" s="184"/>
      <c r="K1200" s="184"/>
      <c r="L1200" s="184"/>
      <c r="M1200" s="184"/>
      <c r="N1200" s="184"/>
      <c r="O1200" s="184"/>
      <c r="P1200" s="185"/>
      <c r="Q1200" s="73">
        <f t="shared" si="140"/>
        <v>1962</v>
      </c>
      <c r="R1200" s="140">
        <f t="shared" si="141"/>
        <v>271171</v>
      </c>
      <c r="S1200" s="68">
        <f t="shared" si="142"/>
        <v>273133</v>
      </c>
    </row>
    <row r="1201" spans="1:19" ht="18">
      <c r="A1201" s="5"/>
      <c r="B1201" s="5"/>
      <c r="C1201" s="6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8"/>
      <c r="R1201" s="7"/>
      <c r="S1201" s="7"/>
    </row>
    <row r="1202" spans="1:19" ht="22.5">
      <c r="A1202" s="67"/>
      <c r="B1202" s="67"/>
      <c r="C1202" s="10" t="s">
        <v>13</v>
      </c>
      <c r="D1202" s="10" t="s">
        <v>13</v>
      </c>
      <c r="E1202" s="10" t="s">
        <v>13</v>
      </c>
      <c r="F1202" s="10" t="s">
        <v>13</v>
      </c>
      <c r="G1202" s="10" t="s">
        <v>13</v>
      </c>
      <c r="H1202" s="10" t="s">
        <v>13</v>
      </c>
      <c r="I1202" s="10" t="s">
        <v>13</v>
      </c>
      <c r="J1202" s="10" t="s">
        <v>13</v>
      </c>
      <c r="K1202" s="10" t="s">
        <v>13</v>
      </c>
      <c r="L1202" s="10" t="s">
        <v>13</v>
      </c>
      <c r="M1202" s="10" t="s">
        <v>13</v>
      </c>
      <c r="N1202" s="10" t="s">
        <v>13</v>
      </c>
      <c r="O1202" s="10" t="s">
        <v>13</v>
      </c>
      <c r="P1202" s="10" t="s">
        <v>13</v>
      </c>
      <c r="Q1202" s="10" t="s">
        <v>13</v>
      </c>
      <c r="R1202" s="10" t="s">
        <v>13</v>
      </c>
      <c r="S1202" s="10" t="s">
        <v>13</v>
      </c>
    </row>
    <row r="1203" spans="1:19">
      <c r="A1203" s="67"/>
      <c r="B1203" s="67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 ht="22.5">
      <c r="A1204" s="67"/>
      <c r="B1204" s="67"/>
      <c r="C1204" s="10" t="s">
        <v>14</v>
      </c>
      <c r="D1204" s="10" t="s">
        <v>14</v>
      </c>
      <c r="E1204" s="10" t="s">
        <v>14</v>
      </c>
      <c r="F1204" s="10" t="s">
        <v>14</v>
      </c>
      <c r="G1204" s="10" t="s">
        <v>14</v>
      </c>
      <c r="H1204" s="10" t="s">
        <v>14</v>
      </c>
      <c r="I1204" s="10" t="s">
        <v>14</v>
      </c>
      <c r="J1204" s="10" t="s">
        <v>14</v>
      </c>
      <c r="K1204" s="10" t="s">
        <v>14</v>
      </c>
      <c r="L1204" s="10" t="s">
        <v>14</v>
      </c>
      <c r="M1204" s="10" t="s">
        <v>14</v>
      </c>
      <c r="N1204" s="10" t="s">
        <v>14</v>
      </c>
      <c r="O1204" s="10" t="s">
        <v>14</v>
      </c>
      <c r="P1204" s="10" t="s">
        <v>14</v>
      </c>
      <c r="Q1204" s="10" t="s">
        <v>14</v>
      </c>
      <c r="R1204" s="10" t="s">
        <v>14</v>
      </c>
      <c r="S1204" s="10" t="s">
        <v>14</v>
      </c>
    </row>
    <row r="1205" spans="1:19">
      <c r="A1205" s="67"/>
      <c r="B1205" s="67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</row>
    <row r="1206" spans="1:19">
      <c r="A1206" s="189" t="s">
        <v>15</v>
      </c>
      <c r="B1206" s="189"/>
      <c r="C1206" s="164" t="s">
        <v>16</v>
      </c>
      <c r="D1206" s="164"/>
      <c r="E1206" s="164"/>
      <c r="F1206" s="164"/>
      <c r="G1206" s="164"/>
      <c r="H1206" s="164"/>
      <c r="I1206" s="164"/>
      <c r="J1206" s="164"/>
      <c r="K1206" s="164"/>
      <c r="L1206" s="164"/>
      <c r="M1206" s="164"/>
      <c r="N1206" s="164"/>
      <c r="O1206" s="164"/>
      <c r="P1206" s="164"/>
      <c r="Q1206" s="164"/>
      <c r="R1206" s="67"/>
      <c r="S1206" s="67"/>
    </row>
    <row r="1207" spans="1:19">
      <c r="A1207" s="67"/>
      <c r="B1207" s="67"/>
      <c r="C1207" s="164" t="s">
        <v>17</v>
      </c>
      <c r="D1207" s="164"/>
      <c r="E1207" s="164"/>
      <c r="F1207" s="164"/>
      <c r="G1207" s="164"/>
      <c r="H1207" s="164"/>
      <c r="I1207" s="164"/>
      <c r="J1207" s="164"/>
      <c r="K1207" s="164"/>
      <c r="L1207" s="164"/>
      <c r="M1207" s="164"/>
      <c r="N1207" s="164"/>
      <c r="O1207" s="164"/>
      <c r="P1207" s="164"/>
      <c r="Q1207" s="164"/>
      <c r="R1207" s="67"/>
      <c r="S1207" s="67"/>
    </row>
    <row r="1208" spans="1:19">
      <c r="A1208" s="67"/>
      <c r="B1208" s="67"/>
      <c r="C1208" s="164" t="s">
        <v>44</v>
      </c>
      <c r="D1208" s="164"/>
      <c r="E1208" s="164"/>
      <c r="F1208" s="164"/>
      <c r="G1208" s="164"/>
      <c r="H1208" s="164"/>
      <c r="I1208" s="164"/>
      <c r="J1208" s="164"/>
      <c r="K1208" s="164"/>
      <c r="L1208" s="164"/>
      <c r="M1208" s="164"/>
      <c r="N1208" s="164"/>
      <c r="O1208" s="164"/>
      <c r="P1208" s="164"/>
      <c r="Q1208" s="164"/>
      <c r="R1208" s="67"/>
      <c r="S1208" s="67"/>
    </row>
    <row r="1209" spans="1:19">
      <c r="A1209" s="67"/>
      <c r="B1209" s="67"/>
      <c r="C1209" s="164" t="s">
        <v>45</v>
      </c>
      <c r="D1209" s="164"/>
      <c r="E1209" s="164"/>
      <c r="F1209" s="164"/>
      <c r="G1209" s="164"/>
      <c r="H1209" s="164"/>
      <c r="I1209" s="164"/>
      <c r="J1209" s="164"/>
      <c r="K1209" s="164"/>
      <c r="L1209" s="164"/>
      <c r="M1209" s="164"/>
      <c r="N1209" s="164"/>
      <c r="O1209" s="164"/>
      <c r="P1209" s="164"/>
      <c r="Q1209" s="164"/>
      <c r="R1209" s="67"/>
      <c r="S1209" s="67"/>
    </row>
  </sheetData>
  <mergeCells count="701">
    <mergeCell ref="A1164:B1164"/>
    <mergeCell ref="A1165:B1165"/>
    <mergeCell ref="A1171:B1171"/>
    <mergeCell ref="C1171:Q1171"/>
    <mergeCell ref="C1172:Q1172"/>
    <mergeCell ref="C1173:Q1173"/>
    <mergeCell ref="C1174:Q1174"/>
    <mergeCell ref="A1145:S1145"/>
    <mergeCell ref="A1146:H1146"/>
    <mergeCell ref="K1146:N1146"/>
    <mergeCell ref="P1146:Q1146"/>
    <mergeCell ref="R1146:S1146"/>
    <mergeCell ref="A1147:B1147"/>
    <mergeCell ref="Q1147:Q1151"/>
    <mergeCell ref="R1147:R1151"/>
    <mergeCell ref="S1147:S1151"/>
    <mergeCell ref="A1148:B1148"/>
    <mergeCell ref="A1149:B1149"/>
    <mergeCell ref="A1150:B1150"/>
    <mergeCell ref="C27:Q27"/>
    <mergeCell ref="C28:Q28"/>
    <mergeCell ref="C29:Q29"/>
    <mergeCell ref="C159:Q159"/>
    <mergeCell ref="C160:Q160"/>
    <mergeCell ref="R67:S67"/>
    <mergeCell ref="A99:S99"/>
    <mergeCell ref="A100:H100"/>
    <mergeCell ref="K100:N100"/>
    <mergeCell ref="P100:Q100"/>
    <mergeCell ref="Q101:Q105"/>
    <mergeCell ref="S101:S105"/>
    <mergeCell ref="R68:R72"/>
    <mergeCell ref="S68:S72"/>
    <mergeCell ref="Q35:Q39"/>
    <mergeCell ref="R35:R39"/>
    <mergeCell ref="S35:S39"/>
    <mergeCell ref="A36:B36"/>
    <mergeCell ref="A37:B37"/>
    <mergeCell ref="A38:B38"/>
    <mergeCell ref="C125:Q125"/>
    <mergeCell ref="A66:S66"/>
    <mergeCell ref="A67:H67"/>
    <mergeCell ref="K67:N67"/>
    <mergeCell ref="P67:Q67"/>
    <mergeCell ref="K34:N34"/>
    <mergeCell ref="P34:Q34"/>
    <mergeCell ref="R34:S34"/>
    <mergeCell ref="A35:B35"/>
    <mergeCell ref="A69:B69"/>
    <mergeCell ref="Q68:Q72"/>
    <mergeCell ref="A70:B70"/>
    <mergeCell ref="A71:B71"/>
    <mergeCell ref="C30:Q30"/>
    <mergeCell ref="A52:B52"/>
    <mergeCell ref="A53:B53"/>
    <mergeCell ref="C59:Q59"/>
    <mergeCell ref="C60:Q60"/>
    <mergeCell ref="C61:Q61"/>
    <mergeCell ref="C62:Q62"/>
    <mergeCell ref="A33:S33"/>
    <mergeCell ref="A34:H34"/>
    <mergeCell ref="R134:R138"/>
    <mergeCell ref="S134:S138"/>
    <mergeCell ref="A135:B135"/>
    <mergeCell ref="A136:B136"/>
    <mergeCell ref="A137:B137"/>
    <mergeCell ref="A158:B158"/>
    <mergeCell ref="C158:Q158"/>
    <mergeCell ref="A1:S1"/>
    <mergeCell ref="A2:H2"/>
    <mergeCell ref="K2:N2"/>
    <mergeCell ref="P2:Q2"/>
    <mergeCell ref="A3:B3"/>
    <mergeCell ref="Q3:Q7"/>
    <mergeCell ref="R3:R7"/>
    <mergeCell ref="S3:S7"/>
    <mergeCell ref="A4:B4"/>
    <mergeCell ref="A5:B5"/>
    <mergeCell ref="A6:B6"/>
    <mergeCell ref="R2:S2"/>
    <mergeCell ref="A20:B20"/>
    <mergeCell ref="A21:B21"/>
    <mergeCell ref="A27:B27"/>
    <mergeCell ref="A59:B59"/>
    <mergeCell ref="A68:B68"/>
    <mergeCell ref="A85:B85"/>
    <mergeCell ref="A86:B86"/>
    <mergeCell ref="A92:B92"/>
    <mergeCell ref="C92:Q92"/>
    <mergeCell ref="C93:Q93"/>
    <mergeCell ref="C94:Q94"/>
    <mergeCell ref="R100:S100"/>
    <mergeCell ref="C95:Q95"/>
    <mergeCell ref="A119:B119"/>
    <mergeCell ref="A101:B101"/>
    <mergeCell ref="A302:B302"/>
    <mergeCell ref="A290:B290"/>
    <mergeCell ref="C290:Q290"/>
    <mergeCell ref="C291:Q291"/>
    <mergeCell ref="C292:Q292"/>
    <mergeCell ref="C293:Q293"/>
    <mergeCell ref="A283:B283"/>
    <mergeCell ref="A284:B284"/>
    <mergeCell ref="A299:S299"/>
    <mergeCell ref="A300:H300"/>
    <mergeCell ref="K300:N300"/>
    <mergeCell ref="P300:Q300"/>
    <mergeCell ref="R300:S300"/>
    <mergeCell ref="A301:B301"/>
    <mergeCell ref="Q301:Q305"/>
    <mergeCell ref="R301:R305"/>
    <mergeCell ref="S301:S305"/>
    <mergeCell ref="A303:B303"/>
    <mergeCell ref="A304:B304"/>
    <mergeCell ref="A352:B352"/>
    <mergeCell ref="A353:B353"/>
    <mergeCell ref="A335:B335"/>
    <mergeCell ref="Q335:Q339"/>
    <mergeCell ref="R335:R339"/>
    <mergeCell ref="S335:S339"/>
    <mergeCell ref="A336:B336"/>
    <mergeCell ref="A337:B337"/>
    <mergeCell ref="A338:B338"/>
    <mergeCell ref="A325:B325"/>
    <mergeCell ref="C325:Q325"/>
    <mergeCell ref="C326:Q326"/>
    <mergeCell ref="C327:Q327"/>
    <mergeCell ref="A333:S333"/>
    <mergeCell ref="A334:H334"/>
    <mergeCell ref="K334:N334"/>
    <mergeCell ref="P334:Q334"/>
    <mergeCell ref="R334:S334"/>
    <mergeCell ref="C328:Q328"/>
    <mergeCell ref="A318:B318"/>
    <mergeCell ref="A319:B319"/>
    <mergeCell ref="R505:S505"/>
    <mergeCell ref="S370:S374"/>
    <mergeCell ref="A372:B372"/>
    <mergeCell ref="A373:B373"/>
    <mergeCell ref="A402:S402"/>
    <mergeCell ref="A403:H403"/>
    <mergeCell ref="A359:B359"/>
    <mergeCell ref="C359:Q359"/>
    <mergeCell ref="C360:Q360"/>
    <mergeCell ref="C361:Q361"/>
    <mergeCell ref="C362:Q362"/>
    <mergeCell ref="A394:B394"/>
    <mergeCell ref="C394:Q394"/>
    <mergeCell ref="C395:Q395"/>
    <mergeCell ref="C396:Q396"/>
    <mergeCell ref="A368:S368"/>
    <mergeCell ref="A369:H369"/>
    <mergeCell ref="K369:N369"/>
    <mergeCell ref="P369:Q369"/>
    <mergeCell ref="R369:S369"/>
    <mergeCell ref="A370:B370"/>
    <mergeCell ref="Q370:Q374"/>
    <mergeCell ref="R370:R374"/>
    <mergeCell ref="A387:B387"/>
    <mergeCell ref="A388:B388"/>
    <mergeCell ref="A371:B371"/>
    <mergeCell ref="A496:B496"/>
    <mergeCell ref="C496:Q496"/>
    <mergeCell ref="C497:Q497"/>
    <mergeCell ref="C498:Q498"/>
    <mergeCell ref="C499:Q499"/>
    <mergeCell ref="C397:Q397"/>
    <mergeCell ref="P471:Q471"/>
    <mergeCell ref="R471:S471"/>
    <mergeCell ref="A472:B472"/>
    <mergeCell ref="Q472:Q476"/>
    <mergeCell ref="R472:R476"/>
    <mergeCell ref="S472:S476"/>
    <mergeCell ref="A473:B473"/>
    <mergeCell ref="A475:B475"/>
    <mergeCell ref="K403:N403"/>
    <mergeCell ref="P403:Q403"/>
    <mergeCell ref="R403:S403"/>
    <mergeCell ref="A404:B404"/>
    <mergeCell ref="Q404:Q408"/>
    <mergeCell ref="R404:R408"/>
    <mergeCell ref="A504:S504"/>
    <mergeCell ref="A490:B490"/>
    <mergeCell ref="A506:B506"/>
    <mergeCell ref="Q506:Q510"/>
    <mergeCell ref="A508:B508"/>
    <mergeCell ref="A509:B509"/>
    <mergeCell ref="A421:B421"/>
    <mergeCell ref="A422:B422"/>
    <mergeCell ref="A405:B405"/>
    <mergeCell ref="A505:H505"/>
    <mergeCell ref="K505:N505"/>
    <mergeCell ref="P505:Q505"/>
    <mergeCell ref="A474:B474"/>
    <mergeCell ref="A461:B461"/>
    <mergeCell ref="C461:Q461"/>
    <mergeCell ref="C462:Q462"/>
    <mergeCell ref="C463:Q463"/>
    <mergeCell ref="C464:Q464"/>
    <mergeCell ref="A454:B454"/>
    <mergeCell ref="A455:B455"/>
    <mergeCell ref="A489:B489"/>
    <mergeCell ref="A470:S470"/>
    <mergeCell ref="A471:H471"/>
    <mergeCell ref="K471:N471"/>
    <mergeCell ref="P539:Q539"/>
    <mergeCell ref="R539:S539"/>
    <mergeCell ref="R540:R544"/>
    <mergeCell ref="S540:S544"/>
    <mergeCell ref="A541:B541"/>
    <mergeCell ref="A625:B625"/>
    <mergeCell ref="A575:B575"/>
    <mergeCell ref="A577:B577"/>
    <mergeCell ref="A606:S606"/>
    <mergeCell ref="A607:H607"/>
    <mergeCell ref="K607:N607"/>
    <mergeCell ref="P607:Q607"/>
    <mergeCell ref="R607:S607"/>
    <mergeCell ref="A592:B592"/>
    <mergeCell ref="A576:B576"/>
    <mergeCell ref="A573:H573"/>
    <mergeCell ref="K573:N573"/>
    <mergeCell ref="P573:Q573"/>
    <mergeCell ref="R573:S573"/>
    <mergeCell ref="A574:B574"/>
    <mergeCell ref="Q574:Q578"/>
    <mergeCell ref="R574:R578"/>
    <mergeCell ref="S574:S578"/>
    <mergeCell ref="A591:B591"/>
    <mergeCell ref="A641:B641"/>
    <mergeCell ref="Q641:Q645"/>
    <mergeCell ref="A598:B598"/>
    <mergeCell ref="C598:Q598"/>
    <mergeCell ref="C599:Q599"/>
    <mergeCell ref="C600:Q600"/>
    <mergeCell ref="C601:Q601"/>
    <mergeCell ref="R101:R105"/>
    <mergeCell ref="A102:B102"/>
    <mergeCell ref="A103:B103"/>
    <mergeCell ref="A104:B104"/>
    <mergeCell ref="A118:B118"/>
    <mergeCell ref="A125:B125"/>
    <mergeCell ref="C126:Q126"/>
    <mergeCell ref="C127:Q127"/>
    <mergeCell ref="C128:Q128"/>
    <mergeCell ref="A132:S132"/>
    <mergeCell ref="A133:H133"/>
    <mergeCell ref="K133:N133"/>
    <mergeCell ref="P133:Q133"/>
    <mergeCell ref="R133:S133"/>
    <mergeCell ref="A134:B134"/>
    <mergeCell ref="Q134:Q138"/>
    <mergeCell ref="A538:S538"/>
    <mergeCell ref="K232:N232"/>
    <mergeCell ref="P232:Q232"/>
    <mergeCell ref="R232:S232"/>
    <mergeCell ref="A224:B224"/>
    <mergeCell ref="Q233:Q237"/>
    <mergeCell ref="R233:R237"/>
    <mergeCell ref="A250:B250"/>
    <mergeCell ref="A251:B251"/>
    <mergeCell ref="A233:B233"/>
    <mergeCell ref="C224:Q224"/>
    <mergeCell ref="C225:Q225"/>
    <mergeCell ref="C226:Q226"/>
    <mergeCell ref="A232:H232"/>
    <mergeCell ref="A200:B200"/>
    <mergeCell ref="Q200:Q204"/>
    <mergeCell ref="R200:R204"/>
    <mergeCell ref="S200:S204"/>
    <mergeCell ref="A201:B201"/>
    <mergeCell ref="A202:B202"/>
    <mergeCell ref="A203:B203"/>
    <mergeCell ref="A218:B218"/>
    <mergeCell ref="A231:S231"/>
    <mergeCell ref="C227:Q227"/>
    <mergeCell ref="A217:B217"/>
    <mergeCell ref="A152:B152"/>
    <mergeCell ref="A151:B151"/>
    <mergeCell ref="A198:S198"/>
    <mergeCell ref="A165:S165"/>
    <mergeCell ref="A166:H166"/>
    <mergeCell ref="K166:N166"/>
    <mergeCell ref="P166:Q166"/>
    <mergeCell ref="R166:S166"/>
    <mergeCell ref="A167:B167"/>
    <mergeCell ref="C192:Q192"/>
    <mergeCell ref="C193:Q193"/>
    <mergeCell ref="C194:Q194"/>
    <mergeCell ref="A184:B184"/>
    <mergeCell ref="A185:B185"/>
    <mergeCell ref="Q167:Q171"/>
    <mergeCell ref="R167:R171"/>
    <mergeCell ref="C161:Q161"/>
    <mergeCell ref="A199:H199"/>
    <mergeCell ref="K199:N199"/>
    <mergeCell ref="P199:Q199"/>
    <mergeCell ref="R199:S199"/>
    <mergeCell ref="S167:S171"/>
    <mergeCell ref="A168:B168"/>
    <mergeCell ref="A169:B169"/>
    <mergeCell ref="A170:B170"/>
    <mergeCell ref="A191:B191"/>
    <mergeCell ref="C191:Q191"/>
    <mergeCell ref="A266:B266"/>
    <mergeCell ref="Q266:Q270"/>
    <mergeCell ref="R266:R270"/>
    <mergeCell ref="S266:S270"/>
    <mergeCell ref="A267:B267"/>
    <mergeCell ref="A268:B268"/>
    <mergeCell ref="A269:B269"/>
    <mergeCell ref="C259:Q259"/>
    <mergeCell ref="C260:Q260"/>
    <mergeCell ref="C258:Q258"/>
    <mergeCell ref="A264:S264"/>
    <mergeCell ref="A265:H265"/>
    <mergeCell ref="K265:N265"/>
    <mergeCell ref="P265:Q265"/>
    <mergeCell ref="R265:S265"/>
    <mergeCell ref="S233:S237"/>
    <mergeCell ref="A234:B234"/>
    <mergeCell ref="A235:B235"/>
    <mergeCell ref="A236:B236"/>
    <mergeCell ref="A257:B257"/>
    <mergeCell ref="C257:Q257"/>
    <mergeCell ref="S404:S408"/>
    <mergeCell ref="A406:B406"/>
    <mergeCell ref="A407:B407"/>
    <mergeCell ref="A428:B428"/>
    <mergeCell ref="C428:Q428"/>
    <mergeCell ref="C429:Q429"/>
    <mergeCell ref="C430:Q430"/>
    <mergeCell ref="A437:B437"/>
    <mergeCell ref="Q437:Q441"/>
    <mergeCell ref="R437:R441"/>
    <mergeCell ref="S437:S441"/>
    <mergeCell ref="A438:B438"/>
    <mergeCell ref="A439:B439"/>
    <mergeCell ref="A440:B440"/>
    <mergeCell ref="C431:Q431"/>
    <mergeCell ref="A435:S435"/>
    <mergeCell ref="A436:H436"/>
    <mergeCell ref="K436:N436"/>
    <mergeCell ref="P436:Q436"/>
    <mergeCell ref="R436:S436"/>
    <mergeCell ref="R506:R510"/>
    <mergeCell ref="S506:S510"/>
    <mergeCell ref="A507:B507"/>
    <mergeCell ref="C566:Q566"/>
    <mergeCell ref="C567:Q567"/>
    <mergeCell ref="A572:S572"/>
    <mergeCell ref="A564:B564"/>
    <mergeCell ref="C565:Q565"/>
    <mergeCell ref="A523:B523"/>
    <mergeCell ref="A524:B524"/>
    <mergeCell ref="A542:B542"/>
    <mergeCell ref="A543:B543"/>
    <mergeCell ref="A557:B557"/>
    <mergeCell ref="A558:B558"/>
    <mergeCell ref="C564:Q564"/>
    <mergeCell ref="A540:B540"/>
    <mergeCell ref="Q540:Q544"/>
    <mergeCell ref="A530:B530"/>
    <mergeCell ref="C530:Q530"/>
    <mergeCell ref="C531:Q531"/>
    <mergeCell ref="C532:Q532"/>
    <mergeCell ref="C533:Q533"/>
    <mergeCell ref="A539:H539"/>
    <mergeCell ref="K539:N539"/>
    <mergeCell ref="A639:S639"/>
    <mergeCell ref="A640:H640"/>
    <mergeCell ref="K640:N640"/>
    <mergeCell ref="P640:Q640"/>
    <mergeCell ref="R640:S640"/>
    <mergeCell ref="A608:B608"/>
    <mergeCell ref="Q608:Q612"/>
    <mergeCell ref="R608:R612"/>
    <mergeCell ref="S608:S612"/>
    <mergeCell ref="A609:B609"/>
    <mergeCell ref="A610:B610"/>
    <mergeCell ref="A611:B611"/>
    <mergeCell ref="A632:B632"/>
    <mergeCell ref="C632:Q632"/>
    <mergeCell ref="C633:Q633"/>
    <mergeCell ref="C634:Q634"/>
    <mergeCell ref="C635:Q635"/>
    <mergeCell ref="A626:B626"/>
    <mergeCell ref="R641:R645"/>
    <mergeCell ref="S641:S645"/>
    <mergeCell ref="A642:B642"/>
    <mergeCell ref="A643:B643"/>
    <mergeCell ref="A644:B644"/>
    <mergeCell ref="A675:B675"/>
    <mergeCell ref="Q675:Q679"/>
    <mergeCell ref="R675:R679"/>
    <mergeCell ref="S675:S679"/>
    <mergeCell ref="A676:B676"/>
    <mergeCell ref="A677:B677"/>
    <mergeCell ref="A678:B678"/>
    <mergeCell ref="A673:S673"/>
    <mergeCell ref="A674:H674"/>
    <mergeCell ref="K674:N674"/>
    <mergeCell ref="P674:Q674"/>
    <mergeCell ref="R674:S674"/>
    <mergeCell ref="A658:B658"/>
    <mergeCell ref="A659:B659"/>
    <mergeCell ref="A665:B665"/>
    <mergeCell ref="C665:Q665"/>
    <mergeCell ref="C666:Q666"/>
    <mergeCell ref="C667:Q667"/>
    <mergeCell ref="C668:Q668"/>
    <mergeCell ref="A692:B692"/>
    <mergeCell ref="A693:B693"/>
    <mergeCell ref="A708:H708"/>
    <mergeCell ref="K708:N708"/>
    <mergeCell ref="P708:Q708"/>
    <mergeCell ref="R708:S708"/>
    <mergeCell ref="A709:B709"/>
    <mergeCell ref="Q709:Q713"/>
    <mergeCell ref="R709:R713"/>
    <mergeCell ref="S709:S713"/>
    <mergeCell ref="A710:B710"/>
    <mergeCell ref="A711:B711"/>
    <mergeCell ref="A712:B712"/>
    <mergeCell ref="A699:B699"/>
    <mergeCell ref="C699:Q699"/>
    <mergeCell ref="C700:Q700"/>
    <mergeCell ref="C701:Q701"/>
    <mergeCell ref="C702:Q702"/>
    <mergeCell ref="A707:S707"/>
    <mergeCell ref="A726:B726"/>
    <mergeCell ref="A727:B727"/>
    <mergeCell ref="A733:B733"/>
    <mergeCell ref="C733:Q733"/>
    <mergeCell ref="C734:Q734"/>
    <mergeCell ref="C735:Q735"/>
    <mergeCell ref="C736:Q736"/>
    <mergeCell ref="A741:S741"/>
    <mergeCell ref="A742:H742"/>
    <mergeCell ref="K742:N742"/>
    <mergeCell ref="P742:Q742"/>
    <mergeCell ref="R742:S742"/>
    <mergeCell ref="A743:B743"/>
    <mergeCell ref="Q743:Q747"/>
    <mergeCell ref="R743:R747"/>
    <mergeCell ref="S743:S747"/>
    <mergeCell ref="A744:B744"/>
    <mergeCell ref="A745:B745"/>
    <mergeCell ref="A746:B746"/>
    <mergeCell ref="A760:B760"/>
    <mergeCell ref="A761:B761"/>
    <mergeCell ref="A767:B767"/>
    <mergeCell ref="C767:Q767"/>
    <mergeCell ref="C768:Q768"/>
    <mergeCell ref="C769:Q769"/>
    <mergeCell ref="C770:Q770"/>
    <mergeCell ref="A775:S775"/>
    <mergeCell ref="A776:H776"/>
    <mergeCell ref="K776:N776"/>
    <mergeCell ref="P776:Q776"/>
    <mergeCell ref="R776:S776"/>
    <mergeCell ref="A777:B777"/>
    <mergeCell ref="Q777:Q781"/>
    <mergeCell ref="R777:R781"/>
    <mergeCell ref="S777:S781"/>
    <mergeCell ref="A778:B778"/>
    <mergeCell ref="A779:B779"/>
    <mergeCell ref="A780:B780"/>
    <mergeCell ref="A794:B794"/>
    <mergeCell ref="A795:B795"/>
    <mergeCell ref="A801:B801"/>
    <mergeCell ref="C801:Q801"/>
    <mergeCell ref="C802:Q802"/>
    <mergeCell ref="C803:Q803"/>
    <mergeCell ref="C804:Q804"/>
    <mergeCell ref="A809:S809"/>
    <mergeCell ref="A810:H810"/>
    <mergeCell ref="K810:N810"/>
    <mergeCell ref="P810:Q810"/>
    <mergeCell ref="R810:S810"/>
    <mergeCell ref="A811:B811"/>
    <mergeCell ref="Q811:Q815"/>
    <mergeCell ref="R811:R815"/>
    <mergeCell ref="S811:S815"/>
    <mergeCell ref="A812:B812"/>
    <mergeCell ref="A813:B813"/>
    <mergeCell ref="A814:B814"/>
    <mergeCell ref="A828:B828"/>
    <mergeCell ref="A829:B829"/>
    <mergeCell ref="A835:B835"/>
    <mergeCell ref="C835:Q835"/>
    <mergeCell ref="C836:Q836"/>
    <mergeCell ref="C837:Q837"/>
    <mergeCell ref="C838:Q838"/>
    <mergeCell ref="A843:S843"/>
    <mergeCell ref="A844:H844"/>
    <mergeCell ref="K844:N844"/>
    <mergeCell ref="P844:Q844"/>
    <mergeCell ref="R844:S844"/>
    <mergeCell ref="A845:B845"/>
    <mergeCell ref="Q845:Q849"/>
    <mergeCell ref="R845:R849"/>
    <mergeCell ref="S845:S849"/>
    <mergeCell ref="A846:B846"/>
    <mergeCell ref="A847:B847"/>
    <mergeCell ref="A848:B848"/>
    <mergeCell ref="A862:B862"/>
    <mergeCell ref="A863:B863"/>
    <mergeCell ref="A869:B869"/>
    <mergeCell ref="C869:Q869"/>
    <mergeCell ref="C870:Q870"/>
    <mergeCell ref="C871:Q871"/>
    <mergeCell ref="C872:Q872"/>
    <mergeCell ref="A876:S876"/>
    <mergeCell ref="A877:H877"/>
    <mergeCell ref="K877:N877"/>
    <mergeCell ref="P877:Q877"/>
    <mergeCell ref="R877:S877"/>
    <mergeCell ref="A878:B878"/>
    <mergeCell ref="Q878:Q882"/>
    <mergeCell ref="R878:R882"/>
    <mergeCell ref="S878:S882"/>
    <mergeCell ref="A879:B879"/>
    <mergeCell ref="A880:B880"/>
    <mergeCell ref="A881:B881"/>
    <mergeCell ref="A895:B895"/>
    <mergeCell ref="A896:B896"/>
    <mergeCell ref="A902:B902"/>
    <mergeCell ref="C902:Q902"/>
    <mergeCell ref="C903:Q903"/>
    <mergeCell ref="C904:Q904"/>
    <mergeCell ref="C905:Q905"/>
    <mergeCell ref="A909:S909"/>
    <mergeCell ref="A910:H910"/>
    <mergeCell ref="K910:N910"/>
    <mergeCell ref="P910:Q910"/>
    <mergeCell ref="R910:S910"/>
    <mergeCell ref="A911:B911"/>
    <mergeCell ref="Q911:Q915"/>
    <mergeCell ref="R911:R915"/>
    <mergeCell ref="S911:S915"/>
    <mergeCell ref="A912:B912"/>
    <mergeCell ref="A913:B913"/>
    <mergeCell ref="A914:B914"/>
    <mergeCell ref="A928:B928"/>
    <mergeCell ref="A929:B929"/>
    <mergeCell ref="A935:B935"/>
    <mergeCell ref="C935:Q935"/>
    <mergeCell ref="C936:Q936"/>
    <mergeCell ref="C937:Q937"/>
    <mergeCell ref="C938:Q938"/>
    <mergeCell ref="A943:S943"/>
    <mergeCell ref="A944:H944"/>
    <mergeCell ref="K944:N944"/>
    <mergeCell ref="P944:Q944"/>
    <mergeCell ref="R944:S944"/>
    <mergeCell ref="A945:B945"/>
    <mergeCell ref="Q945:Q949"/>
    <mergeCell ref="R945:R949"/>
    <mergeCell ref="S945:S949"/>
    <mergeCell ref="A946:B946"/>
    <mergeCell ref="A947:B947"/>
    <mergeCell ref="A948:B948"/>
    <mergeCell ref="A962:B962"/>
    <mergeCell ref="A963:B963"/>
    <mergeCell ref="A969:B969"/>
    <mergeCell ref="C969:Q969"/>
    <mergeCell ref="C970:Q970"/>
    <mergeCell ref="C971:Q971"/>
    <mergeCell ref="C972:Q972"/>
    <mergeCell ref="A977:S977"/>
    <mergeCell ref="A978:H978"/>
    <mergeCell ref="K978:N978"/>
    <mergeCell ref="P978:Q978"/>
    <mergeCell ref="R978:S978"/>
    <mergeCell ref="A979:B979"/>
    <mergeCell ref="Q979:Q983"/>
    <mergeCell ref="R979:R983"/>
    <mergeCell ref="S979:S983"/>
    <mergeCell ref="A980:B980"/>
    <mergeCell ref="A981:B981"/>
    <mergeCell ref="A982:B982"/>
    <mergeCell ref="A996:B996"/>
    <mergeCell ref="A997:B997"/>
    <mergeCell ref="A1003:B1003"/>
    <mergeCell ref="C1003:Q1003"/>
    <mergeCell ref="C1004:Q1004"/>
    <mergeCell ref="C1005:Q1005"/>
    <mergeCell ref="C1006:Q1006"/>
    <mergeCell ref="A1010:S1010"/>
    <mergeCell ref="A1011:H1011"/>
    <mergeCell ref="K1011:N1011"/>
    <mergeCell ref="P1011:Q1011"/>
    <mergeCell ref="R1011:S1011"/>
    <mergeCell ref="A1012:B1012"/>
    <mergeCell ref="Q1012:Q1016"/>
    <mergeCell ref="R1012:R1016"/>
    <mergeCell ref="S1012:S1016"/>
    <mergeCell ref="A1013:B1013"/>
    <mergeCell ref="A1014:B1014"/>
    <mergeCell ref="A1015:B1015"/>
    <mergeCell ref="A1029:B1029"/>
    <mergeCell ref="A1030:B1030"/>
    <mergeCell ref="A1036:B1036"/>
    <mergeCell ref="C1036:Q1036"/>
    <mergeCell ref="C1037:Q1037"/>
    <mergeCell ref="C1038:Q1038"/>
    <mergeCell ref="C1039:Q1039"/>
    <mergeCell ref="A1043:S1043"/>
    <mergeCell ref="A1044:H1044"/>
    <mergeCell ref="K1044:N1044"/>
    <mergeCell ref="P1044:Q1044"/>
    <mergeCell ref="R1044:S1044"/>
    <mergeCell ref="A1045:B1045"/>
    <mergeCell ref="Q1045:Q1049"/>
    <mergeCell ref="R1045:R1049"/>
    <mergeCell ref="S1045:S1049"/>
    <mergeCell ref="A1046:B1046"/>
    <mergeCell ref="A1047:B1047"/>
    <mergeCell ref="A1048:B1048"/>
    <mergeCell ref="A1062:B1062"/>
    <mergeCell ref="A1063:B1063"/>
    <mergeCell ref="A1069:B1069"/>
    <mergeCell ref="C1069:Q1069"/>
    <mergeCell ref="C1070:Q1070"/>
    <mergeCell ref="C1071:Q1071"/>
    <mergeCell ref="C1072:Q1072"/>
    <mergeCell ref="A1077:S1077"/>
    <mergeCell ref="A1078:H1078"/>
    <mergeCell ref="K1078:N1078"/>
    <mergeCell ref="P1078:Q1078"/>
    <mergeCell ref="R1078:S1078"/>
    <mergeCell ref="A1079:B1079"/>
    <mergeCell ref="Q1079:Q1083"/>
    <mergeCell ref="R1079:R1083"/>
    <mergeCell ref="S1079:S1083"/>
    <mergeCell ref="A1080:B1080"/>
    <mergeCell ref="A1081:B1081"/>
    <mergeCell ref="A1082:B1082"/>
    <mergeCell ref="A1096:B1096"/>
    <mergeCell ref="A1097:B1097"/>
    <mergeCell ref="A1103:B1103"/>
    <mergeCell ref="C1103:Q1103"/>
    <mergeCell ref="C1104:Q1104"/>
    <mergeCell ref="C1105:Q1105"/>
    <mergeCell ref="C1106:Q1106"/>
    <mergeCell ref="A1111:S1111"/>
    <mergeCell ref="A1112:H1112"/>
    <mergeCell ref="K1112:N1112"/>
    <mergeCell ref="P1112:Q1112"/>
    <mergeCell ref="R1112:S1112"/>
    <mergeCell ref="A1137:B1137"/>
    <mergeCell ref="C1137:Q1137"/>
    <mergeCell ref="C1138:Q1138"/>
    <mergeCell ref="C1139:Q1139"/>
    <mergeCell ref="C1140:Q1140"/>
    <mergeCell ref="A1113:B1113"/>
    <mergeCell ref="Q1113:Q1117"/>
    <mergeCell ref="R1113:R1117"/>
    <mergeCell ref="S1113:S1117"/>
    <mergeCell ref="A1114:B1114"/>
    <mergeCell ref="A1115:B1115"/>
    <mergeCell ref="A1116:B1116"/>
    <mergeCell ref="A1130:B1130"/>
    <mergeCell ref="A1131:B1131"/>
    <mergeCell ref="A1206:B1206"/>
    <mergeCell ref="C1206:Q1206"/>
    <mergeCell ref="A1180:S1180"/>
    <mergeCell ref="A1181:H1181"/>
    <mergeCell ref="K1181:N1181"/>
    <mergeCell ref="P1181:Q1181"/>
    <mergeCell ref="R1181:S1181"/>
    <mergeCell ref="Q1182:Q1186"/>
    <mergeCell ref="R1182:R1186"/>
    <mergeCell ref="S1182:S1186"/>
    <mergeCell ref="A1184:B1184"/>
    <mergeCell ref="A1185:B1185"/>
    <mergeCell ref="C1207:Q1207"/>
    <mergeCell ref="C1208:Q1208"/>
    <mergeCell ref="C1209:Q1209"/>
    <mergeCell ref="C1182:P1182"/>
    <mergeCell ref="A1182:B1183"/>
    <mergeCell ref="C1183:P1184"/>
    <mergeCell ref="C1185:P1185"/>
    <mergeCell ref="B1186:P1186"/>
    <mergeCell ref="C1187:P1187"/>
    <mergeCell ref="C1188:P1188"/>
    <mergeCell ref="C1189:P1189"/>
    <mergeCell ref="C1190:P1190"/>
    <mergeCell ref="C1191:P1191"/>
    <mergeCell ref="C1192:P1192"/>
    <mergeCell ref="C1193:P1193"/>
    <mergeCell ref="C1194:P1194"/>
    <mergeCell ref="C1195:P1195"/>
    <mergeCell ref="C1196:P1196"/>
    <mergeCell ref="C1197:P1197"/>
    <mergeCell ref="C1198:P1198"/>
    <mergeCell ref="C1199:P1199"/>
    <mergeCell ref="C1200:P1200"/>
    <mergeCell ref="A1199:B1199"/>
    <mergeCell ref="A1200:B1200"/>
  </mergeCells>
  <pageMargins left="0.38" right="0" top="0.49" bottom="0.33" header="0.3" footer="0.3"/>
  <pageSetup paperSize="9" scale="81" orientation="landscape" r:id="rId1"/>
  <rowBreaks count="35" manualBreakCount="35">
    <brk id="32" max="16383" man="1"/>
    <brk id="65" max="16383" man="1"/>
    <brk id="98" max="16383" man="1"/>
    <brk id="131" max="16383" man="1"/>
    <brk id="164" max="16383" man="1"/>
    <brk id="197" max="16383" man="1"/>
    <brk id="230" max="16383" man="1"/>
    <brk id="263" max="16383" man="1"/>
    <brk id="298" max="16383" man="1"/>
    <brk id="332" max="16383" man="1"/>
    <brk id="367" max="16383" man="1"/>
    <brk id="401" max="16383" man="1"/>
    <brk id="434" max="16383" man="1"/>
    <brk id="469" max="16383" man="1"/>
    <brk id="503" max="16383" man="1"/>
    <brk id="537" max="16383" man="1"/>
    <brk id="571" max="16383" man="1"/>
    <brk id="605" max="16383" man="1"/>
    <brk id="638" max="16383" man="1"/>
    <brk id="672" max="16383" man="1"/>
    <brk id="706" max="16383" man="1"/>
    <brk id="740" max="16383" man="1"/>
    <brk id="774" max="16383" man="1"/>
    <brk id="808" max="16383" man="1"/>
    <brk id="842" max="16383" man="1"/>
    <brk id="875" max="16383" man="1"/>
    <brk id="908" max="16383" man="1"/>
    <brk id="942" max="16383" man="1"/>
    <brk id="976" max="16383" man="1"/>
    <brk id="1009" max="16383" man="1"/>
    <brk id="1042" max="16383" man="1"/>
    <brk id="1076" max="16383" man="1"/>
    <brk id="1110" max="16383" man="1"/>
    <brk id="1144" max="16383" man="1"/>
    <brk id="1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>
      <pane xSplit="10" ySplit="9" topLeftCell="K34" activePane="bottomRight" state="frozen"/>
      <selection pane="topRight" activeCell="K1" sqref="K1"/>
      <selection pane="bottomLeft" activeCell="A10" sqref="A10"/>
      <selection pane="bottomRight" activeCell="I22" sqref="I22"/>
    </sheetView>
  </sheetViews>
  <sheetFormatPr defaultRowHeight="15"/>
  <cols>
    <col min="1" max="1" width="5.42578125" bestFit="1" customWidth="1"/>
    <col min="2" max="2" width="7.7109375" bestFit="1" customWidth="1"/>
    <col min="3" max="3" width="9" customWidth="1"/>
    <col min="4" max="4" width="10" customWidth="1"/>
    <col min="5" max="5" width="9.7109375" customWidth="1"/>
    <col min="6" max="6" width="11.42578125" customWidth="1"/>
    <col min="7" max="7" width="8.85546875" customWidth="1"/>
    <col min="8" max="8" width="10.7109375" customWidth="1"/>
    <col min="9" max="13" width="9.85546875" customWidth="1"/>
    <col min="14" max="14" width="10.85546875" customWidth="1"/>
    <col min="16" max="16" width="9.140625" style="155"/>
    <col min="17" max="17" width="10.42578125" customWidth="1"/>
    <col min="18" max="18" width="9.140625" customWidth="1"/>
  </cols>
  <sheetData>
    <row r="1" spans="1:18" ht="18.75">
      <c r="A1" s="210" t="s">
        <v>46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8.75">
      <c r="A2" s="210" t="s">
        <v>47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</row>
    <row r="3" spans="1:18" ht="18.75">
      <c r="A3" s="210" t="s">
        <v>48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</row>
    <row r="4" spans="1:18" ht="18.75">
      <c r="A4" s="210" t="s">
        <v>1074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</row>
    <row r="5" spans="1:18" ht="18.75">
      <c r="A5" s="210" t="s">
        <v>49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</row>
    <row r="6" spans="1:18" ht="15.75">
      <c r="A6" s="211" t="s">
        <v>1075</v>
      </c>
      <c r="B6" s="211"/>
      <c r="C6" s="211"/>
      <c r="D6" s="211"/>
      <c r="E6" s="211"/>
      <c r="F6" s="211"/>
      <c r="G6" s="211"/>
      <c r="H6" s="211" t="s">
        <v>609</v>
      </c>
      <c r="I6" s="211"/>
      <c r="J6" s="211"/>
      <c r="K6" s="211"/>
      <c r="L6" s="211"/>
      <c r="M6" s="211"/>
      <c r="N6" s="211"/>
      <c r="O6" s="211"/>
      <c r="P6" s="211"/>
      <c r="Q6" s="211"/>
      <c r="R6" s="211"/>
    </row>
    <row r="7" spans="1:18" s="19" customFormat="1" ht="58.5" customHeight="1">
      <c r="A7" s="216" t="s">
        <v>97</v>
      </c>
      <c r="B7" s="217" t="s">
        <v>50</v>
      </c>
      <c r="C7" s="42" t="s">
        <v>598</v>
      </c>
      <c r="D7" s="42" t="s">
        <v>599</v>
      </c>
      <c r="E7" s="42" t="s">
        <v>600</v>
      </c>
      <c r="F7" s="42" t="s">
        <v>601</v>
      </c>
      <c r="G7" s="42" t="s">
        <v>602</v>
      </c>
      <c r="H7" s="42" t="s">
        <v>603</v>
      </c>
      <c r="I7" s="42" t="s">
        <v>604</v>
      </c>
      <c r="J7" s="42" t="s">
        <v>605</v>
      </c>
      <c r="K7" s="42" t="s">
        <v>606</v>
      </c>
      <c r="L7" s="42" t="s">
        <v>607</v>
      </c>
      <c r="M7" s="42" t="s">
        <v>608</v>
      </c>
      <c r="N7" s="218" t="s">
        <v>92</v>
      </c>
      <c r="O7" s="208" t="s">
        <v>1083</v>
      </c>
      <c r="P7" s="218" t="s">
        <v>93</v>
      </c>
      <c r="Q7" s="212" t="s">
        <v>94</v>
      </c>
      <c r="R7" s="214" t="s">
        <v>1081</v>
      </c>
    </row>
    <row r="8" spans="1:18" s="19" customFormat="1" ht="24.75" customHeight="1">
      <c r="A8" s="216"/>
      <c r="B8" s="217"/>
      <c r="C8" s="35">
        <v>1</v>
      </c>
      <c r="D8" s="35">
        <v>2</v>
      </c>
      <c r="E8" s="35">
        <v>3</v>
      </c>
      <c r="F8" s="35">
        <v>4</v>
      </c>
      <c r="G8" s="35">
        <v>5</v>
      </c>
      <c r="H8" s="35">
        <v>6</v>
      </c>
      <c r="I8" s="35">
        <v>7</v>
      </c>
      <c r="J8" s="35">
        <v>8</v>
      </c>
      <c r="K8" s="35">
        <v>9</v>
      </c>
      <c r="L8" s="35">
        <v>10</v>
      </c>
      <c r="M8" s="35">
        <v>11</v>
      </c>
      <c r="N8" s="219"/>
      <c r="O8" s="209"/>
      <c r="P8" s="219"/>
      <c r="Q8" s="213"/>
      <c r="R8" s="215"/>
    </row>
    <row r="9" spans="1:18" ht="15.75">
      <c r="A9" s="16">
        <v>1</v>
      </c>
      <c r="B9" s="17" t="s">
        <v>51</v>
      </c>
      <c r="C9" s="18">
        <f>Constiuence!Q8</f>
        <v>760</v>
      </c>
      <c r="D9" s="18">
        <f>Constiuence!Q9</f>
        <v>2174</v>
      </c>
      <c r="E9" s="18">
        <f>Constiuence!Q10</f>
        <v>2897</v>
      </c>
      <c r="F9" s="18">
        <f>Constiuence!Q11</f>
        <v>46</v>
      </c>
      <c r="G9" s="18">
        <f>Constiuence!Q12</f>
        <v>29</v>
      </c>
      <c r="H9" s="18">
        <f>Constiuence!Q13</f>
        <v>5</v>
      </c>
      <c r="I9" s="18">
        <f>Constiuence!Q14</f>
        <v>5</v>
      </c>
      <c r="J9" s="18">
        <f>Constiuence!Q15</f>
        <v>12</v>
      </c>
      <c r="K9" s="18">
        <f>Constiuence!Q16</f>
        <v>118</v>
      </c>
      <c r="L9" s="18">
        <f>Constiuence!Q17</f>
        <v>30</v>
      </c>
      <c r="M9" s="18">
        <f>Constiuence!Q18</f>
        <v>11</v>
      </c>
      <c r="N9" s="18">
        <f>SUM(C9:M9)</f>
        <v>6087</v>
      </c>
      <c r="O9" s="18">
        <v>0</v>
      </c>
      <c r="P9" s="18">
        <v>27</v>
      </c>
      <c r="Q9" s="18">
        <f>N9+P9+O9</f>
        <v>6114</v>
      </c>
      <c r="R9" s="18">
        <v>0</v>
      </c>
    </row>
    <row r="10" spans="1:18" ht="15.75">
      <c r="A10" s="34">
        <v>2</v>
      </c>
      <c r="B10" s="17" t="s">
        <v>52</v>
      </c>
      <c r="C10" s="25">
        <f>Constiuence!Q40</f>
        <v>1132</v>
      </c>
      <c r="D10" s="25">
        <f>Constiuence!Q41</f>
        <v>2899</v>
      </c>
      <c r="E10" s="25">
        <f>Constiuence!Q42</f>
        <v>2647</v>
      </c>
      <c r="F10" s="25">
        <f>Constiuence!Q43</f>
        <v>132</v>
      </c>
      <c r="G10" s="25">
        <f>Constiuence!Q44</f>
        <v>5</v>
      </c>
      <c r="H10" s="25">
        <f>Constiuence!Q45</f>
        <v>1</v>
      </c>
      <c r="I10" s="25">
        <f>Constiuence!Q46</f>
        <v>5</v>
      </c>
      <c r="J10" s="25">
        <f>Constiuence!Q47</f>
        <v>10</v>
      </c>
      <c r="K10" s="25">
        <f>Constiuence!Q48</f>
        <v>38</v>
      </c>
      <c r="L10" s="25">
        <f>Constiuence!Q49</f>
        <v>28</v>
      </c>
      <c r="M10" s="25">
        <f>Constiuence!Q50</f>
        <v>12</v>
      </c>
      <c r="N10" s="18">
        <f t="shared" ref="N10:N45" si="0">SUM(C10:M10)</f>
        <v>6909</v>
      </c>
      <c r="O10" s="18">
        <v>0</v>
      </c>
      <c r="P10" s="157">
        <v>30</v>
      </c>
      <c r="Q10" s="18">
        <f t="shared" ref="Q10:Q45" si="1">N10+P10+O10</f>
        <v>6939</v>
      </c>
      <c r="R10" s="18">
        <v>0</v>
      </c>
    </row>
    <row r="11" spans="1:18" ht="15.75">
      <c r="A11" s="34">
        <v>3</v>
      </c>
      <c r="B11" s="17" t="s">
        <v>53</v>
      </c>
      <c r="C11" s="25">
        <f>Constiuence!Q73</f>
        <v>839</v>
      </c>
      <c r="D11" s="25">
        <f>Constiuence!Q74</f>
        <v>4233</v>
      </c>
      <c r="E11" s="25">
        <f>Constiuence!Q75</f>
        <v>3224</v>
      </c>
      <c r="F11" s="25">
        <f>Constiuence!Q76</f>
        <v>222</v>
      </c>
      <c r="G11" s="25">
        <f>Constiuence!Q77</f>
        <v>14</v>
      </c>
      <c r="H11" s="25">
        <f>Constiuence!Q78</f>
        <v>1</v>
      </c>
      <c r="I11" s="25">
        <f>Constiuence!Q79</f>
        <v>10</v>
      </c>
      <c r="J11" s="25">
        <f>Constiuence!Q80</f>
        <v>16</v>
      </c>
      <c r="K11" s="25">
        <f>Constiuence!Q81</f>
        <v>106</v>
      </c>
      <c r="L11" s="25">
        <f>Constiuence!Q82</f>
        <v>45</v>
      </c>
      <c r="M11" s="25">
        <f>Constiuence!Q83</f>
        <v>18</v>
      </c>
      <c r="N11" s="18">
        <f t="shared" si="0"/>
        <v>8728</v>
      </c>
      <c r="O11" s="18">
        <v>0</v>
      </c>
      <c r="P11" s="157">
        <v>39</v>
      </c>
      <c r="Q11" s="18">
        <f t="shared" si="1"/>
        <v>8767</v>
      </c>
      <c r="R11" s="18">
        <v>0</v>
      </c>
    </row>
    <row r="12" spans="1:18" ht="15.75">
      <c r="A12" s="34">
        <v>4</v>
      </c>
      <c r="B12" s="17" t="s">
        <v>54</v>
      </c>
      <c r="C12" s="25">
        <f>Constiuence!Q106</f>
        <v>394</v>
      </c>
      <c r="D12" s="25">
        <f>Constiuence!Q107</f>
        <v>4538</v>
      </c>
      <c r="E12" s="25">
        <f>Constiuence!Q108</f>
        <v>1605</v>
      </c>
      <c r="F12" s="25">
        <f>Constiuence!Q109</f>
        <v>34</v>
      </c>
      <c r="G12" s="25">
        <f>Constiuence!Q110</f>
        <v>4</v>
      </c>
      <c r="H12" s="25">
        <f>Constiuence!Q111</f>
        <v>0</v>
      </c>
      <c r="I12" s="25">
        <f>Constiuence!Q112</f>
        <v>0</v>
      </c>
      <c r="J12" s="25">
        <f>Constiuence!Q113</f>
        <v>7</v>
      </c>
      <c r="K12" s="25">
        <f>Constiuence!Q114</f>
        <v>44</v>
      </c>
      <c r="L12" s="25">
        <f>Constiuence!Q115</f>
        <v>27</v>
      </c>
      <c r="M12" s="25">
        <f>Constiuence!Q116</f>
        <v>9</v>
      </c>
      <c r="N12" s="18">
        <f t="shared" si="0"/>
        <v>6662</v>
      </c>
      <c r="O12" s="18">
        <v>0</v>
      </c>
      <c r="P12" s="157">
        <v>19</v>
      </c>
      <c r="Q12" s="18">
        <f t="shared" si="1"/>
        <v>6681</v>
      </c>
      <c r="R12" s="18">
        <v>0</v>
      </c>
    </row>
    <row r="13" spans="1:18" ht="15.75">
      <c r="A13" s="34">
        <v>5</v>
      </c>
      <c r="B13" s="17" t="s">
        <v>55</v>
      </c>
      <c r="C13" s="18">
        <f>Constiuence!Q139</f>
        <v>151</v>
      </c>
      <c r="D13" s="25">
        <f>Constiuence!Q140</f>
        <v>4149</v>
      </c>
      <c r="E13" s="25">
        <f>Constiuence!Q141</f>
        <v>3664</v>
      </c>
      <c r="F13" s="25">
        <f>Constiuence!Q142</f>
        <v>34</v>
      </c>
      <c r="G13" s="25">
        <f>Constiuence!Q143</f>
        <v>6</v>
      </c>
      <c r="H13" s="25">
        <f>Constiuence!Q144</f>
        <v>1</v>
      </c>
      <c r="I13" s="25">
        <f>Constiuence!Q145</f>
        <v>4</v>
      </c>
      <c r="J13" s="25">
        <f>Constiuence!Q146</f>
        <v>6</v>
      </c>
      <c r="K13" s="25">
        <f>Constiuence!Q147</f>
        <v>43</v>
      </c>
      <c r="L13" s="25">
        <f>Constiuence!Q148</f>
        <v>23</v>
      </c>
      <c r="M13" s="25">
        <f>Constiuence!Q149</f>
        <v>24</v>
      </c>
      <c r="N13" s="18">
        <f t="shared" si="0"/>
        <v>8105</v>
      </c>
      <c r="O13" s="18">
        <v>0</v>
      </c>
      <c r="P13" s="157">
        <v>35</v>
      </c>
      <c r="Q13" s="18">
        <f t="shared" si="1"/>
        <v>8140</v>
      </c>
      <c r="R13" s="18">
        <v>0</v>
      </c>
    </row>
    <row r="14" spans="1:18" ht="15.75">
      <c r="A14" s="34">
        <v>6</v>
      </c>
      <c r="B14" s="17" t="s">
        <v>56</v>
      </c>
      <c r="C14" s="18">
        <f>Constiuence!Q172</f>
        <v>927</v>
      </c>
      <c r="D14" s="25">
        <f>Constiuence!Q173</f>
        <v>2804</v>
      </c>
      <c r="E14" s="25">
        <f>Constiuence!Q174</f>
        <v>3846</v>
      </c>
      <c r="F14" s="25">
        <f>Constiuence!Q175</f>
        <v>62</v>
      </c>
      <c r="G14" s="25">
        <f>Constiuence!Q176</f>
        <v>3</v>
      </c>
      <c r="H14" s="25">
        <f>Constiuence!Q177</f>
        <v>5</v>
      </c>
      <c r="I14" s="25">
        <f>Constiuence!Q178</f>
        <v>8</v>
      </c>
      <c r="J14" s="25">
        <f>Constiuence!Q179</f>
        <v>10</v>
      </c>
      <c r="K14" s="25">
        <f>Constiuence!Q180</f>
        <v>94</v>
      </c>
      <c r="L14" s="25">
        <f>Constiuence!Q181</f>
        <v>33</v>
      </c>
      <c r="M14" s="25">
        <f>Constiuence!Q182</f>
        <v>10</v>
      </c>
      <c r="N14" s="18">
        <f t="shared" si="0"/>
        <v>7802</v>
      </c>
      <c r="O14" s="18">
        <v>0</v>
      </c>
      <c r="P14" s="157">
        <v>28</v>
      </c>
      <c r="Q14" s="18">
        <f t="shared" si="1"/>
        <v>7830</v>
      </c>
      <c r="R14" s="18">
        <v>0</v>
      </c>
    </row>
    <row r="15" spans="1:18" ht="15.75">
      <c r="A15" s="34">
        <v>7</v>
      </c>
      <c r="B15" s="17" t="s">
        <v>57</v>
      </c>
      <c r="C15" s="25">
        <f>Constiuence!Q205</f>
        <v>548</v>
      </c>
      <c r="D15" s="25">
        <f>Constiuence!Q206</f>
        <v>5012</v>
      </c>
      <c r="E15" s="25">
        <f>Constiuence!Q207</f>
        <v>1744</v>
      </c>
      <c r="F15" s="25">
        <f>Constiuence!Q208</f>
        <v>86</v>
      </c>
      <c r="G15" s="25">
        <f>Constiuence!Q209</f>
        <v>4</v>
      </c>
      <c r="H15" s="25">
        <f>Constiuence!Q210</f>
        <v>6</v>
      </c>
      <c r="I15" s="25">
        <f>Constiuence!Q211</f>
        <v>6</v>
      </c>
      <c r="J15" s="25">
        <f xml:space="preserve"> Constiuence!Q212</f>
        <v>5</v>
      </c>
      <c r="K15" s="25">
        <f>Constiuence!Q213</f>
        <v>140</v>
      </c>
      <c r="L15" s="25">
        <f>Constiuence!Q214</f>
        <v>41</v>
      </c>
      <c r="M15" s="25">
        <f>Constiuence!Q215</f>
        <v>16</v>
      </c>
      <c r="N15" s="18">
        <f t="shared" si="0"/>
        <v>7608</v>
      </c>
      <c r="O15" s="18">
        <v>0</v>
      </c>
      <c r="P15" s="157">
        <v>27</v>
      </c>
      <c r="Q15" s="18">
        <f t="shared" si="1"/>
        <v>7635</v>
      </c>
      <c r="R15" s="18">
        <v>0</v>
      </c>
    </row>
    <row r="16" spans="1:18" ht="15.75">
      <c r="A16" s="34">
        <v>8</v>
      </c>
      <c r="B16" s="17" t="s">
        <v>58</v>
      </c>
      <c r="C16" s="54">
        <f>Constiuence!Q238</f>
        <v>319</v>
      </c>
      <c r="D16" s="54">
        <f>Constiuence!Q239</f>
        <v>5469</v>
      </c>
      <c r="E16" s="54">
        <f>Constiuence!Q240</f>
        <v>1346</v>
      </c>
      <c r="F16" s="54">
        <f>Constiuence!Q241</f>
        <v>44</v>
      </c>
      <c r="G16" s="54">
        <f>Constiuence!Q242</f>
        <v>3</v>
      </c>
      <c r="H16" s="54">
        <f>Constiuence!Q243</f>
        <v>1</v>
      </c>
      <c r="I16" s="54">
        <f>Constiuence!Q244</f>
        <v>4</v>
      </c>
      <c r="J16" s="54">
        <f>Constiuence!Q245</f>
        <v>5</v>
      </c>
      <c r="K16" s="54">
        <f>Constiuence!Q246</f>
        <v>148</v>
      </c>
      <c r="L16" s="54">
        <f>Constiuence!Q247</f>
        <v>33</v>
      </c>
      <c r="M16" s="54">
        <f>Constiuence!Q248</f>
        <v>22</v>
      </c>
      <c r="N16" s="18">
        <f t="shared" si="0"/>
        <v>7394</v>
      </c>
      <c r="O16" s="18">
        <v>0</v>
      </c>
      <c r="P16" s="156">
        <v>24</v>
      </c>
      <c r="Q16" s="18">
        <f t="shared" si="1"/>
        <v>7418</v>
      </c>
      <c r="R16" s="18">
        <v>0</v>
      </c>
    </row>
    <row r="17" spans="1:18" ht="15.75">
      <c r="A17" s="34">
        <v>9</v>
      </c>
      <c r="B17" s="17" t="s">
        <v>59</v>
      </c>
      <c r="C17" s="54">
        <f>Constiuence!Q271</f>
        <v>934</v>
      </c>
      <c r="D17" s="54">
        <f>Constiuence!Q272</f>
        <v>3328</v>
      </c>
      <c r="E17" s="54">
        <f>Constiuence!Q273</f>
        <v>3174</v>
      </c>
      <c r="F17" s="54">
        <f>Constiuence!Q274</f>
        <v>19</v>
      </c>
      <c r="G17" s="54">
        <f>Constiuence!Q275</f>
        <v>18</v>
      </c>
      <c r="H17" s="54">
        <f>Constiuence!Q276</f>
        <v>1</v>
      </c>
      <c r="I17" s="54">
        <f>Constiuence!Q277</f>
        <v>3</v>
      </c>
      <c r="J17" s="54">
        <f>Constiuence!Q278</f>
        <v>12</v>
      </c>
      <c r="K17" s="54">
        <f>Constiuence!Q279</f>
        <v>10</v>
      </c>
      <c r="L17" s="54">
        <f>Constiuence!Q280</f>
        <v>22</v>
      </c>
      <c r="M17" s="54">
        <f>Constiuence!Q281</f>
        <v>17</v>
      </c>
      <c r="N17" s="18">
        <f t="shared" si="0"/>
        <v>7538</v>
      </c>
      <c r="O17" s="18">
        <v>0</v>
      </c>
      <c r="P17" s="156">
        <v>38</v>
      </c>
      <c r="Q17" s="18">
        <f t="shared" si="1"/>
        <v>7576</v>
      </c>
      <c r="R17" s="18">
        <v>0</v>
      </c>
    </row>
    <row r="18" spans="1:18" ht="15.75">
      <c r="A18" s="34">
        <v>10</v>
      </c>
      <c r="B18" s="17" t="s">
        <v>60</v>
      </c>
      <c r="C18" s="54">
        <f>Constiuence!Q306</f>
        <v>1730</v>
      </c>
      <c r="D18" s="54">
        <f>Constiuence!Q307</f>
        <v>2200</v>
      </c>
      <c r="E18" s="54">
        <f>Constiuence!Q308</f>
        <v>2654</v>
      </c>
      <c r="F18" s="54">
        <f>Constiuence!Q309</f>
        <v>28</v>
      </c>
      <c r="G18" s="54">
        <f>Constiuence!Q310</f>
        <v>29</v>
      </c>
      <c r="H18" s="54">
        <f>Constiuence!Q311</f>
        <v>5</v>
      </c>
      <c r="I18" s="54">
        <f>Constiuence!Q312</f>
        <v>6</v>
      </c>
      <c r="J18" s="54">
        <f>Constiuence!Q313</f>
        <v>9</v>
      </c>
      <c r="K18" s="54">
        <f>Constiuence!Q314</f>
        <v>9</v>
      </c>
      <c r="L18" s="54">
        <f>Constiuence!Q315</f>
        <v>25</v>
      </c>
      <c r="M18" s="54">
        <f>Constiuence!Q316</f>
        <v>10</v>
      </c>
      <c r="N18" s="18">
        <f t="shared" si="0"/>
        <v>6705</v>
      </c>
      <c r="O18" s="18">
        <v>0</v>
      </c>
      <c r="P18" s="156">
        <v>33</v>
      </c>
      <c r="Q18" s="18">
        <f t="shared" si="1"/>
        <v>6738</v>
      </c>
      <c r="R18" s="18">
        <v>0</v>
      </c>
    </row>
    <row r="19" spans="1:18" ht="15.75">
      <c r="A19" s="34">
        <v>11</v>
      </c>
      <c r="B19" s="17" t="s">
        <v>61</v>
      </c>
      <c r="C19" s="54">
        <f>Constiuence!Q340</f>
        <v>1021</v>
      </c>
      <c r="D19" s="54">
        <f>Constiuence!Q341</f>
        <v>3663</v>
      </c>
      <c r="E19" s="54">
        <f>Constiuence!Q342</f>
        <v>3308</v>
      </c>
      <c r="F19" s="54">
        <f>Constiuence!Q343</f>
        <v>39</v>
      </c>
      <c r="G19" s="54">
        <f>Constiuence!Q344</f>
        <v>10</v>
      </c>
      <c r="H19" s="54">
        <f>Constiuence!Q345</f>
        <v>1</v>
      </c>
      <c r="I19" s="54">
        <f>Constiuence!Q346</f>
        <v>1</v>
      </c>
      <c r="J19" s="54">
        <f>Constiuence!Q347</f>
        <v>8</v>
      </c>
      <c r="K19" s="54">
        <f>Constiuence!Q348</f>
        <v>48</v>
      </c>
      <c r="L19" s="54">
        <f>Constiuence!Q349</f>
        <v>61</v>
      </c>
      <c r="M19" s="54">
        <f>Constiuence!Q350</f>
        <v>14</v>
      </c>
      <c r="N19" s="18">
        <f t="shared" si="0"/>
        <v>8174</v>
      </c>
      <c r="O19" s="18">
        <v>0</v>
      </c>
      <c r="P19" s="156">
        <v>30</v>
      </c>
      <c r="Q19" s="18">
        <f t="shared" si="1"/>
        <v>8204</v>
      </c>
      <c r="R19" s="18">
        <v>0</v>
      </c>
    </row>
    <row r="20" spans="1:18" ht="15.75">
      <c r="A20" s="34">
        <v>12</v>
      </c>
      <c r="B20" s="17" t="s">
        <v>62</v>
      </c>
      <c r="C20" s="54">
        <f>Constiuence!Q375</f>
        <v>928</v>
      </c>
      <c r="D20" s="54">
        <f>Constiuence!Q376</f>
        <v>3637</v>
      </c>
      <c r="E20" s="54">
        <f>Constiuence!Q377</f>
        <v>2854</v>
      </c>
      <c r="F20" s="54">
        <f>Constiuence!Q378</f>
        <v>51</v>
      </c>
      <c r="G20" s="54">
        <f>Constiuence!Q379</f>
        <v>8</v>
      </c>
      <c r="H20" s="54">
        <f>Constiuence!Q380</f>
        <v>3</v>
      </c>
      <c r="I20" s="54">
        <f>Constiuence!Q381</f>
        <v>5</v>
      </c>
      <c r="J20" s="54">
        <f>Constiuence!Q382</f>
        <v>9</v>
      </c>
      <c r="K20" s="54">
        <f>Constiuence!Q383</f>
        <v>19</v>
      </c>
      <c r="L20" s="54">
        <f>Constiuence!Q384</f>
        <v>27</v>
      </c>
      <c r="M20" s="54">
        <f>Constiuence!Q385</f>
        <v>24</v>
      </c>
      <c r="N20" s="18">
        <f t="shared" si="0"/>
        <v>7565</v>
      </c>
      <c r="O20" s="18">
        <v>0</v>
      </c>
      <c r="P20" s="156">
        <v>34</v>
      </c>
      <c r="Q20" s="18">
        <f t="shared" si="1"/>
        <v>7599</v>
      </c>
      <c r="R20" s="18">
        <v>0</v>
      </c>
    </row>
    <row r="21" spans="1:18" ht="15.75">
      <c r="A21" s="34">
        <v>13</v>
      </c>
      <c r="B21" s="17" t="s">
        <v>63</v>
      </c>
      <c r="C21" s="54">
        <f>Constiuence!Q409</f>
        <v>1133</v>
      </c>
      <c r="D21" s="54">
        <f>Constiuence!Q410</f>
        <v>2229</v>
      </c>
      <c r="E21" s="54">
        <f>Constiuence!Q411</f>
        <v>4536</v>
      </c>
      <c r="F21" s="54">
        <f>Constiuence!Q412</f>
        <v>67</v>
      </c>
      <c r="G21" s="54">
        <f>Constiuence!Q413</f>
        <v>8</v>
      </c>
      <c r="H21" s="54">
        <f>Constiuence!Q414</f>
        <v>5</v>
      </c>
      <c r="I21" s="54">
        <f>Constiuence!Q415</f>
        <v>7</v>
      </c>
      <c r="J21" s="54">
        <f>Constiuence!Q416</f>
        <v>21</v>
      </c>
      <c r="K21" s="54">
        <f>Constiuence!Q417</f>
        <v>21</v>
      </c>
      <c r="L21" s="54">
        <f>Constiuence!Q418</f>
        <v>41</v>
      </c>
      <c r="M21" s="54">
        <f>Constiuence!Q419</f>
        <v>15</v>
      </c>
      <c r="N21" s="18">
        <f t="shared" si="0"/>
        <v>8083</v>
      </c>
      <c r="O21" s="18">
        <v>0</v>
      </c>
      <c r="P21" s="156">
        <v>24</v>
      </c>
      <c r="Q21" s="18">
        <f t="shared" si="1"/>
        <v>8107</v>
      </c>
      <c r="R21" s="18">
        <v>0</v>
      </c>
    </row>
    <row r="22" spans="1:18" ht="15.75">
      <c r="A22" s="34">
        <v>14</v>
      </c>
      <c r="B22" s="17" t="s">
        <v>64</v>
      </c>
      <c r="C22" s="54">
        <f>Constiuence!Q442</f>
        <v>3488</v>
      </c>
      <c r="D22" s="54">
        <f>Constiuence!Q443</f>
        <v>2765</v>
      </c>
      <c r="E22" s="54">
        <f>Constiuence!Q444</f>
        <v>2057</v>
      </c>
      <c r="F22" s="54">
        <f>Constiuence!Q445</f>
        <v>121</v>
      </c>
      <c r="G22" s="54">
        <f>Constiuence!Q446</f>
        <v>31</v>
      </c>
      <c r="H22" s="54">
        <f>Constiuence!Q447</f>
        <v>1</v>
      </c>
      <c r="I22" s="54">
        <f>Constiuence!Q448</f>
        <v>4</v>
      </c>
      <c r="J22" s="54">
        <f>Constiuence!Q449</f>
        <v>9</v>
      </c>
      <c r="K22" s="54">
        <f>Constiuence!Q450</f>
        <v>31</v>
      </c>
      <c r="L22" s="54">
        <f>Constiuence!Q451</f>
        <v>26</v>
      </c>
      <c r="M22" s="54">
        <f>Constiuence!Q452</f>
        <v>13</v>
      </c>
      <c r="N22" s="18">
        <f t="shared" si="0"/>
        <v>8546</v>
      </c>
      <c r="O22" s="18">
        <v>0</v>
      </c>
      <c r="P22" s="156">
        <v>63</v>
      </c>
      <c r="Q22" s="18">
        <f t="shared" si="1"/>
        <v>8609</v>
      </c>
      <c r="R22" s="18">
        <v>0</v>
      </c>
    </row>
    <row r="23" spans="1:18" ht="15.75">
      <c r="A23" s="34">
        <v>15</v>
      </c>
      <c r="B23" s="17" t="s">
        <v>65</v>
      </c>
      <c r="C23" s="54">
        <f>Constiuence!Q477</f>
        <v>1689</v>
      </c>
      <c r="D23" s="54">
        <f>Constiuence!Q478</f>
        <v>2788</v>
      </c>
      <c r="E23" s="54">
        <f>Constiuence!Q479</f>
        <v>2991</v>
      </c>
      <c r="F23" s="54">
        <f>Constiuence!Q480</f>
        <v>43</v>
      </c>
      <c r="G23" s="54">
        <f>Constiuence!Q481</f>
        <v>55</v>
      </c>
      <c r="H23" s="54">
        <f>Constiuence!Q482</f>
        <v>3</v>
      </c>
      <c r="I23" s="54">
        <f>Constiuence!Q483</f>
        <v>9</v>
      </c>
      <c r="J23" s="54">
        <f>Constiuence!Q484</f>
        <v>12</v>
      </c>
      <c r="K23" s="54">
        <f>Constiuence!Q485</f>
        <v>36</v>
      </c>
      <c r="L23" s="54">
        <f>Constiuence!Q486</f>
        <v>47</v>
      </c>
      <c r="M23" s="54">
        <f>Constiuence!Q487</f>
        <v>10</v>
      </c>
      <c r="N23" s="18">
        <f t="shared" si="0"/>
        <v>7683</v>
      </c>
      <c r="O23" s="18">
        <v>0</v>
      </c>
      <c r="P23" s="156">
        <v>37</v>
      </c>
      <c r="Q23" s="18">
        <f t="shared" si="1"/>
        <v>7720</v>
      </c>
      <c r="R23" s="18">
        <v>0</v>
      </c>
    </row>
    <row r="24" spans="1:18" ht="15.75">
      <c r="A24" s="34">
        <v>16</v>
      </c>
      <c r="B24" s="17" t="s">
        <v>66</v>
      </c>
      <c r="C24" s="54">
        <f>Constiuence!Q511</f>
        <v>3150</v>
      </c>
      <c r="D24" s="54">
        <f>Constiuence!Q512</f>
        <v>815</v>
      </c>
      <c r="E24" s="54">
        <f>Constiuence!Q513</f>
        <v>3853</v>
      </c>
      <c r="F24" s="54">
        <f>Constiuence!Q514</f>
        <v>53</v>
      </c>
      <c r="G24" s="54">
        <f>Constiuence!Q515</f>
        <v>250</v>
      </c>
      <c r="H24" s="54">
        <f>Constiuence!Q516</f>
        <v>6</v>
      </c>
      <c r="I24" s="54">
        <f>Constiuence!Q517</f>
        <v>13</v>
      </c>
      <c r="J24" s="54">
        <f>Constiuence!Q518</f>
        <v>26</v>
      </c>
      <c r="K24" s="54">
        <f>Constiuence!Q519</f>
        <v>19</v>
      </c>
      <c r="L24" s="54">
        <f>Constiuence!Q520</f>
        <v>33</v>
      </c>
      <c r="M24" s="54">
        <f>Constiuence!Q521</f>
        <v>17</v>
      </c>
      <c r="N24" s="18">
        <f t="shared" si="0"/>
        <v>8235</v>
      </c>
      <c r="O24" s="18">
        <v>0</v>
      </c>
      <c r="P24" s="156">
        <v>49</v>
      </c>
      <c r="Q24" s="18">
        <f t="shared" si="1"/>
        <v>8284</v>
      </c>
      <c r="R24" s="18">
        <v>0</v>
      </c>
    </row>
    <row r="25" spans="1:18" ht="15.75">
      <c r="A25" s="34">
        <v>17</v>
      </c>
      <c r="B25" s="17" t="s">
        <v>67</v>
      </c>
      <c r="C25" s="54">
        <f>Constiuence!Q545</f>
        <v>1853</v>
      </c>
      <c r="D25" s="54">
        <f>Constiuence!Q546</f>
        <v>2047</v>
      </c>
      <c r="E25" s="54">
        <f>Constiuence!Q547</f>
        <v>5229</v>
      </c>
      <c r="F25" s="54">
        <f>Constiuence!Q548</f>
        <v>78</v>
      </c>
      <c r="G25" s="54">
        <f>Constiuence!Q549</f>
        <v>34</v>
      </c>
      <c r="H25" s="54">
        <f>Constiuence!Q550</f>
        <v>3</v>
      </c>
      <c r="I25" s="54">
        <f>Constiuence!Q551</f>
        <v>4</v>
      </c>
      <c r="J25" s="54">
        <f>Constiuence!Q552</f>
        <v>18</v>
      </c>
      <c r="K25" s="54">
        <f>Constiuence!Q553</f>
        <v>54</v>
      </c>
      <c r="L25" s="54">
        <f>Constiuence!Q554</f>
        <v>49</v>
      </c>
      <c r="M25" s="54">
        <f>Constiuence!Q555</f>
        <v>13</v>
      </c>
      <c r="N25" s="18">
        <f t="shared" si="0"/>
        <v>9382</v>
      </c>
      <c r="O25" s="18">
        <v>0</v>
      </c>
      <c r="P25" s="156">
        <v>48</v>
      </c>
      <c r="Q25" s="18">
        <f t="shared" si="1"/>
        <v>9430</v>
      </c>
      <c r="R25" s="18">
        <v>0</v>
      </c>
    </row>
    <row r="26" spans="1:18" ht="15.75">
      <c r="A26" s="34">
        <v>18</v>
      </c>
      <c r="B26" s="17" t="s">
        <v>68</v>
      </c>
      <c r="C26" s="54">
        <f>Constiuence!Q579</f>
        <v>359</v>
      </c>
      <c r="D26" s="54">
        <f>Constiuence!Q580</f>
        <v>5625</v>
      </c>
      <c r="E26" s="54">
        <f>Constiuence!Q581</f>
        <v>3131</v>
      </c>
      <c r="F26" s="54">
        <f>Constiuence!Q582</f>
        <v>76</v>
      </c>
      <c r="G26" s="54">
        <f>Constiuence!Q583</f>
        <v>3</v>
      </c>
      <c r="H26" s="54">
        <f>Constiuence!Q584</f>
        <v>3</v>
      </c>
      <c r="I26" s="54">
        <f>Constiuence!Q585</f>
        <v>5</v>
      </c>
      <c r="J26" s="54">
        <f>Constiuence!Q586</f>
        <v>3</v>
      </c>
      <c r="K26" s="54">
        <f>Constiuence!Q587</f>
        <v>157</v>
      </c>
      <c r="L26" s="54">
        <f>Constiuence!Q588</f>
        <v>54</v>
      </c>
      <c r="M26" s="54">
        <f>Constiuence!Q589</f>
        <v>17</v>
      </c>
      <c r="N26" s="18">
        <f t="shared" si="0"/>
        <v>9433</v>
      </c>
      <c r="O26" s="18">
        <v>0</v>
      </c>
      <c r="P26" s="156">
        <v>24</v>
      </c>
      <c r="Q26" s="18">
        <f t="shared" si="1"/>
        <v>9457</v>
      </c>
      <c r="R26" s="18">
        <v>0</v>
      </c>
    </row>
    <row r="27" spans="1:18" ht="15.75">
      <c r="A27" s="34">
        <v>19</v>
      </c>
      <c r="B27" s="17" t="s">
        <v>69</v>
      </c>
      <c r="C27" s="54">
        <f>Constiuence!Q613</f>
        <v>292</v>
      </c>
      <c r="D27" s="54">
        <f>Constiuence!Q614</f>
        <v>4283</v>
      </c>
      <c r="E27" s="54">
        <f>Constiuence!Q615</f>
        <v>3474</v>
      </c>
      <c r="F27" s="54">
        <f>Constiuence!Q616</f>
        <v>45</v>
      </c>
      <c r="G27" s="54">
        <f>Constiuence!Q617</f>
        <v>4</v>
      </c>
      <c r="H27" s="54">
        <f>Constiuence!Q618</f>
        <v>6</v>
      </c>
      <c r="I27" s="54">
        <f>Constiuence!Q619</f>
        <v>5</v>
      </c>
      <c r="J27" s="54">
        <f>Constiuence!Q620</f>
        <v>5</v>
      </c>
      <c r="K27" s="54">
        <f>Constiuence!Q621</f>
        <v>56</v>
      </c>
      <c r="L27" s="54">
        <f>Constiuence!Q622</f>
        <v>47</v>
      </c>
      <c r="M27" s="54">
        <f>Constiuence!Q623</f>
        <v>11</v>
      </c>
      <c r="N27" s="18">
        <f t="shared" si="0"/>
        <v>8228</v>
      </c>
      <c r="O27" s="18">
        <v>0</v>
      </c>
      <c r="P27" s="156">
        <v>17</v>
      </c>
      <c r="Q27" s="18">
        <f t="shared" si="1"/>
        <v>8245</v>
      </c>
      <c r="R27" s="18">
        <v>0</v>
      </c>
    </row>
    <row r="28" spans="1:18" ht="15.75">
      <c r="A28" s="34">
        <v>20</v>
      </c>
      <c r="B28" s="17" t="s">
        <v>70</v>
      </c>
      <c r="C28" s="54">
        <f>Constiuence!Q646</f>
        <v>1711</v>
      </c>
      <c r="D28" s="54">
        <f>Constiuence!Q647</f>
        <v>1677</v>
      </c>
      <c r="E28" s="54">
        <f>Constiuence!Q648</f>
        <v>3995</v>
      </c>
      <c r="F28" s="54">
        <f>Constiuence!Q649</f>
        <v>59</v>
      </c>
      <c r="G28" s="54">
        <f>Constiuence!Q650</f>
        <v>11</v>
      </c>
      <c r="H28" s="54">
        <f>Constiuence!Q651</f>
        <v>2</v>
      </c>
      <c r="I28" s="54">
        <f>Constiuence!Q652</f>
        <v>6</v>
      </c>
      <c r="J28" s="54">
        <f>Constiuence!Q653</f>
        <v>8</v>
      </c>
      <c r="K28" s="54">
        <f>Constiuence!Q654</f>
        <v>56</v>
      </c>
      <c r="L28" s="54">
        <f>Constiuence!Q655</f>
        <v>34</v>
      </c>
      <c r="M28" s="54">
        <f>Constiuence!Q656</f>
        <v>15</v>
      </c>
      <c r="N28" s="18">
        <f t="shared" si="0"/>
        <v>7574</v>
      </c>
      <c r="O28" s="18">
        <v>0</v>
      </c>
      <c r="P28" s="156">
        <v>37</v>
      </c>
      <c r="Q28" s="18">
        <f t="shared" si="1"/>
        <v>7611</v>
      </c>
      <c r="R28" s="18">
        <v>0</v>
      </c>
    </row>
    <row r="29" spans="1:18" ht="15.75">
      <c r="A29" s="34">
        <v>21</v>
      </c>
      <c r="B29" s="17" t="s">
        <v>71</v>
      </c>
      <c r="C29" s="54">
        <f>Constiuence!Q680</f>
        <v>756</v>
      </c>
      <c r="D29" s="54">
        <f>Constiuence!Q681</f>
        <v>3574</v>
      </c>
      <c r="E29" s="54">
        <f>Constiuence!Q682</f>
        <v>4115</v>
      </c>
      <c r="F29" s="54">
        <f>Constiuence!Q683</f>
        <v>78</v>
      </c>
      <c r="G29" s="54">
        <f>Constiuence!Q684</f>
        <v>11</v>
      </c>
      <c r="H29" s="54">
        <f>Constiuence!Q685</f>
        <v>4</v>
      </c>
      <c r="I29" s="54">
        <f>Constiuence!Q686</f>
        <v>9</v>
      </c>
      <c r="J29" s="54">
        <f>Constiuence!Q687</f>
        <v>10</v>
      </c>
      <c r="K29" s="54">
        <f>Constiuence!Q688</f>
        <v>82</v>
      </c>
      <c r="L29" s="54">
        <f>Constiuence!Q689</f>
        <v>39</v>
      </c>
      <c r="M29" s="54">
        <f>Constiuence!Q690</f>
        <v>7</v>
      </c>
      <c r="N29" s="18">
        <f t="shared" si="0"/>
        <v>8685</v>
      </c>
      <c r="O29" s="18">
        <v>0</v>
      </c>
      <c r="P29" s="156">
        <v>30</v>
      </c>
      <c r="Q29" s="18">
        <f t="shared" si="1"/>
        <v>8715</v>
      </c>
      <c r="R29" s="18">
        <v>0</v>
      </c>
    </row>
    <row r="30" spans="1:18" ht="15.75">
      <c r="A30" s="34">
        <v>22</v>
      </c>
      <c r="B30" s="17" t="s">
        <v>72</v>
      </c>
      <c r="C30" s="54">
        <f>Constiuence!Q714</f>
        <v>1177</v>
      </c>
      <c r="D30" s="54">
        <f>Constiuence!Q715</f>
        <v>4338</v>
      </c>
      <c r="E30" s="54">
        <f>Constiuence!Q716</f>
        <v>1938</v>
      </c>
      <c r="F30" s="54">
        <f>Constiuence!Q717</f>
        <v>106</v>
      </c>
      <c r="G30" s="54">
        <f>Constiuence!Q718</f>
        <v>11</v>
      </c>
      <c r="H30" s="54">
        <f>Constiuence!Q719</f>
        <v>5</v>
      </c>
      <c r="I30" s="54">
        <f>Constiuence!Q720</f>
        <v>3</v>
      </c>
      <c r="J30" s="54">
        <v>13</v>
      </c>
      <c r="K30" s="54">
        <f>Constiuence!Q722</f>
        <v>96</v>
      </c>
      <c r="L30" s="54">
        <f>Constiuence!Q723</f>
        <v>25</v>
      </c>
      <c r="M30" s="54">
        <f>Constiuence!Q724</f>
        <v>12</v>
      </c>
      <c r="N30" s="18">
        <f t="shared" si="0"/>
        <v>7724</v>
      </c>
      <c r="O30" s="18">
        <v>0</v>
      </c>
      <c r="P30" s="156">
        <v>34</v>
      </c>
      <c r="Q30" s="18">
        <f t="shared" si="1"/>
        <v>7758</v>
      </c>
      <c r="R30" s="18">
        <v>0</v>
      </c>
    </row>
    <row r="31" spans="1:18" ht="15.75">
      <c r="A31" s="34">
        <v>23</v>
      </c>
      <c r="B31" s="17" t="s">
        <v>73</v>
      </c>
      <c r="C31" s="54">
        <f>Constiuence!Q748</f>
        <v>969</v>
      </c>
      <c r="D31" s="54">
        <f>Constiuence!Q749</f>
        <v>1325</v>
      </c>
      <c r="E31" s="54">
        <f>Constiuence!Q750</f>
        <v>5543</v>
      </c>
      <c r="F31" s="54">
        <f>Constiuence!Q751</f>
        <v>80</v>
      </c>
      <c r="G31" s="54">
        <f>Constiuence!Q752</f>
        <v>15</v>
      </c>
      <c r="H31" s="54">
        <f>Constiuence!Q753</f>
        <v>3</v>
      </c>
      <c r="I31" s="54">
        <f>Constiuence!Q754</f>
        <v>7</v>
      </c>
      <c r="J31" s="54">
        <f>Constiuence!Q755</f>
        <v>14</v>
      </c>
      <c r="K31" s="54">
        <f>Constiuence!Q756</f>
        <v>35</v>
      </c>
      <c r="L31" s="54">
        <f>Constiuence!Q757</f>
        <v>44</v>
      </c>
      <c r="M31" s="54">
        <f>Constiuence!Q758</f>
        <v>18</v>
      </c>
      <c r="N31" s="18">
        <f t="shared" si="0"/>
        <v>8053</v>
      </c>
      <c r="O31" s="18">
        <v>0</v>
      </c>
      <c r="P31" s="156">
        <v>47</v>
      </c>
      <c r="Q31" s="18">
        <f t="shared" si="1"/>
        <v>8100</v>
      </c>
      <c r="R31" s="18">
        <v>0</v>
      </c>
    </row>
    <row r="32" spans="1:18" ht="15.75">
      <c r="A32" s="34">
        <v>24</v>
      </c>
      <c r="B32" s="17" t="s">
        <v>74</v>
      </c>
      <c r="C32" s="54">
        <f>Constiuence!Q782</f>
        <v>2097</v>
      </c>
      <c r="D32" s="54">
        <f>Constiuence!Q783</f>
        <v>1279</v>
      </c>
      <c r="E32" s="54">
        <f>Constiuence!Q784</f>
        <v>3714</v>
      </c>
      <c r="F32" s="54">
        <f>Constiuence!Q785</f>
        <v>36</v>
      </c>
      <c r="G32" s="54">
        <f>Constiuence!Q786</f>
        <v>43</v>
      </c>
      <c r="H32" s="54">
        <f>Constiuence!Q787</f>
        <v>6</v>
      </c>
      <c r="I32" s="54">
        <f>Constiuence!Q788</f>
        <v>3</v>
      </c>
      <c r="J32" s="54">
        <f>Constiuence!Q789</f>
        <v>13</v>
      </c>
      <c r="K32" s="54">
        <f>Constiuence!Q790</f>
        <v>10</v>
      </c>
      <c r="L32" s="54">
        <f>Constiuence!Q791</f>
        <v>35</v>
      </c>
      <c r="M32" s="54">
        <f>Constiuence!Q792</f>
        <v>17</v>
      </c>
      <c r="N32" s="18">
        <f t="shared" si="0"/>
        <v>7253</v>
      </c>
      <c r="O32" s="18">
        <v>0</v>
      </c>
      <c r="P32" s="156">
        <v>55</v>
      </c>
      <c r="Q32" s="18">
        <f t="shared" si="1"/>
        <v>7308</v>
      </c>
      <c r="R32" s="18">
        <v>0</v>
      </c>
    </row>
    <row r="33" spans="1:18" ht="15.75">
      <c r="A33" s="34">
        <v>25</v>
      </c>
      <c r="B33" s="17" t="s">
        <v>80</v>
      </c>
      <c r="C33" s="54">
        <f>Constiuence!Q816</f>
        <v>1429</v>
      </c>
      <c r="D33" s="54">
        <f>Constiuence!Q817</f>
        <v>3901</v>
      </c>
      <c r="E33" s="54">
        <f>Constiuence!Q818</f>
        <v>2627</v>
      </c>
      <c r="F33" s="54">
        <f>Constiuence!Q819</f>
        <v>56</v>
      </c>
      <c r="G33" s="54">
        <f>Constiuence!Q820</f>
        <v>10</v>
      </c>
      <c r="H33" s="54">
        <f>Constiuence!Q821</f>
        <v>4</v>
      </c>
      <c r="I33" s="54">
        <f>Constiuence!Q822</f>
        <v>10</v>
      </c>
      <c r="J33" s="54">
        <f>Constiuence!Q823</f>
        <v>4</v>
      </c>
      <c r="K33" s="54">
        <f>Constiuence!Q824</f>
        <v>20</v>
      </c>
      <c r="L33" s="54">
        <f>Constiuence!Q825</f>
        <v>32</v>
      </c>
      <c r="M33" s="54">
        <f>Constiuence!Q826</f>
        <v>37</v>
      </c>
      <c r="N33" s="18">
        <f t="shared" si="0"/>
        <v>8130</v>
      </c>
      <c r="O33" s="18">
        <v>0</v>
      </c>
      <c r="P33" s="156">
        <v>55</v>
      </c>
      <c r="Q33" s="18">
        <f t="shared" si="1"/>
        <v>8185</v>
      </c>
      <c r="R33" s="18">
        <v>0</v>
      </c>
    </row>
    <row r="34" spans="1:18" ht="15.75">
      <c r="A34" s="34">
        <v>26</v>
      </c>
      <c r="B34" s="17" t="s">
        <v>81</v>
      </c>
      <c r="C34" s="54">
        <f>Constiuence!Q850</f>
        <v>1379</v>
      </c>
      <c r="D34" s="54">
        <f>Constiuence!Q851</f>
        <v>1431</v>
      </c>
      <c r="E34" s="54">
        <f>Constiuence!Q852</f>
        <v>5782</v>
      </c>
      <c r="F34" s="54">
        <f>Constiuence!Q853</f>
        <v>40</v>
      </c>
      <c r="G34" s="54">
        <f>Constiuence!Q854</f>
        <v>6</v>
      </c>
      <c r="H34" s="54">
        <f>Constiuence!Q855</f>
        <v>4</v>
      </c>
      <c r="I34" s="54">
        <f>Constiuence!Q856</f>
        <v>7</v>
      </c>
      <c r="J34" s="54">
        <f>Constiuence!Q857</f>
        <v>16</v>
      </c>
      <c r="K34" s="54">
        <f>Constiuence!Q858</f>
        <v>13</v>
      </c>
      <c r="L34" s="54">
        <f>Constiuence!Q859</f>
        <v>49</v>
      </c>
      <c r="M34" s="54">
        <f>Constiuence!Q860</f>
        <v>20</v>
      </c>
      <c r="N34" s="18">
        <f t="shared" si="0"/>
        <v>8747</v>
      </c>
      <c r="O34" s="18">
        <v>0</v>
      </c>
      <c r="P34" s="156">
        <v>35</v>
      </c>
      <c r="Q34" s="18">
        <f t="shared" si="1"/>
        <v>8782</v>
      </c>
      <c r="R34" s="18">
        <v>0</v>
      </c>
    </row>
    <row r="35" spans="1:18" ht="15.75">
      <c r="A35" s="34">
        <v>27</v>
      </c>
      <c r="B35" s="17" t="s">
        <v>82</v>
      </c>
      <c r="C35" s="54">
        <f>Constiuence!Q883</f>
        <v>1596</v>
      </c>
      <c r="D35" s="54">
        <f>Constiuence!Q884</f>
        <v>1962</v>
      </c>
      <c r="E35" s="54">
        <f>Constiuence!Q885</f>
        <v>4873</v>
      </c>
      <c r="F35" s="54">
        <f>Constiuence!Q886</f>
        <v>57</v>
      </c>
      <c r="G35" s="54">
        <f>Constiuence!Q887</f>
        <v>9</v>
      </c>
      <c r="H35" s="54">
        <f>Constiuence!Q888</f>
        <v>8</v>
      </c>
      <c r="I35" s="54">
        <f>Constiuence!Q889</f>
        <v>7</v>
      </c>
      <c r="J35" s="54">
        <f>Constiuence!Q890</f>
        <v>24</v>
      </c>
      <c r="K35" s="54">
        <f>Constiuence!Q891</f>
        <v>35</v>
      </c>
      <c r="L35" s="54">
        <f>Constiuence!Q892</f>
        <v>31</v>
      </c>
      <c r="M35" s="54">
        <f>Constiuence!Q893</f>
        <v>22</v>
      </c>
      <c r="N35" s="18">
        <f t="shared" si="0"/>
        <v>8624</v>
      </c>
      <c r="O35" s="18">
        <v>0</v>
      </c>
      <c r="P35" s="156">
        <v>34</v>
      </c>
      <c r="Q35" s="18">
        <f t="shared" si="1"/>
        <v>8658</v>
      </c>
      <c r="R35" s="18">
        <v>0</v>
      </c>
    </row>
    <row r="36" spans="1:18" ht="15.75">
      <c r="A36" s="34">
        <v>28</v>
      </c>
      <c r="B36" s="17" t="s">
        <v>83</v>
      </c>
      <c r="C36" s="54">
        <f>Constiuence!Q916</f>
        <v>1576</v>
      </c>
      <c r="D36" s="54">
        <f>Constiuence!Q917</f>
        <v>1057</v>
      </c>
      <c r="E36" s="54">
        <f>Constiuence!Q918</f>
        <v>6232</v>
      </c>
      <c r="F36" s="54">
        <f>Constiuence!Q919</f>
        <v>70</v>
      </c>
      <c r="G36" s="54">
        <f>Constiuence!Q920</f>
        <v>5</v>
      </c>
      <c r="H36" s="54">
        <f>Constiuence!Q921</f>
        <v>7</v>
      </c>
      <c r="I36" s="54">
        <f>Constiuence!Q922</f>
        <v>5</v>
      </c>
      <c r="J36" s="54">
        <f>Constiuence!Q923</f>
        <v>13</v>
      </c>
      <c r="K36" s="54">
        <f>Constiuence!Q924</f>
        <v>5</v>
      </c>
      <c r="L36" s="54">
        <f>Constiuence!Q925</f>
        <v>46</v>
      </c>
      <c r="M36" s="54">
        <f>Constiuence!Q926</f>
        <v>14</v>
      </c>
      <c r="N36" s="18">
        <f t="shared" si="0"/>
        <v>9030</v>
      </c>
      <c r="O36" s="18">
        <v>0</v>
      </c>
      <c r="P36" s="156">
        <v>34</v>
      </c>
      <c r="Q36" s="18">
        <f t="shared" si="1"/>
        <v>9064</v>
      </c>
      <c r="R36" s="18">
        <v>0</v>
      </c>
    </row>
    <row r="37" spans="1:18" ht="15.75">
      <c r="A37" s="34">
        <v>29</v>
      </c>
      <c r="B37" s="17" t="s">
        <v>84</v>
      </c>
      <c r="C37" s="54">
        <f>Constiuence!Q950</f>
        <v>693</v>
      </c>
      <c r="D37" s="54">
        <f>Constiuence!Q951</f>
        <v>2089</v>
      </c>
      <c r="E37" s="54">
        <f>Constiuence!Q952</f>
        <v>4483</v>
      </c>
      <c r="F37" s="54">
        <f>Constiuence!Q953</f>
        <v>51</v>
      </c>
      <c r="G37" s="54">
        <f>Constiuence!Q954</f>
        <v>6</v>
      </c>
      <c r="H37" s="54">
        <f>Constiuence!Q955</f>
        <v>2</v>
      </c>
      <c r="I37" s="54">
        <f>Constiuence!Q956</f>
        <v>4</v>
      </c>
      <c r="J37" s="54">
        <f>Constiuence!Q957</f>
        <v>9</v>
      </c>
      <c r="K37" s="54">
        <f>Constiuence!Q958</f>
        <v>31</v>
      </c>
      <c r="L37" s="54">
        <f>Constiuence!Q959</f>
        <v>58</v>
      </c>
      <c r="M37" s="54">
        <f>Constiuence!Q960</f>
        <v>9</v>
      </c>
      <c r="N37" s="18">
        <f t="shared" si="0"/>
        <v>7435</v>
      </c>
      <c r="O37" s="18">
        <v>0</v>
      </c>
      <c r="P37" s="156">
        <v>39</v>
      </c>
      <c r="Q37" s="18">
        <f t="shared" si="1"/>
        <v>7474</v>
      </c>
      <c r="R37" s="18">
        <v>0</v>
      </c>
    </row>
    <row r="38" spans="1:18" ht="15.75">
      <c r="A38" s="34">
        <v>30</v>
      </c>
      <c r="B38" s="17" t="s">
        <v>86</v>
      </c>
      <c r="C38" s="54">
        <f>Constiuence!Q984</f>
        <v>1259</v>
      </c>
      <c r="D38" s="54">
        <f>Constiuence!Q985</f>
        <v>2599</v>
      </c>
      <c r="E38" s="54">
        <f>Constiuence!Q986</f>
        <v>4309</v>
      </c>
      <c r="F38" s="54">
        <f>Constiuence!Q987</f>
        <v>83</v>
      </c>
      <c r="G38" s="54">
        <f>Constiuence!Q988</f>
        <v>6</v>
      </c>
      <c r="H38" s="54">
        <f>Constiuence!Q989</f>
        <v>1</v>
      </c>
      <c r="I38" s="54">
        <f>Constiuence!Q990</f>
        <v>5</v>
      </c>
      <c r="J38" s="54">
        <f>Constiuence!Q991</f>
        <v>9</v>
      </c>
      <c r="K38" s="54">
        <f>Constiuence!Q992</f>
        <v>70</v>
      </c>
      <c r="L38" s="54">
        <f>Constiuence!Q993</f>
        <v>45</v>
      </c>
      <c r="M38" s="54">
        <f>Constiuence!Q994</f>
        <v>10</v>
      </c>
      <c r="N38" s="18">
        <f t="shared" si="0"/>
        <v>8396</v>
      </c>
      <c r="O38" s="18">
        <v>0</v>
      </c>
      <c r="P38" s="156">
        <v>27</v>
      </c>
      <c r="Q38" s="18">
        <f t="shared" si="1"/>
        <v>8423</v>
      </c>
      <c r="R38" s="18">
        <v>0</v>
      </c>
    </row>
    <row r="39" spans="1:18" ht="15.75">
      <c r="A39" s="34">
        <v>31</v>
      </c>
      <c r="B39" s="17" t="s">
        <v>88</v>
      </c>
      <c r="C39" s="54">
        <f>Constiuence!Q1017</f>
        <v>592</v>
      </c>
      <c r="D39" s="54">
        <f>Constiuence!Q1018</f>
        <v>2229</v>
      </c>
      <c r="E39" s="54">
        <f>Constiuence!Q1019</f>
        <v>4245</v>
      </c>
      <c r="F39" s="54">
        <f>Constiuence!Q1020</f>
        <v>126</v>
      </c>
      <c r="G39" s="54">
        <f>Constiuence!Q1021</f>
        <v>5</v>
      </c>
      <c r="H39" s="54">
        <f>Constiuence!Q1022</f>
        <v>6</v>
      </c>
      <c r="I39" s="54">
        <f>Constiuence!Q1023</f>
        <v>3</v>
      </c>
      <c r="J39" s="54">
        <f>Constiuence!Q1024</f>
        <v>7</v>
      </c>
      <c r="K39" s="54">
        <f>Constiuence!Q1025</f>
        <v>60</v>
      </c>
      <c r="L39" s="54">
        <f>Constiuence!Q1026</f>
        <v>43</v>
      </c>
      <c r="M39" s="54">
        <f>Constiuence!Q1027</f>
        <v>15</v>
      </c>
      <c r="N39" s="18">
        <f t="shared" si="0"/>
        <v>7331</v>
      </c>
      <c r="O39" s="18">
        <v>0</v>
      </c>
      <c r="P39" s="156">
        <v>23</v>
      </c>
      <c r="Q39" s="18">
        <f t="shared" si="1"/>
        <v>7354</v>
      </c>
      <c r="R39" s="18">
        <v>0</v>
      </c>
    </row>
    <row r="40" spans="1:18" ht="15.75">
      <c r="A40" s="34">
        <v>32</v>
      </c>
      <c r="B40" s="17" t="s">
        <v>1071</v>
      </c>
      <c r="C40" s="54">
        <f>Constiuence!Q1050</f>
        <v>2488</v>
      </c>
      <c r="D40" s="54">
        <f>Constiuence!Q1051</f>
        <v>2004</v>
      </c>
      <c r="E40" s="54">
        <f>Constiuence!Q1052</f>
        <v>4631</v>
      </c>
      <c r="F40" s="54">
        <f>Constiuence!Q1053</f>
        <v>43</v>
      </c>
      <c r="G40" s="54">
        <f>Constiuence!Q1054</f>
        <v>7</v>
      </c>
      <c r="H40" s="54">
        <f>Constiuence!Q1055</f>
        <v>1</v>
      </c>
      <c r="I40" s="54">
        <f>Constiuence!Q1056</f>
        <v>12</v>
      </c>
      <c r="J40" s="54">
        <f>Constiuence!Q1057</f>
        <v>20</v>
      </c>
      <c r="K40" s="54">
        <f>Constiuence!Q1058</f>
        <v>10</v>
      </c>
      <c r="L40" s="54">
        <f>Constiuence!Q1059</f>
        <v>66</v>
      </c>
      <c r="M40" s="54">
        <f>Constiuence!Q1060</f>
        <v>19</v>
      </c>
      <c r="N40" s="18">
        <f t="shared" si="0"/>
        <v>9301</v>
      </c>
      <c r="O40" s="18">
        <v>0</v>
      </c>
      <c r="P40" s="156">
        <v>52</v>
      </c>
      <c r="Q40" s="18">
        <f t="shared" si="1"/>
        <v>9353</v>
      </c>
      <c r="R40" s="18">
        <v>0</v>
      </c>
    </row>
    <row r="41" spans="1:18" ht="15.75">
      <c r="A41" s="34">
        <v>33</v>
      </c>
      <c r="B41" s="17" t="s">
        <v>1072</v>
      </c>
      <c r="C41" s="54">
        <f>Constiuence!Q1084</f>
        <v>1041</v>
      </c>
      <c r="D41" s="54">
        <f>Constiuence!Q1085</f>
        <v>867</v>
      </c>
      <c r="E41" s="54">
        <f>Constiuence!Q1086</f>
        <v>6740</v>
      </c>
      <c r="F41" s="54">
        <f>Constiuence!Q1087</f>
        <v>62</v>
      </c>
      <c r="G41" s="54">
        <f>Constiuence!Q1088</f>
        <v>12</v>
      </c>
      <c r="H41" s="54">
        <f>Constiuence!Q1089</f>
        <v>2</v>
      </c>
      <c r="I41" s="54">
        <f>Constiuence!Q1090</f>
        <v>9</v>
      </c>
      <c r="J41" s="54">
        <f>Constiuence!Q1091</f>
        <v>70</v>
      </c>
      <c r="K41" s="54">
        <f>Constiuence!Q1092</f>
        <v>12</v>
      </c>
      <c r="L41" s="54">
        <f>Constiuence!Q1093</f>
        <v>67</v>
      </c>
      <c r="M41" s="54">
        <f>Constiuence!Q1094</f>
        <v>22</v>
      </c>
      <c r="N41" s="18">
        <f t="shared" si="0"/>
        <v>8904</v>
      </c>
      <c r="O41" s="18">
        <v>0</v>
      </c>
      <c r="P41" s="156">
        <v>37</v>
      </c>
      <c r="Q41" s="18">
        <f t="shared" si="1"/>
        <v>8941</v>
      </c>
      <c r="R41" s="18">
        <v>0</v>
      </c>
    </row>
    <row r="42" spans="1:18" ht="15.75">
      <c r="A42" s="34">
        <v>34</v>
      </c>
      <c r="B42" s="17" t="s">
        <v>1073</v>
      </c>
      <c r="C42" s="54">
        <f>Constiuence!Q1118</f>
        <v>1448</v>
      </c>
      <c r="D42" s="54">
        <f>Constiuence!Q1119</f>
        <v>658</v>
      </c>
      <c r="E42" s="54">
        <f>Constiuence!Q1120</f>
        <v>3105</v>
      </c>
      <c r="F42" s="54">
        <f>Constiuence!Q1121</f>
        <v>38</v>
      </c>
      <c r="G42" s="54">
        <f>Constiuence!Q1122</f>
        <v>6</v>
      </c>
      <c r="H42" s="54">
        <f>Constiuence!Q1123</f>
        <v>3</v>
      </c>
      <c r="I42" s="54">
        <f>Constiuence!Q1124</f>
        <v>7</v>
      </c>
      <c r="J42" s="54">
        <f>Constiuence!Q1125</f>
        <v>33</v>
      </c>
      <c r="K42" s="54">
        <f>Constiuence!Q1126</f>
        <v>3</v>
      </c>
      <c r="L42" s="54">
        <f>Constiuence!Q1127</f>
        <v>32</v>
      </c>
      <c r="M42" s="54">
        <f>Constiuence!Q1128</f>
        <v>7</v>
      </c>
      <c r="N42" s="18">
        <f t="shared" si="0"/>
        <v>5340</v>
      </c>
      <c r="O42" s="18">
        <v>0</v>
      </c>
      <c r="P42" s="156">
        <v>23</v>
      </c>
      <c r="Q42" s="18">
        <f t="shared" si="1"/>
        <v>5363</v>
      </c>
      <c r="R42" s="18">
        <v>0</v>
      </c>
    </row>
    <row r="43" spans="1:18" s="148" customFormat="1" ht="15.75">
      <c r="A43" s="34">
        <v>35</v>
      </c>
      <c r="B43" s="17" t="s">
        <v>1227</v>
      </c>
      <c r="C43" s="149">
        <f>Constiuence!Q1152</f>
        <v>493</v>
      </c>
      <c r="D43" s="149">
        <f>Constiuence!Q1153</f>
        <v>26</v>
      </c>
      <c r="E43" s="149">
        <f>Constiuence!Q1154</f>
        <v>54</v>
      </c>
      <c r="F43" s="149">
        <f>Constiuence!Q1155</f>
        <v>2</v>
      </c>
      <c r="G43" s="149">
        <v>0</v>
      </c>
      <c r="H43" s="149">
        <f>Constiuence!Q1157</f>
        <v>2</v>
      </c>
      <c r="I43" s="149">
        <f>Constiuence!Q1158</f>
        <v>1</v>
      </c>
      <c r="J43" s="149">
        <f>Constiuence!Q1159</f>
        <v>1</v>
      </c>
      <c r="K43" s="149">
        <f>Constiuence!Q1160</f>
        <v>2</v>
      </c>
      <c r="L43" s="149">
        <f>Constiuence!Q1161</f>
        <v>2</v>
      </c>
      <c r="M43" s="149">
        <f>Constiuence!Q1162</f>
        <v>0</v>
      </c>
      <c r="N43" s="18">
        <f t="shared" si="0"/>
        <v>583</v>
      </c>
      <c r="O43" s="18">
        <v>0</v>
      </c>
      <c r="P43" s="156">
        <v>6</v>
      </c>
      <c r="Q43" s="18">
        <f t="shared" si="1"/>
        <v>589</v>
      </c>
      <c r="R43" s="18">
        <v>0</v>
      </c>
    </row>
    <row r="44" spans="1:18" ht="15.75">
      <c r="A44" s="34">
        <v>36</v>
      </c>
      <c r="B44" s="17" t="s">
        <v>1086</v>
      </c>
      <c r="C44" s="71">
        <f>Constiuence!Q1187</f>
        <v>283</v>
      </c>
      <c r="D44" s="70">
        <f>Constiuence!Q1188</f>
        <v>627</v>
      </c>
      <c r="E44" s="70">
        <f>Constiuence!Q1189</f>
        <v>1024</v>
      </c>
      <c r="F44" s="70">
        <f>Constiuence!Q1190</f>
        <v>14</v>
      </c>
      <c r="G44" s="70">
        <f>Constiuence!Q1191</f>
        <v>4</v>
      </c>
      <c r="H44" s="70">
        <f>Constiuence!Q1192</f>
        <v>0</v>
      </c>
      <c r="I44" s="70">
        <f>Constiuence!Q1193</f>
        <v>1</v>
      </c>
      <c r="J44" s="70">
        <f>Constiuence!Q1194</f>
        <v>5</v>
      </c>
      <c r="K44" s="70">
        <f>Constiuence!Q1195</f>
        <v>1</v>
      </c>
      <c r="L44" s="70">
        <f>Constiuence!Q1196</f>
        <v>1</v>
      </c>
      <c r="M44" s="70">
        <f>Constiuence!Q1197</f>
        <v>1</v>
      </c>
      <c r="N44" s="18">
        <f t="shared" si="0"/>
        <v>1961</v>
      </c>
      <c r="O44" s="18">
        <v>696</v>
      </c>
      <c r="P44" s="156">
        <v>1</v>
      </c>
      <c r="Q44" s="18">
        <f t="shared" si="1"/>
        <v>2658</v>
      </c>
      <c r="R44" s="18">
        <v>0</v>
      </c>
    </row>
    <row r="45" spans="1:18">
      <c r="A45" s="207" t="s">
        <v>1080</v>
      </c>
      <c r="B45" s="207"/>
      <c r="C45" s="25">
        <f t="shared" ref="C45:M45" si="2">SUM(C9:C44)</f>
        <v>42634</v>
      </c>
      <c r="D45" s="25">
        <f t="shared" si="2"/>
        <v>96301</v>
      </c>
      <c r="E45" s="25">
        <f t="shared" si="2"/>
        <v>125644</v>
      </c>
      <c r="F45" s="25">
        <f t="shared" si="2"/>
        <v>2281</v>
      </c>
      <c r="G45" s="25">
        <f t="shared" si="2"/>
        <v>685</v>
      </c>
      <c r="H45" s="25">
        <f t="shared" si="2"/>
        <v>117</v>
      </c>
      <c r="I45" s="25">
        <f t="shared" si="2"/>
        <v>203</v>
      </c>
      <c r="J45" s="25">
        <f t="shared" si="2"/>
        <v>472</v>
      </c>
      <c r="K45" s="25">
        <f t="shared" si="2"/>
        <v>1732</v>
      </c>
      <c r="L45" s="25">
        <f t="shared" si="2"/>
        <v>1341</v>
      </c>
      <c r="M45" s="25">
        <f t="shared" si="2"/>
        <v>528</v>
      </c>
      <c r="N45" s="18">
        <f t="shared" si="0"/>
        <v>271938</v>
      </c>
      <c r="O45" s="18">
        <v>696</v>
      </c>
      <c r="P45" s="157">
        <v>1195</v>
      </c>
      <c r="Q45" s="18">
        <f t="shared" si="1"/>
        <v>273829</v>
      </c>
      <c r="R45" s="18">
        <v>0</v>
      </c>
    </row>
    <row r="49" spans="15:17">
      <c r="O49" s="206" t="s">
        <v>1084</v>
      </c>
      <c r="P49" s="206"/>
      <c r="Q49" s="206"/>
    </row>
    <row r="50" spans="15:17">
      <c r="O50" s="206" t="s">
        <v>1085</v>
      </c>
      <c r="P50" s="206"/>
      <c r="Q50" s="206"/>
    </row>
  </sheetData>
  <mergeCells count="17">
    <mergeCell ref="P7:P8"/>
    <mergeCell ref="O49:Q49"/>
    <mergeCell ref="O50:Q50"/>
    <mergeCell ref="A45:B45"/>
    <mergeCell ref="O7:O8"/>
    <mergeCell ref="A1:R1"/>
    <mergeCell ref="A2:R2"/>
    <mergeCell ref="A3:R3"/>
    <mergeCell ref="A4:R4"/>
    <mergeCell ref="A5:R5"/>
    <mergeCell ref="H6:R6"/>
    <mergeCell ref="Q7:Q8"/>
    <mergeCell ref="R7:R8"/>
    <mergeCell ref="A6:G6"/>
    <mergeCell ref="A7:A8"/>
    <mergeCell ref="B7:B8"/>
    <mergeCell ref="N7:N8"/>
  </mergeCells>
  <pageMargins left="0.3" right="0.16" top="0.43" bottom="0.39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89"/>
  <sheetViews>
    <sheetView workbookViewId="0">
      <selection activeCell="C7" sqref="C7:R7"/>
    </sheetView>
  </sheetViews>
  <sheetFormatPr defaultRowHeight="15"/>
  <cols>
    <col min="1" max="1" width="6.28515625" customWidth="1"/>
    <col min="2" max="2" width="20.140625" customWidth="1"/>
    <col min="7" max="7" width="7.5703125" customWidth="1"/>
    <col min="12" max="13" width="6.5703125" customWidth="1"/>
    <col min="16" max="16" width="9.140625" style="155"/>
    <col min="18" max="18" width="7.28515625" customWidth="1"/>
  </cols>
  <sheetData>
    <row r="1" spans="1:18" ht="23.25">
      <c r="A1" s="222" t="s">
        <v>89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23.25">
      <c r="A2" s="223" t="s">
        <v>90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18" ht="23.25">
      <c r="A3" s="224" t="s">
        <v>96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18" ht="23.25">
      <c r="A4" s="223" t="s">
        <v>1074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18" ht="23.25">
      <c r="A5" s="153"/>
      <c r="B5" s="15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</row>
    <row r="6" spans="1:18" ht="20.25">
      <c r="A6" s="220" t="s">
        <v>124</v>
      </c>
      <c r="B6" s="220"/>
      <c r="C6" s="220"/>
      <c r="D6" s="220"/>
      <c r="E6" s="220"/>
      <c r="F6" s="220"/>
      <c r="G6" s="220"/>
      <c r="H6" s="221" t="s">
        <v>125</v>
      </c>
      <c r="I6" s="221"/>
      <c r="J6" s="221"/>
      <c r="K6" s="221"/>
      <c r="L6" s="221"/>
      <c r="M6" s="221"/>
      <c r="N6" s="221"/>
      <c r="O6" s="221"/>
      <c r="P6" s="221"/>
      <c r="Q6" s="221"/>
      <c r="R6" s="221"/>
    </row>
    <row r="7" spans="1:18" ht="23.25">
      <c r="A7" s="153"/>
      <c r="B7" s="153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</row>
    <row r="8" spans="1:18">
      <c r="A8" s="226" t="s">
        <v>95</v>
      </c>
      <c r="B8" s="226" t="s">
        <v>98</v>
      </c>
      <c r="C8" s="227" t="s">
        <v>91</v>
      </c>
      <c r="D8" s="228"/>
      <c r="E8" s="228"/>
      <c r="F8" s="228"/>
      <c r="G8" s="228"/>
      <c r="H8" s="228"/>
      <c r="I8" s="228"/>
      <c r="J8" s="228"/>
      <c r="K8" s="228"/>
      <c r="L8" s="228"/>
      <c r="M8" s="229"/>
      <c r="N8" s="218" t="s">
        <v>92</v>
      </c>
      <c r="O8" s="231" t="s">
        <v>1082</v>
      </c>
      <c r="P8" s="212" t="s">
        <v>93</v>
      </c>
      <c r="Q8" s="212" t="s">
        <v>94</v>
      </c>
      <c r="R8" s="214" t="s">
        <v>1081</v>
      </c>
    </row>
    <row r="9" spans="1:18" ht="45" customHeight="1">
      <c r="A9" s="226"/>
      <c r="B9" s="226"/>
      <c r="C9" s="158" t="s">
        <v>598</v>
      </c>
      <c r="D9" s="158" t="s">
        <v>599</v>
      </c>
      <c r="E9" s="158" t="s">
        <v>600</v>
      </c>
      <c r="F9" s="158" t="s">
        <v>601</v>
      </c>
      <c r="G9" s="158" t="s">
        <v>602</v>
      </c>
      <c r="H9" s="158" t="s">
        <v>603</v>
      </c>
      <c r="I9" s="158" t="s">
        <v>604</v>
      </c>
      <c r="J9" s="158" t="s">
        <v>605</v>
      </c>
      <c r="K9" s="158" t="s">
        <v>606</v>
      </c>
      <c r="L9" s="158" t="s">
        <v>607</v>
      </c>
      <c r="M9" s="158" t="s">
        <v>608</v>
      </c>
      <c r="N9" s="230"/>
      <c r="O9" s="232"/>
      <c r="P9" s="213"/>
      <c r="Q9" s="213"/>
      <c r="R9" s="233"/>
    </row>
    <row r="10" spans="1:18" ht="22.5">
      <c r="A10" s="41">
        <v>1</v>
      </c>
      <c r="B10" s="61" t="s">
        <v>126</v>
      </c>
      <c r="C10" s="159">
        <v>2</v>
      </c>
      <c r="D10" s="159">
        <v>599</v>
      </c>
      <c r="E10" s="159">
        <v>18</v>
      </c>
      <c r="F10" s="159">
        <v>3</v>
      </c>
      <c r="G10" s="159">
        <v>0</v>
      </c>
      <c r="H10" s="159">
        <v>0</v>
      </c>
      <c r="I10" s="159">
        <v>0</v>
      </c>
      <c r="J10" s="159">
        <v>0</v>
      </c>
      <c r="K10" s="159">
        <v>6</v>
      </c>
      <c r="L10" s="159">
        <v>2</v>
      </c>
      <c r="M10" s="159">
        <v>0</v>
      </c>
      <c r="N10" s="160">
        <f>SUM(C10:M10)</f>
        <v>630</v>
      </c>
      <c r="O10" s="159">
        <v>0</v>
      </c>
      <c r="P10" s="159">
        <v>2</v>
      </c>
      <c r="Q10" s="159">
        <f>N10+P10-O10</f>
        <v>632</v>
      </c>
      <c r="R10" s="159">
        <v>0</v>
      </c>
    </row>
    <row r="11" spans="1:18" ht="22.5">
      <c r="A11" s="41">
        <v>2</v>
      </c>
      <c r="B11" s="61" t="s">
        <v>127</v>
      </c>
      <c r="C11" s="159">
        <v>48</v>
      </c>
      <c r="D11" s="159">
        <v>440</v>
      </c>
      <c r="E11" s="159">
        <v>42</v>
      </c>
      <c r="F11" s="159">
        <v>3</v>
      </c>
      <c r="G11" s="159">
        <v>1</v>
      </c>
      <c r="H11" s="159">
        <v>0</v>
      </c>
      <c r="I11" s="159">
        <v>1</v>
      </c>
      <c r="J11" s="159">
        <v>1</v>
      </c>
      <c r="K11" s="159">
        <v>5</v>
      </c>
      <c r="L11" s="159">
        <v>2</v>
      </c>
      <c r="M11" s="159">
        <v>3</v>
      </c>
      <c r="N11" s="160">
        <f t="shared" ref="N11:N74" si="0">SUM(C11:M11)</f>
        <v>546</v>
      </c>
      <c r="O11" s="159">
        <v>0</v>
      </c>
      <c r="P11" s="159">
        <v>1</v>
      </c>
      <c r="Q11" s="159">
        <f t="shared" ref="Q11:Q74" si="1">N11+P11-O11</f>
        <v>547</v>
      </c>
      <c r="R11" s="159">
        <v>0</v>
      </c>
    </row>
    <row r="12" spans="1:18">
      <c r="A12" s="41">
        <v>3</v>
      </c>
      <c r="B12" s="61" t="s">
        <v>128</v>
      </c>
      <c r="C12" s="159">
        <v>89</v>
      </c>
      <c r="D12" s="159">
        <v>15</v>
      </c>
      <c r="E12" s="159">
        <v>161</v>
      </c>
      <c r="F12" s="159">
        <v>1</v>
      </c>
      <c r="G12" s="159">
        <v>0</v>
      </c>
      <c r="H12" s="159">
        <v>0</v>
      </c>
      <c r="I12" s="159">
        <v>0</v>
      </c>
      <c r="J12" s="159">
        <v>0</v>
      </c>
      <c r="K12" s="159">
        <v>0</v>
      </c>
      <c r="L12" s="159">
        <v>2</v>
      </c>
      <c r="M12" s="159">
        <v>0</v>
      </c>
      <c r="N12" s="160">
        <f t="shared" si="0"/>
        <v>268</v>
      </c>
      <c r="O12" s="159">
        <v>0</v>
      </c>
      <c r="P12" s="159">
        <v>0</v>
      </c>
      <c r="Q12" s="159">
        <f t="shared" si="1"/>
        <v>268</v>
      </c>
      <c r="R12" s="159">
        <v>0</v>
      </c>
    </row>
    <row r="13" spans="1:18">
      <c r="A13" s="41">
        <v>4</v>
      </c>
      <c r="B13" s="62" t="s">
        <v>129</v>
      </c>
      <c r="C13" s="159">
        <v>94</v>
      </c>
      <c r="D13" s="159">
        <v>275</v>
      </c>
      <c r="E13" s="159">
        <v>34</v>
      </c>
      <c r="F13" s="159">
        <v>3</v>
      </c>
      <c r="G13" s="159">
        <v>2</v>
      </c>
      <c r="H13" s="159">
        <v>1</v>
      </c>
      <c r="I13" s="159">
        <v>1</v>
      </c>
      <c r="J13" s="159">
        <v>0</v>
      </c>
      <c r="K13" s="159">
        <v>56</v>
      </c>
      <c r="L13" s="159">
        <v>5</v>
      </c>
      <c r="M13" s="159">
        <v>0</v>
      </c>
      <c r="N13" s="160">
        <f t="shared" si="0"/>
        <v>471</v>
      </c>
      <c r="O13" s="159">
        <v>0</v>
      </c>
      <c r="P13" s="159">
        <v>3</v>
      </c>
      <c r="Q13" s="159">
        <f t="shared" si="1"/>
        <v>474</v>
      </c>
      <c r="R13" s="159">
        <v>0</v>
      </c>
    </row>
    <row r="14" spans="1:18">
      <c r="A14" s="41">
        <v>5</v>
      </c>
      <c r="B14" s="62" t="s">
        <v>130</v>
      </c>
      <c r="C14" s="159">
        <v>31</v>
      </c>
      <c r="D14" s="159">
        <v>306</v>
      </c>
      <c r="E14" s="159">
        <v>43</v>
      </c>
      <c r="F14" s="159">
        <v>3</v>
      </c>
      <c r="G14" s="159">
        <v>0</v>
      </c>
      <c r="H14" s="159">
        <v>0</v>
      </c>
      <c r="I14" s="159">
        <v>1</v>
      </c>
      <c r="J14" s="159">
        <v>2</v>
      </c>
      <c r="K14" s="159">
        <v>48</v>
      </c>
      <c r="L14" s="159">
        <v>2</v>
      </c>
      <c r="M14" s="159">
        <v>1</v>
      </c>
      <c r="N14" s="160">
        <f t="shared" si="0"/>
        <v>437</v>
      </c>
      <c r="O14" s="159">
        <v>0</v>
      </c>
      <c r="P14" s="159">
        <v>4</v>
      </c>
      <c r="Q14" s="159">
        <f t="shared" si="1"/>
        <v>441</v>
      </c>
      <c r="R14" s="159">
        <v>0</v>
      </c>
    </row>
    <row r="15" spans="1:18">
      <c r="A15" s="41">
        <v>6</v>
      </c>
      <c r="B15" s="61" t="s">
        <v>131</v>
      </c>
      <c r="C15" s="159">
        <v>30</v>
      </c>
      <c r="D15" s="159">
        <v>7</v>
      </c>
      <c r="E15" s="159">
        <v>342</v>
      </c>
      <c r="F15" s="159">
        <v>5</v>
      </c>
      <c r="G15" s="159">
        <v>7</v>
      </c>
      <c r="H15" s="159">
        <v>1</v>
      </c>
      <c r="I15" s="159">
        <v>1</v>
      </c>
      <c r="J15" s="159">
        <v>1</v>
      </c>
      <c r="K15" s="159">
        <v>0</v>
      </c>
      <c r="L15" s="159">
        <v>2</v>
      </c>
      <c r="M15" s="159">
        <v>1</v>
      </c>
      <c r="N15" s="160">
        <f t="shared" si="0"/>
        <v>397</v>
      </c>
      <c r="O15" s="159">
        <v>0</v>
      </c>
      <c r="P15" s="159">
        <v>2</v>
      </c>
      <c r="Q15" s="159">
        <f t="shared" si="1"/>
        <v>399</v>
      </c>
      <c r="R15" s="159">
        <v>0</v>
      </c>
    </row>
    <row r="16" spans="1:18">
      <c r="A16" s="41">
        <v>7</v>
      </c>
      <c r="B16" s="61" t="s">
        <v>132</v>
      </c>
      <c r="C16" s="159">
        <v>115</v>
      </c>
      <c r="D16" s="159">
        <v>16</v>
      </c>
      <c r="E16" s="159">
        <v>226</v>
      </c>
      <c r="F16" s="159">
        <v>3</v>
      </c>
      <c r="G16" s="159">
        <v>1</v>
      </c>
      <c r="H16" s="159">
        <v>2</v>
      </c>
      <c r="I16" s="159">
        <v>0</v>
      </c>
      <c r="J16" s="159">
        <v>5</v>
      </c>
      <c r="K16" s="159">
        <v>1</v>
      </c>
      <c r="L16" s="159">
        <v>2</v>
      </c>
      <c r="M16" s="159">
        <v>1</v>
      </c>
      <c r="N16" s="160">
        <f t="shared" si="0"/>
        <v>372</v>
      </c>
      <c r="O16" s="159">
        <v>0</v>
      </c>
      <c r="P16" s="159">
        <v>0</v>
      </c>
      <c r="Q16" s="159">
        <f t="shared" si="1"/>
        <v>372</v>
      </c>
      <c r="R16" s="159">
        <v>0</v>
      </c>
    </row>
    <row r="17" spans="1:18">
      <c r="A17" s="41">
        <v>8</v>
      </c>
      <c r="B17" s="61" t="s">
        <v>133</v>
      </c>
      <c r="C17" s="159">
        <v>38</v>
      </c>
      <c r="D17" s="159">
        <v>45</v>
      </c>
      <c r="E17" s="159">
        <v>254</v>
      </c>
      <c r="F17" s="159">
        <v>5</v>
      </c>
      <c r="G17" s="159">
        <v>2</v>
      </c>
      <c r="H17" s="159">
        <v>0</v>
      </c>
      <c r="I17" s="159">
        <v>0</v>
      </c>
      <c r="J17" s="159">
        <v>1</v>
      </c>
      <c r="K17" s="159">
        <v>0</v>
      </c>
      <c r="L17" s="159">
        <v>1</v>
      </c>
      <c r="M17" s="159">
        <v>1</v>
      </c>
      <c r="N17" s="160">
        <f t="shared" si="0"/>
        <v>347</v>
      </c>
      <c r="O17" s="159">
        <v>0</v>
      </c>
      <c r="P17" s="159">
        <v>8</v>
      </c>
      <c r="Q17" s="159">
        <f t="shared" si="1"/>
        <v>355</v>
      </c>
      <c r="R17" s="159">
        <v>0</v>
      </c>
    </row>
    <row r="18" spans="1:18">
      <c r="A18" s="41">
        <v>9</v>
      </c>
      <c r="B18" s="61" t="s">
        <v>134</v>
      </c>
      <c r="C18" s="159">
        <v>12</v>
      </c>
      <c r="D18" s="159">
        <v>46</v>
      </c>
      <c r="E18" s="159">
        <v>385</v>
      </c>
      <c r="F18" s="159">
        <v>2</v>
      </c>
      <c r="G18" s="159">
        <v>1</v>
      </c>
      <c r="H18" s="159">
        <v>0</v>
      </c>
      <c r="I18" s="159">
        <v>0</v>
      </c>
      <c r="J18" s="159">
        <v>1</v>
      </c>
      <c r="K18" s="159">
        <v>0</v>
      </c>
      <c r="L18" s="159">
        <v>3</v>
      </c>
      <c r="M18" s="159">
        <v>2</v>
      </c>
      <c r="N18" s="160">
        <f t="shared" si="0"/>
        <v>452</v>
      </c>
      <c r="O18" s="159">
        <v>0</v>
      </c>
      <c r="P18" s="159">
        <v>1</v>
      </c>
      <c r="Q18" s="159">
        <f t="shared" si="1"/>
        <v>453</v>
      </c>
      <c r="R18" s="159">
        <v>0</v>
      </c>
    </row>
    <row r="19" spans="1:18">
      <c r="A19" s="41">
        <v>10</v>
      </c>
      <c r="B19" s="61" t="s">
        <v>135</v>
      </c>
      <c r="C19" s="159">
        <v>65</v>
      </c>
      <c r="D19" s="159">
        <v>85</v>
      </c>
      <c r="E19" s="159">
        <v>210</v>
      </c>
      <c r="F19" s="159">
        <v>4</v>
      </c>
      <c r="G19" s="159">
        <v>1</v>
      </c>
      <c r="H19" s="159">
        <v>0</v>
      </c>
      <c r="I19" s="159">
        <v>0</v>
      </c>
      <c r="J19" s="159">
        <v>0</v>
      </c>
      <c r="K19" s="159">
        <v>2</v>
      </c>
      <c r="L19" s="159">
        <v>1</v>
      </c>
      <c r="M19" s="159">
        <v>0</v>
      </c>
      <c r="N19" s="160">
        <f t="shared" si="0"/>
        <v>368</v>
      </c>
      <c r="O19" s="159">
        <v>0</v>
      </c>
      <c r="P19" s="159">
        <v>0</v>
      </c>
      <c r="Q19" s="159">
        <f t="shared" si="1"/>
        <v>368</v>
      </c>
      <c r="R19" s="159">
        <v>0</v>
      </c>
    </row>
    <row r="20" spans="1:18" ht="22.5">
      <c r="A20" s="41">
        <v>11</v>
      </c>
      <c r="B20" s="62" t="s">
        <v>136</v>
      </c>
      <c r="C20" s="159">
        <v>151</v>
      </c>
      <c r="D20" s="159">
        <v>48</v>
      </c>
      <c r="E20" s="159">
        <v>197</v>
      </c>
      <c r="F20" s="159">
        <v>3</v>
      </c>
      <c r="G20" s="159">
        <v>1</v>
      </c>
      <c r="H20" s="159">
        <v>0</v>
      </c>
      <c r="I20" s="159">
        <v>0</v>
      </c>
      <c r="J20" s="159">
        <v>0</v>
      </c>
      <c r="K20" s="159">
        <v>0</v>
      </c>
      <c r="L20" s="159">
        <v>1</v>
      </c>
      <c r="M20" s="159">
        <v>0</v>
      </c>
      <c r="N20" s="160">
        <f t="shared" si="0"/>
        <v>401</v>
      </c>
      <c r="O20" s="159">
        <v>0</v>
      </c>
      <c r="P20" s="159">
        <v>4</v>
      </c>
      <c r="Q20" s="159">
        <f t="shared" si="1"/>
        <v>405</v>
      </c>
      <c r="R20" s="159">
        <v>0</v>
      </c>
    </row>
    <row r="21" spans="1:18" ht="22.5">
      <c r="A21" s="41">
        <v>12</v>
      </c>
      <c r="B21" s="62" t="s">
        <v>137</v>
      </c>
      <c r="C21" s="159">
        <v>29</v>
      </c>
      <c r="D21" s="159">
        <v>79</v>
      </c>
      <c r="E21" s="159">
        <v>282</v>
      </c>
      <c r="F21" s="159">
        <v>3</v>
      </c>
      <c r="G21" s="159">
        <v>1</v>
      </c>
      <c r="H21" s="159">
        <v>0</v>
      </c>
      <c r="I21" s="159">
        <v>0</v>
      </c>
      <c r="J21" s="159">
        <v>0</v>
      </c>
      <c r="K21" s="159">
        <v>0</v>
      </c>
      <c r="L21" s="159">
        <v>3</v>
      </c>
      <c r="M21" s="159">
        <v>1</v>
      </c>
      <c r="N21" s="160">
        <f t="shared" si="0"/>
        <v>398</v>
      </c>
      <c r="O21" s="159">
        <v>0</v>
      </c>
      <c r="P21" s="159">
        <v>0</v>
      </c>
      <c r="Q21" s="159">
        <f t="shared" si="1"/>
        <v>398</v>
      </c>
      <c r="R21" s="159">
        <v>0</v>
      </c>
    </row>
    <row r="22" spans="1:18" ht="22.5">
      <c r="A22" s="41">
        <v>13</v>
      </c>
      <c r="B22" s="61" t="s">
        <v>138</v>
      </c>
      <c r="C22" s="159">
        <v>16</v>
      </c>
      <c r="D22" s="159">
        <v>110</v>
      </c>
      <c r="E22" s="159">
        <v>421</v>
      </c>
      <c r="F22" s="159">
        <v>0</v>
      </c>
      <c r="G22" s="159">
        <v>0</v>
      </c>
      <c r="H22" s="159">
        <v>0</v>
      </c>
      <c r="I22" s="159">
        <v>1</v>
      </c>
      <c r="J22" s="159">
        <v>1</v>
      </c>
      <c r="K22" s="159">
        <v>0</v>
      </c>
      <c r="L22" s="159">
        <v>2</v>
      </c>
      <c r="M22" s="159">
        <v>1</v>
      </c>
      <c r="N22" s="160">
        <f t="shared" si="0"/>
        <v>552</v>
      </c>
      <c r="O22" s="159">
        <v>0</v>
      </c>
      <c r="P22" s="159">
        <v>1</v>
      </c>
      <c r="Q22" s="159">
        <f t="shared" si="1"/>
        <v>553</v>
      </c>
      <c r="R22" s="159">
        <v>0</v>
      </c>
    </row>
    <row r="23" spans="1:18">
      <c r="A23" s="41">
        <v>14</v>
      </c>
      <c r="B23" s="61" t="s">
        <v>139</v>
      </c>
      <c r="C23" s="159">
        <v>40</v>
      </c>
      <c r="D23" s="159">
        <v>103</v>
      </c>
      <c r="E23" s="159">
        <v>282</v>
      </c>
      <c r="F23" s="159">
        <v>8</v>
      </c>
      <c r="G23" s="159">
        <v>12</v>
      </c>
      <c r="H23" s="159">
        <v>1</v>
      </c>
      <c r="I23" s="159">
        <v>0</v>
      </c>
      <c r="J23" s="159">
        <v>0</v>
      </c>
      <c r="K23" s="159">
        <v>0</v>
      </c>
      <c r="L23" s="159">
        <v>2</v>
      </c>
      <c r="M23" s="159">
        <v>0</v>
      </c>
      <c r="N23" s="160">
        <f t="shared" si="0"/>
        <v>448</v>
      </c>
      <c r="O23" s="159">
        <v>0</v>
      </c>
      <c r="P23" s="159">
        <v>1</v>
      </c>
      <c r="Q23" s="159">
        <f t="shared" si="1"/>
        <v>449</v>
      </c>
      <c r="R23" s="159">
        <v>0</v>
      </c>
    </row>
    <row r="24" spans="1:18">
      <c r="A24" s="41">
        <v>15</v>
      </c>
      <c r="B24" s="61" t="s">
        <v>140</v>
      </c>
      <c r="C24" s="159">
        <v>120</v>
      </c>
      <c r="D24" s="159">
        <v>241</v>
      </c>
      <c r="E24" s="159">
        <v>84</v>
      </c>
      <c r="F24" s="159">
        <v>4</v>
      </c>
      <c r="G24" s="159">
        <v>1</v>
      </c>
      <c r="H24" s="159">
        <v>0</v>
      </c>
      <c r="I24" s="159">
        <v>0</v>
      </c>
      <c r="J24" s="159">
        <v>0</v>
      </c>
      <c r="K24" s="159">
        <v>7</v>
      </c>
      <c r="L24" s="159">
        <v>1</v>
      </c>
      <c r="M24" s="159">
        <v>1</v>
      </c>
      <c r="N24" s="160">
        <f t="shared" si="0"/>
        <v>459</v>
      </c>
      <c r="O24" s="159">
        <v>0</v>
      </c>
      <c r="P24" s="159">
        <v>0</v>
      </c>
      <c r="Q24" s="159">
        <f t="shared" si="1"/>
        <v>459</v>
      </c>
      <c r="R24" s="159">
        <v>0</v>
      </c>
    </row>
    <row r="25" spans="1:18" ht="22.5">
      <c r="A25" s="41">
        <v>16</v>
      </c>
      <c r="B25" s="61" t="s">
        <v>141</v>
      </c>
      <c r="C25" s="159">
        <v>81</v>
      </c>
      <c r="D25" s="159">
        <v>200</v>
      </c>
      <c r="E25" s="159">
        <v>55</v>
      </c>
      <c r="F25" s="159">
        <v>1</v>
      </c>
      <c r="G25" s="159">
        <v>0</v>
      </c>
      <c r="H25" s="159">
        <v>0</v>
      </c>
      <c r="I25" s="159">
        <v>0</v>
      </c>
      <c r="J25" s="159">
        <v>1</v>
      </c>
      <c r="K25" s="159">
        <v>0</v>
      </c>
      <c r="L25" s="159">
        <v>1</v>
      </c>
      <c r="M25" s="159">
        <v>1</v>
      </c>
      <c r="N25" s="160">
        <f t="shared" si="0"/>
        <v>340</v>
      </c>
      <c r="O25" s="159">
        <v>0</v>
      </c>
      <c r="P25" s="159">
        <v>4</v>
      </c>
      <c r="Q25" s="159">
        <f t="shared" si="1"/>
        <v>344</v>
      </c>
      <c r="R25" s="159">
        <v>0</v>
      </c>
    </row>
    <row r="26" spans="1:18" ht="22.5">
      <c r="A26" s="41">
        <v>17</v>
      </c>
      <c r="B26" s="61" t="s">
        <v>142</v>
      </c>
      <c r="C26" s="159">
        <v>1</v>
      </c>
      <c r="D26" s="159">
        <v>380</v>
      </c>
      <c r="E26" s="159">
        <v>45</v>
      </c>
      <c r="F26" s="159">
        <v>37</v>
      </c>
      <c r="G26" s="159">
        <v>1</v>
      </c>
      <c r="H26" s="159">
        <v>0</v>
      </c>
      <c r="I26" s="159">
        <v>0</v>
      </c>
      <c r="J26" s="159">
        <v>0</v>
      </c>
      <c r="K26" s="159">
        <v>0</v>
      </c>
      <c r="L26" s="159">
        <v>3</v>
      </c>
      <c r="M26" s="159">
        <v>4</v>
      </c>
      <c r="N26" s="160">
        <f t="shared" si="0"/>
        <v>471</v>
      </c>
      <c r="O26" s="159">
        <v>0</v>
      </c>
      <c r="P26" s="159">
        <v>2</v>
      </c>
      <c r="Q26" s="159">
        <f t="shared" si="1"/>
        <v>473</v>
      </c>
      <c r="R26" s="159">
        <v>0</v>
      </c>
    </row>
    <row r="27" spans="1:18" ht="22.5">
      <c r="A27" s="41">
        <v>18</v>
      </c>
      <c r="B27" s="61" t="s">
        <v>143</v>
      </c>
      <c r="C27" s="159">
        <v>3</v>
      </c>
      <c r="D27" s="159">
        <v>470</v>
      </c>
      <c r="E27" s="159">
        <v>8</v>
      </c>
      <c r="F27" s="159">
        <v>31</v>
      </c>
      <c r="G27" s="159">
        <v>0</v>
      </c>
      <c r="H27" s="159">
        <v>0</v>
      </c>
      <c r="I27" s="159">
        <v>0</v>
      </c>
      <c r="J27" s="159">
        <v>0</v>
      </c>
      <c r="K27" s="159">
        <v>4</v>
      </c>
      <c r="L27" s="159">
        <v>0</v>
      </c>
      <c r="M27" s="159">
        <v>1</v>
      </c>
      <c r="N27" s="160">
        <f t="shared" si="0"/>
        <v>517</v>
      </c>
      <c r="O27" s="159">
        <v>0</v>
      </c>
      <c r="P27" s="159">
        <v>1</v>
      </c>
      <c r="Q27" s="159">
        <f t="shared" si="1"/>
        <v>518</v>
      </c>
      <c r="R27" s="159">
        <v>0</v>
      </c>
    </row>
    <row r="28" spans="1:18">
      <c r="A28" s="41">
        <v>19</v>
      </c>
      <c r="B28" s="61" t="s">
        <v>144</v>
      </c>
      <c r="C28" s="159">
        <v>113</v>
      </c>
      <c r="D28" s="159">
        <v>212</v>
      </c>
      <c r="E28" s="159">
        <v>75</v>
      </c>
      <c r="F28" s="159">
        <v>13</v>
      </c>
      <c r="G28" s="159">
        <v>1</v>
      </c>
      <c r="H28" s="159">
        <v>0</v>
      </c>
      <c r="I28" s="159">
        <v>0</v>
      </c>
      <c r="J28" s="159">
        <v>0</v>
      </c>
      <c r="K28" s="159">
        <v>5</v>
      </c>
      <c r="L28" s="159">
        <v>1</v>
      </c>
      <c r="M28" s="159">
        <v>1</v>
      </c>
      <c r="N28" s="160">
        <f t="shared" si="0"/>
        <v>421</v>
      </c>
      <c r="O28" s="159">
        <v>0</v>
      </c>
      <c r="P28" s="159">
        <v>3</v>
      </c>
      <c r="Q28" s="159">
        <f t="shared" si="1"/>
        <v>424</v>
      </c>
      <c r="R28" s="159">
        <v>0</v>
      </c>
    </row>
    <row r="29" spans="1:18">
      <c r="A29" s="41">
        <v>20</v>
      </c>
      <c r="B29" s="61" t="s">
        <v>145</v>
      </c>
      <c r="C29" s="159">
        <v>4</v>
      </c>
      <c r="D29" s="159">
        <v>96</v>
      </c>
      <c r="E29" s="159">
        <v>398</v>
      </c>
      <c r="F29" s="159">
        <v>5</v>
      </c>
      <c r="G29" s="159">
        <v>0</v>
      </c>
      <c r="H29" s="159">
        <v>0</v>
      </c>
      <c r="I29" s="159">
        <v>0</v>
      </c>
      <c r="J29" s="159">
        <v>1</v>
      </c>
      <c r="K29" s="159">
        <v>0</v>
      </c>
      <c r="L29" s="159">
        <v>0</v>
      </c>
      <c r="M29" s="159">
        <v>0</v>
      </c>
      <c r="N29" s="160">
        <f t="shared" si="0"/>
        <v>504</v>
      </c>
      <c r="O29" s="159">
        <v>0</v>
      </c>
      <c r="P29" s="159">
        <v>1</v>
      </c>
      <c r="Q29" s="159">
        <f t="shared" si="1"/>
        <v>505</v>
      </c>
      <c r="R29" s="159">
        <v>0</v>
      </c>
    </row>
    <row r="30" spans="1:18">
      <c r="A30" s="41">
        <v>21</v>
      </c>
      <c r="B30" s="61" t="s">
        <v>146</v>
      </c>
      <c r="C30" s="159">
        <v>29</v>
      </c>
      <c r="D30" s="159">
        <v>258</v>
      </c>
      <c r="E30" s="159">
        <v>262</v>
      </c>
      <c r="F30" s="159">
        <v>6</v>
      </c>
      <c r="G30" s="159">
        <v>0</v>
      </c>
      <c r="H30" s="159">
        <v>0</v>
      </c>
      <c r="I30" s="159">
        <v>0</v>
      </c>
      <c r="J30" s="159">
        <v>0</v>
      </c>
      <c r="K30" s="159">
        <v>2</v>
      </c>
      <c r="L30" s="159">
        <v>2</v>
      </c>
      <c r="M30" s="159">
        <v>0</v>
      </c>
      <c r="N30" s="160">
        <f t="shared" si="0"/>
        <v>559</v>
      </c>
      <c r="O30" s="159">
        <v>0</v>
      </c>
      <c r="P30" s="159">
        <v>2</v>
      </c>
      <c r="Q30" s="159">
        <f t="shared" si="1"/>
        <v>561</v>
      </c>
      <c r="R30" s="159">
        <v>0</v>
      </c>
    </row>
    <row r="31" spans="1:18">
      <c r="A31" s="41">
        <v>22</v>
      </c>
      <c r="B31" s="61" t="s">
        <v>147</v>
      </c>
      <c r="C31" s="159">
        <v>255</v>
      </c>
      <c r="D31" s="159">
        <v>120</v>
      </c>
      <c r="E31" s="159">
        <v>210</v>
      </c>
      <c r="F31" s="159">
        <v>1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>
        <v>2</v>
      </c>
      <c r="M31" s="159">
        <v>1</v>
      </c>
      <c r="N31" s="160">
        <f t="shared" si="0"/>
        <v>589</v>
      </c>
      <c r="O31" s="159">
        <v>0</v>
      </c>
      <c r="P31" s="159">
        <v>0</v>
      </c>
      <c r="Q31" s="159">
        <f t="shared" si="1"/>
        <v>589</v>
      </c>
      <c r="R31" s="159">
        <v>0</v>
      </c>
    </row>
    <row r="32" spans="1:18">
      <c r="A32" s="41">
        <v>23</v>
      </c>
      <c r="B32" s="61" t="s">
        <v>148</v>
      </c>
      <c r="C32" s="159">
        <v>58</v>
      </c>
      <c r="D32" s="159">
        <v>29</v>
      </c>
      <c r="E32" s="159">
        <v>336</v>
      </c>
      <c r="F32" s="159">
        <v>3</v>
      </c>
      <c r="G32" s="159">
        <v>0</v>
      </c>
      <c r="H32" s="159">
        <v>1</v>
      </c>
      <c r="I32" s="159">
        <v>0</v>
      </c>
      <c r="J32" s="159">
        <v>1</v>
      </c>
      <c r="K32" s="159">
        <v>0</v>
      </c>
      <c r="L32" s="159">
        <v>2</v>
      </c>
      <c r="M32" s="159">
        <v>1</v>
      </c>
      <c r="N32" s="160">
        <f t="shared" si="0"/>
        <v>431</v>
      </c>
      <c r="O32" s="159">
        <v>0</v>
      </c>
      <c r="P32" s="159">
        <v>2</v>
      </c>
      <c r="Q32" s="159">
        <f t="shared" si="1"/>
        <v>433</v>
      </c>
      <c r="R32" s="159">
        <v>0</v>
      </c>
    </row>
    <row r="33" spans="1:18">
      <c r="A33" s="41">
        <v>24</v>
      </c>
      <c r="B33" s="61" t="s">
        <v>149</v>
      </c>
      <c r="C33" s="159">
        <v>134</v>
      </c>
      <c r="D33" s="159">
        <v>182</v>
      </c>
      <c r="E33" s="159">
        <v>150</v>
      </c>
      <c r="F33" s="159">
        <v>10</v>
      </c>
      <c r="G33" s="159">
        <v>1</v>
      </c>
      <c r="H33" s="159">
        <v>0</v>
      </c>
      <c r="I33" s="159">
        <v>3</v>
      </c>
      <c r="J33" s="159">
        <v>1</v>
      </c>
      <c r="K33" s="159">
        <v>11</v>
      </c>
      <c r="L33" s="159">
        <v>5</v>
      </c>
      <c r="M33" s="159">
        <v>1</v>
      </c>
      <c r="N33" s="160">
        <f t="shared" si="0"/>
        <v>498</v>
      </c>
      <c r="O33" s="159">
        <v>0</v>
      </c>
      <c r="P33" s="159">
        <v>6</v>
      </c>
      <c r="Q33" s="159">
        <f t="shared" si="1"/>
        <v>504</v>
      </c>
      <c r="R33" s="159">
        <v>0</v>
      </c>
    </row>
    <row r="34" spans="1:18">
      <c r="A34" s="41">
        <v>25</v>
      </c>
      <c r="B34" s="61" t="s">
        <v>150</v>
      </c>
      <c r="C34" s="159">
        <v>3</v>
      </c>
      <c r="D34" s="159">
        <v>384</v>
      </c>
      <c r="E34" s="159">
        <v>37</v>
      </c>
      <c r="F34" s="159">
        <v>9</v>
      </c>
      <c r="G34" s="159">
        <v>0</v>
      </c>
      <c r="H34" s="159">
        <v>0</v>
      </c>
      <c r="I34" s="159">
        <v>0</v>
      </c>
      <c r="J34" s="159">
        <v>0</v>
      </c>
      <c r="K34" s="159">
        <v>6</v>
      </c>
      <c r="L34" s="159">
        <v>1</v>
      </c>
      <c r="M34" s="159">
        <v>0</v>
      </c>
      <c r="N34" s="160">
        <f t="shared" si="0"/>
        <v>440</v>
      </c>
      <c r="O34" s="159">
        <v>0</v>
      </c>
      <c r="P34" s="159">
        <v>0</v>
      </c>
      <c r="Q34" s="159">
        <f t="shared" si="1"/>
        <v>440</v>
      </c>
      <c r="R34" s="159">
        <v>0</v>
      </c>
    </row>
    <row r="35" spans="1:18">
      <c r="A35" s="41">
        <v>26</v>
      </c>
      <c r="B35" s="61" t="s">
        <v>151</v>
      </c>
      <c r="C35" s="159">
        <v>303</v>
      </c>
      <c r="D35" s="159">
        <v>100</v>
      </c>
      <c r="E35" s="159">
        <v>147</v>
      </c>
      <c r="F35" s="159">
        <v>1</v>
      </c>
      <c r="G35" s="159">
        <v>1</v>
      </c>
      <c r="H35" s="159">
        <v>0</v>
      </c>
      <c r="I35" s="159">
        <v>2</v>
      </c>
      <c r="J35" s="159">
        <v>3</v>
      </c>
      <c r="K35" s="159">
        <v>0</v>
      </c>
      <c r="L35" s="159">
        <v>0</v>
      </c>
      <c r="M35" s="159">
        <v>1</v>
      </c>
      <c r="N35" s="160">
        <f t="shared" si="0"/>
        <v>558</v>
      </c>
      <c r="O35" s="159">
        <v>0</v>
      </c>
      <c r="P35" s="159">
        <v>5</v>
      </c>
      <c r="Q35" s="159">
        <f t="shared" si="1"/>
        <v>563</v>
      </c>
      <c r="R35" s="159">
        <v>0</v>
      </c>
    </row>
    <row r="36" spans="1:18">
      <c r="A36" s="41">
        <v>27</v>
      </c>
      <c r="B36" s="61" t="s">
        <v>152</v>
      </c>
      <c r="C36" s="159">
        <v>12</v>
      </c>
      <c r="D36" s="159">
        <v>122</v>
      </c>
      <c r="E36" s="159">
        <v>326</v>
      </c>
      <c r="F36" s="159">
        <v>3</v>
      </c>
      <c r="G36" s="159">
        <v>0</v>
      </c>
      <c r="H36" s="159">
        <v>0</v>
      </c>
      <c r="I36" s="159">
        <v>0</v>
      </c>
      <c r="J36" s="159">
        <v>3</v>
      </c>
      <c r="K36" s="159">
        <v>3</v>
      </c>
      <c r="L36" s="159">
        <v>8</v>
      </c>
      <c r="M36" s="159">
        <v>0</v>
      </c>
      <c r="N36" s="160">
        <f t="shared" si="0"/>
        <v>477</v>
      </c>
      <c r="O36" s="159">
        <v>0</v>
      </c>
      <c r="P36" s="159">
        <v>1</v>
      </c>
      <c r="Q36" s="159">
        <f t="shared" si="1"/>
        <v>478</v>
      </c>
      <c r="R36" s="159">
        <v>0</v>
      </c>
    </row>
    <row r="37" spans="1:18">
      <c r="A37" s="41">
        <v>28</v>
      </c>
      <c r="B37" s="61" t="s">
        <v>153</v>
      </c>
      <c r="C37" s="159">
        <v>16</v>
      </c>
      <c r="D37" s="159">
        <v>105</v>
      </c>
      <c r="E37" s="159">
        <v>514</v>
      </c>
      <c r="F37" s="159">
        <v>8</v>
      </c>
      <c r="G37" s="159">
        <v>0</v>
      </c>
      <c r="H37" s="159">
        <v>0</v>
      </c>
      <c r="I37" s="159">
        <v>0</v>
      </c>
      <c r="J37" s="159">
        <v>0</v>
      </c>
      <c r="K37" s="159">
        <v>0</v>
      </c>
      <c r="L37" s="159">
        <v>2</v>
      </c>
      <c r="M37" s="159">
        <v>0</v>
      </c>
      <c r="N37" s="160">
        <f t="shared" si="0"/>
        <v>645</v>
      </c>
      <c r="O37" s="159">
        <v>0</v>
      </c>
      <c r="P37" s="159">
        <v>3</v>
      </c>
      <c r="Q37" s="159">
        <f t="shared" si="1"/>
        <v>648</v>
      </c>
      <c r="R37" s="159">
        <v>0</v>
      </c>
    </row>
    <row r="38" spans="1:18">
      <c r="A38" s="41">
        <v>29</v>
      </c>
      <c r="B38" s="61" t="s">
        <v>154</v>
      </c>
      <c r="C38" s="159">
        <v>9</v>
      </c>
      <c r="D38" s="159">
        <v>122</v>
      </c>
      <c r="E38" s="159">
        <v>538</v>
      </c>
      <c r="F38" s="159">
        <v>4</v>
      </c>
      <c r="G38" s="159">
        <v>0</v>
      </c>
      <c r="H38" s="159">
        <v>0</v>
      </c>
      <c r="I38" s="159">
        <v>0</v>
      </c>
      <c r="J38" s="159">
        <v>0</v>
      </c>
      <c r="K38" s="159">
        <v>0</v>
      </c>
      <c r="L38" s="159">
        <v>3</v>
      </c>
      <c r="M38" s="159">
        <v>0</v>
      </c>
      <c r="N38" s="160">
        <f t="shared" si="0"/>
        <v>676</v>
      </c>
      <c r="O38" s="159">
        <v>0</v>
      </c>
      <c r="P38" s="159">
        <v>1</v>
      </c>
      <c r="Q38" s="159">
        <f t="shared" si="1"/>
        <v>677</v>
      </c>
      <c r="R38" s="159">
        <v>0</v>
      </c>
    </row>
    <row r="39" spans="1:18">
      <c r="A39" s="41">
        <v>30</v>
      </c>
      <c r="B39" s="61" t="s">
        <v>155</v>
      </c>
      <c r="C39" s="159">
        <v>125</v>
      </c>
      <c r="D39" s="159">
        <v>44</v>
      </c>
      <c r="E39" s="159">
        <v>289</v>
      </c>
      <c r="F39" s="159">
        <v>5</v>
      </c>
      <c r="G39" s="159">
        <v>1</v>
      </c>
      <c r="H39" s="159">
        <v>1</v>
      </c>
      <c r="I39" s="159">
        <v>1</v>
      </c>
      <c r="J39" s="159">
        <v>0</v>
      </c>
      <c r="K39" s="159">
        <v>2</v>
      </c>
      <c r="L39" s="159">
        <v>1</v>
      </c>
      <c r="M39" s="159">
        <v>1</v>
      </c>
      <c r="N39" s="160">
        <f t="shared" si="0"/>
        <v>470</v>
      </c>
      <c r="O39" s="159">
        <v>0</v>
      </c>
      <c r="P39" s="159">
        <v>8</v>
      </c>
      <c r="Q39" s="159">
        <f t="shared" si="1"/>
        <v>478</v>
      </c>
      <c r="R39" s="159">
        <v>0</v>
      </c>
    </row>
    <row r="40" spans="1:18">
      <c r="A40" s="41">
        <v>31</v>
      </c>
      <c r="B40" s="61" t="s">
        <v>156</v>
      </c>
      <c r="C40" s="159">
        <v>41</v>
      </c>
      <c r="D40" s="159">
        <v>77</v>
      </c>
      <c r="E40" s="159">
        <v>392</v>
      </c>
      <c r="F40" s="159">
        <v>3</v>
      </c>
      <c r="G40" s="159">
        <v>0</v>
      </c>
      <c r="H40" s="159">
        <v>0</v>
      </c>
      <c r="I40" s="159">
        <v>0</v>
      </c>
      <c r="J40" s="159">
        <v>1</v>
      </c>
      <c r="K40" s="159">
        <v>0</v>
      </c>
      <c r="L40" s="159">
        <v>2</v>
      </c>
      <c r="M40" s="159">
        <v>0</v>
      </c>
      <c r="N40" s="160">
        <f t="shared" si="0"/>
        <v>516</v>
      </c>
      <c r="O40" s="159">
        <v>0</v>
      </c>
      <c r="P40" s="159">
        <v>0</v>
      </c>
      <c r="Q40" s="159">
        <f t="shared" si="1"/>
        <v>516</v>
      </c>
      <c r="R40" s="159">
        <v>0</v>
      </c>
    </row>
    <row r="41" spans="1:18">
      <c r="A41" s="41">
        <v>32</v>
      </c>
      <c r="B41" s="61" t="s">
        <v>157</v>
      </c>
      <c r="C41" s="159">
        <v>4</v>
      </c>
      <c r="D41" s="159">
        <v>634</v>
      </c>
      <c r="E41" s="159">
        <v>15</v>
      </c>
      <c r="F41" s="159">
        <v>10</v>
      </c>
      <c r="G41" s="159">
        <v>0</v>
      </c>
      <c r="H41" s="159">
        <v>0</v>
      </c>
      <c r="I41" s="159">
        <v>0</v>
      </c>
      <c r="J41" s="159">
        <v>0</v>
      </c>
      <c r="K41" s="159">
        <v>1</v>
      </c>
      <c r="L41" s="159">
        <v>2</v>
      </c>
      <c r="M41" s="159">
        <v>4</v>
      </c>
      <c r="N41" s="160">
        <f t="shared" si="0"/>
        <v>670</v>
      </c>
      <c r="O41" s="159">
        <v>0</v>
      </c>
      <c r="P41" s="159">
        <v>1</v>
      </c>
      <c r="Q41" s="159">
        <f t="shared" si="1"/>
        <v>671</v>
      </c>
      <c r="R41" s="159">
        <v>0</v>
      </c>
    </row>
    <row r="42" spans="1:18">
      <c r="A42" s="41">
        <v>33</v>
      </c>
      <c r="B42" s="61" t="s">
        <v>158</v>
      </c>
      <c r="C42" s="159">
        <v>5</v>
      </c>
      <c r="D42" s="159">
        <v>397</v>
      </c>
      <c r="E42" s="159">
        <v>12</v>
      </c>
      <c r="F42" s="159">
        <v>78</v>
      </c>
      <c r="G42" s="159">
        <v>1</v>
      </c>
      <c r="H42" s="159">
        <v>0</v>
      </c>
      <c r="I42" s="159">
        <v>1</v>
      </c>
      <c r="J42" s="159">
        <v>0</v>
      </c>
      <c r="K42" s="159">
        <v>16</v>
      </c>
      <c r="L42" s="159">
        <v>7</v>
      </c>
      <c r="M42" s="159">
        <v>1</v>
      </c>
      <c r="N42" s="160">
        <f t="shared" si="0"/>
        <v>518</v>
      </c>
      <c r="O42" s="159">
        <v>0</v>
      </c>
      <c r="P42" s="159">
        <v>5</v>
      </c>
      <c r="Q42" s="159">
        <f t="shared" si="1"/>
        <v>523</v>
      </c>
      <c r="R42" s="159">
        <v>0</v>
      </c>
    </row>
    <row r="43" spans="1:18">
      <c r="A43" s="41">
        <v>34</v>
      </c>
      <c r="B43" s="61" t="s">
        <v>159</v>
      </c>
      <c r="C43" s="159">
        <v>65</v>
      </c>
      <c r="D43" s="159">
        <v>461</v>
      </c>
      <c r="E43" s="159">
        <v>30</v>
      </c>
      <c r="F43" s="159">
        <v>39</v>
      </c>
      <c r="G43" s="159">
        <v>1</v>
      </c>
      <c r="H43" s="159">
        <v>0</v>
      </c>
      <c r="I43" s="159">
        <v>0</v>
      </c>
      <c r="J43" s="159">
        <v>7</v>
      </c>
      <c r="K43" s="159">
        <v>11</v>
      </c>
      <c r="L43" s="159">
        <v>4</v>
      </c>
      <c r="M43" s="159">
        <v>1</v>
      </c>
      <c r="N43" s="160">
        <f t="shared" si="0"/>
        <v>619</v>
      </c>
      <c r="O43" s="159">
        <v>0</v>
      </c>
      <c r="P43" s="159">
        <v>3</v>
      </c>
      <c r="Q43" s="159">
        <f t="shared" si="1"/>
        <v>622</v>
      </c>
      <c r="R43" s="159">
        <v>0</v>
      </c>
    </row>
    <row r="44" spans="1:18" ht="22.5">
      <c r="A44" s="41">
        <v>35</v>
      </c>
      <c r="B44" s="61" t="s">
        <v>160</v>
      </c>
      <c r="C44" s="159">
        <v>5</v>
      </c>
      <c r="D44" s="159">
        <v>546</v>
      </c>
      <c r="E44" s="159">
        <v>51</v>
      </c>
      <c r="F44" s="159">
        <v>28</v>
      </c>
      <c r="G44" s="159">
        <v>1</v>
      </c>
      <c r="H44" s="159">
        <v>0</v>
      </c>
      <c r="I44" s="159">
        <v>0</v>
      </c>
      <c r="J44" s="159">
        <v>0</v>
      </c>
      <c r="K44" s="159">
        <v>24</v>
      </c>
      <c r="L44" s="159">
        <v>7</v>
      </c>
      <c r="M44" s="159">
        <v>3</v>
      </c>
      <c r="N44" s="160">
        <f t="shared" si="0"/>
        <v>665</v>
      </c>
      <c r="O44" s="159">
        <v>0</v>
      </c>
      <c r="P44" s="159">
        <v>4</v>
      </c>
      <c r="Q44" s="159">
        <f t="shared" si="1"/>
        <v>669</v>
      </c>
      <c r="R44" s="159">
        <v>0</v>
      </c>
    </row>
    <row r="45" spans="1:18" ht="22.5">
      <c r="A45" s="41">
        <v>36</v>
      </c>
      <c r="B45" s="61" t="s">
        <v>161</v>
      </c>
      <c r="C45" s="159">
        <v>4</v>
      </c>
      <c r="D45" s="159">
        <v>438</v>
      </c>
      <c r="E45" s="159">
        <v>69</v>
      </c>
      <c r="F45" s="159">
        <v>14</v>
      </c>
      <c r="G45" s="159">
        <v>0</v>
      </c>
      <c r="H45" s="159">
        <v>0</v>
      </c>
      <c r="I45" s="159">
        <v>0</v>
      </c>
      <c r="J45" s="159">
        <v>0</v>
      </c>
      <c r="K45" s="159">
        <v>23</v>
      </c>
      <c r="L45" s="159">
        <v>1</v>
      </c>
      <c r="M45" s="159">
        <v>1</v>
      </c>
      <c r="N45" s="160">
        <f t="shared" si="0"/>
        <v>550</v>
      </c>
      <c r="O45" s="159">
        <v>0</v>
      </c>
      <c r="P45" s="159">
        <v>0</v>
      </c>
      <c r="Q45" s="159">
        <f t="shared" si="1"/>
        <v>550</v>
      </c>
      <c r="R45" s="159">
        <v>0</v>
      </c>
    </row>
    <row r="46" spans="1:18" ht="22.5">
      <c r="A46" s="41">
        <v>37</v>
      </c>
      <c r="B46" s="61" t="s">
        <v>162</v>
      </c>
      <c r="C46" s="159">
        <v>2</v>
      </c>
      <c r="D46" s="159">
        <v>620</v>
      </c>
      <c r="E46" s="159">
        <v>48</v>
      </c>
      <c r="F46" s="159">
        <v>17</v>
      </c>
      <c r="G46" s="159">
        <v>1</v>
      </c>
      <c r="H46" s="159">
        <v>0</v>
      </c>
      <c r="I46" s="159">
        <v>0</v>
      </c>
      <c r="J46" s="159">
        <v>0</v>
      </c>
      <c r="K46" s="159">
        <v>26</v>
      </c>
      <c r="L46" s="159">
        <v>3</v>
      </c>
      <c r="M46" s="159">
        <v>1</v>
      </c>
      <c r="N46" s="160">
        <f t="shared" si="0"/>
        <v>718</v>
      </c>
      <c r="O46" s="159">
        <v>0</v>
      </c>
      <c r="P46" s="159">
        <v>2</v>
      </c>
      <c r="Q46" s="159">
        <f t="shared" si="1"/>
        <v>720</v>
      </c>
      <c r="R46" s="159">
        <v>0</v>
      </c>
    </row>
    <row r="47" spans="1:18">
      <c r="A47" s="41">
        <v>38</v>
      </c>
      <c r="B47" s="61" t="s">
        <v>163</v>
      </c>
      <c r="C47" s="159">
        <v>59</v>
      </c>
      <c r="D47" s="159">
        <v>300</v>
      </c>
      <c r="E47" s="159">
        <v>299</v>
      </c>
      <c r="F47" s="159">
        <v>1</v>
      </c>
      <c r="G47" s="159">
        <v>1</v>
      </c>
      <c r="H47" s="159">
        <v>0</v>
      </c>
      <c r="I47" s="159">
        <v>1</v>
      </c>
      <c r="J47" s="159">
        <v>3</v>
      </c>
      <c r="K47" s="159">
        <v>0</v>
      </c>
      <c r="L47" s="159">
        <v>4</v>
      </c>
      <c r="M47" s="159">
        <v>0</v>
      </c>
      <c r="N47" s="160">
        <f t="shared" si="0"/>
        <v>668</v>
      </c>
      <c r="O47" s="159">
        <v>0</v>
      </c>
      <c r="P47" s="159">
        <v>0</v>
      </c>
      <c r="Q47" s="159">
        <f t="shared" si="1"/>
        <v>668</v>
      </c>
      <c r="R47" s="159">
        <v>0</v>
      </c>
    </row>
    <row r="48" spans="1:18">
      <c r="A48" s="41">
        <v>39</v>
      </c>
      <c r="B48" s="61" t="s">
        <v>164</v>
      </c>
      <c r="C48" s="159">
        <v>51</v>
      </c>
      <c r="D48" s="159">
        <v>180</v>
      </c>
      <c r="E48" s="159">
        <v>325</v>
      </c>
      <c r="F48" s="159">
        <v>6</v>
      </c>
      <c r="G48" s="159">
        <v>1</v>
      </c>
      <c r="H48" s="159">
        <v>0</v>
      </c>
      <c r="I48" s="159">
        <v>2</v>
      </c>
      <c r="J48" s="159">
        <v>0</v>
      </c>
      <c r="K48" s="159">
        <v>1</v>
      </c>
      <c r="L48" s="159">
        <v>1</v>
      </c>
      <c r="M48" s="159">
        <v>1</v>
      </c>
      <c r="N48" s="160">
        <f t="shared" si="0"/>
        <v>568</v>
      </c>
      <c r="O48" s="159">
        <v>0</v>
      </c>
      <c r="P48" s="159">
        <v>7</v>
      </c>
      <c r="Q48" s="159">
        <f t="shared" si="1"/>
        <v>575</v>
      </c>
      <c r="R48" s="159">
        <v>0</v>
      </c>
    </row>
    <row r="49" spans="1:18">
      <c r="A49" s="41">
        <v>40</v>
      </c>
      <c r="B49" s="61" t="s">
        <v>165</v>
      </c>
      <c r="C49" s="159">
        <v>74</v>
      </c>
      <c r="D49" s="159">
        <v>168</v>
      </c>
      <c r="E49" s="159">
        <v>484</v>
      </c>
      <c r="F49" s="159">
        <v>5</v>
      </c>
      <c r="G49" s="159">
        <v>1</v>
      </c>
      <c r="H49" s="159">
        <v>0</v>
      </c>
      <c r="I49" s="159">
        <v>3</v>
      </c>
      <c r="J49" s="159">
        <v>3</v>
      </c>
      <c r="K49" s="159">
        <v>1</v>
      </c>
      <c r="L49" s="159">
        <v>4</v>
      </c>
      <c r="M49" s="159">
        <v>1</v>
      </c>
      <c r="N49" s="160">
        <f t="shared" si="0"/>
        <v>744</v>
      </c>
      <c r="O49" s="159">
        <v>0</v>
      </c>
      <c r="P49" s="159">
        <v>1</v>
      </c>
      <c r="Q49" s="159">
        <f t="shared" si="1"/>
        <v>745</v>
      </c>
      <c r="R49" s="159">
        <v>0</v>
      </c>
    </row>
    <row r="50" spans="1:18">
      <c r="A50" s="41">
        <v>41</v>
      </c>
      <c r="B50" s="61" t="s">
        <v>166</v>
      </c>
      <c r="C50" s="159">
        <v>227</v>
      </c>
      <c r="D50" s="159">
        <v>175</v>
      </c>
      <c r="E50" s="159">
        <v>261</v>
      </c>
      <c r="F50" s="159">
        <v>3</v>
      </c>
      <c r="G50" s="159">
        <v>1</v>
      </c>
      <c r="H50" s="159">
        <v>0</v>
      </c>
      <c r="I50" s="159">
        <v>1</v>
      </c>
      <c r="J50" s="159">
        <v>2</v>
      </c>
      <c r="K50" s="159">
        <v>1</v>
      </c>
      <c r="L50" s="159">
        <v>5</v>
      </c>
      <c r="M50" s="159">
        <v>3</v>
      </c>
      <c r="N50" s="160">
        <f t="shared" si="0"/>
        <v>679</v>
      </c>
      <c r="O50" s="159">
        <v>0</v>
      </c>
      <c r="P50" s="159">
        <v>6</v>
      </c>
      <c r="Q50" s="159">
        <f t="shared" si="1"/>
        <v>685</v>
      </c>
      <c r="R50" s="159">
        <v>0</v>
      </c>
    </row>
    <row r="51" spans="1:18" ht="22.5">
      <c r="A51" s="41">
        <v>42</v>
      </c>
      <c r="B51" s="61" t="s">
        <v>167</v>
      </c>
      <c r="C51" s="159">
        <v>168</v>
      </c>
      <c r="D51" s="159">
        <v>71</v>
      </c>
      <c r="E51" s="159">
        <v>411</v>
      </c>
      <c r="F51" s="159">
        <v>9</v>
      </c>
      <c r="G51" s="159">
        <v>5</v>
      </c>
      <c r="H51" s="159">
        <v>0</v>
      </c>
      <c r="I51" s="159">
        <v>1</v>
      </c>
      <c r="J51" s="159">
        <v>0</v>
      </c>
      <c r="K51" s="159">
        <v>0</v>
      </c>
      <c r="L51" s="159">
        <v>1</v>
      </c>
      <c r="M51" s="159">
        <v>1</v>
      </c>
      <c r="N51" s="160">
        <f t="shared" si="0"/>
        <v>667</v>
      </c>
      <c r="O51" s="159">
        <v>0</v>
      </c>
      <c r="P51" s="159">
        <v>1</v>
      </c>
      <c r="Q51" s="159">
        <f t="shared" si="1"/>
        <v>668</v>
      </c>
      <c r="R51" s="159">
        <v>0</v>
      </c>
    </row>
    <row r="52" spans="1:18" ht="22.5">
      <c r="A52" s="41">
        <v>43</v>
      </c>
      <c r="B52" s="61" t="s">
        <v>168</v>
      </c>
      <c r="C52" s="159">
        <v>0</v>
      </c>
      <c r="D52" s="159">
        <v>46</v>
      </c>
      <c r="E52" s="159">
        <v>284</v>
      </c>
      <c r="F52" s="159">
        <v>3</v>
      </c>
      <c r="G52" s="159">
        <v>0</v>
      </c>
      <c r="H52" s="159">
        <v>0</v>
      </c>
      <c r="I52" s="159">
        <v>0</v>
      </c>
      <c r="J52" s="159">
        <v>0</v>
      </c>
      <c r="K52" s="159">
        <v>0</v>
      </c>
      <c r="L52" s="159">
        <v>1</v>
      </c>
      <c r="M52" s="159">
        <v>0</v>
      </c>
      <c r="N52" s="160">
        <f t="shared" si="0"/>
        <v>334</v>
      </c>
      <c r="O52" s="159">
        <v>0</v>
      </c>
      <c r="P52" s="159">
        <v>0</v>
      </c>
      <c r="Q52" s="159">
        <f t="shared" si="1"/>
        <v>334</v>
      </c>
      <c r="R52" s="159">
        <v>0</v>
      </c>
    </row>
    <row r="53" spans="1:18" ht="22.5">
      <c r="A53" s="41">
        <v>44</v>
      </c>
      <c r="B53" s="61" t="s">
        <v>169</v>
      </c>
      <c r="C53" s="159">
        <v>13</v>
      </c>
      <c r="D53" s="159">
        <v>45</v>
      </c>
      <c r="E53" s="159">
        <v>364</v>
      </c>
      <c r="F53" s="159">
        <v>5</v>
      </c>
      <c r="G53" s="159">
        <v>2</v>
      </c>
      <c r="H53" s="159">
        <v>0</v>
      </c>
      <c r="I53" s="159">
        <v>0</v>
      </c>
      <c r="J53" s="159">
        <v>1</v>
      </c>
      <c r="K53" s="159">
        <v>0</v>
      </c>
      <c r="L53" s="159">
        <v>2</v>
      </c>
      <c r="M53" s="159">
        <v>1</v>
      </c>
      <c r="N53" s="160">
        <f t="shared" si="0"/>
        <v>433</v>
      </c>
      <c r="O53" s="159">
        <v>0</v>
      </c>
      <c r="P53" s="159">
        <v>2</v>
      </c>
      <c r="Q53" s="159">
        <f t="shared" si="1"/>
        <v>435</v>
      </c>
      <c r="R53" s="159">
        <v>0</v>
      </c>
    </row>
    <row r="54" spans="1:18">
      <c r="A54" s="41">
        <v>45</v>
      </c>
      <c r="B54" s="61" t="s">
        <v>170</v>
      </c>
      <c r="C54" s="159">
        <v>23</v>
      </c>
      <c r="D54" s="159">
        <v>315</v>
      </c>
      <c r="E54" s="159">
        <v>131</v>
      </c>
      <c r="F54" s="159">
        <v>0</v>
      </c>
      <c r="G54" s="159">
        <v>0</v>
      </c>
      <c r="H54" s="159">
        <v>0</v>
      </c>
      <c r="I54" s="159">
        <v>0</v>
      </c>
      <c r="J54" s="159">
        <v>1</v>
      </c>
      <c r="K54" s="159">
        <v>0</v>
      </c>
      <c r="L54" s="159">
        <v>4</v>
      </c>
      <c r="M54" s="159">
        <v>0</v>
      </c>
      <c r="N54" s="160">
        <f t="shared" si="0"/>
        <v>474</v>
      </c>
      <c r="O54" s="159">
        <v>0</v>
      </c>
      <c r="P54" s="159">
        <v>1</v>
      </c>
      <c r="Q54" s="159">
        <f t="shared" si="1"/>
        <v>475</v>
      </c>
      <c r="R54" s="159">
        <v>0</v>
      </c>
    </row>
    <row r="55" spans="1:18">
      <c r="A55" s="41">
        <v>46</v>
      </c>
      <c r="B55" s="61" t="s">
        <v>171</v>
      </c>
      <c r="C55" s="159">
        <v>59</v>
      </c>
      <c r="D55" s="159">
        <v>371</v>
      </c>
      <c r="E55" s="159">
        <v>74</v>
      </c>
      <c r="F55" s="159">
        <v>2</v>
      </c>
      <c r="G55" s="159">
        <v>0</v>
      </c>
      <c r="H55" s="159">
        <v>0</v>
      </c>
      <c r="I55" s="159">
        <v>0</v>
      </c>
      <c r="J55" s="159">
        <v>0</v>
      </c>
      <c r="K55" s="159">
        <v>2</v>
      </c>
      <c r="L55" s="159">
        <v>2</v>
      </c>
      <c r="M55" s="159">
        <v>1</v>
      </c>
      <c r="N55" s="160">
        <f t="shared" si="0"/>
        <v>511</v>
      </c>
      <c r="O55" s="159">
        <v>0</v>
      </c>
      <c r="P55" s="159">
        <v>0</v>
      </c>
      <c r="Q55" s="159">
        <f t="shared" si="1"/>
        <v>511</v>
      </c>
      <c r="R55" s="159">
        <v>0</v>
      </c>
    </row>
    <row r="56" spans="1:18">
      <c r="A56" s="41">
        <v>47</v>
      </c>
      <c r="B56" s="61" t="s">
        <v>172</v>
      </c>
      <c r="C56" s="159">
        <v>86</v>
      </c>
      <c r="D56" s="159">
        <v>287</v>
      </c>
      <c r="E56" s="159">
        <v>133</v>
      </c>
      <c r="F56" s="159">
        <v>1</v>
      </c>
      <c r="G56" s="159">
        <v>0</v>
      </c>
      <c r="H56" s="159">
        <v>0</v>
      </c>
      <c r="I56" s="159">
        <v>0</v>
      </c>
      <c r="J56" s="159">
        <v>0</v>
      </c>
      <c r="K56" s="159">
        <v>0</v>
      </c>
      <c r="L56" s="159">
        <v>3</v>
      </c>
      <c r="M56" s="159">
        <v>0</v>
      </c>
      <c r="N56" s="160">
        <f t="shared" si="0"/>
        <v>510</v>
      </c>
      <c r="O56" s="159">
        <v>0</v>
      </c>
      <c r="P56" s="159">
        <v>0</v>
      </c>
      <c r="Q56" s="159">
        <f t="shared" si="1"/>
        <v>510</v>
      </c>
      <c r="R56" s="159">
        <v>0</v>
      </c>
    </row>
    <row r="57" spans="1:18">
      <c r="A57" s="41">
        <v>48</v>
      </c>
      <c r="B57" s="61" t="s">
        <v>173</v>
      </c>
      <c r="C57" s="159">
        <v>4</v>
      </c>
      <c r="D57" s="159">
        <v>327</v>
      </c>
      <c r="E57" s="159">
        <v>154</v>
      </c>
      <c r="F57" s="159">
        <v>1</v>
      </c>
      <c r="G57" s="159">
        <v>1</v>
      </c>
      <c r="H57" s="159">
        <v>0</v>
      </c>
      <c r="I57" s="159">
        <v>0</v>
      </c>
      <c r="J57" s="159">
        <v>2</v>
      </c>
      <c r="K57" s="159">
        <v>1</v>
      </c>
      <c r="L57" s="159">
        <v>2</v>
      </c>
      <c r="M57" s="159">
        <v>0</v>
      </c>
      <c r="N57" s="160">
        <f t="shared" si="0"/>
        <v>492</v>
      </c>
      <c r="O57" s="159">
        <v>0</v>
      </c>
      <c r="P57" s="159">
        <v>0</v>
      </c>
      <c r="Q57" s="159">
        <f t="shared" si="1"/>
        <v>492</v>
      </c>
      <c r="R57" s="159">
        <v>0</v>
      </c>
    </row>
    <row r="58" spans="1:18">
      <c r="A58" s="41">
        <v>49</v>
      </c>
      <c r="B58" s="61" t="s">
        <v>174</v>
      </c>
      <c r="C58" s="159">
        <v>97</v>
      </c>
      <c r="D58" s="159">
        <v>304</v>
      </c>
      <c r="E58" s="159">
        <v>61</v>
      </c>
      <c r="F58" s="159">
        <v>1</v>
      </c>
      <c r="G58" s="159">
        <v>0</v>
      </c>
      <c r="H58" s="159">
        <v>0</v>
      </c>
      <c r="I58" s="159">
        <v>0</v>
      </c>
      <c r="J58" s="159">
        <v>0</v>
      </c>
      <c r="K58" s="159">
        <v>1</v>
      </c>
      <c r="L58" s="159">
        <v>0</v>
      </c>
      <c r="M58" s="159">
        <v>0</v>
      </c>
      <c r="N58" s="160">
        <f t="shared" si="0"/>
        <v>464</v>
      </c>
      <c r="O58" s="159">
        <v>0</v>
      </c>
      <c r="P58" s="159">
        <v>3</v>
      </c>
      <c r="Q58" s="159">
        <f t="shared" si="1"/>
        <v>467</v>
      </c>
      <c r="R58" s="159">
        <v>0</v>
      </c>
    </row>
    <row r="59" spans="1:18">
      <c r="A59" s="41">
        <v>50</v>
      </c>
      <c r="B59" s="61" t="s">
        <v>175</v>
      </c>
      <c r="C59" s="159">
        <v>1</v>
      </c>
      <c r="D59" s="159">
        <v>432</v>
      </c>
      <c r="E59" s="159">
        <v>145</v>
      </c>
      <c r="F59" s="159">
        <v>1</v>
      </c>
      <c r="G59" s="159">
        <v>0</v>
      </c>
      <c r="H59" s="159">
        <v>0</v>
      </c>
      <c r="I59" s="159">
        <v>0</v>
      </c>
      <c r="J59" s="159">
        <v>0</v>
      </c>
      <c r="K59" s="159">
        <v>1</v>
      </c>
      <c r="L59" s="159">
        <v>2</v>
      </c>
      <c r="M59" s="159">
        <v>2</v>
      </c>
      <c r="N59" s="160">
        <f t="shared" si="0"/>
        <v>584</v>
      </c>
      <c r="O59" s="159">
        <v>0</v>
      </c>
      <c r="P59" s="159">
        <v>0</v>
      </c>
      <c r="Q59" s="159">
        <f t="shared" si="1"/>
        <v>584</v>
      </c>
      <c r="R59" s="159">
        <v>0</v>
      </c>
    </row>
    <row r="60" spans="1:18">
      <c r="A60" s="41">
        <v>51</v>
      </c>
      <c r="B60" s="61" t="s">
        <v>176</v>
      </c>
      <c r="C60" s="159">
        <v>86</v>
      </c>
      <c r="D60" s="159">
        <v>360</v>
      </c>
      <c r="E60" s="159">
        <v>124</v>
      </c>
      <c r="F60" s="159">
        <v>3</v>
      </c>
      <c r="G60" s="159">
        <v>0</v>
      </c>
      <c r="H60" s="159">
        <v>0</v>
      </c>
      <c r="I60" s="159">
        <v>0</v>
      </c>
      <c r="J60" s="159">
        <v>0</v>
      </c>
      <c r="K60" s="159">
        <v>0</v>
      </c>
      <c r="L60" s="159">
        <v>2</v>
      </c>
      <c r="M60" s="159">
        <v>0</v>
      </c>
      <c r="N60" s="160">
        <f t="shared" si="0"/>
        <v>575</v>
      </c>
      <c r="O60" s="159">
        <v>0</v>
      </c>
      <c r="P60" s="159">
        <v>2</v>
      </c>
      <c r="Q60" s="159">
        <f t="shared" si="1"/>
        <v>577</v>
      </c>
      <c r="R60" s="159">
        <v>0</v>
      </c>
    </row>
    <row r="61" spans="1:18">
      <c r="A61" s="41">
        <v>52</v>
      </c>
      <c r="B61" s="61" t="s">
        <v>177</v>
      </c>
      <c r="C61" s="159">
        <v>3</v>
      </c>
      <c r="D61" s="159">
        <v>555</v>
      </c>
      <c r="E61" s="159">
        <v>20</v>
      </c>
      <c r="F61" s="159">
        <v>0</v>
      </c>
      <c r="G61" s="159">
        <v>0</v>
      </c>
      <c r="H61" s="159">
        <v>0</v>
      </c>
      <c r="I61" s="159">
        <v>0</v>
      </c>
      <c r="J61" s="159">
        <v>0</v>
      </c>
      <c r="K61" s="159">
        <v>8</v>
      </c>
      <c r="L61" s="159">
        <v>3</v>
      </c>
      <c r="M61" s="159">
        <v>0</v>
      </c>
      <c r="N61" s="160">
        <f t="shared" si="0"/>
        <v>589</v>
      </c>
      <c r="O61" s="159">
        <v>0</v>
      </c>
      <c r="P61" s="159">
        <v>4</v>
      </c>
      <c r="Q61" s="159">
        <f t="shared" si="1"/>
        <v>593</v>
      </c>
      <c r="R61" s="159">
        <v>0</v>
      </c>
    </row>
    <row r="62" spans="1:18">
      <c r="A62" s="41">
        <v>53</v>
      </c>
      <c r="B62" s="61" t="s">
        <v>178</v>
      </c>
      <c r="C62" s="159">
        <v>4</v>
      </c>
      <c r="D62" s="159">
        <v>485</v>
      </c>
      <c r="E62" s="159">
        <v>13</v>
      </c>
      <c r="F62" s="159">
        <v>14</v>
      </c>
      <c r="G62" s="159">
        <v>1</v>
      </c>
      <c r="H62" s="159">
        <v>0</v>
      </c>
      <c r="I62" s="159">
        <v>0</v>
      </c>
      <c r="J62" s="159">
        <v>3</v>
      </c>
      <c r="K62" s="159">
        <v>8</v>
      </c>
      <c r="L62" s="159">
        <v>1</v>
      </c>
      <c r="M62" s="159">
        <v>0</v>
      </c>
      <c r="N62" s="160">
        <f t="shared" si="0"/>
        <v>529</v>
      </c>
      <c r="O62" s="159">
        <v>0</v>
      </c>
      <c r="P62" s="159">
        <v>1</v>
      </c>
      <c r="Q62" s="159">
        <f t="shared" si="1"/>
        <v>530</v>
      </c>
      <c r="R62" s="159">
        <v>0</v>
      </c>
    </row>
    <row r="63" spans="1:18">
      <c r="A63" s="41">
        <v>54</v>
      </c>
      <c r="B63" s="61" t="s">
        <v>179</v>
      </c>
      <c r="C63" s="159">
        <v>14</v>
      </c>
      <c r="D63" s="159">
        <v>355</v>
      </c>
      <c r="E63" s="159">
        <v>11</v>
      </c>
      <c r="F63" s="159">
        <v>1</v>
      </c>
      <c r="G63" s="159">
        <v>0</v>
      </c>
      <c r="H63" s="159">
        <v>0</v>
      </c>
      <c r="I63" s="159">
        <v>0</v>
      </c>
      <c r="J63" s="159">
        <v>0</v>
      </c>
      <c r="K63" s="159">
        <v>5</v>
      </c>
      <c r="L63" s="159">
        <v>3</v>
      </c>
      <c r="M63" s="159">
        <v>2</v>
      </c>
      <c r="N63" s="160">
        <f t="shared" si="0"/>
        <v>391</v>
      </c>
      <c r="O63" s="159">
        <v>0</v>
      </c>
      <c r="P63" s="159">
        <v>0</v>
      </c>
      <c r="Q63" s="159">
        <f t="shared" si="1"/>
        <v>391</v>
      </c>
      <c r="R63" s="159">
        <v>0</v>
      </c>
    </row>
    <row r="64" spans="1:18">
      <c r="A64" s="41">
        <v>55</v>
      </c>
      <c r="B64" s="61" t="s">
        <v>180</v>
      </c>
      <c r="C64" s="159">
        <v>3</v>
      </c>
      <c r="D64" s="159">
        <v>306</v>
      </c>
      <c r="E64" s="159">
        <v>46</v>
      </c>
      <c r="F64" s="159">
        <v>0</v>
      </c>
      <c r="G64" s="159">
        <v>0</v>
      </c>
      <c r="H64" s="159">
        <v>0</v>
      </c>
      <c r="I64" s="159">
        <v>0</v>
      </c>
      <c r="J64" s="159">
        <v>0</v>
      </c>
      <c r="K64" s="159">
        <v>1</v>
      </c>
      <c r="L64" s="159">
        <v>1</v>
      </c>
      <c r="M64" s="159">
        <v>0</v>
      </c>
      <c r="N64" s="160">
        <f t="shared" si="0"/>
        <v>357</v>
      </c>
      <c r="O64" s="159">
        <v>0</v>
      </c>
      <c r="P64" s="159">
        <v>5</v>
      </c>
      <c r="Q64" s="159">
        <f t="shared" si="1"/>
        <v>362</v>
      </c>
      <c r="R64" s="159">
        <v>0</v>
      </c>
    </row>
    <row r="65" spans="1:18">
      <c r="A65" s="41">
        <v>56</v>
      </c>
      <c r="B65" s="61" t="s">
        <v>181</v>
      </c>
      <c r="C65" s="159">
        <v>1</v>
      </c>
      <c r="D65" s="159">
        <v>350</v>
      </c>
      <c r="E65" s="159">
        <v>45</v>
      </c>
      <c r="F65" s="159">
        <v>2</v>
      </c>
      <c r="G65" s="159">
        <v>0</v>
      </c>
      <c r="H65" s="159">
        <v>0</v>
      </c>
      <c r="I65" s="159">
        <v>0</v>
      </c>
      <c r="J65" s="159">
        <v>0</v>
      </c>
      <c r="K65" s="159">
        <v>17</v>
      </c>
      <c r="L65" s="159">
        <v>1</v>
      </c>
      <c r="M65" s="159">
        <v>3</v>
      </c>
      <c r="N65" s="160">
        <f t="shared" si="0"/>
        <v>419</v>
      </c>
      <c r="O65" s="159">
        <v>0</v>
      </c>
      <c r="P65" s="159">
        <v>1</v>
      </c>
      <c r="Q65" s="159">
        <f t="shared" si="1"/>
        <v>420</v>
      </c>
      <c r="R65" s="159">
        <v>0</v>
      </c>
    </row>
    <row r="66" spans="1:18" ht="22.5">
      <c r="A66" s="41">
        <v>57</v>
      </c>
      <c r="B66" s="61" t="s">
        <v>182</v>
      </c>
      <c r="C66" s="159">
        <v>4</v>
      </c>
      <c r="D66" s="159">
        <v>705</v>
      </c>
      <c r="E66" s="159">
        <v>15</v>
      </c>
      <c r="F66" s="159">
        <v>4</v>
      </c>
      <c r="G66" s="159">
        <v>1</v>
      </c>
      <c r="H66" s="159">
        <v>0</v>
      </c>
      <c r="I66" s="159">
        <v>1</v>
      </c>
      <c r="J66" s="159">
        <v>0</v>
      </c>
      <c r="K66" s="159">
        <v>13</v>
      </c>
      <c r="L66" s="159">
        <v>4</v>
      </c>
      <c r="M66" s="159">
        <v>5</v>
      </c>
      <c r="N66" s="160">
        <f t="shared" si="0"/>
        <v>752</v>
      </c>
      <c r="O66" s="159">
        <v>0</v>
      </c>
      <c r="P66" s="159">
        <v>6</v>
      </c>
      <c r="Q66" s="159">
        <f t="shared" si="1"/>
        <v>758</v>
      </c>
      <c r="R66" s="159">
        <v>0</v>
      </c>
    </row>
    <row r="67" spans="1:18" ht="22.5">
      <c r="A67" s="41">
        <v>58</v>
      </c>
      <c r="B67" s="61" t="s">
        <v>183</v>
      </c>
      <c r="C67" s="159">
        <v>5</v>
      </c>
      <c r="D67" s="159">
        <v>676</v>
      </c>
      <c r="E67" s="159">
        <v>17</v>
      </c>
      <c r="F67" s="159">
        <v>1</v>
      </c>
      <c r="G67" s="159">
        <v>1</v>
      </c>
      <c r="H67" s="159">
        <v>0</v>
      </c>
      <c r="I67" s="159">
        <v>1</v>
      </c>
      <c r="J67" s="159">
        <v>0</v>
      </c>
      <c r="K67" s="159">
        <v>6</v>
      </c>
      <c r="L67" s="159">
        <v>2</v>
      </c>
      <c r="M67" s="159">
        <v>3</v>
      </c>
      <c r="N67" s="160">
        <f t="shared" si="0"/>
        <v>712</v>
      </c>
      <c r="O67" s="159">
        <v>0</v>
      </c>
      <c r="P67" s="159">
        <v>3</v>
      </c>
      <c r="Q67" s="159">
        <f t="shared" si="1"/>
        <v>715</v>
      </c>
      <c r="R67" s="159">
        <v>0</v>
      </c>
    </row>
    <row r="68" spans="1:18" ht="22.5">
      <c r="A68" s="41">
        <v>59</v>
      </c>
      <c r="B68" s="61" t="s">
        <v>184</v>
      </c>
      <c r="C68" s="159">
        <v>4</v>
      </c>
      <c r="D68" s="159">
        <v>544</v>
      </c>
      <c r="E68" s="159">
        <v>4</v>
      </c>
      <c r="F68" s="159">
        <v>0</v>
      </c>
      <c r="G68" s="159">
        <v>0</v>
      </c>
      <c r="H68" s="159">
        <v>0</v>
      </c>
      <c r="I68" s="159">
        <v>1</v>
      </c>
      <c r="J68" s="159">
        <v>0</v>
      </c>
      <c r="K68" s="159">
        <v>3</v>
      </c>
      <c r="L68" s="159">
        <v>2</v>
      </c>
      <c r="M68" s="159">
        <v>4</v>
      </c>
      <c r="N68" s="160">
        <f t="shared" si="0"/>
        <v>562</v>
      </c>
      <c r="O68" s="159">
        <v>0</v>
      </c>
      <c r="P68" s="159">
        <v>3</v>
      </c>
      <c r="Q68" s="159">
        <f t="shared" si="1"/>
        <v>565</v>
      </c>
      <c r="R68" s="159">
        <v>0</v>
      </c>
    </row>
    <row r="69" spans="1:18">
      <c r="A69" s="41">
        <v>60</v>
      </c>
      <c r="B69" s="61" t="s">
        <v>185</v>
      </c>
      <c r="C69" s="159">
        <v>2</v>
      </c>
      <c r="D69" s="159">
        <v>483</v>
      </c>
      <c r="E69" s="159">
        <v>74</v>
      </c>
      <c r="F69" s="159">
        <v>3</v>
      </c>
      <c r="G69" s="159">
        <v>0</v>
      </c>
      <c r="H69" s="159">
        <v>0</v>
      </c>
      <c r="I69" s="159">
        <v>0</v>
      </c>
      <c r="J69" s="159">
        <v>0</v>
      </c>
      <c r="K69" s="159">
        <v>4</v>
      </c>
      <c r="L69" s="159">
        <v>2</v>
      </c>
      <c r="M69" s="159">
        <v>3</v>
      </c>
      <c r="N69" s="160">
        <f t="shared" si="0"/>
        <v>571</v>
      </c>
      <c r="O69" s="159">
        <v>0</v>
      </c>
      <c r="P69" s="159">
        <v>3</v>
      </c>
      <c r="Q69" s="159">
        <f t="shared" si="1"/>
        <v>574</v>
      </c>
      <c r="R69" s="159">
        <v>0</v>
      </c>
    </row>
    <row r="70" spans="1:18">
      <c r="A70" s="41">
        <v>61</v>
      </c>
      <c r="B70" s="61" t="s">
        <v>186</v>
      </c>
      <c r="C70" s="159">
        <v>1</v>
      </c>
      <c r="D70" s="159">
        <v>647</v>
      </c>
      <c r="E70" s="159">
        <v>18</v>
      </c>
      <c r="F70" s="159">
        <v>5</v>
      </c>
      <c r="G70" s="159">
        <v>0</v>
      </c>
      <c r="H70" s="159">
        <v>0</v>
      </c>
      <c r="I70" s="159">
        <v>0</v>
      </c>
      <c r="J70" s="159">
        <v>0</v>
      </c>
      <c r="K70" s="159">
        <v>4</v>
      </c>
      <c r="L70" s="159">
        <v>2</v>
      </c>
      <c r="M70" s="159">
        <v>3</v>
      </c>
      <c r="N70" s="160">
        <f t="shared" si="0"/>
        <v>680</v>
      </c>
      <c r="O70" s="159">
        <v>0</v>
      </c>
      <c r="P70" s="159">
        <v>4</v>
      </c>
      <c r="Q70" s="159">
        <f t="shared" si="1"/>
        <v>684</v>
      </c>
      <c r="R70" s="159">
        <v>0</v>
      </c>
    </row>
    <row r="71" spans="1:18">
      <c r="A71" s="41">
        <v>62</v>
      </c>
      <c r="B71" s="61" t="s">
        <v>187</v>
      </c>
      <c r="C71" s="159">
        <v>8</v>
      </c>
      <c r="D71" s="159">
        <v>573</v>
      </c>
      <c r="E71" s="159">
        <v>37</v>
      </c>
      <c r="F71" s="159">
        <v>0</v>
      </c>
      <c r="G71" s="159">
        <v>0</v>
      </c>
      <c r="H71" s="159">
        <v>0</v>
      </c>
      <c r="I71" s="159">
        <v>0</v>
      </c>
      <c r="J71" s="159">
        <v>0</v>
      </c>
      <c r="K71" s="159">
        <v>10</v>
      </c>
      <c r="L71" s="159">
        <v>2</v>
      </c>
      <c r="M71" s="159">
        <v>2</v>
      </c>
      <c r="N71" s="160">
        <f t="shared" si="0"/>
        <v>632</v>
      </c>
      <c r="O71" s="159">
        <v>0</v>
      </c>
      <c r="P71" s="159">
        <v>3</v>
      </c>
      <c r="Q71" s="159">
        <f t="shared" si="1"/>
        <v>635</v>
      </c>
      <c r="R71" s="159">
        <v>0</v>
      </c>
    </row>
    <row r="72" spans="1:18" ht="22.5">
      <c r="A72" s="41">
        <v>63</v>
      </c>
      <c r="B72" s="62" t="s">
        <v>188</v>
      </c>
      <c r="C72" s="159">
        <v>88</v>
      </c>
      <c r="D72" s="159">
        <v>176</v>
      </c>
      <c r="E72" s="159">
        <v>73</v>
      </c>
      <c r="F72" s="159">
        <v>2</v>
      </c>
      <c r="G72" s="159">
        <v>1</v>
      </c>
      <c r="H72" s="159">
        <v>1</v>
      </c>
      <c r="I72" s="159">
        <v>0</v>
      </c>
      <c r="J72" s="159">
        <v>1</v>
      </c>
      <c r="K72" s="159">
        <v>1</v>
      </c>
      <c r="L72" s="159">
        <v>3</v>
      </c>
      <c r="M72" s="159">
        <v>2</v>
      </c>
      <c r="N72" s="160">
        <f t="shared" si="0"/>
        <v>348</v>
      </c>
      <c r="O72" s="159">
        <v>0</v>
      </c>
      <c r="P72" s="159">
        <v>4</v>
      </c>
      <c r="Q72" s="159">
        <f t="shared" si="1"/>
        <v>352</v>
      </c>
      <c r="R72" s="159">
        <v>0</v>
      </c>
    </row>
    <row r="73" spans="1:18" ht="22.5">
      <c r="A73" s="41">
        <v>64</v>
      </c>
      <c r="B73" s="62" t="s">
        <v>189</v>
      </c>
      <c r="C73" s="159">
        <v>10</v>
      </c>
      <c r="D73" s="159">
        <v>72</v>
      </c>
      <c r="E73" s="159">
        <v>316</v>
      </c>
      <c r="F73" s="159">
        <v>4</v>
      </c>
      <c r="G73" s="159">
        <v>0</v>
      </c>
      <c r="H73" s="159">
        <v>0</v>
      </c>
      <c r="I73" s="159">
        <v>0</v>
      </c>
      <c r="J73" s="159">
        <v>0</v>
      </c>
      <c r="K73" s="159">
        <v>1</v>
      </c>
      <c r="L73" s="159">
        <v>3</v>
      </c>
      <c r="M73" s="159">
        <v>1</v>
      </c>
      <c r="N73" s="160">
        <f t="shared" si="0"/>
        <v>407</v>
      </c>
      <c r="O73" s="159">
        <v>0</v>
      </c>
      <c r="P73" s="159">
        <v>1</v>
      </c>
      <c r="Q73" s="159">
        <f t="shared" si="1"/>
        <v>408</v>
      </c>
      <c r="R73" s="159">
        <v>0</v>
      </c>
    </row>
    <row r="74" spans="1:18" ht="22.5">
      <c r="A74" s="41">
        <v>65</v>
      </c>
      <c r="B74" s="61" t="s">
        <v>190</v>
      </c>
      <c r="C74" s="159">
        <v>0</v>
      </c>
      <c r="D74" s="159">
        <v>22</v>
      </c>
      <c r="E74" s="159">
        <v>536</v>
      </c>
      <c r="F74" s="159">
        <v>2</v>
      </c>
      <c r="G74" s="159">
        <v>0</v>
      </c>
      <c r="H74" s="159">
        <v>0</v>
      </c>
      <c r="I74" s="159">
        <v>1</v>
      </c>
      <c r="J74" s="159">
        <v>1</v>
      </c>
      <c r="K74" s="159">
        <v>0</v>
      </c>
      <c r="L74" s="159">
        <v>0</v>
      </c>
      <c r="M74" s="159">
        <v>0</v>
      </c>
      <c r="N74" s="160">
        <f t="shared" si="0"/>
        <v>562</v>
      </c>
      <c r="O74" s="159">
        <v>0</v>
      </c>
      <c r="P74" s="159">
        <v>3</v>
      </c>
      <c r="Q74" s="159">
        <f t="shared" si="1"/>
        <v>565</v>
      </c>
      <c r="R74" s="159">
        <v>0</v>
      </c>
    </row>
    <row r="75" spans="1:18" ht="22.5">
      <c r="A75" s="41">
        <v>66</v>
      </c>
      <c r="B75" s="61" t="s">
        <v>191</v>
      </c>
      <c r="C75" s="159">
        <v>2</v>
      </c>
      <c r="D75" s="159">
        <v>39</v>
      </c>
      <c r="E75" s="159">
        <v>388</v>
      </c>
      <c r="F75" s="159">
        <v>3</v>
      </c>
      <c r="G75" s="159">
        <v>1</v>
      </c>
      <c r="H75" s="159">
        <v>0</v>
      </c>
      <c r="I75" s="159">
        <v>0</v>
      </c>
      <c r="J75" s="159">
        <v>0</v>
      </c>
      <c r="K75" s="159">
        <v>0</v>
      </c>
      <c r="L75" s="159">
        <v>1</v>
      </c>
      <c r="M75" s="159">
        <v>0</v>
      </c>
      <c r="N75" s="160">
        <f t="shared" ref="N75:N138" si="2">SUM(C75:M75)</f>
        <v>434</v>
      </c>
      <c r="O75" s="159">
        <v>0</v>
      </c>
      <c r="P75" s="159">
        <v>2</v>
      </c>
      <c r="Q75" s="159">
        <f t="shared" ref="Q75:Q138" si="3">N75+P75-O75</f>
        <v>436</v>
      </c>
      <c r="R75" s="159">
        <v>0</v>
      </c>
    </row>
    <row r="76" spans="1:18" ht="22.5">
      <c r="A76" s="41">
        <v>67</v>
      </c>
      <c r="B76" s="61" t="s">
        <v>192</v>
      </c>
      <c r="C76" s="159">
        <v>1</v>
      </c>
      <c r="D76" s="159">
        <v>29</v>
      </c>
      <c r="E76" s="159">
        <v>495</v>
      </c>
      <c r="F76" s="159">
        <v>3</v>
      </c>
      <c r="G76" s="159">
        <v>0</v>
      </c>
      <c r="H76" s="159">
        <v>0</v>
      </c>
      <c r="I76" s="159">
        <v>0</v>
      </c>
      <c r="J76" s="159">
        <v>2</v>
      </c>
      <c r="K76" s="159">
        <v>0</v>
      </c>
      <c r="L76" s="159">
        <v>0</v>
      </c>
      <c r="M76" s="159">
        <v>0</v>
      </c>
      <c r="N76" s="160">
        <f t="shared" si="2"/>
        <v>530</v>
      </c>
      <c r="O76" s="159">
        <v>0</v>
      </c>
      <c r="P76" s="159">
        <v>1</v>
      </c>
      <c r="Q76" s="159">
        <f t="shared" si="3"/>
        <v>531</v>
      </c>
      <c r="R76" s="159">
        <v>0</v>
      </c>
    </row>
    <row r="77" spans="1:18" ht="22.5">
      <c r="A77" s="41">
        <v>68</v>
      </c>
      <c r="B77" s="61" t="s">
        <v>193</v>
      </c>
      <c r="C77" s="159">
        <v>2</v>
      </c>
      <c r="D77" s="159">
        <v>37</v>
      </c>
      <c r="E77" s="159">
        <v>583</v>
      </c>
      <c r="F77" s="159">
        <v>2</v>
      </c>
      <c r="G77" s="159">
        <v>0</v>
      </c>
      <c r="H77" s="159">
        <v>0</v>
      </c>
      <c r="I77" s="159">
        <v>0</v>
      </c>
      <c r="J77" s="159">
        <v>0</v>
      </c>
      <c r="K77" s="159">
        <v>0</v>
      </c>
      <c r="L77" s="159">
        <v>1</v>
      </c>
      <c r="M77" s="159">
        <v>0</v>
      </c>
      <c r="N77" s="160">
        <f t="shared" si="2"/>
        <v>625</v>
      </c>
      <c r="O77" s="159">
        <v>0</v>
      </c>
      <c r="P77" s="159">
        <v>0</v>
      </c>
      <c r="Q77" s="159">
        <f t="shared" si="3"/>
        <v>625</v>
      </c>
      <c r="R77" s="159">
        <v>0</v>
      </c>
    </row>
    <row r="78" spans="1:18" ht="22.5">
      <c r="A78" s="41">
        <v>69</v>
      </c>
      <c r="B78" s="61" t="s">
        <v>194</v>
      </c>
      <c r="C78" s="159">
        <v>17</v>
      </c>
      <c r="D78" s="159">
        <v>80</v>
      </c>
      <c r="E78" s="159">
        <v>505</v>
      </c>
      <c r="F78" s="159">
        <v>5</v>
      </c>
      <c r="G78" s="159">
        <v>2</v>
      </c>
      <c r="H78" s="159">
        <v>0</v>
      </c>
      <c r="I78" s="159">
        <v>0</v>
      </c>
      <c r="J78" s="159">
        <v>0</v>
      </c>
      <c r="K78" s="159">
        <v>1</v>
      </c>
      <c r="L78" s="159">
        <v>1</v>
      </c>
      <c r="M78" s="159">
        <v>1</v>
      </c>
      <c r="N78" s="160">
        <f t="shared" si="2"/>
        <v>612</v>
      </c>
      <c r="O78" s="159">
        <v>0</v>
      </c>
      <c r="P78" s="159">
        <v>0</v>
      </c>
      <c r="Q78" s="159">
        <f t="shared" si="3"/>
        <v>612</v>
      </c>
      <c r="R78" s="159">
        <v>0</v>
      </c>
    </row>
    <row r="79" spans="1:18" ht="22.5">
      <c r="A79" s="41">
        <v>70</v>
      </c>
      <c r="B79" s="61" t="s">
        <v>195</v>
      </c>
      <c r="C79" s="159">
        <v>7</v>
      </c>
      <c r="D79" s="159">
        <v>66</v>
      </c>
      <c r="E79" s="159">
        <v>603</v>
      </c>
      <c r="F79" s="159">
        <v>0</v>
      </c>
      <c r="G79" s="159">
        <v>0</v>
      </c>
      <c r="H79" s="159">
        <v>0</v>
      </c>
      <c r="I79" s="159">
        <v>0</v>
      </c>
      <c r="J79" s="159">
        <v>2</v>
      </c>
      <c r="K79" s="159">
        <v>0</v>
      </c>
      <c r="L79" s="159">
        <v>0</v>
      </c>
      <c r="M79" s="159">
        <v>0</v>
      </c>
      <c r="N79" s="160">
        <f t="shared" si="2"/>
        <v>678</v>
      </c>
      <c r="O79" s="159">
        <v>0</v>
      </c>
      <c r="P79" s="159">
        <v>2</v>
      </c>
      <c r="Q79" s="159">
        <f t="shared" si="3"/>
        <v>680</v>
      </c>
      <c r="R79" s="159">
        <v>0</v>
      </c>
    </row>
    <row r="80" spans="1:18" ht="22.5">
      <c r="A80" s="41">
        <v>71</v>
      </c>
      <c r="B80" s="61" t="s">
        <v>196</v>
      </c>
      <c r="C80" s="159">
        <v>29</v>
      </c>
      <c r="D80" s="159">
        <v>210</v>
      </c>
      <c r="E80" s="159">
        <v>350</v>
      </c>
      <c r="F80" s="159">
        <v>3</v>
      </c>
      <c r="G80" s="159">
        <v>0</v>
      </c>
      <c r="H80" s="159">
        <v>0</v>
      </c>
      <c r="I80" s="159">
        <v>0</v>
      </c>
      <c r="J80" s="159">
        <v>1</v>
      </c>
      <c r="K80" s="159">
        <v>10</v>
      </c>
      <c r="L80" s="159">
        <v>1</v>
      </c>
      <c r="M80" s="159">
        <v>1</v>
      </c>
      <c r="N80" s="160">
        <f t="shared" si="2"/>
        <v>605</v>
      </c>
      <c r="O80" s="159">
        <v>0</v>
      </c>
      <c r="P80" s="159">
        <v>0</v>
      </c>
      <c r="Q80" s="159">
        <f t="shared" si="3"/>
        <v>605</v>
      </c>
      <c r="R80" s="159">
        <v>0</v>
      </c>
    </row>
    <row r="81" spans="1:18" ht="22.5">
      <c r="A81" s="41">
        <v>72</v>
      </c>
      <c r="B81" s="61" t="s">
        <v>197</v>
      </c>
      <c r="C81" s="159">
        <v>8</v>
      </c>
      <c r="D81" s="159">
        <v>117</v>
      </c>
      <c r="E81" s="159">
        <v>350</v>
      </c>
      <c r="F81" s="159">
        <v>8</v>
      </c>
      <c r="G81" s="159">
        <v>0</v>
      </c>
      <c r="H81" s="159">
        <v>1</v>
      </c>
      <c r="I81" s="159">
        <v>0</v>
      </c>
      <c r="J81" s="159">
        <v>0</v>
      </c>
      <c r="K81" s="159">
        <v>4</v>
      </c>
      <c r="L81" s="159">
        <v>0</v>
      </c>
      <c r="M81" s="159">
        <v>1</v>
      </c>
      <c r="N81" s="160">
        <f t="shared" si="2"/>
        <v>489</v>
      </c>
      <c r="O81" s="159">
        <v>0</v>
      </c>
      <c r="P81" s="159">
        <v>2</v>
      </c>
      <c r="Q81" s="159">
        <f t="shared" si="3"/>
        <v>491</v>
      </c>
      <c r="R81" s="159">
        <v>0</v>
      </c>
    </row>
    <row r="82" spans="1:18" ht="22.5">
      <c r="A82" s="41">
        <v>73</v>
      </c>
      <c r="B82" s="61" t="s">
        <v>198</v>
      </c>
      <c r="C82" s="159">
        <v>4</v>
      </c>
      <c r="D82" s="159">
        <v>254</v>
      </c>
      <c r="E82" s="159">
        <v>181</v>
      </c>
      <c r="F82" s="159">
        <v>1</v>
      </c>
      <c r="G82" s="159">
        <v>0</v>
      </c>
      <c r="H82" s="159">
        <v>0</v>
      </c>
      <c r="I82" s="159">
        <v>0</v>
      </c>
      <c r="J82" s="159">
        <v>0</v>
      </c>
      <c r="K82" s="159">
        <v>8</v>
      </c>
      <c r="L82" s="159">
        <v>1</v>
      </c>
      <c r="M82" s="159">
        <v>1</v>
      </c>
      <c r="N82" s="160">
        <f t="shared" si="2"/>
        <v>450</v>
      </c>
      <c r="O82" s="159">
        <v>0</v>
      </c>
      <c r="P82" s="159">
        <v>0</v>
      </c>
      <c r="Q82" s="159">
        <f t="shared" si="3"/>
        <v>450</v>
      </c>
      <c r="R82" s="159">
        <v>0</v>
      </c>
    </row>
    <row r="83" spans="1:18" ht="22.5">
      <c r="A83" s="41">
        <v>74</v>
      </c>
      <c r="B83" s="61" t="s">
        <v>199</v>
      </c>
      <c r="C83" s="159">
        <v>2</v>
      </c>
      <c r="D83" s="159">
        <v>222</v>
      </c>
      <c r="E83" s="159">
        <v>589</v>
      </c>
      <c r="F83" s="159">
        <v>3</v>
      </c>
      <c r="G83" s="159">
        <v>0</v>
      </c>
      <c r="H83" s="159">
        <v>0</v>
      </c>
      <c r="I83" s="159">
        <v>1</v>
      </c>
      <c r="J83" s="159">
        <v>2</v>
      </c>
      <c r="K83" s="159">
        <v>3</v>
      </c>
      <c r="L83" s="159">
        <v>1</v>
      </c>
      <c r="M83" s="159">
        <v>1</v>
      </c>
      <c r="N83" s="160">
        <f t="shared" si="2"/>
        <v>824</v>
      </c>
      <c r="O83" s="159">
        <v>0</v>
      </c>
      <c r="P83" s="159">
        <v>0</v>
      </c>
      <c r="Q83" s="159">
        <f t="shared" si="3"/>
        <v>824</v>
      </c>
      <c r="R83" s="159">
        <v>0</v>
      </c>
    </row>
    <row r="84" spans="1:18" ht="22.5">
      <c r="A84" s="41">
        <v>75</v>
      </c>
      <c r="B84" s="61" t="s">
        <v>200</v>
      </c>
      <c r="C84" s="159">
        <v>18</v>
      </c>
      <c r="D84" s="159">
        <v>162</v>
      </c>
      <c r="E84" s="159">
        <v>493</v>
      </c>
      <c r="F84" s="159">
        <v>3</v>
      </c>
      <c r="G84" s="159">
        <v>0</v>
      </c>
      <c r="H84" s="159">
        <v>0</v>
      </c>
      <c r="I84" s="159">
        <v>0</v>
      </c>
      <c r="J84" s="159">
        <v>0</v>
      </c>
      <c r="K84" s="159">
        <v>0</v>
      </c>
      <c r="L84" s="159">
        <v>1</v>
      </c>
      <c r="M84" s="159">
        <v>0</v>
      </c>
      <c r="N84" s="160">
        <f t="shared" si="2"/>
        <v>677</v>
      </c>
      <c r="O84" s="159">
        <v>0</v>
      </c>
      <c r="P84" s="159">
        <v>3</v>
      </c>
      <c r="Q84" s="159">
        <f t="shared" si="3"/>
        <v>680</v>
      </c>
      <c r="R84" s="159">
        <v>0</v>
      </c>
    </row>
    <row r="85" spans="1:18" ht="22.5">
      <c r="A85" s="41">
        <v>76</v>
      </c>
      <c r="B85" s="61" t="s">
        <v>201</v>
      </c>
      <c r="C85" s="159">
        <v>3</v>
      </c>
      <c r="D85" s="159">
        <v>246</v>
      </c>
      <c r="E85" s="159">
        <v>171</v>
      </c>
      <c r="F85" s="159">
        <v>4</v>
      </c>
      <c r="G85" s="159">
        <v>1</v>
      </c>
      <c r="H85" s="159">
        <v>0</v>
      </c>
      <c r="I85" s="159">
        <v>1</v>
      </c>
      <c r="J85" s="159">
        <v>0</v>
      </c>
      <c r="K85" s="159">
        <v>2</v>
      </c>
      <c r="L85" s="159">
        <v>3</v>
      </c>
      <c r="M85" s="159">
        <v>0</v>
      </c>
      <c r="N85" s="160">
        <f t="shared" si="2"/>
        <v>431</v>
      </c>
      <c r="O85" s="159">
        <v>0</v>
      </c>
      <c r="P85" s="159">
        <v>1</v>
      </c>
      <c r="Q85" s="159">
        <f t="shared" si="3"/>
        <v>432</v>
      </c>
      <c r="R85" s="159">
        <v>0</v>
      </c>
    </row>
    <row r="86" spans="1:18" ht="22.5">
      <c r="A86" s="41">
        <v>77</v>
      </c>
      <c r="B86" s="61" t="s">
        <v>202</v>
      </c>
      <c r="C86" s="159">
        <v>77</v>
      </c>
      <c r="D86" s="159">
        <v>244</v>
      </c>
      <c r="E86" s="159">
        <v>236</v>
      </c>
      <c r="F86" s="159">
        <v>7</v>
      </c>
      <c r="G86" s="159">
        <v>1</v>
      </c>
      <c r="H86" s="159">
        <v>1</v>
      </c>
      <c r="I86" s="159">
        <v>3</v>
      </c>
      <c r="J86" s="159">
        <v>0</v>
      </c>
      <c r="K86" s="159">
        <v>8</v>
      </c>
      <c r="L86" s="159">
        <v>7</v>
      </c>
      <c r="M86" s="159">
        <v>2</v>
      </c>
      <c r="N86" s="160">
        <f t="shared" si="2"/>
        <v>586</v>
      </c>
      <c r="O86" s="159">
        <v>0</v>
      </c>
      <c r="P86" s="159">
        <v>3</v>
      </c>
      <c r="Q86" s="159">
        <f t="shared" si="3"/>
        <v>589</v>
      </c>
      <c r="R86" s="159">
        <v>0</v>
      </c>
    </row>
    <row r="87" spans="1:18" ht="22.5">
      <c r="A87" s="41">
        <v>78</v>
      </c>
      <c r="B87" s="61" t="s">
        <v>203</v>
      </c>
      <c r="C87" s="159">
        <v>109</v>
      </c>
      <c r="D87" s="159">
        <v>172</v>
      </c>
      <c r="E87" s="159">
        <v>250</v>
      </c>
      <c r="F87" s="159">
        <v>4</v>
      </c>
      <c r="G87" s="159">
        <v>0</v>
      </c>
      <c r="H87" s="159">
        <v>0</v>
      </c>
      <c r="I87" s="159">
        <v>0</v>
      </c>
      <c r="J87" s="159">
        <v>1</v>
      </c>
      <c r="K87" s="159">
        <v>1</v>
      </c>
      <c r="L87" s="159">
        <v>1</v>
      </c>
      <c r="M87" s="159">
        <v>1</v>
      </c>
      <c r="N87" s="160">
        <f t="shared" si="2"/>
        <v>539</v>
      </c>
      <c r="O87" s="159">
        <v>0</v>
      </c>
      <c r="P87" s="159">
        <v>1</v>
      </c>
      <c r="Q87" s="159">
        <f t="shared" si="3"/>
        <v>540</v>
      </c>
      <c r="R87" s="159">
        <v>0</v>
      </c>
    </row>
    <row r="88" spans="1:18" ht="22.5">
      <c r="A88" s="41">
        <v>79</v>
      </c>
      <c r="B88" s="61" t="s">
        <v>204</v>
      </c>
      <c r="C88" s="159">
        <v>70</v>
      </c>
      <c r="D88" s="159">
        <v>238</v>
      </c>
      <c r="E88" s="159">
        <v>286</v>
      </c>
      <c r="F88" s="159">
        <v>4</v>
      </c>
      <c r="G88" s="159">
        <v>0</v>
      </c>
      <c r="H88" s="159">
        <v>1</v>
      </c>
      <c r="I88" s="159">
        <v>2</v>
      </c>
      <c r="J88" s="159">
        <v>0</v>
      </c>
      <c r="K88" s="159">
        <v>22</v>
      </c>
      <c r="L88" s="159">
        <v>9</v>
      </c>
      <c r="M88" s="159">
        <v>0</v>
      </c>
      <c r="N88" s="160">
        <f t="shared" si="2"/>
        <v>632</v>
      </c>
      <c r="O88" s="159">
        <v>0</v>
      </c>
      <c r="P88" s="159">
        <v>1</v>
      </c>
      <c r="Q88" s="159">
        <f t="shared" si="3"/>
        <v>633</v>
      </c>
      <c r="R88" s="159">
        <v>0</v>
      </c>
    </row>
    <row r="89" spans="1:18" ht="22.5">
      <c r="A89" s="41">
        <v>80</v>
      </c>
      <c r="B89" s="61" t="s">
        <v>205</v>
      </c>
      <c r="C89" s="159">
        <v>40</v>
      </c>
      <c r="D89" s="159">
        <v>394</v>
      </c>
      <c r="E89" s="159">
        <v>139</v>
      </c>
      <c r="F89" s="159">
        <v>3</v>
      </c>
      <c r="G89" s="159">
        <v>0</v>
      </c>
      <c r="H89" s="159">
        <v>0</v>
      </c>
      <c r="I89" s="159">
        <v>1</v>
      </c>
      <c r="J89" s="159">
        <v>0</v>
      </c>
      <c r="K89" s="159">
        <v>16</v>
      </c>
      <c r="L89" s="159">
        <v>5</v>
      </c>
      <c r="M89" s="159">
        <v>0</v>
      </c>
      <c r="N89" s="160">
        <f t="shared" si="2"/>
        <v>598</v>
      </c>
      <c r="O89" s="159">
        <v>0</v>
      </c>
      <c r="P89" s="159">
        <v>6</v>
      </c>
      <c r="Q89" s="159">
        <f t="shared" si="3"/>
        <v>604</v>
      </c>
      <c r="R89" s="159">
        <v>0</v>
      </c>
    </row>
    <row r="90" spans="1:18" ht="22.5">
      <c r="A90" s="41">
        <v>81</v>
      </c>
      <c r="B90" s="61" t="s">
        <v>206</v>
      </c>
      <c r="C90" s="159">
        <v>50</v>
      </c>
      <c r="D90" s="159">
        <v>323</v>
      </c>
      <c r="E90" s="159">
        <v>83</v>
      </c>
      <c r="F90" s="159">
        <v>9</v>
      </c>
      <c r="G90" s="159">
        <v>0</v>
      </c>
      <c r="H90" s="159">
        <v>1</v>
      </c>
      <c r="I90" s="159">
        <v>0</v>
      </c>
      <c r="J90" s="159">
        <v>0</v>
      </c>
      <c r="K90" s="159">
        <v>15</v>
      </c>
      <c r="L90" s="159">
        <v>1</v>
      </c>
      <c r="M90" s="159">
        <v>1</v>
      </c>
      <c r="N90" s="160">
        <f t="shared" si="2"/>
        <v>483</v>
      </c>
      <c r="O90" s="159">
        <v>0</v>
      </c>
      <c r="P90" s="159">
        <v>2</v>
      </c>
      <c r="Q90" s="159">
        <f t="shared" si="3"/>
        <v>485</v>
      </c>
      <c r="R90" s="159">
        <v>0</v>
      </c>
    </row>
    <row r="91" spans="1:18" ht="22.5">
      <c r="A91" s="41">
        <v>82</v>
      </c>
      <c r="B91" s="61" t="s">
        <v>207</v>
      </c>
      <c r="C91" s="159">
        <v>8</v>
      </c>
      <c r="D91" s="159">
        <v>146</v>
      </c>
      <c r="E91" s="159">
        <v>190</v>
      </c>
      <c r="F91" s="159">
        <v>7</v>
      </c>
      <c r="G91" s="159">
        <v>0</v>
      </c>
      <c r="H91" s="159">
        <v>1</v>
      </c>
      <c r="I91" s="159">
        <v>0</v>
      </c>
      <c r="J91" s="159">
        <v>0</v>
      </c>
      <c r="K91" s="159">
        <v>4</v>
      </c>
      <c r="L91" s="159">
        <v>1</v>
      </c>
      <c r="M91" s="159">
        <v>0</v>
      </c>
      <c r="N91" s="160">
        <f t="shared" si="2"/>
        <v>357</v>
      </c>
      <c r="O91" s="159">
        <v>0</v>
      </c>
      <c r="P91" s="159">
        <v>1</v>
      </c>
      <c r="Q91" s="159">
        <f t="shared" si="3"/>
        <v>358</v>
      </c>
      <c r="R91" s="159">
        <v>0</v>
      </c>
    </row>
    <row r="92" spans="1:18" ht="22.5">
      <c r="A92" s="41">
        <v>83</v>
      </c>
      <c r="B92" s="61" t="s">
        <v>208</v>
      </c>
      <c r="C92" s="159">
        <v>14</v>
      </c>
      <c r="D92" s="159">
        <v>62</v>
      </c>
      <c r="E92" s="159">
        <v>369</v>
      </c>
      <c r="F92" s="159">
        <v>4</v>
      </c>
      <c r="G92" s="159">
        <v>0</v>
      </c>
      <c r="H92" s="159">
        <v>0</v>
      </c>
      <c r="I92" s="159">
        <v>0</v>
      </c>
      <c r="J92" s="159">
        <v>2</v>
      </c>
      <c r="K92" s="159">
        <v>0</v>
      </c>
      <c r="L92" s="159">
        <v>0</v>
      </c>
      <c r="M92" s="159">
        <v>1</v>
      </c>
      <c r="N92" s="160">
        <f t="shared" si="2"/>
        <v>452</v>
      </c>
      <c r="O92" s="159">
        <v>0</v>
      </c>
      <c r="P92" s="159">
        <v>1</v>
      </c>
      <c r="Q92" s="159">
        <f t="shared" si="3"/>
        <v>453</v>
      </c>
      <c r="R92" s="159">
        <v>0</v>
      </c>
    </row>
    <row r="93" spans="1:18" ht="22.5">
      <c r="A93" s="41">
        <v>84</v>
      </c>
      <c r="B93" s="61" t="s">
        <v>209</v>
      </c>
      <c r="C93" s="159">
        <v>495</v>
      </c>
      <c r="D93" s="159">
        <v>14</v>
      </c>
      <c r="E93" s="159">
        <v>159</v>
      </c>
      <c r="F93" s="159">
        <v>2</v>
      </c>
      <c r="G93" s="159">
        <v>1</v>
      </c>
      <c r="H93" s="159">
        <v>0</v>
      </c>
      <c r="I93" s="159">
        <v>0</v>
      </c>
      <c r="J93" s="159">
        <v>4</v>
      </c>
      <c r="K93" s="159">
        <v>1</v>
      </c>
      <c r="L93" s="159">
        <v>2</v>
      </c>
      <c r="M93" s="159">
        <v>1</v>
      </c>
      <c r="N93" s="160">
        <f t="shared" si="2"/>
        <v>679</v>
      </c>
      <c r="O93" s="159">
        <v>0</v>
      </c>
      <c r="P93" s="159">
        <v>7</v>
      </c>
      <c r="Q93" s="159">
        <f t="shared" si="3"/>
        <v>686</v>
      </c>
      <c r="R93" s="159">
        <v>0</v>
      </c>
    </row>
    <row r="94" spans="1:18" ht="22.5">
      <c r="A94" s="41">
        <v>85</v>
      </c>
      <c r="B94" s="61" t="s">
        <v>210</v>
      </c>
      <c r="C94" s="159">
        <v>284</v>
      </c>
      <c r="D94" s="159">
        <v>230</v>
      </c>
      <c r="E94" s="159">
        <v>66</v>
      </c>
      <c r="F94" s="159">
        <v>6</v>
      </c>
      <c r="G94" s="159">
        <v>0</v>
      </c>
      <c r="H94" s="159">
        <v>1</v>
      </c>
      <c r="I94" s="159">
        <v>0</v>
      </c>
      <c r="J94" s="159">
        <v>0</v>
      </c>
      <c r="K94" s="159">
        <v>6</v>
      </c>
      <c r="L94" s="159">
        <v>3</v>
      </c>
      <c r="M94" s="159">
        <v>0</v>
      </c>
      <c r="N94" s="160">
        <f t="shared" si="2"/>
        <v>596</v>
      </c>
      <c r="O94" s="159">
        <v>0</v>
      </c>
      <c r="P94" s="159">
        <v>4</v>
      </c>
      <c r="Q94" s="159">
        <f t="shared" si="3"/>
        <v>600</v>
      </c>
      <c r="R94" s="159">
        <v>0</v>
      </c>
    </row>
    <row r="95" spans="1:18" ht="22.5">
      <c r="A95" s="41">
        <v>86</v>
      </c>
      <c r="B95" s="61" t="s">
        <v>211</v>
      </c>
      <c r="C95" s="159">
        <v>101</v>
      </c>
      <c r="D95" s="159">
        <v>399</v>
      </c>
      <c r="E95" s="159">
        <v>95</v>
      </c>
      <c r="F95" s="159">
        <v>4</v>
      </c>
      <c r="G95" s="159">
        <v>0</v>
      </c>
      <c r="H95" s="159">
        <v>0</v>
      </c>
      <c r="I95" s="159">
        <v>0</v>
      </c>
      <c r="J95" s="159">
        <v>0</v>
      </c>
      <c r="K95" s="159">
        <v>1</v>
      </c>
      <c r="L95" s="159">
        <v>1</v>
      </c>
      <c r="M95" s="159">
        <v>2</v>
      </c>
      <c r="N95" s="160">
        <f t="shared" si="2"/>
        <v>603</v>
      </c>
      <c r="O95" s="159">
        <v>0</v>
      </c>
      <c r="P95" s="159">
        <v>1</v>
      </c>
      <c r="Q95" s="159">
        <f t="shared" si="3"/>
        <v>604</v>
      </c>
      <c r="R95" s="159">
        <v>0</v>
      </c>
    </row>
    <row r="96" spans="1:18" ht="22.5">
      <c r="A96" s="41">
        <v>87</v>
      </c>
      <c r="B96" s="61" t="s">
        <v>212</v>
      </c>
      <c r="C96" s="159">
        <v>1</v>
      </c>
      <c r="D96" s="159">
        <v>486</v>
      </c>
      <c r="E96" s="159">
        <v>62</v>
      </c>
      <c r="F96" s="159">
        <v>2</v>
      </c>
      <c r="G96" s="159">
        <v>0</v>
      </c>
      <c r="H96" s="159">
        <v>0</v>
      </c>
      <c r="I96" s="159">
        <v>0</v>
      </c>
      <c r="J96" s="159">
        <v>1</v>
      </c>
      <c r="K96" s="159">
        <v>5</v>
      </c>
      <c r="L96" s="159">
        <v>1</v>
      </c>
      <c r="M96" s="159">
        <v>4</v>
      </c>
      <c r="N96" s="160">
        <f t="shared" si="2"/>
        <v>562</v>
      </c>
      <c r="O96" s="159">
        <v>0</v>
      </c>
      <c r="P96" s="159">
        <v>1</v>
      </c>
      <c r="Q96" s="159">
        <f t="shared" si="3"/>
        <v>563</v>
      </c>
      <c r="R96" s="159">
        <v>0</v>
      </c>
    </row>
    <row r="97" spans="1:18" ht="22.5">
      <c r="A97" s="41">
        <v>88</v>
      </c>
      <c r="B97" s="61" t="s">
        <v>213</v>
      </c>
      <c r="C97" s="159">
        <v>2</v>
      </c>
      <c r="D97" s="159">
        <v>409</v>
      </c>
      <c r="E97" s="159">
        <v>70</v>
      </c>
      <c r="F97" s="159">
        <v>9</v>
      </c>
      <c r="G97" s="159">
        <v>1</v>
      </c>
      <c r="H97" s="159">
        <v>1</v>
      </c>
      <c r="I97" s="159">
        <v>2</v>
      </c>
      <c r="J97" s="159">
        <v>1</v>
      </c>
      <c r="K97" s="159">
        <v>10</v>
      </c>
      <c r="L97" s="159">
        <v>2</v>
      </c>
      <c r="M97" s="159">
        <v>2</v>
      </c>
      <c r="N97" s="160">
        <f t="shared" si="2"/>
        <v>509</v>
      </c>
      <c r="O97" s="159">
        <v>0</v>
      </c>
      <c r="P97" s="159">
        <v>3</v>
      </c>
      <c r="Q97" s="159">
        <f t="shared" si="3"/>
        <v>512</v>
      </c>
      <c r="R97" s="159">
        <v>0</v>
      </c>
    </row>
    <row r="98" spans="1:18" ht="22.5">
      <c r="A98" s="41">
        <v>89</v>
      </c>
      <c r="B98" s="61" t="s">
        <v>214</v>
      </c>
      <c r="C98" s="159">
        <v>2</v>
      </c>
      <c r="D98" s="159">
        <v>466</v>
      </c>
      <c r="E98" s="159">
        <v>22</v>
      </c>
      <c r="F98" s="159">
        <v>6</v>
      </c>
      <c r="G98" s="159">
        <v>0</v>
      </c>
      <c r="H98" s="159">
        <v>0</v>
      </c>
      <c r="I98" s="159">
        <v>1</v>
      </c>
      <c r="J98" s="159">
        <v>0</v>
      </c>
      <c r="K98" s="159">
        <v>2</v>
      </c>
      <c r="L98" s="159">
        <v>5</v>
      </c>
      <c r="M98" s="159">
        <v>0</v>
      </c>
      <c r="N98" s="160">
        <f t="shared" si="2"/>
        <v>504</v>
      </c>
      <c r="O98" s="159">
        <v>0</v>
      </c>
      <c r="P98" s="159">
        <v>2</v>
      </c>
      <c r="Q98" s="159">
        <f t="shared" si="3"/>
        <v>506</v>
      </c>
      <c r="R98" s="159">
        <v>0</v>
      </c>
    </row>
    <row r="99" spans="1:18" ht="22.5">
      <c r="A99" s="41">
        <v>90</v>
      </c>
      <c r="B99" s="61" t="s">
        <v>215</v>
      </c>
      <c r="C99" s="159">
        <v>8</v>
      </c>
      <c r="D99" s="159">
        <v>410</v>
      </c>
      <c r="E99" s="159">
        <v>129</v>
      </c>
      <c r="F99" s="159">
        <v>7</v>
      </c>
      <c r="G99" s="159">
        <v>1</v>
      </c>
      <c r="H99" s="159">
        <v>1</v>
      </c>
      <c r="I99" s="159">
        <v>0</v>
      </c>
      <c r="J99" s="159">
        <v>1</v>
      </c>
      <c r="K99" s="159">
        <v>12</v>
      </c>
      <c r="L99" s="159">
        <v>4</v>
      </c>
      <c r="M99" s="159">
        <v>2</v>
      </c>
      <c r="N99" s="160">
        <f t="shared" si="2"/>
        <v>575</v>
      </c>
      <c r="O99" s="159">
        <v>0</v>
      </c>
      <c r="P99" s="159">
        <v>1</v>
      </c>
      <c r="Q99" s="159">
        <f t="shared" si="3"/>
        <v>576</v>
      </c>
      <c r="R99" s="159">
        <v>0</v>
      </c>
    </row>
    <row r="100" spans="1:18" ht="22.5">
      <c r="A100" s="41">
        <v>91</v>
      </c>
      <c r="B100" s="61" t="s">
        <v>216</v>
      </c>
      <c r="C100" s="159">
        <v>8</v>
      </c>
      <c r="D100" s="159">
        <v>318</v>
      </c>
      <c r="E100" s="159">
        <v>262</v>
      </c>
      <c r="F100" s="159">
        <v>5</v>
      </c>
      <c r="G100" s="159">
        <v>0</v>
      </c>
      <c r="H100" s="159">
        <v>0</v>
      </c>
      <c r="I100" s="159">
        <v>1</v>
      </c>
      <c r="J100" s="159">
        <v>1</v>
      </c>
      <c r="K100" s="159">
        <v>9</v>
      </c>
      <c r="L100" s="159">
        <v>6</v>
      </c>
      <c r="M100" s="159">
        <v>0</v>
      </c>
      <c r="N100" s="160">
        <f t="shared" si="2"/>
        <v>610</v>
      </c>
      <c r="O100" s="159">
        <v>0</v>
      </c>
      <c r="P100" s="159">
        <v>6</v>
      </c>
      <c r="Q100" s="159">
        <f t="shared" si="3"/>
        <v>616</v>
      </c>
      <c r="R100" s="159">
        <v>0</v>
      </c>
    </row>
    <row r="101" spans="1:18" ht="22.5">
      <c r="A101" s="41">
        <v>92</v>
      </c>
      <c r="B101" s="61" t="s">
        <v>217</v>
      </c>
      <c r="C101" s="159">
        <v>1</v>
      </c>
      <c r="D101" s="159">
        <v>422</v>
      </c>
      <c r="E101" s="159">
        <v>8</v>
      </c>
      <c r="F101" s="159">
        <v>5</v>
      </c>
      <c r="G101" s="159">
        <v>0</v>
      </c>
      <c r="H101" s="159">
        <v>1</v>
      </c>
      <c r="I101" s="159">
        <v>0</v>
      </c>
      <c r="J101" s="159">
        <v>0</v>
      </c>
      <c r="K101" s="159">
        <v>20</v>
      </c>
      <c r="L101" s="159">
        <v>6</v>
      </c>
      <c r="M101" s="159">
        <v>1</v>
      </c>
      <c r="N101" s="160">
        <f t="shared" si="2"/>
        <v>464</v>
      </c>
      <c r="O101" s="159">
        <v>0</v>
      </c>
      <c r="P101" s="159">
        <v>0</v>
      </c>
      <c r="Q101" s="159">
        <f t="shared" si="3"/>
        <v>464</v>
      </c>
      <c r="R101" s="159">
        <v>0</v>
      </c>
    </row>
    <row r="102" spans="1:18" ht="22.5">
      <c r="A102" s="41">
        <v>93</v>
      </c>
      <c r="B102" s="61" t="s">
        <v>218</v>
      </c>
      <c r="C102" s="159">
        <v>4</v>
      </c>
      <c r="D102" s="159">
        <v>479</v>
      </c>
      <c r="E102" s="159">
        <v>167</v>
      </c>
      <c r="F102" s="159">
        <v>9</v>
      </c>
      <c r="G102" s="159">
        <v>0</v>
      </c>
      <c r="H102" s="159">
        <v>0</v>
      </c>
      <c r="I102" s="159">
        <v>0</v>
      </c>
      <c r="J102" s="159">
        <v>1</v>
      </c>
      <c r="K102" s="159">
        <v>7</v>
      </c>
      <c r="L102" s="159">
        <v>3</v>
      </c>
      <c r="M102" s="159">
        <v>1</v>
      </c>
      <c r="N102" s="160">
        <f t="shared" si="2"/>
        <v>671</v>
      </c>
      <c r="O102" s="159">
        <v>0</v>
      </c>
      <c r="P102" s="159">
        <v>2</v>
      </c>
      <c r="Q102" s="159">
        <f t="shared" si="3"/>
        <v>673</v>
      </c>
      <c r="R102" s="159">
        <v>0</v>
      </c>
    </row>
    <row r="103" spans="1:18" ht="22.5">
      <c r="A103" s="41">
        <v>94</v>
      </c>
      <c r="B103" s="61" t="s">
        <v>219</v>
      </c>
      <c r="C103" s="159">
        <v>6</v>
      </c>
      <c r="D103" s="159">
        <v>229</v>
      </c>
      <c r="E103" s="159">
        <v>273</v>
      </c>
      <c r="F103" s="159">
        <v>2</v>
      </c>
      <c r="G103" s="159">
        <v>0</v>
      </c>
      <c r="H103" s="159">
        <v>1</v>
      </c>
      <c r="I103" s="159">
        <v>0</v>
      </c>
      <c r="J103" s="159">
        <v>0</v>
      </c>
      <c r="K103" s="159">
        <v>25</v>
      </c>
      <c r="L103" s="159">
        <v>2</v>
      </c>
      <c r="M103" s="159">
        <v>1</v>
      </c>
      <c r="N103" s="160">
        <f t="shared" si="2"/>
        <v>539</v>
      </c>
      <c r="O103" s="159">
        <v>0</v>
      </c>
      <c r="P103" s="159">
        <v>3</v>
      </c>
      <c r="Q103" s="159">
        <f t="shared" si="3"/>
        <v>542</v>
      </c>
      <c r="R103" s="159">
        <v>0</v>
      </c>
    </row>
    <row r="104" spans="1:18" ht="22.5">
      <c r="A104" s="41">
        <v>95</v>
      </c>
      <c r="B104" s="61" t="s">
        <v>220</v>
      </c>
      <c r="C104" s="159">
        <v>126</v>
      </c>
      <c r="D104" s="159">
        <v>374</v>
      </c>
      <c r="E104" s="159">
        <v>154</v>
      </c>
      <c r="F104" s="159">
        <v>15</v>
      </c>
      <c r="G104" s="159">
        <v>1</v>
      </c>
      <c r="H104" s="159">
        <v>1</v>
      </c>
      <c r="I104" s="159">
        <v>0</v>
      </c>
      <c r="J104" s="159">
        <v>0</v>
      </c>
      <c r="K104" s="159">
        <v>24</v>
      </c>
      <c r="L104" s="159">
        <v>0</v>
      </c>
      <c r="M104" s="159">
        <v>1</v>
      </c>
      <c r="N104" s="160">
        <f t="shared" si="2"/>
        <v>696</v>
      </c>
      <c r="O104" s="159">
        <v>0</v>
      </c>
      <c r="P104" s="159">
        <v>0</v>
      </c>
      <c r="Q104" s="159">
        <f t="shared" si="3"/>
        <v>696</v>
      </c>
      <c r="R104" s="159">
        <v>0</v>
      </c>
    </row>
    <row r="105" spans="1:18" ht="22.5">
      <c r="A105" s="41">
        <v>96</v>
      </c>
      <c r="B105" s="61" t="s">
        <v>221</v>
      </c>
      <c r="C105" s="159">
        <v>2</v>
      </c>
      <c r="D105" s="159">
        <v>428</v>
      </c>
      <c r="E105" s="159">
        <v>15</v>
      </c>
      <c r="F105" s="159">
        <v>4</v>
      </c>
      <c r="G105" s="159">
        <v>0</v>
      </c>
      <c r="H105" s="159">
        <v>0</v>
      </c>
      <c r="I105" s="159">
        <v>0</v>
      </c>
      <c r="J105" s="159">
        <v>0</v>
      </c>
      <c r="K105" s="159">
        <v>13</v>
      </c>
      <c r="L105" s="159">
        <v>0</v>
      </c>
      <c r="M105" s="159">
        <v>1</v>
      </c>
      <c r="N105" s="160">
        <f t="shared" si="2"/>
        <v>463</v>
      </c>
      <c r="O105" s="159">
        <v>0</v>
      </c>
      <c r="P105" s="159">
        <v>0</v>
      </c>
      <c r="Q105" s="159">
        <f t="shared" si="3"/>
        <v>463</v>
      </c>
      <c r="R105" s="159">
        <v>0</v>
      </c>
    </row>
    <row r="106" spans="1:18" ht="22.5">
      <c r="A106" s="41">
        <v>97</v>
      </c>
      <c r="B106" s="61" t="s">
        <v>222</v>
      </c>
      <c r="C106" s="159">
        <v>0</v>
      </c>
      <c r="D106" s="159">
        <v>243</v>
      </c>
      <c r="E106" s="159">
        <v>81</v>
      </c>
      <c r="F106" s="159">
        <v>2</v>
      </c>
      <c r="G106" s="159">
        <v>0</v>
      </c>
      <c r="H106" s="159">
        <v>0</v>
      </c>
      <c r="I106" s="159">
        <v>1</v>
      </c>
      <c r="J106" s="159">
        <v>0</v>
      </c>
      <c r="K106" s="159">
        <v>4</v>
      </c>
      <c r="L106" s="159">
        <v>3</v>
      </c>
      <c r="M106" s="159">
        <v>0</v>
      </c>
      <c r="N106" s="160">
        <f t="shared" si="2"/>
        <v>334</v>
      </c>
      <c r="O106" s="159">
        <v>0</v>
      </c>
      <c r="P106" s="159">
        <v>1</v>
      </c>
      <c r="Q106" s="159">
        <f t="shared" si="3"/>
        <v>335</v>
      </c>
      <c r="R106" s="159">
        <v>0</v>
      </c>
    </row>
    <row r="107" spans="1:18" ht="22.5">
      <c r="A107" s="41">
        <v>98</v>
      </c>
      <c r="B107" s="61" t="s">
        <v>223</v>
      </c>
      <c r="C107" s="159">
        <v>3</v>
      </c>
      <c r="D107" s="159">
        <v>119</v>
      </c>
      <c r="E107" s="159">
        <v>340</v>
      </c>
      <c r="F107" s="159">
        <v>10</v>
      </c>
      <c r="G107" s="159">
        <v>1</v>
      </c>
      <c r="H107" s="159">
        <v>0</v>
      </c>
      <c r="I107" s="159">
        <v>1</v>
      </c>
      <c r="J107" s="159">
        <v>0</v>
      </c>
      <c r="K107" s="159">
        <v>2</v>
      </c>
      <c r="L107" s="159">
        <v>5</v>
      </c>
      <c r="M107" s="159">
        <v>1</v>
      </c>
      <c r="N107" s="160">
        <f t="shared" si="2"/>
        <v>482</v>
      </c>
      <c r="O107" s="159">
        <v>0</v>
      </c>
      <c r="P107" s="159">
        <v>3</v>
      </c>
      <c r="Q107" s="159">
        <f t="shared" si="3"/>
        <v>485</v>
      </c>
      <c r="R107" s="159">
        <v>0</v>
      </c>
    </row>
    <row r="108" spans="1:18" ht="22.5">
      <c r="A108" s="41">
        <v>99</v>
      </c>
      <c r="B108" s="61" t="s">
        <v>224</v>
      </c>
      <c r="C108" s="159">
        <v>5</v>
      </c>
      <c r="D108" s="159">
        <v>557</v>
      </c>
      <c r="E108" s="159">
        <v>14</v>
      </c>
      <c r="F108" s="159">
        <v>3</v>
      </c>
      <c r="G108" s="159">
        <v>1</v>
      </c>
      <c r="H108" s="159">
        <v>0</v>
      </c>
      <c r="I108" s="159">
        <v>0</v>
      </c>
      <c r="J108" s="159">
        <v>1</v>
      </c>
      <c r="K108" s="159">
        <v>54</v>
      </c>
      <c r="L108" s="159">
        <v>1</v>
      </c>
      <c r="M108" s="159">
        <v>1</v>
      </c>
      <c r="N108" s="160">
        <f t="shared" si="2"/>
        <v>637</v>
      </c>
      <c r="O108" s="159">
        <v>0</v>
      </c>
      <c r="P108" s="159">
        <v>0</v>
      </c>
      <c r="Q108" s="159">
        <f t="shared" si="3"/>
        <v>637</v>
      </c>
      <c r="R108" s="159">
        <v>0</v>
      </c>
    </row>
    <row r="109" spans="1:18" ht="22.5">
      <c r="A109" s="41">
        <v>100</v>
      </c>
      <c r="B109" s="61" t="s">
        <v>225</v>
      </c>
      <c r="C109" s="159">
        <v>1</v>
      </c>
      <c r="D109" s="159">
        <v>602</v>
      </c>
      <c r="E109" s="159">
        <v>7</v>
      </c>
      <c r="F109" s="159">
        <v>4</v>
      </c>
      <c r="G109" s="159">
        <v>0</v>
      </c>
      <c r="H109" s="159">
        <v>0</v>
      </c>
      <c r="I109" s="159">
        <v>0</v>
      </c>
      <c r="J109" s="159">
        <v>1</v>
      </c>
      <c r="K109" s="159">
        <v>27</v>
      </c>
      <c r="L109" s="159">
        <v>2</v>
      </c>
      <c r="M109" s="159">
        <v>2</v>
      </c>
      <c r="N109" s="160">
        <f t="shared" si="2"/>
        <v>646</v>
      </c>
      <c r="O109" s="159">
        <v>0</v>
      </c>
      <c r="P109" s="159">
        <v>2</v>
      </c>
      <c r="Q109" s="159">
        <f t="shared" si="3"/>
        <v>648</v>
      </c>
      <c r="R109" s="159">
        <v>0</v>
      </c>
    </row>
    <row r="110" spans="1:18" ht="22.5">
      <c r="A110" s="41">
        <v>101</v>
      </c>
      <c r="B110" s="61" t="s">
        <v>226</v>
      </c>
      <c r="C110" s="159">
        <v>2</v>
      </c>
      <c r="D110" s="159">
        <v>600</v>
      </c>
      <c r="E110" s="159">
        <v>4</v>
      </c>
      <c r="F110" s="159">
        <v>4</v>
      </c>
      <c r="G110" s="159">
        <v>0</v>
      </c>
      <c r="H110" s="159">
        <v>0</v>
      </c>
      <c r="I110" s="159">
        <v>1</v>
      </c>
      <c r="J110" s="159">
        <v>0</v>
      </c>
      <c r="K110" s="159">
        <v>13</v>
      </c>
      <c r="L110" s="159">
        <v>0</v>
      </c>
      <c r="M110" s="159">
        <v>1</v>
      </c>
      <c r="N110" s="160">
        <f t="shared" si="2"/>
        <v>625</v>
      </c>
      <c r="O110" s="159">
        <v>0</v>
      </c>
      <c r="P110" s="159">
        <v>0</v>
      </c>
      <c r="Q110" s="159">
        <f t="shared" si="3"/>
        <v>625</v>
      </c>
      <c r="R110" s="159">
        <v>0</v>
      </c>
    </row>
    <row r="111" spans="1:18" ht="22.5">
      <c r="A111" s="41">
        <v>102</v>
      </c>
      <c r="B111" s="61" t="s">
        <v>227</v>
      </c>
      <c r="C111" s="159">
        <v>3</v>
      </c>
      <c r="D111" s="159">
        <v>556</v>
      </c>
      <c r="E111" s="159">
        <v>9</v>
      </c>
      <c r="F111" s="159">
        <v>7</v>
      </c>
      <c r="G111" s="159">
        <v>0</v>
      </c>
      <c r="H111" s="159">
        <v>0</v>
      </c>
      <c r="I111" s="159">
        <v>0</v>
      </c>
      <c r="J111" s="159">
        <v>0</v>
      </c>
      <c r="K111" s="159">
        <v>16</v>
      </c>
      <c r="L111" s="159">
        <v>3</v>
      </c>
      <c r="M111" s="159">
        <v>0</v>
      </c>
      <c r="N111" s="160">
        <f t="shared" si="2"/>
        <v>594</v>
      </c>
      <c r="O111" s="159">
        <v>0</v>
      </c>
      <c r="P111" s="159">
        <v>0</v>
      </c>
      <c r="Q111" s="159">
        <f t="shared" si="3"/>
        <v>594</v>
      </c>
      <c r="R111" s="159">
        <v>0</v>
      </c>
    </row>
    <row r="112" spans="1:18" ht="22.5">
      <c r="A112" s="41">
        <v>103</v>
      </c>
      <c r="B112" s="61" t="s">
        <v>228</v>
      </c>
      <c r="C112" s="159">
        <v>0</v>
      </c>
      <c r="D112" s="159">
        <v>494</v>
      </c>
      <c r="E112" s="159">
        <v>47</v>
      </c>
      <c r="F112" s="159">
        <v>3</v>
      </c>
      <c r="G112" s="159">
        <v>0</v>
      </c>
      <c r="H112" s="159">
        <v>0</v>
      </c>
      <c r="I112" s="159">
        <v>1</v>
      </c>
      <c r="J112" s="159">
        <v>0</v>
      </c>
      <c r="K112" s="159">
        <v>16</v>
      </c>
      <c r="L112" s="159">
        <v>1</v>
      </c>
      <c r="M112" s="159">
        <v>2</v>
      </c>
      <c r="N112" s="160">
        <f t="shared" si="2"/>
        <v>564</v>
      </c>
      <c r="O112" s="159">
        <v>0</v>
      </c>
      <c r="P112" s="159">
        <v>2</v>
      </c>
      <c r="Q112" s="159">
        <f t="shared" si="3"/>
        <v>566</v>
      </c>
      <c r="R112" s="159">
        <v>0</v>
      </c>
    </row>
    <row r="113" spans="1:18" ht="22.5">
      <c r="A113" s="41">
        <v>104</v>
      </c>
      <c r="B113" s="61" t="s">
        <v>229</v>
      </c>
      <c r="C113" s="159">
        <v>8</v>
      </c>
      <c r="D113" s="159">
        <v>551</v>
      </c>
      <c r="E113" s="159">
        <v>83</v>
      </c>
      <c r="F113" s="159">
        <v>6</v>
      </c>
      <c r="G113" s="159">
        <v>0</v>
      </c>
      <c r="H113" s="159">
        <v>0</v>
      </c>
      <c r="I113" s="159">
        <v>0</v>
      </c>
      <c r="J113" s="159">
        <v>0</v>
      </c>
      <c r="K113" s="159">
        <v>16</v>
      </c>
      <c r="L113" s="159">
        <v>15</v>
      </c>
      <c r="M113" s="159">
        <v>7</v>
      </c>
      <c r="N113" s="160">
        <f t="shared" si="2"/>
        <v>686</v>
      </c>
      <c r="O113" s="159">
        <v>0</v>
      </c>
      <c r="P113" s="159">
        <v>6</v>
      </c>
      <c r="Q113" s="159">
        <f t="shared" si="3"/>
        <v>692</v>
      </c>
      <c r="R113" s="159">
        <v>0</v>
      </c>
    </row>
    <row r="114" spans="1:18">
      <c r="A114" s="41">
        <v>105</v>
      </c>
      <c r="B114" s="61" t="s">
        <v>230</v>
      </c>
      <c r="C114" s="159">
        <v>7</v>
      </c>
      <c r="D114" s="159">
        <v>660</v>
      </c>
      <c r="E114" s="159">
        <v>8</v>
      </c>
      <c r="F114" s="159">
        <v>2</v>
      </c>
      <c r="G114" s="159">
        <v>0</v>
      </c>
      <c r="H114" s="159">
        <v>0</v>
      </c>
      <c r="I114" s="159">
        <v>0</v>
      </c>
      <c r="J114" s="159">
        <v>0</v>
      </c>
      <c r="K114" s="159">
        <v>2</v>
      </c>
      <c r="L114" s="159">
        <v>2</v>
      </c>
      <c r="M114" s="159">
        <v>0</v>
      </c>
      <c r="N114" s="160">
        <f t="shared" si="2"/>
        <v>681</v>
      </c>
      <c r="O114" s="159">
        <v>0</v>
      </c>
      <c r="P114" s="159">
        <v>0</v>
      </c>
      <c r="Q114" s="159">
        <f t="shared" si="3"/>
        <v>681</v>
      </c>
      <c r="R114" s="159">
        <v>0</v>
      </c>
    </row>
    <row r="115" spans="1:18">
      <c r="A115" s="41">
        <v>106</v>
      </c>
      <c r="B115" s="61" t="s">
        <v>231</v>
      </c>
      <c r="C115" s="159">
        <v>2</v>
      </c>
      <c r="D115" s="159">
        <v>40</v>
      </c>
      <c r="E115" s="159">
        <v>111</v>
      </c>
      <c r="F115" s="159">
        <v>0</v>
      </c>
      <c r="G115" s="159">
        <v>0</v>
      </c>
      <c r="H115" s="159">
        <v>0</v>
      </c>
      <c r="I115" s="159">
        <v>0</v>
      </c>
      <c r="J115" s="159">
        <v>0</v>
      </c>
      <c r="K115" s="159">
        <v>0</v>
      </c>
      <c r="L115" s="159">
        <v>0</v>
      </c>
      <c r="M115" s="159">
        <v>1</v>
      </c>
      <c r="N115" s="160">
        <f t="shared" si="2"/>
        <v>154</v>
      </c>
      <c r="O115" s="159">
        <v>0</v>
      </c>
      <c r="P115" s="159">
        <v>0</v>
      </c>
      <c r="Q115" s="159">
        <f t="shared" si="3"/>
        <v>154</v>
      </c>
      <c r="R115" s="159">
        <v>0</v>
      </c>
    </row>
    <row r="116" spans="1:18">
      <c r="A116" s="41">
        <v>107</v>
      </c>
      <c r="B116" s="61" t="s">
        <v>232</v>
      </c>
      <c r="C116" s="159">
        <v>3</v>
      </c>
      <c r="D116" s="159">
        <v>486</v>
      </c>
      <c r="E116" s="159">
        <v>15</v>
      </c>
      <c r="F116" s="159">
        <v>0</v>
      </c>
      <c r="G116" s="159">
        <v>0</v>
      </c>
      <c r="H116" s="159">
        <v>0</v>
      </c>
      <c r="I116" s="159">
        <v>0</v>
      </c>
      <c r="J116" s="159">
        <v>1</v>
      </c>
      <c r="K116" s="159">
        <v>2</v>
      </c>
      <c r="L116" s="159">
        <v>0</v>
      </c>
      <c r="M116" s="159">
        <v>1</v>
      </c>
      <c r="N116" s="160">
        <f t="shared" si="2"/>
        <v>508</v>
      </c>
      <c r="O116" s="159">
        <v>0</v>
      </c>
      <c r="P116" s="159">
        <v>1</v>
      </c>
      <c r="Q116" s="159">
        <f t="shared" si="3"/>
        <v>509</v>
      </c>
      <c r="R116" s="159">
        <v>0</v>
      </c>
    </row>
    <row r="117" spans="1:18">
      <c r="A117" s="41">
        <v>108</v>
      </c>
      <c r="B117" s="61" t="s">
        <v>233</v>
      </c>
      <c r="C117" s="159">
        <v>3</v>
      </c>
      <c r="D117" s="159">
        <v>474</v>
      </c>
      <c r="E117" s="159">
        <v>15</v>
      </c>
      <c r="F117" s="159">
        <v>2</v>
      </c>
      <c r="G117" s="159">
        <v>0</v>
      </c>
      <c r="H117" s="159">
        <v>0</v>
      </c>
      <c r="I117" s="159">
        <v>0</v>
      </c>
      <c r="J117" s="159">
        <v>0</v>
      </c>
      <c r="K117" s="159">
        <v>0</v>
      </c>
      <c r="L117" s="159">
        <v>2</v>
      </c>
      <c r="M117" s="159">
        <v>2</v>
      </c>
      <c r="N117" s="160">
        <f t="shared" si="2"/>
        <v>498</v>
      </c>
      <c r="O117" s="159">
        <v>0</v>
      </c>
      <c r="P117" s="159">
        <v>0</v>
      </c>
      <c r="Q117" s="159">
        <f t="shared" si="3"/>
        <v>498</v>
      </c>
      <c r="R117" s="159">
        <v>0</v>
      </c>
    </row>
    <row r="118" spans="1:18">
      <c r="A118" s="41">
        <v>109</v>
      </c>
      <c r="B118" s="61" t="s">
        <v>234</v>
      </c>
      <c r="C118" s="159">
        <v>0</v>
      </c>
      <c r="D118" s="159">
        <v>39</v>
      </c>
      <c r="E118" s="159">
        <v>269</v>
      </c>
      <c r="F118" s="159">
        <v>1</v>
      </c>
      <c r="G118" s="159">
        <v>0</v>
      </c>
      <c r="H118" s="159">
        <v>0</v>
      </c>
      <c r="I118" s="159">
        <v>0</v>
      </c>
      <c r="J118" s="159">
        <v>0</v>
      </c>
      <c r="K118" s="159">
        <v>0</v>
      </c>
      <c r="L118" s="159">
        <v>1</v>
      </c>
      <c r="M118" s="159">
        <v>0</v>
      </c>
      <c r="N118" s="160">
        <f t="shared" si="2"/>
        <v>310</v>
      </c>
      <c r="O118" s="159">
        <v>0</v>
      </c>
      <c r="P118" s="159">
        <v>0</v>
      </c>
      <c r="Q118" s="159">
        <f t="shared" si="3"/>
        <v>310</v>
      </c>
      <c r="R118" s="159">
        <v>0</v>
      </c>
    </row>
    <row r="119" spans="1:18">
      <c r="A119" s="41">
        <v>110</v>
      </c>
      <c r="B119" s="61" t="s">
        <v>235</v>
      </c>
      <c r="C119" s="159">
        <v>84</v>
      </c>
      <c r="D119" s="159">
        <v>119</v>
      </c>
      <c r="E119" s="159">
        <v>305</v>
      </c>
      <c r="F119" s="159">
        <v>3</v>
      </c>
      <c r="G119" s="159">
        <v>0</v>
      </c>
      <c r="H119" s="159">
        <v>1</v>
      </c>
      <c r="I119" s="159">
        <v>1</v>
      </c>
      <c r="J119" s="159">
        <v>1</v>
      </c>
      <c r="K119" s="159">
        <v>1</v>
      </c>
      <c r="L119" s="159">
        <v>1</v>
      </c>
      <c r="M119" s="159">
        <v>1</v>
      </c>
      <c r="N119" s="160">
        <f t="shared" si="2"/>
        <v>517</v>
      </c>
      <c r="O119" s="159">
        <v>0</v>
      </c>
      <c r="P119" s="159">
        <v>2</v>
      </c>
      <c r="Q119" s="159">
        <f t="shared" si="3"/>
        <v>519</v>
      </c>
      <c r="R119" s="159">
        <v>0</v>
      </c>
    </row>
    <row r="120" spans="1:18">
      <c r="A120" s="41">
        <v>111</v>
      </c>
      <c r="B120" s="61" t="s">
        <v>236</v>
      </c>
      <c r="C120" s="159">
        <v>166</v>
      </c>
      <c r="D120" s="159">
        <v>137</v>
      </c>
      <c r="E120" s="159">
        <v>196</v>
      </c>
      <c r="F120" s="159">
        <v>4</v>
      </c>
      <c r="G120" s="159">
        <v>1</v>
      </c>
      <c r="H120" s="159">
        <v>0</v>
      </c>
      <c r="I120" s="159">
        <v>1</v>
      </c>
      <c r="J120" s="159">
        <v>1</v>
      </c>
      <c r="K120" s="159">
        <v>1</v>
      </c>
      <c r="L120" s="159">
        <v>4</v>
      </c>
      <c r="M120" s="159">
        <v>4</v>
      </c>
      <c r="N120" s="160">
        <f t="shared" si="2"/>
        <v>515</v>
      </c>
      <c r="O120" s="159">
        <v>0</v>
      </c>
      <c r="P120" s="159">
        <v>9</v>
      </c>
      <c r="Q120" s="159">
        <f t="shared" si="3"/>
        <v>524</v>
      </c>
      <c r="R120" s="159">
        <v>0</v>
      </c>
    </row>
    <row r="121" spans="1:18" ht="22.5">
      <c r="A121" s="41">
        <v>112</v>
      </c>
      <c r="B121" s="61" t="s">
        <v>237</v>
      </c>
      <c r="C121" s="159">
        <v>35</v>
      </c>
      <c r="D121" s="159">
        <v>154</v>
      </c>
      <c r="E121" s="159">
        <v>263</v>
      </c>
      <c r="F121" s="159">
        <v>5</v>
      </c>
      <c r="G121" s="159">
        <v>1</v>
      </c>
      <c r="H121" s="159">
        <v>0</v>
      </c>
      <c r="I121" s="159">
        <v>0</v>
      </c>
      <c r="J121" s="159">
        <v>0</v>
      </c>
      <c r="K121" s="159">
        <v>0</v>
      </c>
      <c r="L121" s="159">
        <v>1</v>
      </c>
      <c r="M121" s="159">
        <v>0</v>
      </c>
      <c r="N121" s="160">
        <f t="shared" si="2"/>
        <v>459</v>
      </c>
      <c r="O121" s="159">
        <v>0</v>
      </c>
      <c r="P121" s="159">
        <v>2</v>
      </c>
      <c r="Q121" s="159">
        <f t="shared" si="3"/>
        <v>461</v>
      </c>
      <c r="R121" s="159">
        <v>0</v>
      </c>
    </row>
    <row r="122" spans="1:18" ht="22.5">
      <c r="A122" s="41">
        <v>113</v>
      </c>
      <c r="B122" s="61" t="s">
        <v>238</v>
      </c>
      <c r="C122" s="159">
        <v>11</v>
      </c>
      <c r="D122" s="159">
        <v>153</v>
      </c>
      <c r="E122" s="159">
        <v>276</v>
      </c>
      <c r="F122" s="159">
        <v>0</v>
      </c>
      <c r="G122" s="159">
        <v>3</v>
      </c>
      <c r="H122" s="159">
        <v>1</v>
      </c>
      <c r="I122" s="159">
        <v>0</v>
      </c>
      <c r="J122" s="159">
        <v>0</v>
      </c>
      <c r="K122" s="159">
        <v>0</v>
      </c>
      <c r="L122" s="159">
        <v>0</v>
      </c>
      <c r="M122" s="159">
        <v>0</v>
      </c>
      <c r="N122" s="160">
        <f t="shared" si="2"/>
        <v>444</v>
      </c>
      <c r="O122" s="159">
        <v>0</v>
      </c>
      <c r="P122" s="159">
        <v>1</v>
      </c>
      <c r="Q122" s="159">
        <f t="shared" si="3"/>
        <v>445</v>
      </c>
      <c r="R122" s="159">
        <v>0</v>
      </c>
    </row>
    <row r="123" spans="1:18" ht="22.5">
      <c r="A123" s="41">
        <v>114</v>
      </c>
      <c r="B123" s="61" t="s">
        <v>239</v>
      </c>
      <c r="C123" s="159">
        <v>9</v>
      </c>
      <c r="D123" s="159">
        <v>123</v>
      </c>
      <c r="E123" s="159">
        <v>331</v>
      </c>
      <c r="F123" s="159">
        <v>0</v>
      </c>
      <c r="G123" s="159">
        <v>1</v>
      </c>
      <c r="H123" s="159">
        <v>0</v>
      </c>
      <c r="I123" s="159">
        <v>0</v>
      </c>
      <c r="J123" s="159">
        <v>0</v>
      </c>
      <c r="K123" s="159">
        <v>0</v>
      </c>
      <c r="L123" s="159">
        <v>0</v>
      </c>
      <c r="M123" s="159">
        <v>0</v>
      </c>
      <c r="N123" s="160">
        <f t="shared" si="2"/>
        <v>464</v>
      </c>
      <c r="O123" s="159">
        <v>0</v>
      </c>
      <c r="P123" s="159">
        <v>1</v>
      </c>
      <c r="Q123" s="159">
        <f t="shared" si="3"/>
        <v>465</v>
      </c>
      <c r="R123" s="159">
        <v>0</v>
      </c>
    </row>
    <row r="124" spans="1:18" ht="22.5">
      <c r="A124" s="41">
        <v>115</v>
      </c>
      <c r="B124" s="61" t="s">
        <v>240</v>
      </c>
      <c r="C124" s="159">
        <v>11</v>
      </c>
      <c r="D124" s="159">
        <v>92</v>
      </c>
      <c r="E124" s="159">
        <v>347</v>
      </c>
      <c r="F124" s="159">
        <v>0</v>
      </c>
      <c r="G124" s="159">
        <v>1</v>
      </c>
      <c r="H124" s="159">
        <v>0</v>
      </c>
      <c r="I124" s="159">
        <v>0</v>
      </c>
      <c r="J124" s="159">
        <v>0</v>
      </c>
      <c r="K124" s="159">
        <v>0</v>
      </c>
      <c r="L124" s="159">
        <v>0</v>
      </c>
      <c r="M124" s="159">
        <v>0</v>
      </c>
      <c r="N124" s="160">
        <f t="shared" si="2"/>
        <v>451</v>
      </c>
      <c r="O124" s="159">
        <v>0</v>
      </c>
      <c r="P124" s="159">
        <v>2</v>
      </c>
      <c r="Q124" s="159">
        <f t="shared" si="3"/>
        <v>453</v>
      </c>
      <c r="R124" s="159">
        <v>0</v>
      </c>
    </row>
    <row r="125" spans="1:18">
      <c r="A125" s="41">
        <v>116</v>
      </c>
      <c r="B125" s="61" t="s">
        <v>241</v>
      </c>
      <c r="C125" s="159">
        <v>31</v>
      </c>
      <c r="D125" s="159">
        <v>429</v>
      </c>
      <c r="E125" s="159">
        <v>128</v>
      </c>
      <c r="F125" s="159">
        <v>1</v>
      </c>
      <c r="G125" s="159">
        <v>2</v>
      </c>
      <c r="H125" s="159">
        <v>0</v>
      </c>
      <c r="I125" s="159">
        <v>0</v>
      </c>
      <c r="J125" s="159">
        <v>2</v>
      </c>
      <c r="K125" s="159">
        <v>7</v>
      </c>
      <c r="L125" s="159">
        <v>1</v>
      </c>
      <c r="M125" s="159">
        <v>3</v>
      </c>
      <c r="N125" s="160">
        <f t="shared" si="2"/>
        <v>604</v>
      </c>
      <c r="O125" s="159">
        <v>0</v>
      </c>
      <c r="P125" s="159">
        <v>5</v>
      </c>
      <c r="Q125" s="159">
        <f t="shared" si="3"/>
        <v>609</v>
      </c>
      <c r="R125" s="159">
        <v>0</v>
      </c>
    </row>
    <row r="126" spans="1:18">
      <c r="A126" s="41">
        <v>117</v>
      </c>
      <c r="B126" s="61" t="s">
        <v>242</v>
      </c>
      <c r="C126" s="159">
        <v>15</v>
      </c>
      <c r="D126" s="159">
        <v>169</v>
      </c>
      <c r="E126" s="159">
        <v>510</v>
      </c>
      <c r="F126" s="159">
        <v>3</v>
      </c>
      <c r="G126" s="159">
        <v>1</v>
      </c>
      <c r="H126" s="159">
        <v>0</v>
      </c>
      <c r="I126" s="159">
        <v>0</v>
      </c>
      <c r="J126" s="159">
        <v>0</v>
      </c>
      <c r="K126" s="159">
        <v>1</v>
      </c>
      <c r="L126" s="159">
        <v>1</v>
      </c>
      <c r="M126" s="159">
        <v>2</v>
      </c>
      <c r="N126" s="160">
        <f t="shared" si="2"/>
        <v>702</v>
      </c>
      <c r="O126" s="159">
        <v>0</v>
      </c>
      <c r="P126" s="159">
        <v>0</v>
      </c>
      <c r="Q126" s="159">
        <f t="shared" si="3"/>
        <v>702</v>
      </c>
      <c r="R126" s="159">
        <v>0</v>
      </c>
    </row>
    <row r="127" spans="1:18">
      <c r="A127" s="41">
        <v>118</v>
      </c>
      <c r="B127" s="61" t="s">
        <v>243</v>
      </c>
      <c r="C127" s="159">
        <v>8</v>
      </c>
      <c r="D127" s="159">
        <v>365</v>
      </c>
      <c r="E127" s="159">
        <v>111</v>
      </c>
      <c r="F127" s="159">
        <v>1</v>
      </c>
      <c r="G127" s="159">
        <v>2</v>
      </c>
      <c r="H127" s="159">
        <v>0</v>
      </c>
      <c r="I127" s="159">
        <v>0</v>
      </c>
      <c r="J127" s="159">
        <v>5</v>
      </c>
      <c r="K127" s="159">
        <v>0</v>
      </c>
      <c r="L127" s="159">
        <v>2</v>
      </c>
      <c r="M127" s="159">
        <v>0</v>
      </c>
      <c r="N127" s="160">
        <f t="shared" si="2"/>
        <v>494</v>
      </c>
      <c r="O127" s="159">
        <v>0</v>
      </c>
      <c r="P127" s="159">
        <v>2</v>
      </c>
      <c r="Q127" s="159">
        <f t="shared" si="3"/>
        <v>496</v>
      </c>
      <c r="R127" s="159">
        <v>0</v>
      </c>
    </row>
    <row r="128" spans="1:18">
      <c r="A128" s="41">
        <v>119</v>
      </c>
      <c r="B128" s="61" t="s">
        <v>244</v>
      </c>
      <c r="C128" s="159">
        <v>6</v>
      </c>
      <c r="D128" s="159">
        <v>395</v>
      </c>
      <c r="E128" s="159">
        <v>67</v>
      </c>
      <c r="F128" s="159">
        <v>1</v>
      </c>
      <c r="G128" s="159">
        <v>0</v>
      </c>
      <c r="H128" s="159">
        <v>0</v>
      </c>
      <c r="I128" s="159">
        <v>1</v>
      </c>
      <c r="J128" s="159">
        <v>0</v>
      </c>
      <c r="K128" s="159">
        <v>1</v>
      </c>
      <c r="L128" s="159">
        <v>5</v>
      </c>
      <c r="M128" s="159">
        <v>1</v>
      </c>
      <c r="N128" s="160">
        <f t="shared" si="2"/>
        <v>477</v>
      </c>
      <c r="O128" s="159">
        <v>0</v>
      </c>
      <c r="P128" s="159">
        <v>4</v>
      </c>
      <c r="Q128" s="159">
        <f t="shared" si="3"/>
        <v>481</v>
      </c>
      <c r="R128" s="159">
        <v>0</v>
      </c>
    </row>
    <row r="129" spans="1:18">
      <c r="A129" s="41">
        <v>120</v>
      </c>
      <c r="B129" s="61" t="s">
        <v>245</v>
      </c>
      <c r="C129" s="159">
        <v>61</v>
      </c>
      <c r="D129" s="159">
        <v>277</v>
      </c>
      <c r="E129" s="159">
        <v>67</v>
      </c>
      <c r="F129" s="159">
        <v>3</v>
      </c>
      <c r="G129" s="159">
        <v>2</v>
      </c>
      <c r="H129" s="159">
        <v>0</v>
      </c>
      <c r="I129" s="159">
        <v>1</v>
      </c>
      <c r="J129" s="159">
        <v>2</v>
      </c>
      <c r="K129" s="159">
        <v>1</v>
      </c>
      <c r="L129" s="159">
        <v>1</v>
      </c>
      <c r="M129" s="159">
        <v>4</v>
      </c>
      <c r="N129" s="160">
        <f t="shared" si="2"/>
        <v>419</v>
      </c>
      <c r="O129" s="159">
        <v>0</v>
      </c>
      <c r="P129" s="159">
        <v>5</v>
      </c>
      <c r="Q129" s="159">
        <f t="shared" si="3"/>
        <v>424</v>
      </c>
      <c r="R129" s="159">
        <v>0</v>
      </c>
    </row>
    <row r="130" spans="1:18">
      <c r="A130" s="41">
        <v>121</v>
      </c>
      <c r="B130" s="61" t="s">
        <v>246</v>
      </c>
      <c r="C130" s="159">
        <v>46</v>
      </c>
      <c r="D130" s="159">
        <v>68</v>
      </c>
      <c r="E130" s="159">
        <v>438</v>
      </c>
      <c r="F130" s="159">
        <v>3</v>
      </c>
      <c r="G130" s="159">
        <v>0</v>
      </c>
      <c r="H130" s="159">
        <v>0</v>
      </c>
      <c r="I130" s="159">
        <v>0</v>
      </c>
      <c r="J130" s="159">
        <v>1</v>
      </c>
      <c r="K130" s="159">
        <v>0</v>
      </c>
      <c r="L130" s="159">
        <v>3</v>
      </c>
      <c r="M130" s="159">
        <v>2</v>
      </c>
      <c r="N130" s="160">
        <f t="shared" si="2"/>
        <v>561</v>
      </c>
      <c r="O130" s="159">
        <v>0</v>
      </c>
      <c r="P130" s="159">
        <v>1</v>
      </c>
      <c r="Q130" s="159">
        <f t="shared" si="3"/>
        <v>562</v>
      </c>
      <c r="R130" s="159">
        <v>0</v>
      </c>
    </row>
    <row r="131" spans="1:18">
      <c r="A131" s="41">
        <v>122</v>
      </c>
      <c r="B131" s="61" t="s">
        <v>247</v>
      </c>
      <c r="C131" s="159">
        <v>158</v>
      </c>
      <c r="D131" s="159">
        <v>47</v>
      </c>
      <c r="E131" s="159">
        <v>347</v>
      </c>
      <c r="F131" s="159">
        <v>2</v>
      </c>
      <c r="G131" s="159">
        <v>3</v>
      </c>
      <c r="H131" s="159">
        <v>0</v>
      </c>
      <c r="I131" s="159">
        <v>0</v>
      </c>
      <c r="J131" s="159">
        <v>0</v>
      </c>
      <c r="K131" s="159">
        <v>0</v>
      </c>
      <c r="L131" s="159">
        <v>0</v>
      </c>
      <c r="M131" s="159">
        <v>1</v>
      </c>
      <c r="N131" s="160">
        <f t="shared" si="2"/>
        <v>558</v>
      </c>
      <c r="O131" s="159">
        <v>0</v>
      </c>
      <c r="P131" s="159">
        <v>3</v>
      </c>
      <c r="Q131" s="159">
        <f t="shared" si="3"/>
        <v>561</v>
      </c>
      <c r="R131" s="159">
        <v>0</v>
      </c>
    </row>
    <row r="132" spans="1:18">
      <c r="A132" s="41">
        <v>123</v>
      </c>
      <c r="B132" s="61" t="s">
        <v>248</v>
      </c>
      <c r="C132" s="159">
        <v>63</v>
      </c>
      <c r="D132" s="159">
        <v>108</v>
      </c>
      <c r="E132" s="159">
        <v>316</v>
      </c>
      <c r="F132" s="159">
        <v>1</v>
      </c>
      <c r="G132" s="159">
        <v>2</v>
      </c>
      <c r="H132" s="159">
        <v>0</v>
      </c>
      <c r="I132" s="159">
        <v>0</v>
      </c>
      <c r="J132" s="159">
        <v>0</v>
      </c>
      <c r="K132" s="159">
        <v>0</v>
      </c>
      <c r="L132" s="159">
        <v>2</v>
      </c>
      <c r="M132" s="159">
        <v>0</v>
      </c>
      <c r="N132" s="160">
        <f t="shared" si="2"/>
        <v>492</v>
      </c>
      <c r="O132" s="159">
        <v>0</v>
      </c>
      <c r="P132" s="159">
        <v>1</v>
      </c>
      <c r="Q132" s="159">
        <f t="shared" si="3"/>
        <v>493</v>
      </c>
      <c r="R132" s="159">
        <v>0</v>
      </c>
    </row>
    <row r="133" spans="1:18" ht="22.5">
      <c r="A133" s="41">
        <v>124</v>
      </c>
      <c r="B133" s="61" t="s">
        <v>249</v>
      </c>
      <c r="C133" s="159">
        <v>5</v>
      </c>
      <c r="D133" s="159">
        <v>569</v>
      </c>
      <c r="E133" s="159">
        <v>94</v>
      </c>
      <c r="F133" s="159">
        <v>1</v>
      </c>
      <c r="G133" s="159">
        <v>0</v>
      </c>
      <c r="H133" s="159">
        <v>0</v>
      </c>
      <c r="I133" s="159">
        <v>0</v>
      </c>
      <c r="J133" s="159">
        <v>0</v>
      </c>
      <c r="K133" s="159">
        <v>0</v>
      </c>
      <c r="L133" s="159">
        <v>4</v>
      </c>
      <c r="M133" s="159">
        <v>1</v>
      </c>
      <c r="N133" s="160">
        <f t="shared" si="2"/>
        <v>674</v>
      </c>
      <c r="O133" s="159">
        <v>0</v>
      </c>
      <c r="P133" s="159">
        <v>4</v>
      </c>
      <c r="Q133" s="159">
        <f t="shared" si="3"/>
        <v>678</v>
      </c>
      <c r="R133" s="159">
        <v>0</v>
      </c>
    </row>
    <row r="134" spans="1:18" ht="22.5">
      <c r="A134" s="41">
        <v>125</v>
      </c>
      <c r="B134" s="61" t="s">
        <v>250</v>
      </c>
      <c r="C134" s="159">
        <v>142</v>
      </c>
      <c r="D134" s="159">
        <v>462</v>
      </c>
      <c r="E134" s="159">
        <v>65</v>
      </c>
      <c r="F134" s="159">
        <v>3</v>
      </c>
      <c r="G134" s="159">
        <v>0</v>
      </c>
      <c r="H134" s="159">
        <v>0</v>
      </c>
      <c r="I134" s="159">
        <v>1</v>
      </c>
      <c r="J134" s="159">
        <v>1</v>
      </c>
      <c r="K134" s="159">
        <v>0</v>
      </c>
      <c r="L134" s="159">
        <v>2</v>
      </c>
      <c r="M134" s="159">
        <v>2</v>
      </c>
      <c r="N134" s="160">
        <f t="shared" si="2"/>
        <v>678</v>
      </c>
      <c r="O134" s="159">
        <v>0</v>
      </c>
      <c r="P134" s="159">
        <v>3</v>
      </c>
      <c r="Q134" s="159">
        <f t="shared" si="3"/>
        <v>681</v>
      </c>
      <c r="R134" s="159">
        <v>0</v>
      </c>
    </row>
    <row r="135" spans="1:18">
      <c r="A135" s="41">
        <v>126</v>
      </c>
      <c r="B135" s="61" t="s">
        <v>251</v>
      </c>
      <c r="C135" s="159">
        <v>368</v>
      </c>
      <c r="D135" s="159">
        <v>71</v>
      </c>
      <c r="E135" s="159">
        <v>77</v>
      </c>
      <c r="F135" s="159">
        <v>0</v>
      </c>
      <c r="G135" s="159">
        <v>1</v>
      </c>
      <c r="H135" s="159">
        <v>0</v>
      </c>
      <c r="I135" s="159">
        <v>0</v>
      </c>
      <c r="J135" s="159">
        <v>1</v>
      </c>
      <c r="K135" s="159">
        <v>0</v>
      </c>
      <c r="L135" s="159">
        <v>1</v>
      </c>
      <c r="M135" s="159">
        <v>1</v>
      </c>
      <c r="N135" s="160">
        <f t="shared" si="2"/>
        <v>520</v>
      </c>
      <c r="O135" s="159">
        <v>0</v>
      </c>
      <c r="P135" s="159">
        <v>6</v>
      </c>
      <c r="Q135" s="159">
        <f t="shared" si="3"/>
        <v>526</v>
      </c>
      <c r="R135" s="159">
        <v>0</v>
      </c>
    </row>
    <row r="136" spans="1:18">
      <c r="A136" s="41">
        <v>127</v>
      </c>
      <c r="B136" s="61" t="s">
        <v>252</v>
      </c>
      <c r="C136" s="159">
        <v>12</v>
      </c>
      <c r="D136" s="159">
        <v>198</v>
      </c>
      <c r="E136" s="159">
        <v>274</v>
      </c>
      <c r="F136" s="159">
        <v>3</v>
      </c>
      <c r="G136" s="159">
        <v>1</v>
      </c>
      <c r="H136" s="159">
        <v>0</v>
      </c>
      <c r="I136" s="159">
        <v>0</v>
      </c>
      <c r="J136" s="159">
        <v>0</v>
      </c>
      <c r="K136" s="159">
        <v>0</v>
      </c>
      <c r="L136" s="159">
        <v>1</v>
      </c>
      <c r="M136" s="159">
        <v>0</v>
      </c>
      <c r="N136" s="160">
        <f t="shared" si="2"/>
        <v>489</v>
      </c>
      <c r="O136" s="159">
        <v>0</v>
      </c>
      <c r="P136" s="159">
        <v>1</v>
      </c>
      <c r="Q136" s="159">
        <f t="shared" si="3"/>
        <v>490</v>
      </c>
      <c r="R136" s="159">
        <v>0</v>
      </c>
    </row>
    <row r="137" spans="1:18" ht="22.5">
      <c r="A137" s="41">
        <v>128</v>
      </c>
      <c r="B137" s="61" t="s">
        <v>253</v>
      </c>
      <c r="C137" s="159">
        <v>3</v>
      </c>
      <c r="D137" s="159">
        <v>390</v>
      </c>
      <c r="E137" s="159">
        <v>3</v>
      </c>
      <c r="F137" s="159">
        <v>1</v>
      </c>
      <c r="G137" s="159">
        <v>0</v>
      </c>
      <c r="H137" s="159">
        <v>0</v>
      </c>
      <c r="I137" s="159">
        <v>0</v>
      </c>
      <c r="J137" s="159">
        <v>1</v>
      </c>
      <c r="K137" s="159">
        <v>2</v>
      </c>
      <c r="L137" s="159">
        <v>0</v>
      </c>
      <c r="M137" s="159">
        <v>5</v>
      </c>
      <c r="N137" s="160">
        <f t="shared" si="2"/>
        <v>405</v>
      </c>
      <c r="O137" s="159">
        <v>0</v>
      </c>
      <c r="P137" s="159">
        <v>2</v>
      </c>
      <c r="Q137" s="159">
        <f t="shared" si="3"/>
        <v>407</v>
      </c>
      <c r="R137" s="159">
        <v>0</v>
      </c>
    </row>
    <row r="138" spans="1:18" ht="22.5">
      <c r="A138" s="41">
        <v>129</v>
      </c>
      <c r="B138" s="61" t="s">
        <v>254</v>
      </c>
      <c r="C138" s="159">
        <v>3</v>
      </c>
      <c r="D138" s="159">
        <v>78</v>
      </c>
      <c r="E138" s="159">
        <v>392</v>
      </c>
      <c r="F138" s="159">
        <v>3</v>
      </c>
      <c r="G138" s="159">
        <v>0</v>
      </c>
      <c r="H138" s="159">
        <v>0</v>
      </c>
      <c r="I138" s="159">
        <v>1</v>
      </c>
      <c r="J138" s="159">
        <v>0</v>
      </c>
      <c r="K138" s="159">
        <v>1</v>
      </c>
      <c r="L138" s="159">
        <v>0</v>
      </c>
      <c r="M138" s="159">
        <v>0</v>
      </c>
      <c r="N138" s="160">
        <f t="shared" si="2"/>
        <v>478</v>
      </c>
      <c r="O138" s="159">
        <v>0</v>
      </c>
      <c r="P138" s="159">
        <v>1</v>
      </c>
      <c r="Q138" s="159">
        <f t="shared" si="3"/>
        <v>479</v>
      </c>
      <c r="R138" s="159">
        <v>0</v>
      </c>
    </row>
    <row r="139" spans="1:18" ht="22.5">
      <c r="A139" s="41">
        <v>130</v>
      </c>
      <c r="B139" s="61" t="s">
        <v>255</v>
      </c>
      <c r="C139" s="159">
        <v>2</v>
      </c>
      <c r="D139" s="159">
        <v>98</v>
      </c>
      <c r="E139" s="159">
        <v>223</v>
      </c>
      <c r="F139" s="159">
        <v>1</v>
      </c>
      <c r="G139" s="159">
        <v>12</v>
      </c>
      <c r="H139" s="159">
        <v>0</v>
      </c>
      <c r="I139" s="159">
        <v>0</v>
      </c>
      <c r="J139" s="159">
        <v>0</v>
      </c>
      <c r="K139" s="159">
        <v>0</v>
      </c>
      <c r="L139" s="159">
        <v>1</v>
      </c>
      <c r="M139" s="159">
        <v>0</v>
      </c>
      <c r="N139" s="160">
        <f t="shared" ref="N139:N202" si="4">SUM(C139:M139)</f>
        <v>337</v>
      </c>
      <c r="O139" s="159">
        <v>0</v>
      </c>
      <c r="P139" s="159">
        <v>2</v>
      </c>
      <c r="Q139" s="159">
        <f t="shared" ref="Q139:Q202" si="5">N139+P139-O139</f>
        <v>339</v>
      </c>
      <c r="R139" s="159">
        <v>0</v>
      </c>
    </row>
    <row r="140" spans="1:18" ht="22.5">
      <c r="A140" s="41">
        <v>131</v>
      </c>
      <c r="B140" s="61" t="s">
        <v>256</v>
      </c>
      <c r="C140" s="159">
        <v>6</v>
      </c>
      <c r="D140" s="159">
        <v>378</v>
      </c>
      <c r="E140" s="159">
        <v>13</v>
      </c>
      <c r="F140" s="159">
        <v>0</v>
      </c>
      <c r="G140" s="159">
        <v>0</v>
      </c>
      <c r="H140" s="159">
        <v>0</v>
      </c>
      <c r="I140" s="159">
        <v>0</v>
      </c>
      <c r="J140" s="159">
        <v>1</v>
      </c>
      <c r="K140" s="159">
        <v>0</v>
      </c>
      <c r="L140" s="159">
        <v>1</v>
      </c>
      <c r="M140" s="159">
        <v>1</v>
      </c>
      <c r="N140" s="160">
        <f t="shared" si="4"/>
        <v>400</v>
      </c>
      <c r="O140" s="159">
        <v>0</v>
      </c>
      <c r="P140" s="159">
        <v>1</v>
      </c>
      <c r="Q140" s="159">
        <f t="shared" si="5"/>
        <v>401</v>
      </c>
      <c r="R140" s="159">
        <v>0</v>
      </c>
    </row>
    <row r="141" spans="1:18" ht="22.5">
      <c r="A141" s="41">
        <v>132</v>
      </c>
      <c r="B141" s="61" t="s">
        <v>257</v>
      </c>
      <c r="C141" s="159">
        <v>202</v>
      </c>
      <c r="D141" s="159">
        <v>15</v>
      </c>
      <c r="E141" s="159">
        <v>241</v>
      </c>
      <c r="F141" s="159">
        <v>2</v>
      </c>
      <c r="G141" s="159">
        <v>1</v>
      </c>
      <c r="H141" s="159">
        <v>0</v>
      </c>
      <c r="I141" s="159">
        <v>0</v>
      </c>
      <c r="J141" s="159">
        <v>1</v>
      </c>
      <c r="K141" s="159">
        <v>2</v>
      </c>
      <c r="L141" s="159">
        <v>1</v>
      </c>
      <c r="M141" s="159">
        <v>1</v>
      </c>
      <c r="N141" s="160">
        <f t="shared" si="4"/>
        <v>466</v>
      </c>
      <c r="O141" s="159">
        <v>0</v>
      </c>
      <c r="P141" s="159">
        <v>5</v>
      </c>
      <c r="Q141" s="159">
        <f t="shared" si="5"/>
        <v>471</v>
      </c>
      <c r="R141" s="159">
        <v>0</v>
      </c>
    </row>
    <row r="142" spans="1:18" ht="22.5">
      <c r="A142" s="41">
        <v>133</v>
      </c>
      <c r="B142" s="61" t="s">
        <v>258</v>
      </c>
      <c r="C142" s="159">
        <v>559</v>
      </c>
      <c r="D142" s="159">
        <v>19</v>
      </c>
      <c r="E142" s="159">
        <v>12</v>
      </c>
      <c r="F142" s="159">
        <v>0</v>
      </c>
      <c r="G142" s="159">
        <v>2</v>
      </c>
      <c r="H142" s="159">
        <v>0</v>
      </c>
      <c r="I142" s="159">
        <v>0</v>
      </c>
      <c r="J142" s="159">
        <v>1</v>
      </c>
      <c r="K142" s="159">
        <v>0</v>
      </c>
      <c r="L142" s="159">
        <v>0</v>
      </c>
      <c r="M142" s="159">
        <v>0</v>
      </c>
      <c r="N142" s="160">
        <f t="shared" si="4"/>
        <v>593</v>
      </c>
      <c r="O142" s="159">
        <v>0</v>
      </c>
      <c r="P142" s="159">
        <v>6</v>
      </c>
      <c r="Q142" s="159">
        <f t="shared" si="5"/>
        <v>599</v>
      </c>
      <c r="R142" s="159">
        <v>0</v>
      </c>
    </row>
    <row r="143" spans="1:18">
      <c r="A143" s="41">
        <v>134</v>
      </c>
      <c r="B143" s="61" t="s">
        <v>259</v>
      </c>
      <c r="C143" s="159">
        <v>145</v>
      </c>
      <c r="D143" s="159">
        <v>38</v>
      </c>
      <c r="E143" s="159">
        <v>165</v>
      </c>
      <c r="F143" s="159">
        <v>2</v>
      </c>
      <c r="G143" s="159">
        <v>0</v>
      </c>
      <c r="H143" s="159">
        <v>0</v>
      </c>
      <c r="I143" s="159">
        <v>0</v>
      </c>
      <c r="J143" s="159">
        <v>0</v>
      </c>
      <c r="K143" s="159">
        <v>0</v>
      </c>
      <c r="L143" s="159">
        <v>3</v>
      </c>
      <c r="M143" s="159">
        <v>0</v>
      </c>
      <c r="N143" s="160">
        <f t="shared" si="4"/>
        <v>353</v>
      </c>
      <c r="O143" s="159">
        <v>0</v>
      </c>
      <c r="P143" s="159">
        <v>1</v>
      </c>
      <c r="Q143" s="159">
        <f t="shared" si="5"/>
        <v>354</v>
      </c>
      <c r="R143" s="159">
        <v>0</v>
      </c>
    </row>
    <row r="144" spans="1:18" ht="22.5">
      <c r="A144" s="41">
        <v>135</v>
      </c>
      <c r="B144" s="61" t="s">
        <v>260</v>
      </c>
      <c r="C144" s="159">
        <v>98</v>
      </c>
      <c r="D144" s="159">
        <v>208</v>
      </c>
      <c r="E144" s="159">
        <v>150</v>
      </c>
      <c r="F144" s="159">
        <v>2</v>
      </c>
      <c r="G144" s="159">
        <v>0</v>
      </c>
      <c r="H144" s="159">
        <v>0</v>
      </c>
      <c r="I144" s="159">
        <v>0</v>
      </c>
      <c r="J144" s="159">
        <v>0</v>
      </c>
      <c r="K144" s="159">
        <v>0</v>
      </c>
      <c r="L144" s="159">
        <v>3</v>
      </c>
      <c r="M144" s="159">
        <v>0</v>
      </c>
      <c r="N144" s="160">
        <f t="shared" si="4"/>
        <v>461</v>
      </c>
      <c r="O144" s="159">
        <v>0</v>
      </c>
      <c r="P144" s="159">
        <v>2</v>
      </c>
      <c r="Q144" s="159">
        <f t="shared" si="5"/>
        <v>463</v>
      </c>
      <c r="R144" s="159">
        <v>0</v>
      </c>
    </row>
    <row r="145" spans="1:18" ht="22.5">
      <c r="A145" s="41">
        <v>136</v>
      </c>
      <c r="B145" s="61" t="s">
        <v>261</v>
      </c>
      <c r="C145" s="159">
        <v>31</v>
      </c>
      <c r="D145" s="159">
        <v>352</v>
      </c>
      <c r="E145" s="159">
        <v>62</v>
      </c>
      <c r="F145" s="159">
        <v>2</v>
      </c>
      <c r="G145" s="159">
        <v>0</v>
      </c>
      <c r="H145" s="159">
        <v>0</v>
      </c>
      <c r="I145" s="159">
        <v>0</v>
      </c>
      <c r="J145" s="159">
        <v>0</v>
      </c>
      <c r="K145" s="159">
        <v>0</v>
      </c>
      <c r="L145" s="159">
        <v>3</v>
      </c>
      <c r="M145" s="159">
        <v>0</v>
      </c>
      <c r="N145" s="160">
        <f t="shared" si="4"/>
        <v>450</v>
      </c>
      <c r="O145" s="159">
        <v>0</v>
      </c>
      <c r="P145" s="159">
        <v>0</v>
      </c>
      <c r="Q145" s="159">
        <f t="shared" si="5"/>
        <v>450</v>
      </c>
      <c r="R145" s="159">
        <v>0</v>
      </c>
    </row>
    <row r="146" spans="1:18" ht="22.5">
      <c r="A146" s="41">
        <v>137</v>
      </c>
      <c r="B146" s="61" t="s">
        <v>262</v>
      </c>
      <c r="C146" s="159">
        <v>49</v>
      </c>
      <c r="D146" s="159">
        <v>357</v>
      </c>
      <c r="E146" s="159">
        <v>149</v>
      </c>
      <c r="F146" s="159">
        <v>1</v>
      </c>
      <c r="G146" s="159">
        <v>0</v>
      </c>
      <c r="H146" s="159">
        <v>1</v>
      </c>
      <c r="I146" s="159">
        <v>1</v>
      </c>
      <c r="J146" s="159">
        <v>0</v>
      </c>
      <c r="K146" s="159">
        <v>0</v>
      </c>
      <c r="L146" s="159">
        <v>0</v>
      </c>
      <c r="M146" s="159">
        <v>0</v>
      </c>
      <c r="N146" s="160">
        <f t="shared" si="4"/>
        <v>558</v>
      </c>
      <c r="O146" s="159">
        <v>0</v>
      </c>
      <c r="P146" s="159">
        <v>0</v>
      </c>
      <c r="Q146" s="159">
        <f t="shared" si="5"/>
        <v>558</v>
      </c>
      <c r="R146" s="159">
        <v>0</v>
      </c>
    </row>
    <row r="147" spans="1:18" ht="22.5">
      <c r="A147" s="41">
        <v>138</v>
      </c>
      <c r="B147" s="61" t="s">
        <v>263</v>
      </c>
      <c r="C147" s="159">
        <v>161</v>
      </c>
      <c r="D147" s="159">
        <v>27</v>
      </c>
      <c r="E147" s="159">
        <v>263</v>
      </c>
      <c r="F147" s="159">
        <v>4</v>
      </c>
      <c r="G147" s="159">
        <v>2</v>
      </c>
      <c r="H147" s="159">
        <v>1</v>
      </c>
      <c r="I147" s="159">
        <v>3</v>
      </c>
      <c r="J147" s="159">
        <v>1</v>
      </c>
      <c r="K147" s="159">
        <v>1</v>
      </c>
      <c r="L147" s="159">
        <v>5</v>
      </c>
      <c r="M147" s="159">
        <v>2</v>
      </c>
      <c r="N147" s="160">
        <f t="shared" si="4"/>
        <v>470</v>
      </c>
      <c r="O147" s="159">
        <v>0</v>
      </c>
      <c r="P147" s="159">
        <v>4</v>
      </c>
      <c r="Q147" s="159">
        <f t="shared" si="5"/>
        <v>474</v>
      </c>
      <c r="R147" s="159">
        <v>0</v>
      </c>
    </row>
    <row r="148" spans="1:18" ht="22.5">
      <c r="A148" s="41">
        <v>139</v>
      </c>
      <c r="B148" s="61" t="s">
        <v>264</v>
      </c>
      <c r="C148" s="159">
        <v>268</v>
      </c>
      <c r="D148" s="159">
        <v>15</v>
      </c>
      <c r="E148" s="159">
        <v>307</v>
      </c>
      <c r="F148" s="159">
        <v>1</v>
      </c>
      <c r="G148" s="159">
        <v>7</v>
      </c>
      <c r="H148" s="159">
        <v>1</v>
      </c>
      <c r="I148" s="159">
        <v>1</v>
      </c>
      <c r="J148" s="159">
        <v>2</v>
      </c>
      <c r="K148" s="159">
        <v>0</v>
      </c>
      <c r="L148" s="159">
        <v>1</v>
      </c>
      <c r="M148" s="159">
        <v>0</v>
      </c>
      <c r="N148" s="160">
        <f t="shared" si="4"/>
        <v>603</v>
      </c>
      <c r="O148" s="159">
        <v>0</v>
      </c>
      <c r="P148" s="159">
        <v>1</v>
      </c>
      <c r="Q148" s="159">
        <f t="shared" si="5"/>
        <v>604</v>
      </c>
      <c r="R148" s="159">
        <v>0</v>
      </c>
    </row>
    <row r="149" spans="1:18" ht="22.5">
      <c r="A149" s="41">
        <v>140</v>
      </c>
      <c r="B149" s="61" t="s">
        <v>265</v>
      </c>
      <c r="C149" s="159">
        <v>191</v>
      </c>
      <c r="D149" s="159">
        <v>27</v>
      </c>
      <c r="E149" s="159">
        <v>400</v>
      </c>
      <c r="F149" s="159">
        <v>6</v>
      </c>
      <c r="G149" s="159">
        <v>4</v>
      </c>
      <c r="H149" s="159">
        <v>2</v>
      </c>
      <c r="I149" s="159">
        <v>0</v>
      </c>
      <c r="J149" s="159">
        <v>2</v>
      </c>
      <c r="K149" s="159">
        <v>3</v>
      </c>
      <c r="L149" s="159">
        <v>6</v>
      </c>
      <c r="M149" s="159">
        <v>1</v>
      </c>
      <c r="N149" s="160">
        <f t="shared" si="4"/>
        <v>642</v>
      </c>
      <c r="O149" s="159">
        <v>0</v>
      </c>
      <c r="P149" s="159">
        <v>7</v>
      </c>
      <c r="Q149" s="159">
        <f t="shared" si="5"/>
        <v>649</v>
      </c>
      <c r="R149" s="159">
        <v>0</v>
      </c>
    </row>
    <row r="150" spans="1:18">
      <c r="A150" s="41">
        <v>141</v>
      </c>
      <c r="B150" s="61" t="s">
        <v>266</v>
      </c>
      <c r="C150" s="159">
        <v>10</v>
      </c>
      <c r="D150" s="159">
        <v>27</v>
      </c>
      <c r="E150" s="159">
        <v>311</v>
      </c>
      <c r="F150" s="159">
        <v>0</v>
      </c>
      <c r="G150" s="159">
        <v>0</v>
      </c>
      <c r="H150" s="159">
        <v>0</v>
      </c>
      <c r="I150" s="159">
        <v>0</v>
      </c>
      <c r="J150" s="159">
        <v>0</v>
      </c>
      <c r="K150" s="159">
        <v>1</v>
      </c>
      <c r="L150" s="159">
        <v>5</v>
      </c>
      <c r="M150" s="159">
        <v>0</v>
      </c>
      <c r="N150" s="160">
        <f t="shared" si="4"/>
        <v>354</v>
      </c>
      <c r="O150" s="159">
        <v>0</v>
      </c>
      <c r="P150" s="159">
        <v>1</v>
      </c>
      <c r="Q150" s="159">
        <f t="shared" si="5"/>
        <v>355</v>
      </c>
      <c r="R150" s="159">
        <v>0</v>
      </c>
    </row>
    <row r="151" spans="1:18">
      <c r="A151" s="41">
        <v>142</v>
      </c>
      <c r="B151" s="61" t="s">
        <v>267</v>
      </c>
      <c r="C151" s="159">
        <v>50</v>
      </c>
      <c r="D151" s="159">
        <v>65</v>
      </c>
      <c r="E151" s="159">
        <v>508</v>
      </c>
      <c r="F151" s="159">
        <v>3</v>
      </c>
      <c r="G151" s="159">
        <v>1</v>
      </c>
      <c r="H151" s="159">
        <v>0</v>
      </c>
      <c r="I151" s="159">
        <v>0</v>
      </c>
      <c r="J151" s="159">
        <v>2</v>
      </c>
      <c r="K151" s="159">
        <v>0</v>
      </c>
      <c r="L151" s="159">
        <v>9</v>
      </c>
      <c r="M151" s="159">
        <v>2</v>
      </c>
      <c r="N151" s="160">
        <f t="shared" si="4"/>
        <v>640</v>
      </c>
      <c r="O151" s="159">
        <v>0</v>
      </c>
      <c r="P151" s="159">
        <v>3</v>
      </c>
      <c r="Q151" s="159">
        <f t="shared" si="5"/>
        <v>643</v>
      </c>
      <c r="R151" s="159">
        <v>0</v>
      </c>
    </row>
    <row r="152" spans="1:18">
      <c r="A152" s="41">
        <v>143</v>
      </c>
      <c r="B152" s="61" t="s">
        <v>268</v>
      </c>
      <c r="C152" s="159">
        <v>71</v>
      </c>
      <c r="D152" s="159">
        <v>70</v>
      </c>
      <c r="E152" s="159">
        <v>520</v>
      </c>
      <c r="F152" s="159">
        <v>2</v>
      </c>
      <c r="G152" s="159">
        <v>3</v>
      </c>
      <c r="H152" s="159">
        <v>0</v>
      </c>
      <c r="I152" s="159">
        <v>0</v>
      </c>
      <c r="J152" s="159">
        <v>0</v>
      </c>
      <c r="K152" s="159">
        <v>2</v>
      </c>
      <c r="L152" s="159">
        <v>7</v>
      </c>
      <c r="M152" s="159">
        <v>0</v>
      </c>
      <c r="N152" s="160">
        <f t="shared" si="4"/>
        <v>675</v>
      </c>
      <c r="O152" s="159">
        <v>0</v>
      </c>
      <c r="P152" s="159">
        <v>0</v>
      </c>
      <c r="Q152" s="159">
        <f t="shared" si="5"/>
        <v>675</v>
      </c>
      <c r="R152" s="159">
        <v>0</v>
      </c>
    </row>
    <row r="153" spans="1:18" ht="22.5">
      <c r="A153" s="41">
        <v>144</v>
      </c>
      <c r="B153" s="62" t="s">
        <v>269</v>
      </c>
      <c r="C153" s="159">
        <v>75</v>
      </c>
      <c r="D153" s="159">
        <v>119</v>
      </c>
      <c r="E153" s="159">
        <v>324</v>
      </c>
      <c r="F153" s="159">
        <v>4</v>
      </c>
      <c r="G153" s="159">
        <v>1</v>
      </c>
      <c r="H153" s="159">
        <v>0</v>
      </c>
      <c r="I153" s="159">
        <v>0</v>
      </c>
      <c r="J153" s="159">
        <v>0</v>
      </c>
      <c r="K153" s="159">
        <v>1</v>
      </c>
      <c r="L153" s="159">
        <v>2</v>
      </c>
      <c r="M153" s="159">
        <v>1</v>
      </c>
      <c r="N153" s="160">
        <f t="shared" si="4"/>
        <v>527</v>
      </c>
      <c r="O153" s="159">
        <v>0</v>
      </c>
      <c r="P153" s="159">
        <v>6</v>
      </c>
      <c r="Q153" s="159">
        <f t="shared" si="5"/>
        <v>533</v>
      </c>
      <c r="R153" s="159">
        <v>0</v>
      </c>
    </row>
    <row r="154" spans="1:18" ht="22.5">
      <c r="A154" s="41">
        <v>145</v>
      </c>
      <c r="B154" s="62" t="s">
        <v>270</v>
      </c>
      <c r="C154" s="159">
        <v>13</v>
      </c>
      <c r="D154" s="159">
        <v>368</v>
      </c>
      <c r="E154" s="159">
        <v>183</v>
      </c>
      <c r="F154" s="159">
        <v>3</v>
      </c>
      <c r="G154" s="159">
        <v>1</v>
      </c>
      <c r="H154" s="159">
        <v>0</v>
      </c>
      <c r="I154" s="159">
        <v>1</v>
      </c>
      <c r="J154" s="159">
        <v>0</v>
      </c>
      <c r="K154" s="159">
        <v>1</v>
      </c>
      <c r="L154" s="159">
        <v>7</v>
      </c>
      <c r="M154" s="159">
        <v>2</v>
      </c>
      <c r="N154" s="160">
        <f t="shared" si="4"/>
        <v>579</v>
      </c>
      <c r="O154" s="159">
        <v>0</v>
      </c>
      <c r="P154" s="159">
        <v>1</v>
      </c>
      <c r="Q154" s="159">
        <f t="shared" si="5"/>
        <v>580</v>
      </c>
      <c r="R154" s="159">
        <v>0</v>
      </c>
    </row>
    <row r="155" spans="1:18">
      <c r="A155" s="41">
        <v>146</v>
      </c>
      <c r="B155" s="62" t="s">
        <v>271</v>
      </c>
      <c r="C155" s="159">
        <v>120</v>
      </c>
      <c r="D155" s="159">
        <v>246</v>
      </c>
      <c r="E155" s="159">
        <v>104</v>
      </c>
      <c r="F155" s="159">
        <v>0</v>
      </c>
      <c r="G155" s="159">
        <v>0</v>
      </c>
      <c r="H155" s="159">
        <v>0</v>
      </c>
      <c r="I155" s="159">
        <v>0</v>
      </c>
      <c r="J155" s="159">
        <v>1</v>
      </c>
      <c r="K155" s="159">
        <v>1</v>
      </c>
      <c r="L155" s="159">
        <v>3</v>
      </c>
      <c r="M155" s="159">
        <v>2</v>
      </c>
      <c r="N155" s="160">
        <f t="shared" si="4"/>
        <v>477</v>
      </c>
      <c r="O155" s="159">
        <v>0</v>
      </c>
      <c r="P155" s="159">
        <v>3</v>
      </c>
      <c r="Q155" s="159">
        <f t="shared" si="5"/>
        <v>480</v>
      </c>
      <c r="R155" s="159">
        <v>0</v>
      </c>
    </row>
    <row r="156" spans="1:18">
      <c r="A156" s="41">
        <v>147</v>
      </c>
      <c r="B156" s="62" t="s">
        <v>272</v>
      </c>
      <c r="C156" s="159">
        <v>47</v>
      </c>
      <c r="D156" s="159">
        <v>234</v>
      </c>
      <c r="E156" s="159">
        <v>117</v>
      </c>
      <c r="F156" s="159">
        <v>0</v>
      </c>
      <c r="G156" s="159">
        <v>0</v>
      </c>
      <c r="H156" s="159">
        <v>1</v>
      </c>
      <c r="I156" s="159">
        <v>0</v>
      </c>
      <c r="J156" s="159">
        <v>0</v>
      </c>
      <c r="K156" s="159">
        <v>1</v>
      </c>
      <c r="L156" s="159">
        <v>1</v>
      </c>
      <c r="M156" s="159">
        <v>0</v>
      </c>
      <c r="N156" s="160">
        <f t="shared" si="4"/>
        <v>401</v>
      </c>
      <c r="O156" s="159">
        <v>0</v>
      </c>
      <c r="P156" s="159">
        <v>0</v>
      </c>
      <c r="Q156" s="159">
        <f t="shared" si="5"/>
        <v>401</v>
      </c>
      <c r="R156" s="159">
        <v>0</v>
      </c>
    </row>
    <row r="157" spans="1:18">
      <c r="A157" s="41">
        <v>148</v>
      </c>
      <c r="B157" s="61" t="s">
        <v>273</v>
      </c>
      <c r="C157" s="159">
        <v>120</v>
      </c>
      <c r="D157" s="159">
        <v>343</v>
      </c>
      <c r="E157" s="159">
        <v>358</v>
      </c>
      <c r="F157" s="159">
        <v>3</v>
      </c>
      <c r="G157" s="159">
        <v>0</v>
      </c>
      <c r="H157" s="159">
        <v>0</v>
      </c>
      <c r="I157" s="159">
        <v>0</v>
      </c>
      <c r="J157" s="159">
        <v>0</v>
      </c>
      <c r="K157" s="159">
        <v>0</v>
      </c>
      <c r="L157" s="159">
        <v>4</v>
      </c>
      <c r="M157" s="159">
        <v>1</v>
      </c>
      <c r="N157" s="160">
        <f t="shared" si="4"/>
        <v>829</v>
      </c>
      <c r="O157" s="159">
        <v>0</v>
      </c>
      <c r="P157" s="159">
        <v>1</v>
      </c>
      <c r="Q157" s="159">
        <f t="shared" si="5"/>
        <v>830</v>
      </c>
      <c r="R157" s="159">
        <v>0</v>
      </c>
    </row>
    <row r="158" spans="1:18">
      <c r="A158" s="41">
        <v>149</v>
      </c>
      <c r="B158" s="61" t="s">
        <v>274</v>
      </c>
      <c r="C158" s="159">
        <v>33</v>
      </c>
      <c r="D158" s="159">
        <v>557</v>
      </c>
      <c r="E158" s="159">
        <v>22</v>
      </c>
      <c r="F158" s="159">
        <v>7</v>
      </c>
      <c r="G158" s="159">
        <v>2</v>
      </c>
      <c r="H158" s="159">
        <v>0</v>
      </c>
      <c r="I158" s="159">
        <v>0</v>
      </c>
      <c r="J158" s="159">
        <v>1</v>
      </c>
      <c r="K158" s="159">
        <v>8</v>
      </c>
      <c r="L158" s="159">
        <v>2</v>
      </c>
      <c r="M158" s="159">
        <v>2</v>
      </c>
      <c r="N158" s="160">
        <f t="shared" si="4"/>
        <v>634</v>
      </c>
      <c r="O158" s="159">
        <v>0</v>
      </c>
      <c r="P158" s="159">
        <v>2</v>
      </c>
      <c r="Q158" s="159">
        <f t="shared" si="5"/>
        <v>636</v>
      </c>
      <c r="R158" s="159">
        <v>0</v>
      </c>
    </row>
    <row r="159" spans="1:18" ht="22.5">
      <c r="A159" s="41">
        <v>150</v>
      </c>
      <c r="B159" s="61" t="s">
        <v>275</v>
      </c>
      <c r="C159" s="159">
        <v>20</v>
      </c>
      <c r="D159" s="159">
        <v>423</v>
      </c>
      <c r="E159" s="159">
        <v>182</v>
      </c>
      <c r="F159" s="159">
        <v>9</v>
      </c>
      <c r="G159" s="159">
        <v>0</v>
      </c>
      <c r="H159" s="159">
        <v>0</v>
      </c>
      <c r="I159" s="159">
        <v>0</v>
      </c>
      <c r="J159" s="159">
        <v>0</v>
      </c>
      <c r="K159" s="159">
        <v>1</v>
      </c>
      <c r="L159" s="159">
        <v>1</v>
      </c>
      <c r="M159" s="159">
        <v>0</v>
      </c>
      <c r="N159" s="160">
        <f t="shared" si="4"/>
        <v>636</v>
      </c>
      <c r="O159" s="159">
        <v>0</v>
      </c>
      <c r="P159" s="159">
        <v>1</v>
      </c>
      <c r="Q159" s="159">
        <f t="shared" si="5"/>
        <v>637</v>
      </c>
      <c r="R159" s="159">
        <v>0</v>
      </c>
    </row>
    <row r="160" spans="1:18" ht="22.5">
      <c r="A160" s="41">
        <v>151</v>
      </c>
      <c r="B160" s="61" t="s">
        <v>276</v>
      </c>
      <c r="C160" s="159">
        <v>126</v>
      </c>
      <c r="D160" s="159">
        <v>278</v>
      </c>
      <c r="E160" s="159">
        <v>85</v>
      </c>
      <c r="F160" s="159">
        <v>4</v>
      </c>
      <c r="G160" s="159">
        <v>2</v>
      </c>
      <c r="H160" s="159">
        <v>0</v>
      </c>
      <c r="I160" s="159">
        <v>0</v>
      </c>
      <c r="J160" s="159">
        <v>0</v>
      </c>
      <c r="K160" s="159">
        <v>31</v>
      </c>
      <c r="L160" s="159">
        <v>5</v>
      </c>
      <c r="M160" s="159">
        <v>2</v>
      </c>
      <c r="N160" s="160">
        <f t="shared" si="4"/>
        <v>533</v>
      </c>
      <c r="O160" s="159">
        <v>0</v>
      </c>
      <c r="P160" s="159">
        <v>4</v>
      </c>
      <c r="Q160" s="159">
        <f t="shared" si="5"/>
        <v>537</v>
      </c>
      <c r="R160" s="159">
        <v>0</v>
      </c>
    </row>
    <row r="161" spans="1:18">
      <c r="A161" s="41">
        <v>152</v>
      </c>
      <c r="B161" s="61" t="s">
        <v>277</v>
      </c>
      <c r="C161" s="159">
        <v>85</v>
      </c>
      <c r="D161" s="159">
        <v>391</v>
      </c>
      <c r="E161" s="159">
        <v>79</v>
      </c>
      <c r="F161" s="159">
        <v>0</v>
      </c>
      <c r="G161" s="159">
        <v>0</v>
      </c>
      <c r="H161" s="159">
        <v>0</v>
      </c>
      <c r="I161" s="159">
        <v>0</v>
      </c>
      <c r="J161" s="159">
        <v>1</v>
      </c>
      <c r="K161" s="159">
        <v>0</v>
      </c>
      <c r="L161" s="159">
        <v>2</v>
      </c>
      <c r="M161" s="159">
        <v>2</v>
      </c>
      <c r="N161" s="160">
        <f t="shared" si="4"/>
        <v>560</v>
      </c>
      <c r="O161" s="159">
        <v>0</v>
      </c>
      <c r="P161" s="159">
        <v>1</v>
      </c>
      <c r="Q161" s="159">
        <f t="shared" si="5"/>
        <v>561</v>
      </c>
      <c r="R161" s="159">
        <v>0</v>
      </c>
    </row>
    <row r="162" spans="1:18">
      <c r="A162" s="41">
        <v>153</v>
      </c>
      <c r="B162" s="61" t="s">
        <v>278</v>
      </c>
      <c r="C162" s="159">
        <v>4</v>
      </c>
      <c r="D162" s="159">
        <v>489</v>
      </c>
      <c r="E162" s="159">
        <v>225</v>
      </c>
      <c r="F162" s="159">
        <v>3</v>
      </c>
      <c r="G162" s="159">
        <v>0</v>
      </c>
      <c r="H162" s="159">
        <v>0</v>
      </c>
      <c r="I162" s="159">
        <v>0</v>
      </c>
      <c r="J162" s="159">
        <v>2</v>
      </c>
      <c r="K162" s="159">
        <v>0</v>
      </c>
      <c r="L162" s="159">
        <v>8</v>
      </c>
      <c r="M162" s="159">
        <v>0</v>
      </c>
      <c r="N162" s="160">
        <f t="shared" si="4"/>
        <v>731</v>
      </c>
      <c r="O162" s="159">
        <v>0</v>
      </c>
      <c r="P162" s="159">
        <v>2</v>
      </c>
      <c r="Q162" s="159">
        <f t="shared" si="5"/>
        <v>733</v>
      </c>
      <c r="R162" s="159">
        <v>0</v>
      </c>
    </row>
    <row r="163" spans="1:18">
      <c r="A163" s="41">
        <v>154</v>
      </c>
      <c r="B163" s="61" t="s">
        <v>279</v>
      </c>
      <c r="C163" s="159">
        <v>247</v>
      </c>
      <c r="D163" s="159">
        <v>53</v>
      </c>
      <c r="E163" s="159">
        <v>290</v>
      </c>
      <c r="F163" s="159">
        <v>1</v>
      </c>
      <c r="G163" s="159">
        <v>0</v>
      </c>
      <c r="H163" s="159">
        <v>0</v>
      </c>
      <c r="I163" s="159">
        <v>0</v>
      </c>
      <c r="J163" s="159">
        <v>1</v>
      </c>
      <c r="K163" s="159">
        <v>1</v>
      </c>
      <c r="L163" s="159">
        <v>5</v>
      </c>
      <c r="M163" s="159">
        <v>0</v>
      </c>
      <c r="N163" s="160">
        <f t="shared" si="4"/>
        <v>598</v>
      </c>
      <c r="O163" s="159">
        <v>0</v>
      </c>
      <c r="P163" s="159">
        <v>5</v>
      </c>
      <c r="Q163" s="159">
        <f t="shared" si="5"/>
        <v>603</v>
      </c>
      <c r="R163" s="159">
        <v>0</v>
      </c>
    </row>
    <row r="164" spans="1:18">
      <c r="A164" s="41">
        <v>155</v>
      </c>
      <c r="B164" s="61" t="s">
        <v>280</v>
      </c>
      <c r="C164" s="159">
        <v>1</v>
      </c>
      <c r="D164" s="159">
        <v>408</v>
      </c>
      <c r="E164" s="159">
        <v>104</v>
      </c>
      <c r="F164" s="159">
        <v>1</v>
      </c>
      <c r="G164" s="159">
        <v>0</v>
      </c>
      <c r="H164" s="159">
        <v>0</v>
      </c>
      <c r="I164" s="159">
        <v>0</v>
      </c>
      <c r="J164" s="159">
        <v>2</v>
      </c>
      <c r="K164" s="159">
        <v>0</v>
      </c>
      <c r="L164" s="159">
        <v>1</v>
      </c>
      <c r="M164" s="159">
        <v>1</v>
      </c>
      <c r="N164" s="160">
        <f t="shared" si="4"/>
        <v>518</v>
      </c>
      <c r="O164" s="159">
        <v>0</v>
      </c>
      <c r="P164" s="159">
        <v>0</v>
      </c>
      <c r="Q164" s="159">
        <f t="shared" si="5"/>
        <v>518</v>
      </c>
      <c r="R164" s="159">
        <v>0</v>
      </c>
    </row>
    <row r="165" spans="1:18">
      <c r="A165" s="41">
        <v>156</v>
      </c>
      <c r="B165" s="62" t="s">
        <v>281</v>
      </c>
      <c r="C165" s="159">
        <v>111</v>
      </c>
      <c r="D165" s="159">
        <v>76</v>
      </c>
      <c r="E165" s="159">
        <v>552</v>
      </c>
      <c r="F165" s="159">
        <v>4</v>
      </c>
      <c r="G165" s="159">
        <v>4</v>
      </c>
      <c r="H165" s="159">
        <v>0</v>
      </c>
      <c r="I165" s="159">
        <v>0</v>
      </c>
      <c r="J165" s="159">
        <v>0</v>
      </c>
      <c r="K165" s="159">
        <v>0</v>
      </c>
      <c r="L165" s="159">
        <v>1</v>
      </c>
      <c r="M165" s="159">
        <v>1</v>
      </c>
      <c r="N165" s="160">
        <f t="shared" si="4"/>
        <v>749</v>
      </c>
      <c r="O165" s="159">
        <v>0</v>
      </c>
      <c r="P165" s="159">
        <v>1</v>
      </c>
      <c r="Q165" s="159">
        <f t="shared" si="5"/>
        <v>750</v>
      </c>
      <c r="R165" s="159">
        <v>0</v>
      </c>
    </row>
    <row r="166" spans="1:18" ht="22.5">
      <c r="A166" s="41">
        <v>157</v>
      </c>
      <c r="B166" s="61" t="s">
        <v>282</v>
      </c>
      <c r="C166" s="159">
        <v>40</v>
      </c>
      <c r="D166" s="159">
        <v>262</v>
      </c>
      <c r="E166" s="159">
        <v>167</v>
      </c>
      <c r="F166" s="159">
        <v>2</v>
      </c>
      <c r="G166" s="159">
        <v>1</v>
      </c>
      <c r="H166" s="159">
        <v>0</v>
      </c>
      <c r="I166" s="159">
        <v>0</v>
      </c>
      <c r="J166" s="159">
        <v>0</v>
      </c>
      <c r="K166" s="159">
        <v>0</v>
      </c>
      <c r="L166" s="159">
        <v>2</v>
      </c>
      <c r="M166" s="159">
        <v>1</v>
      </c>
      <c r="N166" s="160">
        <f t="shared" si="4"/>
        <v>475</v>
      </c>
      <c r="O166" s="159">
        <v>0</v>
      </c>
      <c r="P166" s="159">
        <v>1</v>
      </c>
      <c r="Q166" s="159">
        <f t="shared" si="5"/>
        <v>476</v>
      </c>
      <c r="R166" s="159">
        <v>0</v>
      </c>
    </row>
    <row r="167" spans="1:18" ht="22.5">
      <c r="A167" s="41">
        <v>158</v>
      </c>
      <c r="B167" s="61" t="s">
        <v>283</v>
      </c>
      <c r="C167" s="159">
        <v>6</v>
      </c>
      <c r="D167" s="159">
        <v>379</v>
      </c>
      <c r="E167" s="159">
        <v>175</v>
      </c>
      <c r="F167" s="159">
        <v>0</v>
      </c>
      <c r="G167" s="159">
        <v>0</v>
      </c>
      <c r="H167" s="159">
        <v>0</v>
      </c>
      <c r="I167" s="159">
        <v>0</v>
      </c>
      <c r="J167" s="159">
        <v>0</v>
      </c>
      <c r="K167" s="159">
        <v>0</v>
      </c>
      <c r="L167" s="159">
        <v>1</v>
      </c>
      <c r="M167" s="159">
        <v>0</v>
      </c>
      <c r="N167" s="160">
        <f t="shared" si="4"/>
        <v>561</v>
      </c>
      <c r="O167" s="159">
        <v>0</v>
      </c>
      <c r="P167" s="159">
        <v>1</v>
      </c>
      <c r="Q167" s="159">
        <f t="shared" si="5"/>
        <v>562</v>
      </c>
      <c r="R167" s="159">
        <v>0</v>
      </c>
    </row>
    <row r="168" spans="1:18">
      <c r="A168" s="41">
        <v>159</v>
      </c>
      <c r="B168" s="61" t="s">
        <v>284</v>
      </c>
      <c r="C168" s="159">
        <v>1</v>
      </c>
      <c r="D168" s="159">
        <v>341</v>
      </c>
      <c r="E168" s="159">
        <v>90</v>
      </c>
      <c r="F168" s="159">
        <v>2</v>
      </c>
      <c r="G168" s="159">
        <v>0</v>
      </c>
      <c r="H168" s="159">
        <v>0</v>
      </c>
      <c r="I168" s="159">
        <v>0</v>
      </c>
      <c r="J168" s="159">
        <v>0</v>
      </c>
      <c r="K168" s="159">
        <v>3</v>
      </c>
      <c r="L168" s="159">
        <v>1</v>
      </c>
      <c r="M168" s="159">
        <v>0</v>
      </c>
      <c r="N168" s="160">
        <f t="shared" si="4"/>
        <v>438</v>
      </c>
      <c r="O168" s="159">
        <v>0</v>
      </c>
      <c r="P168" s="159">
        <v>0</v>
      </c>
      <c r="Q168" s="159">
        <f t="shared" si="5"/>
        <v>438</v>
      </c>
      <c r="R168" s="159">
        <v>0</v>
      </c>
    </row>
    <row r="169" spans="1:18">
      <c r="A169" s="41">
        <v>160</v>
      </c>
      <c r="B169" s="61" t="s">
        <v>285</v>
      </c>
      <c r="C169" s="159">
        <v>38</v>
      </c>
      <c r="D169" s="159">
        <v>260</v>
      </c>
      <c r="E169" s="159">
        <v>92</v>
      </c>
      <c r="F169" s="159">
        <v>0</v>
      </c>
      <c r="G169" s="159">
        <v>0</v>
      </c>
      <c r="H169" s="159">
        <v>0</v>
      </c>
      <c r="I169" s="159">
        <v>0</v>
      </c>
      <c r="J169" s="159">
        <v>0</v>
      </c>
      <c r="K169" s="159">
        <v>5</v>
      </c>
      <c r="L169" s="159">
        <v>2</v>
      </c>
      <c r="M169" s="159">
        <v>4</v>
      </c>
      <c r="N169" s="160">
        <f t="shared" si="4"/>
        <v>401</v>
      </c>
      <c r="O169" s="159">
        <v>0</v>
      </c>
      <c r="P169" s="159">
        <v>1</v>
      </c>
      <c r="Q169" s="159">
        <f t="shared" si="5"/>
        <v>402</v>
      </c>
      <c r="R169" s="159">
        <v>0</v>
      </c>
    </row>
    <row r="170" spans="1:18">
      <c r="A170" s="41">
        <v>161</v>
      </c>
      <c r="B170" s="61" t="s">
        <v>286</v>
      </c>
      <c r="C170" s="159">
        <v>136</v>
      </c>
      <c r="D170" s="159">
        <v>454</v>
      </c>
      <c r="E170" s="159">
        <v>75</v>
      </c>
      <c r="F170" s="159">
        <v>0</v>
      </c>
      <c r="G170" s="159">
        <v>1</v>
      </c>
      <c r="H170" s="159">
        <v>0</v>
      </c>
      <c r="I170" s="159">
        <v>0</v>
      </c>
      <c r="J170" s="159">
        <v>0</v>
      </c>
      <c r="K170" s="159">
        <v>0</v>
      </c>
      <c r="L170" s="159">
        <v>1</v>
      </c>
      <c r="M170" s="159">
        <v>4</v>
      </c>
      <c r="N170" s="160">
        <f t="shared" si="4"/>
        <v>671</v>
      </c>
      <c r="O170" s="159">
        <v>0</v>
      </c>
      <c r="P170" s="159">
        <v>2</v>
      </c>
      <c r="Q170" s="159">
        <f t="shared" si="5"/>
        <v>673</v>
      </c>
      <c r="R170" s="159">
        <v>0</v>
      </c>
    </row>
    <row r="171" spans="1:18">
      <c r="A171" s="41">
        <v>162</v>
      </c>
      <c r="B171" s="61" t="s">
        <v>287</v>
      </c>
      <c r="C171" s="159">
        <v>36</v>
      </c>
      <c r="D171" s="159">
        <v>434</v>
      </c>
      <c r="E171" s="159">
        <v>95</v>
      </c>
      <c r="F171" s="159">
        <v>2</v>
      </c>
      <c r="G171" s="159">
        <v>0</v>
      </c>
      <c r="H171" s="159">
        <v>0</v>
      </c>
      <c r="I171" s="159">
        <v>0</v>
      </c>
      <c r="J171" s="159">
        <v>1</v>
      </c>
      <c r="K171" s="159">
        <v>2</v>
      </c>
      <c r="L171" s="159">
        <v>5</v>
      </c>
      <c r="M171" s="159">
        <v>3</v>
      </c>
      <c r="N171" s="160">
        <f t="shared" si="4"/>
        <v>578</v>
      </c>
      <c r="O171" s="159">
        <v>0</v>
      </c>
      <c r="P171" s="159">
        <v>2</v>
      </c>
      <c r="Q171" s="159">
        <f t="shared" si="5"/>
        <v>580</v>
      </c>
      <c r="R171" s="159">
        <v>0</v>
      </c>
    </row>
    <row r="172" spans="1:18">
      <c r="A172" s="41">
        <v>163</v>
      </c>
      <c r="B172" s="61" t="s">
        <v>288</v>
      </c>
      <c r="C172" s="159">
        <v>231</v>
      </c>
      <c r="D172" s="159">
        <v>143</v>
      </c>
      <c r="E172" s="159">
        <v>37</v>
      </c>
      <c r="F172" s="159">
        <v>2</v>
      </c>
      <c r="G172" s="159">
        <v>0</v>
      </c>
      <c r="H172" s="159">
        <v>0</v>
      </c>
      <c r="I172" s="159">
        <v>0</v>
      </c>
      <c r="J172" s="159">
        <v>0</v>
      </c>
      <c r="K172" s="159">
        <v>0</v>
      </c>
      <c r="L172" s="159">
        <v>2</v>
      </c>
      <c r="M172" s="159">
        <v>0</v>
      </c>
      <c r="N172" s="160">
        <f t="shared" si="4"/>
        <v>415</v>
      </c>
      <c r="O172" s="159">
        <v>0</v>
      </c>
      <c r="P172" s="159">
        <v>2</v>
      </c>
      <c r="Q172" s="159">
        <f t="shared" si="5"/>
        <v>417</v>
      </c>
      <c r="R172" s="159">
        <v>0</v>
      </c>
    </row>
    <row r="173" spans="1:18">
      <c r="A173" s="41">
        <v>164</v>
      </c>
      <c r="B173" s="61" t="s">
        <v>289</v>
      </c>
      <c r="C173" s="159">
        <v>4</v>
      </c>
      <c r="D173" s="159">
        <v>413</v>
      </c>
      <c r="E173" s="159">
        <v>77</v>
      </c>
      <c r="F173" s="159">
        <v>12</v>
      </c>
      <c r="G173" s="159">
        <v>0</v>
      </c>
      <c r="H173" s="159">
        <v>0</v>
      </c>
      <c r="I173" s="159">
        <v>1</v>
      </c>
      <c r="J173" s="159">
        <v>1</v>
      </c>
      <c r="K173" s="159">
        <v>0</v>
      </c>
      <c r="L173" s="159">
        <v>2</v>
      </c>
      <c r="M173" s="159">
        <v>1</v>
      </c>
      <c r="N173" s="160">
        <f t="shared" si="4"/>
        <v>511</v>
      </c>
      <c r="O173" s="159">
        <v>0</v>
      </c>
      <c r="P173" s="159">
        <v>2</v>
      </c>
      <c r="Q173" s="159">
        <f t="shared" si="5"/>
        <v>513</v>
      </c>
      <c r="R173" s="159">
        <v>0</v>
      </c>
    </row>
    <row r="174" spans="1:18">
      <c r="A174" s="41">
        <v>165</v>
      </c>
      <c r="B174" s="61" t="s">
        <v>290</v>
      </c>
      <c r="C174" s="159">
        <v>85</v>
      </c>
      <c r="D174" s="159">
        <v>33</v>
      </c>
      <c r="E174" s="159">
        <v>439</v>
      </c>
      <c r="F174" s="159">
        <v>1</v>
      </c>
      <c r="G174" s="159">
        <v>2</v>
      </c>
      <c r="H174" s="159">
        <v>1</v>
      </c>
      <c r="I174" s="159">
        <v>3</v>
      </c>
      <c r="J174" s="159">
        <v>0</v>
      </c>
      <c r="K174" s="159">
        <v>2</v>
      </c>
      <c r="L174" s="159">
        <v>3</v>
      </c>
      <c r="M174" s="159">
        <v>4</v>
      </c>
      <c r="N174" s="160">
        <f t="shared" si="4"/>
        <v>573</v>
      </c>
      <c r="O174" s="159">
        <v>0</v>
      </c>
      <c r="P174" s="159">
        <v>10</v>
      </c>
      <c r="Q174" s="159">
        <f t="shared" si="5"/>
        <v>583</v>
      </c>
      <c r="R174" s="159">
        <v>0</v>
      </c>
    </row>
    <row r="175" spans="1:18">
      <c r="A175" s="41">
        <v>166</v>
      </c>
      <c r="B175" s="61" t="s">
        <v>291</v>
      </c>
      <c r="C175" s="159">
        <v>100</v>
      </c>
      <c r="D175" s="159">
        <v>105</v>
      </c>
      <c r="E175" s="159">
        <v>357</v>
      </c>
      <c r="F175" s="159">
        <v>9</v>
      </c>
      <c r="G175" s="159">
        <v>0</v>
      </c>
      <c r="H175" s="159">
        <v>2</v>
      </c>
      <c r="I175" s="159">
        <v>0</v>
      </c>
      <c r="J175" s="159">
        <v>3</v>
      </c>
      <c r="K175" s="159">
        <v>2</v>
      </c>
      <c r="L175" s="159">
        <v>3</v>
      </c>
      <c r="M175" s="159">
        <v>3</v>
      </c>
      <c r="N175" s="160">
        <f t="shared" si="4"/>
        <v>584</v>
      </c>
      <c r="O175" s="159">
        <v>0</v>
      </c>
      <c r="P175" s="159">
        <v>10</v>
      </c>
      <c r="Q175" s="159">
        <f t="shared" si="5"/>
        <v>594</v>
      </c>
      <c r="R175" s="159">
        <v>0</v>
      </c>
    </row>
    <row r="176" spans="1:18" ht="22.5">
      <c r="A176" s="41">
        <v>167</v>
      </c>
      <c r="B176" s="61" t="s">
        <v>292</v>
      </c>
      <c r="C176" s="159">
        <v>115</v>
      </c>
      <c r="D176" s="159">
        <v>93</v>
      </c>
      <c r="E176" s="159">
        <v>188</v>
      </c>
      <c r="F176" s="159">
        <v>6</v>
      </c>
      <c r="G176" s="159">
        <v>0</v>
      </c>
      <c r="H176" s="159">
        <v>0</v>
      </c>
      <c r="I176" s="159">
        <v>0</v>
      </c>
      <c r="J176" s="159">
        <v>1</v>
      </c>
      <c r="K176" s="159">
        <v>0</v>
      </c>
      <c r="L176" s="159">
        <v>0</v>
      </c>
      <c r="M176" s="159">
        <v>1</v>
      </c>
      <c r="N176" s="160">
        <f t="shared" si="4"/>
        <v>404</v>
      </c>
      <c r="O176" s="159">
        <v>0</v>
      </c>
      <c r="P176" s="159">
        <v>1</v>
      </c>
      <c r="Q176" s="159">
        <f t="shared" si="5"/>
        <v>405</v>
      </c>
      <c r="R176" s="159">
        <v>0</v>
      </c>
    </row>
    <row r="177" spans="1:18" ht="22.5">
      <c r="A177" s="41">
        <v>168</v>
      </c>
      <c r="B177" s="61" t="s">
        <v>293</v>
      </c>
      <c r="C177" s="159">
        <v>24</v>
      </c>
      <c r="D177" s="159">
        <v>236</v>
      </c>
      <c r="E177" s="159">
        <v>406</v>
      </c>
      <c r="F177" s="159">
        <v>10</v>
      </c>
      <c r="G177" s="159">
        <v>0</v>
      </c>
      <c r="H177" s="159">
        <v>0</v>
      </c>
      <c r="I177" s="159">
        <v>1</v>
      </c>
      <c r="J177" s="159">
        <v>1</v>
      </c>
      <c r="K177" s="159">
        <v>5</v>
      </c>
      <c r="L177" s="159">
        <v>3</v>
      </c>
      <c r="M177" s="159">
        <v>1</v>
      </c>
      <c r="N177" s="160">
        <f t="shared" si="4"/>
        <v>687</v>
      </c>
      <c r="O177" s="159">
        <v>0</v>
      </c>
      <c r="P177" s="159">
        <v>1</v>
      </c>
      <c r="Q177" s="159">
        <f t="shared" si="5"/>
        <v>688</v>
      </c>
      <c r="R177" s="159">
        <v>0</v>
      </c>
    </row>
    <row r="178" spans="1:18" ht="22.5">
      <c r="A178" s="41">
        <v>169</v>
      </c>
      <c r="B178" s="61" t="s">
        <v>294</v>
      </c>
      <c r="C178" s="159">
        <v>95</v>
      </c>
      <c r="D178" s="159">
        <v>426</v>
      </c>
      <c r="E178" s="159">
        <v>152</v>
      </c>
      <c r="F178" s="159">
        <v>5</v>
      </c>
      <c r="G178" s="159">
        <v>0</v>
      </c>
      <c r="H178" s="159">
        <v>0</v>
      </c>
      <c r="I178" s="159">
        <v>1</v>
      </c>
      <c r="J178" s="159">
        <v>3</v>
      </c>
      <c r="K178" s="159">
        <v>8</v>
      </c>
      <c r="L178" s="159">
        <v>11</v>
      </c>
      <c r="M178" s="159">
        <v>4</v>
      </c>
      <c r="N178" s="160">
        <f t="shared" si="4"/>
        <v>705</v>
      </c>
      <c r="O178" s="159">
        <v>0</v>
      </c>
      <c r="P178" s="159">
        <v>5</v>
      </c>
      <c r="Q178" s="159">
        <f t="shared" si="5"/>
        <v>710</v>
      </c>
      <c r="R178" s="159">
        <v>0</v>
      </c>
    </row>
    <row r="179" spans="1:18">
      <c r="A179" s="41">
        <v>170</v>
      </c>
      <c r="B179" s="61" t="s">
        <v>295</v>
      </c>
      <c r="C179" s="159">
        <v>77</v>
      </c>
      <c r="D179" s="159">
        <v>91</v>
      </c>
      <c r="E179" s="159">
        <v>575</v>
      </c>
      <c r="F179" s="159">
        <v>2</v>
      </c>
      <c r="G179" s="159">
        <v>0</v>
      </c>
      <c r="H179" s="159">
        <v>0</v>
      </c>
      <c r="I179" s="159">
        <v>0</v>
      </c>
      <c r="J179" s="159">
        <v>4</v>
      </c>
      <c r="K179" s="159">
        <v>0</v>
      </c>
      <c r="L179" s="159">
        <v>0</v>
      </c>
      <c r="M179" s="159">
        <v>0</v>
      </c>
      <c r="N179" s="160">
        <f t="shared" si="4"/>
        <v>749</v>
      </c>
      <c r="O179" s="159">
        <v>0</v>
      </c>
      <c r="P179" s="159">
        <v>1</v>
      </c>
      <c r="Q179" s="159">
        <f t="shared" si="5"/>
        <v>750</v>
      </c>
      <c r="R179" s="159">
        <v>0</v>
      </c>
    </row>
    <row r="180" spans="1:18">
      <c r="A180" s="41">
        <v>171</v>
      </c>
      <c r="B180" s="61" t="s">
        <v>296</v>
      </c>
      <c r="C180" s="159">
        <v>19</v>
      </c>
      <c r="D180" s="159">
        <v>37</v>
      </c>
      <c r="E180" s="159">
        <v>319</v>
      </c>
      <c r="F180" s="159">
        <v>3</v>
      </c>
      <c r="G180" s="159">
        <v>1</v>
      </c>
      <c r="H180" s="159">
        <v>0</v>
      </c>
      <c r="I180" s="159">
        <v>0</v>
      </c>
      <c r="J180" s="159">
        <v>1</v>
      </c>
      <c r="K180" s="159">
        <v>0</v>
      </c>
      <c r="L180" s="159">
        <v>2</v>
      </c>
      <c r="M180" s="159">
        <v>1</v>
      </c>
      <c r="N180" s="160">
        <f t="shared" si="4"/>
        <v>383</v>
      </c>
      <c r="O180" s="159">
        <v>0</v>
      </c>
      <c r="P180" s="159">
        <v>0</v>
      </c>
      <c r="Q180" s="159">
        <f t="shared" si="5"/>
        <v>383</v>
      </c>
      <c r="R180" s="159">
        <v>0</v>
      </c>
    </row>
    <row r="181" spans="1:18">
      <c r="A181" s="41">
        <v>172</v>
      </c>
      <c r="B181" s="61" t="s">
        <v>297</v>
      </c>
      <c r="C181" s="159">
        <v>138</v>
      </c>
      <c r="D181" s="159">
        <v>35</v>
      </c>
      <c r="E181" s="159">
        <v>279</v>
      </c>
      <c r="F181" s="159">
        <v>1</v>
      </c>
      <c r="G181" s="159">
        <v>2</v>
      </c>
      <c r="H181" s="159">
        <v>0</v>
      </c>
      <c r="I181" s="159">
        <v>0</v>
      </c>
      <c r="J181" s="159">
        <v>2</v>
      </c>
      <c r="K181" s="159">
        <v>1</v>
      </c>
      <c r="L181" s="159">
        <v>3</v>
      </c>
      <c r="M181" s="159">
        <v>1</v>
      </c>
      <c r="N181" s="160">
        <f t="shared" si="4"/>
        <v>462</v>
      </c>
      <c r="O181" s="159">
        <v>0</v>
      </c>
      <c r="P181" s="159">
        <v>0</v>
      </c>
      <c r="Q181" s="159">
        <f t="shared" si="5"/>
        <v>462</v>
      </c>
      <c r="R181" s="159">
        <v>0</v>
      </c>
    </row>
    <row r="182" spans="1:18" ht="22.5">
      <c r="A182" s="41">
        <v>173</v>
      </c>
      <c r="B182" s="61" t="s">
        <v>298</v>
      </c>
      <c r="C182" s="159">
        <v>10</v>
      </c>
      <c r="D182" s="159">
        <v>139</v>
      </c>
      <c r="E182" s="159">
        <v>415</v>
      </c>
      <c r="F182" s="159">
        <v>6</v>
      </c>
      <c r="G182" s="159">
        <v>2</v>
      </c>
      <c r="H182" s="159">
        <v>1</v>
      </c>
      <c r="I182" s="159">
        <v>0</v>
      </c>
      <c r="J182" s="159">
        <v>0</v>
      </c>
      <c r="K182" s="159">
        <v>2</v>
      </c>
      <c r="L182" s="159">
        <v>5</v>
      </c>
      <c r="M182" s="159">
        <v>1</v>
      </c>
      <c r="N182" s="160">
        <f t="shared" si="4"/>
        <v>581</v>
      </c>
      <c r="O182" s="159">
        <v>0</v>
      </c>
      <c r="P182" s="159">
        <v>1</v>
      </c>
      <c r="Q182" s="159">
        <f t="shared" si="5"/>
        <v>582</v>
      </c>
      <c r="R182" s="159">
        <v>0</v>
      </c>
    </row>
    <row r="183" spans="1:18">
      <c r="A183" s="41">
        <v>174</v>
      </c>
      <c r="B183" s="61" t="s">
        <v>299</v>
      </c>
      <c r="C183" s="159">
        <v>132</v>
      </c>
      <c r="D183" s="159">
        <v>278</v>
      </c>
      <c r="E183" s="159">
        <v>366</v>
      </c>
      <c r="F183" s="159">
        <v>11</v>
      </c>
      <c r="G183" s="159">
        <v>0</v>
      </c>
      <c r="H183" s="159">
        <v>0</v>
      </c>
      <c r="I183" s="159">
        <v>2</v>
      </c>
      <c r="J183" s="159">
        <v>3</v>
      </c>
      <c r="K183" s="159">
        <v>1</v>
      </c>
      <c r="L183" s="159">
        <v>1</v>
      </c>
      <c r="M183" s="159">
        <v>0</v>
      </c>
      <c r="N183" s="160">
        <f t="shared" si="4"/>
        <v>794</v>
      </c>
      <c r="O183" s="159">
        <v>0</v>
      </c>
      <c r="P183" s="159">
        <v>3</v>
      </c>
      <c r="Q183" s="159">
        <f t="shared" si="5"/>
        <v>797</v>
      </c>
      <c r="R183" s="159">
        <v>0</v>
      </c>
    </row>
    <row r="184" spans="1:18">
      <c r="A184" s="41">
        <v>175</v>
      </c>
      <c r="B184" s="61" t="s">
        <v>300</v>
      </c>
      <c r="C184" s="159">
        <v>232</v>
      </c>
      <c r="D184" s="159">
        <v>341</v>
      </c>
      <c r="E184" s="159">
        <v>127</v>
      </c>
      <c r="F184" s="159">
        <v>4</v>
      </c>
      <c r="G184" s="159">
        <v>1</v>
      </c>
      <c r="H184" s="159">
        <v>1</v>
      </c>
      <c r="I184" s="159">
        <v>1</v>
      </c>
      <c r="J184" s="159">
        <v>1</v>
      </c>
      <c r="K184" s="159">
        <v>6</v>
      </c>
      <c r="L184" s="159">
        <v>3</v>
      </c>
      <c r="M184" s="159">
        <v>4</v>
      </c>
      <c r="N184" s="160">
        <f t="shared" si="4"/>
        <v>721</v>
      </c>
      <c r="O184" s="159">
        <v>0</v>
      </c>
      <c r="P184" s="159">
        <v>1</v>
      </c>
      <c r="Q184" s="159">
        <f t="shared" si="5"/>
        <v>722</v>
      </c>
      <c r="R184" s="159">
        <v>0</v>
      </c>
    </row>
    <row r="185" spans="1:18" ht="22.5">
      <c r="A185" s="41">
        <v>176</v>
      </c>
      <c r="B185" s="61" t="s">
        <v>301</v>
      </c>
      <c r="C185" s="159">
        <v>99</v>
      </c>
      <c r="D185" s="159">
        <v>60</v>
      </c>
      <c r="E185" s="159">
        <v>318</v>
      </c>
      <c r="F185" s="159">
        <v>8</v>
      </c>
      <c r="G185" s="159">
        <v>1</v>
      </c>
      <c r="H185" s="159">
        <v>1</v>
      </c>
      <c r="I185" s="159">
        <v>0</v>
      </c>
      <c r="J185" s="159">
        <v>2</v>
      </c>
      <c r="K185" s="159">
        <v>1</v>
      </c>
      <c r="L185" s="159">
        <v>3</v>
      </c>
      <c r="M185" s="159">
        <v>1</v>
      </c>
      <c r="N185" s="160">
        <f t="shared" si="4"/>
        <v>494</v>
      </c>
      <c r="O185" s="159">
        <v>0</v>
      </c>
      <c r="P185" s="159">
        <v>1</v>
      </c>
      <c r="Q185" s="159">
        <f t="shared" si="5"/>
        <v>495</v>
      </c>
      <c r="R185" s="159">
        <v>0</v>
      </c>
    </row>
    <row r="186" spans="1:18" ht="22.5">
      <c r="A186" s="41">
        <v>177</v>
      </c>
      <c r="B186" s="61" t="s">
        <v>302</v>
      </c>
      <c r="C186" s="159">
        <v>84</v>
      </c>
      <c r="D186" s="159">
        <v>44</v>
      </c>
      <c r="E186" s="159">
        <v>450</v>
      </c>
      <c r="F186" s="159">
        <v>2</v>
      </c>
      <c r="G186" s="159">
        <v>1</v>
      </c>
      <c r="H186" s="159">
        <v>0</v>
      </c>
      <c r="I186" s="159">
        <v>0</v>
      </c>
      <c r="J186" s="159">
        <v>0</v>
      </c>
      <c r="K186" s="159">
        <v>0</v>
      </c>
      <c r="L186" s="159">
        <v>2</v>
      </c>
      <c r="M186" s="159">
        <v>1</v>
      </c>
      <c r="N186" s="160">
        <f t="shared" si="4"/>
        <v>584</v>
      </c>
      <c r="O186" s="159">
        <v>0</v>
      </c>
      <c r="P186" s="159">
        <v>1</v>
      </c>
      <c r="Q186" s="159">
        <f t="shared" si="5"/>
        <v>585</v>
      </c>
      <c r="R186" s="159">
        <v>0</v>
      </c>
    </row>
    <row r="187" spans="1:18" ht="22.5">
      <c r="A187" s="41">
        <v>178</v>
      </c>
      <c r="B187" s="61" t="s">
        <v>303</v>
      </c>
      <c r="C187" s="159">
        <v>101</v>
      </c>
      <c r="D187" s="159">
        <v>121</v>
      </c>
      <c r="E187" s="159">
        <v>487</v>
      </c>
      <c r="F187" s="159">
        <v>3</v>
      </c>
      <c r="G187" s="159">
        <v>0</v>
      </c>
      <c r="H187" s="159">
        <v>1</v>
      </c>
      <c r="I187" s="159">
        <v>1</v>
      </c>
      <c r="J187" s="159">
        <v>1</v>
      </c>
      <c r="K187" s="159">
        <v>1</v>
      </c>
      <c r="L187" s="159">
        <v>3</v>
      </c>
      <c r="M187" s="159">
        <v>0</v>
      </c>
      <c r="N187" s="160">
        <f t="shared" si="4"/>
        <v>719</v>
      </c>
      <c r="O187" s="159">
        <v>0</v>
      </c>
      <c r="P187" s="159">
        <v>3</v>
      </c>
      <c r="Q187" s="159">
        <f t="shared" si="5"/>
        <v>722</v>
      </c>
      <c r="R187" s="159">
        <v>0</v>
      </c>
    </row>
    <row r="188" spans="1:18" ht="22.5">
      <c r="A188" s="41">
        <v>179</v>
      </c>
      <c r="B188" s="61" t="s">
        <v>304</v>
      </c>
      <c r="C188" s="159">
        <v>131</v>
      </c>
      <c r="D188" s="159">
        <v>138</v>
      </c>
      <c r="E188" s="159">
        <v>335</v>
      </c>
      <c r="F188" s="159">
        <v>7</v>
      </c>
      <c r="G188" s="159">
        <v>0</v>
      </c>
      <c r="H188" s="159">
        <v>1</v>
      </c>
      <c r="I188" s="159">
        <v>0</v>
      </c>
      <c r="J188" s="159">
        <v>1</v>
      </c>
      <c r="K188" s="159">
        <v>1</v>
      </c>
      <c r="L188" s="159">
        <v>2</v>
      </c>
      <c r="M188" s="159">
        <v>0</v>
      </c>
      <c r="N188" s="160">
        <f t="shared" si="4"/>
        <v>616</v>
      </c>
      <c r="O188" s="159">
        <v>0</v>
      </c>
      <c r="P188" s="159">
        <v>3</v>
      </c>
      <c r="Q188" s="159">
        <f t="shared" si="5"/>
        <v>619</v>
      </c>
      <c r="R188" s="159">
        <v>0</v>
      </c>
    </row>
    <row r="189" spans="1:18">
      <c r="A189" s="41">
        <v>180</v>
      </c>
      <c r="B189" s="61" t="s">
        <v>305</v>
      </c>
      <c r="C189" s="159">
        <v>1</v>
      </c>
      <c r="D189" s="159">
        <v>345</v>
      </c>
      <c r="E189" s="159">
        <v>101</v>
      </c>
      <c r="F189" s="159">
        <v>12</v>
      </c>
      <c r="G189" s="159">
        <v>0</v>
      </c>
      <c r="H189" s="159">
        <v>0</v>
      </c>
      <c r="I189" s="159">
        <v>1</v>
      </c>
      <c r="J189" s="159">
        <v>0</v>
      </c>
      <c r="K189" s="159">
        <v>0</v>
      </c>
      <c r="L189" s="159">
        <v>0</v>
      </c>
      <c r="M189" s="159">
        <v>0</v>
      </c>
      <c r="N189" s="160">
        <f t="shared" si="4"/>
        <v>460</v>
      </c>
      <c r="O189" s="159">
        <v>0</v>
      </c>
      <c r="P189" s="159">
        <v>0</v>
      </c>
      <c r="Q189" s="159">
        <f t="shared" si="5"/>
        <v>460</v>
      </c>
      <c r="R189" s="159">
        <v>0</v>
      </c>
    </row>
    <row r="190" spans="1:18" ht="22.5">
      <c r="A190" s="41">
        <v>181</v>
      </c>
      <c r="B190" s="61" t="s">
        <v>306</v>
      </c>
      <c r="C190" s="159">
        <v>1</v>
      </c>
      <c r="D190" s="159">
        <v>80</v>
      </c>
      <c r="E190" s="159">
        <v>309</v>
      </c>
      <c r="F190" s="159">
        <v>2</v>
      </c>
      <c r="G190" s="159">
        <v>0</v>
      </c>
      <c r="H190" s="159">
        <v>0</v>
      </c>
      <c r="I190" s="159">
        <v>1</v>
      </c>
      <c r="J190" s="159">
        <v>3</v>
      </c>
      <c r="K190" s="159">
        <v>0</v>
      </c>
      <c r="L190" s="159">
        <v>2</v>
      </c>
      <c r="M190" s="159">
        <v>2</v>
      </c>
      <c r="N190" s="160">
        <f t="shared" si="4"/>
        <v>400</v>
      </c>
      <c r="O190" s="159">
        <v>0</v>
      </c>
      <c r="P190" s="159">
        <v>1</v>
      </c>
      <c r="Q190" s="159">
        <f t="shared" si="5"/>
        <v>401</v>
      </c>
      <c r="R190" s="159">
        <v>0</v>
      </c>
    </row>
    <row r="191" spans="1:18" ht="22.5">
      <c r="A191" s="41">
        <v>182</v>
      </c>
      <c r="B191" s="61" t="s">
        <v>307</v>
      </c>
      <c r="C191" s="159">
        <v>13</v>
      </c>
      <c r="D191" s="159">
        <v>94</v>
      </c>
      <c r="E191" s="159">
        <v>303</v>
      </c>
      <c r="F191" s="159">
        <v>1</v>
      </c>
      <c r="G191" s="159">
        <v>0</v>
      </c>
      <c r="H191" s="159">
        <v>0</v>
      </c>
      <c r="I191" s="159">
        <v>0</v>
      </c>
      <c r="J191" s="159">
        <v>0</v>
      </c>
      <c r="K191" s="159">
        <v>0</v>
      </c>
      <c r="L191" s="159">
        <v>4</v>
      </c>
      <c r="M191" s="159">
        <v>0</v>
      </c>
      <c r="N191" s="160">
        <f t="shared" si="4"/>
        <v>415</v>
      </c>
      <c r="O191" s="159">
        <v>0</v>
      </c>
      <c r="P191" s="159">
        <v>4</v>
      </c>
      <c r="Q191" s="159">
        <f t="shared" si="5"/>
        <v>419</v>
      </c>
      <c r="R191" s="159">
        <v>0</v>
      </c>
    </row>
    <row r="192" spans="1:18">
      <c r="A192" s="41">
        <v>183</v>
      </c>
      <c r="B192" s="61" t="s">
        <v>308</v>
      </c>
      <c r="C192" s="159">
        <v>11</v>
      </c>
      <c r="D192" s="159">
        <v>277</v>
      </c>
      <c r="E192" s="159">
        <v>209</v>
      </c>
      <c r="F192" s="159">
        <v>10</v>
      </c>
      <c r="G192" s="159">
        <v>1</v>
      </c>
      <c r="H192" s="159">
        <v>0</v>
      </c>
      <c r="I192" s="159">
        <v>1</v>
      </c>
      <c r="J192" s="159">
        <v>0</v>
      </c>
      <c r="K192" s="159">
        <v>1</v>
      </c>
      <c r="L192" s="159">
        <v>5</v>
      </c>
      <c r="M192" s="159">
        <v>0</v>
      </c>
      <c r="N192" s="160">
        <f t="shared" si="4"/>
        <v>515</v>
      </c>
      <c r="O192" s="159">
        <v>0</v>
      </c>
      <c r="P192" s="159">
        <v>5</v>
      </c>
      <c r="Q192" s="159">
        <f t="shared" si="5"/>
        <v>520</v>
      </c>
      <c r="R192" s="159">
        <v>0</v>
      </c>
    </row>
    <row r="193" spans="1:18">
      <c r="A193" s="41">
        <v>184</v>
      </c>
      <c r="B193" s="61" t="s">
        <v>309</v>
      </c>
      <c r="C193" s="159">
        <v>10</v>
      </c>
      <c r="D193" s="159">
        <v>211</v>
      </c>
      <c r="E193" s="159">
        <v>290</v>
      </c>
      <c r="F193" s="159">
        <v>1</v>
      </c>
      <c r="G193" s="159">
        <v>0</v>
      </c>
      <c r="H193" s="159">
        <v>1</v>
      </c>
      <c r="I193" s="159">
        <v>0</v>
      </c>
      <c r="J193" s="159">
        <v>1</v>
      </c>
      <c r="K193" s="159">
        <v>1</v>
      </c>
      <c r="L193" s="159">
        <v>4</v>
      </c>
      <c r="M193" s="159">
        <v>1</v>
      </c>
      <c r="N193" s="160">
        <f t="shared" si="4"/>
        <v>520</v>
      </c>
      <c r="O193" s="159">
        <v>0</v>
      </c>
      <c r="P193" s="159">
        <v>6</v>
      </c>
      <c r="Q193" s="159">
        <f t="shared" si="5"/>
        <v>526</v>
      </c>
      <c r="R193" s="159">
        <v>0</v>
      </c>
    </row>
    <row r="194" spans="1:18">
      <c r="A194" s="41">
        <v>185</v>
      </c>
      <c r="B194" s="61" t="s">
        <v>310</v>
      </c>
      <c r="C194" s="159">
        <v>2</v>
      </c>
      <c r="D194" s="159">
        <v>438</v>
      </c>
      <c r="E194" s="159">
        <v>75</v>
      </c>
      <c r="F194" s="159">
        <v>0</v>
      </c>
      <c r="G194" s="159">
        <v>0</v>
      </c>
      <c r="H194" s="159">
        <v>0</v>
      </c>
      <c r="I194" s="159">
        <v>0</v>
      </c>
      <c r="J194" s="159">
        <v>0</v>
      </c>
      <c r="K194" s="159">
        <v>0</v>
      </c>
      <c r="L194" s="159">
        <v>4</v>
      </c>
      <c r="M194" s="159">
        <v>0</v>
      </c>
      <c r="N194" s="160">
        <f t="shared" si="4"/>
        <v>519</v>
      </c>
      <c r="O194" s="159">
        <v>0</v>
      </c>
      <c r="P194" s="159">
        <v>4</v>
      </c>
      <c r="Q194" s="159">
        <f t="shared" si="5"/>
        <v>523</v>
      </c>
      <c r="R194" s="159">
        <v>0</v>
      </c>
    </row>
    <row r="195" spans="1:18">
      <c r="A195" s="41">
        <v>186</v>
      </c>
      <c r="B195" s="61" t="s">
        <v>311</v>
      </c>
      <c r="C195" s="159">
        <v>167</v>
      </c>
      <c r="D195" s="159">
        <v>221</v>
      </c>
      <c r="E195" s="159">
        <v>104</v>
      </c>
      <c r="F195" s="159">
        <v>1</v>
      </c>
      <c r="G195" s="159">
        <v>1</v>
      </c>
      <c r="H195" s="159">
        <v>0</v>
      </c>
      <c r="I195" s="159">
        <v>0</v>
      </c>
      <c r="J195" s="159">
        <v>1</v>
      </c>
      <c r="K195" s="159">
        <v>1</v>
      </c>
      <c r="L195" s="159">
        <v>1</v>
      </c>
      <c r="M195" s="159">
        <v>1</v>
      </c>
      <c r="N195" s="160">
        <f t="shared" si="4"/>
        <v>498</v>
      </c>
      <c r="O195" s="159">
        <v>0</v>
      </c>
      <c r="P195" s="159">
        <v>0</v>
      </c>
      <c r="Q195" s="159">
        <f t="shared" si="5"/>
        <v>498</v>
      </c>
      <c r="R195" s="159">
        <v>0</v>
      </c>
    </row>
    <row r="196" spans="1:18">
      <c r="A196" s="41">
        <v>187</v>
      </c>
      <c r="B196" s="61" t="s">
        <v>312</v>
      </c>
      <c r="C196" s="159">
        <v>198</v>
      </c>
      <c r="D196" s="159">
        <v>163</v>
      </c>
      <c r="E196" s="159">
        <v>431</v>
      </c>
      <c r="F196" s="159">
        <v>5</v>
      </c>
      <c r="G196" s="159">
        <v>0</v>
      </c>
      <c r="H196" s="159">
        <v>0</v>
      </c>
      <c r="I196" s="159">
        <v>1</v>
      </c>
      <c r="J196" s="159">
        <v>0</v>
      </c>
      <c r="K196" s="159">
        <v>1</v>
      </c>
      <c r="L196" s="159">
        <v>4</v>
      </c>
      <c r="M196" s="159">
        <v>0</v>
      </c>
      <c r="N196" s="160">
        <f t="shared" si="4"/>
        <v>803</v>
      </c>
      <c r="O196" s="159">
        <v>0</v>
      </c>
      <c r="P196" s="159">
        <v>3</v>
      </c>
      <c r="Q196" s="159">
        <f t="shared" si="5"/>
        <v>806</v>
      </c>
      <c r="R196" s="159">
        <v>0</v>
      </c>
    </row>
    <row r="197" spans="1:18">
      <c r="A197" s="41">
        <v>188</v>
      </c>
      <c r="B197" s="61" t="s">
        <v>313</v>
      </c>
      <c r="C197" s="159">
        <v>316</v>
      </c>
      <c r="D197" s="159">
        <v>5</v>
      </c>
      <c r="E197" s="159">
        <v>36</v>
      </c>
      <c r="F197" s="159">
        <v>1</v>
      </c>
      <c r="G197" s="159">
        <v>0</v>
      </c>
      <c r="H197" s="159">
        <v>0</v>
      </c>
      <c r="I197" s="159">
        <v>0</v>
      </c>
      <c r="J197" s="159">
        <v>1</v>
      </c>
      <c r="K197" s="159">
        <v>0</v>
      </c>
      <c r="L197" s="159">
        <v>2</v>
      </c>
      <c r="M197" s="159">
        <v>1</v>
      </c>
      <c r="N197" s="160">
        <f t="shared" si="4"/>
        <v>362</v>
      </c>
      <c r="O197" s="159">
        <v>0</v>
      </c>
      <c r="P197" s="159">
        <v>14</v>
      </c>
      <c r="Q197" s="159">
        <f t="shared" si="5"/>
        <v>376</v>
      </c>
      <c r="R197" s="159">
        <v>0</v>
      </c>
    </row>
    <row r="198" spans="1:18">
      <c r="A198" s="41">
        <v>189</v>
      </c>
      <c r="B198" s="61" t="s">
        <v>314</v>
      </c>
      <c r="C198" s="159">
        <v>256</v>
      </c>
      <c r="D198" s="159">
        <v>20</v>
      </c>
      <c r="E198" s="159">
        <v>377</v>
      </c>
      <c r="F198" s="159">
        <v>3</v>
      </c>
      <c r="G198" s="159">
        <v>1</v>
      </c>
      <c r="H198" s="159">
        <v>0</v>
      </c>
      <c r="I198" s="159">
        <v>1</v>
      </c>
      <c r="J198" s="159">
        <v>1</v>
      </c>
      <c r="K198" s="159">
        <v>1</v>
      </c>
      <c r="L198" s="159">
        <v>0</v>
      </c>
      <c r="M198" s="159">
        <v>1</v>
      </c>
      <c r="N198" s="160">
        <f t="shared" si="4"/>
        <v>661</v>
      </c>
      <c r="O198" s="159">
        <v>0</v>
      </c>
      <c r="P198" s="159">
        <v>3</v>
      </c>
      <c r="Q198" s="159">
        <f t="shared" si="5"/>
        <v>664</v>
      </c>
      <c r="R198" s="159">
        <v>0</v>
      </c>
    </row>
    <row r="199" spans="1:18" ht="22.5">
      <c r="A199" s="41">
        <v>190</v>
      </c>
      <c r="B199" s="61" t="s">
        <v>315</v>
      </c>
      <c r="C199" s="159">
        <v>359</v>
      </c>
      <c r="D199" s="159">
        <v>287</v>
      </c>
      <c r="E199" s="159">
        <v>164</v>
      </c>
      <c r="F199" s="159">
        <v>4</v>
      </c>
      <c r="G199" s="159">
        <v>8</v>
      </c>
      <c r="H199" s="159">
        <v>0</v>
      </c>
      <c r="I199" s="159">
        <v>1</v>
      </c>
      <c r="J199" s="159">
        <v>0</v>
      </c>
      <c r="K199" s="159">
        <v>0</v>
      </c>
      <c r="L199" s="159">
        <v>4</v>
      </c>
      <c r="M199" s="159">
        <v>3</v>
      </c>
      <c r="N199" s="160">
        <f t="shared" si="4"/>
        <v>830</v>
      </c>
      <c r="O199" s="159">
        <v>0</v>
      </c>
      <c r="P199" s="159">
        <v>5</v>
      </c>
      <c r="Q199" s="159">
        <f t="shared" si="5"/>
        <v>835</v>
      </c>
      <c r="R199" s="159">
        <v>0</v>
      </c>
    </row>
    <row r="200" spans="1:18" ht="22.5">
      <c r="A200" s="41">
        <v>191</v>
      </c>
      <c r="B200" s="61" t="s">
        <v>316</v>
      </c>
      <c r="C200" s="159">
        <v>522</v>
      </c>
      <c r="D200" s="159">
        <v>4</v>
      </c>
      <c r="E200" s="159">
        <v>8</v>
      </c>
      <c r="F200" s="159">
        <v>1</v>
      </c>
      <c r="G200" s="159">
        <v>0</v>
      </c>
      <c r="H200" s="159">
        <v>0</v>
      </c>
      <c r="I200" s="159">
        <v>0</v>
      </c>
      <c r="J200" s="159">
        <v>1</v>
      </c>
      <c r="K200" s="159">
        <v>0</v>
      </c>
      <c r="L200" s="159">
        <v>0</v>
      </c>
      <c r="M200" s="159">
        <v>0</v>
      </c>
      <c r="N200" s="160">
        <f t="shared" si="4"/>
        <v>536</v>
      </c>
      <c r="O200" s="159">
        <v>0</v>
      </c>
      <c r="P200" s="159">
        <v>8</v>
      </c>
      <c r="Q200" s="159">
        <f t="shared" si="5"/>
        <v>544</v>
      </c>
      <c r="R200" s="159">
        <v>0</v>
      </c>
    </row>
    <row r="201" spans="1:18" ht="22.5">
      <c r="A201" s="41">
        <v>192</v>
      </c>
      <c r="B201" s="61" t="s">
        <v>317</v>
      </c>
      <c r="C201" s="159">
        <v>563</v>
      </c>
      <c r="D201" s="159">
        <v>10</v>
      </c>
      <c r="E201" s="159">
        <v>19</v>
      </c>
      <c r="F201" s="159">
        <v>1</v>
      </c>
      <c r="G201" s="159">
        <v>0</v>
      </c>
      <c r="H201" s="159">
        <v>0</v>
      </c>
      <c r="I201" s="159">
        <v>0</v>
      </c>
      <c r="J201" s="159">
        <v>2</v>
      </c>
      <c r="K201" s="159">
        <v>0</v>
      </c>
      <c r="L201" s="159">
        <v>0</v>
      </c>
      <c r="M201" s="159">
        <v>0</v>
      </c>
      <c r="N201" s="160">
        <f t="shared" si="4"/>
        <v>595</v>
      </c>
      <c r="O201" s="159">
        <v>0</v>
      </c>
      <c r="P201" s="159">
        <v>7</v>
      </c>
      <c r="Q201" s="159">
        <f t="shared" si="5"/>
        <v>602</v>
      </c>
      <c r="R201" s="159">
        <v>0</v>
      </c>
    </row>
    <row r="202" spans="1:18">
      <c r="A202" s="41">
        <v>193</v>
      </c>
      <c r="B202" s="61" t="s">
        <v>318</v>
      </c>
      <c r="C202" s="159">
        <v>335</v>
      </c>
      <c r="D202" s="159">
        <v>104</v>
      </c>
      <c r="E202" s="159">
        <v>243</v>
      </c>
      <c r="F202" s="159">
        <v>1</v>
      </c>
      <c r="G202" s="159">
        <v>0</v>
      </c>
      <c r="H202" s="159">
        <v>0</v>
      </c>
      <c r="I202" s="159">
        <v>0</v>
      </c>
      <c r="J202" s="159">
        <v>0</v>
      </c>
      <c r="K202" s="159">
        <v>2</v>
      </c>
      <c r="L202" s="159">
        <v>1</v>
      </c>
      <c r="M202" s="159">
        <v>2</v>
      </c>
      <c r="N202" s="160">
        <f t="shared" si="4"/>
        <v>688</v>
      </c>
      <c r="O202" s="159">
        <v>0</v>
      </c>
      <c r="P202" s="159">
        <v>3</v>
      </c>
      <c r="Q202" s="159">
        <f t="shared" si="5"/>
        <v>691</v>
      </c>
      <c r="R202" s="159">
        <v>0</v>
      </c>
    </row>
    <row r="203" spans="1:18">
      <c r="A203" s="41">
        <v>194</v>
      </c>
      <c r="B203" s="61" t="s">
        <v>319</v>
      </c>
      <c r="C203" s="159">
        <v>37</v>
      </c>
      <c r="D203" s="159">
        <v>510</v>
      </c>
      <c r="E203" s="159">
        <v>58</v>
      </c>
      <c r="F203" s="159">
        <v>26</v>
      </c>
      <c r="G203" s="159">
        <v>1</v>
      </c>
      <c r="H203" s="159">
        <v>0</v>
      </c>
      <c r="I203" s="159">
        <v>0</v>
      </c>
      <c r="J203" s="159">
        <v>1</v>
      </c>
      <c r="K203" s="159">
        <v>11</v>
      </c>
      <c r="L203" s="159">
        <v>0</v>
      </c>
      <c r="M203" s="159">
        <v>2</v>
      </c>
      <c r="N203" s="160">
        <f t="shared" ref="N203:N266" si="6">SUM(C203:M203)</f>
        <v>646</v>
      </c>
      <c r="O203" s="159">
        <v>0</v>
      </c>
      <c r="P203" s="159">
        <v>3</v>
      </c>
      <c r="Q203" s="159">
        <f t="shared" ref="Q203:Q266" si="7">N203+P203-O203</f>
        <v>649</v>
      </c>
      <c r="R203" s="159">
        <v>0</v>
      </c>
    </row>
    <row r="204" spans="1:18">
      <c r="A204" s="41">
        <v>195</v>
      </c>
      <c r="B204" s="61" t="s">
        <v>320</v>
      </c>
      <c r="C204" s="159">
        <v>23</v>
      </c>
      <c r="D204" s="159">
        <v>500</v>
      </c>
      <c r="E204" s="159">
        <v>14</v>
      </c>
      <c r="F204" s="159">
        <v>67</v>
      </c>
      <c r="G204" s="159">
        <v>5</v>
      </c>
      <c r="H204" s="159">
        <v>0</v>
      </c>
      <c r="I204" s="159">
        <v>0</v>
      </c>
      <c r="J204" s="159">
        <v>1</v>
      </c>
      <c r="K204" s="159">
        <v>12</v>
      </c>
      <c r="L204" s="159">
        <v>1</v>
      </c>
      <c r="M204" s="159">
        <v>2</v>
      </c>
      <c r="N204" s="160">
        <f t="shared" si="6"/>
        <v>625</v>
      </c>
      <c r="O204" s="159">
        <v>0</v>
      </c>
      <c r="P204" s="159">
        <v>2</v>
      </c>
      <c r="Q204" s="159">
        <f t="shared" si="7"/>
        <v>627</v>
      </c>
      <c r="R204" s="159">
        <v>0</v>
      </c>
    </row>
    <row r="205" spans="1:18">
      <c r="A205" s="41">
        <v>196</v>
      </c>
      <c r="B205" s="61" t="s">
        <v>321</v>
      </c>
      <c r="C205" s="159">
        <v>689</v>
      </c>
      <c r="D205" s="159">
        <v>15</v>
      </c>
      <c r="E205" s="159">
        <v>29</v>
      </c>
      <c r="F205" s="159">
        <v>0</v>
      </c>
      <c r="G205" s="159">
        <v>14</v>
      </c>
      <c r="H205" s="159">
        <v>0</v>
      </c>
      <c r="I205" s="159">
        <v>0</v>
      </c>
      <c r="J205" s="159">
        <v>0</v>
      </c>
      <c r="K205" s="159">
        <v>1</v>
      </c>
      <c r="L205" s="159">
        <v>0</v>
      </c>
      <c r="M205" s="159">
        <v>0</v>
      </c>
      <c r="N205" s="160">
        <f t="shared" si="6"/>
        <v>748</v>
      </c>
      <c r="O205" s="159">
        <v>0</v>
      </c>
      <c r="P205" s="159">
        <v>0</v>
      </c>
      <c r="Q205" s="159">
        <f t="shared" si="7"/>
        <v>748</v>
      </c>
      <c r="R205" s="159">
        <v>0</v>
      </c>
    </row>
    <row r="206" spans="1:18">
      <c r="A206" s="41">
        <v>197</v>
      </c>
      <c r="B206" s="61" t="s">
        <v>322</v>
      </c>
      <c r="C206" s="159">
        <v>305</v>
      </c>
      <c r="D206" s="159">
        <v>3</v>
      </c>
      <c r="E206" s="159">
        <v>10</v>
      </c>
      <c r="F206" s="159">
        <v>2</v>
      </c>
      <c r="G206" s="159">
        <v>0</v>
      </c>
      <c r="H206" s="159">
        <v>0</v>
      </c>
      <c r="I206" s="159">
        <v>0</v>
      </c>
      <c r="J206" s="159">
        <v>0</v>
      </c>
      <c r="K206" s="159">
        <v>0</v>
      </c>
      <c r="L206" s="159">
        <v>0</v>
      </c>
      <c r="M206" s="159">
        <v>0</v>
      </c>
      <c r="N206" s="160">
        <f t="shared" si="6"/>
        <v>320</v>
      </c>
      <c r="O206" s="159">
        <v>0</v>
      </c>
      <c r="P206" s="159">
        <v>4</v>
      </c>
      <c r="Q206" s="159">
        <f t="shared" si="7"/>
        <v>324</v>
      </c>
      <c r="R206" s="159">
        <v>0</v>
      </c>
    </row>
    <row r="207" spans="1:18">
      <c r="A207" s="41">
        <v>198</v>
      </c>
      <c r="B207" s="61" t="s">
        <v>323</v>
      </c>
      <c r="C207" s="159">
        <v>49</v>
      </c>
      <c r="D207" s="159">
        <v>31</v>
      </c>
      <c r="E207" s="159">
        <v>356</v>
      </c>
      <c r="F207" s="159">
        <v>9</v>
      </c>
      <c r="G207" s="159">
        <v>0</v>
      </c>
      <c r="H207" s="159">
        <v>0</v>
      </c>
      <c r="I207" s="159">
        <v>0</v>
      </c>
      <c r="J207" s="159">
        <v>2</v>
      </c>
      <c r="K207" s="159">
        <v>0</v>
      </c>
      <c r="L207" s="159">
        <v>2</v>
      </c>
      <c r="M207" s="159">
        <v>0</v>
      </c>
      <c r="N207" s="160">
        <f t="shared" si="6"/>
        <v>449</v>
      </c>
      <c r="O207" s="159">
        <v>0</v>
      </c>
      <c r="P207" s="159">
        <v>1</v>
      </c>
      <c r="Q207" s="159">
        <f t="shared" si="7"/>
        <v>450</v>
      </c>
      <c r="R207" s="159">
        <v>0</v>
      </c>
    </row>
    <row r="208" spans="1:18">
      <c r="A208" s="41">
        <v>199</v>
      </c>
      <c r="B208" s="61" t="s">
        <v>324</v>
      </c>
      <c r="C208" s="159">
        <v>46</v>
      </c>
      <c r="D208" s="159">
        <v>47</v>
      </c>
      <c r="E208" s="159">
        <v>250</v>
      </c>
      <c r="F208" s="159">
        <v>3</v>
      </c>
      <c r="G208" s="159">
        <v>9</v>
      </c>
      <c r="H208" s="159">
        <v>0</v>
      </c>
      <c r="I208" s="159">
        <v>0</v>
      </c>
      <c r="J208" s="159">
        <v>0</v>
      </c>
      <c r="K208" s="159">
        <v>0</v>
      </c>
      <c r="L208" s="159">
        <v>9</v>
      </c>
      <c r="M208" s="159">
        <v>1</v>
      </c>
      <c r="N208" s="160">
        <f t="shared" si="6"/>
        <v>365</v>
      </c>
      <c r="O208" s="159">
        <v>0</v>
      </c>
      <c r="P208" s="159">
        <v>1</v>
      </c>
      <c r="Q208" s="159">
        <f t="shared" si="7"/>
        <v>366</v>
      </c>
      <c r="R208" s="159">
        <v>0</v>
      </c>
    </row>
    <row r="209" spans="1:18">
      <c r="A209" s="41">
        <v>200</v>
      </c>
      <c r="B209" s="62" t="s">
        <v>325</v>
      </c>
      <c r="C209" s="159">
        <v>211</v>
      </c>
      <c r="D209" s="159">
        <v>17</v>
      </c>
      <c r="E209" s="159">
        <v>319</v>
      </c>
      <c r="F209" s="159">
        <v>8</v>
      </c>
      <c r="G209" s="159">
        <v>1</v>
      </c>
      <c r="H209" s="159">
        <v>0</v>
      </c>
      <c r="I209" s="159">
        <v>1</v>
      </c>
      <c r="J209" s="159">
        <v>1</v>
      </c>
      <c r="K209" s="159">
        <v>0</v>
      </c>
      <c r="L209" s="159">
        <v>6</v>
      </c>
      <c r="M209" s="159">
        <v>2</v>
      </c>
      <c r="N209" s="160">
        <f t="shared" si="6"/>
        <v>566</v>
      </c>
      <c r="O209" s="159">
        <v>0</v>
      </c>
      <c r="P209" s="159">
        <v>4</v>
      </c>
      <c r="Q209" s="159">
        <f t="shared" si="7"/>
        <v>570</v>
      </c>
      <c r="R209" s="159">
        <v>0</v>
      </c>
    </row>
    <row r="210" spans="1:18">
      <c r="A210" s="41">
        <v>201</v>
      </c>
      <c r="B210" s="61" t="s">
        <v>326</v>
      </c>
      <c r="C210" s="159">
        <v>55</v>
      </c>
      <c r="D210" s="159">
        <v>67</v>
      </c>
      <c r="E210" s="159">
        <v>372</v>
      </c>
      <c r="F210" s="159">
        <v>3</v>
      </c>
      <c r="G210" s="159">
        <v>1</v>
      </c>
      <c r="H210" s="159">
        <v>0</v>
      </c>
      <c r="I210" s="159">
        <v>0</v>
      </c>
      <c r="J210" s="159">
        <v>5</v>
      </c>
      <c r="K210" s="159">
        <v>1</v>
      </c>
      <c r="L210" s="159">
        <v>2</v>
      </c>
      <c r="M210" s="159">
        <v>0</v>
      </c>
      <c r="N210" s="160">
        <f t="shared" si="6"/>
        <v>506</v>
      </c>
      <c r="O210" s="159">
        <v>0</v>
      </c>
      <c r="P210" s="159">
        <v>4</v>
      </c>
      <c r="Q210" s="159">
        <f t="shared" si="7"/>
        <v>510</v>
      </c>
      <c r="R210" s="159">
        <v>0</v>
      </c>
    </row>
    <row r="211" spans="1:18">
      <c r="A211" s="41">
        <v>202</v>
      </c>
      <c r="B211" s="61" t="s">
        <v>327</v>
      </c>
      <c r="C211" s="159">
        <v>47</v>
      </c>
      <c r="D211" s="159">
        <v>72</v>
      </c>
      <c r="E211" s="159">
        <v>250</v>
      </c>
      <c r="F211" s="159">
        <v>0</v>
      </c>
      <c r="G211" s="159">
        <v>0</v>
      </c>
      <c r="H211" s="159">
        <v>0</v>
      </c>
      <c r="I211" s="159">
        <v>1</v>
      </c>
      <c r="J211" s="159">
        <v>0</v>
      </c>
      <c r="K211" s="159">
        <v>4</v>
      </c>
      <c r="L211" s="159">
        <v>0</v>
      </c>
      <c r="M211" s="159">
        <v>0</v>
      </c>
      <c r="N211" s="160">
        <f t="shared" si="6"/>
        <v>374</v>
      </c>
      <c r="O211" s="159">
        <v>0</v>
      </c>
      <c r="P211" s="159">
        <v>0</v>
      </c>
      <c r="Q211" s="159">
        <f t="shared" si="7"/>
        <v>374</v>
      </c>
      <c r="R211" s="159">
        <v>0</v>
      </c>
    </row>
    <row r="212" spans="1:18" ht="22.5">
      <c r="A212" s="41">
        <v>203</v>
      </c>
      <c r="B212" s="61" t="s">
        <v>328</v>
      </c>
      <c r="C212" s="159">
        <v>13</v>
      </c>
      <c r="D212" s="159">
        <v>660</v>
      </c>
      <c r="E212" s="159">
        <v>150</v>
      </c>
      <c r="F212" s="159">
        <v>2</v>
      </c>
      <c r="G212" s="159">
        <v>6</v>
      </c>
      <c r="H212" s="159">
        <v>1</v>
      </c>
      <c r="I212" s="159">
        <v>2</v>
      </c>
      <c r="J212" s="159">
        <v>2</v>
      </c>
      <c r="K212" s="159">
        <v>6</v>
      </c>
      <c r="L212" s="159">
        <v>5</v>
      </c>
      <c r="M212" s="159">
        <v>2</v>
      </c>
      <c r="N212" s="160">
        <f t="shared" si="6"/>
        <v>849</v>
      </c>
      <c r="O212" s="159">
        <v>0</v>
      </c>
      <c r="P212" s="159">
        <v>3</v>
      </c>
      <c r="Q212" s="159">
        <f t="shared" si="7"/>
        <v>852</v>
      </c>
      <c r="R212" s="159">
        <v>0</v>
      </c>
    </row>
    <row r="213" spans="1:18" ht="22.5">
      <c r="A213" s="41">
        <v>204</v>
      </c>
      <c r="B213" s="61" t="s">
        <v>329</v>
      </c>
      <c r="C213" s="159">
        <v>100</v>
      </c>
      <c r="D213" s="159">
        <v>582</v>
      </c>
      <c r="E213" s="159">
        <v>36</v>
      </c>
      <c r="F213" s="159">
        <v>2</v>
      </c>
      <c r="G213" s="159">
        <v>2</v>
      </c>
      <c r="H213" s="159">
        <v>1</v>
      </c>
      <c r="I213" s="159">
        <v>0</v>
      </c>
      <c r="J213" s="159">
        <v>0</v>
      </c>
      <c r="K213" s="159">
        <v>12</v>
      </c>
      <c r="L213" s="159">
        <v>2</v>
      </c>
      <c r="M213" s="159">
        <v>1</v>
      </c>
      <c r="N213" s="160">
        <f t="shared" si="6"/>
        <v>738</v>
      </c>
      <c r="O213" s="159">
        <v>0</v>
      </c>
      <c r="P213" s="159">
        <v>5</v>
      </c>
      <c r="Q213" s="159">
        <f t="shared" si="7"/>
        <v>743</v>
      </c>
      <c r="R213" s="159">
        <v>0</v>
      </c>
    </row>
    <row r="214" spans="1:18" ht="22.5">
      <c r="A214" s="41">
        <v>205</v>
      </c>
      <c r="B214" s="61" t="s">
        <v>330</v>
      </c>
      <c r="C214" s="159">
        <v>20</v>
      </c>
      <c r="D214" s="159">
        <v>542</v>
      </c>
      <c r="E214" s="159">
        <v>41</v>
      </c>
      <c r="F214" s="159">
        <v>0</v>
      </c>
      <c r="G214" s="159">
        <v>0</v>
      </c>
      <c r="H214" s="159">
        <v>0</v>
      </c>
      <c r="I214" s="159">
        <v>0</v>
      </c>
      <c r="J214" s="159">
        <v>0</v>
      </c>
      <c r="K214" s="159">
        <v>2</v>
      </c>
      <c r="L214" s="159">
        <v>4</v>
      </c>
      <c r="M214" s="159">
        <v>0</v>
      </c>
      <c r="N214" s="160">
        <f t="shared" si="6"/>
        <v>609</v>
      </c>
      <c r="O214" s="159">
        <v>0</v>
      </c>
      <c r="P214" s="159">
        <v>1</v>
      </c>
      <c r="Q214" s="159">
        <f t="shared" si="7"/>
        <v>610</v>
      </c>
      <c r="R214" s="159">
        <v>0</v>
      </c>
    </row>
    <row r="215" spans="1:18" ht="22.5">
      <c r="A215" s="41">
        <v>206</v>
      </c>
      <c r="B215" s="61" t="s">
        <v>331</v>
      </c>
      <c r="C215" s="159">
        <v>46</v>
      </c>
      <c r="D215" s="159">
        <v>608</v>
      </c>
      <c r="E215" s="159">
        <v>10</v>
      </c>
      <c r="F215" s="159">
        <v>3</v>
      </c>
      <c r="G215" s="159">
        <v>0</v>
      </c>
      <c r="H215" s="159">
        <v>0</v>
      </c>
      <c r="I215" s="159">
        <v>0</v>
      </c>
      <c r="J215" s="159">
        <v>0</v>
      </c>
      <c r="K215" s="159">
        <v>8</v>
      </c>
      <c r="L215" s="159">
        <v>0</v>
      </c>
      <c r="M215" s="159">
        <v>1</v>
      </c>
      <c r="N215" s="160">
        <f t="shared" si="6"/>
        <v>676</v>
      </c>
      <c r="O215" s="159">
        <v>0</v>
      </c>
      <c r="P215" s="159">
        <v>2</v>
      </c>
      <c r="Q215" s="159">
        <f t="shared" si="7"/>
        <v>678</v>
      </c>
      <c r="R215" s="159">
        <v>0</v>
      </c>
    </row>
    <row r="216" spans="1:18" ht="22.5">
      <c r="A216" s="41">
        <v>207</v>
      </c>
      <c r="B216" s="61" t="s">
        <v>332</v>
      </c>
      <c r="C216" s="159">
        <v>400</v>
      </c>
      <c r="D216" s="159">
        <v>16</v>
      </c>
      <c r="E216" s="159">
        <v>215</v>
      </c>
      <c r="F216" s="159">
        <v>1</v>
      </c>
      <c r="G216" s="159">
        <v>1</v>
      </c>
      <c r="H216" s="159">
        <v>0</v>
      </c>
      <c r="I216" s="159">
        <v>2</v>
      </c>
      <c r="J216" s="159">
        <v>1</v>
      </c>
      <c r="K216" s="159">
        <v>1</v>
      </c>
      <c r="L216" s="159">
        <v>2</v>
      </c>
      <c r="M216" s="159">
        <v>2</v>
      </c>
      <c r="N216" s="160">
        <f t="shared" si="6"/>
        <v>641</v>
      </c>
      <c r="O216" s="159">
        <v>0</v>
      </c>
      <c r="P216" s="159">
        <v>5</v>
      </c>
      <c r="Q216" s="159">
        <f t="shared" si="7"/>
        <v>646</v>
      </c>
      <c r="R216" s="159">
        <v>0</v>
      </c>
    </row>
    <row r="217" spans="1:18">
      <c r="A217" s="41">
        <v>208</v>
      </c>
      <c r="B217" s="61" t="s">
        <v>333</v>
      </c>
      <c r="C217" s="159">
        <v>274</v>
      </c>
      <c r="D217" s="159">
        <v>47</v>
      </c>
      <c r="E217" s="159">
        <v>463</v>
      </c>
      <c r="F217" s="159">
        <v>3</v>
      </c>
      <c r="G217" s="159">
        <v>27</v>
      </c>
      <c r="H217" s="159">
        <v>1</v>
      </c>
      <c r="I217" s="159">
        <v>2</v>
      </c>
      <c r="J217" s="159">
        <v>0</v>
      </c>
      <c r="K217" s="159">
        <v>1</v>
      </c>
      <c r="L217" s="159">
        <v>4</v>
      </c>
      <c r="M217" s="159">
        <v>0</v>
      </c>
      <c r="N217" s="160">
        <f t="shared" si="6"/>
        <v>822</v>
      </c>
      <c r="O217" s="159">
        <v>0</v>
      </c>
      <c r="P217" s="159">
        <v>3</v>
      </c>
      <c r="Q217" s="159">
        <f t="shared" si="7"/>
        <v>825</v>
      </c>
      <c r="R217" s="159">
        <v>0</v>
      </c>
    </row>
    <row r="218" spans="1:18">
      <c r="A218" s="41">
        <v>209</v>
      </c>
      <c r="B218" s="61" t="s">
        <v>334</v>
      </c>
      <c r="C218" s="159">
        <v>49</v>
      </c>
      <c r="D218" s="159">
        <v>13</v>
      </c>
      <c r="E218" s="159">
        <v>232</v>
      </c>
      <c r="F218" s="159">
        <v>4</v>
      </c>
      <c r="G218" s="159">
        <v>1</v>
      </c>
      <c r="H218" s="159">
        <v>0</v>
      </c>
      <c r="I218" s="159">
        <v>0</v>
      </c>
      <c r="J218" s="159">
        <v>0</v>
      </c>
      <c r="K218" s="159">
        <v>1</v>
      </c>
      <c r="L218" s="159">
        <v>5</v>
      </c>
      <c r="M218" s="159">
        <v>0</v>
      </c>
      <c r="N218" s="160">
        <f t="shared" si="6"/>
        <v>305</v>
      </c>
      <c r="O218" s="159">
        <v>0</v>
      </c>
      <c r="P218" s="159">
        <v>4</v>
      </c>
      <c r="Q218" s="159">
        <f t="shared" si="7"/>
        <v>309</v>
      </c>
      <c r="R218" s="159">
        <v>0</v>
      </c>
    </row>
    <row r="219" spans="1:18">
      <c r="A219" s="41">
        <v>210</v>
      </c>
      <c r="B219" s="61" t="s">
        <v>335</v>
      </c>
      <c r="C219" s="159">
        <v>74</v>
      </c>
      <c r="D219" s="159">
        <v>83</v>
      </c>
      <c r="E219" s="159">
        <v>287</v>
      </c>
      <c r="F219" s="159">
        <v>3</v>
      </c>
      <c r="G219" s="159">
        <v>7</v>
      </c>
      <c r="H219" s="159">
        <v>0</v>
      </c>
      <c r="I219" s="159">
        <v>1</v>
      </c>
      <c r="J219" s="159">
        <v>1</v>
      </c>
      <c r="K219" s="159">
        <v>0</v>
      </c>
      <c r="L219" s="159">
        <v>6</v>
      </c>
      <c r="M219" s="159">
        <v>1</v>
      </c>
      <c r="N219" s="160">
        <f t="shared" si="6"/>
        <v>463</v>
      </c>
      <c r="O219" s="159">
        <v>0</v>
      </c>
      <c r="P219" s="159">
        <v>0</v>
      </c>
      <c r="Q219" s="159">
        <f t="shared" si="7"/>
        <v>463</v>
      </c>
      <c r="R219" s="159">
        <v>0</v>
      </c>
    </row>
    <row r="220" spans="1:18">
      <c r="A220" s="41">
        <v>211</v>
      </c>
      <c r="B220" s="61" t="s">
        <v>336</v>
      </c>
      <c r="C220" s="159">
        <v>237</v>
      </c>
      <c r="D220" s="159">
        <v>54</v>
      </c>
      <c r="E220" s="159">
        <v>305</v>
      </c>
      <c r="F220" s="159">
        <v>2</v>
      </c>
      <c r="G220" s="159">
        <v>13</v>
      </c>
      <c r="H220" s="159">
        <v>0</v>
      </c>
      <c r="I220" s="159">
        <v>3</v>
      </c>
      <c r="J220" s="159">
        <v>2</v>
      </c>
      <c r="K220" s="159">
        <v>1</v>
      </c>
      <c r="L220" s="159">
        <v>5</v>
      </c>
      <c r="M220" s="159">
        <v>3</v>
      </c>
      <c r="N220" s="160">
        <f t="shared" si="6"/>
        <v>625</v>
      </c>
      <c r="O220" s="159">
        <v>0</v>
      </c>
      <c r="P220" s="159">
        <v>6</v>
      </c>
      <c r="Q220" s="159">
        <f t="shared" si="7"/>
        <v>631</v>
      </c>
      <c r="R220" s="159">
        <v>0</v>
      </c>
    </row>
    <row r="221" spans="1:18">
      <c r="A221" s="41">
        <v>212</v>
      </c>
      <c r="B221" s="61" t="s">
        <v>337</v>
      </c>
      <c r="C221" s="159">
        <v>155</v>
      </c>
      <c r="D221" s="159">
        <v>114</v>
      </c>
      <c r="E221" s="159">
        <v>249</v>
      </c>
      <c r="F221" s="159">
        <v>8</v>
      </c>
      <c r="G221" s="159">
        <v>8</v>
      </c>
      <c r="H221" s="159">
        <v>0</v>
      </c>
      <c r="I221" s="159">
        <v>4</v>
      </c>
      <c r="J221" s="159">
        <v>0</v>
      </c>
      <c r="K221" s="159">
        <v>1</v>
      </c>
      <c r="L221" s="159">
        <v>4</v>
      </c>
      <c r="M221" s="159">
        <v>3</v>
      </c>
      <c r="N221" s="160">
        <f t="shared" si="6"/>
        <v>546</v>
      </c>
      <c r="O221" s="159">
        <v>0</v>
      </c>
      <c r="P221" s="159">
        <v>3</v>
      </c>
      <c r="Q221" s="159">
        <f t="shared" si="7"/>
        <v>549</v>
      </c>
      <c r="R221" s="159">
        <v>0</v>
      </c>
    </row>
    <row r="222" spans="1:18">
      <c r="A222" s="41">
        <v>213</v>
      </c>
      <c r="B222" s="61" t="s">
        <v>338</v>
      </c>
      <c r="C222" s="159">
        <v>266</v>
      </c>
      <c r="D222" s="159">
        <v>13</v>
      </c>
      <c r="E222" s="159">
        <v>92</v>
      </c>
      <c r="F222" s="159">
        <v>0</v>
      </c>
      <c r="G222" s="159">
        <v>91</v>
      </c>
      <c r="H222" s="159">
        <v>1</v>
      </c>
      <c r="I222" s="159">
        <v>0</v>
      </c>
      <c r="J222" s="159">
        <v>6</v>
      </c>
      <c r="K222" s="159">
        <v>2</v>
      </c>
      <c r="L222" s="159">
        <v>0</v>
      </c>
      <c r="M222" s="159">
        <v>0</v>
      </c>
      <c r="N222" s="160">
        <f t="shared" si="6"/>
        <v>471</v>
      </c>
      <c r="O222" s="159">
        <v>0</v>
      </c>
      <c r="P222" s="159">
        <v>1</v>
      </c>
      <c r="Q222" s="159">
        <f t="shared" si="7"/>
        <v>472</v>
      </c>
      <c r="R222" s="159">
        <v>0</v>
      </c>
    </row>
    <row r="223" spans="1:18">
      <c r="A223" s="41">
        <v>214</v>
      </c>
      <c r="B223" s="61" t="s">
        <v>339</v>
      </c>
      <c r="C223" s="159">
        <v>354</v>
      </c>
      <c r="D223" s="159">
        <v>10</v>
      </c>
      <c r="E223" s="159">
        <v>60</v>
      </c>
      <c r="F223" s="159">
        <v>0</v>
      </c>
      <c r="G223" s="159">
        <v>48</v>
      </c>
      <c r="H223" s="159">
        <v>0</v>
      </c>
      <c r="I223" s="159">
        <v>0</v>
      </c>
      <c r="J223" s="159">
        <v>2</v>
      </c>
      <c r="K223" s="159">
        <v>0</v>
      </c>
      <c r="L223" s="159">
        <v>0</v>
      </c>
      <c r="M223" s="159">
        <v>0</v>
      </c>
      <c r="N223" s="160">
        <f t="shared" si="6"/>
        <v>474</v>
      </c>
      <c r="O223" s="159">
        <v>0</v>
      </c>
      <c r="P223" s="159">
        <v>2</v>
      </c>
      <c r="Q223" s="159">
        <f t="shared" si="7"/>
        <v>476</v>
      </c>
      <c r="R223" s="159">
        <v>0</v>
      </c>
    </row>
    <row r="224" spans="1:18" ht="22.5">
      <c r="A224" s="41">
        <v>215</v>
      </c>
      <c r="B224" s="61" t="s">
        <v>340</v>
      </c>
      <c r="C224" s="159">
        <v>386</v>
      </c>
      <c r="D224" s="159">
        <v>37</v>
      </c>
      <c r="E224" s="159">
        <v>268</v>
      </c>
      <c r="F224" s="159">
        <v>5</v>
      </c>
      <c r="G224" s="159">
        <v>6</v>
      </c>
      <c r="H224" s="159">
        <v>1</v>
      </c>
      <c r="I224" s="159">
        <v>3</v>
      </c>
      <c r="J224" s="159">
        <v>2</v>
      </c>
      <c r="K224" s="159">
        <v>2</v>
      </c>
      <c r="L224" s="159">
        <v>2</v>
      </c>
      <c r="M224" s="159">
        <v>2</v>
      </c>
      <c r="N224" s="160">
        <f t="shared" si="6"/>
        <v>714</v>
      </c>
      <c r="O224" s="159">
        <v>0</v>
      </c>
      <c r="P224" s="159">
        <v>8</v>
      </c>
      <c r="Q224" s="159">
        <f t="shared" si="7"/>
        <v>722</v>
      </c>
      <c r="R224" s="159">
        <v>0</v>
      </c>
    </row>
    <row r="225" spans="1:18" ht="22.5">
      <c r="A225" s="41">
        <v>216</v>
      </c>
      <c r="B225" s="61" t="s">
        <v>341</v>
      </c>
      <c r="C225" s="159">
        <v>228</v>
      </c>
      <c r="D225" s="159">
        <v>16</v>
      </c>
      <c r="E225" s="159">
        <v>460</v>
      </c>
      <c r="F225" s="159">
        <v>6</v>
      </c>
      <c r="G225" s="159">
        <v>2</v>
      </c>
      <c r="H225" s="159">
        <v>0</v>
      </c>
      <c r="I225" s="159">
        <v>1</v>
      </c>
      <c r="J225" s="159">
        <v>1</v>
      </c>
      <c r="K225" s="159">
        <v>0</v>
      </c>
      <c r="L225" s="159">
        <v>3</v>
      </c>
      <c r="M225" s="159">
        <v>0</v>
      </c>
      <c r="N225" s="160">
        <f t="shared" si="6"/>
        <v>717</v>
      </c>
      <c r="O225" s="159">
        <v>0</v>
      </c>
      <c r="P225" s="159">
        <v>6</v>
      </c>
      <c r="Q225" s="159">
        <f t="shared" si="7"/>
        <v>723</v>
      </c>
      <c r="R225" s="159">
        <v>0</v>
      </c>
    </row>
    <row r="226" spans="1:18">
      <c r="A226" s="41">
        <v>217</v>
      </c>
      <c r="B226" s="61" t="s">
        <v>342</v>
      </c>
      <c r="C226" s="159">
        <v>90</v>
      </c>
      <c r="D226" s="159">
        <v>267</v>
      </c>
      <c r="E226" s="159">
        <v>178</v>
      </c>
      <c r="F226" s="159">
        <v>2</v>
      </c>
      <c r="G226" s="159">
        <v>1</v>
      </c>
      <c r="H226" s="159">
        <v>0</v>
      </c>
      <c r="I226" s="159">
        <v>0</v>
      </c>
      <c r="J226" s="159">
        <v>1</v>
      </c>
      <c r="K226" s="159">
        <v>7</v>
      </c>
      <c r="L226" s="159">
        <v>1</v>
      </c>
      <c r="M226" s="159">
        <v>2</v>
      </c>
      <c r="N226" s="160">
        <f t="shared" si="6"/>
        <v>549</v>
      </c>
      <c r="O226" s="159">
        <v>0</v>
      </c>
      <c r="P226" s="159">
        <v>0</v>
      </c>
      <c r="Q226" s="159">
        <f t="shared" si="7"/>
        <v>549</v>
      </c>
      <c r="R226" s="159">
        <v>0</v>
      </c>
    </row>
    <row r="227" spans="1:18">
      <c r="A227" s="41">
        <v>218</v>
      </c>
      <c r="B227" s="61" t="s">
        <v>343</v>
      </c>
      <c r="C227" s="159">
        <v>250</v>
      </c>
      <c r="D227" s="159">
        <v>28</v>
      </c>
      <c r="E227" s="159">
        <v>228</v>
      </c>
      <c r="F227" s="159">
        <v>8</v>
      </c>
      <c r="G227" s="159">
        <v>5</v>
      </c>
      <c r="H227" s="159">
        <v>0</v>
      </c>
      <c r="I227" s="159">
        <v>0</v>
      </c>
      <c r="J227" s="159">
        <v>2</v>
      </c>
      <c r="K227" s="159">
        <v>1</v>
      </c>
      <c r="L227" s="159">
        <v>3</v>
      </c>
      <c r="M227" s="159">
        <v>1</v>
      </c>
      <c r="N227" s="160">
        <f t="shared" si="6"/>
        <v>526</v>
      </c>
      <c r="O227" s="159">
        <v>0</v>
      </c>
      <c r="P227" s="159">
        <v>0</v>
      </c>
      <c r="Q227" s="159">
        <f t="shared" si="7"/>
        <v>526</v>
      </c>
      <c r="R227" s="159">
        <v>0</v>
      </c>
    </row>
    <row r="228" spans="1:18" ht="22.5">
      <c r="A228" s="41">
        <v>219</v>
      </c>
      <c r="B228" s="61" t="s">
        <v>344</v>
      </c>
      <c r="C228" s="159">
        <v>23</v>
      </c>
      <c r="D228" s="159">
        <v>60</v>
      </c>
      <c r="E228" s="159">
        <v>618</v>
      </c>
      <c r="F228" s="159">
        <v>8</v>
      </c>
      <c r="G228" s="159">
        <v>0</v>
      </c>
      <c r="H228" s="159">
        <v>0</v>
      </c>
      <c r="I228" s="159">
        <v>0</v>
      </c>
      <c r="J228" s="159">
        <v>1</v>
      </c>
      <c r="K228" s="159">
        <v>0</v>
      </c>
      <c r="L228" s="159">
        <v>6</v>
      </c>
      <c r="M228" s="159">
        <v>3</v>
      </c>
      <c r="N228" s="160">
        <f t="shared" si="6"/>
        <v>719</v>
      </c>
      <c r="O228" s="159">
        <v>0</v>
      </c>
      <c r="P228" s="159">
        <v>0</v>
      </c>
      <c r="Q228" s="159">
        <f t="shared" si="7"/>
        <v>719</v>
      </c>
      <c r="R228" s="159">
        <v>0</v>
      </c>
    </row>
    <row r="229" spans="1:18" ht="22.5">
      <c r="A229" s="41">
        <v>220</v>
      </c>
      <c r="B229" s="61" t="s">
        <v>345</v>
      </c>
      <c r="C229" s="159">
        <v>386</v>
      </c>
      <c r="D229" s="159">
        <v>58</v>
      </c>
      <c r="E229" s="159">
        <v>194</v>
      </c>
      <c r="F229" s="159">
        <v>4</v>
      </c>
      <c r="G229" s="159">
        <v>1</v>
      </c>
      <c r="H229" s="159">
        <v>0</v>
      </c>
      <c r="I229" s="159">
        <v>0</v>
      </c>
      <c r="J229" s="159">
        <v>4</v>
      </c>
      <c r="K229" s="159">
        <v>1</v>
      </c>
      <c r="L229" s="159">
        <v>0</v>
      </c>
      <c r="M229" s="159">
        <v>0</v>
      </c>
      <c r="N229" s="160">
        <f t="shared" si="6"/>
        <v>648</v>
      </c>
      <c r="O229" s="159">
        <v>0</v>
      </c>
      <c r="P229" s="159">
        <v>8</v>
      </c>
      <c r="Q229" s="159">
        <f t="shared" si="7"/>
        <v>656</v>
      </c>
      <c r="R229" s="159">
        <v>0</v>
      </c>
    </row>
    <row r="230" spans="1:18">
      <c r="A230" s="41">
        <v>221</v>
      </c>
      <c r="B230" s="61" t="s">
        <v>346</v>
      </c>
      <c r="C230" s="159">
        <v>65</v>
      </c>
      <c r="D230" s="159">
        <v>18</v>
      </c>
      <c r="E230" s="159">
        <v>275</v>
      </c>
      <c r="F230" s="159">
        <v>1</v>
      </c>
      <c r="G230" s="159">
        <v>7</v>
      </c>
      <c r="H230" s="159">
        <v>0</v>
      </c>
      <c r="I230" s="159">
        <v>0</v>
      </c>
      <c r="J230" s="159">
        <v>0</v>
      </c>
      <c r="K230" s="159">
        <v>2</v>
      </c>
      <c r="L230" s="159">
        <v>1</v>
      </c>
      <c r="M230" s="159">
        <v>0</v>
      </c>
      <c r="N230" s="160">
        <f t="shared" si="6"/>
        <v>369</v>
      </c>
      <c r="O230" s="159">
        <v>0</v>
      </c>
      <c r="P230" s="159">
        <v>2</v>
      </c>
      <c r="Q230" s="159">
        <f t="shared" si="7"/>
        <v>371</v>
      </c>
      <c r="R230" s="159">
        <v>0</v>
      </c>
    </row>
    <row r="231" spans="1:18">
      <c r="A231" s="41">
        <v>222</v>
      </c>
      <c r="B231" s="61" t="s">
        <v>347</v>
      </c>
      <c r="C231" s="159">
        <v>155</v>
      </c>
      <c r="D231" s="159">
        <v>37</v>
      </c>
      <c r="E231" s="159">
        <v>240</v>
      </c>
      <c r="F231" s="159">
        <v>2</v>
      </c>
      <c r="G231" s="159">
        <v>4</v>
      </c>
      <c r="H231" s="159">
        <v>2</v>
      </c>
      <c r="I231" s="159">
        <v>0</v>
      </c>
      <c r="J231" s="159">
        <v>3</v>
      </c>
      <c r="K231" s="159">
        <v>1</v>
      </c>
      <c r="L231" s="159">
        <v>3</v>
      </c>
      <c r="M231" s="159">
        <v>1</v>
      </c>
      <c r="N231" s="160">
        <f t="shared" si="6"/>
        <v>448</v>
      </c>
      <c r="O231" s="159">
        <v>0</v>
      </c>
      <c r="P231" s="159">
        <v>0</v>
      </c>
      <c r="Q231" s="159">
        <f t="shared" si="7"/>
        <v>448</v>
      </c>
      <c r="R231" s="159">
        <v>0</v>
      </c>
    </row>
    <row r="232" spans="1:18">
      <c r="A232" s="41">
        <v>223</v>
      </c>
      <c r="B232" s="61" t="s">
        <v>348</v>
      </c>
      <c r="C232" s="159">
        <v>330</v>
      </c>
      <c r="D232" s="159">
        <v>38</v>
      </c>
      <c r="E232" s="159">
        <v>259</v>
      </c>
      <c r="F232" s="159">
        <v>1</v>
      </c>
      <c r="G232" s="159">
        <v>39</v>
      </c>
      <c r="H232" s="159">
        <v>2</v>
      </c>
      <c r="I232" s="159">
        <v>0</v>
      </c>
      <c r="J232" s="159">
        <v>1</v>
      </c>
      <c r="K232" s="159">
        <v>0</v>
      </c>
      <c r="L232" s="159">
        <v>3</v>
      </c>
      <c r="M232" s="159">
        <v>0</v>
      </c>
      <c r="N232" s="160">
        <f t="shared" si="6"/>
        <v>673</v>
      </c>
      <c r="O232" s="159">
        <v>0</v>
      </c>
      <c r="P232" s="159">
        <v>8</v>
      </c>
      <c r="Q232" s="159">
        <f t="shared" si="7"/>
        <v>681</v>
      </c>
      <c r="R232" s="159">
        <v>0</v>
      </c>
    </row>
    <row r="233" spans="1:18">
      <c r="A233" s="41">
        <v>224</v>
      </c>
      <c r="B233" s="61" t="s">
        <v>349</v>
      </c>
      <c r="C233" s="159">
        <v>225</v>
      </c>
      <c r="D233" s="159">
        <v>65</v>
      </c>
      <c r="E233" s="159">
        <v>427</v>
      </c>
      <c r="F233" s="159">
        <v>6</v>
      </c>
      <c r="G233" s="159">
        <v>25</v>
      </c>
      <c r="H233" s="159">
        <v>0</v>
      </c>
      <c r="I233" s="159">
        <v>2</v>
      </c>
      <c r="J233" s="159">
        <v>1</v>
      </c>
      <c r="K233" s="159">
        <v>1</v>
      </c>
      <c r="L233" s="159">
        <v>2</v>
      </c>
      <c r="M233" s="159">
        <v>2</v>
      </c>
      <c r="N233" s="160">
        <f t="shared" si="6"/>
        <v>756</v>
      </c>
      <c r="O233" s="159">
        <v>0</v>
      </c>
      <c r="P233" s="159">
        <v>5</v>
      </c>
      <c r="Q233" s="159">
        <f t="shared" si="7"/>
        <v>761</v>
      </c>
      <c r="R233" s="159">
        <v>0</v>
      </c>
    </row>
    <row r="234" spans="1:18">
      <c r="A234" s="41">
        <v>225</v>
      </c>
      <c r="B234" s="61" t="s">
        <v>350</v>
      </c>
      <c r="C234" s="159">
        <v>353</v>
      </c>
      <c r="D234" s="159">
        <v>32</v>
      </c>
      <c r="E234" s="159">
        <v>138</v>
      </c>
      <c r="F234" s="159">
        <v>2</v>
      </c>
      <c r="G234" s="159">
        <v>5</v>
      </c>
      <c r="H234" s="159">
        <v>0</v>
      </c>
      <c r="I234" s="159">
        <v>0</v>
      </c>
      <c r="J234" s="159">
        <v>1</v>
      </c>
      <c r="K234" s="159">
        <v>0</v>
      </c>
      <c r="L234" s="159">
        <v>2</v>
      </c>
      <c r="M234" s="159">
        <v>1</v>
      </c>
      <c r="N234" s="160">
        <f t="shared" si="6"/>
        <v>534</v>
      </c>
      <c r="O234" s="159">
        <v>0</v>
      </c>
      <c r="P234" s="159">
        <v>4</v>
      </c>
      <c r="Q234" s="159">
        <f t="shared" si="7"/>
        <v>538</v>
      </c>
      <c r="R234" s="159">
        <v>0</v>
      </c>
    </row>
    <row r="235" spans="1:18">
      <c r="A235" s="41">
        <v>226</v>
      </c>
      <c r="B235" s="61" t="s">
        <v>351</v>
      </c>
      <c r="C235" s="159">
        <v>106</v>
      </c>
      <c r="D235" s="159">
        <v>26</v>
      </c>
      <c r="E235" s="159">
        <v>324</v>
      </c>
      <c r="F235" s="159">
        <v>4</v>
      </c>
      <c r="G235" s="159">
        <v>16</v>
      </c>
      <c r="H235" s="159">
        <v>0</v>
      </c>
      <c r="I235" s="159">
        <v>0</v>
      </c>
      <c r="J235" s="159">
        <v>1</v>
      </c>
      <c r="K235" s="159">
        <v>0</v>
      </c>
      <c r="L235" s="159">
        <v>0</v>
      </c>
      <c r="M235" s="159">
        <v>1</v>
      </c>
      <c r="N235" s="160">
        <f t="shared" si="6"/>
        <v>478</v>
      </c>
      <c r="O235" s="159">
        <v>0</v>
      </c>
      <c r="P235" s="159">
        <v>4</v>
      </c>
      <c r="Q235" s="159">
        <f t="shared" si="7"/>
        <v>482</v>
      </c>
      <c r="R235" s="159">
        <v>0</v>
      </c>
    </row>
    <row r="236" spans="1:18" ht="22.5">
      <c r="A236" s="41">
        <v>227</v>
      </c>
      <c r="B236" s="61" t="s">
        <v>352</v>
      </c>
      <c r="C236" s="159">
        <v>7</v>
      </c>
      <c r="D236" s="159">
        <v>182</v>
      </c>
      <c r="E236" s="159">
        <v>252</v>
      </c>
      <c r="F236" s="159">
        <v>4</v>
      </c>
      <c r="G236" s="159">
        <v>0</v>
      </c>
      <c r="H236" s="159">
        <v>0</v>
      </c>
      <c r="I236" s="159">
        <v>0</v>
      </c>
      <c r="J236" s="159">
        <v>0</v>
      </c>
      <c r="K236" s="159">
        <v>0</v>
      </c>
      <c r="L236" s="159">
        <v>1</v>
      </c>
      <c r="M236" s="159">
        <v>0</v>
      </c>
      <c r="N236" s="160">
        <f t="shared" si="6"/>
        <v>446</v>
      </c>
      <c r="O236" s="159">
        <v>0</v>
      </c>
      <c r="P236" s="159">
        <v>2</v>
      </c>
      <c r="Q236" s="159">
        <f t="shared" si="7"/>
        <v>448</v>
      </c>
      <c r="R236" s="159">
        <v>0</v>
      </c>
    </row>
    <row r="237" spans="1:18" ht="22.5">
      <c r="A237" s="41">
        <v>228</v>
      </c>
      <c r="B237" s="61" t="s">
        <v>353</v>
      </c>
      <c r="C237" s="159">
        <v>14</v>
      </c>
      <c r="D237" s="159">
        <v>20</v>
      </c>
      <c r="E237" s="159">
        <v>586</v>
      </c>
      <c r="F237" s="159">
        <v>7</v>
      </c>
      <c r="G237" s="159">
        <v>1</v>
      </c>
      <c r="H237" s="159">
        <v>0</v>
      </c>
      <c r="I237" s="159">
        <v>1</v>
      </c>
      <c r="J237" s="159">
        <v>0</v>
      </c>
      <c r="K237" s="159">
        <v>0</v>
      </c>
      <c r="L237" s="159">
        <v>6</v>
      </c>
      <c r="M237" s="159">
        <v>0</v>
      </c>
      <c r="N237" s="160">
        <f t="shared" si="6"/>
        <v>635</v>
      </c>
      <c r="O237" s="159">
        <v>0</v>
      </c>
      <c r="P237" s="159">
        <v>4</v>
      </c>
      <c r="Q237" s="159">
        <f t="shared" si="7"/>
        <v>639</v>
      </c>
      <c r="R237" s="159">
        <v>0</v>
      </c>
    </row>
    <row r="238" spans="1:18" ht="22.5">
      <c r="A238" s="41">
        <v>229</v>
      </c>
      <c r="B238" s="61" t="s">
        <v>354</v>
      </c>
      <c r="C238" s="159">
        <v>43</v>
      </c>
      <c r="D238" s="159">
        <v>33</v>
      </c>
      <c r="E238" s="159">
        <v>622</v>
      </c>
      <c r="F238" s="159">
        <v>6</v>
      </c>
      <c r="G238" s="159">
        <v>2</v>
      </c>
      <c r="H238" s="159">
        <v>1</v>
      </c>
      <c r="I238" s="159">
        <v>1</v>
      </c>
      <c r="J238" s="159">
        <v>1</v>
      </c>
      <c r="K238" s="159">
        <v>2</v>
      </c>
      <c r="L238" s="159">
        <v>7</v>
      </c>
      <c r="M238" s="159">
        <v>2</v>
      </c>
      <c r="N238" s="160">
        <f t="shared" si="6"/>
        <v>720</v>
      </c>
      <c r="O238" s="159">
        <v>0</v>
      </c>
      <c r="P238" s="159">
        <v>4</v>
      </c>
      <c r="Q238" s="159">
        <f t="shared" si="7"/>
        <v>724</v>
      </c>
      <c r="R238" s="159">
        <v>0</v>
      </c>
    </row>
    <row r="239" spans="1:18" ht="22.5">
      <c r="A239" s="41">
        <v>230</v>
      </c>
      <c r="B239" s="61" t="s">
        <v>355</v>
      </c>
      <c r="C239" s="159">
        <v>18</v>
      </c>
      <c r="D239" s="159">
        <v>29</v>
      </c>
      <c r="E239" s="159">
        <v>488</v>
      </c>
      <c r="F239" s="159">
        <v>9</v>
      </c>
      <c r="G239" s="159">
        <v>0</v>
      </c>
      <c r="H239" s="159">
        <v>0</v>
      </c>
      <c r="I239" s="159">
        <v>0</v>
      </c>
      <c r="J239" s="159">
        <v>0</v>
      </c>
      <c r="K239" s="159">
        <v>2</v>
      </c>
      <c r="L239" s="159">
        <v>4</v>
      </c>
      <c r="M239" s="159">
        <v>0</v>
      </c>
      <c r="N239" s="160">
        <f t="shared" si="6"/>
        <v>550</v>
      </c>
      <c r="O239" s="159">
        <v>0</v>
      </c>
      <c r="P239" s="159">
        <v>2</v>
      </c>
      <c r="Q239" s="159">
        <f t="shared" si="7"/>
        <v>552</v>
      </c>
      <c r="R239" s="159">
        <v>0</v>
      </c>
    </row>
    <row r="240" spans="1:18" ht="22.5">
      <c r="A240" s="41">
        <v>231</v>
      </c>
      <c r="B240" s="61" t="s">
        <v>356</v>
      </c>
      <c r="C240" s="159">
        <v>115</v>
      </c>
      <c r="D240" s="159">
        <v>104</v>
      </c>
      <c r="E240" s="159">
        <v>588</v>
      </c>
      <c r="F240" s="159">
        <v>12</v>
      </c>
      <c r="G240" s="159">
        <v>8</v>
      </c>
      <c r="H240" s="159">
        <v>1</v>
      </c>
      <c r="I240" s="159">
        <v>0</v>
      </c>
      <c r="J240" s="159">
        <v>7</v>
      </c>
      <c r="K240" s="159">
        <v>1</v>
      </c>
      <c r="L240" s="159">
        <v>6</v>
      </c>
      <c r="M240" s="159">
        <v>1</v>
      </c>
      <c r="N240" s="160">
        <f t="shared" si="6"/>
        <v>843</v>
      </c>
      <c r="O240" s="159">
        <v>0</v>
      </c>
      <c r="P240" s="159">
        <v>4</v>
      </c>
      <c r="Q240" s="159">
        <f t="shared" si="7"/>
        <v>847</v>
      </c>
      <c r="R240" s="159">
        <v>0</v>
      </c>
    </row>
    <row r="241" spans="1:18" ht="22.5">
      <c r="A241" s="41">
        <v>232</v>
      </c>
      <c r="B241" s="61" t="s">
        <v>357</v>
      </c>
      <c r="C241" s="159">
        <v>5</v>
      </c>
      <c r="D241" s="159">
        <v>33</v>
      </c>
      <c r="E241" s="159">
        <v>769</v>
      </c>
      <c r="F241" s="159">
        <v>4</v>
      </c>
      <c r="G241" s="159">
        <v>0</v>
      </c>
      <c r="H241" s="159">
        <v>0</v>
      </c>
      <c r="I241" s="159">
        <v>0</v>
      </c>
      <c r="J241" s="159">
        <v>0</v>
      </c>
      <c r="K241" s="159">
        <v>1</v>
      </c>
      <c r="L241" s="159">
        <v>1</v>
      </c>
      <c r="M241" s="159">
        <v>0</v>
      </c>
      <c r="N241" s="160">
        <f t="shared" si="6"/>
        <v>813</v>
      </c>
      <c r="O241" s="159">
        <v>0</v>
      </c>
      <c r="P241" s="159">
        <v>3</v>
      </c>
      <c r="Q241" s="159">
        <f t="shared" si="7"/>
        <v>816</v>
      </c>
      <c r="R241" s="159">
        <v>0</v>
      </c>
    </row>
    <row r="242" spans="1:18" ht="22.5">
      <c r="A242" s="41">
        <v>233</v>
      </c>
      <c r="B242" s="61" t="s">
        <v>358</v>
      </c>
      <c r="C242" s="159">
        <v>602</v>
      </c>
      <c r="D242" s="159">
        <v>10</v>
      </c>
      <c r="E242" s="159">
        <v>63</v>
      </c>
      <c r="F242" s="159">
        <v>0</v>
      </c>
      <c r="G242" s="159">
        <v>0</v>
      </c>
      <c r="H242" s="159">
        <v>0</v>
      </c>
      <c r="I242" s="159">
        <v>0</v>
      </c>
      <c r="J242" s="159">
        <v>4</v>
      </c>
      <c r="K242" s="159">
        <v>0</v>
      </c>
      <c r="L242" s="159">
        <v>0</v>
      </c>
      <c r="M242" s="159">
        <v>2</v>
      </c>
      <c r="N242" s="160">
        <f t="shared" si="6"/>
        <v>681</v>
      </c>
      <c r="O242" s="159">
        <v>0</v>
      </c>
      <c r="P242" s="159">
        <v>9</v>
      </c>
      <c r="Q242" s="159">
        <f t="shared" si="7"/>
        <v>690</v>
      </c>
      <c r="R242" s="159">
        <v>0</v>
      </c>
    </row>
    <row r="243" spans="1:18" ht="22.5">
      <c r="A243" s="41">
        <v>234</v>
      </c>
      <c r="B243" s="61" t="s">
        <v>359</v>
      </c>
      <c r="C243" s="159">
        <v>365</v>
      </c>
      <c r="D243" s="159">
        <v>80</v>
      </c>
      <c r="E243" s="159">
        <v>253</v>
      </c>
      <c r="F243" s="159">
        <v>3</v>
      </c>
      <c r="G243" s="159">
        <v>1</v>
      </c>
      <c r="H243" s="159">
        <v>0</v>
      </c>
      <c r="I243" s="159">
        <v>2</v>
      </c>
      <c r="J243" s="159">
        <v>3</v>
      </c>
      <c r="K243" s="159">
        <v>5</v>
      </c>
      <c r="L243" s="159">
        <v>7</v>
      </c>
      <c r="M243" s="159">
        <v>1</v>
      </c>
      <c r="N243" s="160">
        <f t="shared" si="6"/>
        <v>720</v>
      </c>
      <c r="O243" s="159">
        <v>0</v>
      </c>
      <c r="P243" s="159">
        <v>4</v>
      </c>
      <c r="Q243" s="159">
        <f t="shared" si="7"/>
        <v>724</v>
      </c>
      <c r="R243" s="159">
        <v>0</v>
      </c>
    </row>
    <row r="244" spans="1:18" ht="22.5">
      <c r="A244" s="41">
        <v>235</v>
      </c>
      <c r="B244" s="61" t="s">
        <v>360</v>
      </c>
      <c r="C244" s="159">
        <v>53</v>
      </c>
      <c r="D244" s="159">
        <v>692</v>
      </c>
      <c r="E244" s="159">
        <v>31</v>
      </c>
      <c r="F244" s="159">
        <v>5</v>
      </c>
      <c r="G244" s="159">
        <v>0</v>
      </c>
      <c r="H244" s="159">
        <v>0</v>
      </c>
      <c r="I244" s="159">
        <v>0</v>
      </c>
      <c r="J244" s="159">
        <v>0</v>
      </c>
      <c r="K244" s="159">
        <v>39</v>
      </c>
      <c r="L244" s="159">
        <v>5</v>
      </c>
      <c r="M244" s="159">
        <v>1</v>
      </c>
      <c r="N244" s="160">
        <f t="shared" si="6"/>
        <v>826</v>
      </c>
      <c r="O244" s="159">
        <v>0</v>
      </c>
      <c r="P244" s="159">
        <v>1</v>
      </c>
      <c r="Q244" s="159">
        <f t="shared" si="7"/>
        <v>827</v>
      </c>
      <c r="R244" s="159">
        <v>0</v>
      </c>
    </row>
    <row r="245" spans="1:18" ht="22.5">
      <c r="A245" s="41">
        <v>236</v>
      </c>
      <c r="B245" s="61" t="s">
        <v>361</v>
      </c>
      <c r="C245" s="159">
        <v>6</v>
      </c>
      <c r="D245" s="159">
        <v>34</v>
      </c>
      <c r="E245" s="159">
        <v>614</v>
      </c>
      <c r="F245" s="159">
        <v>5</v>
      </c>
      <c r="G245" s="159">
        <v>1</v>
      </c>
      <c r="H245" s="159">
        <v>0</v>
      </c>
      <c r="I245" s="159">
        <v>0</v>
      </c>
      <c r="J245" s="159">
        <v>0</v>
      </c>
      <c r="K245" s="159">
        <v>0</v>
      </c>
      <c r="L245" s="159">
        <v>2</v>
      </c>
      <c r="M245" s="159">
        <v>0</v>
      </c>
      <c r="N245" s="160">
        <f t="shared" si="6"/>
        <v>662</v>
      </c>
      <c r="O245" s="159">
        <v>0</v>
      </c>
      <c r="P245" s="159">
        <v>1</v>
      </c>
      <c r="Q245" s="159">
        <f t="shared" si="7"/>
        <v>663</v>
      </c>
      <c r="R245" s="159">
        <v>0</v>
      </c>
    </row>
    <row r="246" spans="1:18" ht="22.5">
      <c r="A246" s="41">
        <v>237</v>
      </c>
      <c r="B246" s="61" t="s">
        <v>362</v>
      </c>
      <c r="C246" s="159">
        <v>107</v>
      </c>
      <c r="D246" s="159">
        <v>159</v>
      </c>
      <c r="E246" s="159">
        <v>485</v>
      </c>
      <c r="F246" s="159">
        <v>14</v>
      </c>
      <c r="G246" s="159">
        <v>0</v>
      </c>
      <c r="H246" s="159">
        <v>0</v>
      </c>
      <c r="I246" s="159">
        <v>0</v>
      </c>
      <c r="J246" s="159">
        <v>0</v>
      </c>
      <c r="K246" s="159">
        <v>2</v>
      </c>
      <c r="L246" s="159">
        <v>4</v>
      </c>
      <c r="M246" s="159">
        <v>1</v>
      </c>
      <c r="N246" s="160">
        <f t="shared" si="6"/>
        <v>772</v>
      </c>
      <c r="O246" s="159">
        <v>0</v>
      </c>
      <c r="P246" s="159">
        <v>3</v>
      </c>
      <c r="Q246" s="159">
        <f t="shared" si="7"/>
        <v>775</v>
      </c>
      <c r="R246" s="159">
        <v>0</v>
      </c>
    </row>
    <row r="247" spans="1:18" ht="22.5">
      <c r="A247" s="41">
        <v>238</v>
      </c>
      <c r="B247" s="61" t="s">
        <v>363</v>
      </c>
      <c r="C247" s="159">
        <v>59</v>
      </c>
      <c r="D247" s="159">
        <v>613</v>
      </c>
      <c r="E247" s="159">
        <v>16</v>
      </c>
      <c r="F247" s="159">
        <v>3</v>
      </c>
      <c r="G247" s="159">
        <v>0</v>
      </c>
      <c r="H247" s="159">
        <v>1</v>
      </c>
      <c r="I247" s="159">
        <v>0</v>
      </c>
      <c r="J247" s="159">
        <v>1</v>
      </c>
      <c r="K247" s="159">
        <v>2</v>
      </c>
      <c r="L247" s="159">
        <v>4</v>
      </c>
      <c r="M247" s="159">
        <v>3</v>
      </c>
      <c r="N247" s="160">
        <f t="shared" si="6"/>
        <v>702</v>
      </c>
      <c r="O247" s="159">
        <v>0</v>
      </c>
      <c r="P247" s="159">
        <v>3</v>
      </c>
      <c r="Q247" s="159">
        <f t="shared" si="7"/>
        <v>705</v>
      </c>
      <c r="R247" s="159">
        <v>0</v>
      </c>
    </row>
    <row r="248" spans="1:18" ht="22.5">
      <c r="A248" s="41">
        <v>239</v>
      </c>
      <c r="B248" s="61" t="s">
        <v>364</v>
      </c>
      <c r="C248" s="159">
        <v>29</v>
      </c>
      <c r="D248" s="159">
        <v>640</v>
      </c>
      <c r="E248" s="159">
        <v>21</v>
      </c>
      <c r="F248" s="159">
        <v>2</v>
      </c>
      <c r="G248" s="159">
        <v>0</v>
      </c>
      <c r="H248" s="159">
        <v>0</v>
      </c>
      <c r="I248" s="159">
        <v>0</v>
      </c>
      <c r="J248" s="159">
        <v>0</v>
      </c>
      <c r="K248" s="159">
        <v>3</v>
      </c>
      <c r="L248" s="159">
        <v>3</v>
      </c>
      <c r="M248" s="159">
        <v>0</v>
      </c>
      <c r="N248" s="160">
        <f t="shared" si="6"/>
        <v>698</v>
      </c>
      <c r="O248" s="159">
        <v>0</v>
      </c>
      <c r="P248" s="159">
        <v>1</v>
      </c>
      <c r="Q248" s="159">
        <f t="shared" si="7"/>
        <v>699</v>
      </c>
      <c r="R248" s="159">
        <v>0</v>
      </c>
    </row>
    <row r="249" spans="1:18" ht="22.5">
      <c r="A249" s="41">
        <v>240</v>
      </c>
      <c r="B249" s="61" t="s">
        <v>365</v>
      </c>
      <c r="C249" s="159">
        <v>19</v>
      </c>
      <c r="D249" s="159">
        <v>598</v>
      </c>
      <c r="E249" s="159">
        <v>7</v>
      </c>
      <c r="F249" s="159">
        <v>0</v>
      </c>
      <c r="G249" s="159">
        <v>0</v>
      </c>
      <c r="H249" s="159">
        <v>0</v>
      </c>
      <c r="I249" s="159">
        <v>0</v>
      </c>
      <c r="J249" s="159">
        <v>0</v>
      </c>
      <c r="K249" s="159">
        <v>17</v>
      </c>
      <c r="L249" s="159">
        <v>1</v>
      </c>
      <c r="M249" s="159">
        <v>0</v>
      </c>
      <c r="N249" s="160">
        <f t="shared" si="6"/>
        <v>642</v>
      </c>
      <c r="O249" s="159">
        <v>0</v>
      </c>
      <c r="P249" s="159">
        <v>0</v>
      </c>
      <c r="Q249" s="159">
        <f t="shared" si="7"/>
        <v>642</v>
      </c>
      <c r="R249" s="159">
        <v>0</v>
      </c>
    </row>
    <row r="250" spans="1:18" ht="22.5">
      <c r="A250" s="41">
        <v>241</v>
      </c>
      <c r="B250" s="61" t="s">
        <v>366</v>
      </c>
      <c r="C250" s="159">
        <v>35</v>
      </c>
      <c r="D250" s="159">
        <v>354</v>
      </c>
      <c r="E250" s="159">
        <v>127</v>
      </c>
      <c r="F250" s="159">
        <v>13</v>
      </c>
      <c r="G250" s="159">
        <v>0</v>
      </c>
      <c r="H250" s="159">
        <v>0</v>
      </c>
      <c r="I250" s="159">
        <v>0</v>
      </c>
      <c r="J250" s="159">
        <v>0</v>
      </c>
      <c r="K250" s="159">
        <v>10</v>
      </c>
      <c r="L250" s="159">
        <v>1</v>
      </c>
      <c r="M250" s="159">
        <v>3</v>
      </c>
      <c r="N250" s="160">
        <f t="shared" si="6"/>
        <v>543</v>
      </c>
      <c r="O250" s="159">
        <v>0</v>
      </c>
      <c r="P250" s="159">
        <v>0</v>
      </c>
      <c r="Q250" s="159">
        <f t="shared" si="7"/>
        <v>543</v>
      </c>
      <c r="R250" s="159">
        <v>0</v>
      </c>
    </row>
    <row r="251" spans="1:18" ht="22.5">
      <c r="A251" s="41">
        <v>242</v>
      </c>
      <c r="B251" s="61" t="s">
        <v>367</v>
      </c>
      <c r="C251" s="159">
        <v>39</v>
      </c>
      <c r="D251" s="159">
        <v>374</v>
      </c>
      <c r="E251" s="159">
        <v>136</v>
      </c>
      <c r="F251" s="159">
        <v>10</v>
      </c>
      <c r="G251" s="159">
        <v>0</v>
      </c>
      <c r="H251" s="159">
        <v>0</v>
      </c>
      <c r="I251" s="159">
        <v>0</v>
      </c>
      <c r="J251" s="159">
        <v>0</v>
      </c>
      <c r="K251" s="159">
        <v>8</v>
      </c>
      <c r="L251" s="159">
        <v>0</v>
      </c>
      <c r="M251" s="159">
        <v>0</v>
      </c>
      <c r="N251" s="160">
        <f t="shared" si="6"/>
        <v>567</v>
      </c>
      <c r="O251" s="159">
        <v>0</v>
      </c>
      <c r="P251" s="159">
        <v>1</v>
      </c>
      <c r="Q251" s="159">
        <f t="shared" si="7"/>
        <v>568</v>
      </c>
      <c r="R251" s="159">
        <v>0</v>
      </c>
    </row>
    <row r="252" spans="1:18" ht="22.5">
      <c r="A252" s="41">
        <v>243</v>
      </c>
      <c r="B252" s="61" t="s">
        <v>368</v>
      </c>
      <c r="C252" s="159">
        <v>37</v>
      </c>
      <c r="D252" s="159">
        <v>749</v>
      </c>
      <c r="E252" s="159">
        <v>24</v>
      </c>
      <c r="F252" s="159">
        <v>9</v>
      </c>
      <c r="G252" s="159">
        <v>0</v>
      </c>
      <c r="H252" s="159">
        <v>0</v>
      </c>
      <c r="I252" s="159">
        <v>1</v>
      </c>
      <c r="J252" s="159">
        <v>0</v>
      </c>
      <c r="K252" s="159">
        <v>11</v>
      </c>
      <c r="L252" s="159">
        <v>5</v>
      </c>
      <c r="M252" s="159">
        <v>1</v>
      </c>
      <c r="N252" s="160">
        <f t="shared" si="6"/>
        <v>837</v>
      </c>
      <c r="O252" s="159">
        <v>0</v>
      </c>
      <c r="P252" s="159">
        <v>0</v>
      </c>
      <c r="Q252" s="159">
        <f t="shared" si="7"/>
        <v>837</v>
      </c>
      <c r="R252" s="159">
        <v>0</v>
      </c>
    </row>
    <row r="253" spans="1:18" ht="22.5">
      <c r="A253" s="41">
        <v>244</v>
      </c>
      <c r="B253" s="61" t="s">
        <v>369</v>
      </c>
      <c r="C253" s="159">
        <v>24</v>
      </c>
      <c r="D253" s="159">
        <v>515</v>
      </c>
      <c r="E253" s="159">
        <v>150</v>
      </c>
      <c r="F253" s="159">
        <v>12</v>
      </c>
      <c r="G253" s="159">
        <v>1</v>
      </c>
      <c r="H253" s="159">
        <v>0</v>
      </c>
      <c r="I253" s="159">
        <v>0</v>
      </c>
      <c r="J253" s="159">
        <v>2</v>
      </c>
      <c r="K253" s="159">
        <v>42</v>
      </c>
      <c r="L253" s="159">
        <v>1</v>
      </c>
      <c r="M253" s="159">
        <v>1</v>
      </c>
      <c r="N253" s="160">
        <f t="shared" si="6"/>
        <v>748</v>
      </c>
      <c r="O253" s="159">
        <v>0</v>
      </c>
      <c r="P253" s="159">
        <v>6</v>
      </c>
      <c r="Q253" s="159">
        <f t="shared" si="7"/>
        <v>754</v>
      </c>
      <c r="R253" s="159">
        <v>0</v>
      </c>
    </row>
    <row r="254" spans="1:18" ht="22.5">
      <c r="A254" s="41">
        <v>245</v>
      </c>
      <c r="B254" s="61" t="s">
        <v>370</v>
      </c>
      <c r="C254" s="159">
        <v>7</v>
      </c>
      <c r="D254" s="159">
        <v>153</v>
      </c>
      <c r="E254" s="159">
        <v>603</v>
      </c>
      <c r="F254" s="159">
        <v>6</v>
      </c>
      <c r="G254" s="159">
        <v>1</v>
      </c>
      <c r="H254" s="159">
        <v>1</v>
      </c>
      <c r="I254" s="159">
        <v>0</v>
      </c>
      <c r="J254" s="159">
        <v>1</v>
      </c>
      <c r="K254" s="159">
        <v>2</v>
      </c>
      <c r="L254" s="159">
        <v>8</v>
      </c>
      <c r="M254" s="159">
        <v>4</v>
      </c>
      <c r="N254" s="160">
        <f t="shared" si="6"/>
        <v>786</v>
      </c>
      <c r="O254" s="159">
        <v>0</v>
      </c>
      <c r="P254" s="159">
        <v>0</v>
      </c>
      <c r="Q254" s="159">
        <f t="shared" si="7"/>
        <v>786</v>
      </c>
      <c r="R254" s="159">
        <v>0</v>
      </c>
    </row>
    <row r="255" spans="1:18" ht="22.5">
      <c r="A255" s="41">
        <v>246</v>
      </c>
      <c r="B255" s="61" t="s">
        <v>371</v>
      </c>
      <c r="C255" s="159">
        <v>8</v>
      </c>
      <c r="D255" s="159">
        <v>210</v>
      </c>
      <c r="E255" s="159">
        <v>576</v>
      </c>
      <c r="F255" s="159">
        <v>6</v>
      </c>
      <c r="G255" s="159">
        <v>1</v>
      </c>
      <c r="H255" s="159">
        <v>0</v>
      </c>
      <c r="I255" s="159">
        <v>1</v>
      </c>
      <c r="J255" s="159">
        <v>0</v>
      </c>
      <c r="K255" s="159">
        <v>6</v>
      </c>
      <c r="L255" s="159">
        <v>7</v>
      </c>
      <c r="M255" s="159">
        <v>1</v>
      </c>
      <c r="N255" s="160">
        <f t="shared" si="6"/>
        <v>816</v>
      </c>
      <c r="O255" s="159">
        <v>0</v>
      </c>
      <c r="P255" s="159">
        <v>3</v>
      </c>
      <c r="Q255" s="159">
        <f t="shared" si="7"/>
        <v>819</v>
      </c>
      <c r="R255" s="159">
        <v>0</v>
      </c>
    </row>
    <row r="256" spans="1:18" ht="22.5">
      <c r="A256" s="41">
        <v>247</v>
      </c>
      <c r="B256" s="61" t="s">
        <v>372</v>
      </c>
      <c r="C256" s="159">
        <v>28</v>
      </c>
      <c r="D256" s="159">
        <v>435</v>
      </c>
      <c r="E256" s="159">
        <v>220</v>
      </c>
      <c r="F256" s="159">
        <v>4</v>
      </c>
      <c r="G256" s="159">
        <v>0</v>
      </c>
      <c r="H256" s="159">
        <v>0</v>
      </c>
      <c r="I256" s="159">
        <v>0</v>
      </c>
      <c r="J256" s="159">
        <v>0</v>
      </c>
      <c r="K256" s="159">
        <v>20</v>
      </c>
      <c r="L256" s="159">
        <v>2</v>
      </c>
      <c r="M256" s="159">
        <v>0</v>
      </c>
      <c r="N256" s="160">
        <f t="shared" si="6"/>
        <v>709</v>
      </c>
      <c r="O256" s="159">
        <v>0</v>
      </c>
      <c r="P256" s="159">
        <v>2</v>
      </c>
      <c r="Q256" s="159">
        <f t="shared" si="7"/>
        <v>711</v>
      </c>
      <c r="R256" s="159">
        <v>0</v>
      </c>
    </row>
    <row r="257" spans="1:18" ht="22.5">
      <c r="A257" s="41">
        <v>248</v>
      </c>
      <c r="B257" s="61" t="s">
        <v>373</v>
      </c>
      <c r="C257" s="159">
        <v>17</v>
      </c>
      <c r="D257" s="159">
        <v>516</v>
      </c>
      <c r="E257" s="159">
        <v>143</v>
      </c>
      <c r="F257" s="159">
        <v>4</v>
      </c>
      <c r="G257" s="159">
        <v>0</v>
      </c>
      <c r="H257" s="159">
        <v>1</v>
      </c>
      <c r="I257" s="159">
        <v>3</v>
      </c>
      <c r="J257" s="159">
        <v>0</v>
      </c>
      <c r="K257" s="159">
        <v>15</v>
      </c>
      <c r="L257" s="159">
        <v>13</v>
      </c>
      <c r="M257" s="159">
        <v>1</v>
      </c>
      <c r="N257" s="160">
        <f t="shared" si="6"/>
        <v>713</v>
      </c>
      <c r="O257" s="159">
        <v>0</v>
      </c>
      <c r="P257" s="159">
        <v>2</v>
      </c>
      <c r="Q257" s="159">
        <f t="shared" si="7"/>
        <v>715</v>
      </c>
      <c r="R257" s="159">
        <v>0</v>
      </c>
    </row>
    <row r="258" spans="1:18" ht="22.5">
      <c r="A258" s="41">
        <v>249</v>
      </c>
      <c r="B258" s="61" t="s">
        <v>374</v>
      </c>
      <c r="C258" s="159">
        <v>10</v>
      </c>
      <c r="D258" s="159">
        <v>78</v>
      </c>
      <c r="E258" s="159">
        <v>356</v>
      </c>
      <c r="F258" s="159">
        <v>2</v>
      </c>
      <c r="G258" s="159">
        <v>0</v>
      </c>
      <c r="H258" s="159">
        <v>0</v>
      </c>
      <c r="I258" s="159">
        <v>0</v>
      </c>
      <c r="J258" s="159">
        <v>0</v>
      </c>
      <c r="K258" s="159">
        <v>2</v>
      </c>
      <c r="L258" s="159">
        <v>2</v>
      </c>
      <c r="M258" s="159">
        <v>2</v>
      </c>
      <c r="N258" s="160">
        <f t="shared" si="6"/>
        <v>452</v>
      </c>
      <c r="O258" s="159">
        <v>0</v>
      </c>
      <c r="P258" s="159">
        <v>4</v>
      </c>
      <c r="Q258" s="159">
        <f t="shared" si="7"/>
        <v>456</v>
      </c>
      <c r="R258" s="159">
        <v>0</v>
      </c>
    </row>
    <row r="259" spans="1:18" ht="22.5">
      <c r="A259" s="41">
        <v>250</v>
      </c>
      <c r="B259" s="61" t="s">
        <v>375</v>
      </c>
      <c r="C259" s="159">
        <v>74</v>
      </c>
      <c r="D259" s="159">
        <v>259</v>
      </c>
      <c r="E259" s="159">
        <v>406</v>
      </c>
      <c r="F259" s="159">
        <v>5</v>
      </c>
      <c r="G259" s="159">
        <v>0</v>
      </c>
      <c r="H259" s="159">
        <v>1</v>
      </c>
      <c r="I259" s="159">
        <v>0</v>
      </c>
      <c r="J259" s="159">
        <v>0</v>
      </c>
      <c r="K259" s="159">
        <v>1</v>
      </c>
      <c r="L259" s="159">
        <v>3</v>
      </c>
      <c r="M259" s="159">
        <v>2</v>
      </c>
      <c r="N259" s="160">
        <f t="shared" si="6"/>
        <v>751</v>
      </c>
      <c r="O259" s="159">
        <v>0</v>
      </c>
      <c r="P259" s="159">
        <v>1</v>
      </c>
      <c r="Q259" s="159">
        <f t="shared" si="7"/>
        <v>752</v>
      </c>
      <c r="R259" s="159">
        <v>0</v>
      </c>
    </row>
    <row r="260" spans="1:18" ht="22.5">
      <c r="A260" s="41">
        <v>251</v>
      </c>
      <c r="B260" s="61" t="s">
        <v>376</v>
      </c>
      <c r="C260" s="159">
        <v>22</v>
      </c>
      <c r="D260" s="159">
        <v>280</v>
      </c>
      <c r="E260" s="159">
        <v>351</v>
      </c>
      <c r="F260" s="159">
        <v>2</v>
      </c>
      <c r="G260" s="159">
        <v>0</v>
      </c>
      <c r="H260" s="159">
        <v>0</v>
      </c>
      <c r="I260" s="159">
        <v>0</v>
      </c>
      <c r="J260" s="159">
        <v>0</v>
      </c>
      <c r="K260" s="159">
        <v>2</v>
      </c>
      <c r="L260" s="159">
        <v>6</v>
      </c>
      <c r="M260" s="159">
        <v>0</v>
      </c>
      <c r="N260" s="160">
        <f t="shared" si="6"/>
        <v>663</v>
      </c>
      <c r="O260" s="159">
        <v>0</v>
      </c>
      <c r="P260" s="159">
        <v>4</v>
      </c>
      <c r="Q260" s="159">
        <f t="shared" si="7"/>
        <v>667</v>
      </c>
      <c r="R260" s="159">
        <v>0</v>
      </c>
    </row>
    <row r="261" spans="1:18" ht="22.5">
      <c r="A261" s="41">
        <v>252</v>
      </c>
      <c r="B261" s="61" t="s">
        <v>377</v>
      </c>
      <c r="C261" s="159">
        <v>10</v>
      </c>
      <c r="D261" s="159">
        <v>464</v>
      </c>
      <c r="E261" s="159">
        <v>11</v>
      </c>
      <c r="F261" s="159">
        <v>1</v>
      </c>
      <c r="G261" s="159">
        <v>0</v>
      </c>
      <c r="H261" s="159">
        <v>0</v>
      </c>
      <c r="I261" s="159">
        <v>0</v>
      </c>
      <c r="J261" s="159">
        <v>0</v>
      </c>
      <c r="K261" s="159">
        <v>18</v>
      </c>
      <c r="L261" s="159">
        <v>2</v>
      </c>
      <c r="M261" s="159">
        <v>2</v>
      </c>
      <c r="N261" s="160">
        <f t="shared" si="6"/>
        <v>508</v>
      </c>
      <c r="O261" s="159">
        <v>0</v>
      </c>
      <c r="P261" s="159">
        <v>0</v>
      </c>
      <c r="Q261" s="159">
        <f t="shared" si="7"/>
        <v>508</v>
      </c>
      <c r="R261" s="159">
        <v>0</v>
      </c>
    </row>
    <row r="262" spans="1:18" ht="22.5">
      <c r="A262" s="41">
        <v>253</v>
      </c>
      <c r="B262" s="61" t="s">
        <v>378</v>
      </c>
      <c r="C262" s="159">
        <v>25</v>
      </c>
      <c r="D262" s="159">
        <v>521</v>
      </c>
      <c r="E262" s="159">
        <v>51</v>
      </c>
      <c r="F262" s="159">
        <v>5</v>
      </c>
      <c r="G262" s="159">
        <v>0</v>
      </c>
      <c r="H262" s="159">
        <v>1</v>
      </c>
      <c r="I262" s="159">
        <v>1</v>
      </c>
      <c r="J262" s="159">
        <v>0</v>
      </c>
      <c r="K262" s="159">
        <v>1</v>
      </c>
      <c r="L262" s="159">
        <v>6</v>
      </c>
      <c r="M262" s="159">
        <v>2</v>
      </c>
      <c r="N262" s="160">
        <f t="shared" si="6"/>
        <v>613</v>
      </c>
      <c r="O262" s="159">
        <v>0</v>
      </c>
      <c r="P262" s="159">
        <v>0</v>
      </c>
      <c r="Q262" s="159">
        <f t="shared" si="7"/>
        <v>613</v>
      </c>
      <c r="R262" s="159">
        <v>0</v>
      </c>
    </row>
    <row r="263" spans="1:18" ht="22.5">
      <c r="A263" s="41">
        <v>254</v>
      </c>
      <c r="B263" s="61" t="s">
        <v>379</v>
      </c>
      <c r="C263" s="159">
        <v>19</v>
      </c>
      <c r="D263" s="159">
        <v>387</v>
      </c>
      <c r="E263" s="159">
        <v>7</v>
      </c>
      <c r="F263" s="159">
        <v>2</v>
      </c>
      <c r="G263" s="159">
        <v>0</v>
      </c>
      <c r="H263" s="159">
        <v>1</v>
      </c>
      <c r="I263" s="159">
        <v>0</v>
      </c>
      <c r="J263" s="159">
        <v>0</v>
      </c>
      <c r="K263" s="159">
        <v>8</v>
      </c>
      <c r="L263" s="159">
        <v>5</v>
      </c>
      <c r="M263" s="159">
        <v>0</v>
      </c>
      <c r="N263" s="160">
        <f t="shared" si="6"/>
        <v>429</v>
      </c>
      <c r="O263" s="159">
        <v>0</v>
      </c>
      <c r="P263" s="159">
        <v>0</v>
      </c>
      <c r="Q263" s="159">
        <f t="shared" si="7"/>
        <v>429</v>
      </c>
      <c r="R263" s="159">
        <v>0</v>
      </c>
    </row>
    <row r="264" spans="1:18" ht="22.5">
      <c r="A264" s="41">
        <v>255</v>
      </c>
      <c r="B264" s="61" t="s">
        <v>380</v>
      </c>
      <c r="C264" s="159">
        <v>9</v>
      </c>
      <c r="D264" s="159">
        <v>710</v>
      </c>
      <c r="E264" s="159">
        <v>40</v>
      </c>
      <c r="F264" s="159">
        <v>1</v>
      </c>
      <c r="G264" s="159">
        <v>0</v>
      </c>
      <c r="H264" s="159">
        <v>0</v>
      </c>
      <c r="I264" s="159">
        <v>0</v>
      </c>
      <c r="J264" s="159">
        <v>1</v>
      </c>
      <c r="K264" s="159">
        <v>22</v>
      </c>
      <c r="L264" s="159">
        <v>1</v>
      </c>
      <c r="M264" s="159">
        <v>0</v>
      </c>
      <c r="N264" s="160">
        <f t="shared" si="6"/>
        <v>784</v>
      </c>
      <c r="O264" s="159">
        <v>0</v>
      </c>
      <c r="P264" s="159">
        <v>1</v>
      </c>
      <c r="Q264" s="159">
        <f t="shared" si="7"/>
        <v>785</v>
      </c>
      <c r="R264" s="159">
        <v>0</v>
      </c>
    </row>
    <row r="265" spans="1:18" ht="22.5">
      <c r="A265" s="41">
        <v>256</v>
      </c>
      <c r="B265" s="61" t="s">
        <v>381</v>
      </c>
      <c r="C265" s="159">
        <v>13</v>
      </c>
      <c r="D265" s="159">
        <v>326</v>
      </c>
      <c r="E265" s="159">
        <v>62</v>
      </c>
      <c r="F265" s="159">
        <v>1</v>
      </c>
      <c r="G265" s="159">
        <v>0</v>
      </c>
      <c r="H265" s="159">
        <v>0</v>
      </c>
      <c r="I265" s="159">
        <v>0</v>
      </c>
      <c r="J265" s="159">
        <v>0</v>
      </c>
      <c r="K265" s="159">
        <v>3</v>
      </c>
      <c r="L265" s="159">
        <v>1</v>
      </c>
      <c r="M265" s="159">
        <v>0</v>
      </c>
      <c r="N265" s="160">
        <f t="shared" si="6"/>
        <v>406</v>
      </c>
      <c r="O265" s="159">
        <v>0</v>
      </c>
      <c r="P265" s="159">
        <v>0</v>
      </c>
      <c r="Q265" s="159">
        <f t="shared" si="7"/>
        <v>406</v>
      </c>
      <c r="R265" s="159">
        <v>0</v>
      </c>
    </row>
    <row r="266" spans="1:18" ht="22.5">
      <c r="A266" s="41">
        <v>257</v>
      </c>
      <c r="B266" s="61" t="s">
        <v>382</v>
      </c>
      <c r="C266" s="159">
        <v>17</v>
      </c>
      <c r="D266" s="159">
        <v>116</v>
      </c>
      <c r="E266" s="159">
        <v>251</v>
      </c>
      <c r="F266" s="159">
        <v>2</v>
      </c>
      <c r="G266" s="159">
        <v>0</v>
      </c>
      <c r="H266" s="159">
        <v>1</v>
      </c>
      <c r="I266" s="159">
        <v>2</v>
      </c>
      <c r="J266" s="159">
        <v>0</v>
      </c>
      <c r="K266" s="159">
        <v>2</v>
      </c>
      <c r="L266" s="159">
        <v>2</v>
      </c>
      <c r="M266" s="159">
        <v>1</v>
      </c>
      <c r="N266" s="160">
        <f t="shared" si="6"/>
        <v>394</v>
      </c>
      <c r="O266" s="159">
        <v>0</v>
      </c>
      <c r="P266" s="159">
        <v>3</v>
      </c>
      <c r="Q266" s="159">
        <f t="shared" si="7"/>
        <v>397</v>
      </c>
      <c r="R266" s="159">
        <v>0</v>
      </c>
    </row>
    <row r="267" spans="1:18" ht="22.5">
      <c r="A267" s="41">
        <v>258</v>
      </c>
      <c r="B267" s="61" t="s">
        <v>383</v>
      </c>
      <c r="C267" s="159">
        <v>12</v>
      </c>
      <c r="D267" s="159">
        <v>557</v>
      </c>
      <c r="E267" s="159">
        <v>211</v>
      </c>
      <c r="F267" s="159">
        <v>2</v>
      </c>
      <c r="G267" s="159">
        <v>0</v>
      </c>
      <c r="H267" s="159">
        <v>1</v>
      </c>
      <c r="I267" s="159">
        <v>0</v>
      </c>
      <c r="J267" s="159">
        <v>0</v>
      </c>
      <c r="K267" s="159">
        <v>2</v>
      </c>
      <c r="L267" s="159">
        <v>4</v>
      </c>
      <c r="M267" s="159">
        <v>3</v>
      </c>
      <c r="N267" s="160">
        <f t="shared" ref="N267:N330" si="8">SUM(C267:M267)</f>
        <v>792</v>
      </c>
      <c r="O267" s="159">
        <v>0</v>
      </c>
      <c r="P267" s="159">
        <v>1</v>
      </c>
      <c r="Q267" s="159">
        <f t="shared" ref="Q267:Q330" si="9">N267+P267-O267</f>
        <v>793</v>
      </c>
      <c r="R267" s="159">
        <v>0</v>
      </c>
    </row>
    <row r="268" spans="1:18" ht="22.5">
      <c r="A268" s="41">
        <v>259</v>
      </c>
      <c r="B268" s="61" t="s">
        <v>384</v>
      </c>
      <c r="C268" s="159">
        <v>1</v>
      </c>
      <c r="D268" s="159">
        <v>16</v>
      </c>
      <c r="E268" s="159">
        <v>484</v>
      </c>
      <c r="F268" s="159">
        <v>3</v>
      </c>
      <c r="G268" s="159">
        <v>0</v>
      </c>
      <c r="H268" s="159">
        <v>0</v>
      </c>
      <c r="I268" s="159">
        <v>0</v>
      </c>
      <c r="J268" s="159">
        <v>0</v>
      </c>
      <c r="K268" s="159">
        <v>1</v>
      </c>
      <c r="L268" s="159">
        <v>1</v>
      </c>
      <c r="M268" s="159">
        <v>0</v>
      </c>
      <c r="N268" s="160">
        <f t="shared" si="8"/>
        <v>506</v>
      </c>
      <c r="O268" s="159">
        <v>0</v>
      </c>
      <c r="P268" s="159">
        <v>2</v>
      </c>
      <c r="Q268" s="159">
        <f t="shared" si="9"/>
        <v>508</v>
      </c>
      <c r="R268" s="159">
        <v>0</v>
      </c>
    </row>
    <row r="269" spans="1:18" ht="22.5">
      <c r="A269" s="41">
        <v>260</v>
      </c>
      <c r="B269" s="61" t="s">
        <v>385</v>
      </c>
      <c r="C269" s="159">
        <v>3</v>
      </c>
      <c r="D269" s="159">
        <v>8</v>
      </c>
      <c r="E269" s="159">
        <v>472</v>
      </c>
      <c r="F269" s="159">
        <v>2</v>
      </c>
      <c r="G269" s="159">
        <v>0</v>
      </c>
      <c r="H269" s="159">
        <v>0</v>
      </c>
      <c r="I269" s="159">
        <v>1</v>
      </c>
      <c r="J269" s="159">
        <v>0</v>
      </c>
      <c r="K269" s="159">
        <v>1</v>
      </c>
      <c r="L269" s="159">
        <v>0</v>
      </c>
      <c r="M269" s="159">
        <v>0</v>
      </c>
      <c r="N269" s="160">
        <f t="shared" si="8"/>
        <v>487</v>
      </c>
      <c r="O269" s="159">
        <v>0</v>
      </c>
      <c r="P269" s="159">
        <v>0</v>
      </c>
      <c r="Q269" s="159">
        <f t="shared" si="9"/>
        <v>487</v>
      </c>
      <c r="R269" s="159">
        <v>0</v>
      </c>
    </row>
    <row r="270" spans="1:18" ht="22.5">
      <c r="A270" s="41">
        <v>261</v>
      </c>
      <c r="B270" s="61" t="s">
        <v>386</v>
      </c>
      <c r="C270" s="159">
        <v>103</v>
      </c>
      <c r="D270" s="159">
        <v>24</v>
      </c>
      <c r="E270" s="159">
        <v>211</v>
      </c>
      <c r="F270" s="159">
        <v>2</v>
      </c>
      <c r="G270" s="159">
        <v>0</v>
      </c>
      <c r="H270" s="159">
        <v>0</v>
      </c>
      <c r="I270" s="159">
        <v>0</v>
      </c>
      <c r="J270" s="159">
        <v>0</v>
      </c>
      <c r="K270" s="159">
        <v>0</v>
      </c>
      <c r="L270" s="159">
        <v>4</v>
      </c>
      <c r="M270" s="159">
        <v>0</v>
      </c>
      <c r="N270" s="160">
        <f t="shared" si="8"/>
        <v>344</v>
      </c>
      <c r="O270" s="159">
        <v>0</v>
      </c>
      <c r="P270" s="159">
        <v>3</v>
      </c>
      <c r="Q270" s="159">
        <f t="shared" si="9"/>
        <v>347</v>
      </c>
      <c r="R270" s="159">
        <v>0</v>
      </c>
    </row>
    <row r="271" spans="1:18" ht="22.5">
      <c r="A271" s="41">
        <v>262</v>
      </c>
      <c r="B271" s="61" t="s">
        <v>387</v>
      </c>
      <c r="C271" s="159">
        <v>10</v>
      </c>
      <c r="D271" s="159">
        <v>290</v>
      </c>
      <c r="E271" s="159">
        <v>533</v>
      </c>
      <c r="F271" s="159">
        <v>2</v>
      </c>
      <c r="G271" s="159">
        <v>2</v>
      </c>
      <c r="H271" s="159">
        <v>0</v>
      </c>
      <c r="I271" s="159">
        <v>0</v>
      </c>
      <c r="J271" s="159">
        <v>0</v>
      </c>
      <c r="K271" s="159">
        <v>1</v>
      </c>
      <c r="L271" s="159">
        <v>8</v>
      </c>
      <c r="M271" s="159">
        <v>2</v>
      </c>
      <c r="N271" s="160">
        <f t="shared" si="8"/>
        <v>848</v>
      </c>
      <c r="O271" s="159">
        <v>0</v>
      </c>
      <c r="P271" s="159">
        <v>1</v>
      </c>
      <c r="Q271" s="159">
        <f t="shared" si="9"/>
        <v>849</v>
      </c>
      <c r="R271" s="159">
        <v>0</v>
      </c>
    </row>
    <row r="272" spans="1:18" ht="22.5">
      <c r="A272" s="41">
        <v>263</v>
      </c>
      <c r="B272" s="61" t="s">
        <v>388</v>
      </c>
      <c r="C272" s="159">
        <v>4</v>
      </c>
      <c r="D272" s="159">
        <v>207</v>
      </c>
      <c r="E272" s="159">
        <v>566</v>
      </c>
      <c r="F272" s="159">
        <v>5</v>
      </c>
      <c r="G272" s="159">
        <v>0</v>
      </c>
      <c r="H272" s="159">
        <v>1</v>
      </c>
      <c r="I272" s="159">
        <v>1</v>
      </c>
      <c r="J272" s="159">
        <v>3</v>
      </c>
      <c r="K272" s="159">
        <v>2</v>
      </c>
      <c r="L272" s="159">
        <v>3</v>
      </c>
      <c r="M272" s="159">
        <v>0</v>
      </c>
      <c r="N272" s="160">
        <f t="shared" si="8"/>
        <v>792</v>
      </c>
      <c r="O272" s="159">
        <v>0</v>
      </c>
      <c r="P272" s="159">
        <v>4</v>
      </c>
      <c r="Q272" s="159">
        <f t="shared" si="9"/>
        <v>796</v>
      </c>
      <c r="R272" s="159">
        <v>0</v>
      </c>
    </row>
    <row r="273" spans="1:18" ht="22.5">
      <c r="A273" s="41">
        <v>264</v>
      </c>
      <c r="B273" s="61" t="s">
        <v>389</v>
      </c>
      <c r="C273" s="159">
        <v>10</v>
      </c>
      <c r="D273" s="159">
        <v>244</v>
      </c>
      <c r="E273" s="159">
        <v>315</v>
      </c>
      <c r="F273" s="159">
        <v>5</v>
      </c>
      <c r="G273" s="159">
        <v>1</v>
      </c>
      <c r="H273" s="159">
        <v>1</v>
      </c>
      <c r="I273" s="159">
        <v>0</v>
      </c>
      <c r="J273" s="159">
        <v>0</v>
      </c>
      <c r="K273" s="159">
        <v>2</v>
      </c>
      <c r="L273" s="159">
        <v>6</v>
      </c>
      <c r="M273" s="159">
        <v>1</v>
      </c>
      <c r="N273" s="160">
        <f t="shared" si="8"/>
        <v>585</v>
      </c>
      <c r="O273" s="159">
        <v>0</v>
      </c>
      <c r="P273" s="159">
        <v>0</v>
      </c>
      <c r="Q273" s="159">
        <f t="shared" si="9"/>
        <v>585</v>
      </c>
      <c r="R273" s="159">
        <v>0</v>
      </c>
    </row>
    <row r="274" spans="1:18" ht="22.5">
      <c r="A274" s="41">
        <v>265</v>
      </c>
      <c r="B274" s="61" t="s">
        <v>390</v>
      </c>
      <c r="C274" s="159">
        <v>30</v>
      </c>
      <c r="D274" s="159">
        <v>518</v>
      </c>
      <c r="E274" s="159">
        <v>223</v>
      </c>
      <c r="F274" s="159">
        <v>7</v>
      </c>
      <c r="G274" s="159">
        <v>1</v>
      </c>
      <c r="H274" s="159">
        <v>0</v>
      </c>
      <c r="I274" s="159">
        <v>0</v>
      </c>
      <c r="J274" s="159">
        <v>1</v>
      </c>
      <c r="K274" s="159">
        <v>10</v>
      </c>
      <c r="L274" s="159">
        <v>5</v>
      </c>
      <c r="M274" s="159">
        <v>1</v>
      </c>
      <c r="N274" s="160">
        <f t="shared" si="8"/>
        <v>796</v>
      </c>
      <c r="O274" s="159">
        <v>0</v>
      </c>
      <c r="P274" s="159">
        <v>1</v>
      </c>
      <c r="Q274" s="159">
        <f t="shared" si="9"/>
        <v>797</v>
      </c>
      <c r="R274" s="159">
        <v>0</v>
      </c>
    </row>
    <row r="275" spans="1:18" ht="22.5">
      <c r="A275" s="41">
        <v>266</v>
      </c>
      <c r="B275" s="61" t="s">
        <v>391</v>
      </c>
      <c r="C275" s="159">
        <v>36</v>
      </c>
      <c r="D275" s="159">
        <v>359</v>
      </c>
      <c r="E275" s="159">
        <v>48</v>
      </c>
      <c r="F275" s="159">
        <v>6</v>
      </c>
      <c r="G275" s="159">
        <v>0</v>
      </c>
      <c r="H275" s="159">
        <v>0</v>
      </c>
      <c r="I275" s="159">
        <v>0</v>
      </c>
      <c r="J275" s="159">
        <v>0</v>
      </c>
      <c r="K275" s="159">
        <v>1</v>
      </c>
      <c r="L275" s="159">
        <v>1</v>
      </c>
      <c r="M275" s="159">
        <v>1</v>
      </c>
      <c r="N275" s="160">
        <f t="shared" si="8"/>
        <v>452</v>
      </c>
      <c r="O275" s="159">
        <v>0</v>
      </c>
      <c r="P275" s="159">
        <v>1</v>
      </c>
      <c r="Q275" s="159">
        <f t="shared" si="9"/>
        <v>453</v>
      </c>
      <c r="R275" s="159">
        <v>0</v>
      </c>
    </row>
    <row r="276" spans="1:18" ht="22.5">
      <c r="A276" s="41">
        <v>267</v>
      </c>
      <c r="B276" s="62" t="s">
        <v>392</v>
      </c>
      <c r="C276" s="159">
        <v>303</v>
      </c>
      <c r="D276" s="159">
        <v>151</v>
      </c>
      <c r="E276" s="159">
        <v>59</v>
      </c>
      <c r="F276" s="159">
        <v>9</v>
      </c>
      <c r="G276" s="159">
        <v>2</v>
      </c>
      <c r="H276" s="159">
        <v>1</v>
      </c>
      <c r="I276" s="159">
        <v>0</v>
      </c>
      <c r="J276" s="159">
        <v>0</v>
      </c>
      <c r="K276" s="159">
        <v>11</v>
      </c>
      <c r="L276" s="159">
        <v>0</v>
      </c>
      <c r="M276" s="159">
        <v>2</v>
      </c>
      <c r="N276" s="160">
        <f t="shared" si="8"/>
        <v>538</v>
      </c>
      <c r="O276" s="159">
        <v>0</v>
      </c>
      <c r="P276" s="159">
        <v>2</v>
      </c>
      <c r="Q276" s="159">
        <f t="shared" si="9"/>
        <v>540</v>
      </c>
      <c r="R276" s="159">
        <v>0</v>
      </c>
    </row>
    <row r="277" spans="1:18" ht="22.5">
      <c r="A277" s="41">
        <v>268</v>
      </c>
      <c r="B277" s="62" t="s">
        <v>393</v>
      </c>
      <c r="C277" s="159">
        <v>386</v>
      </c>
      <c r="D277" s="159">
        <v>43</v>
      </c>
      <c r="E277" s="159">
        <v>96</v>
      </c>
      <c r="F277" s="159">
        <v>2</v>
      </c>
      <c r="G277" s="159">
        <v>0</v>
      </c>
      <c r="H277" s="159">
        <v>0</v>
      </c>
      <c r="I277" s="159">
        <v>0</v>
      </c>
      <c r="J277" s="159">
        <v>0</v>
      </c>
      <c r="K277" s="159">
        <v>0</v>
      </c>
      <c r="L277" s="159">
        <v>2</v>
      </c>
      <c r="M277" s="159">
        <v>0</v>
      </c>
      <c r="N277" s="160">
        <f t="shared" si="8"/>
        <v>529</v>
      </c>
      <c r="O277" s="159">
        <v>0</v>
      </c>
      <c r="P277" s="159">
        <v>4</v>
      </c>
      <c r="Q277" s="159">
        <f t="shared" si="9"/>
        <v>533</v>
      </c>
      <c r="R277" s="159">
        <v>0</v>
      </c>
    </row>
    <row r="278" spans="1:18" ht="22.5">
      <c r="A278" s="41">
        <v>269</v>
      </c>
      <c r="B278" s="62" t="s">
        <v>394</v>
      </c>
      <c r="C278" s="159">
        <v>202</v>
      </c>
      <c r="D278" s="159">
        <v>95</v>
      </c>
      <c r="E278" s="159">
        <v>221</v>
      </c>
      <c r="F278" s="159">
        <v>8</v>
      </c>
      <c r="G278" s="159">
        <v>1</v>
      </c>
      <c r="H278" s="159">
        <v>0</v>
      </c>
      <c r="I278" s="159">
        <v>1</v>
      </c>
      <c r="J278" s="159">
        <v>1</v>
      </c>
      <c r="K278" s="159">
        <v>0</v>
      </c>
      <c r="L278" s="159">
        <v>2</v>
      </c>
      <c r="M278" s="159">
        <v>0</v>
      </c>
      <c r="N278" s="160">
        <f t="shared" si="8"/>
        <v>531</v>
      </c>
      <c r="O278" s="159">
        <v>0</v>
      </c>
      <c r="P278" s="159">
        <v>5</v>
      </c>
      <c r="Q278" s="159">
        <f t="shared" si="9"/>
        <v>536</v>
      </c>
      <c r="R278" s="159">
        <v>0</v>
      </c>
    </row>
    <row r="279" spans="1:18" ht="22.5">
      <c r="A279" s="41">
        <v>270</v>
      </c>
      <c r="B279" s="62" t="s">
        <v>395</v>
      </c>
      <c r="C279" s="159">
        <v>415</v>
      </c>
      <c r="D279" s="159">
        <v>12</v>
      </c>
      <c r="E279" s="159">
        <v>76</v>
      </c>
      <c r="F279" s="159">
        <v>3</v>
      </c>
      <c r="G279" s="159">
        <v>0</v>
      </c>
      <c r="H279" s="159">
        <v>0</v>
      </c>
      <c r="I279" s="159">
        <v>0</v>
      </c>
      <c r="J279" s="159">
        <v>4</v>
      </c>
      <c r="K279" s="159">
        <v>0</v>
      </c>
      <c r="L279" s="159">
        <v>3</v>
      </c>
      <c r="M279" s="159">
        <v>4</v>
      </c>
      <c r="N279" s="160">
        <f t="shared" si="8"/>
        <v>517</v>
      </c>
      <c r="O279" s="159">
        <v>0</v>
      </c>
      <c r="P279" s="159">
        <v>3</v>
      </c>
      <c r="Q279" s="159">
        <f t="shared" si="9"/>
        <v>520</v>
      </c>
      <c r="R279" s="159">
        <v>0</v>
      </c>
    </row>
    <row r="280" spans="1:18" ht="22.5">
      <c r="A280" s="41">
        <v>271</v>
      </c>
      <c r="B280" s="62" t="s">
        <v>396</v>
      </c>
      <c r="C280" s="159">
        <v>82</v>
      </c>
      <c r="D280" s="159">
        <v>14</v>
      </c>
      <c r="E280" s="159">
        <v>358</v>
      </c>
      <c r="F280" s="159">
        <v>2</v>
      </c>
      <c r="G280" s="159">
        <v>4</v>
      </c>
      <c r="H280" s="159">
        <v>0</v>
      </c>
      <c r="I280" s="159">
        <v>2</v>
      </c>
      <c r="J280" s="159">
        <v>0</v>
      </c>
      <c r="K280" s="159">
        <v>1</v>
      </c>
      <c r="L280" s="159">
        <v>7</v>
      </c>
      <c r="M280" s="159">
        <v>0</v>
      </c>
      <c r="N280" s="160">
        <f t="shared" si="8"/>
        <v>470</v>
      </c>
      <c r="O280" s="159">
        <v>0</v>
      </c>
      <c r="P280" s="159">
        <v>3</v>
      </c>
      <c r="Q280" s="159">
        <f t="shared" si="9"/>
        <v>473</v>
      </c>
      <c r="R280" s="159">
        <v>0</v>
      </c>
    </row>
    <row r="281" spans="1:18" ht="22.5">
      <c r="A281" s="41">
        <v>272</v>
      </c>
      <c r="B281" s="61" t="s">
        <v>397</v>
      </c>
      <c r="C281" s="159">
        <v>124</v>
      </c>
      <c r="D281" s="159">
        <v>197</v>
      </c>
      <c r="E281" s="159">
        <v>184</v>
      </c>
      <c r="F281" s="159">
        <v>6</v>
      </c>
      <c r="G281" s="159">
        <v>1</v>
      </c>
      <c r="H281" s="159">
        <v>0</v>
      </c>
      <c r="I281" s="159">
        <v>0</v>
      </c>
      <c r="J281" s="159">
        <v>0</v>
      </c>
      <c r="K281" s="159">
        <v>3</v>
      </c>
      <c r="L281" s="159">
        <v>3</v>
      </c>
      <c r="M281" s="159">
        <v>4</v>
      </c>
      <c r="N281" s="160">
        <f t="shared" si="8"/>
        <v>522</v>
      </c>
      <c r="O281" s="159">
        <v>0</v>
      </c>
      <c r="P281" s="159">
        <v>5</v>
      </c>
      <c r="Q281" s="159">
        <f t="shared" si="9"/>
        <v>527</v>
      </c>
      <c r="R281" s="159">
        <v>0</v>
      </c>
    </row>
    <row r="282" spans="1:18" ht="22.5">
      <c r="A282" s="41">
        <v>273</v>
      </c>
      <c r="B282" s="61" t="s">
        <v>398</v>
      </c>
      <c r="C282" s="159">
        <v>7</v>
      </c>
      <c r="D282" s="159">
        <v>29</v>
      </c>
      <c r="E282" s="159">
        <v>766</v>
      </c>
      <c r="F282" s="159">
        <v>8</v>
      </c>
      <c r="G282" s="159">
        <v>0</v>
      </c>
      <c r="H282" s="159">
        <v>0</v>
      </c>
      <c r="I282" s="159">
        <v>0</v>
      </c>
      <c r="J282" s="159">
        <v>1</v>
      </c>
      <c r="K282" s="159">
        <v>2</v>
      </c>
      <c r="L282" s="159">
        <v>2</v>
      </c>
      <c r="M282" s="159">
        <v>0</v>
      </c>
      <c r="N282" s="160">
        <f t="shared" si="8"/>
        <v>815</v>
      </c>
      <c r="O282" s="159">
        <v>0</v>
      </c>
      <c r="P282" s="159">
        <v>5</v>
      </c>
      <c r="Q282" s="159">
        <f t="shared" si="9"/>
        <v>820</v>
      </c>
      <c r="R282" s="159">
        <v>0</v>
      </c>
    </row>
    <row r="283" spans="1:18" ht="22.5">
      <c r="A283" s="41">
        <v>274</v>
      </c>
      <c r="B283" s="61" t="s">
        <v>399</v>
      </c>
      <c r="C283" s="159">
        <v>6</v>
      </c>
      <c r="D283" s="159">
        <v>9</v>
      </c>
      <c r="E283" s="159">
        <v>498</v>
      </c>
      <c r="F283" s="159">
        <v>6</v>
      </c>
      <c r="G283" s="159">
        <v>0</v>
      </c>
      <c r="H283" s="159">
        <v>0</v>
      </c>
      <c r="I283" s="159">
        <v>2</v>
      </c>
      <c r="J283" s="159">
        <v>0</v>
      </c>
      <c r="K283" s="159">
        <v>0</v>
      </c>
      <c r="L283" s="159">
        <v>6</v>
      </c>
      <c r="M283" s="159">
        <v>0</v>
      </c>
      <c r="N283" s="160">
        <f t="shared" si="8"/>
        <v>527</v>
      </c>
      <c r="O283" s="159">
        <v>0</v>
      </c>
      <c r="P283" s="159">
        <v>2</v>
      </c>
      <c r="Q283" s="159">
        <f t="shared" si="9"/>
        <v>529</v>
      </c>
      <c r="R283" s="159">
        <v>0</v>
      </c>
    </row>
    <row r="284" spans="1:18" ht="22.5">
      <c r="A284" s="41">
        <v>275</v>
      </c>
      <c r="B284" s="61" t="s">
        <v>400</v>
      </c>
      <c r="C284" s="159">
        <v>16</v>
      </c>
      <c r="D284" s="159">
        <v>15</v>
      </c>
      <c r="E284" s="159">
        <v>416</v>
      </c>
      <c r="F284" s="159">
        <v>5</v>
      </c>
      <c r="G284" s="159">
        <v>0</v>
      </c>
      <c r="H284" s="159">
        <v>0</v>
      </c>
      <c r="I284" s="159">
        <v>0</v>
      </c>
      <c r="J284" s="159">
        <v>0</v>
      </c>
      <c r="K284" s="159">
        <v>0</v>
      </c>
      <c r="L284" s="159">
        <v>0</v>
      </c>
      <c r="M284" s="159">
        <v>0</v>
      </c>
      <c r="N284" s="160">
        <f t="shared" si="8"/>
        <v>452</v>
      </c>
      <c r="O284" s="159">
        <v>0</v>
      </c>
      <c r="P284" s="159">
        <v>0</v>
      </c>
      <c r="Q284" s="159">
        <f t="shared" si="9"/>
        <v>452</v>
      </c>
      <c r="R284" s="159">
        <v>0</v>
      </c>
    </row>
    <row r="285" spans="1:18" ht="22.5">
      <c r="A285" s="41">
        <v>276</v>
      </c>
      <c r="B285" s="61" t="s">
        <v>401</v>
      </c>
      <c r="C285" s="159">
        <v>18</v>
      </c>
      <c r="D285" s="159">
        <v>25</v>
      </c>
      <c r="E285" s="159">
        <v>699</v>
      </c>
      <c r="F285" s="159">
        <v>4</v>
      </c>
      <c r="G285" s="159">
        <v>0</v>
      </c>
      <c r="H285" s="159">
        <v>0</v>
      </c>
      <c r="I285" s="159">
        <v>0</v>
      </c>
      <c r="J285" s="159">
        <v>1</v>
      </c>
      <c r="K285" s="159">
        <v>0</v>
      </c>
      <c r="L285" s="159">
        <v>5</v>
      </c>
      <c r="M285" s="159">
        <v>0</v>
      </c>
      <c r="N285" s="160">
        <f t="shared" si="8"/>
        <v>752</v>
      </c>
      <c r="O285" s="159">
        <v>0</v>
      </c>
      <c r="P285" s="159">
        <v>0</v>
      </c>
      <c r="Q285" s="159">
        <f t="shared" si="9"/>
        <v>752</v>
      </c>
      <c r="R285" s="159">
        <v>0</v>
      </c>
    </row>
    <row r="286" spans="1:18" ht="22.5">
      <c r="A286" s="41">
        <v>277</v>
      </c>
      <c r="B286" s="61" t="s">
        <v>402</v>
      </c>
      <c r="C286" s="159">
        <v>68</v>
      </c>
      <c r="D286" s="159">
        <v>9</v>
      </c>
      <c r="E286" s="159">
        <v>191</v>
      </c>
      <c r="F286" s="159">
        <v>1</v>
      </c>
      <c r="G286" s="159">
        <v>2</v>
      </c>
      <c r="H286" s="159">
        <v>0</v>
      </c>
      <c r="I286" s="159">
        <v>0</v>
      </c>
      <c r="J286" s="159">
        <v>0</v>
      </c>
      <c r="K286" s="159">
        <v>0</v>
      </c>
      <c r="L286" s="159">
        <v>0</v>
      </c>
      <c r="M286" s="159">
        <v>0</v>
      </c>
      <c r="N286" s="160">
        <f t="shared" si="8"/>
        <v>271</v>
      </c>
      <c r="O286" s="159">
        <v>0</v>
      </c>
      <c r="P286" s="159">
        <v>4</v>
      </c>
      <c r="Q286" s="159">
        <f t="shared" si="9"/>
        <v>275</v>
      </c>
      <c r="R286" s="159">
        <v>0</v>
      </c>
    </row>
    <row r="287" spans="1:18" ht="22.5">
      <c r="A287" s="41">
        <v>278</v>
      </c>
      <c r="B287" s="61" t="s">
        <v>403</v>
      </c>
      <c r="C287" s="159">
        <v>44</v>
      </c>
      <c r="D287" s="159">
        <v>430</v>
      </c>
      <c r="E287" s="159">
        <v>33</v>
      </c>
      <c r="F287" s="159">
        <v>1</v>
      </c>
      <c r="G287" s="159">
        <v>1</v>
      </c>
      <c r="H287" s="159">
        <v>1</v>
      </c>
      <c r="I287" s="159">
        <v>0</v>
      </c>
      <c r="J287" s="159">
        <v>0</v>
      </c>
      <c r="K287" s="159">
        <v>19</v>
      </c>
      <c r="L287" s="159">
        <v>1</v>
      </c>
      <c r="M287" s="159">
        <v>3</v>
      </c>
      <c r="N287" s="160">
        <f t="shared" si="8"/>
        <v>533</v>
      </c>
      <c r="O287" s="159">
        <v>0</v>
      </c>
      <c r="P287" s="159">
        <v>4</v>
      </c>
      <c r="Q287" s="159">
        <f t="shared" si="9"/>
        <v>537</v>
      </c>
      <c r="R287" s="159">
        <v>0</v>
      </c>
    </row>
    <row r="288" spans="1:18" ht="22.5">
      <c r="A288" s="41">
        <v>279</v>
      </c>
      <c r="B288" s="61" t="s">
        <v>404</v>
      </c>
      <c r="C288" s="159">
        <v>4</v>
      </c>
      <c r="D288" s="159">
        <v>63</v>
      </c>
      <c r="E288" s="159">
        <v>396</v>
      </c>
      <c r="F288" s="159">
        <v>1</v>
      </c>
      <c r="G288" s="159">
        <v>0</v>
      </c>
      <c r="H288" s="159">
        <v>0</v>
      </c>
      <c r="I288" s="159">
        <v>1</v>
      </c>
      <c r="J288" s="159">
        <v>1</v>
      </c>
      <c r="K288" s="159">
        <v>0</v>
      </c>
      <c r="L288" s="159">
        <v>1</v>
      </c>
      <c r="M288" s="159">
        <v>0</v>
      </c>
      <c r="N288" s="160">
        <f t="shared" si="8"/>
        <v>467</v>
      </c>
      <c r="O288" s="159">
        <v>0</v>
      </c>
      <c r="P288" s="159">
        <v>0</v>
      </c>
      <c r="Q288" s="159">
        <f t="shared" si="9"/>
        <v>467</v>
      </c>
      <c r="R288" s="159">
        <v>0</v>
      </c>
    </row>
    <row r="289" spans="1:18" ht="22.5">
      <c r="A289" s="41">
        <v>280</v>
      </c>
      <c r="B289" s="61" t="s">
        <v>405</v>
      </c>
      <c r="C289" s="159">
        <v>36</v>
      </c>
      <c r="D289" s="159">
        <v>585</v>
      </c>
      <c r="E289" s="159">
        <v>2</v>
      </c>
      <c r="F289" s="159">
        <v>3</v>
      </c>
      <c r="G289" s="159">
        <v>0</v>
      </c>
      <c r="H289" s="159">
        <v>0</v>
      </c>
      <c r="I289" s="159">
        <v>0</v>
      </c>
      <c r="J289" s="159">
        <v>0</v>
      </c>
      <c r="K289" s="159">
        <v>20</v>
      </c>
      <c r="L289" s="159">
        <v>2</v>
      </c>
      <c r="M289" s="159">
        <v>2</v>
      </c>
      <c r="N289" s="160">
        <f t="shared" si="8"/>
        <v>650</v>
      </c>
      <c r="O289" s="159">
        <v>0</v>
      </c>
      <c r="P289" s="159">
        <v>0</v>
      </c>
      <c r="Q289" s="159">
        <f t="shared" si="9"/>
        <v>650</v>
      </c>
      <c r="R289" s="159">
        <v>0</v>
      </c>
    </row>
    <row r="290" spans="1:18" ht="22.5">
      <c r="A290" s="41">
        <v>281</v>
      </c>
      <c r="B290" s="61" t="s">
        <v>406</v>
      </c>
      <c r="C290" s="159">
        <v>61</v>
      </c>
      <c r="D290" s="159">
        <v>702</v>
      </c>
      <c r="E290" s="159">
        <v>27</v>
      </c>
      <c r="F290" s="159">
        <v>32</v>
      </c>
      <c r="G290" s="159">
        <v>0</v>
      </c>
      <c r="H290" s="159">
        <v>0</v>
      </c>
      <c r="I290" s="159">
        <v>3</v>
      </c>
      <c r="J290" s="159">
        <v>0</v>
      </c>
      <c r="K290" s="159">
        <v>19</v>
      </c>
      <c r="L290" s="159">
        <v>5</v>
      </c>
      <c r="M290" s="159">
        <v>1</v>
      </c>
      <c r="N290" s="160">
        <f t="shared" si="8"/>
        <v>850</v>
      </c>
      <c r="O290" s="159">
        <v>0</v>
      </c>
      <c r="P290" s="159">
        <v>3</v>
      </c>
      <c r="Q290" s="159">
        <f t="shared" si="9"/>
        <v>853</v>
      </c>
      <c r="R290" s="159">
        <v>0</v>
      </c>
    </row>
    <row r="291" spans="1:18" ht="22.5">
      <c r="A291" s="41">
        <v>282</v>
      </c>
      <c r="B291" s="61" t="s">
        <v>407</v>
      </c>
      <c r="C291" s="159">
        <v>7</v>
      </c>
      <c r="D291" s="159">
        <v>532</v>
      </c>
      <c r="E291" s="159">
        <v>3</v>
      </c>
      <c r="F291" s="159">
        <v>4</v>
      </c>
      <c r="G291" s="159">
        <v>0</v>
      </c>
      <c r="H291" s="159">
        <v>0</v>
      </c>
      <c r="I291" s="159">
        <v>0</v>
      </c>
      <c r="J291" s="159">
        <v>0</v>
      </c>
      <c r="K291" s="159">
        <v>34</v>
      </c>
      <c r="L291" s="159">
        <v>1</v>
      </c>
      <c r="M291" s="159">
        <v>0</v>
      </c>
      <c r="N291" s="160">
        <f t="shared" si="8"/>
        <v>581</v>
      </c>
      <c r="O291" s="159">
        <v>0</v>
      </c>
      <c r="P291" s="159">
        <v>1</v>
      </c>
      <c r="Q291" s="159">
        <f t="shared" si="9"/>
        <v>582</v>
      </c>
      <c r="R291" s="159">
        <v>0</v>
      </c>
    </row>
    <row r="292" spans="1:18" ht="22.5">
      <c r="A292" s="41">
        <v>283</v>
      </c>
      <c r="B292" s="61" t="s">
        <v>408</v>
      </c>
      <c r="C292" s="159">
        <v>11</v>
      </c>
      <c r="D292" s="159">
        <v>587</v>
      </c>
      <c r="E292" s="159">
        <v>12</v>
      </c>
      <c r="F292" s="159">
        <v>9</v>
      </c>
      <c r="G292" s="159">
        <v>0</v>
      </c>
      <c r="H292" s="159">
        <v>0</v>
      </c>
      <c r="I292" s="159">
        <v>1</v>
      </c>
      <c r="J292" s="159">
        <v>0</v>
      </c>
      <c r="K292" s="159">
        <v>13</v>
      </c>
      <c r="L292" s="159">
        <v>2</v>
      </c>
      <c r="M292" s="159">
        <v>0</v>
      </c>
      <c r="N292" s="160">
        <f t="shared" si="8"/>
        <v>635</v>
      </c>
      <c r="O292" s="159">
        <v>0</v>
      </c>
      <c r="P292" s="159">
        <v>2</v>
      </c>
      <c r="Q292" s="159">
        <f t="shared" si="9"/>
        <v>637</v>
      </c>
      <c r="R292" s="159">
        <v>0</v>
      </c>
    </row>
    <row r="293" spans="1:18" ht="22.5">
      <c r="A293" s="41">
        <v>284</v>
      </c>
      <c r="B293" s="61" t="s">
        <v>409</v>
      </c>
      <c r="C293" s="159">
        <v>7</v>
      </c>
      <c r="D293" s="159">
        <v>135</v>
      </c>
      <c r="E293" s="159">
        <v>484</v>
      </c>
      <c r="F293" s="159">
        <v>2</v>
      </c>
      <c r="G293" s="159">
        <v>0</v>
      </c>
      <c r="H293" s="159">
        <v>0</v>
      </c>
      <c r="I293" s="159">
        <v>0</v>
      </c>
      <c r="J293" s="159">
        <v>0</v>
      </c>
      <c r="K293" s="159">
        <v>2</v>
      </c>
      <c r="L293" s="159">
        <v>2</v>
      </c>
      <c r="M293" s="159">
        <v>1</v>
      </c>
      <c r="N293" s="160">
        <f t="shared" si="8"/>
        <v>633</v>
      </c>
      <c r="O293" s="159">
        <v>0</v>
      </c>
      <c r="P293" s="159">
        <v>1</v>
      </c>
      <c r="Q293" s="159">
        <f t="shared" si="9"/>
        <v>634</v>
      </c>
      <c r="R293" s="159">
        <v>0</v>
      </c>
    </row>
    <row r="294" spans="1:18" ht="22.5">
      <c r="A294" s="41">
        <v>285</v>
      </c>
      <c r="B294" s="61" t="s">
        <v>410</v>
      </c>
      <c r="C294" s="159">
        <v>12</v>
      </c>
      <c r="D294" s="159">
        <v>478</v>
      </c>
      <c r="E294" s="159">
        <v>27</v>
      </c>
      <c r="F294" s="159">
        <v>7</v>
      </c>
      <c r="G294" s="159">
        <v>0</v>
      </c>
      <c r="H294" s="159">
        <v>0</v>
      </c>
      <c r="I294" s="159">
        <v>0</v>
      </c>
      <c r="J294" s="159">
        <v>0</v>
      </c>
      <c r="K294" s="159">
        <v>3</v>
      </c>
      <c r="L294" s="159">
        <v>3</v>
      </c>
      <c r="M294" s="159">
        <v>1</v>
      </c>
      <c r="N294" s="160">
        <f t="shared" si="8"/>
        <v>531</v>
      </c>
      <c r="O294" s="159">
        <v>0</v>
      </c>
      <c r="P294" s="159">
        <v>4</v>
      </c>
      <c r="Q294" s="159">
        <f t="shared" si="9"/>
        <v>535</v>
      </c>
      <c r="R294" s="159">
        <v>0</v>
      </c>
    </row>
    <row r="295" spans="1:18" ht="22.5">
      <c r="A295" s="41">
        <v>286</v>
      </c>
      <c r="B295" s="61" t="s">
        <v>411</v>
      </c>
      <c r="C295" s="159">
        <v>24</v>
      </c>
      <c r="D295" s="159">
        <v>377</v>
      </c>
      <c r="E295" s="159">
        <v>159</v>
      </c>
      <c r="F295" s="159">
        <v>6</v>
      </c>
      <c r="G295" s="159">
        <v>0</v>
      </c>
      <c r="H295" s="159">
        <v>0</v>
      </c>
      <c r="I295" s="159">
        <v>0</v>
      </c>
      <c r="J295" s="159">
        <v>3</v>
      </c>
      <c r="K295" s="159">
        <v>3</v>
      </c>
      <c r="L295" s="159">
        <v>1</v>
      </c>
      <c r="M295" s="159">
        <v>2</v>
      </c>
      <c r="N295" s="160">
        <f t="shared" si="8"/>
        <v>575</v>
      </c>
      <c r="O295" s="159">
        <v>0</v>
      </c>
      <c r="P295" s="159">
        <v>0</v>
      </c>
      <c r="Q295" s="159">
        <f t="shared" si="9"/>
        <v>575</v>
      </c>
      <c r="R295" s="159">
        <v>0</v>
      </c>
    </row>
    <row r="296" spans="1:18" ht="22.5">
      <c r="A296" s="41">
        <v>287</v>
      </c>
      <c r="B296" s="61" t="s">
        <v>412</v>
      </c>
      <c r="C296" s="159">
        <v>34</v>
      </c>
      <c r="D296" s="159">
        <v>84</v>
      </c>
      <c r="E296" s="159">
        <v>582</v>
      </c>
      <c r="F296" s="159">
        <v>2</v>
      </c>
      <c r="G296" s="159">
        <v>3</v>
      </c>
      <c r="H296" s="159">
        <v>0</v>
      </c>
      <c r="I296" s="159">
        <v>0</v>
      </c>
      <c r="J296" s="159">
        <v>1</v>
      </c>
      <c r="K296" s="159">
        <v>3</v>
      </c>
      <c r="L296" s="159">
        <v>5</v>
      </c>
      <c r="M296" s="159">
        <v>0</v>
      </c>
      <c r="N296" s="160">
        <f t="shared" si="8"/>
        <v>714</v>
      </c>
      <c r="O296" s="159">
        <v>0</v>
      </c>
      <c r="P296" s="159">
        <v>2</v>
      </c>
      <c r="Q296" s="159">
        <f t="shared" si="9"/>
        <v>716</v>
      </c>
      <c r="R296" s="159">
        <v>0</v>
      </c>
    </row>
    <row r="297" spans="1:18" ht="22.5">
      <c r="A297" s="41">
        <v>288</v>
      </c>
      <c r="B297" s="61" t="s">
        <v>413</v>
      </c>
      <c r="C297" s="159">
        <v>9</v>
      </c>
      <c r="D297" s="159">
        <v>430</v>
      </c>
      <c r="E297" s="159">
        <v>34</v>
      </c>
      <c r="F297" s="159">
        <v>1</v>
      </c>
      <c r="G297" s="159">
        <v>0</v>
      </c>
      <c r="H297" s="159">
        <v>0</v>
      </c>
      <c r="I297" s="159">
        <v>1</v>
      </c>
      <c r="J297" s="159">
        <v>0</v>
      </c>
      <c r="K297" s="159">
        <v>2</v>
      </c>
      <c r="L297" s="159">
        <v>1</v>
      </c>
      <c r="M297" s="159">
        <v>2</v>
      </c>
      <c r="N297" s="160">
        <f t="shared" si="8"/>
        <v>480</v>
      </c>
      <c r="O297" s="159">
        <v>0</v>
      </c>
      <c r="P297" s="159">
        <v>2</v>
      </c>
      <c r="Q297" s="159">
        <f t="shared" si="9"/>
        <v>482</v>
      </c>
      <c r="R297" s="159">
        <v>0</v>
      </c>
    </row>
    <row r="298" spans="1:18" ht="22.5">
      <c r="A298" s="41">
        <v>289</v>
      </c>
      <c r="B298" s="62" t="s">
        <v>414</v>
      </c>
      <c r="C298" s="159">
        <v>12</v>
      </c>
      <c r="D298" s="159">
        <v>39</v>
      </c>
      <c r="E298" s="159">
        <v>742</v>
      </c>
      <c r="F298" s="159">
        <v>1</v>
      </c>
      <c r="G298" s="159">
        <v>1</v>
      </c>
      <c r="H298" s="159">
        <v>0</v>
      </c>
      <c r="I298" s="159">
        <v>0</v>
      </c>
      <c r="J298" s="159">
        <v>0</v>
      </c>
      <c r="K298" s="159">
        <v>0</v>
      </c>
      <c r="L298" s="159">
        <v>2</v>
      </c>
      <c r="M298" s="159">
        <v>0</v>
      </c>
      <c r="N298" s="160">
        <f t="shared" si="8"/>
        <v>797</v>
      </c>
      <c r="O298" s="159">
        <v>0</v>
      </c>
      <c r="P298" s="159">
        <v>1</v>
      </c>
      <c r="Q298" s="159">
        <f t="shared" si="9"/>
        <v>798</v>
      </c>
      <c r="R298" s="159">
        <v>0</v>
      </c>
    </row>
    <row r="299" spans="1:18" ht="22.5">
      <c r="A299" s="41">
        <v>290</v>
      </c>
      <c r="B299" s="62" t="s">
        <v>415</v>
      </c>
      <c r="C299" s="159">
        <v>12</v>
      </c>
      <c r="D299" s="159">
        <v>46</v>
      </c>
      <c r="E299" s="159">
        <v>603</v>
      </c>
      <c r="F299" s="159">
        <v>3</v>
      </c>
      <c r="G299" s="159">
        <v>0</v>
      </c>
      <c r="H299" s="159">
        <v>0</v>
      </c>
      <c r="I299" s="159">
        <v>0</v>
      </c>
      <c r="J299" s="159">
        <v>0</v>
      </c>
      <c r="K299" s="159">
        <v>1</v>
      </c>
      <c r="L299" s="159">
        <v>5</v>
      </c>
      <c r="M299" s="159">
        <v>0</v>
      </c>
      <c r="N299" s="160">
        <f t="shared" si="8"/>
        <v>670</v>
      </c>
      <c r="O299" s="159">
        <v>0</v>
      </c>
      <c r="P299" s="159">
        <v>6</v>
      </c>
      <c r="Q299" s="159">
        <f t="shared" si="9"/>
        <v>676</v>
      </c>
      <c r="R299" s="159">
        <v>0</v>
      </c>
    </row>
    <row r="300" spans="1:18" ht="22.5">
      <c r="A300" s="41">
        <v>291</v>
      </c>
      <c r="B300" s="62" t="s">
        <v>416</v>
      </c>
      <c r="C300" s="159">
        <v>17</v>
      </c>
      <c r="D300" s="159">
        <v>23</v>
      </c>
      <c r="E300" s="159">
        <v>523</v>
      </c>
      <c r="F300" s="159">
        <v>1</v>
      </c>
      <c r="G300" s="159">
        <v>0</v>
      </c>
      <c r="H300" s="159">
        <v>0</v>
      </c>
      <c r="I300" s="159">
        <v>1</v>
      </c>
      <c r="J300" s="159">
        <v>0</v>
      </c>
      <c r="K300" s="159">
        <v>0</v>
      </c>
      <c r="L300" s="159">
        <v>2</v>
      </c>
      <c r="M300" s="159">
        <v>0</v>
      </c>
      <c r="N300" s="160">
        <f t="shared" si="8"/>
        <v>567</v>
      </c>
      <c r="O300" s="159">
        <v>0</v>
      </c>
      <c r="P300" s="159">
        <v>2</v>
      </c>
      <c r="Q300" s="159">
        <f t="shared" si="9"/>
        <v>569</v>
      </c>
      <c r="R300" s="159">
        <v>0</v>
      </c>
    </row>
    <row r="301" spans="1:18" ht="22.5">
      <c r="A301" s="41">
        <v>292</v>
      </c>
      <c r="B301" s="62" t="s">
        <v>417</v>
      </c>
      <c r="C301" s="159">
        <v>33</v>
      </c>
      <c r="D301" s="159">
        <v>25</v>
      </c>
      <c r="E301" s="159">
        <v>483</v>
      </c>
      <c r="F301" s="159">
        <v>7</v>
      </c>
      <c r="G301" s="159">
        <v>3</v>
      </c>
      <c r="H301" s="159">
        <v>2</v>
      </c>
      <c r="I301" s="159">
        <v>1</v>
      </c>
      <c r="J301" s="159">
        <v>4</v>
      </c>
      <c r="K301" s="159">
        <v>2</v>
      </c>
      <c r="L301" s="159">
        <v>5</v>
      </c>
      <c r="M301" s="159">
        <v>0</v>
      </c>
      <c r="N301" s="160">
        <f t="shared" si="8"/>
        <v>565</v>
      </c>
      <c r="O301" s="159">
        <v>0</v>
      </c>
      <c r="P301" s="159">
        <v>2</v>
      </c>
      <c r="Q301" s="159">
        <f t="shared" si="9"/>
        <v>567</v>
      </c>
      <c r="R301" s="159">
        <v>0</v>
      </c>
    </row>
    <row r="302" spans="1:18" ht="22.5">
      <c r="A302" s="41">
        <v>293</v>
      </c>
      <c r="B302" s="62" t="s">
        <v>418</v>
      </c>
      <c r="C302" s="159">
        <v>64</v>
      </c>
      <c r="D302" s="159">
        <v>15</v>
      </c>
      <c r="E302" s="159">
        <v>317</v>
      </c>
      <c r="F302" s="159">
        <v>1</v>
      </c>
      <c r="G302" s="159">
        <v>0</v>
      </c>
      <c r="H302" s="159">
        <v>1</v>
      </c>
      <c r="I302" s="159">
        <v>1</v>
      </c>
      <c r="J302" s="159">
        <v>0</v>
      </c>
      <c r="K302" s="159">
        <v>0</v>
      </c>
      <c r="L302" s="159">
        <v>2</v>
      </c>
      <c r="M302" s="159">
        <v>0</v>
      </c>
      <c r="N302" s="160">
        <f t="shared" si="8"/>
        <v>401</v>
      </c>
      <c r="O302" s="159">
        <v>0</v>
      </c>
      <c r="P302" s="159">
        <v>0</v>
      </c>
      <c r="Q302" s="159">
        <f t="shared" si="9"/>
        <v>401</v>
      </c>
      <c r="R302" s="159">
        <v>0</v>
      </c>
    </row>
    <row r="303" spans="1:18">
      <c r="A303" s="41">
        <v>294</v>
      </c>
      <c r="B303" s="61" t="s">
        <v>419</v>
      </c>
      <c r="C303" s="159">
        <v>453</v>
      </c>
      <c r="D303" s="159">
        <v>101</v>
      </c>
      <c r="E303" s="159">
        <v>119</v>
      </c>
      <c r="F303" s="159">
        <v>2</v>
      </c>
      <c r="G303" s="159">
        <v>4</v>
      </c>
      <c r="H303" s="159">
        <v>1</v>
      </c>
      <c r="I303" s="159">
        <v>1</v>
      </c>
      <c r="J303" s="159">
        <v>2</v>
      </c>
      <c r="K303" s="159">
        <v>0</v>
      </c>
      <c r="L303" s="159">
        <v>3</v>
      </c>
      <c r="M303" s="159">
        <v>0</v>
      </c>
      <c r="N303" s="160">
        <f t="shared" si="8"/>
        <v>686</v>
      </c>
      <c r="O303" s="159">
        <v>0</v>
      </c>
      <c r="P303" s="159">
        <v>4</v>
      </c>
      <c r="Q303" s="159">
        <f t="shared" si="9"/>
        <v>690</v>
      </c>
      <c r="R303" s="159">
        <v>0</v>
      </c>
    </row>
    <row r="304" spans="1:18">
      <c r="A304" s="41">
        <v>295</v>
      </c>
      <c r="B304" s="61" t="s">
        <v>420</v>
      </c>
      <c r="C304" s="159">
        <v>238</v>
      </c>
      <c r="D304" s="159">
        <v>297</v>
      </c>
      <c r="E304" s="159">
        <v>80</v>
      </c>
      <c r="F304" s="159">
        <v>1</v>
      </c>
      <c r="G304" s="159">
        <v>2</v>
      </c>
      <c r="H304" s="159">
        <v>0</v>
      </c>
      <c r="I304" s="159">
        <v>0</v>
      </c>
      <c r="J304" s="159">
        <v>0</v>
      </c>
      <c r="K304" s="159">
        <v>0</v>
      </c>
      <c r="L304" s="159">
        <v>1</v>
      </c>
      <c r="M304" s="159">
        <v>0</v>
      </c>
      <c r="N304" s="160">
        <f t="shared" si="8"/>
        <v>619</v>
      </c>
      <c r="O304" s="159">
        <v>0</v>
      </c>
      <c r="P304" s="159">
        <v>3</v>
      </c>
      <c r="Q304" s="159">
        <f t="shared" si="9"/>
        <v>622</v>
      </c>
      <c r="R304" s="159">
        <v>0</v>
      </c>
    </row>
    <row r="305" spans="1:18">
      <c r="A305" s="41">
        <v>296</v>
      </c>
      <c r="B305" s="61" t="s">
        <v>421</v>
      </c>
      <c r="C305" s="159">
        <v>8</v>
      </c>
      <c r="D305" s="159">
        <v>134</v>
      </c>
      <c r="E305" s="159">
        <v>289</v>
      </c>
      <c r="F305" s="159">
        <v>1</v>
      </c>
      <c r="G305" s="159">
        <v>1</v>
      </c>
      <c r="H305" s="159">
        <v>0</v>
      </c>
      <c r="I305" s="159">
        <v>0</v>
      </c>
      <c r="J305" s="159">
        <v>1</v>
      </c>
      <c r="K305" s="159">
        <v>0</v>
      </c>
      <c r="L305" s="159">
        <v>1</v>
      </c>
      <c r="M305" s="159">
        <v>0</v>
      </c>
      <c r="N305" s="160">
        <f t="shared" si="8"/>
        <v>435</v>
      </c>
      <c r="O305" s="159">
        <v>0</v>
      </c>
      <c r="P305" s="159">
        <v>1</v>
      </c>
      <c r="Q305" s="159">
        <f t="shared" si="9"/>
        <v>436</v>
      </c>
      <c r="R305" s="159">
        <v>0</v>
      </c>
    </row>
    <row r="306" spans="1:18">
      <c r="A306" s="41">
        <v>297</v>
      </c>
      <c r="B306" s="61" t="s">
        <v>422</v>
      </c>
      <c r="C306" s="159">
        <v>529</v>
      </c>
      <c r="D306" s="159">
        <v>24</v>
      </c>
      <c r="E306" s="159">
        <v>120</v>
      </c>
      <c r="F306" s="159">
        <v>2</v>
      </c>
      <c r="G306" s="159">
        <v>3</v>
      </c>
      <c r="H306" s="159">
        <v>2</v>
      </c>
      <c r="I306" s="159">
        <v>1</v>
      </c>
      <c r="J306" s="159">
        <v>4</v>
      </c>
      <c r="K306" s="159">
        <v>1</v>
      </c>
      <c r="L306" s="159">
        <v>4</v>
      </c>
      <c r="M306" s="159">
        <v>3</v>
      </c>
      <c r="N306" s="160">
        <f t="shared" si="8"/>
        <v>693</v>
      </c>
      <c r="O306" s="159">
        <v>0</v>
      </c>
      <c r="P306" s="159">
        <v>13</v>
      </c>
      <c r="Q306" s="159">
        <f t="shared" si="9"/>
        <v>706</v>
      </c>
      <c r="R306" s="159">
        <v>0</v>
      </c>
    </row>
    <row r="307" spans="1:18">
      <c r="A307" s="41">
        <v>298</v>
      </c>
      <c r="B307" s="61" t="s">
        <v>423</v>
      </c>
      <c r="C307" s="159">
        <v>221</v>
      </c>
      <c r="D307" s="159">
        <v>3</v>
      </c>
      <c r="E307" s="159">
        <v>35</v>
      </c>
      <c r="F307" s="159">
        <v>1</v>
      </c>
      <c r="G307" s="159">
        <v>0</v>
      </c>
      <c r="H307" s="159">
        <v>0</v>
      </c>
      <c r="I307" s="159">
        <v>0</v>
      </c>
      <c r="J307" s="159">
        <v>2</v>
      </c>
      <c r="K307" s="159">
        <v>0</v>
      </c>
      <c r="L307" s="159">
        <v>0</v>
      </c>
      <c r="M307" s="159">
        <v>0</v>
      </c>
      <c r="N307" s="160">
        <f t="shared" si="8"/>
        <v>262</v>
      </c>
      <c r="O307" s="159">
        <v>0</v>
      </c>
      <c r="P307" s="159">
        <v>2</v>
      </c>
      <c r="Q307" s="159">
        <f t="shared" si="9"/>
        <v>264</v>
      </c>
      <c r="R307" s="159">
        <v>0</v>
      </c>
    </row>
    <row r="308" spans="1:18" ht="22.5">
      <c r="A308" s="41">
        <v>299</v>
      </c>
      <c r="B308" s="61" t="s">
        <v>424</v>
      </c>
      <c r="C308" s="159">
        <v>18</v>
      </c>
      <c r="D308" s="159">
        <v>30</v>
      </c>
      <c r="E308" s="159">
        <v>454</v>
      </c>
      <c r="F308" s="159">
        <v>2</v>
      </c>
      <c r="G308" s="159">
        <v>0</v>
      </c>
      <c r="H308" s="159">
        <v>0</v>
      </c>
      <c r="I308" s="159">
        <v>0</v>
      </c>
      <c r="J308" s="159">
        <v>0</v>
      </c>
      <c r="K308" s="159">
        <v>0</v>
      </c>
      <c r="L308" s="159">
        <v>0</v>
      </c>
      <c r="M308" s="159">
        <v>1</v>
      </c>
      <c r="N308" s="160">
        <f t="shared" si="8"/>
        <v>505</v>
      </c>
      <c r="O308" s="159">
        <v>0</v>
      </c>
      <c r="P308" s="159">
        <v>0</v>
      </c>
      <c r="Q308" s="159">
        <f t="shared" si="9"/>
        <v>505</v>
      </c>
      <c r="R308" s="159">
        <v>0</v>
      </c>
    </row>
    <row r="309" spans="1:18" ht="22.5">
      <c r="A309" s="41">
        <v>300</v>
      </c>
      <c r="B309" s="61" t="s">
        <v>425</v>
      </c>
      <c r="C309" s="159">
        <v>14</v>
      </c>
      <c r="D309" s="159">
        <v>40</v>
      </c>
      <c r="E309" s="159">
        <v>489</v>
      </c>
      <c r="F309" s="159">
        <v>5</v>
      </c>
      <c r="G309" s="159">
        <v>2</v>
      </c>
      <c r="H309" s="159">
        <v>0</v>
      </c>
      <c r="I309" s="159">
        <v>0</v>
      </c>
      <c r="J309" s="159">
        <v>2</v>
      </c>
      <c r="K309" s="159">
        <v>1</v>
      </c>
      <c r="L309" s="159">
        <v>2</v>
      </c>
      <c r="M309" s="159">
        <v>1</v>
      </c>
      <c r="N309" s="160">
        <f t="shared" si="8"/>
        <v>556</v>
      </c>
      <c r="O309" s="159">
        <v>0</v>
      </c>
      <c r="P309" s="159">
        <v>2</v>
      </c>
      <c r="Q309" s="159">
        <f t="shared" si="9"/>
        <v>558</v>
      </c>
      <c r="R309" s="159">
        <v>0</v>
      </c>
    </row>
    <row r="310" spans="1:18" ht="22.5">
      <c r="A310" s="41">
        <v>301</v>
      </c>
      <c r="B310" s="61" t="s">
        <v>426</v>
      </c>
      <c r="C310" s="159">
        <v>13</v>
      </c>
      <c r="D310" s="159">
        <v>376</v>
      </c>
      <c r="E310" s="159">
        <v>261</v>
      </c>
      <c r="F310" s="159">
        <v>3</v>
      </c>
      <c r="G310" s="159">
        <v>0</v>
      </c>
      <c r="H310" s="159">
        <v>0</v>
      </c>
      <c r="I310" s="159">
        <v>0</v>
      </c>
      <c r="J310" s="159">
        <v>0</v>
      </c>
      <c r="K310" s="159">
        <v>10</v>
      </c>
      <c r="L310" s="159">
        <v>0</v>
      </c>
      <c r="M310" s="159">
        <v>0</v>
      </c>
      <c r="N310" s="160">
        <f t="shared" si="8"/>
        <v>663</v>
      </c>
      <c r="O310" s="159">
        <v>0</v>
      </c>
      <c r="P310" s="159">
        <v>0</v>
      </c>
      <c r="Q310" s="159">
        <f t="shared" si="9"/>
        <v>663</v>
      </c>
      <c r="R310" s="159">
        <v>0</v>
      </c>
    </row>
    <row r="311" spans="1:18" ht="22.5">
      <c r="A311" s="41">
        <v>302</v>
      </c>
      <c r="B311" s="61" t="s">
        <v>427</v>
      </c>
      <c r="C311" s="159">
        <v>14</v>
      </c>
      <c r="D311" s="159">
        <v>643</v>
      </c>
      <c r="E311" s="159">
        <v>12</v>
      </c>
      <c r="F311" s="159">
        <v>11</v>
      </c>
      <c r="G311" s="159">
        <v>0</v>
      </c>
      <c r="H311" s="159">
        <v>0</v>
      </c>
      <c r="I311" s="159">
        <v>0</v>
      </c>
      <c r="J311" s="159">
        <v>0</v>
      </c>
      <c r="K311" s="159">
        <v>15</v>
      </c>
      <c r="L311" s="159">
        <v>0</v>
      </c>
      <c r="M311" s="159">
        <v>1</v>
      </c>
      <c r="N311" s="160">
        <f t="shared" si="8"/>
        <v>696</v>
      </c>
      <c r="O311" s="159">
        <v>0</v>
      </c>
      <c r="P311" s="159">
        <v>2</v>
      </c>
      <c r="Q311" s="159">
        <f t="shared" si="9"/>
        <v>698</v>
      </c>
      <c r="R311" s="159">
        <v>0</v>
      </c>
    </row>
    <row r="312" spans="1:18" ht="22.5">
      <c r="A312" s="41">
        <v>303</v>
      </c>
      <c r="B312" s="61" t="s">
        <v>428</v>
      </c>
      <c r="C312" s="159">
        <v>28</v>
      </c>
      <c r="D312" s="159">
        <v>482</v>
      </c>
      <c r="E312" s="159">
        <v>10</v>
      </c>
      <c r="F312" s="159">
        <v>5</v>
      </c>
      <c r="G312" s="159">
        <v>0</v>
      </c>
      <c r="H312" s="159">
        <v>1</v>
      </c>
      <c r="I312" s="159">
        <v>0</v>
      </c>
      <c r="J312" s="159">
        <v>1</v>
      </c>
      <c r="K312" s="159">
        <v>10</v>
      </c>
      <c r="L312" s="159">
        <v>1</v>
      </c>
      <c r="M312" s="159">
        <v>0</v>
      </c>
      <c r="N312" s="160">
        <f t="shared" si="8"/>
        <v>538</v>
      </c>
      <c r="O312" s="159">
        <v>0</v>
      </c>
      <c r="P312" s="159">
        <v>3</v>
      </c>
      <c r="Q312" s="159">
        <f t="shared" si="9"/>
        <v>541</v>
      </c>
      <c r="R312" s="159">
        <v>0</v>
      </c>
    </row>
    <row r="313" spans="1:18" ht="22.5">
      <c r="A313" s="41">
        <v>304</v>
      </c>
      <c r="B313" s="61" t="s">
        <v>429</v>
      </c>
      <c r="C313" s="159">
        <v>11</v>
      </c>
      <c r="D313" s="159">
        <v>482</v>
      </c>
      <c r="E313" s="159">
        <v>23</v>
      </c>
      <c r="F313" s="159">
        <v>10</v>
      </c>
      <c r="G313" s="159">
        <v>1</v>
      </c>
      <c r="H313" s="159">
        <v>0</v>
      </c>
      <c r="I313" s="159">
        <v>1</v>
      </c>
      <c r="J313" s="159">
        <v>0</v>
      </c>
      <c r="K313" s="159">
        <v>7</v>
      </c>
      <c r="L313" s="159">
        <v>3</v>
      </c>
      <c r="M313" s="159">
        <v>2</v>
      </c>
      <c r="N313" s="160">
        <f t="shared" si="8"/>
        <v>540</v>
      </c>
      <c r="O313" s="159">
        <v>0</v>
      </c>
      <c r="P313" s="159">
        <v>4</v>
      </c>
      <c r="Q313" s="159">
        <f t="shared" si="9"/>
        <v>544</v>
      </c>
      <c r="R313" s="159">
        <v>0</v>
      </c>
    </row>
    <row r="314" spans="1:18" ht="22.5">
      <c r="A314" s="41">
        <v>305</v>
      </c>
      <c r="B314" s="61" t="s">
        <v>430</v>
      </c>
      <c r="C314" s="159">
        <v>27</v>
      </c>
      <c r="D314" s="159">
        <v>399</v>
      </c>
      <c r="E314" s="159">
        <v>135</v>
      </c>
      <c r="F314" s="159">
        <v>4</v>
      </c>
      <c r="G314" s="159">
        <v>1</v>
      </c>
      <c r="H314" s="159">
        <v>2</v>
      </c>
      <c r="I314" s="159">
        <v>0</v>
      </c>
      <c r="J314" s="159">
        <v>0</v>
      </c>
      <c r="K314" s="159">
        <v>7</v>
      </c>
      <c r="L314" s="159">
        <v>4</v>
      </c>
      <c r="M314" s="159">
        <v>0</v>
      </c>
      <c r="N314" s="160">
        <f t="shared" si="8"/>
        <v>579</v>
      </c>
      <c r="O314" s="159">
        <v>0</v>
      </c>
      <c r="P314" s="159">
        <v>0</v>
      </c>
      <c r="Q314" s="159">
        <f t="shared" si="9"/>
        <v>579</v>
      </c>
      <c r="R314" s="159">
        <v>0</v>
      </c>
    </row>
    <row r="315" spans="1:18" ht="33.75">
      <c r="A315" s="41">
        <v>306</v>
      </c>
      <c r="B315" s="61" t="s">
        <v>431</v>
      </c>
      <c r="C315" s="159">
        <v>12</v>
      </c>
      <c r="D315" s="159">
        <v>405</v>
      </c>
      <c r="E315" s="159">
        <v>7</v>
      </c>
      <c r="F315" s="159">
        <v>31</v>
      </c>
      <c r="G315" s="159">
        <v>0</v>
      </c>
      <c r="H315" s="159">
        <v>0</v>
      </c>
      <c r="I315" s="159">
        <v>1</v>
      </c>
      <c r="J315" s="159">
        <v>2</v>
      </c>
      <c r="K315" s="159">
        <v>11</v>
      </c>
      <c r="L315" s="159">
        <v>0</v>
      </c>
      <c r="M315" s="159">
        <v>3</v>
      </c>
      <c r="N315" s="160">
        <f t="shared" si="8"/>
        <v>472</v>
      </c>
      <c r="O315" s="159">
        <v>0</v>
      </c>
      <c r="P315" s="159">
        <v>2</v>
      </c>
      <c r="Q315" s="159">
        <f t="shared" si="9"/>
        <v>474</v>
      </c>
      <c r="R315" s="159">
        <v>0</v>
      </c>
    </row>
    <row r="316" spans="1:18" ht="33.75">
      <c r="A316" s="41">
        <v>307</v>
      </c>
      <c r="B316" s="61" t="s">
        <v>432</v>
      </c>
      <c r="C316" s="159">
        <v>26</v>
      </c>
      <c r="D316" s="159">
        <v>473</v>
      </c>
      <c r="E316" s="159">
        <v>12</v>
      </c>
      <c r="F316" s="159">
        <v>19</v>
      </c>
      <c r="G316" s="159">
        <v>1</v>
      </c>
      <c r="H316" s="159">
        <v>0</v>
      </c>
      <c r="I316" s="159">
        <v>0</v>
      </c>
      <c r="J316" s="159">
        <v>0</v>
      </c>
      <c r="K316" s="159">
        <v>27</v>
      </c>
      <c r="L316" s="159">
        <v>2</v>
      </c>
      <c r="M316" s="159">
        <v>0</v>
      </c>
      <c r="N316" s="160">
        <f t="shared" si="8"/>
        <v>560</v>
      </c>
      <c r="O316" s="159">
        <v>0</v>
      </c>
      <c r="P316" s="159">
        <v>2</v>
      </c>
      <c r="Q316" s="159">
        <f t="shared" si="9"/>
        <v>562</v>
      </c>
      <c r="R316" s="159">
        <v>0</v>
      </c>
    </row>
    <row r="317" spans="1:18" ht="33.75">
      <c r="A317" s="41">
        <v>308</v>
      </c>
      <c r="B317" s="61" t="s">
        <v>433</v>
      </c>
      <c r="C317" s="159">
        <v>18</v>
      </c>
      <c r="D317" s="159">
        <v>550</v>
      </c>
      <c r="E317" s="159">
        <v>11</v>
      </c>
      <c r="F317" s="159">
        <v>11</v>
      </c>
      <c r="G317" s="159">
        <v>0</v>
      </c>
      <c r="H317" s="159">
        <v>0</v>
      </c>
      <c r="I317" s="159">
        <v>0</v>
      </c>
      <c r="J317" s="159">
        <v>1</v>
      </c>
      <c r="K317" s="159">
        <v>7</v>
      </c>
      <c r="L317" s="159">
        <v>7</v>
      </c>
      <c r="M317" s="159">
        <v>1</v>
      </c>
      <c r="N317" s="160">
        <f t="shared" si="8"/>
        <v>606</v>
      </c>
      <c r="O317" s="159">
        <v>0</v>
      </c>
      <c r="P317" s="159">
        <v>0</v>
      </c>
      <c r="Q317" s="159">
        <f t="shared" si="9"/>
        <v>606</v>
      </c>
      <c r="R317" s="159">
        <v>0</v>
      </c>
    </row>
    <row r="318" spans="1:18" ht="33.75">
      <c r="A318" s="41">
        <v>309</v>
      </c>
      <c r="B318" s="61" t="s">
        <v>434</v>
      </c>
      <c r="C318" s="159">
        <v>23</v>
      </c>
      <c r="D318" s="159">
        <v>520</v>
      </c>
      <c r="E318" s="159">
        <v>1</v>
      </c>
      <c r="F318" s="159">
        <v>21</v>
      </c>
      <c r="G318" s="159">
        <v>1</v>
      </c>
      <c r="H318" s="159">
        <v>0</v>
      </c>
      <c r="I318" s="159">
        <v>1</v>
      </c>
      <c r="J318" s="159">
        <v>0</v>
      </c>
      <c r="K318" s="159">
        <v>24</v>
      </c>
      <c r="L318" s="159">
        <v>5</v>
      </c>
      <c r="M318" s="159">
        <v>5</v>
      </c>
      <c r="N318" s="160">
        <f t="shared" si="8"/>
        <v>601</v>
      </c>
      <c r="O318" s="159">
        <v>0</v>
      </c>
      <c r="P318" s="159">
        <v>3</v>
      </c>
      <c r="Q318" s="159">
        <f t="shared" si="9"/>
        <v>604</v>
      </c>
      <c r="R318" s="159">
        <v>0</v>
      </c>
    </row>
    <row r="319" spans="1:18" ht="22.5">
      <c r="A319" s="41">
        <v>310</v>
      </c>
      <c r="B319" s="61" t="s">
        <v>435</v>
      </c>
      <c r="C319" s="159">
        <v>26</v>
      </c>
      <c r="D319" s="159">
        <v>94</v>
      </c>
      <c r="E319" s="159">
        <v>549</v>
      </c>
      <c r="F319" s="159">
        <v>3</v>
      </c>
      <c r="G319" s="159">
        <v>1</v>
      </c>
      <c r="H319" s="159">
        <v>0</v>
      </c>
      <c r="I319" s="159">
        <v>1</v>
      </c>
      <c r="J319" s="159">
        <v>1</v>
      </c>
      <c r="K319" s="159">
        <v>1</v>
      </c>
      <c r="L319" s="159">
        <v>1</v>
      </c>
      <c r="M319" s="159">
        <v>1</v>
      </c>
      <c r="N319" s="160">
        <f t="shared" si="8"/>
        <v>678</v>
      </c>
      <c r="O319" s="159">
        <v>0</v>
      </c>
      <c r="P319" s="159">
        <v>4</v>
      </c>
      <c r="Q319" s="159">
        <f t="shared" si="9"/>
        <v>682</v>
      </c>
      <c r="R319" s="159">
        <v>0</v>
      </c>
    </row>
    <row r="320" spans="1:18" ht="22.5">
      <c r="A320" s="41">
        <v>311</v>
      </c>
      <c r="B320" s="61" t="s">
        <v>436</v>
      </c>
      <c r="C320" s="159">
        <v>23</v>
      </c>
      <c r="D320" s="159">
        <v>102</v>
      </c>
      <c r="E320" s="159">
        <v>658</v>
      </c>
      <c r="F320" s="159">
        <v>4</v>
      </c>
      <c r="G320" s="159">
        <v>1</v>
      </c>
      <c r="H320" s="159">
        <v>0</v>
      </c>
      <c r="I320" s="159">
        <v>0</v>
      </c>
      <c r="J320" s="159">
        <v>2</v>
      </c>
      <c r="K320" s="159">
        <v>0</v>
      </c>
      <c r="L320" s="159">
        <v>0</v>
      </c>
      <c r="M320" s="159">
        <v>1</v>
      </c>
      <c r="N320" s="160">
        <f t="shared" si="8"/>
        <v>791</v>
      </c>
      <c r="O320" s="159">
        <v>0</v>
      </c>
      <c r="P320" s="159">
        <v>1</v>
      </c>
      <c r="Q320" s="159">
        <f t="shared" si="9"/>
        <v>792</v>
      </c>
      <c r="R320" s="159">
        <v>0</v>
      </c>
    </row>
    <row r="321" spans="1:18" ht="22.5">
      <c r="A321" s="41">
        <v>312</v>
      </c>
      <c r="B321" s="61" t="s">
        <v>437</v>
      </c>
      <c r="C321" s="159">
        <v>19</v>
      </c>
      <c r="D321" s="159">
        <v>17</v>
      </c>
      <c r="E321" s="159">
        <v>369</v>
      </c>
      <c r="F321" s="159">
        <v>12</v>
      </c>
      <c r="G321" s="159">
        <v>0</v>
      </c>
      <c r="H321" s="159">
        <v>0</v>
      </c>
      <c r="I321" s="159">
        <v>0</v>
      </c>
      <c r="J321" s="159">
        <v>0</v>
      </c>
      <c r="K321" s="159">
        <v>1</v>
      </c>
      <c r="L321" s="159">
        <v>3</v>
      </c>
      <c r="M321" s="159">
        <v>1</v>
      </c>
      <c r="N321" s="160">
        <f t="shared" si="8"/>
        <v>422</v>
      </c>
      <c r="O321" s="159">
        <v>0</v>
      </c>
      <c r="P321" s="159">
        <v>2</v>
      </c>
      <c r="Q321" s="159">
        <f t="shared" si="9"/>
        <v>424</v>
      </c>
      <c r="R321" s="159">
        <v>0</v>
      </c>
    </row>
    <row r="322" spans="1:18" ht="22.5">
      <c r="A322" s="41">
        <v>313</v>
      </c>
      <c r="B322" s="61" t="s">
        <v>438</v>
      </c>
      <c r="C322" s="159">
        <v>57</v>
      </c>
      <c r="D322" s="159">
        <v>20</v>
      </c>
      <c r="E322" s="159">
        <v>422</v>
      </c>
      <c r="F322" s="159">
        <v>2</v>
      </c>
      <c r="G322" s="159">
        <v>0</v>
      </c>
      <c r="H322" s="159">
        <v>1</v>
      </c>
      <c r="I322" s="159">
        <v>0</v>
      </c>
      <c r="J322" s="159">
        <v>1</v>
      </c>
      <c r="K322" s="159">
        <v>1</v>
      </c>
      <c r="L322" s="159">
        <v>2</v>
      </c>
      <c r="M322" s="159">
        <v>0</v>
      </c>
      <c r="N322" s="160">
        <f t="shared" si="8"/>
        <v>506</v>
      </c>
      <c r="O322" s="159">
        <v>0</v>
      </c>
      <c r="P322" s="159">
        <v>1</v>
      </c>
      <c r="Q322" s="159">
        <f t="shared" si="9"/>
        <v>507</v>
      </c>
      <c r="R322" s="159">
        <v>0</v>
      </c>
    </row>
    <row r="323" spans="1:18" ht="22.5">
      <c r="A323" s="41">
        <v>314</v>
      </c>
      <c r="B323" s="62" t="s">
        <v>439</v>
      </c>
      <c r="C323" s="159">
        <v>17</v>
      </c>
      <c r="D323" s="159">
        <v>134</v>
      </c>
      <c r="E323" s="159">
        <v>610</v>
      </c>
      <c r="F323" s="159">
        <v>5</v>
      </c>
      <c r="G323" s="159">
        <v>0</v>
      </c>
      <c r="H323" s="159">
        <v>0</v>
      </c>
      <c r="I323" s="159">
        <v>0</v>
      </c>
      <c r="J323" s="159">
        <v>1</v>
      </c>
      <c r="K323" s="159">
        <v>0</v>
      </c>
      <c r="L323" s="159">
        <v>1</v>
      </c>
      <c r="M323" s="159">
        <v>1</v>
      </c>
      <c r="N323" s="160">
        <f t="shared" si="8"/>
        <v>769</v>
      </c>
      <c r="O323" s="159">
        <v>0</v>
      </c>
      <c r="P323" s="159">
        <v>5</v>
      </c>
      <c r="Q323" s="159">
        <f t="shared" si="9"/>
        <v>774</v>
      </c>
      <c r="R323" s="159">
        <v>0</v>
      </c>
    </row>
    <row r="324" spans="1:18" ht="22.5">
      <c r="A324" s="41">
        <v>315</v>
      </c>
      <c r="B324" s="62" t="s">
        <v>440</v>
      </c>
      <c r="C324" s="159">
        <v>19</v>
      </c>
      <c r="D324" s="159">
        <v>68</v>
      </c>
      <c r="E324" s="159">
        <v>610</v>
      </c>
      <c r="F324" s="159">
        <v>7</v>
      </c>
      <c r="G324" s="159">
        <v>0</v>
      </c>
      <c r="H324" s="159">
        <v>0</v>
      </c>
      <c r="I324" s="159">
        <v>0</v>
      </c>
      <c r="J324" s="159">
        <v>1</v>
      </c>
      <c r="K324" s="159">
        <v>0</v>
      </c>
      <c r="L324" s="159">
        <v>9</v>
      </c>
      <c r="M324" s="159">
        <v>3</v>
      </c>
      <c r="N324" s="160">
        <f t="shared" si="8"/>
        <v>717</v>
      </c>
      <c r="O324" s="159">
        <v>0</v>
      </c>
      <c r="P324" s="159">
        <v>2</v>
      </c>
      <c r="Q324" s="159">
        <f t="shared" si="9"/>
        <v>719</v>
      </c>
      <c r="R324" s="159">
        <v>0</v>
      </c>
    </row>
    <row r="325" spans="1:18">
      <c r="A325" s="41">
        <v>316</v>
      </c>
      <c r="B325" s="61" t="s">
        <v>441</v>
      </c>
      <c r="C325" s="159">
        <v>31</v>
      </c>
      <c r="D325" s="159">
        <v>185</v>
      </c>
      <c r="E325" s="159">
        <v>397</v>
      </c>
      <c r="F325" s="159">
        <v>6</v>
      </c>
      <c r="G325" s="159">
        <v>1</v>
      </c>
      <c r="H325" s="159">
        <v>0</v>
      </c>
      <c r="I325" s="159">
        <v>1</v>
      </c>
      <c r="J325" s="159">
        <v>3</v>
      </c>
      <c r="K325" s="159">
        <v>4</v>
      </c>
      <c r="L325" s="159">
        <v>3</v>
      </c>
      <c r="M325" s="159">
        <v>1</v>
      </c>
      <c r="N325" s="160">
        <f t="shared" si="8"/>
        <v>632</v>
      </c>
      <c r="O325" s="159">
        <v>0</v>
      </c>
      <c r="P325" s="159">
        <v>4</v>
      </c>
      <c r="Q325" s="159">
        <f t="shared" si="9"/>
        <v>636</v>
      </c>
      <c r="R325" s="159">
        <v>0</v>
      </c>
    </row>
    <row r="326" spans="1:18">
      <c r="A326" s="41">
        <v>317</v>
      </c>
      <c r="B326" s="61" t="s">
        <v>442</v>
      </c>
      <c r="C326" s="159">
        <v>271</v>
      </c>
      <c r="D326" s="159">
        <v>32</v>
      </c>
      <c r="E326" s="159">
        <v>264</v>
      </c>
      <c r="F326" s="159">
        <v>3</v>
      </c>
      <c r="G326" s="159">
        <v>4</v>
      </c>
      <c r="H326" s="159">
        <v>0</v>
      </c>
      <c r="I326" s="159">
        <v>2</v>
      </c>
      <c r="J326" s="159">
        <v>1</v>
      </c>
      <c r="K326" s="159">
        <v>1</v>
      </c>
      <c r="L326" s="159">
        <v>3</v>
      </c>
      <c r="M326" s="159">
        <v>2</v>
      </c>
      <c r="N326" s="160">
        <f t="shared" si="8"/>
        <v>583</v>
      </c>
      <c r="O326" s="159">
        <v>0</v>
      </c>
      <c r="P326" s="159">
        <v>11</v>
      </c>
      <c r="Q326" s="159">
        <f t="shared" si="9"/>
        <v>594</v>
      </c>
      <c r="R326" s="159">
        <v>0</v>
      </c>
    </row>
    <row r="327" spans="1:18">
      <c r="A327" s="41">
        <v>318</v>
      </c>
      <c r="B327" s="61" t="s">
        <v>443</v>
      </c>
      <c r="C327" s="159">
        <v>109</v>
      </c>
      <c r="D327" s="159">
        <v>42</v>
      </c>
      <c r="E327" s="159">
        <v>342</v>
      </c>
      <c r="F327" s="159">
        <v>3</v>
      </c>
      <c r="G327" s="159">
        <v>5</v>
      </c>
      <c r="H327" s="159">
        <v>0</v>
      </c>
      <c r="I327" s="159">
        <v>0</v>
      </c>
      <c r="J327" s="159">
        <v>0</v>
      </c>
      <c r="K327" s="159">
        <v>2</v>
      </c>
      <c r="L327" s="159">
        <v>2</v>
      </c>
      <c r="M327" s="159">
        <v>2</v>
      </c>
      <c r="N327" s="160">
        <f t="shared" si="8"/>
        <v>507</v>
      </c>
      <c r="O327" s="159">
        <v>0</v>
      </c>
      <c r="P327" s="159">
        <v>0</v>
      </c>
      <c r="Q327" s="159">
        <f t="shared" si="9"/>
        <v>507</v>
      </c>
      <c r="R327" s="159">
        <v>0</v>
      </c>
    </row>
    <row r="328" spans="1:18">
      <c r="A328" s="41">
        <v>319</v>
      </c>
      <c r="B328" s="61" t="s">
        <v>444</v>
      </c>
      <c r="C328" s="159">
        <v>55</v>
      </c>
      <c r="D328" s="159">
        <v>41</v>
      </c>
      <c r="E328" s="159">
        <v>346</v>
      </c>
      <c r="F328" s="159">
        <v>2</v>
      </c>
      <c r="G328" s="159">
        <v>1</v>
      </c>
      <c r="H328" s="159">
        <v>0</v>
      </c>
      <c r="I328" s="159">
        <v>1</v>
      </c>
      <c r="J328" s="159">
        <v>1</v>
      </c>
      <c r="K328" s="159">
        <v>1</v>
      </c>
      <c r="L328" s="159">
        <v>7</v>
      </c>
      <c r="M328" s="159">
        <v>1</v>
      </c>
      <c r="N328" s="160">
        <f t="shared" si="8"/>
        <v>456</v>
      </c>
      <c r="O328" s="159">
        <v>0</v>
      </c>
      <c r="P328" s="159">
        <v>4</v>
      </c>
      <c r="Q328" s="159">
        <f t="shared" si="9"/>
        <v>460</v>
      </c>
      <c r="R328" s="159">
        <v>0</v>
      </c>
    </row>
    <row r="329" spans="1:18">
      <c r="A329" s="41">
        <v>320</v>
      </c>
      <c r="B329" s="61" t="s">
        <v>445</v>
      </c>
      <c r="C329" s="159">
        <v>296</v>
      </c>
      <c r="D329" s="159">
        <v>34</v>
      </c>
      <c r="E329" s="159">
        <v>159</v>
      </c>
      <c r="F329" s="159">
        <v>6</v>
      </c>
      <c r="G329" s="159">
        <v>0</v>
      </c>
      <c r="H329" s="159">
        <v>1</v>
      </c>
      <c r="I329" s="159">
        <v>0</v>
      </c>
      <c r="J329" s="159">
        <v>0</v>
      </c>
      <c r="K329" s="159">
        <v>0</v>
      </c>
      <c r="L329" s="159">
        <v>1</v>
      </c>
      <c r="M329" s="159">
        <v>0</v>
      </c>
      <c r="N329" s="160">
        <f t="shared" si="8"/>
        <v>497</v>
      </c>
      <c r="O329" s="159">
        <v>0</v>
      </c>
      <c r="P329" s="159">
        <v>6</v>
      </c>
      <c r="Q329" s="159">
        <f t="shared" si="9"/>
        <v>503</v>
      </c>
      <c r="R329" s="159">
        <v>0</v>
      </c>
    </row>
    <row r="330" spans="1:18" ht="22.5">
      <c r="A330" s="41">
        <v>321</v>
      </c>
      <c r="B330" s="61" t="s">
        <v>446</v>
      </c>
      <c r="C330" s="159">
        <v>23</v>
      </c>
      <c r="D330" s="159">
        <v>28</v>
      </c>
      <c r="E330" s="159">
        <v>383</v>
      </c>
      <c r="F330" s="159">
        <v>6</v>
      </c>
      <c r="G330" s="159">
        <v>0</v>
      </c>
      <c r="H330" s="159">
        <v>0</v>
      </c>
      <c r="I330" s="159">
        <v>0</v>
      </c>
      <c r="J330" s="159">
        <v>3</v>
      </c>
      <c r="K330" s="159">
        <v>0</v>
      </c>
      <c r="L330" s="159">
        <v>6</v>
      </c>
      <c r="M330" s="159">
        <v>0</v>
      </c>
      <c r="N330" s="160">
        <f t="shared" si="8"/>
        <v>449</v>
      </c>
      <c r="O330" s="159">
        <v>0</v>
      </c>
      <c r="P330" s="159">
        <v>3</v>
      </c>
      <c r="Q330" s="159">
        <f t="shared" si="9"/>
        <v>452</v>
      </c>
      <c r="R330" s="159">
        <v>0</v>
      </c>
    </row>
    <row r="331" spans="1:18" ht="22.5">
      <c r="A331" s="41">
        <v>322</v>
      </c>
      <c r="B331" s="61" t="s">
        <v>447</v>
      </c>
      <c r="C331" s="159">
        <v>0</v>
      </c>
      <c r="D331" s="159">
        <v>8</v>
      </c>
      <c r="E331" s="159">
        <v>433</v>
      </c>
      <c r="F331" s="159">
        <v>0</v>
      </c>
      <c r="G331" s="159">
        <v>1</v>
      </c>
      <c r="H331" s="159">
        <v>1</v>
      </c>
      <c r="I331" s="159">
        <v>1</v>
      </c>
      <c r="J331" s="159">
        <v>0</v>
      </c>
      <c r="K331" s="159">
        <v>0</v>
      </c>
      <c r="L331" s="159">
        <v>1</v>
      </c>
      <c r="M331" s="159">
        <v>0</v>
      </c>
      <c r="N331" s="160">
        <f t="shared" ref="N331:N394" si="10">SUM(C331:M331)</f>
        <v>445</v>
      </c>
      <c r="O331" s="159">
        <v>0</v>
      </c>
      <c r="P331" s="159">
        <v>1</v>
      </c>
      <c r="Q331" s="159">
        <f t="shared" ref="Q331:Q394" si="11">N331+P331-O331</f>
        <v>446</v>
      </c>
      <c r="R331" s="159">
        <v>0</v>
      </c>
    </row>
    <row r="332" spans="1:18">
      <c r="A332" s="41">
        <v>323</v>
      </c>
      <c r="B332" s="61" t="s">
        <v>448</v>
      </c>
      <c r="C332" s="159">
        <v>169</v>
      </c>
      <c r="D332" s="159">
        <v>25</v>
      </c>
      <c r="E332" s="159">
        <v>483</v>
      </c>
      <c r="F332" s="159">
        <v>3</v>
      </c>
      <c r="G332" s="159">
        <v>1</v>
      </c>
      <c r="H332" s="159">
        <v>0</v>
      </c>
      <c r="I332" s="159">
        <v>0</v>
      </c>
      <c r="J332" s="159">
        <v>2</v>
      </c>
      <c r="K332" s="159">
        <v>0</v>
      </c>
      <c r="L332" s="159">
        <v>5</v>
      </c>
      <c r="M332" s="159">
        <v>2</v>
      </c>
      <c r="N332" s="160">
        <f t="shared" si="10"/>
        <v>690</v>
      </c>
      <c r="O332" s="159">
        <v>0</v>
      </c>
      <c r="P332" s="159">
        <v>2</v>
      </c>
      <c r="Q332" s="159">
        <f t="shared" si="11"/>
        <v>692</v>
      </c>
      <c r="R332" s="159">
        <v>0</v>
      </c>
    </row>
    <row r="333" spans="1:18">
      <c r="A333" s="41">
        <v>324</v>
      </c>
      <c r="B333" s="61" t="s">
        <v>449</v>
      </c>
      <c r="C333" s="159">
        <v>201</v>
      </c>
      <c r="D333" s="159">
        <v>74</v>
      </c>
      <c r="E333" s="159">
        <v>285</v>
      </c>
      <c r="F333" s="159">
        <v>5</v>
      </c>
      <c r="G333" s="159">
        <v>12</v>
      </c>
      <c r="H333" s="159">
        <v>3</v>
      </c>
      <c r="I333" s="159">
        <v>0</v>
      </c>
      <c r="J333" s="159">
        <v>1</v>
      </c>
      <c r="K333" s="159">
        <v>0</v>
      </c>
      <c r="L333" s="159">
        <v>8</v>
      </c>
      <c r="M333" s="159">
        <v>2</v>
      </c>
      <c r="N333" s="160">
        <f t="shared" si="10"/>
        <v>591</v>
      </c>
      <c r="O333" s="159">
        <v>0</v>
      </c>
      <c r="P333" s="159">
        <v>5</v>
      </c>
      <c r="Q333" s="159">
        <f t="shared" si="11"/>
        <v>596</v>
      </c>
      <c r="R333" s="159">
        <v>0</v>
      </c>
    </row>
    <row r="334" spans="1:18">
      <c r="A334" s="41">
        <v>325</v>
      </c>
      <c r="B334" s="61" t="s">
        <v>450</v>
      </c>
      <c r="C334" s="159">
        <v>118</v>
      </c>
      <c r="D334" s="159">
        <v>30</v>
      </c>
      <c r="E334" s="159">
        <v>181</v>
      </c>
      <c r="F334" s="159">
        <v>1</v>
      </c>
      <c r="G334" s="159">
        <v>11</v>
      </c>
      <c r="H334" s="159">
        <v>0</v>
      </c>
      <c r="I334" s="159">
        <v>0</v>
      </c>
      <c r="J334" s="159">
        <v>0</v>
      </c>
      <c r="K334" s="159">
        <v>0</v>
      </c>
      <c r="L334" s="159">
        <v>2</v>
      </c>
      <c r="M334" s="159">
        <v>1</v>
      </c>
      <c r="N334" s="160">
        <f t="shared" si="10"/>
        <v>344</v>
      </c>
      <c r="O334" s="159">
        <v>0</v>
      </c>
      <c r="P334" s="159">
        <v>1</v>
      </c>
      <c r="Q334" s="159">
        <f t="shared" si="11"/>
        <v>345</v>
      </c>
      <c r="R334" s="159">
        <v>0</v>
      </c>
    </row>
    <row r="335" spans="1:18">
      <c r="A335" s="41">
        <v>326</v>
      </c>
      <c r="B335" s="61" t="s">
        <v>451</v>
      </c>
      <c r="C335" s="159">
        <v>119</v>
      </c>
      <c r="D335" s="159">
        <v>27</v>
      </c>
      <c r="E335" s="159">
        <v>490</v>
      </c>
      <c r="F335" s="159">
        <v>3</v>
      </c>
      <c r="G335" s="159">
        <v>10</v>
      </c>
      <c r="H335" s="159">
        <v>0</v>
      </c>
      <c r="I335" s="159">
        <v>1</v>
      </c>
      <c r="J335" s="159">
        <v>0</v>
      </c>
      <c r="K335" s="159">
        <v>1</v>
      </c>
      <c r="L335" s="159">
        <v>3</v>
      </c>
      <c r="M335" s="159">
        <v>2</v>
      </c>
      <c r="N335" s="160">
        <f t="shared" si="10"/>
        <v>656</v>
      </c>
      <c r="O335" s="159">
        <v>0</v>
      </c>
      <c r="P335" s="159">
        <v>3</v>
      </c>
      <c r="Q335" s="159">
        <f t="shared" si="11"/>
        <v>659</v>
      </c>
      <c r="R335" s="159">
        <v>0</v>
      </c>
    </row>
    <row r="336" spans="1:18">
      <c r="A336" s="41">
        <v>327</v>
      </c>
      <c r="B336" s="61" t="s">
        <v>452</v>
      </c>
      <c r="C336" s="159">
        <v>168</v>
      </c>
      <c r="D336" s="159">
        <v>34</v>
      </c>
      <c r="E336" s="159">
        <v>385</v>
      </c>
      <c r="F336" s="159">
        <v>1</v>
      </c>
      <c r="G336" s="159">
        <v>5</v>
      </c>
      <c r="H336" s="159">
        <v>0</v>
      </c>
      <c r="I336" s="159">
        <v>0</v>
      </c>
      <c r="J336" s="159">
        <v>1</v>
      </c>
      <c r="K336" s="159">
        <v>0</v>
      </c>
      <c r="L336" s="159">
        <v>1</v>
      </c>
      <c r="M336" s="159">
        <v>1</v>
      </c>
      <c r="N336" s="160">
        <f t="shared" si="10"/>
        <v>596</v>
      </c>
      <c r="O336" s="159">
        <v>0</v>
      </c>
      <c r="P336" s="159">
        <v>1</v>
      </c>
      <c r="Q336" s="159">
        <f t="shared" si="11"/>
        <v>597</v>
      </c>
      <c r="R336" s="159">
        <v>0</v>
      </c>
    </row>
    <row r="337" spans="1:18">
      <c r="A337" s="41">
        <v>328</v>
      </c>
      <c r="B337" s="61" t="s">
        <v>453</v>
      </c>
      <c r="C337" s="159">
        <v>12</v>
      </c>
      <c r="D337" s="159">
        <v>97</v>
      </c>
      <c r="E337" s="159">
        <v>264</v>
      </c>
      <c r="F337" s="159">
        <v>2</v>
      </c>
      <c r="G337" s="159">
        <v>0</v>
      </c>
      <c r="H337" s="159">
        <v>0</v>
      </c>
      <c r="I337" s="159">
        <v>0</v>
      </c>
      <c r="J337" s="159">
        <v>1</v>
      </c>
      <c r="K337" s="159">
        <v>0</v>
      </c>
      <c r="L337" s="159">
        <v>1</v>
      </c>
      <c r="M337" s="159">
        <v>0</v>
      </c>
      <c r="N337" s="160">
        <f t="shared" si="10"/>
        <v>377</v>
      </c>
      <c r="O337" s="159">
        <v>0</v>
      </c>
      <c r="P337" s="159">
        <v>1</v>
      </c>
      <c r="Q337" s="159">
        <f t="shared" si="11"/>
        <v>378</v>
      </c>
      <c r="R337" s="159">
        <v>0</v>
      </c>
    </row>
    <row r="338" spans="1:18">
      <c r="A338" s="41">
        <v>329</v>
      </c>
      <c r="B338" s="61" t="s">
        <v>454</v>
      </c>
      <c r="C338" s="159">
        <v>5</v>
      </c>
      <c r="D338" s="159">
        <v>140</v>
      </c>
      <c r="E338" s="159">
        <v>256</v>
      </c>
      <c r="F338" s="159">
        <v>3</v>
      </c>
      <c r="G338" s="159">
        <v>0</v>
      </c>
      <c r="H338" s="159">
        <v>0</v>
      </c>
      <c r="I338" s="159">
        <v>0</v>
      </c>
      <c r="J338" s="159">
        <v>0</v>
      </c>
      <c r="K338" s="159">
        <v>0</v>
      </c>
      <c r="L338" s="159">
        <v>0</v>
      </c>
      <c r="M338" s="159">
        <v>0</v>
      </c>
      <c r="N338" s="160">
        <f t="shared" si="10"/>
        <v>404</v>
      </c>
      <c r="O338" s="159">
        <v>0</v>
      </c>
      <c r="P338" s="159">
        <v>1</v>
      </c>
      <c r="Q338" s="159">
        <f t="shared" si="11"/>
        <v>405</v>
      </c>
      <c r="R338" s="159">
        <v>0</v>
      </c>
    </row>
    <row r="339" spans="1:18">
      <c r="A339" s="41">
        <v>330</v>
      </c>
      <c r="B339" s="61" t="s">
        <v>455</v>
      </c>
      <c r="C339" s="159">
        <v>1</v>
      </c>
      <c r="D339" s="159">
        <v>69</v>
      </c>
      <c r="E339" s="159">
        <v>321</v>
      </c>
      <c r="F339" s="159">
        <v>1</v>
      </c>
      <c r="G339" s="159">
        <v>0</v>
      </c>
      <c r="H339" s="159">
        <v>0</v>
      </c>
      <c r="I339" s="159">
        <v>0</v>
      </c>
      <c r="J339" s="159">
        <v>0</v>
      </c>
      <c r="K339" s="159">
        <v>0</v>
      </c>
      <c r="L339" s="159">
        <v>2</v>
      </c>
      <c r="M339" s="159">
        <v>0</v>
      </c>
      <c r="N339" s="160">
        <f t="shared" si="10"/>
        <v>394</v>
      </c>
      <c r="O339" s="159">
        <v>0</v>
      </c>
      <c r="P339" s="159">
        <v>2</v>
      </c>
      <c r="Q339" s="159">
        <f t="shared" si="11"/>
        <v>396</v>
      </c>
      <c r="R339" s="159">
        <v>0</v>
      </c>
    </row>
    <row r="340" spans="1:18">
      <c r="A340" s="41">
        <v>331</v>
      </c>
      <c r="B340" s="61" t="s">
        <v>456</v>
      </c>
      <c r="C340" s="159">
        <v>162</v>
      </c>
      <c r="D340" s="159">
        <v>62</v>
      </c>
      <c r="E340" s="159">
        <v>298</v>
      </c>
      <c r="F340" s="159">
        <v>5</v>
      </c>
      <c r="G340" s="159">
        <v>2</v>
      </c>
      <c r="H340" s="159">
        <v>1</v>
      </c>
      <c r="I340" s="159">
        <v>0</v>
      </c>
      <c r="J340" s="159">
        <v>3</v>
      </c>
      <c r="K340" s="159">
        <v>1</v>
      </c>
      <c r="L340" s="159">
        <v>2</v>
      </c>
      <c r="M340" s="159">
        <v>2</v>
      </c>
      <c r="N340" s="160">
        <f t="shared" si="10"/>
        <v>538</v>
      </c>
      <c r="O340" s="159">
        <v>0</v>
      </c>
      <c r="P340" s="159">
        <v>9</v>
      </c>
      <c r="Q340" s="159">
        <f t="shared" si="11"/>
        <v>547</v>
      </c>
      <c r="R340" s="159">
        <v>0</v>
      </c>
    </row>
    <row r="341" spans="1:18">
      <c r="A341" s="41">
        <v>332</v>
      </c>
      <c r="B341" s="61" t="s">
        <v>457</v>
      </c>
      <c r="C341" s="159">
        <v>181</v>
      </c>
      <c r="D341" s="159">
        <v>35</v>
      </c>
      <c r="E341" s="159">
        <v>142</v>
      </c>
      <c r="F341" s="159">
        <v>3</v>
      </c>
      <c r="G341" s="159">
        <v>1</v>
      </c>
      <c r="H341" s="159">
        <v>0</v>
      </c>
      <c r="I341" s="159">
        <v>0</v>
      </c>
      <c r="J341" s="159">
        <v>0</v>
      </c>
      <c r="K341" s="159">
        <v>2</v>
      </c>
      <c r="L341" s="159">
        <v>1</v>
      </c>
      <c r="M341" s="159">
        <v>0</v>
      </c>
      <c r="N341" s="160">
        <f t="shared" si="10"/>
        <v>365</v>
      </c>
      <c r="O341" s="159">
        <v>0</v>
      </c>
      <c r="P341" s="159">
        <v>5</v>
      </c>
      <c r="Q341" s="159">
        <f t="shared" si="11"/>
        <v>370</v>
      </c>
      <c r="R341" s="159">
        <v>0</v>
      </c>
    </row>
    <row r="342" spans="1:18">
      <c r="A342" s="41">
        <v>333</v>
      </c>
      <c r="B342" s="61" t="s">
        <v>458</v>
      </c>
      <c r="C342" s="159">
        <v>492</v>
      </c>
      <c r="D342" s="159">
        <v>15</v>
      </c>
      <c r="E342" s="159">
        <v>85</v>
      </c>
      <c r="F342" s="159">
        <v>2</v>
      </c>
      <c r="G342" s="159">
        <v>0</v>
      </c>
      <c r="H342" s="159">
        <v>0</v>
      </c>
      <c r="I342" s="159">
        <v>0</v>
      </c>
      <c r="J342" s="159">
        <v>1</v>
      </c>
      <c r="K342" s="159">
        <v>1</v>
      </c>
      <c r="L342" s="159">
        <v>0</v>
      </c>
      <c r="M342" s="159">
        <v>2</v>
      </c>
      <c r="N342" s="160">
        <f t="shared" si="10"/>
        <v>598</v>
      </c>
      <c r="O342" s="159">
        <v>0</v>
      </c>
      <c r="P342" s="159">
        <v>12</v>
      </c>
      <c r="Q342" s="159">
        <f t="shared" si="11"/>
        <v>610</v>
      </c>
      <c r="R342" s="159">
        <v>0</v>
      </c>
    </row>
    <row r="343" spans="1:18">
      <c r="A343" s="41">
        <v>334</v>
      </c>
      <c r="B343" s="61" t="s">
        <v>459</v>
      </c>
      <c r="C343" s="159">
        <v>69</v>
      </c>
      <c r="D343" s="159">
        <v>320</v>
      </c>
      <c r="E343" s="159">
        <v>79</v>
      </c>
      <c r="F343" s="159">
        <v>1</v>
      </c>
      <c r="G343" s="159">
        <v>0</v>
      </c>
      <c r="H343" s="159">
        <v>0</v>
      </c>
      <c r="I343" s="159">
        <v>0</v>
      </c>
      <c r="J343" s="159">
        <v>1</v>
      </c>
      <c r="K343" s="159">
        <v>2</v>
      </c>
      <c r="L343" s="159">
        <v>2</v>
      </c>
      <c r="M343" s="159">
        <v>3</v>
      </c>
      <c r="N343" s="160">
        <f t="shared" si="10"/>
        <v>477</v>
      </c>
      <c r="O343" s="159">
        <v>0</v>
      </c>
      <c r="P343" s="159">
        <v>2</v>
      </c>
      <c r="Q343" s="159">
        <f t="shared" si="11"/>
        <v>479</v>
      </c>
      <c r="R343" s="159">
        <v>0</v>
      </c>
    </row>
    <row r="344" spans="1:18">
      <c r="A344" s="41">
        <v>335</v>
      </c>
      <c r="B344" s="61" t="s">
        <v>460</v>
      </c>
      <c r="C344" s="159">
        <v>320</v>
      </c>
      <c r="D344" s="159">
        <v>115</v>
      </c>
      <c r="E344" s="159">
        <v>53</v>
      </c>
      <c r="F344" s="159">
        <v>3</v>
      </c>
      <c r="G344" s="159">
        <v>0</v>
      </c>
      <c r="H344" s="159">
        <v>0</v>
      </c>
      <c r="I344" s="159">
        <v>0</v>
      </c>
      <c r="J344" s="159">
        <v>1</v>
      </c>
      <c r="K344" s="159">
        <v>2</v>
      </c>
      <c r="L344" s="159">
        <v>1</v>
      </c>
      <c r="M344" s="159">
        <v>0</v>
      </c>
      <c r="N344" s="160">
        <f t="shared" si="10"/>
        <v>495</v>
      </c>
      <c r="O344" s="159">
        <v>0</v>
      </c>
      <c r="P344" s="159">
        <v>8</v>
      </c>
      <c r="Q344" s="159">
        <f t="shared" si="11"/>
        <v>503</v>
      </c>
      <c r="R344" s="159">
        <v>0</v>
      </c>
    </row>
    <row r="345" spans="1:18">
      <c r="A345" s="41">
        <v>336</v>
      </c>
      <c r="B345" s="61" t="s">
        <v>461</v>
      </c>
      <c r="C345" s="159">
        <v>80</v>
      </c>
      <c r="D345" s="159">
        <v>236</v>
      </c>
      <c r="E345" s="159">
        <v>392</v>
      </c>
      <c r="F345" s="159">
        <v>3</v>
      </c>
      <c r="G345" s="159">
        <v>1</v>
      </c>
      <c r="H345" s="159">
        <v>2</v>
      </c>
      <c r="I345" s="159">
        <v>2</v>
      </c>
      <c r="J345" s="159">
        <v>2</v>
      </c>
      <c r="K345" s="159">
        <v>1</v>
      </c>
      <c r="L345" s="159">
        <v>7</v>
      </c>
      <c r="M345" s="159">
        <v>2</v>
      </c>
      <c r="N345" s="160">
        <f t="shared" si="10"/>
        <v>728</v>
      </c>
      <c r="O345" s="159">
        <v>0</v>
      </c>
      <c r="P345" s="159">
        <v>3</v>
      </c>
      <c r="Q345" s="159">
        <f t="shared" si="11"/>
        <v>731</v>
      </c>
      <c r="R345" s="159">
        <v>0</v>
      </c>
    </row>
    <row r="346" spans="1:18">
      <c r="A346" s="41">
        <v>337</v>
      </c>
      <c r="B346" s="61" t="s">
        <v>462</v>
      </c>
      <c r="C346" s="159">
        <v>63</v>
      </c>
      <c r="D346" s="159">
        <v>118</v>
      </c>
      <c r="E346" s="159">
        <v>286</v>
      </c>
      <c r="F346" s="159">
        <v>5</v>
      </c>
      <c r="G346" s="159">
        <v>0</v>
      </c>
      <c r="H346" s="159">
        <v>0</v>
      </c>
      <c r="I346" s="159">
        <v>0</v>
      </c>
      <c r="J346" s="159">
        <v>0</v>
      </c>
      <c r="K346" s="159">
        <v>0</v>
      </c>
      <c r="L346" s="159">
        <v>2</v>
      </c>
      <c r="M346" s="159">
        <v>1</v>
      </c>
      <c r="N346" s="160">
        <f t="shared" si="10"/>
        <v>475</v>
      </c>
      <c r="O346" s="159">
        <v>0</v>
      </c>
      <c r="P346" s="159">
        <v>0</v>
      </c>
      <c r="Q346" s="159">
        <f t="shared" si="11"/>
        <v>475</v>
      </c>
      <c r="R346" s="159">
        <v>0</v>
      </c>
    </row>
    <row r="347" spans="1:18">
      <c r="A347" s="41">
        <v>338</v>
      </c>
      <c r="B347" s="61" t="s">
        <v>463</v>
      </c>
      <c r="C347" s="159">
        <v>27</v>
      </c>
      <c r="D347" s="159">
        <v>279</v>
      </c>
      <c r="E347" s="159">
        <v>313</v>
      </c>
      <c r="F347" s="159">
        <v>12</v>
      </c>
      <c r="G347" s="159">
        <v>1</v>
      </c>
      <c r="H347" s="159">
        <v>1</v>
      </c>
      <c r="I347" s="159">
        <v>2</v>
      </c>
      <c r="J347" s="159">
        <v>0</v>
      </c>
      <c r="K347" s="159">
        <v>0</v>
      </c>
      <c r="L347" s="159">
        <v>4</v>
      </c>
      <c r="M347" s="159">
        <v>5</v>
      </c>
      <c r="N347" s="160">
        <f t="shared" si="10"/>
        <v>644</v>
      </c>
      <c r="O347" s="159">
        <v>0</v>
      </c>
      <c r="P347" s="159">
        <v>6</v>
      </c>
      <c r="Q347" s="159">
        <f t="shared" si="11"/>
        <v>650</v>
      </c>
      <c r="R347" s="159">
        <v>0</v>
      </c>
    </row>
    <row r="348" spans="1:18">
      <c r="A348" s="41">
        <v>339</v>
      </c>
      <c r="B348" s="61" t="s">
        <v>464</v>
      </c>
      <c r="C348" s="159">
        <v>118</v>
      </c>
      <c r="D348" s="159">
        <v>385</v>
      </c>
      <c r="E348" s="159">
        <v>172</v>
      </c>
      <c r="F348" s="159">
        <v>1</v>
      </c>
      <c r="G348" s="159">
        <v>3</v>
      </c>
      <c r="H348" s="159">
        <v>0</v>
      </c>
      <c r="I348" s="159">
        <v>0</v>
      </c>
      <c r="J348" s="159">
        <v>1</v>
      </c>
      <c r="K348" s="159">
        <v>4</v>
      </c>
      <c r="L348" s="159">
        <v>5</v>
      </c>
      <c r="M348" s="159">
        <v>7</v>
      </c>
      <c r="N348" s="160">
        <f t="shared" si="10"/>
        <v>696</v>
      </c>
      <c r="O348" s="159">
        <v>0</v>
      </c>
      <c r="P348" s="159">
        <v>2</v>
      </c>
      <c r="Q348" s="159">
        <f t="shared" si="11"/>
        <v>698</v>
      </c>
      <c r="R348" s="159">
        <v>0</v>
      </c>
    </row>
    <row r="349" spans="1:18">
      <c r="A349" s="41">
        <v>340</v>
      </c>
      <c r="B349" s="61" t="s">
        <v>465</v>
      </c>
      <c r="C349" s="159">
        <v>183</v>
      </c>
      <c r="D349" s="159">
        <v>500</v>
      </c>
      <c r="E349" s="159">
        <v>30</v>
      </c>
      <c r="F349" s="159">
        <v>6</v>
      </c>
      <c r="G349" s="159">
        <v>2</v>
      </c>
      <c r="H349" s="159">
        <v>1</v>
      </c>
      <c r="I349" s="159">
        <v>2</v>
      </c>
      <c r="J349" s="159">
        <v>0</v>
      </c>
      <c r="K349" s="159">
        <v>3</v>
      </c>
      <c r="L349" s="159">
        <v>6</v>
      </c>
      <c r="M349" s="159">
        <v>1</v>
      </c>
      <c r="N349" s="160">
        <f t="shared" si="10"/>
        <v>734</v>
      </c>
      <c r="O349" s="159">
        <v>0</v>
      </c>
      <c r="P349" s="159">
        <v>6</v>
      </c>
      <c r="Q349" s="159">
        <f t="shared" si="11"/>
        <v>740</v>
      </c>
      <c r="R349" s="159">
        <v>0</v>
      </c>
    </row>
    <row r="350" spans="1:18">
      <c r="A350" s="41">
        <v>341</v>
      </c>
      <c r="B350" s="61" t="s">
        <v>466</v>
      </c>
      <c r="C350" s="159">
        <v>170</v>
      </c>
      <c r="D350" s="159">
        <v>445</v>
      </c>
      <c r="E350" s="159">
        <v>51</v>
      </c>
      <c r="F350" s="159">
        <v>4</v>
      </c>
      <c r="G350" s="159">
        <v>1</v>
      </c>
      <c r="H350" s="159">
        <v>1</v>
      </c>
      <c r="I350" s="159">
        <v>0</v>
      </c>
      <c r="J350" s="159">
        <v>0</v>
      </c>
      <c r="K350" s="159">
        <v>2</v>
      </c>
      <c r="L350" s="159">
        <v>1</v>
      </c>
      <c r="M350" s="159">
        <v>0</v>
      </c>
      <c r="N350" s="160">
        <f t="shared" si="10"/>
        <v>675</v>
      </c>
      <c r="O350" s="159">
        <v>0</v>
      </c>
      <c r="P350" s="159">
        <v>6</v>
      </c>
      <c r="Q350" s="159">
        <f t="shared" si="11"/>
        <v>681</v>
      </c>
      <c r="R350" s="159">
        <v>0</v>
      </c>
    </row>
    <row r="351" spans="1:18">
      <c r="A351" s="41">
        <v>342</v>
      </c>
      <c r="B351" s="61" t="s">
        <v>467</v>
      </c>
      <c r="C351" s="159">
        <v>23</v>
      </c>
      <c r="D351" s="159">
        <v>206</v>
      </c>
      <c r="E351" s="159">
        <v>73</v>
      </c>
      <c r="F351" s="159">
        <v>2</v>
      </c>
      <c r="G351" s="159">
        <v>2</v>
      </c>
      <c r="H351" s="159">
        <v>0</v>
      </c>
      <c r="I351" s="159">
        <v>0</v>
      </c>
      <c r="J351" s="159">
        <v>1</v>
      </c>
      <c r="K351" s="159">
        <v>0</v>
      </c>
      <c r="L351" s="159">
        <v>2</v>
      </c>
      <c r="M351" s="159">
        <v>0</v>
      </c>
      <c r="N351" s="160">
        <f t="shared" si="10"/>
        <v>309</v>
      </c>
      <c r="O351" s="159">
        <v>0</v>
      </c>
      <c r="P351" s="159">
        <v>1</v>
      </c>
      <c r="Q351" s="159">
        <f t="shared" si="11"/>
        <v>310</v>
      </c>
      <c r="R351" s="159">
        <v>0</v>
      </c>
    </row>
    <row r="352" spans="1:18">
      <c r="A352" s="41">
        <v>343</v>
      </c>
      <c r="B352" s="62" t="s">
        <v>468</v>
      </c>
      <c r="C352" s="159">
        <v>157</v>
      </c>
      <c r="D352" s="159">
        <v>44</v>
      </c>
      <c r="E352" s="159">
        <v>313</v>
      </c>
      <c r="F352" s="159">
        <v>1</v>
      </c>
      <c r="G352" s="159">
        <v>0</v>
      </c>
      <c r="H352" s="159">
        <v>0</v>
      </c>
      <c r="I352" s="159">
        <v>0</v>
      </c>
      <c r="J352" s="159">
        <v>0</v>
      </c>
      <c r="K352" s="159">
        <v>0</v>
      </c>
      <c r="L352" s="159">
        <v>0</v>
      </c>
      <c r="M352" s="159">
        <v>2</v>
      </c>
      <c r="N352" s="160">
        <f t="shared" si="10"/>
        <v>517</v>
      </c>
      <c r="O352" s="159">
        <v>0</v>
      </c>
      <c r="P352" s="159">
        <v>7</v>
      </c>
      <c r="Q352" s="159">
        <f t="shared" si="11"/>
        <v>524</v>
      </c>
      <c r="R352" s="159">
        <v>0</v>
      </c>
    </row>
    <row r="353" spans="1:18">
      <c r="A353" s="41">
        <v>344</v>
      </c>
      <c r="B353" s="61" t="s">
        <v>469</v>
      </c>
      <c r="C353" s="159">
        <v>272</v>
      </c>
      <c r="D353" s="159">
        <v>196</v>
      </c>
      <c r="E353" s="159">
        <v>64</v>
      </c>
      <c r="F353" s="159">
        <v>2</v>
      </c>
      <c r="G353" s="159">
        <v>0</v>
      </c>
      <c r="H353" s="159">
        <v>0</v>
      </c>
      <c r="I353" s="159">
        <v>1</v>
      </c>
      <c r="J353" s="159">
        <v>0</v>
      </c>
      <c r="K353" s="159">
        <v>0</v>
      </c>
      <c r="L353" s="159">
        <v>0</v>
      </c>
      <c r="M353" s="159">
        <v>2</v>
      </c>
      <c r="N353" s="160">
        <f t="shared" si="10"/>
        <v>537</v>
      </c>
      <c r="O353" s="159">
        <v>0</v>
      </c>
      <c r="P353" s="159">
        <v>2</v>
      </c>
      <c r="Q353" s="159">
        <f t="shared" si="11"/>
        <v>539</v>
      </c>
      <c r="R353" s="159">
        <v>0</v>
      </c>
    </row>
    <row r="354" spans="1:18" ht="22.5">
      <c r="A354" s="41">
        <v>345</v>
      </c>
      <c r="B354" s="61" t="s">
        <v>470</v>
      </c>
      <c r="C354" s="159">
        <v>5</v>
      </c>
      <c r="D354" s="159">
        <v>97</v>
      </c>
      <c r="E354" s="159">
        <v>414</v>
      </c>
      <c r="F354" s="159">
        <v>9</v>
      </c>
      <c r="G354" s="159">
        <v>0</v>
      </c>
      <c r="H354" s="159">
        <v>1</v>
      </c>
      <c r="I354" s="159">
        <v>1</v>
      </c>
      <c r="J354" s="159">
        <v>1</v>
      </c>
      <c r="K354" s="159">
        <v>2</v>
      </c>
      <c r="L354" s="159">
        <v>1</v>
      </c>
      <c r="M354" s="159">
        <v>3</v>
      </c>
      <c r="N354" s="160">
        <f t="shared" si="10"/>
        <v>534</v>
      </c>
      <c r="O354" s="159">
        <v>0</v>
      </c>
      <c r="P354" s="159">
        <v>9</v>
      </c>
      <c r="Q354" s="159">
        <f t="shared" si="11"/>
        <v>543</v>
      </c>
      <c r="R354" s="159">
        <v>0</v>
      </c>
    </row>
    <row r="355" spans="1:18" ht="22.5">
      <c r="A355" s="41">
        <v>346</v>
      </c>
      <c r="B355" s="61" t="s">
        <v>471</v>
      </c>
      <c r="C355" s="159">
        <v>177</v>
      </c>
      <c r="D355" s="159">
        <v>293</v>
      </c>
      <c r="E355" s="159">
        <v>137</v>
      </c>
      <c r="F355" s="159">
        <v>1</v>
      </c>
      <c r="G355" s="159">
        <v>1</v>
      </c>
      <c r="H355" s="159">
        <v>0</v>
      </c>
      <c r="I355" s="159">
        <v>2</v>
      </c>
      <c r="J355" s="159">
        <v>0</v>
      </c>
      <c r="K355" s="159">
        <v>1</v>
      </c>
      <c r="L355" s="159">
        <v>3</v>
      </c>
      <c r="M355" s="159">
        <v>4</v>
      </c>
      <c r="N355" s="160">
        <f t="shared" si="10"/>
        <v>619</v>
      </c>
      <c r="O355" s="159">
        <v>0</v>
      </c>
      <c r="P355" s="159">
        <v>7</v>
      </c>
      <c r="Q355" s="159">
        <f t="shared" si="11"/>
        <v>626</v>
      </c>
      <c r="R355" s="159">
        <v>0</v>
      </c>
    </row>
    <row r="356" spans="1:18" ht="22.5">
      <c r="A356" s="41">
        <v>347</v>
      </c>
      <c r="B356" s="61" t="s">
        <v>472</v>
      </c>
      <c r="C356" s="159">
        <v>132</v>
      </c>
      <c r="D356" s="159">
        <v>241</v>
      </c>
      <c r="E356" s="159">
        <v>129</v>
      </c>
      <c r="F356" s="159">
        <v>3</v>
      </c>
      <c r="G356" s="159">
        <v>0</v>
      </c>
      <c r="H356" s="159">
        <v>0</v>
      </c>
      <c r="I356" s="159">
        <v>1</v>
      </c>
      <c r="J356" s="159">
        <v>0</v>
      </c>
      <c r="K356" s="159">
        <v>1</v>
      </c>
      <c r="L356" s="159">
        <v>3</v>
      </c>
      <c r="M356" s="159">
        <v>0</v>
      </c>
      <c r="N356" s="160">
        <f t="shared" si="10"/>
        <v>510</v>
      </c>
      <c r="O356" s="159">
        <v>0</v>
      </c>
      <c r="P356" s="159">
        <v>4</v>
      </c>
      <c r="Q356" s="159">
        <f t="shared" si="11"/>
        <v>514</v>
      </c>
      <c r="R356" s="159">
        <v>0</v>
      </c>
    </row>
    <row r="357" spans="1:18">
      <c r="A357" s="41">
        <v>348</v>
      </c>
      <c r="B357" s="61" t="s">
        <v>473</v>
      </c>
      <c r="C357" s="159">
        <v>6</v>
      </c>
      <c r="D357" s="159">
        <v>543</v>
      </c>
      <c r="E357" s="159">
        <v>87</v>
      </c>
      <c r="F357" s="159">
        <v>5</v>
      </c>
      <c r="G357" s="159">
        <v>0</v>
      </c>
      <c r="H357" s="159">
        <v>0</v>
      </c>
      <c r="I357" s="159">
        <v>0</v>
      </c>
      <c r="J357" s="159">
        <v>1</v>
      </c>
      <c r="K357" s="159">
        <v>6</v>
      </c>
      <c r="L357" s="159">
        <v>1</v>
      </c>
      <c r="M357" s="159">
        <v>5</v>
      </c>
      <c r="N357" s="160">
        <f t="shared" si="10"/>
        <v>654</v>
      </c>
      <c r="O357" s="159">
        <v>0</v>
      </c>
      <c r="P357" s="159">
        <v>3</v>
      </c>
      <c r="Q357" s="159">
        <f t="shared" si="11"/>
        <v>657</v>
      </c>
      <c r="R357" s="159">
        <v>0</v>
      </c>
    </row>
    <row r="358" spans="1:18">
      <c r="A358" s="41">
        <v>349</v>
      </c>
      <c r="B358" s="61" t="s">
        <v>474</v>
      </c>
      <c r="C358" s="159">
        <v>20</v>
      </c>
      <c r="D358" s="159">
        <v>417</v>
      </c>
      <c r="E358" s="159">
        <v>141</v>
      </c>
      <c r="F358" s="159">
        <v>1</v>
      </c>
      <c r="G358" s="159">
        <v>0</v>
      </c>
      <c r="H358" s="159">
        <v>0</v>
      </c>
      <c r="I358" s="159">
        <v>0</v>
      </c>
      <c r="J358" s="159">
        <v>0</v>
      </c>
      <c r="K358" s="159">
        <v>0</v>
      </c>
      <c r="L358" s="159">
        <v>1</v>
      </c>
      <c r="M358" s="159">
        <v>3</v>
      </c>
      <c r="N358" s="160">
        <f t="shared" si="10"/>
        <v>583</v>
      </c>
      <c r="O358" s="159">
        <v>0</v>
      </c>
      <c r="P358" s="159">
        <v>2</v>
      </c>
      <c r="Q358" s="159">
        <f t="shared" si="11"/>
        <v>585</v>
      </c>
      <c r="R358" s="159">
        <v>0</v>
      </c>
    </row>
    <row r="359" spans="1:18">
      <c r="A359" s="41">
        <v>350</v>
      </c>
      <c r="B359" s="61" t="s">
        <v>475</v>
      </c>
      <c r="C359" s="159">
        <v>76</v>
      </c>
      <c r="D359" s="159">
        <v>137</v>
      </c>
      <c r="E359" s="159">
        <v>417</v>
      </c>
      <c r="F359" s="159">
        <v>4</v>
      </c>
      <c r="G359" s="159">
        <v>0</v>
      </c>
      <c r="H359" s="159">
        <v>0</v>
      </c>
      <c r="I359" s="159">
        <v>1</v>
      </c>
      <c r="J359" s="159">
        <v>0</v>
      </c>
      <c r="K359" s="159">
        <v>1</v>
      </c>
      <c r="L359" s="159">
        <v>3</v>
      </c>
      <c r="M359" s="159">
        <v>4</v>
      </c>
      <c r="N359" s="160">
        <f t="shared" si="10"/>
        <v>643</v>
      </c>
      <c r="O359" s="159">
        <v>0</v>
      </c>
      <c r="P359" s="159">
        <v>0</v>
      </c>
      <c r="Q359" s="159">
        <f t="shared" si="11"/>
        <v>643</v>
      </c>
      <c r="R359" s="159">
        <v>0</v>
      </c>
    </row>
    <row r="360" spans="1:18">
      <c r="A360" s="41">
        <v>351</v>
      </c>
      <c r="B360" s="61" t="s">
        <v>476</v>
      </c>
      <c r="C360" s="159">
        <v>118</v>
      </c>
      <c r="D360" s="159">
        <v>334</v>
      </c>
      <c r="E360" s="159">
        <v>331</v>
      </c>
      <c r="F360" s="159">
        <v>8</v>
      </c>
      <c r="G360" s="159">
        <v>2</v>
      </c>
      <c r="H360" s="159">
        <v>1</v>
      </c>
      <c r="I360" s="159">
        <v>1</v>
      </c>
      <c r="J360" s="159">
        <v>6</v>
      </c>
      <c r="K360" s="159">
        <v>2</v>
      </c>
      <c r="L360" s="159">
        <v>6</v>
      </c>
      <c r="M360" s="159">
        <v>3</v>
      </c>
      <c r="N360" s="160">
        <f t="shared" si="10"/>
        <v>812</v>
      </c>
      <c r="O360" s="159">
        <v>0</v>
      </c>
      <c r="P360" s="159">
        <v>4</v>
      </c>
      <c r="Q360" s="159">
        <f t="shared" si="11"/>
        <v>816</v>
      </c>
      <c r="R360" s="159">
        <v>0</v>
      </c>
    </row>
    <row r="361" spans="1:18" ht="22.5">
      <c r="A361" s="41">
        <v>352</v>
      </c>
      <c r="B361" s="61" t="s">
        <v>477</v>
      </c>
      <c r="C361" s="159">
        <v>66</v>
      </c>
      <c r="D361" s="159">
        <v>75</v>
      </c>
      <c r="E361" s="159">
        <v>478</v>
      </c>
      <c r="F361" s="159">
        <v>4</v>
      </c>
      <c r="G361" s="159">
        <v>0</v>
      </c>
      <c r="H361" s="159">
        <v>0</v>
      </c>
      <c r="I361" s="159">
        <v>1</v>
      </c>
      <c r="J361" s="159">
        <v>0</v>
      </c>
      <c r="K361" s="159">
        <v>0</v>
      </c>
      <c r="L361" s="159">
        <v>1</v>
      </c>
      <c r="M361" s="159">
        <v>1</v>
      </c>
      <c r="N361" s="160">
        <f t="shared" si="10"/>
        <v>626</v>
      </c>
      <c r="O361" s="159">
        <v>0</v>
      </c>
      <c r="P361" s="159">
        <v>2</v>
      </c>
      <c r="Q361" s="159">
        <f t="shared" si="11"/>
        <v>628</v>
      </c>
      <c r="R361" s="159">
        <v>0</v>
      </c>
    </row>
    <row r="362" spans="1:18" ht="22.5">
      <c r="A362" s="41">
        <v>353</v>
      </c>
      <c r="B362" s="61" t="s">
        <v>478</v>
      </c>
      <c r="C362" s="159">
        <v>197</v>
      </c>
      <c r="D362" s="159">
        <v>32</v>
      </c>
      <c r="E362" s="159">
        <v>349</v>
      </c>
      <c r="F362" s="159">
        <v>4</v>
      </c>
      <c r="G362" s="159">
        <v>0</v>
      </c>
      <c r="H362" s="159">
        <v>1</v>
      </c>
      <c r="I362" s="159">
        <v>0</v>
      </c>
      <c r="J362" s="159">
        <v>0</v>
      </c>
      <c r="K362" s="159">
        <v>3</v>
      </c>
      <c r="L362" s="159">
        <v>2</v>
      </c>
      <c r="M362" s="159">
        <v>5</v>
      </c>
      <c r="N362" s="160">
        <f t="shared" si="10"/>
        <v>593</v>
      </c>
      <c r="O362" s="159">
        <v>0</v>
      </c>
      <c r="P362" s="159">
        <v>7</v>
      </c>
      <c r="Q362" s="159">
        <f t="shared" si="11"/>
        <v>600</v>
      </c>
      <c r="R362" s="159">
        <v>0</v>
      </c>
    </row>
    <row r="363" spans="1:18">
      <c r="A363" s="41">
        <v>354</v>
      </c>
      <c r="B363" s="61" t="s">
        <v>479</v>
      </c>
      <c r="C363" s="159">
        <v>61</v>
      </c>
      <c r="D363" s="159">
        <v>45</v>
      </c>
      <c r="E363" s="159">
        <v>267</v>
      </c>
      <c r="F363" s="159">
        <v>0</v>
      </c>
      <c r="G363" s="159">
        <v>0</v>
      </c>
      <c r="H363" s="159">
        <v>0</v>
      </c>
      <c r="I363" s="159">
        <v>0</v>
      </c>
      <c r="J363" s="159">
        <v>2</v>
      </c>
      <c r="K363" s="159">
        <v>0</v>
      </c>
      <c r="L363" s="159">
        <v>4</v>
      </c>
      <c r="M363" s="159">
        <v>2</v>
      </c>
      <c r="N363" s="160">
        <f t="shared" si="10"/>
        <v>381</v>
      </c>
      <c r="O363" s="159">
        <v>0</v>
      </c>
      <c r="P363" s="159">
        <v>0</v>
      </c>
      <c r="Q363" s="159">
        <f t="shared" si="11"/>
        <v>381</v>
      </c>
      <c r="R363" s="159">
        <v>0</v>
      </c>
    </row>
    <row r="364" spans="1:18">
      <c r="A364" s="41">
        <v>355</v>
      </c>
      <c r="B364" s="61" t="s">
        <v>480</v>
      </c>
      <c r="C364" s="159">
        <v>123</v>
      </c>
      <c r="D364" s="159">
        <v>9</v>
      </c>
      <c r="E364" s="159">
        <v>437</v>
      </c>
      <c r="F364" s="159">
        <v>0</v>
      </c>
      <c r="G364" s="159">
        <v>0</v>
      </c>
      <c r="H364" s="159">
        <v>0</v>
      </c>
      <c r="I364" s="159">
        <v>0</v>
      </c>
      <c r="J364" s="159">
        <v>0</v>
      </c>
      <c r="K364" s="159">
        <v>0</v>
      </c>
      <c r="L364" s="159">
        <v>7</v>
      </c>
      <c r="M364" s="159">
        <v>0</v>
      </c>
      <c r="N364" s="160">
        <f t="shared" si="10"/>
        <v>576</v>
      </c>
      <c r="O364" s="159">
        <v>0</v>
      </c>
      <c r="P364" s="159">
        <v>1</v>
      </c>
      <c r="Q364" s="159">
        <f t="shared" si="11"/>
        <v>577</v>
      </c>
      <c r="R364" s="159">
        <v>0</v>
      </c>
    </row>
    <row r="365" spans="1:18" ht="22.5">
      <c r="A365" s="41">
        <v>356</v>
      </c>
      <c r="B365" s="61" t="s">
        <v>481</v>
      </c>
      <c r="C365" s="159">
        <v>15</v>
      </c>
      <c r="D365" s="159">
        <v>237</v>
      </c>
      <c r="E365" s="159">
        <v>456</v>
      </c>
      <c r="F365" s="159">
        <v>1</v>
      </c>
      <c r="G365" s="159">
        <v>0</v>
      </c>
      <c r="H365" s="159">
        <v>1</v>
      </c>
      <c r="I365" s="159">
        <v>2</v>
      </c>
      <c r="J365" s="159">
        <v>1</v>
      </c>
      <c r="K365" s="159">
        <v>1</v>
      </c>
      <c r="L365" s="159">
        <v>6</v>
      </c>
      <c r="M365" s="159">
        <v>1</v>
      </c>
      <c r="N365" s="160">
        <f t="shared" si="10"/>
        <v>721</v>
      </c>
      <c r="O365" s="159">
        <v>0</v>
      </c>
      <c r="P365" s="159">
        <v>1</v>
      </c>
      <c r="Q365" s="159">
        <f t="shared" si="11"/>
        <v>722</v>
      </c>
      <c r="R365" s="159">
        <v>0</v>
      </c>
    </row>
    <row r="366" spans="1:18" ht="22.5">
      <c r="A366" s="41">
        <v>357</v>
      </c>
      <c r="B366" s="61" t="s">
        <v>482</v>
      </c>
      <c r="C366" s="159">
        <v>389</v>
      </c>
      <c r="D366" s="159">
        <v>85</v>
      </c>
      <c r="E366" s="159">
        <v>304</v>
      </c>
      <c r="F366" s="159">
        <v>3</v>
      </c>
      <c r="G366" s="159">
        <v>0</v>
      </c>
      <c r="H366" s="159">
        <v>0</v>
      </c>
      <c r="I366" s="159">
        <v>1</v>
      </c>
      <c r="J366" s="159">
        <v>0</v>
      </c>
      <c r="K366" s="159">
        <v>3</v>
      </c>
      <c r="L366" s="159">
        <v>2</v>
      </c>
      <c r="M366" s="159">
        <v>1</v>
      </c>
      <c r="N366" s="160">
        <f t="shared" si="10"/>
        <v>788</v>
      </c>
      <c r="O366" s="159">
        <v>0</v>
      </c>
      <c r="P366" s="159">
        <v>6</v>
      </c>
      <c r="Q366" s="159">
        <f t="shared" si="11"/>
        <v>794</v>
      </c>
      <c r="R366" s="159">
        <v>0</v>
      </c>
    </row>
    <row r="367" spans="1:18">
      <c r="A367" s="41">
        <v>358</v>
      </c>
      <c r="B367" s="61" t="s">
        <v>483</v>
      </c>
      <c r="C367" s="159">
        <v>3</v>
      </c>
      <c r="D367" s="159">
        <v>4</v>
      </c>
      <c r="E367" s="159">
        <v>338</v>
      </c>
      <c r="F367" s="159">
        <v>2</v>
      </c>
      <c r="G367" s="159">
        <v>0</v>
      </c>
      <c r="H367" s="159">
        <v>1</v>
      </c>
      <c r="I367" s="159">
        <v>0</v>
      </c>
      <c r="J367" s="159">
        <v>0</v>
      </c>
      <c r="K367" s="159">
        <v>0</v>
      </c>
      <c r="L367" s="159">
        <v>0</v>
      </c>
      <c r="M367" s="159">
        <v>0</v>
      </c>
      <c r="N367" s="160">
        <f t="shared" si="10"/>
        <v>348</v>
      </c>
      <c r="O367" s="159">
        <v>0</v>
      </c>
      <c r="P367" s="159">
        <v>1</v>
      </c>
      <c r="Q367" s="159">
        <f t="shared" si="11"/>
        <v>349</v>
      </c>
      <c r="R367" s="159">
        <v>0</v>
      </c>
    </row>
    <row r="368" spans="1:18">
      <c r="A368" s="41">
        <v>359</v>
      </c>
      <c r="B368" s="61" t="s">
        <v>484</v>
      </c>
      <c r="C368" s="159">
        <v>219</v>
      </c>
      <c r="D368" s="159">
        <v>64</v>
      </c>
      <c r="E368" s="159">
        <v>382</v>
      </c>
      <c r="F368" s="159">
        <v>1</v>
      </c>
      <c r="G368" s="159">
        <v>0</v>
      </c>
      <c r="H368" s="159">
        <v>0</v>
      </c>
      <c r="I368" s="159">
        <v>0</v>
      </c>
      <c r="J368" s="159">
        <v>3</v>
      </c>
      <c r="K368" s="159">
        <v>0</v>
      </c>
      <c r="L368" s="159">
        <v>0</v>
      </c>
      <c r="M368" s="159">
        <v>0</v>
      </c>
      <c r="N368" s="160">
        <f t="shared" si="10"/>
        <v>669</v>
      </c>
      <c r="O368" s="159">
        <v>0</v>
      </c>
      <c r="P368" s="159">
        <v>4</v>
      </c>
      <c r="Q368" s="159">
        <f t="shared" si="11"/>
        <v>673</v>
      </c>
      <c r="R368" s="159">
        <v>0</v>
      </c>
    </row>
    <row r="369" spans="1:18">
      <c r="A369" s="41">
        <v>360</v>
      </c>
      <c r="B369" s="61" t="s">
        <v>485</v>
      </c>
      <c r="C369" s="159">
        <v>11</v>
      </c>
      <c r="D369" s="159">
        <v>121</v>
      </c>
      <c r="E369" s="159">
        <v>660</v>
      </c>
      <c r="F369" s="159">
        <v>4</v>
      </c>
      <c r="G369" s="159">
        <v>1</v>
      </c>
      <c r="H369" s="159">
        <v>0</v>
      </c>
      <c r="I369" s="159">
        <v>0</v>
      </c>
      <c r="J369" s="159">
        <v>0</v>
      </c>
      <c r="K369" s="159">
        <v>2</v>
      </c>
      <c r="L369" s="159">
        <v>7</v>
      </c>
      <c r="M369" s="159">
        <v>3</v>
      </c>
      <c r="N369" s="160">
        <f t="shared" si="10"/>
        <v>809</v>
      </c>
      <c r="O369" s="159">
        <v>0</v>
      </c>
      <c r="P369" s="159">
        <v>4</v>
      </c>
      <c r="Q369" s="159">
        <f t="shared" si="11"/>
        <v>813</v>
      </c>
      <c r="R369" s="159">
        <v>0</v>
      </c>
    </row>
    <row r="370" spans="1:18">
      <c r="A370" s="41">
        <v>361</v>
      </c>
      <c r="B370" s="61" t="s">
        <v>486</v>
      </c>
      <c r="C370" s="159">
        <v>49</v>
      </c>
      <c r="D370" s="159">
        <v>115</v>
      </c>
      <c r="E370" s="159">
        <v>566</v>
      </c>
      <c r="F370" s="159">
        <v>6</v>
      </c>
      <c r="G370" s="159">
        <v>2</v>
      </c>
      <c r="H370" s="159">
        <v>0</v>
      </c>
      <c r="I370" s="159">
        <v>1</v>
      </c>
      <c r="J370" s="159">
        <v>0</v>
      </c>
      <c r="K370" s="159">
        <v>1</v>
      </c>
      <c r="L370" s="159">
        <v>3</v>
      </c>
      <c r="M370" s="159">
        <v>1</v>
      </c>
      <c r="N370" s="160">
        <f t="shared" si="10"/>
        <v>744</v>
      </c>
      <c r="O370" s="159">
        <v>0</v>
      </c>
      <c r="P370" s="159">
        <v>3</v>
      </c>
      <c r="Q370" s="159">
        <f t="shared" si="11"/>
        <v>747</v>
      </c>
      <c r="R370" s="159">
        <v>0</v>
      </c>
    </row>
    <row r="371" spans="1:18">
      <c r="A371" s="41">
        <v>362</v>
      </c>
      <c r="B371" s="61" t="s">
        <v>487</v>
      </c>
      <c r="C371" s="159">
        <v>74</v>
      </c>
      <c r="D371" s="159">
        <v>164</v>
      </c>
      <c r="E371" s="159">
        <v>499</v>
      </c>
      <c r="F371" s="159">
        <v>3</v>
      </c>
      <c r="G371" s="159">
        <v>0</v>
      </c>
      <c r="H371" s="159">
        <v>0</v>
      </c>
      <c r="I371" s="159">
        <v>0</v>
      </c>
      <c r="J371" s="159">
        <v>2</v>
      </c>
      <c r="K371" s="159">
        <v>0</v>
      </c>
      <c r="L371" s="159">
        <v>2</v>
      </c>
      <c r="M371" s="159">
        <v>1</v>
      </c>
      <c r="N371" s="160">
        <f t="shared" si="10"/>
        <v>745</v>
      </c>
      <c r="O371" s="159">
        <v>0</v>
      </c>
      <c r="P371" s="159">
        <v>0</v>
      </c>
      <c r="Q371" s="159">
        <f t="shared" si="11"/>
        <v>745</v>
      </c>
      <c r="R371" s="159">
        <v>0</v>
      </c>
    </row>
    <row r="372" spans="1:18">
      <c r="A372" s="41">
        <v>363</v>
      </c>
      <c r="B372" s="61" t="s">
        <v>488</v>
      </c>
      <c r="C372" s="159">
        <v>50</v>
      </c>
      <c r="D372" s="159">
        <v>33</v>
      </c>
      <c r="E372" s="159">
        <v>296</v>
      </c>
      <c r="F372" s="159">
        <v>1</v>
      </c>
      <c r="G372" s="159">
        <v>0</v>
      </c>
      <c r="H372" s="159">
        <v>0</v>
      </c>
      <c r="I372" s="159">
        <v>1</v>
      </c>
      <c r="J372" s="159">
        <v>2</v>
      </c>
      <c r="K372" s="159">
        <v>0</v>
      </c>
      <c r="L372" s="159">
        <v>4</v>
      </c>
      <c r="M372" s="159">
        <v>2</v>
      </c>
      <c r="N372" s="160">
        <f t="shared" si="10"/>
        <v>389</v>
      </c>
      <c r="O372" s="159">
        <v>0</v>
      </c>
      <c r="P372" s="159">
        <v>0</v>
      </c>
      <c r="Q372" s="159">
        <f t="shared" si="11"/>
        <v>389</v>
      </c>
      <c r="R372" s="159">
        <v>0</v>
      </c>
    </row>
    <row r="373" spans="1:18" ht="22.5">
      <c r="A373" s="41">
        <v>364</v>
      </c>
      <c r="B373" s="61" t="s">
        <v>489</v>
      </c>
      <c r="C373" s="159">
        <v>4</v>
      </c>
      <c r="D373" s="159">
        <v>113</v>
      </c>
      <c r="E373" s="159">
        <v>419</v>
      </c>
      <c r="F373" s="159">
        <v>3</v>
      </c>
      <c r="G373" s="159">
        <v>1</v>
      </c>
      <c r="H373" s="159">
        <v>0</v>
      </c>
      <c r="I373" s="159">
        <v>0</v>
      </c>
      <c r="J373" s="159">
        <v>0</v>
      </c>
      <c r="K373" s="159">
        <v>1</v>
      </c>
      <c r="L373" s="159">
        <v>5</v>
      </c>
      <c r="M373" s="159">
        <v>0</v>
      </c>
      <c r="N373" s="160">
        <f t="shared" si="10"/>
        <v>546</v>
      </c>
      <c r="O373" s="159">
        <v>0</v>
      </c>
      <c r="P373" s="159">
        <v>2</v>
      </c>
      <c r="Q373" s="159">
        <f t="shared" si="11"/>
        <v>548</v>
      </c>
      <c r="R373" s="159">
        <v>0</v>
      </c>
    </row>
    <row r="374" spans="1:18" ht="22.5">
      <c r="A374" s="41">
        <v>365</v>
      </c>
      <c r="B374" s="61" t="s">
        <v>490</v>
      </c>
      <c r="C374" s="159">
        <v>98</v>
      </c>
      <c r="D374" s="159">
        <v>297</v>
      </c>
      <c r="E374" s="159">
        <v>137</v>
      </c>
      <c r="F374" s="159">
        <v>1</v>
      </c>
      <c r="G374" s="159">
        <v>1</v>
      </c>
      <c r="H374" s="159">
        <v>0</v>
      </c>
      <c r="I374" s="159">
        <v>0</v>
      </c>
      <c r="J374" s="159">
        <v>0</v>
      </c>
      <c r="K374" s="159">
        <v>17</v>
      </c>
      <c r="L374" s="159">
        <v>2</v>
      </c>
      <c r="M374" s="159">
        <v>3</v>
      </c>
      <c r="N374" s="160">
        <f t="shared" si="10"/>
        <v>556</v>
      </c>
      <c r="O374" s="159">
        <v>0</v>
      </c>
      <c r="P374" s="159">
        <v>4</v>
      </c>
      <c r="Q374" s="159">
        <f t="shared" si="11"/>
        <v>560</v>
      </c>
      <c r="R374" s="159">
        <v>0</v>
      </c>
    </row>
    <row r="375" spans="1:18" ht="22.5">
      <c r="A375" s="41">
        <v>366</v>
      </c>
      <c r="B375" s="61" t="s">
        <v>491</v>
      </c>
      <c r="C375" s="159">
        <v>13</v>
      </c>
      <c r="D375" s="159">
        <v>315</v>
      </c>
      <c r="E375" s="159">
        <v>302</v>
      </c>
      <c r="F375" s="159">
        <v>5</v>
      </c>
      <c r="G375" s="159">
        <v>0</v>
      </c>
      <c r="H375" s="159">
        <v>2</v>
      </c>
      <c r="I375" s="159">
        <v>1</v>
      </c>
      <c r="J375" s="159">
        <v>1</v>
      </c>
      <c r="K375" s="159">
        <v>5</v>
      </c>
      <c r="L375" s="159">
        <v>1</v>
      </c>
      <c r="M375" s="159">
        <v>3</v>
      </c>
      <c r="N375" s="160">
        <f t="shared" si="10"/>
        <v>648</v>
      </c>
      <c r="O375" s="159">
        <v>0</v>
      </c>
      <c r="P375" s="159">
        <v>3</v>
      </c>
      <c r="Q375" s="159">
        <f t="shared" si="11"/>
        <v>651</v>
      </c>
      <c r="R375" s="159">
        <v>0</v>
      </c>
    </row>
    <row r="376" spans="1:18" ht="22.5">
      <c r="A376" s="41">
        <v>367</v>
      </c>
      <c r="B376" s="61" t="s">
        <v>492</v>
      </c>
      <c r="C376" s="159">
        <v>8</v>
      </c>
      <c r="D376" s="159">
        <v>224</v>
      </c>
      <c r="E376" s="159">
        <v>411</v>
      </c>
      <c r="F376" s="159">
        <v>7</v>
      </c>
      <c r="G376" s="159">
        <v>2</v>
      </c>
      <c r="H376" s="159">
        <v>1</v>
      </c>
      <c r="I376" s="159">
        <v>0</v>
      </c>
      <c r="J376" s="159">
        <v>1</v>
      </c>
      <c r="K376" s="159">
        <v>0</v>
      </c>
      <c r="L376" s="159">
        <v>3</v>
      </c>
      <c r="M376" s="159">
        <v>2</v>
      </c>
      <c r="N376" s="160">
        <f t="shared" si="10"/>
        <v>659</v>
      </c>
      <c r="O376" s="159">
        <v>0</v>
      </c>
      <c r="P376" s="159">
        <v>4</v>
      </c>
      <c r="Q376" s="159">
        <f t="shared" si="11"/>
        <v>663</v>
      </c>
      <c r="R376" s="159">
        <v>0</v>
      </c>
    </row>
    <row r="377" spans="1:18" ht="22.5">
      <c r="A377" s="41">
        <v>368</v>
      </c>
      <c r="B377" s="61" t="s">
        <v>493</v>
      </c>
      <c r="C377" s="159">
        <v>254</v>
      </c>
      <c r="D377" s="159">
        <v>207</v>
      </c>
      <c r="E377" s="159">
        <v>97</v>
      </c>
      <c r="F377" s="159">
        <v>1</v>
      </c>
      <c r="G377" s="159">
        <v>0</v>
      </c>
      <c r="H377" s="159">
        <v>0</v>
      </c>
      <c r="I377" s="159">
        <v>1</v>
      </c>
      <c r="J377" s="159">
        <v>0</v>
      </c>
      <c r="K377" s="159">
        <v>0</v>
      </c>
      <c r="L377" s="159">
        <v>2</v>
      </c>
      <c r="M377" s="159">
        <v>2</v>
      </c>
      <c r="N377" s="160">
        <f t="shared" si="10"/>
        <v>564</v>
      </c>
      <c r="O377" s="159">
        <v>0</v>
      </c>
      <c r="P377" s="159">
        <v>4</v>
      </c>
      <c r="Q377" s="159">
        <f t="shared" si="11"/>
        <v>568</v>
      </c>
      <c r="R377" s="159">
        <v>0</v>
      </c>
    </row>
    <row r="378" spans="1:18">
      <c r="A378" s="41">
        <v>369</v>
      </c>
      <c r="B378" s="61" t="s">
        <v>494</v>
      </c>
      <c r="C378" s="159">
        <v>203</v>
      </c>
      <c r="D378" s="159">
        <v>39</v>
      </c>
      <c r="E378" s="159">
        <v>349</v>
      </c>
      <c r="F378" s="159">
        <v>1</v>
      </c>
      <c r="G378" s="159">
        <v>0</v>
      </c>
      <c r="H378" s="159">
        <v>0</v>
      </c>
      <c r="I378" s="159">
        <v>0</v>
      </c>
      <c r="J378" s="159">
        <v>2</v>
      </c>
      <c r="K378" s="159">
        <v>1</v>
      </c>
      <c r="L378" s="159">
        <v>6</v>
      </c>
      <c r="M378" s="159">
        <v>0</v>
      </c>
      <c r="N378" s="160">
        <f t="shared" si="10"/>
        <v>601</v>
      </c>
      <c r="O378" s="159">
        <v>0</v>
      </c>
      <c r="P378" s="159">
        <v>2</v>
      </c>
      <c r="Q378" s="159">
        <f t="shared" si="11"/>
        <v>603</v>
      </c>
      <c r="R378" s="159">
        <v>0</v>
      </c>
    </row>
    <row r="379" spans="1:18" ht="22.5">
      <c r="A379" s="41">
        <v>370</v>
      </c>
      <c r="B379" s="62" t="s">
        <v>495</v>
      </c>
      <c r="C379" s="159">
        <v>156</v>
      </c>
      <c r="D379" s="159">
        <v>37</v>
      </c>
      <c r="E379" s="159">
        <v>449</v>
      </c>
      <c r="F379" s="159">
        <v>1</v>
      </c>
      <c r="G379" s="159">
        <v>1</v>
      </c>
      <c r="H379" s="159">
        <v>0</v>
      </c>
      <c r="I379" s="159">
        <v>1</v>
      </c>
      <c r="J379" s="159">
        <v>1</v>
      </c>
      <c r="K379" s="159">
        <v>0</v>
      </c>
      <c r="L379" s="159">
        <v>1</v>
      </c>
      <c r="M379" s="159">
        <v>6</v>
      </c>
      <c r="N379" s="160">
        <f t="shared" si="10"/>
        <v>653</v>
      </c>
      <c r="O379" s="159">
        <v>0</v>
      </c>
      <c r="P379" s="159">
        <v>0</v>
      </c>
      <c r="Q379" s="159">
        <f t="shared" si="11"/>
        <v>653</v>
      </c>
      <c r="R379" s="159">
        <v>0</v>
      </c>
    </row>
    <row r="380" spans="1:18" ht="22.5">
      <c r="A380" s="41">
        <v>371</v>
      </c>
      <c r="B380" s="62" t="s">
        <v>496</v>
      </c>
      <c r="C380" s="159">
        <v>54</v>
      </c>
      <c r="D380" s="159">
        <v>169</v>
      </c>
      <c r="E380" s="159">
        <v>479</v>
      </c>
      <c r="F380" s="159">
        <v>6</v>
      </c>
      <c r="G380" s="159">
        <v>0</v>
      </c>
      <c r="H380" s="159">
        <v>1</v>
      </c>
      <c r="I380" s="159">
        <v>1</v>
      </c>
      <c r="J380" s="159">
        <v>1</v>
      </c>
      <c r="K380" s="159">
        <v>2</v>
      </c>
      <c r="L380" s="159">
        <v>5</v>
      </c>
      <c r="M380" s="159">
        <v>0</v>
      </c>
      <c r="N380" s="160">
        <f t="shared" si="10"/>
        <v>718</v>
      </c>
      <c r="O380" s="159">
        <v>0</v>
      </c>
      <c r="P380" s="159">
        <v>1</v>
      </c>
      <c r="Q380" s="159">
        <f t="shared" si="11"/>
        <v>719</v>
      </c>
      <c r="R380" s="159">
        <v>0</v>
      </c>
    </row>
    <row r="381" spans="1:18" ht="22.5">
      <c r="A381" s="41">
        <v>372</v>
      </c>
      <c r="B381" s="62" t="s">
        <v>497</v>
      </c>
      <c r="C381" s="159">
        <v>238</v>
      </c>
      <c r="D381" s="159">
        <v>27</v>
      </c>
      <c r="E381" s="159">
        <v>339</v>
      </c>
      <c r="F381" s="159">
        <v>3</v>
      </c>
      <c r="G381" s="159">
        <v>0</v>
      </c>
      <c r="H381" s="159">
        <v>0</v>
      </c>
      <c r="I381" s="159">
        <v>0</v>
      </c>
      <c r="J381" s="159">
        <v>1</v>
      </c>
      <c r="K381" s="159">
        <v>0</v>
      </c>
      <c r="L381" s="159">
        <v>1</v>
      </c>
      <c r="M381" s="159">
        <v>0</v>
      </c>
      <c r="N381" s="160">
        <f t="shared" si="10"/>
        <v>609</v>
      </c>
      <c r="O381" s="159">
        <v>0</v>
      </c>
      <c r="P381" s="159">
        <v>4</v>
      </c>
      <c r="Q381" s="159">
        <f t="shared" si="11"/>
        <v>613</v>
      </c>
      <c r="R381" s="159">
        <v>0</v>
      </c>
    </row>
    <row r="382" spans="1:18">
      <c r="A382" s="41">
        <v>373</v>
      </c>
      <c r="B382" s="61" t="s">
        <v>498</v>
      </c>
      <c r="C382" s="159">
        <v>66</v>
      </c>
      <c r="D382" s="159">
        <v>134</v>
      </c>
      <c r="E382" s="159">
        <v>504</v>
      </c>
      <c r="F382" s="159">
        <v>7</v>
      </c>
      <c r="G382" s="159">
        <v>0</v>
      </c>
      <c r="H382" s="159">
        <v>0</v>
      </c>
      <c r="I382" s="159">
        <v>0</v>
      </c>
      <c r="J382" s="159">
        <v>2</v>
      </c>
      <c r="K382" s="159">
        <v>0</v>
      </c>
      <c r="L382" s="159">
        <v>2</v>
      </c>
      <c r="M382" s="159">
        <v>1</v>
      </c>
      <c r="N382" s="160">
        <f t="shared" si="10"/>
        <v>716</v>
      </c>
      <c r="O382" s="159">
        <v>0</v>
      </c>
      <c r="P382" s="159">
        <v>3</v>
      </c>
      <c r="Q382" s="159">
        <f t="shared" si="11"/>
        <v>719</v>
      </c>
      <c r="R382" s="159">
        <v>0</v>
      </c>
    </row>
    <row r="383" spans="1:18" ht="22.5">
      <c r="A383" s="41">
        <v>374</v>
      </c>
      <c r="B383" s="61" t="s">
        <v>499</v>
      </c>
      <c r="C383" s="159">
        <v>41</v>
      </c>
      <c r="D383" s="159">
        <v>126</v>
      </c>
      <c r="E383" s="159">
        <v>531</v>
      </c>
      <c r="F383" s="159">
        <v>3</v>
      </c>
      <c r="G383" s="159">
        <v>0</v>
      </c>
      <c r="H383" s="159">
        <v>0</v>
      </c>
      <c r="I383" s="159">
        <v>0</v>
      </c>
      <c r="J383" s="159">
        <v>2</v>
      </c>
      <c r="K383" s="159">
        <v>0</v>
      </c>
      <c r="L383" s="159">
        <v>1</v>
      </c>
      <c r="M383" s="159">
        <v>2</v>
      </c>
      <c r="N383" s="160">
        <f t="shared" si="10"/>
        <v>706</v>
      </c>
      <c r="O383" s="159">
        <v>0</v>
      </c>
      <c r="P383" s="159">
        <v>0</v>
      </c>
      <c r="Q383" s="159">
        <f t="shared" si="11"/>
        <v>706</v>
      </c>
      <c r="R383" s="159">
        <v>0</v>
      </c>
    </row>
    <row r="384" spans="1:18">
      <c r="A384" s="41">
        <v>375</v>
      </c>
      <c r="B384" s="61" t="s">
        <v>500</v>
      </c>
      <c r="C384" s="159">
        <v>43</v>
      </c>
      <c r="D384" s="159">
        <v>144</v>
      </c>
      <c r="E384" s="159">
        <v>312</v>
      </c>
      <c r="F384" s="159">
        <v>7</v>
      </c>
      <c r="G384" s="159">
        <v>3</v>
      </c>
      <c r="H384" s="159">
        <v>1</v>
      </c>
      <c r="I384" s="159">
        <v>0</v>
      </c>
      <c r="J384" s="159">
        <v>2</v>
      </c>
      <c r="K384" s="159">
        <v>8</v>
      </c>
      <c r="L384" s="159">
        <v>6</v>
      </c>
      <c r="M384" s="159">
        <v>2</v>
      </c>
      <c r="N384" s="160">
        <f t="shared" si="10"/>
        <v>528</v>
      </c>
      <c r="O384" s="159">
        <v>0</v>
      </c>
      <c r="P384" s="159">
        <v>4</v>
      </c>
      <c r="Q384" s="159">
        <f t="shared" si="11"/>
        <v>532</v>
      </c>
      <c r="R384" s="159">
        <v>0</v>
      </c>
    </row>
    <row r="385" spans="1:18">
      <c r="A385" s="41">
        <v>376</v>
      </c>
      <c r="B385" s="61" t="s">
        <v>501</v>
      </c>
      <c r="C385" s="159">
        <v>58</v>
      </c>
      <c r="D385" s="159">
        <v>99</v>
      </c>
      <c r="E385" s="159">
        <v>376</v>
      </c>
      <c r="F385" s="159">
        <v>1</v>
      </c>
      <c r="G385" s="159">
        <v>1</v>
      </c>
      <c r="H385" s="159">
        <v>1</v>
      </c>
      <c r="I385" s="159">
        <v>1</v>
      </c>
      <c r="J385" s="159">
        <v>10</v>
      </c>
      <c r="K385" s="159">
        <v>0</v>
      </c>
      <c r="L385" s="159">
        <v>0</v>
      </c>
      <c r="M385" s="159">
        <v>1</v>
      </c>
      <c r="N385" s="160">
        <f t="shared" si="10"/>
        <v>548</v>
      </c>
      <c r="O385" s="159">
        <v>0</v>
      </c>
      <c r="P385" s="159">
        <v>2</v>
      </c>
      <c r="Q385" s="159">
        <f t="shared" si="11"/>
        <v>550</v>
      </c>
      <c r="R385" s="159">
        <v>0</v>
      </c>
    </row>
    <row r="386" spans="1:18" ht="22.5">
      <c r="A386" s="41">
        <v>377</v>
      </c>
      <c r="B386" s="61" t="s">
        <v>502</v>
      </c>
      <c r="C386" s="159">
        <v>353</v>
      </c>
      <c r="D386" s="159">
        <v>75</v>
      </c>
      <c r="E386" s="159">
        <v>126</v>
      </c>
      <c r="F386" s="159">
        <v>4</v>
      </c>
      <c r="G386" s="159">
        <v>1</v>
      </c>
      <c r="H386" s="159">
        <v>1</v>
      </c>
      <c r="I386" s="159">
        <v>1</v>
      </c>
      <c r="J386" s="159">
        <v>0</v>
      </c>
      <c r="K386" s="159">
        <v>1</v>
      </c>
      <c r="L386" s="159">
        <v>1</v>
      </c>
      <c r="M386" s="159">
        <v>0</v>
      </c>
      <c r="N386" s="160">
        <f t="shared" si="10"/>
        <v>563</v>
      </c>
      <c r="O386" s="159">
        <v>0</v>
      </c>
      <c r="P386" s="159">
        <v>1</v>
      </c>
      <c r="Q386" s="159">
        <f t="shared" si="11"/>
        <v>564</v>
      </c>
      <c r="R386" s="159">
        <v>0</v>
      </c>
    </row>
    <row r="387" spans="1:18" ht="22.5">
      <c r="A387" s="41">
        <v>378</v>
      </c>
      <c r="B387" s="61" t="s">
        <v>503</v>
      </c>
      <c r="C387" s="159">
        <v>11</v>
      </c>
      <c r="D387" s="159">
        <v>69</v>
      </c>
      <c r="E387" s="159">
        <v>461</v>
      </c>
      <c r="F387" s="159">
        <v>10</v>
      </c>
      <c r="G387" s="159">
        <v>0</v>
      </c>
      <c r="H387" s="159">
        <v>1</v>
      </c>
      <c r="I387" s="159">
        <v>1</v>
      </c>
      <c r="J387" s="159">
        <v>1</v>
      </c>
      <c r="K387" s="159">
        <v>1</v>
      </c>
      <c r="L387" s="159">
        <v>0</v>
      </c>
      <c r="M387" s="159">
        <v>0</v>
      </c>
      <c r="N387" s="160">
        <f t="shared" si="10"/>
        <v>555</v>
      </c>
      <c r="O387" s="159">
        <v>0</v>
      </c>
      <c r="P387" s="159">
        <v>2</v>
      </c>
      <c r="Q387" s="159">
        <f t="shared" si="11"/>
        <v>557</v>
      </c>
      <c r="R387" s="159">
        <v>0</v>
      </c>
    </row>
    <row r="388" spans="1:18">
      <c r="A388" s="41">
        <v>379</v>
      </c>
      <c r="B388" s="61" t="s">
        <v>504</v>
      </c>
      <c r="C388" s="159">
        <v>246</v>
      </c>
      <c r="D388" s="159">
        <v>32</v>
      </c>
      <c r="E388" s="159">
        <v>419</v>
      </c>
      <c r="F388" s="159">
        <v>7</v>
      </c>
      <c r="G388" s="159">
        <v>1</v>
      </c>
      <c r="H388" s="159">
        <v>0</v>
      </c>
      <c r="I388" s="159">
        <v>0</v>
      </c>
      <c r="J388" s="159">
        <v>4</v>
      </c>
      <c r="K388" s="159">
        <v>2</v>
      </c>
      <c r="L388" s="159">
        <v>0</v>
      </c>
      <c r="M388" s="159">
        <v>1</v>
      </c>
      <c r="N388" s="160">
        <f t="shared" si="10"/>
        <v>712</v>
      </c>
      <c r="O388" s="159">
        <v>0</v>
      </c>
      <c r="P388" s="159">
        <v>5</v>
      </c>
      <c r="Q388" s="159">
        <f t="shared" si="11"/>
        <v>717</v>
      </c>
      <c r="R388" s="159">
        <v>0</v>
      </c>
    </row>
    <row r="389" spans="1:18">
      <c r="A389" s="41">
        <v>380</v>
      </c>
      <c r="B389" s="61" t="s">
        <v>505</v>
      </c>
      <c r="C389" s="159">
        <v>3</v>
      </c>
      <c r="D389" s="159">
        <v>14</v>
      </c>
      <c r="E389" s="159">
        <v>406</v>
      </c>
      <c r="F389" s="159">
        <v>2</v>
      </c>
      <c r="G389" s="159">
        <v>0</v>
      </c>
      <c r="H389" s="159">
        <v>0</v>
      </c>
      <c r="I389" s="159">
        <v>0</v>
      </c>
      <c r="J389" s="159">
        <v>0</v>
      </c>
      <c r="K389" s="159">
        <v>0</v>
      </c>
      <c r="L389" s="159">
        <v>2</v>
      </c>
      <c r="M389" s="159">
        <v>0</v>
      </c>
      <c r="N389" s="160">
        <f t="shared" si="10"/>
        <v>427</v>
      </c>
      <c r="O389" s="159">
        <v>0</v>
      </c>
      <c r="P389" s="159">
        <v>0</v>
      </c>
      <c r="Q389" s="159">
        <f t="shared" si="11"/>
        <v>427</v>
      </c>
      <c r="R389" s="159">
        <v>0</v>
      </c>
    </row>
    <row r="390" spans="1:18">
      <c r="A390" s="41">
        <v>381</v>
      </c>
      <c r="B390" s="61" t="s">
        <v>506</v>
      </c>
      <c r="C390" s="159">
        <v>40</v>
      </c>
      <c r="D390" s="159">
        <v>45</v>
      </c>
      <c r="E390" s="159">
        <v>426</v>
      </c>
      <c r="F390" s="159">
        <v>5</v>
      </c>
      <c r="G390" s="159">
        <v>0</v>
      </c>
      <c r="H390" s="159">
        <v>0</v>
      </c>
      <c r="I390" s="159">
        <v>0</v>
      </c>
      <c r="J390" s="159">
        <v>0</v>
      </c>
      <c r="K390" s="159">
        <v>1</v>
      </c>
      <c r="L390" s="159">
        <v>2</v>
      </c>
      <c r="M390" s="159">
        <v>0</v>
      </c>
      <c r="N390" s="160">
        <f t="shared" si="10"/>
        <v>519</v>
      </c>
      <c r="O390" s="159">
        <v>0</v>
      </c>
      <c r="P390" s="159">
        <v>1</v>
      </c>
      <c r="Q390" s="159">
        <f t="shared" si="11"/>
        <v>520</v>
      </c>
      <c r="R390" s="159">
        <v>0</v>
      </c>
    </row>
    <row r="391" spans="1:18">
      <c r="A391" s="41">
        <v>382</v>
      </c>
      <c r="B391" s="61" t="s">
        <v>507</v>
      </c>
      <c r="C391" s="159">
        <v>78</v>
      </c>
      <c r="D391" s="159">
        <v>115</v>
      </c>
      <c r="E391" s="159">
        <v>487</v>
      </c>
      <c r="F391" s="159">
        <v>4</v>
      </c>
      <c r="G391" s="159">
        <v>0</v>
      </c>
      <c r="H391" s="159">
        <v>1</v>
      </c>
      <c r="I391" s="159">
        <v>1</v>
      </c>
      <c r="J391" s="159">
        <v>3</v>
      </c>
      <c r="K391" s="159">
        <v>0</v>
      </c>
      <c r="L391" s="159">
        <v>6</v>
      </c>
      <c r="M391" s="159">
        <v>2</v>
      </c>
      <c r="N391" s="160">
        <f t="shared" si="10"/>
        <v>697</v>
      </c>
      <c r="O391" s="159">
        <v>0</v>
      </c>
      <c r="P391" s="159">
        <v>1</v>
      </c>
      <c r="Q391" s="159">
        <f t="shared" si="11"/>
        <v>698</v>
      </c>
      <c r="R391" s="159">
        <v>0</v>
      </c>
    </row>
    <row r="392" spans="1:18" ht="22.5">
      <c r="A392" s="41">
        <v>383</v>
      </c>
      <c r="B392" s="61" t="s">
        <v>508</v>
      </c>
      <c r="C392" s="159">
        <v>8</v>
      </c>
      <c r="D392" s="159">
        <v>93</v>
      </c>
      <c r="E392" s="159">
        <v>682</v>
      </c>
      <c r="F392" s="159">
        <v>11</v>
      </c>
      <c r="G392" s="159">
        <v>0</v>
      </c>
      <c r="H392" s="159">
        <v>1</v>
      </c>
      <c r="I392" s="159">
        <v>1</v>
      </c>
      <c r="J392" s="159">
        <v>0</v>
      </c>
      <c r="K392" s="159">
        <v>0</v>
      </c>
      <c r="L392" s="159">
        <v>3</v>
      </c>
      <c r="M392" s="159">
        <v>0</v>
      </c>
      <c r="N392" s="160">
        <f t="shared" si="10"/>
        <v>799</v>
      </c>
      <c r="O392" s="159">
        <v>0</v>
      </c>
      <c r="P392" s="159">
        <v>1</v>
      </c>
      <c r="Q392" s="159">
        <f t="shared" si="11"/>
        <v>800</v>
      </c>
      <c r="R392" s="159">
        <v>0</v>
      </c>
    </row>
    <row r="393" spans="1:18" ht="22.5">
      <c r="A393" s="41">
        <v>384</v>
      </c>
      <c r="B393" s="61" t="s">
        <v>509</v>
      </c>
      <c r="C393" s="159">
        <v>193</v>
      </c>
      <c r="D393" s="159">
        <v>194</v>
      </c>
      <c r="E393" s="159">
        <v>367</v>
      </c>
      <c r="F393" s="159">
        <v>6</v>
      </c>
      <c r="G393" s="159">
        <v>1</v>
      </c>
      <c r="H393" s="159">
        <v>1</v>
      </c>
      <c r="I393" s="159">
        <v>0</v>
      </c>
      <c r="J393" s="159">
        <v>1</v>
      </c>
      <c r="K393" s="159">
        <v>0</v>
      </c>
      <c r="L393" s="159">
        <v>1</v>
      </c>
      <c r="M393" s="159">
        <v>1</v>
      </c>
      <c r="N393" s="160">
        <f t="shared" si="10"/>
        <v>765</v>
      </c>
      <c r="O393" s="159">
        <v>0</v>
      </c>
      <c r="P393" s="159">
        <v>3</v>
      </c>
      <c r="Q393" s="159">
        <f t="shared" si="11"/>
        <v>768</v>
      </c>
      <c r="R393" s="159">
        <v>0</v>
      </c>
    </row>
    <row r="394" spans="1:18" ht="22.5">
      <c r="A394" s="41">
        <v>385</v>
      </c>
      <c r="B394" s="61" t="s">
        <v>510</v>
      </c>
      <c r="C394" s="159">
        <v>57</v>
      </c>
      <c r="D394" s="159">
        <v>42</v>
      </c>
      <c r="E394" s="159">
        <v>743</v>
      </c>
      <c r="F394" s="159">
        <v>7</v>
      </c>
      <c r="G394" s="159">
        <v>0</v>
      </c>
      <c r="H394" s="159">
        <v>0</v>
      </c>
      <c r="I394" s="159">
        <v>0</v>
      </c>
      <c r="J394" s="159">
        <v>1</v>
      </c>
      <c r="K394" s="159">
        <v>0</v>
      </c>
      <c r="L394" s="159">
        <v>7</v>
      </c>
      <c r="M394" s="159">
        <v>0</v>
      </c>
      <c r="N394" s="160">
        <f t="shared" si="10"/>
        <v>857</v>
      </c>
      <c r="O394" s="159">
        <v>0</v>
      </c>
      <c r="P394" s="159">
        <v>0</v>
      </c>
      <c r="Q394" s="159">
        <f t="shared" si="11"/>
        <v>857</v>
      </c>
      <c r="R394" s="159">
        <v>0</v>
      </c>
    </row>
    <row r="395" spans="1:18">
      <c r="A395" s="41">
        <v>386</v>
      </c>
      <c r="B395" s="61" t="s">
        <v>511</v>
      </c>
      <c r="C395" s="159">
        <v>58</v>
      </c>
      <c r="D395" s="159">
        <v>70</v>
      </c>
      <c r="E395" s="159">
        <v>294</v>
      </c>
      <c r="F395" s="159">
        <v>1</v>
      </c>
      <c r="G395" s="159">
        <v>0</v>
      </c>
      <c r="H395" s="159">
        <v>2</v>
      </c>
      <c r="I395" s="159">
        <v>0</v>
      </c>
      <c r="J395" s="159">
        <v>0</v>
      </c>
      <c r="K395" s="159">
        <v>1</v>
      </c>
      <c r="L395" s="159">
        <v>3</v>
      </c>
      <c r="M395" s="159">
        <v>0</v>
      </c>
      <c r="N395" s="160">
        <f t="shared" ref="N395:N458" si="12">SUM(C395:M395)</f>
        <v>429</v>
      </c>
      <c r="O395" s="159">
        <v>0</v>
      </c>
      <c r="P395" s="159">
        <v>2</v>
      </c>
      <c r="Q395" s="159">
        <f t="shared" ref="Q395:Q458" si="13">N395+P395-O395</f>
        <v>431</v>
      </c>
      <c r="R395" s="159">
        <v>0</v>
      </c>
    </row>
    <row r="396" spans="1:18">
      <c r="A396" s="41">
        <v>387</v>
      </c>
      <c r="B396" s="61" t="s">
        <v>512</v>
      </c>
      <c r="C396" s="159">
        <v>465</v>
      </c>
      <c r="D396" s="159">
        <v>14</v>
      </c>
      <c r="E396" s="159">
        <v>235</v>
      </c>
      <c r="F396" s="159">
        <v>3</v>
      </c>
      <c r="G396" s="159">
        <v>1</v>
      </c>
      <c r="H396" s="159">
        <v>0</v>
      </c>
      <c r="I396" s="159">
        <v>1</v>
      </c>
      <c r="J396" s="159">
        <v>0</v>
      </c>
      <c r="K396" s="159">
        <v>1</v>
      </c>
      <c r="L396" s="159">
        <v>1</v>
      </c>
      <c r="M396" s="159">
        <v>3</v>
      </c>
      <c r="N396" s="160">
        <f t="shared" si="12"/>
        <v>724</v>
      </c>
      <c r="O396" s="159">
        <v>0</v>
      </c>
      <c r="P396" s="159">
        <v>4</v>
      </c>
      <c r="Q396" s="159">
        <f t="shared" si="13"/>
        <v>728</v>
      </c>
      <c r="R396" s="159">
        <v>0</v>
      </c>
    </row>
    <row r="397" spans="1:18">
      <c r="A397" s="41">
        <v>388</v>
      </c>
      <c r="B397" s="61" t="s">
        <v>513</v>
      </c>
      <c r="C397" s="159">
        <v>171</v>
      </c>
      <c r="D397" s="159">
        <v>101</v>
      </c>
      <c r="E397" s="159">
        <v>574</v>
      </c>
      <c r="F397" s="159">
        <v>5</v>
      </c>
      <c r="G397" s="159">
        <v>0</v>
      </c>
      <c r="H397" s="159">
        <v>1</v>
      </c>
      <c r="I397" s="159">
        <v>0</v>
      </c>
      <c r="J397" s="159">
        <v>0</v>
      </c>
      <c r="K397" s="159">
        <v>0</v>
      </c>
      <c r="L397" s="159">
        <v>1</v>
      </c>
      <c r="M397" s="159">
        <v>1</v>
      </c>
      <c r="N397" s="160">
        <f t="shared" si="12"/>
        <v>854</v>
      </c>
      <c r="O397" s="159">
        <v>0</v>
      </c>
      <c r="P397" s="159">
        <v>4</v>
      </c>
      <c r="Q397" s="159">
        <f t="shared" si="13"/>
        <v>858</v>
      </c>
      <c r="R397" s="159">
        <v>0</v>
      </c>
    </row>
    <row r="398" spans="1:18">
      <c r="A398" s="41">
        <v>389</v>
      </c>
      <c r="B398" s="61" t="s">
        <v>514</v>
      </c>
      <c r="C398" s="159">
        <v>35</v>
      </c>
      <c r="D398" s="159">
        <v>166</v>
      </c>
      <c r="E398" s="159">
        <v>539</v>
      </c>
      <c r="F398" s="159">
        <v>12</v>
      </c>
      <c r="G398" s="159">
        <v>1</v>
      </c>
      <c r="H398" s="159">
        <v>1</v>
      </c>
      <c r="I398" s="159">
        <v>2</v>
      </c>
      <c r="J398" s="159">
        <v>1</v>
      </c>
      <c r="K398" s="159">
        <v>0</v>
      </c>
      <c r="L398" s="159">
        <v>10</v>
      </c>
      <c r="M398" s="159">
        <v>5</v>
      </c>
      <c r="N398" s="160">
        <f t="shared" si="12"/>
        <v>772</v>
      </c>
      <c r="O398" s="159">
        <v>0</v>
      </c>
      <c r="P398" s="159">
        <v>5</v>
      </c>
      <c r="Q398" s="159">
        <f t="shared" si="13"/>
        <v>777</v>
      </c>
      <c r="R398" s="159">
        <v>0</v>
      </c>
    </row>
    <row r="399" spans="1:18">
      <c r="A399" s="41">
        <v>390</v>
      </c>
      <c r="B399" s="61" t="s">
        <v>515</v>
      </c>
      <c r="C399" s="159">
        <v>8</v>
      </c>
      <c r="D399" s="159">
        <v>81</v>
      </c>
      <c r="E399" s="159">
        <v>382</v>
      </c>
      <c r="F399" s="159">
        <v>3</v>
      </c>
      <c r="G399" s="159">
        <v>0</v>
      </c>
      <c r="H399" s="159">
        <v>0</v>
      </c>
      <c r="I399" s="159">
        <v>0</v>
      </c>
      <c r="J399" s="159">
        <v>1</v>
      </c>
      <c r="K399" s="159">
        <v>0</v>
      </c>
      <c r="L399" s="159">
        <v>4</v>
      </c>
      <c r="M399" s="159">
        <v>0</v>
      </c>
      <c r="N399" s="160">
        <f t="shared" si="12"/>
        <v>479</v>
      </c>
      <c r="O399" s="159">
        <v>0</v>
      </c>
      <c r="P399" s="159">
        <v>1</v>
      </c>
      <c r="Q399" s="159">
        <f t="shared" si="13"/>
        <v>480</v>
      </c>
      <c r="R399" s="159">
        <v>0</v>
      </c>
    </row>
    <row r="400" spans="1:18">
      <c r="A400" s="41">
        <v>391</v>
      </c>
      <c r="B400" s="61" t="s">
        <v>516</v>
      </c>
      <c r="C400" s="159">
        <v>54</v>
      </c>
      <c r="D400" s="159">
        <v>79</v>
      </c>
      <c r="E400" s="159">
        <v>455</v>
      </c>
      <c r="F400" s="159">
        <v>1</v>
      </c>
      <c r="G400" s="159">
        <v>1</v>
      </c>
      <c r="H400" s="159">
        <v>0</v>
      </c>
      <c r="I400" s="159">
        <v>0</v>
      </c>
      <c r="J400" s="159">
        <v>2</v>
      </c>
      <c r="K400" s="159">
        <v>0</v>
      </c>
      <c r="L400" s="159">
        <v>4</v>
      </c>
      <c r="M400" s="159">
        <v>1</v>
      </c>
      <c r="N400" s="160">
        <f t="shared" si="12"/>
        <v>597</v>
      </c>
      <c r="O400" s="159">
        <v>0</v>
      </c>
      <c r="P400" s="159">
        <v>3</v>
      </c>
      <c r="Q400" s="159">
        <f t="shared" si="13"/>
        <v>600</v>
      </c>
      <c r="R400" s="159">
        <v>0</v>
      </c>
    </row>
    <row r="401" spans="1:18" ht="22.5">
      <c r="A401" s="41">
        <v>392</v>
      </c>
      <c r="B401" s="61" t="s">
        <v>517</v>
      </c>
      <c r="C401" s="159">
        <v>160</v>
      </c>
      <c r="D401" s="159">
        <v>11</v>
      </c>
      <c r="E401" s="159">
        <v>223</v>
      </c>
      <c r="F401" s="159">
        <v>3</v>
      </c>
      <c r="G401" s="159">
        <v>0</v>
      </c>
      <c r="H401" s="159">
        <v>0</v>
      </c>
      <c r="I401" s="159">
        <v>0</v>
      </c>
      <c r="J401" s="159">
        <v>0</v>
      </c>
      <c r="K401" s="159">
        <v>0</v>
      </c>
      <c r="L401" s="159">
        <v>2</v>
      </c>
      <c r="M401" s="159">
        <v>0</v>
      </c>
      <c r="N401" s="160">
        <f t="shared" si="12"/>
        <v>399</v>
      </c>
      <c r="O401" s="159">
        <v>0</v>
      </c>
      <c r="P401" s="159">
        <v>4</v>
      </c>
      <c r="Q401" s="159">
        <f t="shared" si="13"/>
        <v>403</v>
      </c>
      <c r="R401" s="159">
        <v>0</v>
      </c>
    </row>
    <row r="402" spans="1:18">
      <c r="A402" s="41">
        <v>393</v>
      </c>
      <c r="B402" s="61" t="s">
        <v>518</v>
      </c>
      <c r="C402" s="159">
        <v>215</v>
      </c>
      <c r="D402" s="159">
        <v>81</v>
      </c>
      <c r="E402" s="159">
        <v>241</v>
      </c>
      <c r="F402" s="159">
        <v>2</v>
      </c>
      <c r="G402" s="159">
        <v>0</v>
      </c>
      <c r="H402" s="159">
        <v>0</v>
      </c>
      <c r="I402" s="159">
        <v>0</v>
      </c>
      <c r="J402" s="159">
        <v>1</v>
      </c>
      <c r="K402" s="159">
        <v>0</v>
      </c>
      <c r="L402" s="159">
        <v>8</v>
      </c>
      <c r="M402" s="159">
        <v>1</v>
      </c>
      <c r="N402" s="160">
        <f t="shared" si="12"/>
        <v>549</v>
      </c>
      <c r="O402" s="159">
        <v>0</v>
      </c>
      <c r="P402" s="159">
        <v>2</v>
      </c>
      <c r="Q402" s="159">
        <f t="shared" si="13"/>
        <v>551</v>
      </c>
      <c r="R402" s="159">
        <v>0</v>
      </c>
    </row>
    <row r="403" spans="1:18" ht="22.5">
      <c r="A403" s="41">
        <v>394</v>
      </c>
      <c r="B403" s="61" t="s">
        <v>519</v>
      </c>
      <c r="C403" s="159">
        <v>89</v>
      </c>
      <c r="D403" s="159">
        <v>131</v>
      </c>
      <c r="E403" s="159">
        <v>464</v>
      </c>
      <c r="F403" s="159">
        <v>5</v>
      </c>
      <c r="G403" s="159">
        <v>2</v>
      </c>
      <c r="H403" s="159">
        <v>0</v>
      </c>
      <c r="I403" s="159">
        <v>0</v>
      </c>
      <c r="J403" s="159">
        <v>4</v>
      </c>
      <c r="K403" s="159">
        <v>0</v>
      </c>
      <c r="L403" s="159">
        <v>2</v>
      </c>
      <c r="M403" s="159">
        <v>1</v>
      </c>
      <c r="N403" s="160">
        <f t="shared" si="12"/>
        <v>698</v>
      </c>
      <c r="O403" s="159">
        <v>0</v>
      </c>
      <c r="P403" s="159">
        <v>4</v>
      </c>
      <c r="Q403" s="159">
        <f t="shared" si="13"/>
        <v>702</v>
      </c>
      <c r="R403" s="159">
        <v>0</v>
      </c>
    </row>
    <row r="404" spans="1:18" ht="22.5">
      <c r="A404" s="41">
        <v>395</v>
      </c>
      <c r="B404" s="61" t="s">
        <v>520</v>
      </c>
      <c r="C404" s="159">
        <v>71</v>
      </c>
      <c r="D404" s="159">
        <v>280</v>
      </c>
      <c r="E404" s="159">
        <v>280</v>
      </c>
      <c r="F404" s="159">
        <v>5</v>
      </c>
      <c r="G404" s="159">
        <v>1</v>
      </c>
      <c r="H404" s="159">
        <v>1</v>
      </c>
      <c r="I404" s="159">
        <v>1</v>
      </c>
      <c r="J404" s="159">
        <v>2</v>
      </c>
      <c r="K404" s="159">
        <v>9</v>
      </c>
      <c r="L404" s="159">
        <v>2</v>
      </c>
      <c r="M404" s="159">
        <v>2</v>
      </c>
      <c r="N404" s="160">
        <f t="shared" si="12"/>
        <v>654</v>
      </c>
      <c r="O404" s="159">
        <v>0</v>
      </c>
      <c r="P404" s="159">
        <v>5</v>
      </c>
      <c r="Q404" s="159">
        <f t="shared" si="13"/>
        <v>659</v>
      </c>
      <c r="R404" s="159">
        <v>0</v>
      </c>
    </row>
    <row r="405" spans="1:18" ht="22.5">
      <c r="A405" s="41">
        <v>396</v>
      </c>
      <c r="B405" s="61" t="s">
        <v>521</v>
      </c>
      <c r="C405" s="159">
        <v>47</v>
      </c>
      <c r="D405" s="159">
        <v>59</v>
      </c>
      <c r="E405" s="159">
        <v>344</v>
      </c>
      <c r="F405" s="159">
        <v>3</v>
      </c>
      <c r="G405" s="159">
        <v>0</v>
      </c>
      <c r="H405" s="159">
        <v>0</v>
      </c>
      <c r="I405" s="159">
        <v>1</v>
      </c>
      <c r="J405" s="159">
        <v>0</v>
      </c>
      <c r="K405" s="159">
        <v>0</v>
      </c>
      <c r="L405" s="159">
        <v>8</v>
      </c>
      <c r="M405" s="159">
        <v>0</v>
      </c>
      <c r="N405" s="160">
        <f t="shared" si="12"/>
        <v>462</v>
      </c>
      <c r="O405" s="159">
        <v>0</v>
      </c>
      <c r="P405" s="159">
        <v>3</v>
      </c>
      <c r="Q405" s="159">
        <f t="shared" si="13"/>
        <v>465</v>
      </c>
      <c r="R405" s="159">
        <v>0</v>
      </c>
    </row>
    <row r="406" spans="1:18" ht="22.5">
      <c r="A406" s="41">
        <v>397</v>
      </c>
      <c r="B406" s="61" t="s">
        <v>522</v>
      </c>
      <c r="C406" s="159">
        <v>1</v>
      </c>
      <c r="D406" s="159">
        <v>3</v>
      </c>
      <c r="E406" s="159">
        <v>558</v>
      </c>
      <c r="F406" s="159">
        <v>1</v>
      </c>
      <c r="G406" s="159">
        <v>1</v>
      </c>
      <c r="H406" s="159">
        <v>0</v>
      </c>
      <c r="I406" s="159">
        <v>0</v>
      </c>
      <c r="J406" s="159">
        <v>0</v>
      </c>
      <c r="K406" s="159">
        <v>1</v>
      </c>
      <c r="L406" s="159">
        <v>6</v>
      </c>
      <c r="M406" s="159">
        <v>2</v>
      </c>
      <c r="N406" s="160">
        <f t="shared" si="12"/>
        <v>573</v>
      </c>
      <c r="O406" s="159">
        <v>0</v>
      </c>
      <c r="P406" s="159">
        <v>1</v>
      </c>
      <c r="Q406" s="159">
        <f t="shared" si="13"/>
        <v>574</v>
      </c>
      <c r="R406" s="159">
        <v>0</v>
      </c>
    </row>
    <row r="407" spans="1:18" ht="22.5">
      <c r="A407" s="41">
        <v>398</v>
      </c>
      <c r="B407" s="61" t="s">
        <v>523</v>
      </c>
      <c r="C407" s="159">
        <v>5</v>
      </c>
      <c r="D407" s="159">
        <v>34</v>
      </c>
      <c r="E407" s="159">
        <v>466</v>
      </c>
      <c r="F407" s="159">
        <v>6</v>
      </c>
      <c r="G407" s="159">
        <v>0</v>
      </c>
      <c r="H407" s="159">
        <v>0</v>
      </c>
      <c r="I407" s="159">
        <v>1</v>
      </c>
      <c r="J407" s="159">
        <v>0</v>
      </c>
      <c r="K407" s="159">
        <v>1</v>
      </c>
      <c r="L407" s="159">
        <v>20</v>
      </c>
      <c r="M407" s="159">
        <v>0</v>
      </c>
      <c r="N407" s="160">
        <f t="shared" si="12"/>
        <v>533</v>
      </c>
      <c r="O407" s="159">
        <v>0</v>
      </c>
      <c r="P407" s="159">
        <v>3</v>
      </c>
      <c r="Q407" s="159">
        <f t="shared" si="13"/>
        <v>536</v>
      </c>
      <c r="R407" s="159">
        <v>0</v>
      </c>
    </row>
    <row r="408" spans="1:18" ht="22.5">
      <c r="A408" s="41">
        <v>399</v>
      </c>
      <c r="B408" s="61" t="s">
        <v>524</v>
      </c>
      <c r="C408" s="159">
        <v>6</v>
      </c>
      <c r="D408" s="159">
        <v>226</v>
      </c>
      <c r="E408" s="159">
        <v>232</v>
      </c>
      <c r="F408" s="159">
        <v>6</v>
      </c>
      <c r="G408" s="159">
        <v>0</v>
      </c>
      <c r="H408" s="159">
        <v>0</v>
      </c>
      <c r="I408" s="159">
        <v>0</v>
      </c>
      <c r="J408" s="159">
        <v>0</v>
      </c>
      <c r="K408" s="159">
        <v>3</v>
      </c>
      <c r="L408" s="159">
        <v>4</v>
      </c>
      <c r="M408" s="159">
        <v>0</v>
      </c>
      <c r="N408" s="160">
        <f t="shared" si="12"/>
        <v>477</v>
      </c>
      <c r="O408" s="159">
        <v>0</v>
      </c>
      <c r="P408" s="159">
        <v>4</v>
      </c>
      <c r="Q408" s="159">
        <f t="shared" si="13"/>
        <v>481</v>
      </c>
      <c r="R408" s="159">
        <v>0</v>
      </c>
    </row>
    <row r="409" spans="1:18">
      <c r="A409" s="41">
        <v>400</v>
      </c>
      <c r="B409" s="61" t="s">
        <v>525</v>
      </c>
      <c r="C409" s="159">
        <v>8</v>
      </c>
      <c r="D409" s="159">
        <v>353</v>
      </c>
      <c r="E409" s="159">
        <v>156</v>
      </c>
      <c r="F409" s="159">
        <v>6</v>
      </c>
      <c r="G409" s="159">
        <v>1</v>
      </c>
      <c r="H409" s="159">
        <v>0</v>
      </c>
      <c r="I409" s="159">
        <v>0</v>
      </c>
      <c r="J409" s="159">
        <v>0</v>
      </c>
      <c r="K409" s="159">
        <v>3</v>
      </c>
      <c r="L409" s="159">
        <v>1</v>
      </c>
      <c r="M409" s="159">
        <v>0</v>
      </c>
      <c r="N409" s="160">
        <f t="shared" si="12"/>
        <v>528</v>
      </c>
      <c r="O409" s="159">
        <v>0</v>
      </c>
      <c r="P409" s="159">
        <v>2</v>
      </c>
      <c r="Q409" s="159">
        <f t="shared" si="13"/>
        <v>530</v>
      </c>
      <c r="R409" s="159">
        <v>0</v>
      </c>
    </row>
    <row r="410" spans="1:18">
      <c r="A410" s="41">
        <v>401</v>
      </c>
      <c r="B410" s="61" t="s">
        <v>526</v>
      </c>
      <c r="C410" s="159">
        <v>6</v>
      </c>
      <c r="D410" s="159">
        <v>511</v>
      </c>
      <c r="E410" s="159">
        <v>6</v>
      </c>
      <c r="F410" s="159">
        <v>1</v>
      </c>
      <c r="G410" s="159">
        <v>0</v>
      </c>
      <c r="H410" s="159">
        <v>0</v>
      </c>
      <c r="I410" s="159">
        <v>1</v>
      </c>
      <c r="J410" s="159">
        <v>0</v>
      </c>
      <c r="K410" s="159">
        <v>11</v>
      </c>
      <c r="L410" s="159">
        <v>1</v>
      </c>
      <c r="M410" s="159">
        <v>0</v>
      </c>
      <c r="N410" s="160">
        <f t="shared" si="12"/>
        <v>537</v>
      </c>
      <c r="O410" s="159">
        <v>0</v>
      </c>
      <c r="P410" s="159">
        <v>2</v>
      </c>
      <c r="Q410" s="159">
        <f t="shared" si="13"/>
        <v>539</v>
      </c>
      <c r="R410" s="159">
        <v>0</v>
      </c>
    </row>
    <row r="411" spans="1:18">
      <c r="A411" s="41">
        <v>402</v>
      </c>
      <c r="B411" s="61" t="s">
        <v>527</v>
      </c>
      <c r="C411" s="159">
        <v>7</v>
      </c>
      <c r="D411" s="159">
        <v>226</v>
      </c>
      <c r="E411" s="159">
        <v>204</v>
      </c>
      <c r="F411" s="159">
        <v>2</v>
      </c>
      <c r="G411" s="159">
        <v>1</v>
      </c>
      <c r="H411" s="159">
        <v>0</v>
      </c>
      <c r="I411" s="159">
        <v>0</v>
      </c>
      <c r="J411" s="159">
        <v>0</v>
      </c>
      <c r="K411" s="159">
        <v>2</v>
      </c>
      <c r="L411" s="159">
        <v>2</v>
      </c>
      <c r="M411" s="159">
        <v>3</v>
      </c>
      <c r="N411" s="160">
        <f t="shared" si="12"/>
        <v>447</v>
      </c>
      <c r="O411" s="159">
        <v>0</v>
      </c>
      <c r="P411" s="159">
        <v>5</v>
      </c>
      <c r="Q411" s="159">
        <f t="shared" si="13"/>
        <v>452</v>
      </c>
      <c r="R411" s="159">
        <v>0</v>
      </c>
    </row>
    <row r="412" spans="1:18" ht="22.5">
      <c r="A412" s="41">
        <v>403</v>
      </c>
      <c r="B412" s="61" t="s">
        <v>528</v>
      </c>
      <c r="C412" s="159">
        <v>200</v>
      </c>
      <c r="D412" s="159">
        <v>81</v>
      </c>
      <c r="E412" s="159">
        <v>139</v>
      </c>
      <c r="F412" s="159">
        <v>3</v>
      </c>
      <c r="G412" s="159">
        <v>0</v>
      </c>
      <c r="H412" s="159">
        <v>1</v>
      </c>
      <c r="I412" s="159">
        <v>0</v>
      </c>
      <c r="J412" s="159">
        <v>1</v>
      </c>
      <c r="K412" s="159">
        <v>1</v>
      </c>
      <c r="L412" s="159">
        <v>1</v>
      </c>
      <c r="M412" s="159">
        <v>0</v>
      </c>
      <c r="N412" s="160">
        <f t="shared" si="12"/>
        <v>427</v>
      </c>
      <c r="O412" s="159">
        <v>0</v>
      </c>
      <c r="P412" s="159">
        <v>3</v>
      </c>
      <c r="Q412" s="159">
        <f t="shared" si="13"/>
        <v>430</v>
      </c>
      <c r="R412" s="159">
        <v>0</v>
      </c>
    </row>
    <row r="413" spans="1:18" ht="22.5">
      <c r="A413" s="41">
        <v>404</v>
      </c>
      <c r="B413" s="61" t="s">
        <v>529</v>
      </c>
      <c r="C413" s="159">
        <v>2</v>
      </c>
      <c r="D413" s="159">
        <v>22</v>
      </c>
      <c r="E413" s="159">
        <v>487</v>
      </c>
      <c r="F413" s="159">
        <v>6</v>
      </c>
      <c r="G413" s="159">
        <v>0</v>
      </c>
      <c r="H413" s="159">
        <v>0</v>
      </c>
      <c r="I413" s="159">
        <v>0</v>
      </c>
      <c r="J413" s="159">
        <v>0</v>
      </c>
      <c r="K413" s="159">
        <v>0</v>
      </c>
      <c r="L413" s="159">
        <v>1</v>
      </c>
      <c r="M413" s="159">
        <v>0</v>
      </c>
      <c r="N413" s="160">
        <f t="shared" si="12"/>
        <v>518</v>
      </c>
      <c r="O413" s="159">
        <v>0</v>
      </c>
      <c r="P413" s="159">
        <v>1</v>
      </c>
      <c r="Q413" s="159">
        <f t="shared" si="13"/>
        <v>519</v>
      </c>
      <c r="R413" s="159">
        <v>0</v>
      </c>
    </row>
    <row r="414" spans="1:18">
      <c r="A414" s="41">
        <v>405</v>
      </c>
      <c r="B414" s="61" t="s">
        <v>530</v>
      </c>
      <c r="C414" s="159">
        <v>0</v>
      </c>
      <c r="D414" s="159">
        <v>69</v>
      </c>
      <c r="E414" s="159">
        <v>258</v>
      </c>
      <c r="F414" s="159">
        <v>2</v>
      </c>
      <c r="G414" s="159">
        <v>0</v>
      </c>
      <c r="H414" s="159">
        <v>0</v>
      </c>
      <c r="I414" s="159">
        <v>0</v>
      </c>
      <c r="J414" s="159">
        <v>0</v>
      </c>
      <c r="K414" s="159">
        <v>0</v>
      </c>
      <c r="L414" s="159">
        <v>1</v>
      </c>
      <c r="M414" s="159">
        <v>0</v>
      </c>
      <c r="N414" s="160">
        <f t="shared" si="12"/>
        <v>330</v>
      </c>
      <c r="O414" s="159">
        <v>0</v>
      </c>
      <c r="P414" s="159">
        <v>1</v>
      </c>
      <c r="Q414" s="159">
        <f t="shared" si="13"/>
        <v>331</v>
      </c>
      <c r="R414" s="159">
        <v>0</v>
      </c>
    </row>
    <row r="415" spans="1:18">
      <c r="A415" s="41">
        <v>406</v>
      </c>
      <c r="B415" s="61" t="s">
        <v>531</v>
      </c>
      <c r="C415" s="159">
        <v>36</v>
      </c>
      <c r="D415" s="159">
        <v>13</v>
      </c>
      <c r="E415" s="159">
        <v>648</v>
      </c>
      <c r="F415" s="159">
        <v>3</v>
      </c>
      <c r="G415" s="159">
        <v>0</v>
      </c>
      <c r="H415" s="159">
        <v>0</v>
      </c>
      <c r="I415" s="159">
        <v>0</v>
      </c>
      <c r="J415" s="159">
        <v>1</v>
      </c>
      <c r="K415" s="159">
        <v>0</v>
      </c>
      <c r="L415" s="159">
        <v>1</v>
      </c>
      <c r="M415" s="159">
        <v>0</v>
      </c>
      <c r="N415" s="160">
        <f t="shared" si="12"/>
        <v>702</v>
      </c>
      <c r="O415" s="159">
        <v>0</v>
      </c>
      <c r="P415" s="159">
        <v>3</v>
      </c>
      <c r="Q415" s="159">
        <f t="shared" si="13"/>
        <v>705</v>
      </c>
      <c r="R415" s="159">
        <v>0</v>
      </c>
    </row>
    <row r="416" spans="1:18" ht="22.5">
      <c r="A416" s="41">
        <v>407</v>
      </c>
      <c r="B416" s="61" t="s">
        <v>532</v>
      </c>
      <c r="C416" s="159">
        <v>8</v>
      </c>
      <c r="D416" s="159">
        <v>42</v>
      </c>
      <c r="E416" s="159">
        <v>533</v>
      </c>
      <c r="F416" s="159">
        <v>6</v>
      </c>
      <c r="G416" s="159">
        <v>1</v>
      </c>
      <c r="H416" s="159">
        <v>0</v>
      </c>
      <c r="I416" s="159">
        <v>0</v>
      </c>
      <c r="J416" s="159">
        <v>2</v>
      </c>
      <c r="K416" s="159">
        <v>0</v>
      </c>
      <c r="L416" s="159">
        <v>3</v>
      </c>
      <c r="M416" s="159">
        <v>0</v>
      </c>
      <c r="N416" s="160">
        <f t="shared" si="12"/>
        <v>595</v>
      </c>
      <c r="O416" s="159">
        <v>0</v>
      </c>
      <c r="P416" s="159">
        <v>3</v>
      </c>
      <c r="Q416" s="159">
        <f t="shared" si="13"/>
        <v>598</v>
      </c>
      <c r="R416" s="159">
        <v>0</v>
      </c>
    </row>
    <row r="417" spans="1:18">
      <c r="A417" s="41">
        <v>408</v>
      </c>
      <c r="B417" s="61" t="s">
        <v>533</v>
      </c>
      <c r="C417" s="159">
        <v>1</v>
      </c>
      <c r="D417" s="159">
        <v>150</v>
      </c>
      <c r="E417" s="159">
        <v>529</v>
      </c>
      <c r="F417" s="159">
        <v>12</v>
      </c>
      <c r="G417" s="159">
        <v>0</v>
      </c>
      <c r="H417" s="159">
        <v>0</v>
      </c>
      <c r="I417" s="159">
        <v>0</v>
      </c>
      <c r="J417" s="159">
        <v>0</v>
      </c>
      <c r="K417" s="159">
        <v>0</v>
      </c>
      <c r="L417" s="159">
        <v>2</v>
      </c>
      <c r="M417" s="159">
        <v>0</v>
      </c>
      <c r="N417" s="160">
        <f t="shared" si="12"/>
        <v>694</v>
      </c>
      <c r="O417" s="159">
        <v>0</v>
      </c>
      <c r="P417" s="159">
        <v>3</v>
      </c>
      <c r="Q417" s="159">
        <f t="shared" si="13"/>
        <v>697</v>
      </c>
      <c r="R417" s="159">
        <v>0</v>
      </c>
    </row>
    <row r="418" spans="1:18">
      <c r="A418" s="41">
        <v>409</v>
      </c>
      <c r="B418" s="61" t="s">
        <v>534</v>
      </c>
      <c r="C418" s="159">
        <v>2</v>
      </c>
      <c r="D418" s="159">
        <v>139</v>
      </c>
      <c r="E418" s="159">
        <v>392</v>
      </c>
      <c r="F418" s="159">
        <v>3</v>
      </c>
      <c r="G418" s="159">
        <v>0</v>
      </c>
      <c r="H418" s="159">
        <v>0</v>
      </c>
      <c r="I418" s="159">
        <v>0</v>
      </c>
      <c r="J418" s="159">
        <v>0</v>
      </c>
      <c r="K418" s="159">
        <v>1</v>
      </c>
      <c r="L418" s="159">
        <v>8</v>
      </c>
      <c r="M418" s="159">
        <v>0</v>
      </c>
      <c r="N418" s="160">
        <f t="shared" si="12"/>
        <v>545</v>
      </c>
      <c r="O418" s="159">
        <v>0</v>
      </c>
      <c r="P418" s="159">
        <v>0</v>
      </c>
      <c r="Q418" s="159">
        <f t="shared" si="13"/>
        <v>545</v>
      </c>
      <c r="R418" s="159">
        <v>0</v>
      </c>
    </row>
    <row r="419" spans="1:18">
      <c r="A419" s="41">
        <v>410</v>
      </c>
      <c r="B419" s="61" t="s">
        <v>535</v>
      </c>
      <c r="C419" s="159">
        <v>6</v>
      </c>
      <c r="D419" s="159">
        <v>54</v>
      </c>
      <c r="E419" s="159">
        <v>415</v>
      </c>
      <c r="F419" s="159">
        <v>6</v>
      </c>
      <c r="G419" s="159">
        <v>0</v>
      </c>
      <c r="H419" s="159">
        <v>0</v>
      </c>
      <c r="I419" s="159">
        <v>0</v>
      </c>
      <c r="J419" s="159">
        <v>0</v>
      </c>
      <c r="K419" s="159">
        <v>0</v>
      </c>
      <c r="L419" s="159">
        <v>6</v>
      </c>
      <c r="M419" s="159">
        <v>1</v>
      </c>
      <c r="N419" s="160">
        <f t="shared" si="12"/>
        <v>488</v>
      </c>
      <c r="O419" s="159">
        <v>0</v>
      </c>
      <c r="P419" s="159">
        <v>1</v>
      </c>
      <c r="Q419" s="159">
        <f t="shared" si="13"/>
        <v>489</v>
      </c>
      <c r="R419" s="159">
        <v>0</v>
      </c>
    </row>
    <row r="420" spans="1:18">
      <c r="A420" s="41">
        <v>411</v>
      </c>
      <c r="B420" s="61" t="s">
        <v>536</v>
      </c>
      <c r="C420" s="159">
        <v>14</v>
      </c>
      <c r="D420" s="159">
        <v>459</v>
      </c>
      <c r="E420" s="159">
        <v>163</v>
      </c>
      <c r="F420" s="159">
        <v>7</v>
      </c>
      <c r="G420" s="159">
        <v>1</v>
      </c>
      <c r="H420" s="159">
        <v>0</v>
      </c>
      <c r="I420" s="159">
        <v>1</v>
      </c>
      <c r="J420" s="159">
        <v>0</v>
      </c>
      <c r="K420" s="159">
        <v>5</v>
      </c>
      <c r="L420" s="159">
        <v>2</v>
      </c>
      <c r="M420" s="159">
        <v>1</v>
      </c>
      <c r="N420" s="160">
        <f t="shared" si="12"/>
        <v>653</v>
      </c>
      <c r="O420" s="159">
        <v>0</v>
      </c>
      <c r="P420" s="159">
        <v>1</v>
      </c>
      <c r="Q420" s="159">
        <f t="shared" si="13"/>
        <v>654</v>
      </c>
      <c r="R420" s="159">
        <v>0</v>
      </c>
    </row>
    <row r="421" spans="1:18">
      <c r="A421" s="41">
        <v>412</v>
      </c>
      <c r="B421" s="61" t="s">
        <v>537</v>
      </c>
      <c r="C421" s="159">
        <v>1</v>
      </c>
      <c r="D421" s="159">
        <v>391</v>
      </c>
      <c r="E421" s="159">
        <v>109</v>
      </c>
      <c r="F421" s="159">
        <v>19</v>
      </c>
      <c r="G421" s="159">
        <v>0</v>
      </c>
      <c r="H421" s="159">
        <v>0</v>
      </c>
      <c r="I421" s="159">
        <v>0</v>
      </c>
      <c r="J421" s="159">
        <v>0</v>
      </c>
      <c r="K421" s="159">
        <v>13</v>
      </c>
      <c r="L421" s="159">
        <v>2</v>
      </c>
      <c r="M421" s="159">
        <v>2</v>
      </c>
      <c r="N421" s="160">
        <f t="shared" si="12"/>
        <v>537</v>
      </c>
      <c r="O421" s="159">
        <v>0</v>
      </c>
      <c r="P421" s="159">
        <v>1</v>
      </c>
      <c r="Q421" s="159">
        <f t="shared" si="13"/>
        <v>538</v>
      </c>
      <c r="R421" s="159">
        <v>0</v>
      </c>
    </row>
    <row r="422" spans="1:18">
      <c r="A422" s="41">
        <v>413</v>
      </c>
      <c r="B422" s="61" t="s">
        <v>538</v>
      </c>
      <c r="C422" s="159">
        <v>7</v>
      </c>
      <c r="D422" s="159">
        <v>557</v>
      </c>
      <c r="E422" s="159">
        <v>19</v>
      </c>
      <c r="F422" s="159">
        <v>4</v>
      </c>
      <c r="G422" s="159">
        <v>0</v>
      </c>
      <c r="H422" s="159">
        <v>0</v>
      </c>
      <c r="I422" s="159">
        <v>0</v>
      </c>
      <c r="J422" s="159">
        <v>0</v>
      </c>
      <c r="K422" s="159">
        <v>44</v>
      </c>
      <c r="L422" s="159">
        <v>3</v>
      </c>
      <c r="M422" s="159">
        <v>1</v>
      </c>
      <c r="N422" s="160">
        <f t="shared" si="12"/>
        <v>635</v>
      </c>
      <c r="O422" s="159">
        <v>0</v>
      </c>
      <c r="P422" s="159">
        <v>4</v>
      </c>
      <c r="Q422" s="159">
        <f t="shared" si="13"/>
        <v>639</v>
      </c>
      <c r="R422" s="159">
        <v>0</v>
      </c>
    </row>
    <row r="423" spans="1:18">
      <c r="A423" s="41">
        <v>414</v>
      </c>
      <c r="B423" s="61" t="s">
        <v>539</v>
      </c>
      <c r="C423" s="159">
        <v>72</v>
      </c>
      <c r="D423" s="159">
        <v>150</v>
      </c>
      <c r="E423" s="159">
        <v>267</v>
      </c>
      <c r="F423" s="159">
        <v>2</v>
      </c>
      <c r="G423" s="159">
        <v>0</v>
      </c>
      <c r="H423" s="159">
        <v>1</v>
      </c>
      <c r="I423" s="159">
        <v>1</v>
      </c>
      <c r="J423" s="159">
        <v>0</v>
      </c>
      <c r="K423" s="159">
        <v>2</v>
      </c>
      <c r="L423" s="159">
        <v>5</v>
      </c>
      <c r="M423" s="159">
        <v>1</v>
      </c>
      <c r="N423" s="160">
        <f t="shared" si="12"/>
        <v>501</v>
      </c>
      <c r="O423" s="159">
        <v>0</v>
      </c>
      <c r="P423" s="159">
        <v>1</v>
      </c>
      <c r="Q423" s="159">
        <f t="shared" si="13"/>
        <v>502</v>
      </c>
      <c r="R423" s="159">
        <v>0</v>
      </c>
    </row>
    <row r="424" spans="1:18">
      <c r="A424" s="41">
        <v>415</v>
      </c>
      <c r="B424" s="61" t="s">
        <v>540</v>
      </c>
      <c r="C424" s="159">
        <v>4</v>
      </c>
      <c r="D424" s="159">
        <v>239</v>
      </c>
      <c r="E424" s="159">
        <v>259</v>
      </c>
      <c r="F424" s="159">
        <v>5</v>
      </c>
      <c r="G424" s="159">
        <v>0</v>
      </c>
      <c r="H424" s="159">
        <v>0</v>
      </c>
      <c r="I424" s="159">
        <v>1</v>
      </c>
      <c r="J424" s="159">
        <v>1</v>
      </c>
      <c r="K424" s="159">
        <v>1</v>
      </c>
      <c r="L424" s="159">
        <v>4</v>
      </c>
      <c r="M424" s="159">
        <v>0</v>
      </c>
      <c r="N424" s="160">
        <f t="shared" si="12"/>
        <v>514</v>
      </c>
      <c r="O424" s="159">
        <v>0</v>
      </c>
      <c r="P424" s="159">
        <v>0</v>
      </c>
      <c r="Q424" s="159">
        <f t="shared" si="13"/>
        <v>514</v>
      </c>
      <c r="R424" s="159">
        <v>0</v>
      </c>
    </row>
    <row r="425" spans="1:18">
      <c r="A425" s="41">
        <v>416</v>
      </c>
      <c r="B425" s="61" t="s">
        <v>541</v>
      </c>
      <c r="C425" s="159">
        <v>167</v>
      </c>
      <c r="D425" s="159">
        <v>49</v>
      </c>
      <c r="E425" s="159">
        <v>186</v>
      </c>
      <c r="F425" s="159">
        <v>2</v>
      </c>
      <c r="G425" s="159">
        <v>2</v>
      </c>
      <c r="H425" s="159">
        <v>0</v>
      </c>
      <c r="I425" s="159">
        <v>0</v>
      </c>
      <c r="J425" s="159">
        <v>1</v>
      </c>
      <c r="K425" s="159">
        <v>1</v>
      </c>
      <c r="L425" s="159">
        <v>0</v>
      </c>
      <c r="M425" s="159">
        <v>0</v>
      </c>
      <c r="N425" s="160">
        <f t="shared" si="12"/>
        <v>408</v>
      </c>
      <c r="O425" s="159">
        <v>0</v>
      </c>
      <c r="P425" s="159">
        <v>1</v>
      </c>
      <c r="Q425" s="159">
        <f t="shared" si="13"/>
        <v>409</v>
      </c>
      <c r="R425" s="159">
        <v>0</v>
      </c>
    </row>
    <row r="426" spans="1:18">
      <c r="A426" s="41">
        <v>417</v>
      </c>
      <c r="B426" s="61" t="s">
        <v>542</v>
      </c>
      <c r="C426" s="159">
        <v>53</v>
      </c>
      <c r="D426" s="159">
        <v>177</v>
      </c>
      <c r="E426" s="159">
        <v>514</v>
      </c>
      <c r="F426" s="159">
        <v>12</v>
      </c>
      <c r="G426" s="159">
        <v>2</v>
      </c>
      <c r="H426" s="159">
        <v>0</v>
      </c>
      <c r="I426" s="159">
        <v>2</v>
      </c>
      <c r="J426" s="159">
        <v>5</v>
      </c>
      <c r="K426" s="159">
        <v>3</v>
      </c>
      <c r="L426" s="159">
        <v>7</v>
      </c>
      <c r="M426" s="159">
        <v>0</v>
      </c>
      <c r="N426" s="160">
        <f t="shared" si="12"/>
        <v>775</v>
      </c>
      <c r="O426" s="159">
        <v>0</v>
      </c>
      <c r="P426" s="159">
        <v>3</v>
      </c>
      <c r="Q426" s="159">
        <f t="shared" si="13"/>
        <v>778</v>
      </c>
      <c r="R426" s="159">
        <v>0</v>
      </c>
    </row>
    <row r="427" spans="1:18">
      <c r="A427" s="41">
        <v>418</v>
      </c>
      <c r="B427" s="61" t="s">
        <v>543</v>
      </c>
      <c r="C427" s="159">
        <v>168</v>
      </c>
      <c r="D427" s="159">
        <v>167</v>
      </c>
      <c r="E427" s="159">
        <v>339</v>
      </c>
      <c r="F427" s="159">
        <v>3</v>
      </c>
      <c r="G427" s="159">
        <v>0</v>
      </c>
      <c r="H427" s="159">
        <v>0</v>
      </c>
      <c r="I427" s="161">
        <v>0</v>
      </c>
      <c r="J427" s="161">
        <v>0</v>
      </c>
      <c r="K427" s="161">
        <v>0</v>
      </c>
      <c r="L427" s="161">
        <v>1</v>
      </c>
      <c r="M427" s="161">
        <v>2</v>
      </c>
      <c r="N427" s="160">
        <f t="shared" si="12"/>
        <v>680</v>
      </c>
      <c r="O427" s="159">
        <v>0</v>
      </c>
      <c r="P427" s="161">
        <v>2</v>
      </c>
      <c r="Q427" s="159">
        <f t="shared" si="13"/>
        <v>682</v>
      </c>
      <c r="R427" s="159">
        <v>0</v>
      </c>
    </row>
    <row r="428" spans="1:18">
      <c r="A428" s="41">
        <v>419</v>
      </c>
      <c r="B428" s="61" t="s">
        <v>544</v>
      </c>
      <c r="C428" s="159">
        <v>42</v>
      </c>
      <c r="D428" s="159">
        <v>7</v>
      </c>
      <c r="E428" s="159">
        <v>554</v>
      </c>
      <c r="F428" s="159">
        <v>2</v>
      </c>
      <c r="G428" s="159">
        <v>0</v>
      </c>
      <c r="H428" s="159">
        <v>0</v>
      </c>
      <c r="I428" s="161">
        <v>0</v>
      </c>
      <c r="J428" s="161">
        <v>0</v>
      </c>
      <c r="K428" s="161">
        <v>0</v>
      </c>
      <c r="L428" s="161">
        <v>2</v>
      </c>
      <c r="M428" s="161">
        <v>2</v>
      </c>
      <c r="N428" s="160">
        <f t="shared" si="12"/>
        <v>609</v>
      </c>
      <c r="O428" s="159">
        <v>0</v>
      </c>
      <c r="P428" s="161">
        <v>2</v>
      </c>
      <c r="Q428" s="159">
        <f t="shared" si="13"/>
        <v>611</v>
      </c>
      <c r="R428" s="159">
        <v>0</v>
      </c>
    </row>
    <row r="429" spans="1:18">
      <c r="A429" s="41">
        <v>420</v>
      </c>
      <c r="B429" s="61" t="s">
        <v>545</v>
      </c>
      <c r="C429" s="159">
        <v>714</v>
      </c>
      <c r="D429" s="159">
        <v>18</v>
      </c>
      <c r="E429" s="159">
        <v>30</v>
      </c>
      <c r="F429" s="159">
        <v>0</v>
      </c>
      <c r="G429" s="159">
        <v>0</v>
      </c>
      <c r="H429" s="159">
        <v>0</v>
      </c>
      <c r="I429" s="159">
        <v>0</v>
      </c>
      <c r="J429" s="159">
        <v>0</v>
      </c>
      <c r="K429" s="159">
        <v>0</v>
      </c>
      <c r="L429" s="159">
        <v>0</v>
      </c>
      <c r="M429" s="159">
        <v>0</v>
      </c>
      <c r="N429" s="160">
        <f t="shared" si="12"/>
        <v>762</v>
      </c>
      <c r="O429" s="159">
        <v>0</v>
      </c>
      <c r="P429" s="159">
        <v>5</v>
      </c>
      <c r="Q429" s="159">
        <f t="shared" si="13"/>
        <v>767</v>
      </c>
      <c r="R429" s="159">
        <v>0</v>
      </c>
    </row>
    <row r="430" spans="1:18" ht="22.5">
      <c r="A430" s="41">
        <v>421</v>
      </c>
      <c r="B430" s="61" t="s">
        <v>546</v>
      </c>
      <c r="C430" s="159">
        <v>200</v>
      </c>
      <c r="D430" s="159">
        <v>48</v>
      </c>
      <c r="E430" s="159">
        <v>142</v>
      </c>
      <c r="F430" s="159">
        <v>5</v>
      </c>
      <c r="G430" s="159">
        <v>0</v>
      </c>
      <c r="H430" s="159">
        <v>0</v>
      </c>
      <c r="I430" s="159">
        <v>0</v>
      </c>
      <c r="J430" s="159">
        <v>1</v>
      </c>
      <c r="K430" s="159">
        <v>1</v>
      </c>
      <c r="L430" s="159">
        <v>4</v>
      </c>
      <c r="M430" s="159">
        <v>0</v>
      </c>
      <c r="N430" s="160">
        <f t="shared" si="12"/>
        <v>401</v>
      </c>
      <c r="O430" s="159">
        <v>0</v>
      </c>
      <c r="P430" s="159">
        <v>3</v>
      </c>
      <c r="Q430" s="159">
        <f t="shared" si="13"/>
        <v>404</v>
      </c>
      <c r="R430" s="159">
        <v>0</v>
      </c>
    </row>
    <row r="431" spans="1:18" ht="22.5">
      <c r="A431" s="41">
        <v>422</v>
      </c>
      <c r="B431" s="61" t="s">
        <v>547</v>
      </c>
      <c r="C431" s="159">
        <v>46</v>
      </c>
      <c r="D431" s="159">
        <v>155</v>
      </c>
      <c r="E431" s="159">
        <v>336</v>
      </c>
      <c r="F431" s="159">
        <v>3</v>
      </c>
      <c r="G431" s="159">
        <v>0</v>
      </c>
      <c r="H431" s="159">
        <v>0</v>
      </c>
      <c r="I431" s="159">
        <v>0</v>
      </c>
      <c r="J431" s="159">
        <v>0</v>
      </c>
      <c r="K431" s="159">
        <v>0</v>
      </c>
      <c r="L431" s="159">
        <v>4</v>
      </c>
      <c r="M431" s="159">
        <v>1</v>
      </c>
      <c r="N431" s="160">
        <f t="shared" si="12"/>
        <v>545</v>
      </c>
      <c r="O431" s="159">
        <v>0</v>
      </c>
      <c r="P431" s="159">
        <v>2</v>
      </c>
      <c r="Q431" s="159">
        <f t="shared" si="13"/>
        <v>547</v>
      </c>
      <c r="R431" s="159">
        <v>0</v>
      </c>
    </row>
    <row r="432" spans="1:18" ht="22.5">
      <c r="A432" s="41">
        <v>423</v>
      </c>
      <c r="B432" s="61" t="s">
        <v>548</v>
      </c>
      <c r="C432" s="159">
        <v>18</v>
      </c>
      <c r="D432" s="159">
        <v>114</v>
      </c>
      <c r="E432" s="159">
        <v>341</v>
      </c>
      <c r="F432" s="159">
        <v>2</v>
      </c>
      <c r="G432" s="159">
        <v>1</v>
      </c>
      <c r="H432" s="159">
        <v>1</v>
      </c>
      <c r="I432" s="159">
        <v>0</v>
      </c>
      <c r="J432" s="159">
        <v>0</v>
      </c>
      <c r="K432" s="159">
        <v>0</v>
      </c>
      <c r="L432" s="159">
        <v>2</v>
      </c>
      <c r="M432" s="159">
        <v>1</v>
      </c>
      <c r="N432" s="160">
        <f t="shared" si="12"/>
        <v>480</v>
      </c>
      <c r="O432" s="159">
        <v>0</v>
      </c>
      <c r="P432" s="159">
        <v>3</v>
      </c>
      <c r="Q432" s="159">
        <f t="shared" si="13"/>
        <v>483</v>
      </c>
      <c r="R432" s="159">
        <v>0</v>
      </c>
    </row>
    <row r="433" spans="1:18">
      <c r="A433" s="41">
        <v>424</v>
      </c>
      <c r="B433" s="61" t="s">
        <v>549</v>
      </c>
      <c r="C433" s="159">
        <v>32</v>
      </c>
      <c r="D433" s="159">
        <v>672</v>
      </c>
      <c r="E433" s="159">
        <v>98</v>
      </c>
      <c r="F433" s="159">
        <v>49</v>
      </c>
      <c r="G433" s="159">
        <v>1</v>
      </c>
      <c r="H433" s="159">
        <v>4</v>
      </c>
      <c r="I433" s="159">
        <v>1</v>
      </c>
      <c r="J433" s="159">
        <v>0</v>
      </c>
      <c r="K433" s="159">
        <v>55</v>
      </c>
      <c r="L433" s="159">
        <v>5</v>
      </c>
      <c r="M433" s="159">
        <v>7</v>
      </c>
      <c r="N433" s="160">
        <f t="shared" si="12"/>
        <v>924</v>
      </c>
      <c r="O433" s="159">
        <v>0</v>
      </c>
      <c r="P433" s="159">
        <v>5</v>
      </c>
      <c r="Q433" s="159">
        <f t="shared" si="13"/>
        <v>929</v>
      </c>
      <c r="R433" s="159">
        <v>0</v>
      </c>
    </row>
    <row r="434" spans="1:18">
      <c r="A434" s="41">
        <v>425</v>
      </c>
      <c r="B434" s="61" t="s">
        <v>550</v>
      </c>
      <c r="C434" s="159">
        <v>5</v>
      </c>
      <c r="D434" s="159">
        <v>73</v>
      </c>
      <c r="E434" s="159">
        <v>364</v>
      </c>
      <c r="F434" s="159">
        <v>4</v>
      </c>
      <c r="G434" s="159">
        <v>0</v>
      </c>
      <c r="H434" s="159">
        <v>0</v>
      </c>
      <c r="I434" s="159">
        <v>0</v>
      </c>
      <c r="J434" s="159">
        <v>1</v>
      </c>
      <c r="K434" s="159">
        <v>0</v>
      </c>
      <c r="L434" s="159">
        <v>4</v>
      </c>
      <c r="M434" s="159">
        <v>0</v>
      </c>
      <c r="N434" s="160">
        <f t="shared" si="12"/>
        <v>451</v>
      </c>
      <c r="O434" s="159">
        <v>0</v>
      </c>
      <c r="P434" s="159">
        <v>0</v>
      </c>
      <c r="Q434" s="159">
        <f t="shared" si="13"/>
        <v>451</v>
      </c>
      <c r="R434" s="159">
        <v>0</v>
      </c>
    </row>
    <row r="435" spans="1:18">
      <c r="A435" s="41">
        <v>426</v>
      </c>
      <c r="B435" s="61" t="s">
        <v>551</v>
      </c>
      <c r="C435" s="159">
        <v>159</v>
      </c>
      <c r="D435" s="159">
        <v>137</v>
      </c>
      <c r="E435" s="159">
        <v>207</v>
      </c>
      <c r="F435" s="159">
        <v>0</v>
      </c>
      <c r="G435" s="159">
        <v>0</v>
      </c>
      <c r="H435" s="159">
        <v>0</v>
      </c>
      <c r="I435" s="159">
        <v>0</v>
      </c>
      <c r="J435" s="159">
        <v>1</v>
      </c>
      <c r="K435" s="159">
        <v>0</v>
      </c>
      <c r="L435" s="159">
        <v>1</v>
      </c>
      <c r="M435" s="159">
        <v>0</v>
      </c>
      <c r="N435" s="160">
        <f t="shared" si="12"/>
        <v>505</v>
      </c>
      <c r="O435" s="159">
        <v>0</v>
      </c>
      <c r="P435" s="159">
        <v>3</v>
      </c>
      <c r="Q435" s="159">
        <f t="shared" si="13"/>
        <v>508</v>
      </c>
      <c r="R435" s="159">
        <v>0</v>
      </c>
    </row>
    <row r="436" spans="1:18">
      <c r="A436" s="41">
        <v>427</v>
      </c>
      <c r="B436" s="61" t="s">
        <v>552</v>
      </c>
      <c r="C436" s="159">
        <v>2</v>
      </c>
      <c r="D436" s="159">
        <v>195</v>
      </c>
      <c r="E436" s="159">
        <v>325</v>
      </c>
      <c r="F436" s="159">
        <v>9</v>
      </c>
      <c r="G436" s="159">
        <v>0</v>
      </c>
      <c r="H436" s="159">
        <v>1</v>
      </c>
      <c r="I436" s="159">
        <v>0</v>
      </c>
      <c r="J436" s="159">
        <v>1</v>
      </c>
      <c r="K436" s="159">
        <v>0</v>
      </c>
      <c r="L436" s="159">
        <v>2</v>
      </c>
      <c r="M436" s="159">
        <v>1</v>
      </c>
      <c r="N436" s="160">
        <f t="shared" si="12"/>
        <v>536</v>
      </c>
      <c r="O436" s="159">
        <v>0</v>
      </c>
      <c r="P436" s="159">
        <v>2</v>
      </c>
      <c r="Q436" s="159">
        <f t="shared" si="13"/>
        <v>538</v>
      </c>
      <c r="R436" s="159">
        <v>0</v>
      </c>
    </row>
    <row r="437" spans="1:18">
      <c r="A437" s="41">
        <v>428</v>
      </c>
      <c r="B437" s="61" t="s">
        <v>553</v>
      </c>
      <c r="C437" s="159">
        <v>2</v>
      </c>
      <c r="D437" s="159">
        <v>197</v>
      </c>
      <c r="E437" s="159">
        <v>297</v>
      </c>
      <c r="F437" s="159">
        <v>10</v>
      </c>
      <c r="G437" s="159">
        <v>0</v>
      </c>
      <c r="H437" s="159">
        <v>0</v>
      </c>
      <c r="I437" s="159">
        <v>0</v>
      </c>
      <c r="J437" s="159">
        <v>0</v>
      </c>
      <c r="K437" s="159">
        <v>1</v>
      </c>
      <c r="L437" s="159">
        <v>1</v>
      </c>
      <c r="M437" s="159">
        <v>2</v>
      </c>
      <c r="N437" s="160">
        <f t="shared" si="12"/>
        <v>510</v>
      </c>
      <c r="O437" s="159">
        <v>0</v>
      </c>
      <c r="P437" s="159">
        <v>0</v>
      </c>
      <c r="Q437" s="159">
        <f t="shared" si="13"/>
        <v>510</v>
      </c>
      <c r="R437" s="159">
        <v>0</v>
      </c>
    </row>
    <row r="438" spans="1:18">
      <c r="A438" s="41">
        <v>429</v>
      </c>
      <c r="B438" s="61" t="s">
        <v>554</v>
      </c>
      <c r="C438" s="159">
        <v>4</v>
      </c>
      <c r="D438" s="159">
        <v>132</v>
      </c>
      <c r="E438" s="159">
        <v>409</v>
      </c>
      <c r="F438" s="159">
        <v>6</v>
      </c>
      <c r="G438" s="159">
        <v>1</v>
      </c>
      <c r="H438" s="159">
        <v>0</v>
      </c>
      <c r="I438" s="159">
        <v>0</v>
      </c>
      <c r="J438" s="159">
        <v>0</v>
      </c>
      <c r="K438" s="159">
        <v>0</v>
      </c>
      <c r="L438" s="159">
        <v>0</v>
      </c>
      <c r="M438" s="159">
        <v>2</v>
      </c>
      <c r="N438" s="160">
        <f t="shared" si="12"/>
        <v>554</v>
      </c>
      <c r="O438" s="159">
        <v>0</v>
      </c>
      <c r="P438" s="159">
        <v>3</v>
      </c>
      <c r="Q438" s="159">
        <f t="shared" si="13"/>
        <v>557</v>
      </c>
      <c r="R438" s="159">
        <v>0</v>
      </c>
    </row>
    <row r="439" spans="1:18">
      <c r="A439" s="41">
        <v>430</v>
      </c>
      <c r="B439" s="61" t="s">
        <v>555</v>
      </c>
      <c r="C439" s="159">
        <v>2</v>
      </c>
      <c r="D439" s="159">
        <v>114</v>
      </c>
      <c r="E439" s="159">
        <v>290</v>
      </c>
      <c r="F439" s="159">
        <v>18</v>
      </c>
      <c r="G439" s="159">
        <v>1</v>
      </c>
      <c r="H439" s="159">
        <v>0</v>
      </c>
      <c r="I439" s="159">
        <v>2</v>
      </c>
      <c r="J439" s="159">
        <v>0</v>
      </c>
      <c r="K439" s="159">
        <v>0</v>
      </c>
      <c r="L439" s="159">
        <v>1</v>
      </c>
      <c r="M439" s="159">
        <v>0</v>
      </c>
      <c r="N439" s="160">
        <f t="shared" si="12"/>
        <v>428</v>
      </c>
      <c r="O439" s="159">
        <v>0</v>
      </c>
      <c r="P439" s="159">
        <v>1</v>
      </c>
      <c r="Q439" s="159">
        <f t="shared" si="13"/>
        <v>429</v>
      </c>
      <c r="R439" s="159">
        <v>0</v>
      </c>
    </row>
    <row r="440" spans="1:18">
      <c r="A440" s="41">
        <v>431</v>
      </c>
      <c r="B440" s="61" t="s">
        <v>556</v>
      </c>
      <c r="C440" s="159">
        <v>52</v>
      </c>
      <c r="D440" s="159">
        <v>218</v>
      </c>
      <c r="E440" s="159">
        <v>402</v>
      </c>
      <c r="F440" s="159">
        <v>8</v>
      </c>
      <c r="G440" s="159">
        <v>0</v>
      </c>
      <c r="H440" s="159">
        <v>0</v>
      </c>
      <c r="I440" s="159">
        <v>0</v>
      </c>
      <c r="J440" s="159">
        <v>3</v>
      </c>
      <c r="K440" s="159">
        <v>3</v>
      </c>
      <c r="L440" s="159">
        <v>9</v>
      </c>
      <c r="M440" s="159">
        <v>1</v>
      </c>
      <c r="N440" s="160">
        <f t="shared" si="12"/>
        <v>696</v>
      </c>
      <c r="O440" s="159">
        <v>0</v>
      </c>
      <c r="P440" s="159">
        <v>1</v>
      </c>
      <c r="Q440" s="159">
        <f t="shared" si="13"/>
        <v>697</v>
      </c>
      <c r="R440" s="159">
        <v>0</v>
      </c>
    </row>
    <row r="441" spans="1:18">
      <c r="A441" s="41">
        <v>432</v>
      </c>
      <c r="B441" s="61" t="s">
        <v>557</v>
      </c>
      <c r="C441" s="159">
        <v>493</v>
      </c>
      <c r="D441" s="159">
        <v>26</v>
      </c>
      <c r="E441" s="159">
        <v>54</v>
      </c>
      <c r="F441" s="159">
        <v>2</v>
      </c>
      <c r="G441" s="159">
        <v>0</v>
      </c>
      <c r="H441" s="159">
        <v>2</v>
      </c>
      <c r="I441" s="159">
        <v>1</v>
      </c>
      <c r="J441" s="159">
        <v>1</v>
      </c>
      <c r="K441" s="159">
        <v>2</v>
      </c>
      <c r="L441" s="159">
        <v>2</v>
      </c>
      <c r="M441" s="159">
        <v>0</v>
      </c>
      <c r="N441" s="160">
        <f t="shared" si="12"/>
        <v>583</v>
      </c>
      <c r="O441" s="159">
        <v>0</v>
      </c>
      <c r="P441" s="159">
        <v>6</v>
      </c>
      <c r="Q441" s="159">
        <f t="shared" si="13"/>
        <v>589</v>
      </c>
      <c r="R441" s="159">
        <v>0</v>
      </c>
    </row>
    <row r="442" spans="1:18">
      <c r="A442" s="41">
        <v>433</v>
      </c>
      <c r="B442" s="61" t="s">
        <v>558</v>
      </c>
      <c r="C442" s="159">
        <v>19</v>
      </c>
      <c r="D442" s="159">
        <v>31</v>
      </c>
      <c r="E442" s="159">
        <v>751</v>
      </c>
      <c r="F442" s="159">
        <v>10</v>
      </c>
      <c r="G442" s="159">
        <v>1</v>
      </c>
      <c r="H442" s="159">
        <v>0</v>
      </c>
      <c r="I442" s="159">
        <v>0</v>
      </c>
      <c r="J442" s="159">
        <v>0</v>
      </c>
      <c r="K442" s="159">
        <v>0</v>
      </c>
      <c r="L442" s="159">
        <v>8</v>
      </c>
      <c r="M442" s="159">
        <v>0</v>
      </c>
      <c r="N442" s="160">
        <f t="shared" si="12"/>
        <v>820</v>
      </c>
      <c r="O442" s="159">
        <v>0</v>
      </c>
      <c r="P442" s="159">
        <v>0</v>
      </c>
      <c r="Q442" s="159">
        <f t="shared" si="13"/>
        <v>820</v>
      </c>
      <c r="R442" s="159">
        <v>0</v>
      </c>
    </row>
    <row r="443" spans="1:18" ht="22.5">
      <c r="A443" s="41">
        <v>434</v>
      </c>
      <c r="B443" s="61" t="s">
        <v>559</v>
      </c>
      <c r="C443" s="159">
        <v>51</v>
      </c>
      <c r="D443" s="159">
        <v>143</v>
      </c>
      <c r="E443" s="159">
        <v>283</v>
      </c>
      <c r="F443" s="159">
        <v>2</v>
      </c>
      <c r="G443" s="159">
        <v>0</v>
      </c>
      <c r="H443" s="159">
        <v>0</v>
      </c>
      <c r="I443" s="159">
        <v>0</v>
      </c>
      <c r="J443" s="159">
        <v>0</v>
      </c>
      <c r="K443" s="159">
        <v>0</v>
      </c>
      <c r="L443" s="159">
        <v>2</v>
      </c>
      <c r="M443" s="159">
        <v>0</v>
      </c>
      <c r="N443" s="160">
        <f t="shared" si="12"/>
        <v>481</v>
      </c>
      <c r="O443" s="159">
        <v>0</v>
      </c>
      <c r="P443" s="159">
        <v>0</v>
      </c>
      <c r="Q443" s="159">
        <f t="shared" si="13"/>
        <v>481</v>
      </c>
      <c r="R443" s="159">
        <v>0</v>
      </c>
    </row>
    <row r="444" spans="1:18" ht="22.5">
      <c r="A444" s="41">
        <v>435</v>
      </c>
      <c r="B444" s="61" t="s">
        <v>560</v>
      </c>
      <c r="C444" s="159">
        <v>96</v>
      </c>
      <c r="D444" s="159">
        <v>217</v>
      </c>
      <c r="E444" s="159">
        <v>180</v>
      </c>
      <c r="F444" s="159">
        <v>1</v>
      </c>
      <c r="G444" s="159">
        <v>1</v>
      </c>
      <c r="H444" s="159">
        <v>0</v>
      </c>
      <c r="I444" s="159">
        <v>0</v>
      </c>
      <c r="J444" s="159">
        <v>0</v>
      </c>
      <c r="K444" s="159">
        <v>1</v>
      </c>
      <c r="L444" s="159">
        <v>0</v>
      </c>
      <c r="M444" s="159">
        <v>3</v>
      </c>
      <c r="N444" s="160">
        <f t="shared" si="12"/>
        <v>499</v>
      </c>
      <c r="O444" s="159">
        <v>0</v>
      </c>
      <c r="P444" s="159">
        <v>0</v>
      </c>
      <c r="Q444" s="159">
        <f t="shared" si="13"/>
        <v>499</v>
      </c>
      <c r="R444" s="159">
        <v>0</v>
      </c>
    </row>
    <row r="445" spans="1:18" ht="22.5">
      <c r="A445" s="41">
        <v>436</v>
      </c>
      <c r="B445" s="61" t="s">
        <v>561</v>
      </c>
      <c r="C445" s="159">
        <v>526</v>
      </c>
      <c r="D445" s="159">
        <v>100</v>
      </c>
      <c r="E445" s="159">
        <v>271</v>
      </c>
      <c r="F445" s="159">
        <v>9</v>
      </c>
      <c r="G445" s="159">
        <v>2</v>
      </c>
      <c r="H445" s="159">
        <v>0</v>
      </c>
      <c r="I445" s="159">
        <v>5</v>
      </c>
      <c r="J445" s="159">
        <v>7</v>
      </c>
      <c r="K445" s="159">
        <v>0</v>
      </c>
      <c r="L445" s="159">
        <v>9</v>
      </c>
      <c r="M445" s="159">
        <v>1</v>
      </c>
      <c r="N445" s="160">
        <f t="shared" si="12"/>
        <v>930</v>
      </c>
      <c r="O445" s="159">
        <v>0</v>
      </c>
      <c r="P445" s="159">
        <v>4</v>
      </c>
      <c r="Q445" s="159">
        <f t="shared" si="13"/>
        <v>934</v>
      </c>
      <c r="R445" s="159">
        <v>0</v>
      </c>
    </row>
    <row r="446" spans="1:18" ht="22.5">
      <c r="A446" s="41">
        <v>437</v>
      </c>
      <c r="B446" s="61" t="s">
        <v>562</v>
      </c>
      <c r="C446" s="159">
        <v>229</v>
      </c>
      <c r="D446" s="159">
        <v>97</v>
      </c>
      <c r="E446" s="159">
        <v>217</v>
      </c>
      <c r="F446" s="159">
        <v>5</v>
      </c>
      <c r="G446" s="159">
        <v>1</v>
      </c>
      <c r="H446" s="159">
        <v>0</v>
      </c>
      <c r="I446" s="159">
        <v>1</v>
      </c>
      <c r="J446" s="159">
        <v>0</v>
      </c>
      <c r="K446" s="159">
        <v>0</v>
      </c>
      <c r="L446" s="159">
        <v>3</v>
      </c>
      <c r="M446" s="159">
        <v>2</v>
      </c>
      <c r="N446" s="160">
        <f t="shared" si="12"/>
        <v>555</v>
      </c>
      <c r="O446" s="159">
        <v>0</v>
      </c>
      <c r="P446" s="159">
        <v>3</v>
      </c>
      <c r="Q446" s="159">
        <f t="shared" si="13"/>
        <v>558</v>
      </c>
      <c r="R446" s="159">
        <v>0</v>
      </c>
    </row>
    <row r="447" spans="1:18" ht="22.5">
      <c r="A447" s="41">
        <v>438</v>
      </c>
      <c r="B447" s="61" t="s">
        <v>563</v>
      </c>
      <c r="C447" s="159">
        <v>26</v>
      </c>
      <c r="D447" s="159">
        <v>70</v>
      </c>
      <c r="E447" s="159">
        <v>394</v>
      </c>
      <c r="F447" s="159">
        <v>1</v>
      </c>
      <c r="G447" s="159">
        <v>0</v>
      </c>
      <c r="H447" s="159">
        <v>1</v>
      </c>
      <c r="I447" s="159">
        <v>1</v>
      </c>
      <c r="J447" s="159">
        <v>0</v>
      </c>
      <c r="K447" s="159">
        <v>0</v>
      </c>
      <c r="L447" s="159">
        <v>6</v>
      </c>
      <c r="M447" s="159">
        <v>0</v>
      </c>
      <c r="N447" s="160">
        <f t="shared" si="12"/>
        <v>499</v>
      </c>
      <c r="O447" s="159">
        <v>0</v>
      </c>
      <c r="P447" s="159">
        <v>1</v>
      </c>
      <c r="Q447" s="159">
        <f t="shared" si="13"/>
        <v>500</v>
      </c>
      <c r="R447" s="159">
        <v>0</v>
      </c>
    </row>
    <row r="448" spans="1:18">
      <c r="A448" s="41">
        <v>439</v>
      </c>
      <c r="B448" s="61" t="s">
        <v>564</v>
      </c>
      <c r="C448" s="159">
        <v>327</v>
      </c>
      <c r="D448" s="159">
        <v>55</v>
      </c>
      <c r="E448" s="159">
        <v>220</v>
      </c>
      <c r="F448" s="159">
        <v>0</v>
      </c>
      <c r="G448" s="159">
        <v>0</v>
      </c>
      <c r="H448" s="159">
        <v>0</v>
      </c>
      <c r="I448" s="159">
        <v>0</v>
      </c>
      <c r="J448" s="159">
        <v>1</v>
      </c>
      <c r="K448" s="159">
        <v>1</v>
      </c>
      <c r="L448" s="159">
        <v>4</v>
      </c>
      <c r="M448" s="159">
        <v>1</v>
      </c>
      <c r="N448" s="160">
        <f t="shared" si="12"/>
        <v>609</v>
      </c>
      <c r="O448" s="159">
        <v>0</v>
      </c>
      <c r="P448" s="159">
        <v>5</v>
      </c>
      <c r="Q448" s="159">
        <f t="shared" si="13"/>
        <v>614</v>
      </c>
      <c r="R448" s="159">
        <v>0</v>
      </c>
    </row>
    <row r="449" spans="1:18">
      <c r="A449" s="41">
        <v>440</v>
      </c>
      <c r="B449" s="61" t="s">
        <v>565</v>
      </c>
      <c r="C449" s="159">
        <v>78</v>
      </c>
      <c r="D449" s="159">
        <v>72</v>
      </c>
      <c r="E449" s="159">
        <v>447</v>
      </c>
      <c r="F449" s="159">
        <v>4</v>
      </c>
      <c r="G449" s="159">
        <v>0</v>
      </c>
      <c r="H449" s="159">
        <v>0</v>
      </c>
      <c r="I449" s="159">
        <v>0</v>
      </c>
      <c r="J449" s="159">
        <v>0</v>
      </c>
      <c r="K449" s="159">
        <v>0</v>
      </c>
      <c r="L449" s="159">
        <v>2</v>
      </c>
      <c r="M449" s="159">
        <v>0</v>
      </c>
      <c r="N449" s="160">
        <f t="shared" si="12"/>
        <v>603</v>
      </c>
      <c r="O449" s="159">
        <v>0</v>
      </c>
      <c r="P449" s="159">
        <v>2</v>
      </c>
      <c r="Q449" s="159">
        <f t="shared" si="13"/>
        <v>605</v>
      </c>
      <c r="R449" s="159">
        <v>0</v>
      </c>
    </row>
    <row r="450" spans="1:18">
      <c r="A450" s="41">
        <v>441</v>
      </c>
      <c r="B450" s="61" t="s">
        <v>566</v>
      </c>
      <c r="C450" s="159">
        <v>62</v>
      </c>
      <c r="D450" s="159">
        <v>115</v>
      </c>
      <c r="E450" s="159">
        <v>401</v>
      </c>
      <c r="F450" s="159">
        <v>1</v>
      </c>
      <c r="G450" s="159">
        <v>0</v>
      </c>
      <c r="H450" s="159">
        <v>0</v>
      </c>
      <c r="I450" s="159">
        <v>0</v>
      </c>
      <c r="J450" s="159">
        <v>0</v>
      </c>
      <c r="K450" s="159">
        <v>0</v>
      </c>
      <c r="L450" s="159">
        <v>2</v>
      </c>
      <c r="M450" s="159">
        <v>2</v>
      </c>
      <c r="N450" s="160">
        <f t="shared" si="12"/>
        <v>583</v>
      </c>
      <c r="O450" s="159">
        <v>0</v>
      </c>
      <c r="P450" s="159">
        <v>2</v>
      </c>
      <c r="Q450" s="159">
        <f t="shared" si="13"/>
        <v>585</v>
      </c>
      <c r="R450" s="159">
        <v>0</v>
      </c>
    </row>
    <row r="451" spans="1:18" ht="22.5">
      <c r="A451" s="41">
        <v>442</v>
      </c>
      <c r="B451" s="61" t="s">
        <v>567</v>
      </c>
      <c r="C451" s="159">
        <v>102</v>
      </c>
      <c r="D451" s="159">
        <v>545</v>
      </c>
      <c r="E451" s="159">
        <v>126</v>
      </c>
      <c r="F451" s="159">
        <v>4</v>
      </c>
      <c r="G451" s="159">
        <v>0</v>
      </c>
      <c r="H451" s="159">
        <v>0</v>
      </c>
      <c r="I451" s="159">
        <v>0</v>
      </c>
      <c r="J451" s="159">
        <v>0</v>
      </c>
      <c r="K451" s="159">
        <v>3</v>
      </c>
      <c r="L451" s="159">
        <v>7</v>
      </c>
      <c r="M451" s="159">
        <v>0</v>
      </c>
      <c r="N451" s="160">
        <f t="shared" si="12"/>
        <v>787</v>
      </c>
      <c r="O451" s="159">
        <v>0</v>
      </c>
      <c r="P451" s="159">
        <v>3</v>
      </c>
      <c r="Q451" s="159">
        <f t="shared" si="13"/>
        <v>790</v>
      </c>
      <c r="R451" s="159">
        <v>0</v>
      </c>
    </row>
    <row r="452" spans="1:18" ht="22.5">
      <c r="A452" s="41">
        <v>443</v>
      </c>
      <c r="B452" s="61" t="s">
        <v>568</v>
      </c>
      <c r="C452" s="159">
        <v>7</v>
      </c>
      <c r="D452" s="159">
        <v>404</v>
      </c>
      <c r="E452" s="159">
        <v>310</v>
      </c>
      <c r="F452" s="159">
        <v>3</v>
      </c>
      <c r="G452" s="159">
        <v>0</v>
      </c>
      <c r="H452" s="159">
        <v>0</v>
      </c>
      <c r="I452" s="159">
        <v>0</v>
      </c>
      <c r="J452" s="159">
        <v>1</v>
      </c>
      <c r="K452" s="159">
        <v>2</v>
      </c>
      <c r="L452" s="159">
        <v>7</v>
      </c>
      <c r="M452" s="159">
        <v>4</v>
      </c>
      <c r="N452" s="160">
        <f t="shared" si="12"/>
        <v>738</v>
      </c>
      <c r="O452" s="159">
        <v>0</v>
      </c>
      <c r="P452" s="159">
        <v>12</v>
      </c>
      <c r="Q452" s="159">
        <f t="shared" si="13"/>
        <v>750</v>
      </c>
      <c r="R452" s="159">
        <v>0</v>
      </c>
    </row>
    <row r="453" spans="1:18">
      <c r="A453" s="41">
        <v>444</v>
      </c>
      <c r="B453" s="61" t="s">
        <v>569</v>
      </c>
      <c r="C453" s="159">
        <v>285</v>
      </c>
      <c r="D453" s="159">
        <v>89</v>
      </c>
      <c r="E453" s="159">
        <v>398</v>
      </c>
      <c r="F453" s="159">
        <v>6</v>
      </c>
      <c r="G453" s="159">
        <v>1</v>
      </c>
      <c r="H453" s="159">
        <v>0</v>
      </c>
      <c r="I453" s="159">
        <v>0</v>
      </c>
      <c r="J453" s="159">
        <v>0</v>
      </c>
      <c r="K453" s="159">
        <v>0</v>
      </c>
      <c r="L453" s="159">
        <v>3</v>
      </c>
      <c r="M453" s="159">
        <v>1</v>
      </c>
      <c r="N453" s="160">
        <f t="shared" si="12"/>
        <v>783</v>
      </c>
      <c r="O453" s="159">
        <v>0</v>
      </c>
      <c r="P453" s="159">
        <v>2</v>
      </c>
      <c r="Q453" s="159">
        <f t="shared" si="13"/>
        <v>785</v>
      </c>
      <c r="R453" s="159">
        <v>0</v>
      </c>
    </row>
    <row r="454" spans="1:18">
      <c r="A454" s="41">
        <v>445</v>
      </c>
      <c r="B454" s="61" t="s">
        <v>570</v>
      </c>
      <c r="C454" s="159">
        <v>180</v>
      </c>
      <c r="D454" s="159">
        <v>38</v>
      </c>
      <c r="E454" s="159">
        <v>432</v>
      </c>
      <c r="F454" s="159">
        <v>1</v>
      </c>
      <c r="G454" s="159">
        <v>0</v>
      </c>
      <c r="H454" s="159">
        <v>0</v>
      </c>
      <c r="I454" s="159">
        <v>0</v>
      </c>
      <c r="J454" s="159">
        <v>4</v>
      </c>
      <c r="K454" s="159">
        <v>0</v>
      </c>
      <c r="L454" s="159">
        <v>6</v>
      </c>
      <c r="M454" s="159">
        <v>2</v>
      </c>
      <c r="N454" s="160">
        <f t="shared" si="12"/>
        <v>663</v>
      </c>
      <c r="O454" s="159">
        <v>0</v>
      </c>
      <c r="P454" s="159">
        <v>4</v>
      </c>
      <c r="Q454" s="159">
        <f t="shared" si="13"/>
        <v>667</v>
      </c>
      <c r="R454" s="159">
        <v>0</v>
      </c>
    </row>
    <row r="455" spans="1:18" ht="22.5">
      <c r="A455" s="41">
        <v>446</v>
      </c>
      <c r="B455" s="61" t="s">
        <v>571</v>
      </c>
      <c r="C455" s="159">
        <v>69</v>
      </c>
      <c r="D455" s="159">
        <v>140</v>
      </c>
      <c r="E455" s="159">
        <v>470</v>
      </c>
      <c r="F455" s="159">
        <v>2</v>
      </c>
      <c r="G455" s="159">
        <v>1</v>
      </c>
      <c r="H455" s="159">
        <v>0</v>
      </c>
      <c r="I455" s="159">
        <v>2</v>
      </c>
      <c r="J455" s="159">
        <v>4</v>
      </c>
      <c r="K455" s="159">
        <v>1</v>
      </c>
      <c r="L455" s="159">
        <v>5</v>
      </c>
      <c r="M455" s="159">
        <v>0</v>
      </c>
      <c r="N455" s="160">
        <f t="shared" si="12"/>
        <v>694</v>
      </c>
      <c r="O455" s="159">
        <v>0</v>
      </c>
      <c r="P455" s="159">
        <v>1</v>
      </c>
      <c r="Q455" s="159">
        <f t="shared" si="13"/>
        <v>695</v>
      </c>
      <c r="R455" s="159">
        <v>0</v>
      </c>
    </row>
    <row r="456" spans="1:18" ht="22.5">
      <c r="A456" s="41">
        <v>447</v>
      </c>
      <c r="B456" s="61" t="s">
        <v>572</v>
      </c>
      <c r="C456" s="159">
        <v>284</v>
      </c>
      <c r="D456" s="159">
        <v>49</v>
      </c>
      <c r="E456" s="159">
        <v>435</v>
      </c>
      <c r="F456" s="159">
        <v>4</v>
      </c>
      <c r="G456" s="159">
        <v>1</v>
      </c>
      <c r="H456" s="159">
        <v>0</v>
      </c>
      <c r="I456" s="159">
        <v>2</v>
      </c>
      <c r="J456" s="159">
        <v>3</v>
      </c>
      <c r="K456" s="159">
        <v>2</v>
      </c>
      <c r="L456" s="159">
        <v>5</v>
      </c>
      <c r="M456" s="159">
        <v>2</v>
      </c>
      <c r="N456" s="160">
        <f t="shared" si="12"/>
        <v>787</v>
      </c>
      <c r="O456" s="159">
        <v>0</v>
      </c>
      <c r="P456" s="159">
        <v>7</v>
      </c>
      <c r="Q456" s="159">
        <f t="shared" si="13"/>
        <v>794</v>
      </c>
      <c r="R456" s="159">
        <v>0</v>
      </c>
    </row>
    <row r="457" spans="1:18">
      <c r="A457" s="41">
        <v>448</v>
      </c>
      <c r="B457" s="61" t="s">
        <v>573</v>
      </c>
      <c r="C457" s="159">
        <v>217</v>
      </c>
      <c r="D457" s="159">
        <v>13</v>
      </c>
      <c r="E457" s="159">
        <v>330</v>
      </c>
      <c r="F457" s="159">
        <v>2</v>
      </c>
      <c r="G457" s="159">
        <v>0</v>
      </c>
      <c r="H457" s="159">
        <v>0</v>
      </c>
      <c r="I457" s="159">
        <v>1</v>
      </c>
      <c r="J457" s="159">
        <v>0</v>
      </c>
      <c r="K457" s="159">
        <v>0</v>
      </c>
      <c r="L457" s="159">
        <v>7</v>
      </c>
      <c r="M457" s="159">
        <v>1</v>
      </c>
      <c r="N457" s="160">
        <f t="shared" si="12"/>
        <v>571</v>
      </c>
      <c r="O457" s="159">
        <v>0</v>
      </c>
      <c r="P457" s="159">
        <v>6</v>
      </c>
      <c r="Q457" s="159">
        <f t="shared" si="13"/>
        <v>577</v>
      </c>
      <c r="R457" s="159">
        <v>0</v>
      </c>
    </row>
    <row r="458" spans="1:18">
      <c r="A458" s="41">
        <v>449</v>
      </c>
      <c r="B458" s="61" t="s">
        <v>574</v>
      </c>
      <c r="C458" s="159">
        <v>1</v>
      </c>
      <c r="D458" s="159">
        <v>23</v>
      </c>
      <c r="E458" s="159">
        <v>492</v>
      </c>
      <c r="F458" s="159">
        <v>3</v>
      </c>
      <c r="G458" s="159">
        <v>0</v>
      </c>
      <c r="H458" s="159">
        <v>0</v>
      </c>
      <c r="I458" s="159">
        <v>0</v>
      </c>
      <c r="J458" s="159">
        <v>0</v>
      </c>
      <c r="K458" s="159">
        <v>0</v>
      </c>
      <c r="L458" s="159">
        <v>1</v>
      </c>
      <c r="M458" s="159">
        <v>1</v>
      </c>
      <c r="N458" s="160">
        <f t="shared" si="12"/>
        <v>521</v>
      </c>
      <c r="O458" s="159">
        <v>0</v>
      </c>
      <c r="P458" s="159">
        <v>1</v>
      </c>
      <c r="Q458" s="159">
        <f t="shared" si="13"/>
        <v>522</v>
      </c>
      <c r="R458" s="159">
        <v>0</v>
      </c>
    </row>
    <row r="459" spans="1:18" ht="22.5">
      <c r="A459" s="41">
        <v>450</v>
      </c>
      <c r="B459" s="61" t="s">
        <v>575</v>
      </c>
      <c r="C459" s="159">
        <v>28</v>
      </c>
      <c r="D459" s="159">
        <v>43</v>
      </c>
      <c r="E459" s="159">
        <v>406</v>
      </c>
      <c r="F459" s="159">
        <v>3</v>
      </c>
      <c r="G459" s="159">
        <v>0</v>
      </c>
      <c r="H459" s="159">
        <v>0</v>
      </c>
      <c r="I459" s="159">
        <v>2</v>
      </c>
      <c r="J459" s="159">
        <v>0</v>
      </c>
      <c r="K459" s="159">
        <v>1</v>
      </c>
      <c r="L459" s="159">
        <v>3</v>
      </c>
      <c r="M459" s="159">
        <v>1</v>
      </c>
      <c r="N459" s="160">
        <f t="shared" ref="N459:N484" si="14">SUM(C459:M459)</f>
        <v>487</v>
      </c>
      <c r="O459" s="159">
        <v>0</v>
      </c>
      <c r="P459" s="159">
        <v>0</v>
      </c>
      <c r="Q459" s="159">
        <f t="shared" ref="Q459:Q482" si="15">N459+P459-O459</f>
        <v>487</v>
      </c>
      <c r="R459" s="159">
        <v>0</v>
      </c>
    </row>
    <row r="460" spans="1:18" ht="22.5">
      <c r="A460" s="41">
        <v>451</v>
      </c>
      <c r="B460" s="61" t="s">
        <v>576</v>
      </c>
      <c r="C460" s="159">
        <v>149</v>
      </c>
      <c r="D460" s="159">
        <v>18</v>
      </c>
      <c r="E460" s="159">
        <v>295</v>
      </c>
      <c r="F460" s="159">
        <v>8</v>
      </c>
      <c r="G460" s="159">
        <v>2</v>
      </c>
      <c r="H460" s="159">
        <v>1</v>
      </c>
      <c r="I460" s="159">
        <v>0</v>
      </c>
      <c r="J460" s="159">
        <v>0</v>
      </c>
      <c r="K460" s="159">
        <v>2</v>
      </c>
      <c r="L460" s="159">
        <v>5</v>
      </c>
      <c r="M460" s="159">
        <v>2</v>
      </c>
      <c r="N460" s="160">
        <f t="shared" si="14"/>
        <v>482</v>
      </c>
      <c r="O460" s="159">
        <v>0</v>
      </c>
      <c r="P460" s="159">
        <v>5</v>
      </c>
      <c r="Q460" s="159">
        <f t="shared" si="15"/>
        <v>487</v>
      </c>
      <c r="R460" s="159">
        <v>0</v>
      </c>
    </row>
    <row r="461" spans="1:18">
      <c r="A461" s="41">
        <v>452</v>
      </c>
      <c r="B461" s="61" t="s">
        <v>577</v>
      </c>
      <c r="C461" s="159">
        <v>1</v>
      </c>
      <c r="D461" s="159">
        <v>32</v>
      </c>
      <c r="E461" s="159">
        <v>865</v>
      </c>
      <c r="F461" s="159">
        <v>3</v>
      </c>
      <c r="G461" s="159">
        <v>0</v>
      </c>
      <c r="H461" s="159">
        <v>0</v>
      </c>
      <c r="I461" s="159">
        <v>2</v>
      </c>
      <c r="J461" s="159">
        <v>0</v>
      </c>
      <c r="K461" s="159">
        <v>1</v>
      </c>
      <c r="L461" s="159">
        <v>9</v>
      </c>
      <c r="M461" s="159">
        <v>2</v>
      </c>
      <c r="N461" s="160">
        <f t="shared" si="14"/>
        <v>915</v>
      </c>
      <c r="O461" s="159">
        <v>0</v>
      </c>
      <c r="P461" s="159">
        <v>2</v>
      </c>
      <c r="Q461" s="159">
        <f t="shared" si="15"/>
        <v>917</v>
      </c>
      <c r="R461" s="159">
        <v>0</v>
      </c>
    </row>
    <row r="462" spans="1:18">
      <c r="A462" s="41">
        <v>453</v>
      </c>
      <c r="B462" s="61" t="s">
        <v>578</v>
      </c>
      <c r="C462" s="159">
        <v>139</v>
      </c>
      <c r="D462" s="159">
        <v>178</v>
      </c>
      <c r="E462" s="159">
        <v>574</v>
      </c>
      <c r="F462" s="159">
        <v>6</v>
      </c>
      <c r="G462" s="159">
        <v>0</v>
      </c>
      <c r="H462" s="159">
        <v>1</v>
      </c>
      <c r="I462" s="159">
        <v>1</v>
      </c>
      <c r="J462" s="159">
        <v>0</v>
      </c>
      <c r="K462" s="159">
        <v>0</v>
      </c>
      <c r="L462" s="159">
        <v>8</v>
      </c>
      <c r="M462" s="159">
        <v>3</v>
      </c>
      <c r="N462" s="160">
        <f t="shared" si="14"/>
        <v>910</v>
      </c>
      <c r="O462" s="159">
        <v>0</v>
      </c>
      <c r="P462" s="159">
        <v>6</v>
      </c>
      <c r="Q462" s="159">
        <f t="shared" si="15"/>
        <v>916</v>
      </c>
      <c r="R462" s="159">
        <v>0</v>
      </c>
    </row>
    <row r="463" spans="1:18">
      <c r="A463" s="41">
        <v>454</v>
      </c>
      <c r="B463" s="61" t="s">
        <v>579</v>
      </c>
      <c r="C463" s="159">
        <v>7</v>
      </c>
      <c r="D463" s="159">
        <v>29</v>
      </c>
      <c r="E463" s="159">
        <v>659</v>
      </c>
      <c r="F463" s="159">
        <v>1</v>
      </c>
      <c r="G463" s="159">
        <v>0</v>
      </c>
      <c r="H463" s="159">
        <v>0</v>
      </c>
      <c r="I463" s="159">
        <v>1</v>
      </c>
      <c r="J463" s="159">
        <v>3</v>
      </c>
      <c r="K463" s="159">
        <v>2</v>
      </c>
      <c r="L463" s="159">
        <v>4</v>
      </c>
      <c r="M463" s="159">
        <v>1</v>
      </c>
      <c r="N463" s="160">
        <f t="shared" si="14"/>
        <v>707</v>
      </c>
      <c r="O463" s="159">
        <v>0</v>
      </c>
      <c r="P463" s="159">
        <v>2</v>
      </c>
      <c r="Q463" s="159">
        <f t="shared" si="15"/>
        <v>709</v>
      </c>
      <c r="R463" s="159">
        <v>0</v>
      </c>
    </row>
    <row r="464" spans="1:18">
      <c r="A464" s="41">
        <v>455</v>
      </c>
      <c r="B464" s="61" t="s">
        <v>580</v>
      </c>
      <c r="C464" s="159">
        <v>177</v>
      </c>
      <c r="D464" s="159">
        <v>92</v>
      </c>
      <c r="E464" s="159">
        <v>457</v>
      </c>
      <c r="F464" s="159">
        <v>5</v>
      </c>
      <c r="G464" s="159">
        <v>1</v>
      </c>
      <c r="H464" s="159">
        <v>0</v>
      </c>
      <c r="I464" s="159">
        <v>0</v>
      </c>
      <c r="J464" s="159">
        <v>2</v>
      </c>
      <c r="K464" s="159">
        <v>2</v>
      </c>
      <c r="L464" s="159">
        <v>5</v>
      </c>
      <c r="M464" s="159">
        <v>3</v>
      </c>
      <c r="N464" s="160">
        <f t="shared" si="14"/>
        <v>744</v>
      </c>
      <c r="O464" s="159">
        <v>0</v>
      </c>
      <c r="P464" s="159">
        <v>3</v>
      </c>
      <c r="Q464" s="159">
        <f t="shared" si="15"/>
        <v>747</v>
      </c>
      <c r="R464" s="159">
        <v>0</v>
      </c>
    </row>
    <row r="465" spans="1:18" ht="22.5">
      <c r="A465" s="41">
        <v>456</v>
      </c>
      <c r="B465" s="61" t="s">
        <v>581</v>
      </c>
      <c r="C465" s="159">
        <v>72</v>
      </c>
      <c r="D465" s="159">
        <v>32</v>
      </c>
      <c r="E465" s="159">
        <v>238</v>
      </c>
      <c r="F465" s="159">
        <v>3</v>
      </c>
      <c r="G465" s="159">
        <v>0</v>
      </c>
      <c r="H465" s="159">
        <v>0</v>
      </c>
      <c r="I465" s="159">
        <v>0</v>
      </c>
      <c r="J465" s="159">
        <v>0</v>
      </c>
      <c r="K465" s="159">
        <v>1</v>
      </c>
      <c r="L465" s="159">
        <v>2</v>
      </c>
      <c r="M465" s="159">
        <v>1</v>
      </c>
      <c r="N465" s="160">
        <f t="shared" si="14"/>
        <v>349</v>
      </c>
      <c r="O465" s="159">
        <v>0</v>
      </c>
      <c r="P465" s="159">
        <v>2</v>
      </c>
      <c r="Q465" s="159">
        <f t="shared" si="15"/>
        <v>351</v>
      </c>
      <c r="R465" s="159">
        <v>0</v>
      </c>
    </row>
    <row r="466" spans="1:18" ht="22.5">
      <c r="A466" s="41">
        <v>457</v>
      </c>
      <c r="B466" s="61" t="s">
        <v>582</v>
      </c>
      <c r="C466" s="159">
        <v>4</v>
      </c>
      <c r="D466" s="159">
        <v>54</v>
      </c>
      <c r="E466" s="159">
        <v>523</v>
      </c>
      <c r="F466" s="159">
        <v>6</v>
      </c>
      <c r="G466" s="159">
        <v>1</v>
      </c>
      <c r="H466" s="159">
        <v>0</v>
      </c>
      <c r="I466" s="159">
        <v>0</v>
      </c>
      <c r="J466" s="159">
        <v>0</v>
      </c>
      <c r="K466" s="159">
        <v>1</v>
      </c>
      <c r="L466" s="159">
        <v>4</v>
      </c>
      <c r="M466" s="159">
        <v>1</v>
      </c>
      <c r="N466" s="160">
        <f t="shared" si="14"/>
        <v>594</v>
      </c>
      <c r="O466" s="159">
        <v>0</v>
      </c>
      <c r="P466" s="159">
        <v>3</v>
      </c>
      <c r="Q466" s="159">
        <f t="shared" si="15"/>
        <v>597</v>
      </c>
      <c r="R466" s="159">
        <v>0</v>
      </c>
    </row>
    <row r="467" spans="1:18" ht="22.5">
      <c r="A467" s="41">
        <v>458</v>
      </c>
      <c r="B467" s="61" t="s">
        <v>583</v>
      </c>
      <c r="C467" s="159">
        <v>71</v>
      </c>
      <c r="D467" s="159">
        <v>61</v>
      </c>
      <c r="E467" s="159">
        <v>404</v>
      </c>
      <c r="F467" s="159">
        <v>2</v>
      </c>
      <c r="G467" s="159">
        <v>1</v>
      </c>
      <c r="H467" s="159">
        <v>0</v>
      </c>
      <c r="I467" s="159">
        <v>0</v>
      </c>
      <c r="J467" s="159">
        <v>1</v>
      </c>
      <c r="K467" s="159">
        <v>0</v>
      </c>
      <c r="L467" s="159">
        <v>5</v>
      </c>
      <c r="M467" s="159">
        <v>3</v>
      </c>
      <c r="N467" s="160">
        <f t="shared" si="14"/>
        <v>548</v>
      </c>
      <c r="O467" s="159">
        <v>0</v>
      </c>
      <c r="P467" s="159">
        <v>2</v>
      </c>
      <c r="Q467" s="159">
        <f t="shared" si="15"/>
        <v>550</v>
      </c>
      <c r="R467" s="159">
        <v>0</v>
      </c>
    </row>
    <row r="468" spans="1:18" ht="22.5">
      <c r="A468" s="41">
        <v>459</v>
      </c>
      <c r="B468" s="61" t="s">
        <v>584</v>
      </c>
      <c r="C468" s="159">
        <v>65</v>
      </c>
      <c r="D468" s="159">
        <v>117</v>
      </c>
      <c r="E468" s="159">
        <v>608</v>
      </c>
      <c r="F468" s="159">
        <v>9</v>
      </c>
      <c r="G468" s="159">
        <v>1</v>
      </c>
      <c r="H468" s="159">
        <v>0</v>
      </c>
      <c r="I468" s="159">
        <v>1</v>
      </c>
      <c r="J468" s="159">
        <v>0</v>
      </c>
      <c r="K468" s="159">
        <v>1</v>
      </c>
      <c r="L468" s="159">
        <v>11</v>
      </c>
      <c r="M468" s="159">
        <v>3</v>
      </c>
      <c r="N468" s="160">
        <f t="shared" si="14"/>
        <v>816</v>
      </c>
      <c r="O468" s="159">
        <v>0</v>
      </c>
      <c r="P468" s="159">
        <v>6</v>
      </c>
      <c r="Q468" s="159">
        <f t="shared" si="15"/>
        <v>822</v>
      </c>
      <c r="R468" s="159">
        <v>0</v>
      </c>
    </row>
    <row r="469" spans="1:18">
      <c r="A469" s="41">
        <v>460</v>
      </c>
      <c r="B469" s="61" t="s">
        <v>585</v>
      </c>
      <c r="C469" s="159">
        <v>32</v>
      </c>
      <c r="D469" s="159">
        <v>72</v>
      </c>
      <c r="E469" s="159">
        <v>458</v>
      </c>
      <c r="F469" s="159">
        <v>6</v>
      </c>
      <c r="G469" s="159">
        <v>0</v>
      </c>
      <c r="H469" s="159">
        <v>0</v>
      </c>
      <c r="I469" s="159">
        <v>2</v>
      </c>
      <c r="J469" s="159">
        <v>4</v>
      </c>
      <c r="K469" s="159">
        <v>0</v>
      </c>
      <c r="L469" s="159">
        <v>4</v>
      </c>
      <c r="M469" s="159">
        <v>0</v>
      </c>
      <c r="N469" s="160">
        <f t="shared" si="14"/>
        <v>578</v>
      </c>
      <c r="O469" s="159">
        <v>0</v>
      </c>
      <c r="P469" s="159">
        <v>2</v>
      </c>
      <c r="Q469" s="159">
        <f t="shared" si="15"/>
        <v>580</v>
      </c>
      <c r="R469" s="159">
        <v>0</v>
      </c>
    </row>
    <row r="470" spans="1:18">
      <c r="A470" s="41">
        <v>461</v>
      </c>
      <c r="B470" s="61" t="s">
        <v>586</v>
      </c>
      <c r="C470" s="159">
        <v>218</v>
      </c>
      <c r="D470" s="159">
        <v>47</v>
      </c>
      <c r="E470" s="159">
        <v>382</v>
      </c>
      <c r="F470" s="159">
        <v>6</v>
      </c>
      <c r="G470" s="159">
        <v>3</v>
      </c>
      <c r="H470" s="159">
        <v>0</v>
      </c>
      <c r="I470" s="159">
        <v>0</v>
      </c>
      <c r="J470" s="159">
        <v>3</v>
      </c>
      <c r="K470" s="159">
        <v>0</v>
      </c>
      <c r="L470" s="159">
        <v>3</v>
      </c>
      <c r="M470" s="159">
        <v>1</v>
      </c>
      <c r="N470" s="160">
        <f t="shared" si="14"/>
        <v>663</v>
      </c>
      <c r="O470" s="159">
        <v>0</v>
      </c>
      <c r="P470" s="159">
        <v>2</v>
      </c>
      <c r="Q470" s="159">
        <f t="shared" si="15"/>
        <v>665</v>
      </c>
      <c r="R470" s="159">
        <v>0</v>
      </c>
    </row>
    <row r="471" spans="1:18">
      <c r="A471" s="41">
        <v>462</v>
      </c>
      <c r="B471" s="61" t="s">
        <v>587</v>
      </c>
      <c r="C471" s="159">
        <v>77</v>
      </c>
      <c r="D471" s="159">
        <v>69</v>
      </c>
      <c r="E471" s="159">
        <v>379</v>
      </c>
      <c r="F471" s="159">
        <v>1</v>
      </c>
      <c r="G471" s="159">
        <v>3</v>
      </c>
      <c r="H471" s="159">
        <v>0</v>
      </c>
      <c r="I471" s="159">
        <v>0</v>
      </c>
      <c r="J471" s="159">
        <v>57</v>
      </c>
      <c r="K471" s="159">
        <v>1</v>
      </c>
      <c r="L471" s="159">
        <v>3</v>
      </c>
      <c r="M471" s="159">
        <v>0</v>
      </c>
      <c r="N471" s="160">
        <f t="shared" si="14"/>
        <v>590</v>
      </c>
      <c r="O471" s="159">
        <v>0</v>
      </c>
      <c r="P471" s="159">
        <v>1</v>
      </c>
      <c r="Q471" s="159">
        <f t="shared" si="15"/>
        <v>591</v>
      </c>
      <c r="R471" s="159">
        <v>0</v>
      </c>
    </row>
    <row r="472" spans="1:18">
      <c r="A472" s="41">
        <v>463</v>
      </c>
      <c r="B472" s="61" t="s">
        <v>588</v>
      </c>
      <c r="C472" s="159">
        <v>112</v>
      </c>
      <c r="D472" s="159">
        <v>39</v>
      </c>
      <c r="E472" s="159">
        <v>312</v>
      </c>
      <c r="F472" s="159">
        <v>3</v>
      </c>
      <c r="G472" s="159">
        <v>0</v>
      </c>
      <c r="H472" s="159">
        <v>0</v>
      </c>
      <c r="I472" s="159">
        <v>1</v>
      </c>
      <c r="J472" s="159">
        <v>10</v>
      </c>
      <c r="K472" s="159">
        <v>0</v>
      </c>
      <c r="L472" s="159">
        <v>5</v>
      </c>
      <c r="M472" s="159">
        <v>0</v>
      </c>
      <c r="N472" s="160">
        <f t="shared" si="14"/>
        <v>482</v>
      </c>
      <c r="O472" s="159">
        <v>0</v>
      </c>
      <c r="P472" s="159">
        <v>4</v>
      </c>
      <c r="Q472" s="159">
        <f t="shared" si="15"/>
        <v>486</v>
      </c>
      <c r="R472" s="159">
        <v>0</v>
      </c>
    </row>
    <row r="473" spans="1:18">
      <c r="A473" s="41">
        <v>464</v>
      </c>
      <c r="B473" s="61" t="s">
        <v>589</v>
      </c>
      <c r="C473" s="159">
        <v>307</v>
      </c>
      <c r="D473" s="159">
        <v>61</v>
      </c>
      <c r="E473" s="159">
        <v>177</v>
      </c>
      <c r="F473" s="159">
        <v>3</v>
      </c>
      <c r="G473" s="159">
        <v>1</v>
      </c>
      <c r="H473" s="159">
        <v>0</v>
      </c>
      <c r="I473" s="159">
        <v>1</v>
      </c>
      <c r="J473" s="159">
        <v>2</v>
      </c>
      <c r="K473" s="159">
        <v>2</v>
      </c>
      <c r="L473" s="159">
        <v>4</v>
      </c>
      <c r="M473" s="159">
        <v>1</v>
      </c>
      <c r="N473" s="160">
        <f t="shared" si="14"/>
        <v>559</v>
      </c>
      <c r="O473" s="159">
        <v>0</v>
      </c>
      <c r="P473" s="159">
        <v>5</v>
      </c>
      <c r="Q473" s="159">
        <f t="shared" si="15"/>
        <v>564</v>
      </c>
      <c r="R473" s="159">
        <v>0</v>
      </c>
    </row>
    <row r="474" spans="1:18">
      <c r="A474" s="41">
        <v>465</v>
      </c>
      <c r="B474" s="61" t="s">
        <v>590</v>
      </c>
      <c r="C474" s="159">
        <v>269</v>
      </c>
      <c r="D474" s="159">
        <v>38</v>
      </c>
      <c r="E474" s="159">
        <v>490</v>
      </c>
      <c r="F474" s="159">
        <v>6</v>
      </c>
      <c r="G474" s="159">
        <v>0</v>
      </c>
      <c r="H474" s="159">
        <v>0</v>
      </c>
      <c r="I474" s="159">
        <v>0</v>
      </c>
      <c r="J474" s="159">
        <v>0</v>
      </c>
      <c r="K474" s="159">
        <v>0</v>
      </c>
      <c r="L474" s="159">
        <v>2</v>
      </c>
      <c r="M474" s="159">
        <v>1</v>
      </c>
      <c r="N474" s="160">
        <f t="shared" si="14"/>
        <v>806</v>
      </c>
      <c r="O474" s="159">
        <v>0</v>
      </c>
      <c r="P474" s="159">
        <v>8</v>
      </c>
      <c r="Q474" s="159">
        <f t="shared" si="15"/>
        <v>814</v>
      </c>
      <c r="R474" s="159">
        <v>0</v>
      </c>
    </row>
    <row r="475" spans="1:18">
      <c r="A475" s="41">
        <v>466</v>
      </c>
      <c r="B475" s="61" t="s">
        <v>591</v>
      </c>
      <c r="C475" s="159">
        <v>175</v>
      </c>
      <c r="D475" s="159">
        <v>81</v>
      </c>
      <c r="E475" s="159">
        <v>272</v>
      </c>
      <c r="F475" s="159">
        <v>4</v>
      </c>
      <c r="G475" s="159">
        <v>0</v>
      </c>
      <c r="H475" s="159">
        <v>0</v>
      </c>
      <c r="I475" s="159">
        <v>0</v>
      </c>
      <c r="J475" s="159">
        <v>1</v>
      </c>
      <c r="K475" s="159">
        <v>0</v>
      </c>
      <c r="L475" s="159">
        <v>3</v>
      </c>
      <c r="M475" s="159">
        <v>0</v>
      </c>
      <c r="N475" s="160">
        <f t="shared" si="14"/>
        <v>536</v>
      </c>
      <c r="O475" s="159">
        <v>0</v>
      </c>
      <c r="P475" s="159">
        <v>2</v>
      </c>
      <c r="Q475" s="159">
        <f t="shared" si="15"/>
        <v>538</v>
      </c>
      <c r="R475" s="159">
        <v>0</v>
      </c>
    </row>
    <row r="476" spans="1:18" ht="22.5">
      <c r="A476" s="41">
        <v>467</v>
      </c>
      <c r="B476" s="61" t="s">
        <v>592</v>
      </c>
      <c r="C476" s="159">
        <v>245</v>
      </c>
      <c r="D476" s="159">
        <v>93</v>
      </c>
      <c r="E476" s="159">
        <v>164</v>
      </c>
      <c r="F476" s="159">
        <v>3</v>
      </c>
      <c r="G476" s="159">
        <v>0</v>
      </c>
      <c r="H476" s="159">
        <v>0</v>
      </c>
      <c r="I476" s="159">
        <v>1</v>
      </c>
      <c r="J476" s="159">
        <v>4</v>
      </c>
      <c r="K476" s="159">
        <v>0</v>
      </c>
      <c r="L476" s="159">
        <v>3</v>
      </c>
      <c r="M476" s="159">
        <v>1</v>
      </c>
      <c r="N476" s="160">
        <f t="shared" si="14"/>
        <v>514</v>
      </c>
      <c r="O476" s="159">
        <v>0</v>
      </c>
      <c r="P476" s="159">
        <v>0</v>
      </c>
      <c r="Q476" s="159">
        <f t="shared" si="15"/>
        <v>514</v>
      </c>
      <c r="R476" s="159">
        <v>0</v>
      </c>
    </row>
    <row r="477" spans="1:18">
      <c r="A477" s="41">
        <v>468</v>
      </c>
      <c r="B477" s="61" t="s">
        <v>593</v>
      </c>
      <c r="C477" s="159">
        <v>4</v>
      </c>
      <c r="D477" s="159">
        <v>50</v>
      </c>
      <c r="E477" s="159">
        <v>399</v>
      </c>
      <c r="F477" s="159">
        <v>4</v>
      </c>
      <c r="G477" s="159">
        <v>2</v>
      </c>
      <c r="H477" s="159">
        <v>1</v>
      </c>
      <c r="I477" s="159">
        <v>0</v>
      </c>
      <c r="J477" s="159">
        <v>0</v>
      </c>
      <c r="K477" s="159">
        <v>1</v>
      </c>
      <c r="L477" s="159">
        <v>0</v>
      </c>
      <c r="M477" s="159">
        <v>0</v>
      </c>
      <c r="N477" s="160">
        <f t="shared" si="14"/>
        <v>461</v>
      </c>
      <c r="O477" s="159">
        <v>0</v>
      </c>
      <c r="P477" s="159">
        <v>1</v>
      </c>
      <c r="Q477" s="159">
        <f t="shared" si="15"/>
        <v>462</v>
      </c>
      <c r="R477" s="159">
        <v>0</v>
      </c>
    </row>
    <row r="478" spans="1:18">
      <c r="A478" s="41">
        <v>469</v>
      </c>
      <c r="B478" s="61" t="s">
        <v>594</v>
      </c>
      <c r="C478" s="159">
        <v>264</v>
      </c>
      <c r="D478" s="159">
        <v>8</v>
      </c>
      <c r="E478" s="159">
        <v>118</v>
      </c>
      <c r="F478" s="159">
        <v>2</v>
      </c>
      <c r="G478" s="159">
        <v>1</v>
      </c>
      <c r="H478" s="159">
        <v>0</v>
      </c>
      <c r="I478" s="159">
        <v>0</v>
      </c>
      <c r="J478" s="159">
        <v>2</v>
      </c>
      <c r="K478" s="159">
        <v>0</v>
      </c>
      <c r="L478" s="159">
        <v>1</v>
      </c>
      <c r="M478" s="159">
        <v>1</v>
      </c>
      <c r="N478" s="160">
        <f t="shared" si="14"/>
        <v>397</v>
      </c>
      <c r="O478" s="159">
        <v>0</v>
      </c>
      <c r="P478" s="159">
        <v>3</v>
      </c>
      <c r="Q478" s="159">
        <f t="shared" si="15"/>
        <v>400</v>
      </c>
      <c r="R478" s="159">
        <v>0</v>
      </c>
    </row>
    <row r="479" spans="1:18" ht="22.5">
      <c r="A479" s="41">
        <v>470</v>
      </c>
      <c r="B479" s="61" t="s">
        <v>595</v>
      </c>
      <c r="C479" s="159">
        <v>9</v>
      </c>
      <c r="D479" s="159">
        <v>78</v>
      </c>
      <c r="E479" s="159">
        <v>436</v>
      </c>
      <c r="F479" s="159">
        <v>6</v>
      </c>
      <c r="G479" s="159">
        <v>0</v>
      </c>
      <c r="H479" s="159">
        <v>0</v>
      </c>
      <c r="I479" s="159">
        <v>2</v>
      </c>
      <c r="J479" s="159">
        <v>0</v>
      </c>
      <c r="K479" s="159">
        <v>0</v>
      </c>
      <c r="L479" s="159">
        <v>10</v>
      </c>
      <c r="M479" s="159">
        <v>1</v>
      </c>
      <c r="N479" s="160">
        <f t="shared" si="14"/>
        <v>542</v>
      </c>
      <c r="O479" s="159">
        <v>0</v>
      </c>
      <c r="P479" s="159">
        <v>0</v>
      </c>
      <c r="Q479" s="159">
        <f t="shared" si="15"/>
        <v>542</v>
      </c>
      <c r="R479" s="159">
        <v>0</v>
      </c>
    </row>
    <row r="480" spans="1:18" ht="22.5">
      <c r="A480" s="41">
        <v>471</v>
      </c>
      <c r="B480" s="61" t="s">
        <v>596</v>
      </c>
      <c r="C480" s="159">
        <v>27</v>
      </c>
      <c r="D480" s="159">
        <v>127</v>
      </c>
      <c r="E480" s="159">
        <v>339</v>
      </c>
      <c r="F480" s="159">
        <v>3</v>
      </c>
      <c r="G480" s="159">
        <v>2</v>
      </c>
      <c r="H480" s="159">
        <v>0</v>
      </c>
      <c r="I480" s="159">
        <v>2</v>
      </c>
      <c r="J480" s="159">
        <v>13</v>
      </c>
      <c r="K480" s="159">
        <v>0</v>
      </c>
      <c r="L480" s="159">
        <v>2</v>
      </c>
      <c r="M480" s="159">
        <v>2</v>
      </c>
      <c r="N480" s="160">
        <f t="shared" si="14"/>
        <v>517</v>
      </c>
      <c r="O480" s="159">
        <v>0</v>
      </c>
      <c r="P480" s="159">
        <v>0</v>
      </c>
      <c r="Q480" s="159">
        <f t="shared" si="15"/>
        <v>517</v>
      </c>
      <c r="R480" s="159">
        <v>0</v>
      </c>
    </row>
    <row r="481" spans="1:18">
      <c r="A481" s="41">
        <v>472</v>
      </c>
      <c r="B481" s="61" t="s">
        <v>597</v>
      </c>
      <c r="C481" s="159">
        <v>36</v>
      </c>
      <c r="D481" s="159">
        <v>83</v>
      </c>
      <c r="E481" s="159">
        <v>398</v>
      </c>
      <c r="F481" s="159">
        <v>4</v>
      </c>
      <c r="G481" s="159">
        <v>0</v>
      </c>
      <c r="H481" s="159">
        <v>2</v>
      </c>
      <c r="I481" s="159">
        <v>0</v>
      </c>
      <c r="J481" s="159">
        <v>1</v>
      </c>
      <c r="K481" s="159">
        <v>0</v>
      </c>
      <c r="L481" s="159">
        <v>2</v>
      </c>
      <c r="M481" s="159">
        <v>0</v>
      </c>
      <c r="N481" s="160">
        <f t="shared" si="14"/>
        <v>526</v>
      </c>
      <c r="O481" s="159">
        <v>0</v>
      </c>
      <c r="P481" s="159">
        <v>0</v>
      </c>
      <c r="Q481" s="159">
        <f t="shared" si="15"/>
        <v>526</v>
      </c>
      <c r="R481" s="159">
        <v>0</v>
      </c>
    </row>
    <row r="482" spans="1:18">
      <c r="A482" s="234" t="s">
        <v>1228</v>
      </c>
      <c r="B482" s="234"/>
      <c r="C482" s="152">
        <f t="shared" ref="C482:R482" si="16">SUM(C10:C481)</f>
        <v>42351</v>
      </c>
      <c r="D482" s="152">
        <f t="shared" si="16"/>
        <v>95674</v>
      </c>
      <c r="E482" s="152">
        <f t="shared" si="16"/>
        <v>124620</v>
      </c>
      <c r="F482" s="152">
        <f t="shared" si="16"/>
        <v>2267</v>
      </c>
      <c r="G482" s="152">
        <f t="shared" si="16"/>
        <v>681</v>
      </c>
      <c r="H482" s="152">
        <f t="shared" si="16"/>
        <v>117</v>
      </c>
      <c r="I482" s="152">
        <f t="shared" si="16"/>
        <v>202</v>
      </c>
      <c r="J482" s="152">
        <f t="shared" si="16"/>
        <v>467</v>
      </c>
      <c r="K482" s="152">
        <f t="shared" si="16"/>
        <v>1731</v>
      </c>
      <c r="L482" s="152">
        <f t="shared" si="16"/>
        <v>1340</v>
      </c>
      <c r="M482" s="152">
        <f t="shared" si="16"/>
        <v>527</v>
      </c>
      <c r="N482" s="160">
        <f t="shared" si="14"/>
        <v>269977</v>
      </c>
      <c r="O482" s="152">
        <f t="shared" si="16"/>
        <v>0</v>
      </c>
      <c r="P482" s="152">
        <f>SUM(P10:P481)</f>
        <v>1194</v>
      </c>
      <c r="Q482" s="159">
        <f t="shared" si="15"/>
        <v>271171</v>
      </c>
      <c r="R482" s="152">
        <f t="shared" si="16"/>
        <v>0</v>
      </c>
    </row>
    <row r="483" spans="1:18" ht="31.5" customHeight="1">
      <c r="A483" s="234" t="s">
        <v>1229</v>
      </c>
      <c r="B483" s="234"/>
      <c r="C483" s="162">
        <v>283</v>
      </c>
      <c r="D483" s="162">
        <v>627</v>
      </c>
      <c r="E483" s="162">
        <v>1024</v>
      </c>
      <c r="F483" s="162">
        <v>14</v>
      </c>
      <c r="G483" s="162">
        <v>4</v>
      </c>
      <c r="H483" s="162">
        <v>0</v>
      </c>
      <c r="I483" s="162">
        <v>1</v>
      </c>
      <c r="J483" s="162">
        <v>5</v>
      </c>
      <c r="K483" s="162">
        <v>1</v>
      </c>
      <c r="L483" s="162">
        <v>1</v>
      </c>
      <c r="M483" s="162">
        <v>1</v>
      </c>
      <c r="N483" s="160">
        <f t="shared" si="14"/>
        <v>1961</v>
      </c>
      <c r="O483" s="162">
        <v>696</v>
      </c>
      <c r="P483" s="162">
        <v>1</v>
      </c>
      <c r="Q483" s="159">
        <f>N483+P483+O483</f>
        <v>2658</v>
      </c>
      <c r="R483" s="162">
        <v>0</v>
      </c>
    </row>
    <row r="484" spans="1:18">
      <c r="A484" s="234" t="s">
        <v>1230</v>
      </c>
      <c r="B484" s="234"/>
      <c r="C484" s="154">
        <f t="shared" ref="C484:R484" si="17">SUM(C482:C483)</f>
        <v>42634</v>
      </c>
      <c r="D484" s="154">
        <f t="shared" si="17"/>
        <v>96301</v>
      </c>
      <c r="E484" s="154">
        <f t="shared" si="17"/>
        <v>125644</v>
      </c>
      <c r="F484" s="154">
        <f t="shared" si="17"/>
        <v>2281</v>
      </c>
      <c r="G484" s="154">
        <f t="shared" si="17"/>
        <v>685</v>
      </c>
      <c r="H484" s="154">
        <f t="shared" si="17"/>
        <v>117</v>
      </c>
      <c r="I484" s="154">
        <f t="shared" si="17"/>
        <v>203</v>
      </c>
      <c r="J484" s="154">
        <f t="shared" si="17"/>
        <v>472</v>
      </c>
      <c r="K484" s="154">
        <f t="shared" si="17"/>
        <v>1732</v>
      </c>
      <c r="L484" s="154">
        <f t="shared" si="17"/>
        <v>1341</v>
      </c>
      <c r="M484" s="154">
        <f t="shared" si="17"/>
        <v>528</v>
      </c>
      <c r="N484" s="160">
        <f t="shared" si="14"/>
        <v>271938</v>
      </c>
      <c r="O484" s="154">
        <f t="shared" si="17"/>
        <v>696</v>
      </c>
      <c r="P484" s="154">
        <f>SUM(P482:P483)</f>
        <v>1195</v>
      </c>
      <c r="Q484" s="159">
        <f>N484+P484+O484</f>
        <v>273829</v>
      </c>
      <c r="R484" s="154">
        <f t="shared" si="17"/>
        <v>0</v>
      </c>
    </row>
    <row r="488" spans="1:18">
      <c r="N488" s="206" t="s">
        <v>1084</v>
      </c>
      <c r="O488" s="206"/>
      <c r="P488" s="206"/>
    </row>
    <row r="489" spans="1:18">
      <c r="N489" s="206" t="s">
        <v>1085</v>
      </c>
      <c r="O489" s="206"/>
      <c r="P489" s="206"/>
    </row>
  </sheetData>
  <mergeCells count="21">
    <mergeCell ref="A482:B482"/>
    <mergeCell ref="A483:B483"/>
    <mergeCell ref="A484:B484"/>
    <mergeCell ref="N488:P488"/>
    <mergeCell ref="N489:P489"/>
    <mergeCell ref="C7:R7"/>
    <mergeCell ref="A8:A9"/>
    <mergeCell ref="B8:B9"/>
    <mergeCell ref="C8:M8"/>
    <mergeCell ref="P8:P9"/>
    <mergeCell ref="N8:N9"/>
    <mergeCell ref="O8:O9"/>
    <mergeCell ref="Q8:Q9"/>
    <mergeCell ref="R8:R9"/>
    <mergeCell ref="A6:G6"/>
    <mergeCell ref="H6:R6"/>
    <mergeCell ref="A1:R1"/>
    <mergeCell ref="A2:R2"/>
    <mergeCell ref="A3:R3"/>
    <mergeCell ref="A4:R4"/>
    <mergeCell ref="C5:R5"/>
  </mergeCells>
  <pageMargins left="0.7" right="0.21" top="0.45" bottom="0.47" header="0.3" footer="0.3"/>
  <pageSetup paperSize="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D1" sqref="D1"/>
    </sheetView>
  </sheetViews>
  <sheetFormatPr defaultRowHeight="15"/>
  <cols>
    <col min="2" max="2" width="19.140625" customWidth="1"/>
    <col min="3" max="3" width="27.85546875" customWidth="1"/>
    <col min="4" max="4" width="36.5703125" customWidth="1"/>
  </cols>
  <sheetData>
    <row r="1" spans="1:4" s="127" customFormat="1">
      <c r="D1" s="53" t="s">
        <v>1170</v>
      </c>
    </row>
    <row r="2" spans="1:4" ht="18.75">
      <c r="A2" s="238" t="s">
        <v>1134</v>
      </c>
      <c r="B2" s="238"/>
      <c r="C2" s="238"/>
      <c r="D2" s="238"/>
    </row>
    <row r="3" spans="1:4" ht="18.75">
      <c r="A3" s="239" t="s">
        <v>1126</v>
      </c>
      <c r="B3" s="239"/>
      <c r="C3" s="239"/>
      <c r="D3" s="239"/>
    </row>
    <row r="4" spans="1:4" ht="18.75">
      <c r="A4" s="239" t="s">
        <v>1127</v>
      </c>
      <c r="B4" s="239"/>
      <c r="C4" s="239"/>
      <c r="D4" s="239"/>
    </row>
    <row r="5" spans="1:4" ht="18.75">
      <c r="A5" s="239" t="s">
        <v>1128</v>
      </c>
      <c r="B5" s="239"/>
      <c r="C5" s="239"/>
      <c r="D5" s="239"/>
    </row>
    <row r="6" spans="1:4" ht="18.75">
      <c r="A6" s="239" t="s">
        <v>1129</v>
      </c>
      <c r="B6" s="239"/>
      <c r="C6" s="239"/>
      <c r="D6" s="239"/>
    </row>
    <row r="7" spans="1:4" ht="20.25">
      <c r="A7" s="240" t="s">
        <v>1130</v>
      </c>
      <c r="B7" s="241"/>
      <c r="C7" s="241"/>
      <c r="D7" s="242"/>
    </row>
    <row r="8" spans="1:4" ht="18.75">
      <c r="A8" s="82" t="s">
        <v>1088</v>
      </c>
      <c r="B8" s="82" t="s">
        <v>1131</v>
      </c>
      <c r="C8" s="82" t="s">
        <v>1132</v>
      </c>
      <c r="D8" s="82" t="s">
        <v>1133</v>
      </c>
    </row>
    <row r="9" spans="1:4" ht="18.75">
      <c r="A9" s="82">
        <v>1</v>
      </c>
      <c r="B9" s="82">
        <v>2</v>
      </c>
      <c r="C9" s="82">
        <v>3</v>
      </c>
      <c r="D9" s="82">
        <v>4</v>
      </c>
    </row>
    <row r="10" spans="1:4" ht="20.25">
      <c r="A10" s="124">
        <v>1</v>
      </c>
      <c r="B10" s="125" t="s">
        <v>598</v>
      </c>
      <c r="C10" s="99"/>
      <c r="D10" s="99"/>
    </row>
    <row r="11" spans="1:4" ht="20.25">
      <c r="A11" s="124">
        <v>2</v>
      </c>
      <c r="B11" s="125" t="s">
        <v>599</v>
      </c>
      <c r="C11" s="99"/>
      <c r="D11" s="99"/>
    </row>
    <row r="12" spans="1:4" ht="20.25">
      <c r="A12" s="124">
        <v>3</v>
      </c>
      <c r="B12" s="125" t="s">
        <v>600</v>
      </c>
      <c r="C12" s="99"/>
      <c r="D12" s="99"/>
    </row>
    <row r="13" spans="1:4" ht="20.25">
      <c r="A13" s="124">
        <v>4</v>
      </c>
      <c r="B13" s="125" t="s">
        <v>601</v>
      </c>
      <c r="C13" s="99"/>
      <c r="D13" s="99"/>
    </row>
    <row r="14" spans="1:4" ht="20.25">
      <c r="A14" s="124">
        <v>5</v>
      </c>
      <c r="B14" s="126" t="s">
        <v>602</v>
      </c>
      <c r="C14" s="99"/>
      <c r="D14" s="99"/>
    </row>
    <row r="15" spans="1:4" ht="20.25">
      <c r="A15" s="124">
        <v>6</v>
      </c>
      <c r="B15" s="126" t="s">
        <v>603</v>
      </c>
      <c r="C15" s="99"/>
      <c r="D15" s="99"/>
    </row>
    <row r="16" spans="1:4" ht="20.25">
      <c r="A16" s="124">
        <v>7</v>
      </c>
      <c r="B16" s="126" t="s">
        <v>604</v>
      </c>
      <c r="C16" s="99"/>
      <c r="D16" s="99"/>
    </row>
    <row r="17" spans="1:4" ht="20.25">
      <c r="A17" s="124">
        <v>8</v>
      </c>
      <c r="B17" s="126" t="s">
        <v>605</v>
      </c>
      <c r="C17" s="99"/>
      <c r="D17" s="99"/>
    </row>
    <row r="18" spans="1:4" ht="20.25">
      <c r="A18" s="124">
        <v>9</v>
      </c>
      <c r="B18" s="126" t="s">
        <v>606</v>
      </c>
      <c r="C18" s="99"/>
      <c r="D18" s="99"/>
    </row>
    <row r="19" spans="1:4" ht="20.25">
      <c r="A19" s="124">
        <v>10</v>
      </c>
      <c r="B19" s="126" t="s">
        <v>607</v>
      </c>
      <c r="C19" s="99"/>
      <c r="D19" s="99"/>
    </row>
    <row r="20" spans="1:4" ht="20.25">
      <c r="A20" s="124">
        <v>11</v>
      </c>
      <c r="B20" s="126" t="s">
        <v>608</v>
      </c>
      <c r="C20" s="99"/>
      <c r="D20" s="99"/>
    </row>
    <row r="21" spans="1:4" ht="18.75">
      <c r="A21" s="235" t="s">
        <v>1098</v>
      </c>
      <c r="B21" s="236"/>
      <c r="C21" s="236"/>
      <c r="D21" s="237"/>
    </row>
    <row r="22" spans="1:4" ht="18.75">
      <c r="A22" s="235" t="s">
        <v>1099</v>
      </c>
      <c r="B22" s="236"/>
      <c r="C22" s="236"/>
      <c r="D22" s="237"/>
    </row>
    <row r="23" spans="1:4">
      <c r="A23" s="80"/>
      <c r="B23" s="80"/>
      <c r="C23" s="80"/>
      <c r="D23" s="80"/>
    </row>
    <row r="24" spans="1:4">
      <c r="A24" s="80"/>
      <c r="B24" s="80"/>
      <c r="C24" s="80"/>
      <c r="D24" s="80"/>
    </row>
    <row r="25" spans="1:4">
      <c r="A25" s="80"/>
      <c r="B25" s="80"/>
      <c r="C25" s="80"/>
      <c r="D25" s="80"/>
    </row>
    <row r="26" spans="1:4">
      <c r="A26" s="80"/>
      <c r="B26" s="80"/>
      <c r="C26" s="80"/>
      <c r="D26" s="80"/>
    </row>
    <row r="27" spans="1:4">
      <c r="A27" s="80"/>
      <c r="B27" s="80"/>
      <c r="C27" s="80"/>
      <c r="D27" s="80"/>
    </row>
    <row r="28" spans="1:4" ht="18.75">
      <c r="A28" s="80"/>
      <c r="B28" s="80"/>
      <c r="C28" s="80"/>
      <c r="D28" s="100" t="s">
        <v>1084</v>
      </c>
    </row>
    <row r="29" spans="1:4" ht="18.75">
      <c r="A29" s="80"/>
      <c r="B29" s="80"/>
      <c r="C29" s="80"/>
      <c r="D29" s="100" t="s">
        <v>1101</v>
      </c>
    </row>
  </sheetData>
  <mergeCells count="8">
    <mergeCell ref="A21:D21"/>
    <mergeCell ref="A22:D22"/>
    <mergeCell ref="A2:D2"/>
    <mergeCell ref="A3:D3"/>
    <mergeCell ref="A4:D4"/>
    <mergeCell ref="A5:D5"/>
    <mergeCell ref="A6:D6"/>
    <mergeCell ref="A7:D7"/>
  </mergeCells>
  <pageMargins left="0.7" right="0.32" top="0.75" bottom="0.75" header="0.3" footer="0.3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selection activeCell="C11" sqref="C11"/>
    </sheetView>
  </sheetViews>
  <sheetFormatPr defaultRowHeight="15"/>
  <cols>
    <col min="2" max="2" width="20" customWidth="1"/>
    <col min="3" max="3" width="19.140625" customWidth="1"/>
    <col min="4" max="4" width="27.42578125" customWidth="1"/>
    <col min="5" max="5" width="14.140625" customWidth="1"/>
  </cols>
  <sheetData>
    <row r="1" spans="1:5" ht="18.75">
      <c r="A1" s="243" t="s">
        <v>1135</v>
      </c>
      <c r="B1" s="244"/>
      <c r="C1" s="244"/>
      <c r="D1" s="244"/>
      <c r="E1" s="245"/>
    </row>
    <row r="2" spans="1:5" ht="18.75">
      <c r="A2" s="243" t="s">
        <v>1136</v>
      </c>
      <c r="B2" s="244"/>
      <c r="C2" s="244"/>
      <c r="D2" s="244"/>
      <c r="E2" s="245"/>
    </row>
    <row r="3" spans="1:5" ht="18.75">
      <c r="A3" s="243" t="s">
        <v>1137</v>
      </c>
      <c r="B3" s="244"/>
      <c r="C3" s="244"/>
      <c r="D3" s="244"/>
      <c r="E3" s="245"/>
    </row>
    <row r="4" spans="1:5" ht="18.75">
      <c r="A4" s="235" t="s">
        <v>1134</v>
      </c>
      <c r="B4" s="236"/>
      <c r="C4" s="236"/>
      <c r="D4" s="236"/>
      <c r="E4" s="237"/>
    </row>
    <row r="5" spans="1:5" ht="18.75">
      <c r="A5" s="235" t="s">
        <v>1138</v>
      </c>
      <c r="B5" s="236"/>
      <c r="C5" s="236"/>
      <c r="D5" s="236"/>
      <c r="E5" s="237"/>
    </row>
    <row r="6" spans="1:5" ht="18.75">
      <c r="A6" s="235" t="s">
        <v>1127</v>
      </c>
      <c r="B6" s="236"/>
      <c r="C6" s="236"/>
      <c r="D6" s="236"/>
      <c r="E6" s="237"/>
    </row>
    <row r="7" spans="1:5" ht="18.75">
      <c r="A7" s="235" t="s">
        <v>1128</v>
      </c>
      <c r="B7" s="236"/>
      <c r="C7" s="236"/>
      <c r="D7" s="236"/>
      <c r="E7" s="237"/>
    </row>
    <row r="8" spans="1:5" ht="18.75">
      <c r="A8" s="235" t="s">
        <v>1129</v>
      </c>
      <c r="B8" s="236"/>
      <c r="C8" s="236"/>
      <c r="D8" s="236"/>
      <c r="E8" s="237"/>
    </row>
    <row r="9" spans="1:5" ht="75">
      <c r="A9" s="82" t="s">
        <v>1088</v>
      </c>
      <c r="B9" s="82" t="s">
        <v>1131</v>
      </c>
      <c r="C9" s="82" t="s">
        <v>1139</v>
      </c>
      <c r="D9" s="82" t="s">
        <v>1140</v>
      </c>
      <c r="E9" s="82" t="s">
        <v>1141</v>
      </c>
    </row>
    <row r="10" spans="1:5" ht="16.5">
      <c r="A10" s="101">
        <v>1</v>
      </c>
      <c r="B10" s="101">
        <v>2</v>
      </c>
      <c r="C10" s="101">
        <v>3</v>
      </c>
      <c r="D10" s="101">
        <v>4</v>
      </c>
      <c r="E10" s="101">
        <v>5</v>
      </c>
    </row>
    <row r="11" spans="1:5" ht="16.5">
      <c r="A11" s="101">
        <f>'17G-1'!A10</f>
        <v>1</v>
      </c>
      <c r="B11" s="101" t="str">
        <f>'17G-1'!B10</f>
        <v>euohj flag</v>
      </c>
      <c r="C11" s="101"/>
      <c r="D11" s="101"/>
      <c r="E11" s="101"/>
    </row>
    <row r="12" spans="1:5" ht="16.5">
      <c r="A12" s="101">
        <f>'17G-1'!A11</f>
        <v>2</v>
      </c>
      <c r="B12" s="101" t="str">
        <f>'17G-1'!B11</f>
        <v>jkgqy ;kno</v>
      </c>
      <c r="C12" s="101"/>
      <c r="D12" s="101"/>
      <c r="E12" s="101"/>
    </row>
    <row r="13" spans="1:5" ht="16.5">
      <c r="A13" s="101">
        <f>'17G-1'!A12</f>
        <v>3</v>
      </c>
      <c r="B13" s="101" t="str">
        <f>'17G-1'!B12</f>
        <v>y{eh jkt</v>
      </c>
      <c r="C13" s="101"/>
      <c r="D13" s="101"/>
      <c r="E13" s="101"/>
    </row>
    <row r="14" spans="1:5" ht="16.5">
      <c r="A14" s="101">
        <f>'17G-1'!A13</f>
        <v>4</v>
      </c>
      <c r="B14" s="101" t="str">
        <f>'17G-1'!B13</f>
        <v>lyhe v[krj [kka</v>
      </c>
      <c r="C14" s="102"/>
      <c r="D14" s="102"/>
      <c r="E14" s="102"/>
    </row>
    <row r="15" spans="1:5" ht="16.5">
      <c r="A15" s="101">
        <f>'17G-1'!A14</f>
        <v>5</v>
      </c>
      <c r="B15" s="101" t="str">
        <f>'17G-1'!B14</f>
        <v>vt; dqekj</v>
      </c>
      <c r="C15" s="102"/>
      <c r="D15" s="102"/>
      <c r="E15" s="102"/>
    </row>
    <row r="16" spans="1:5" ht="16.5">
      <c r="A16" s="101">
        <f>'17G-1'!A15</f>
        <v>6</v>
      </c>
      <c r="B16" s="101" t="str">
        <f>'17G-1'!B15</f>
        <v>vt; dqekj 'kekZZ</v>
      </c>
      <c r="C16" s="102"/>
      <c r="D16" s="102"/>
      <c r="E16" s="102"/>
    </row>
    <row r="17" spans="1:5" ht="16.5">
      <c r="A17" s="101">
        <f>'17G-1'!A16</f>
        <v>7</v>
      </c>
      <c r="B17" s="101" t="str">
        <f>'17G-1'!B16</f>
        <v>vfer flag rksej</v>
      </c>
      <c r="C17" s="102"/>
      <c r="D17" s="102"/>
      <c r="E17" s="102"/>
    </row>
    <row r="18" spans="1:5" ht="16.5">
      <c r="A18" s="101">
        <f>'17G-1'!A17</f>
        <v>8</v>
      </c>
      <c r="B18" s="101" t="str">
        <f>'17G-1'!B17</f>
        <v>n'kZu 'kekZ</v>
      </c>
      <c r="C18" s="102"/>
      <c r="D18" s="102"/>
      <c r="E18" s="102"/>
    </row>
    <row r="19" spans="1:5" ht="16.5">
      <c r="A19" s="101">
        <f>'17G-1'!A18</f>
        <v>9</v>
      </c>
      <c r="B19" s="101" t="str">
        <f>'17G-1'!B18</f>
        <v>fny'kkn vgen</v>
      </c>
      <c r="C19" s="102"/>
      <c r="D19" s="102"/>
      <c r="E19" s="102"/>
    </row>
    <row r="20" spans="1:5" ht="16.5">
      <c r="A20" s="101">
        <f>'17G-1'!A19</f>
        <v>10</v>
      </c>
      <c r="B20" s="101" t="str">
        <f>'17G-1'!B19</f>
        <v>jktw Bkdqj</v>
      </c>
      <c r="C20" s="102"/>
      <c r="D20" s="102"/>
      <c r="E20" s="102"/>
    </row>
    <row r="21" spans="1:5" ht="16.5">
      <c r="A21" s="101">
        <f>'17G-1'!A20</f>
        <v>11</v>
      </c>
      <c r="B21" s="101" t="str">
        <f>'17G-1'!B20</f>
        <v>ccyw</v>
      </c>
      <c r="C21" s="102"/>
      <c r="D21" s="102"/>
      <c r="E21" s="102"/>
    </row>
    <row r="22" spans="1:5" ht="20.25">
      <c r="A22" s="247" t="s">
        <v>94</v>
      </c>
      <c r="B22" s="248"/>
      <c r="C22" s="103"/>
      <c r="D22" s="103"/>
      <c r="E22" s="103"/>
    </row>
    <row r="23" spans="1:5" ht="18.75">
      <c r="A23" s="239" t="s">
        <v>1142</v>
      </c>
      <c r="B23" s="239"/>
      <c r="C23" s="239"/>
      <c r="D23" s="239"/>
      <c r="E23" s="239"/>
    </row>
    <row r="24" spans="1:5" ht="18.75">
      <c r="A24" s="239" t="s">
        <v>1143</v>
      </c>
      <c r="B24" s="239"/>
      <c r="C24" s="239"/>
      <c r="D24" s="239"/>
      <c r="E24" s="239"/>
    </row>
    <row r="25" spans="1:5" ht="18.75">
      <c r="A25" s="239" t="s">
        <v>1099</v>
      </c>
      <c r="B25" s="239"/>
      <c r="C25" s="239"/>
      <c r="D25" s="239"/>
      <c r="E25" s="239"/>
    </row>
    <row r="26" spans="1:5">
      <c r="A26" s="80"/>
      <c r="B26" s="80"/>
      <c r="C26" s="80"/>
      <c r="D26" s="80"/>
      <c r="E26" s="80"/>
    </row>
    <row r="27" spans="1:5">
      <c r="A27" s="80"/>
      <c r="B27" s="80"/>
      <c r="C27" s="80"/>
      <c r="D27" s="80"/>
      <c r="E27" s="80"/>
    </row>
    <row r="28" spans="1:5">
      <c r="A28" s="80"/>
      <c r="B28" s="80"/>
      <c r="C28" s="80"/>
      <c r="D28" s="80"/>
      <c r="E28" s="80"/>
    </row>
    <row r="29" spans="1:5" ht="18.75">
      <c r="A29" s="80"/>
      <c r="B29" s="80"/>
      <c r="C29" s="80"/>
      <c r="D29" s="246" t="s">
        <v>1144</v>
      </c>
      <c r="E29" s="246"/>
    </row>
    <row r="30" spans="1:5" ht="18.75">
      <c r="A30" s="80"/>
      <c r="B30" s="80"/>
      <c r="C30" s="80"/>
      <c r="D30" s="246" t="s">
        <v>1145</v>
      </c>
      <c r="E30" s="246"/>
    </row>
  </sheetData>
  <mergeCells count="14">
    <mergeCell ref="D29:E29"/>
    <mergeCell ref="D30:E30"/>
    <mergeCell ref="A7:E7"/>
    <mergeCell ref="A8:E8"/>
    <mergeCell ref="A22:B22"/>
    <mergeCell ref="A23:E23"/>
    <mergeCell ref="A24:E24"/>
    <mergeCell ref="A25:E25"/>
    <mergeCell ref="A6:E6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B8" sqref="B8"/>
    </sheetView>
  </sheetViews>
  <sheetFormatPr defaultRowHeight="15"/>
  <cols>
    <col min="1" max="1" width="16.28515625" customWidth="1"/>
    <col min="2" max="2" width="30.7109375" customWidth="1"/>
    <col min="3" max="3" width="33.7109375" customWidth="1"/>
    <col min="4" max="4" width="32.85546875" customWidth="1"/>
  </cols>
  <sheetData>
    <row r="1" spans="1:4" ht="18.75">
      <c r="A1" s="252" t="s">
        <v>1114</v>
      </c>
      <c r="B1" s="252"/>
      <c r="C1" s="252"/>
      <c r="D1" s="252"/>
    </row>
    <row r="2" spans="1:4" ht="18.75">
      <c r="A2" s="253" t="s">
        <v>1115</v>
      </c>
      <c r="B2" s="253"/>
      <c r="C2" s="253"/>
      <c r="D2" s="253"/>
    </row>
    <row r="3" spans="1:4" ht="18.75">
      <c r="A3" s="253" t="s">
        <v>1112</v>
      </c>
      <c r="B3" s="253"/>
      <c r="C3" s="253"/>
      <c r="D3" s="253"/>
    </row>
    <row r="4" spans="1:4" ht="18.75">
      <c r="A4" s="254" t="s">
        <v>1125</v>
      </c>
      <c r="B4" s="255"/>
      <c r="C4" s="255"/>
      <c r="D4" s="256"/>
    </row>
    <row r="5" spans="1:4" ht="18.75">
      <c r="A5" s="254" t="s">
        <v>1116</v>
      </c>
      <c r="B5" s="255"/>
      <c r="C5" s="255"/>
      <c r="D5" s="256"/>
    </row>
    <row r="6" spans="1:4" ht="18.75">
      <c r="A6" s="85" t="s">
        <v>1117</v>
      </c>
      <c r="B6" s="85" t="s">
        <v>8</v>
      </c>
      <c r="C6" s="85" t="s">
        <v>1118</v>
      </c>
      <c r="D6" s="85" t="s">
        <v>1119</v>
      </c>
    </row>
    <row r="7" spans="1:4" ht="18.75">
      <c r="A7" s="85">
        <v>1</v>
      </c>
      <c r="B7" s="85">
        <v>2</v>
      </c>
      <c r="C7" s="95">
        <v>3</v>
      </c>
      <c r="D7" s="85">
        <v>4</v>
      </c>
    </row>
    <row r="8" spans="1:4" ht="18.75">
      <c r="A8" s="85">
        <v>1</v>
      </c>
      <c r="B8" s="96"/>
      <c r="C8" s="89"/>
      <c r="D8" s="97"/>
    </row>
    <row r="9" spans="1:4" ht="18.75">
      <c r="A9" s="85">
        <v>2</v>
      </c>
      <c r="B9" s="96"/>
      <c r="C9" s="89"/>
      <c r="D9" s="97"/>
    </row>
    <row r="10" spans="1:4" ht="18.75">
      <c r="A10" s="85">
        <v>3</v>
      </c>
      <c r="B10" s="96"/>
      <c r="C10" s="89"/>
      <c r="D10" s="97"/>
    </row>
    <row r="11" spans="1:4" ht="18.75">
      <c r="A11" s="85">
        <v>4</v>
      </c>
      <c r="B11" s="96"/>
      <c r="C11" s="89"/>
      <c r="D11" s="97"/>
    </row>
    <row r="12" spans="1:4" ht="18.75">
      <c r="A12" s="85">
        <v>5</v>
      </c>
      <c r="B12" s="96"/>
      <c r="C12" s="89"/>
      <c r="D12" s="97"/>
    </row>
    <row r="13" spans="1:4" ht="18.75">
      <c r="A13" s="85">
        <v>6</v>
      </c>
      <c r="B13" s="96"/>
      <c r="C13" s="89"/>
      <c r="D13" s="97"/>
    </row>
    <row r="14" spans="1:4" ht="18.75">
      <c r="A14" s="85">
        <v>7</v>
      </c>
      <c r="B14" s="96"/>
      <c r="C14" s="89"/>
      <c r="D14" s="97"/>
    </row>
    <row r="15" spans="1:4" ht="18.75">
      <c r="A15" s="85">
        <v>8</v>
      </c>
      <c r="B15" s="96"/>
      <c r="C15" s="89"/>
      <c r="D15" s="97"/>
    </row>
    <row r="16" spans="1:4" s="80" customFormat="1" ht="18.75">
      <c r="A16" s="85">
        <v>9</v>
      </c>
      <c r="B16" s="96"/>
      <c r="C16" s="89"/>
      <c r="D16" s="97"/>
    </row>
    <row r="17" spans="1:4" s="80" customFormat="1" ht="18.75">
      <c r="A17" s="85">
        <v>10</v>
      </c>
      <c r="B17" s="96"/>
      <c r="C17" s="89"/>
      <c r="D17" s="97"/>
    </row>
    <row r="18" spans="1:4" s="80" customFormat="1" ht="18.75">
      <c r="A18" s="85">
        <v>11</v>
      </c>
      <c r="B18" s="96"/>
      <c r="C18" s="89"/>
      <c r="D18" s="97"/>
    </row>
    <row r="19" spans="1:4" s="80" customFormat="1" ht="18.75">
      <c r="A19" s="85">
        <v>12</v>
      </c>
      <c r="B19" s="96"/>
      <c r="C19" s="89"/>
      <c r="D19" s="97"/>
    </row>
    <row r="20" spans="1:4" ht="18.75">
      <c r="A20" s="85">
        <v>13</v>
      </c>
      <c r="B20" s="98"/>
      <c r="C20" s="85"/>
      <c r="D20" s="97"/>
    </row>
    <row r="21" spans="1:4" ht="18.75">
      <c r="A21" s="249" t="s">
        <v>1109</v>
      </c>
      <c r="B21" s="250"/>
      <c r="C21" s="250"/>
      <c r="D21" s="251"/>
    </row>
    <row r="22" spans="1:4" ht="18.75">
      <c r="A22" s="249" t="s">
        <v>1110</v>
      </c>
      <c r="B22" s="250"/>
      <c r="C22" s="250"/>
      <c r="D22" s="251"/>
    </row>
    <row r="23" spans="1:4">
      <c r="A23" s="80"/>
      <c r="B23" s="80"/>
      <c r="C23" s="80"/>
      <c r="D23" s="80"/>
    </row>
    <row r="24" spans="1:4">
      <c r="A24" s="80"/>
      <c r="B24" s="80"/>
      <c r="C24" s="80"/>
      <c r="D24" s="80"/>
    </row>
    <row r="25" spans="1:4">
      <c r="A25" s="80"/>
      <c r="B25" s="80"/>
      <c r="C25" s="80"/>
      <c r="D25" s="80"/>
    </row>
    <row r="26" spans="1:4">
      <c r="A26" s="80"/>
      <c r="B26" s="80"/>
      <c r="C26" s="80"/>
      <c r="D26" s="19" t="s">
        <v>1111</v>
      </c>
    </row>
    <row r="27" spans="1:4">
      <c r="A27" s="80"/>
      <c r="B27" s="80"/>
      <c r="C27" s="80"/>
      <c r="D27" s="19" t="s">
        <v>1113</v>
      </c>
    </row>
  </sheetData>
  <mergeCells count="7">
    <mergeCell ref="A22:D22"/>
    <mergeCell ref="A1:D1"/>
    <mergeCell ref="A2:D2"/>
    <mergeCell ref="A3:D3"/>
    <mergeCell ref="A4:D4"/>
    <mergeCell ref="A5:D5"/>
    <mergeCell ref="A21:D21"/>
  </mergeCells>
  <pageMargins left="0.7" right="0.7" top="0.75" bottom="0.75" header="0.3" footer="0.3"/>
  <pageSetup orientation="landscape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479"/>
  <sheetViews>
    <sheetView tabSelected="1" topLeftCell="A238" workbookViewId="0">
      <selection activeCell="AQ439" sqref="AQ439"/>
    </sheetView>
  </sheetViews>
  <sheetFormatPr defaultRowHeight="15"/>
  <cols>
    <col min="1" max="2" width="4.5703125" customWidth="1"/>
    <col min="3" max="3" width="13.85546875" style="109" customWidth="1"/>
    <col min="4" max="4" width="6" style="109" customWidth="1"/>
    <col min="5" max="5" width="6.85546875" customWidth="1"/>
    <col min="6" max="6" width="7" customWidth="1"/>
    <col min="7" max="7" width="4.5703125" customWidth="1"/>
    <col min="8" max="8" width="6.140625" customWidth="1"/>
    <col min="9" max="9" width="7.5703125" customWidth="1"/>
    <col min="10" max="10" width="7.5703125" style="19" customWidth="1"/>
    <col min="11" max="11" width="4" style="19" customWidth="1"/>
    <col min="12" max="12" width="5.85546875" style="19" customWidth="1"/>
    <col min="13" max="13" width="6.140625" style="19" customWidth="1"/>
    <col min="14" max="14" width="4.5703125" style="19" customWidth="1"/>
    <col min="15" max="15" width="6.5703125" style="19" customWidth="1"/>
    <col min="16" max="16" width="4.85546875" style="19" customWidth="1"/>
    <col min="17" max="17" width="4.140625" style="19" customWidth="1"/>
    <col min="18" max="18" width="7.5703125" style="19" customWidth="1"/>
    <col min="19" max="19" width="6.28515625" style="19" customWidth="1"/>
    <col min="20" max="20" width="5.42578125" style="19" customWidth="1"/>
    <col min="21" max="21" width="7.85546875" style="19" customWidth="1"/>
    <col min="22" max="22" width="4.85546875" style="19" customWidth="1"/>
    <col min="23" max="23" width="4.140625" style="19" customWidth="1"/>
    <col min="24" max="25" width="5.28515625" style="19" customWidth="1"/>
    <col min="26" max="26" width="5.42578125" style="19" customWidth="1"/>
    <col min="27" max="27" width="7.28515625" style="19" customWidth="1"/>
    <col min="28" max="28" width="4.85546875" style="19" customWidth="1"/>
    <col min="29" max="29" width="3.85546875" style="19" customWidth="1"/>
    <col min="30" max="30" width="5.7109375" style="19" customWidth="1"/>
    <col min="31" max="31" width="4.7109375" style="19" customWidth="1"/>
    <col min="32" max="32" width="5.140625" style="19" customWidth="1"/>
    <col min="33" max="33" width="5.7109375" style="19" customWidth="1"/>
    <col min="34" max="34" width="4.7109375" style="19" customWidth="1"/>
    <col min="35" max="35" width="4.140625" style="19" customWidth="1"/>
    <col min="36" max="36" width="6.85546875" style="19" customWidth="1"/>
    <col min="37" max="37" width="4.5703125" style="19" customWidth="1"/>
    <col min="38" max="38" width="5.5703125" style="19" customWidth="1"/>
    <col min="39" max="39" width="7.28515625" style="19" customWidth="1"/>
    <col min="40" max="40" width="5.7109375" style="19" customWidth="1"/>
    <col min="41" max="41" width="5.140625" style="19" customWidth="1"/>
    <col min="42" max="42" width="7.7109375" style="19" customWidth="1"/>
    <col min="43" max="43" width="6.85546875" style="19" customWidth="1"/>
    <col min="44" max="44" width="7.85546875" style="19" customWidth="1"/>
  </cols>
  <sheetData>
    <row r="1" spans="1:44" ht="20.25">
      <c r="A1" s="263" t="s">
        <v>1146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</row>
    <row r="2" spans="1:44" ht="20.25">
      <c r="A2" s="263" t="s">
        <v>1169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 spans="1:44" ht="15.75">
      <c r="A3" s="264" t="s">
        <v>1147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6"/>
    </row>
    <row r="4" spans="1:44" ht="15.75">
      <c r="A4" s="267" t="s">
        <v>1148</v>
      </c>
      <c r="B4" s="267" t="s">
        <v>1149</v>
      </c>
      <c r="C4" s="267"/>
      <c r="D4" s="268" t="s">
        <v>1150</v>
      </c>
      <c r="E4" s="267" t="s">
        <v>1151</v>
      </c>
      <c r="F4" s="267"/>
      <c r="G4" s="267"/>
      <c r="H4" s="267"/>
      <c r="I4" s="267" t="s">
        <v>1152</v>
      </c>
      <c r="J4" s="267" t="s">
        <v>1153</v>
      </c>
      <c r="K4" s="260" t="s">
        <v>113</v>
      </c>
      <c r="L4" s="261"/>
      <c r="M4" s="262"/>
      <c r="N4" s="260" t="s">
        <v>114</v>
      </c>
      <c r="O4" s="261"/>
      <c r="P4" s="262"/>
      <c r="Q4" s="260" t="s">
        <v>115</v>
      </c>
      <c r="R4" s="261"/>
      <c r="S4" s="262"/>
      <c r="T4" s="260" t="s">
        <v>116</v>
      </c>
      <c r="U4" s="261"/>
      <c r="V4" s="262"/>
      <c r="W4" s="260" t="s">
        <v>117</v>
      </c>
      <c r="X4" s="261"/>
      <c r="Y4" s="262"/>
      <c r="Z4" s="260" t="s">
        <v>118</v>
      </c>
      <c r="AA4" s="261"/>
      <c r="AB4" s="262"/>
      <c r="AC4" s="260" t="s">
        <v>119</v>
      </c>
      <c r="AD4" s="261"/>
      <c r="AE4" s="262"/>
      <c r="AF4" s="260" t="s">
        <v>120</v>
      </c>
      <c r="AG4" s="261"/>
      <c r="AH4" s="262"/>
      <c r="AI4" s="260" t="s">
        <v>121</v>
      </c>
      <c r="AJ4" s="261"/>
      <c r="AK4" s="262"/>
      <c r="AL4" s="260" t="s">
        <v>1167</v>
      </c>
      <c r="AM4" s="261"/>
      <c r="AN4" s="262"/>
      <c r="AO4" s="260" t="s">
        <v>123</v>
      </c>
      <c r="AP4" s="261"/>
      <c r="AQ4" s="262"/>
      <c r="AR4" s="267" t="s">
        <v>1154</v>
      </c>
    </row>
    <row r="5" spans="1:44" ht="89.25" customHeight="1">
      <c r="A5" s="267"/>
      <c r="B5" s="104" t="s">
        <v>1155</v>
      </c>
      <c r="C5" s="107" t="s">
        <v>1156</v>
      </c>
      <c r="D5" s="268"/>
      <c r="E5" s="104" t="s">
        <v>1157</v>
      </c>
      <c r="F5" s="104" t="s">
        <v>1158</v>
      </c>
      <c r="G5" s="104" t="s">
        <v>1159</v>
      </c>
      <c r="H5" s="104" t="s">
        <v>3</v>
      </c>
      <c r="I5" s="267"/>
      <c r="J5" s="267"/>
      <c r="K5" s="105" t="s">
        <v>1117</v>
      </c>
      <c r="L5" s="106" t="s">
        <v>1160</v>
      </c>
      <c r="M5" s="105" t="s">
        <v>1161</v>
      </c>
      <c r="N5" s="105" t="s">
        <v>1117</v>
      </c>
      <c r="O5" s="106" t="s">
        <v>1160</v>
      </c>
      <c r="P5" s="105" t="s">
        <v>1161</v>
      </c>
      <c r="Q5" s="105" t="s">
        <v>1117</v>
      </c>
      <c r="R5" s="106" t="s">
        <v>1160</v>
      </c>
      <c r="S5" s="105" t="s">
        <v>1161</v>
      </c>
      <c r="T5" s="105" t="s">
        <v>1117</v>
      </c>
      <c r="U5" s="106" t="s">
        <v>1160</v>
      </c>
      <c r="V5" s="105" t="s">
        <v>1161</v>
      </c>
      <c r="W5" s="105" t="s">
        <v>1117</v>
      </c>
      <c r="X5" s="106" t="s">
        <v>1160</v>
      </c>
      <c r="Y5" s="105" t="s">
        <v>1161</v>
      </c>
      <c r="Z5" s="105" t="s">
        <v>1117</v>
      </c>
      <c r="AA5" s="106" t="s">
        <v>1160</v>
      </c>
      <c r="AB5" s="105" t="s">
        <v>1161</v>
      </c>
      <c r="AC5" s="105" t="s">
        <v>1117</v>
      </c>
      <c r="AD5" s="106" t="s">
        <v>1160</v>
      </c>
      <c r="AE5" s="105" t="s">
        <v>1161</v>
      </c>
      <c r="AF5" s="105" t="s">
        <v>1117</v>
      </c>
      <c r="AG5" s="106" t="s">
        <v>1160</v>
      </c>
      <c r="AH5" s="105" t="s">
        <v>1161</v>
      </c>
      <c r="AI5" s="105" t="s">
        <v>1117</v>
      </c>
      <c r="AJ5" s="106" t="s">
        <v>1160</v>
      </c>
      <c r="AK5" s="105" t="s">
        <v>1161</v>
      </c>
      <c r="AL5" s="105" t="s">
        <v>1117</v>
      </c>
      <c r="AM5" s="106" t="s">
        <v>1160</v>
      </c>
      <c r="AN5" s="105" t="s">
        <v>1161</v>
      </c>
      <c r="AO5" s="105" t="s">
        <v>1117</v>
      </c>
      <c r="AP5" s="106" t="s">
        <v>1160</v>
      </c>
      <c r="AQ5" s="105" t="s">
        <v>1161</v>
      </c>
      <c r="AR5" s="267"/>
    </row>
    <row r="6" spans="1:44" ht="15.75">
      <c r="A6" s="104">
        <v>1</v>
      </c>
      <c r="B6" s="104">
        <v>2</v>
      </c>
      <c r="C6" s="104">
        <v>3</v>
      </c>
      <c r="D6" s="108">
        <v>4</v>
      </c>
      <c r="E6" s="104">
        <v>5</v>
      </c>
      <c r="F6" s="104">
        <v>6</v>
      </c>
      <c r="G6" s="104">
        <v>7</v>
      </c>
      <c r="H6" s="104">
        <v>8</v>
      </c>
      <c r="I6" s="104">
        <v>9</v>
      </c>
      <c r="J6" s="104">
        <v>10</v>
      </c>
      <c r="K6" s="104">
        <v>11</v>
      </c>
      <c r="L6" s="104">
        <v>12</v>
      </c>
      <c r="M6" s="104">
        <v>13</v>
      </c>
      <c r="N6" s="104">
        <v>14</v>
      </c>
      <c r="O6" s="104">
        <v>15</v>
      </c>
      <c r="P6" s="104">
        <v>16</v>
      </c>
      <c r="Q6" s="104">
        <v>17</v>
      </c>
      <c r="R6" s="104">
        <v>18</v>
      </c>
      <c r="S6" s="104">
        <v>19</v>
      </c>
      <c r="T6" s="104">
        <v>20</v>
      </c>
      <c r="U6" s="104">
        <v>21</v>
      </c>
      <c r="V6" s="104">
        <v>22</v>
      </c>
      <c r="W6" s="104">
        <v>23</v>
      </c>
      <c r="X6" s="104">
        <v>24</v>
      </c>
      <c r="Y6" s="104">
        <v>25</v>
      </c>
      <c r="Z6" s="104">
        <v>26</v>
      </c>
      <c r="AA6" s="104">
        <v>27</v>
      </c>
      <c r="AB6" s="104">
        <v>28</v>
      </c>
      <c r="AC6" s="104">
        <v>29</v>
      </c>
      <c r="AD6" s="104">
        <v>30</v>
      </c>
      <c r="AE6" s="104">
        <v>31</v>
      </c>
      <c r="AF6" s="104">
        <v>32</v>
      </c>
      <c r="AG6" s="104">
        <v>33</v>
      </c>
      <c r="AH6" s="104">
        <v>34</v>
      </c>
      <c r="AI6" s="104">
        <v>35</v>
      </c>
      <c r="AJ6" s="104">
        <v>36</v>
      </c>
      <c r="AK6" s="104">
        <v>37</v>
      </c>
      <c r="AL6" s="104">
        <v>38</v>
      </c>
      <c r="AM6" s="104">
        <v>39</v>
      </c>
      <c r="AN6" s="104">
        <v>40</v>
      </c>
      <c r="AO6" s="104">
        <v>41</v>
      </c>
      <c r="AP6" s="104">
        <v>42</v>
      </c>
      <c r="AQ6" s="104">
        <v>43</v>
      </c>
      <c r="AR6" s="104">
        <v>44</v>
      </c>
    </row>
    <row r="7" spans="1:44" ht="96">
      <c r="A7" s="81">
        <v>64</v>
      </c>
      <c r="B7" s="41">
        <v>1</v>
      </c>
      <c r="C7" s="113" t="s">
        <v>126</v>
      </c>
      <c r="D7" s="117">
        <v>1102</v>
      </c>
      <c r="E7" s="110">
        <v>347</v>
      </c>
      <c r="F7" s="110">
        <v>285</v>
      </c>
      <c r="G7" s="110">
        <v>0</v>
      </c>
      <c r="H7" s="111">
        <f t="shared" ref="H7:H70" si="0">SUM(E7:G7)</f>
        <v>632</v>
      </c>
      <c r="I7" s="112">
        <v>557</v>
      </c>
      <c r="J7" s="110">
        <v>0</v>
      </c>
      <c r="K7" s="110">
        <v>1</v>
      </c>
      <c r="L7" s="123" t="s">
        <v>1122</v>
      </c>
      <c r="M7" s="81">
        <f>'Praroop-20 hindi'!C10</f>
        <v>2</v>
      </c>
      <c r="N7" s="81">
        <v>2</v>
      </c>
      <c r="O7" s="114" t="s">
        <v>1162</v>
      </c>
      <c r="P7" s="81">
        <f>'Praroop-20 hindi'!D10</f>
        <v>599</v>
      </c>
      <c r="Q7" s="81">
        <v>3</v>
      </c>
      <c r="R7" s="114" t="s">
        <v>1120</v>
      </c>
      <c r="S7" s="81">
        <f>'Praroop-20 hindi'!E10</f>
        <v>18</v>
      </c>
      <c r="T7" s="81">
        <v>4</v>
      </c>
      <c r="U7" s="114" t="s">
        <v>1121</v>
      </c>
      <c r="V7" s="81">
        <f>'Praroop-20 hindi'!F10</f>
        <v>3</v>
      </c>
      <c r="W7" s="81">
        <v>5</v>
      </c>
      <c r="X7" s="115" t="s">
        <v>1163</v>
      </c>
      <c r="Y7" s="81">
        <f>'Praroop-20 hindi'!G10</f>
        <v>0</v>
      </c>
      <c r="Z7" s="81">
        <v>6</v>
      </c>
      <c r="AA7" s="72" t="s">
        <v>1164</v>
      </c>
      <c r="AB7" s="81">
        <f>'Praroop-20 hindi'!H10</f>
        <v>0</v>
      </c>
      <c r="AC7" s="81">
        <v>7</v>
      </c>
      <c r="AD7" s="114" t="s">
        <v>1165</v>
      </c>
      <c r="AE7" s="81">
        <f>'Praroop-20 hindi'!I10</f>
        <v>0</v>
      </c>
      <c r="AF7" s="81">
        <v>8</v>
      </c>
      <c r="AG7" s="114" t="s">
        <v>1123</v>
      </c>
      <c r="AH7" s="81">
        <f>'Praroop-20 hindi'!J10</f>
        <v>0</v>
      </c>
      <c r="AI7" s="81">
        <v>9</v>
      </c>
      <c r="AJ7" s="114" t="s">
        <v>1166</v>
      </c>
      <c r="AK7" s="81">
        <f>'Praroop-20 hindi'!K10</f>
        <v>6</v>
      </c>
      <c r="AL7" s="81">
        <v>10</v>
      </c>
      <c r="AM7" s="114" t="s">
        <v>1168</v>
      </c>
      <c r="AN7" s="81">
        <f>'Praroop-20 hindi'!L10</f>
        <v>2</v>
      </c>
      <c r="AO7" s="81">
        <v>11</v>
      </c>
      <c r="AP7" s="114" t="s">
        <v>1124</v>
      </c>
      <c r="AQ7" s="81">
        <f>'Praroop-20 hindi'!M10</f>
        <v>0</v>
      </c>
      <c r="AR7" s="81">
        <f>M7+P7+S7+V7+Y7+AB7+AE7+AH7+AK7+AN7+AQ7</f>
        <v>630</v>
      </c>
    </row>
    <row r="8" spans="1:44" ht="25.5">
      <c r="A8" s="81">
        <v>64</v>
      </c>
      <c r="B8" s="41">
        <v>2</v>
      </c>
      <c r="C8" s="113" t="s">
        <v>127</v>
      </c>
      <c r="D8" s="117">
        <v>1008</v>
      </c>
      <c r="E8" s="110">
        <v>266</v>
      </c>
      <c r="F8" s="110">
        <v>281</v>
      </c>
      <c r="G8" s="110">
        <v>0</v>
      </c>
      <c r="H8" s="111">
        <f t="shared" si="0"/>
        <v>547</v>
      </c>
      <c r="I8" s="112">
        <v>447</v>
      </c>
      <c r="J8" s="110">
        <v>0</v>
      </c>
      <c r="K8" s="110">
        <v>1</v>
      </c>
      <c r="L8" s="81"/>
      <c r="M8" s="81">
        <f>'Praroop-20 hindi'!C11</f>
        <v>48</v>
      </c>
      <c r="N8" s="81">
        <v>2</v>
      </c>
      <c r="O8" s="81"/>
      <c r="P8" s="81">
        <f>'Praroop-20 hindi'!D11</f>
        <v>440</v>
      </c>
      <c r="Q8" s="81">
        <v>3</v>
      </c>
      <c r="R8" s="81"/>
      <c r="S8" s="81">
        <f>'Praroop-20 hindi'!E11</f>
        <v>42</v>
      </c>
      <c r="T8" s="81">
        <v>4</v>
      </c>
      <c r="U8" s="81"/>
      <c r="V8" s="81">
        <f>'Praroop-20 hindi'!F11</f>
        <v>3</v>
      </c>
      <c r="W8" s="81">
        <v>5</v>
      </c>
      <c r="X8" s="81"/>
      <c r="Y8" s="81">
        <f>'Praroop-20 hindi'!G11</f>
        <v>1</v>
      </c>
      <c r="Z8" s="81">
        <v>6</v>
      </c>
      <c r="AA8" s="81"/>
      <c r="AB8" s="81">
        <f>'Praroop-20 hindi'!H11</f>
        <v>0</v>
      </c>
      <c r="AC8" s="81">
        <v>7</v>
      </c>
      <c r="AD8" s="81"/>
      <c r="AE8" s="81">
        <f>'Praroop-20 hindi'!I11</f>
        <v>1</v>
      </c>
      <c r="AF8" s="81">
        <v>8</v>
      </c>
      <c r="AG8" s="81"/>
      <c r="AH8" s="81">
        <f>'Praroop-20 hindi'!J11</f>
        <v>1</v>
      </c>
      <c r="AI8" s="81">
        <v>9</v>
      </c>
      <c r="AJ8" s="81"/>
      <c r="AK8" s="81">
        <f>'Praroop-20 hindi'!K11</f>
        <v>5</v>
      </c>
      <c r="AL8" s="81">
        <v>10</v>
      </c>
      <c r="AM8" s="81"/>
      <c r="AN8" s="81">
        <f>'Praroop-20 hindi'!L11</f>
        <v>2</v>
      </c>
      <c r="AO8" s="81">
        <v>11</v>
      </c>
      <c r="AP8" s="81"/>
      <c r="AQ8" s="81">
        <f>'Praroop-20 hindi'!M11</f>
        <v>3</v>
      </c>
      <c r="AR8" s="81">
        <f t="shared" ref="AR8:AR71" si="1">M8+P8+S8+V8+Y8+AB8+AE8+AH8+AK8+AN8+AQ8</f>
        <v>546</v>
      </c>
    </row>
    <row r="9" spans="1:44" ht="25.5">
      <c r="A9" s="81">
        <v>64</v>
      </c>
      <c r="B9" s="41">
        <v>3</v>
      </c>
      <c r="C9" s="113" t="s">
        <v>128</v>
      </c>
      <c r="D9" s="117">
        <v>447</v>
      </c>
      <c r="E9" s="110">
        <v>138</v>
      </c>
      <c r="F9" s="110">
        <v>130</v>
      </c>
      <c r="G9" s="110">
        <v>0</v>
      </c>
      <c r="H9" s="111">
        <f t="shared" si="0"/>
        <v>268</v>
      </c>
      <c r="I9" s="112">
        <v>229</v>
      </c>
      <c r="J9" s="110">
        <v>0</v>
      </c>
      <c r="K9" s="110">
        <v>1</v>
      </c>
      <c r="L9" s="81"/>
      <c r="M9" s="81">
        <f>'Praroop-20 hindi'!C12</f>
        <v>89</v>
      </c>
      <c r="N9" s="81">
        <v>2</v>
      </c>
      <c r="O9" s="81"/>
      <c r="P9" s="81">
        <f>'Praroop-20 hindi'!D12</f>
        <v>15</v>
      </c>
      <c r="Q9" s="81">
        <v>3</v>
      </c>
      <c r="R9" s="81"/>
      <c r="S9" s="81">
        <f>'Praroop-20 hindi'!E12</f>
        <v>161</v>
      </c>
      <c r="T9" s="81">
        <v>4</v>
      </c>
      <c r="U9" s="81"/>
      <c r="V9" s="81">
        <f>'Praroop-20 hindi'!F12</f>
        <v>1</v>
      </c>
      <c r="W9" s="81">
        <v>5</v>
      </c>
      <c r="X9" s="81"/>
      <c r="Y9" s="81">
        <f>'Praroop-20 hindi'!G12</f>
        <v>0</v>
      </c>
      <c r="Z9" s="81">
        <v>6</v>
      </c>
      <c r="AA9" s="81"/>
      <c r="AB9" s="81">
        <f>'Praroop-20 hindi'!H12</f>
        <v>0</v>
      </c>
      <c r="AC9" s="81">
        <v>7</v>
      </c>
      <c r="AD9" s="81"/>
      <c r="AE9" s="81">
        <f>'Praroop-20 hindi'!I12</f>
        <v>0</v>
      </c>
      <c r="AF9" s="81">
        <v>8</v>
      </c>
      <c r="AG9" s="81"/>
      <c r="AH9" s="81">
        <f>'Praroop-20 hindi'!J12</f>
        <v>0</v>
      </c>
      <c r="AI9" s="81">
        <v>9</v>
      </c>
      <c r="AJ9" s="81"/>
      <c r="AK9" s="81">
        <f>'Praroop-20 hindi'!K12</f>
        <v>0</v>
      </c>
      <c r="AL9" s="81">
        <v>10</v>
      </c>
      <c r="AM9" s="81"/>
      <c r="AN9" s="81">
        <f>'Praroop-20 hindi'!L12</f>
        <v>2</v>
      </c>
      <c r="AO9" s="81">
        <v>11</v>
      </c>
      <c r="AP9" s="81"/>
      <c r="AQ9" s="81">
        <f>'Praroop-20 hindi'!M12</f>
        <v>0</v>
      </c>
      <c r="AR9" s="81">
        <f t="shared" si="1"/>
        <v>268</v>
      </c>
    </row>
    <row r="10" spans="1:44" ht="25.5">
      <c r="A10" s="81">
        <v>64</v>
      </c>
      <c r="B10" s="41">
        <v>4</v>
      </c>
      <c r="C10" s="116" t="s">
        <v>129</v>
      </c>
      <c r="D10" s="117">
        <v>713</v>
      </c>
      <c r="E10" s="110">
        <v>253</v>
      </c>
      <c r="F10" s="110">
        <v>221</v>
      </c>
      <c r="G10" s="110">
        <v>0</v>
      </c>
      <c r="H10" s="111">
        <f t="shared" si="0"/>
        <v>474</v>
      </c>
      <c r="I10" s="112">
        <v>416</v>
      </c>
      <c r="J10" s="110">
        <v>0</v>
      </c>
      <c r="K10" s="110">
        <v>1</v>
      </c>
      <c r="L10" s="81"/>
      <c r="M10" s="81">
        <f>'Praroop-20 hindi'!C13</f>
        <v>94</v>
      </c>
      <c r="N10" s="81">
        <v>2</v>
      </c>
      <c r="O10" s="81"/>
      <c r="P10" s="81">
        <f>'Praroop-20 hindi'!D13</f>
        <v>275</v>
      </c>
      <c r="Q10" s="81">
        <v>3</v>
      </c>
      <c r="R10" s="81"/>
      <c r="S10" s="81">
        <f>'Praroop-20 hindi'!E13</f>
        <v>34</v>
      </c>
      <c r="T10" s="81">
        <v>4</v>
      </c>
      <c r="U10" s="81"/>
      <c r="V10" s="81">
        <f>'Praroop-20 hindi'!F13</f>
        <v>3</v>
      </c>
      <c r="W10" s="81">
        <v>5</v>
      </c>
      <c r="X10" s="81"/>
      <c r="Y10" s="81">
        <f>'Praroop-20 hindi'!G13</f>
        <v>2</v>
      </c>
      <c r="Z10" s="81">
        <v>6</v>
      </c>
      <c r="AA10" s="81"/>
      <c r="AB10" s="81">
        <f>'Praroop-20 hindi'!H13</f>
        <v>1</v>
      </c>
      <c r="AC10" s="81">
        <v>7</v>
      </c>
      <c r="AD10" s="81"/>
      <c r="AE10" s="81">
        <f>'Praroop-20 hindi'!I13</f>
        <v>1</v>
      </c>
      <c r="AF10" s="81">
        <v>8</v>
      </c>
      <c r="AG10" s="81"/>
      <c r="AH10" s="81">
        <f>'Praroop-20 hindi'!J13</f>
        <v>0</v>
      </c>
      <c r="AI10" s="81">
        <v>9</v>
      </c>
      <c r="AJ10" s="81"/>
      <c r="AK10" s="81">
        <f>'Praroop-20 hindi'!K13</f>
        <v>56</v>
      </c>
      <c r="AL10" s="81">
        <v>10</v>
      </c>
      <c r="AM10" s="81"/>
      <c r="AN10" s="81">
        <f>'Praroop-20 hindi'!L13</f>
        <v>5</v>
      </c>
      <c r="AO10" s="81">
        <v>11</v>
      </c>
      <c r="AP10" s="81"/>
      <c r="AQ10" s="81">
        <f>'Praroop-20 hindi'!M13</f>
        <v>0</v>
      </c>
      <c r="AR10" s="81">
        <f t="shared" si="1"/>
        <v>471</v>
      </c>
    </row>
    <row r="11" spans="1:44" ht="25.5">
      <c r="A11" s="81">
        <v>64</v>
      </c>
      <c r="B11" s="41">
        <v>5</v>
      </c>
      <c r="C11" s="116" t="s">
        <v>130</v>
      </c>
      <c r="D11" s="117">
        <v>747</v>
      </c>
      <c r="E11" s="110">
        <v>210</v>
      </c>
      <c r="F11" s="110">
        <v>231</v>
      </c>
      <c r="G11" s="110">
        <v>0</v>
      </c>
      <c r="H11" s="111">
        <f t="shared" si="0"/>
        <v>441</v>
      </c>
      <c r="I11" s="112">
        <v>358</v>
      </c>
      <c r="J11" s="110">
        <v>0</v>
      </c>
      <c r="K11" s="110">
        <v>1</v>
      </c>
      <c r="L11" s="81"/>
      <c r="M11" s="81">
        <f>'Praroop-20 hindi'!C14</f>
        <v>31</v>
      </c>
      <c r="N11" s="81">
        <v>2</v>
      </c>
      <c r="O11" s="81"/>
      <c r="P11" s="81">
        <f>'Praroop-20 hindi'!D14</f>
        <v>306</v>
      </c>
      <c r="Q11" s="81">
        <v>3</v>
      </c>
      <c r="R11" s="81"/>
      <c r="S11" s="81">
        <f>'Praroop-20 hindi'!E14</f>
        <v>43</v>
      </c>
      <c r="T11" s="81">
        <v>4</v>
      </c>
      <c r="U11" s="81"/>
      <c r="V11" s="81">
        <f>'Praroop-20 hindi'!F14</f>
        <v>3</v>
      </c>
      <c r="W11" s="81">
        <v>5</v>
      </c>
      <c r="X11" s="81"/>
      <c r="Y11" s="81">
        <f>'Praroop-20 hindi'!G14</f>
        <v>0</v>
      </c>
      <c r="Z11" s="81">
        <v>6</v>
      </c>
      <c r="AA11" s="81"/>
      <c r="AB11" s="81">
        <f>'Praroop-20 hindi'!H14</f>
        <v>0</v>
      </c>
      <c r="AC11" s="81">
        <v>7</v>
      </c>
      <c r="AD11" s="81"/>
      <c r="AE11" s="81">
        <f>'Praroop-20 hindi'!I14</f>
        <v>1</v>
      </c>
      <c r="AF11" s="81">
        <v>8</v>
      </c>
      <c r="AG11" s="81"/>
      <c r="AH11" s="81">
        <f>'Praroop-20 hindi'!J14</f>
        <v>2</v>
      </c>
      <c r="AI11" s="81">
        <v>9</v>
      </c>
      <c r="AJ11" s="81"/>
      <c r="AK11" s="81">
        <f>'Praroop-20 hindi'!K14</f>
        <v>48</v>
      </c>
      <c r="AL11" s="81">
        <v>10</v>
      </c>
      <c r="AM11" s="81"/>
      <c r="AN11" s="81">
        <f>'Praroop-20 hindi'!L14</f>
        <v>2</v>
      </c>
      <c r="AO11" s="81">
        <v>11</v>
      </c>
      <c r="AP11" s="81"/>
      <c r="AQ11" s="81">
        <f>'Praroop-20 hindi'!M14</f>
        <v>1</v>
      </c>
      <c r="AR11" s="81">
        <f t="shared" si="1"/>
        <v>437</v>
      </c>
    </row>
    <row r="12" spans="1:44" ht="25.5">
      <c r="A12" s="81">
        <v>64</v>
      </c>
      <c r="B12" s="41">
        <v>6</v>
      </c>
      <c r="C12" s="113" t="s">
        <v>131</v>
      </c>
      <c r="D12" s="117">
        <v>602</v>
      </c>
      <c r="E12" s="110">
        <v>203</v>
      </c>
      <c r="F12" s="110">
        <v>196</v>
      </c>
      <c r="G12" s="110">
        <v>0</v>
      </c>
      <c r="H12" s="111">
        <f t="shared" si="0"/>
        <v>399</v>
      </c>
      <c r="I12" s="112">
        <v>360</v>
      </c>
      <c r="J12" s="110">
        <v>0</v>
      </c>
      <c r="K12" s="110">
        <v>1</v>
      </c>
      <c r="L12" s="81"/>
      <c r="M12" s="81">
        <f>'Praroop-20 hindi'!C15</f>
        <v>30</v>
      </c>
      <c r="N12" s="81">
        <v>2</v>
      </c>
      <c r="O12" s="81"/>
      <c r="P12" s="81">
        <f>'Praroop-20 hindi'!D15</f>
        <v>7</v>
      </c>
      <c r="Q12" s="81">
        <v>3</v>
      </c>
      <c r="R12" s="81"/>
      <c r="S12" s="81">
        <f>'Praroop-20 hindi'!E15</f>
        <v>342</v>
      </c>
      <c r="T12" s="81">
        <v>4</v>
      </c>
      <c r="U12" s="81"/>
      <c r="V12" s="81">
        <f>'Praroop-20 hindi'!F15</f>
        <v>5</v>
      </c>
      <c r="W12" s="81">
        <v>5</v>
      </c>
      <c r="X12" s="81"/>
      <c r="Y12" s="81">
        <f>'Praroop-20 hindi'!G15</f>
        <v>7</v>
      </c>
      <c r="Z12" s="81">
        <v>6</v>
      </c>
      <c r="AA12" s="81"/>
      <c r="AB12" s="81">
        <f>'Praroop-20 hindi'!H15</f>
        <v>1</v>
      </c>
      <c r="AC12" s="81">
        <v>7</v>
      </c>
      <c r="AD12" s="81"/>
      <c r="AE12" s="81">
        <f>'Praroop-20 hindi'!I15</f>
        <v>1</v>
      </c>
      <c r="AF12" s="81">
        <v>8</v>
      </c>
      <c r="AG12" s="81"/>
      <c r="AH12" s="81">
        <f>'Praroop-20 hindi'!J15</f>
        <v>1</v>
      </c>
      <c r="AI12" s="81">
        <v>9</v>
      </c>
      <c r="AJ12" s="81"/>
      <c r="AK12" s="81">
        <f>'Praroop-20 hindi'!K15</f>
        <v>0</v>
      </c>
      <c r="AL12" s="81">
        <v>10</v>
      </c>
      <c r="AM12" s="81"/>
      <c r="AN12" s="81">
        <f>'Praroop-20 hindi'!L15</f>
        <v>2</v>
      </c>
      <c r="AO12" s="81">
        <v>11</v>
      </c>
      <c r="AP12" s="81"/>
      <c r="AQ12" s="81">
        <f>'Praroop-20 hindi'!M15</f>
        <v>1</v>
      </c>
      <c r="AR12" s="81">
        <f t="shared" si="1"/>
        <v>397</v>
      </c>
    </row>
    <row r="13" spans="1:44" ht="25.5">
      <c r="A13" s="81">
        <v>64</v>
      </c>
      <c r="B13" s="41">
        <v>7</v>
      </c>
      <c r="C13" s="113" t="s">
        <v>132</v>
      </c>
      <c r="D13" s="117">
        <v>594</v>
      </c>
      <c r="E13" s="110">
        <v>209</v>
      </c>
      <c r="F13" s="110">
        <v>163</v>
      </c>
      <c r="G13" s="110">
        <v>0</v>
      </c>
      <c r="H13" s="111">
        <f t="shared" si="0"/>
        <v>372</v>
      </c>
      <c r="I13" s="112">
        <v>372</v>
      </c>
      <c r="J13" s="110">
        <v>0</v>
      </c>
      <c r="K13" s="110">
        <v>1</v>
      </c>
      <c r="L13" s="81"/>
      <c r="M13" s="81">
        <f>'Praroop-20 hindi'!C16</f>
        <v>115</v>
      </c>
      <c r="N13" s="81">
        <v>2</v>
      </c>
      <c r="O13" s="81"/>
      <c r="P13" s="81">
        <f>'Praroop-20 hindi'!D16</f>
        <v>16</v>
      </c>
      <c r="Q13" s="81">
        <v>3</v>
      </c>
      <c r="R13" s="81"/>
      <c r="S13" s="81">
        <f>'Praroop-20 hindi'!E16</f>
        <v>226</v>
      </c>
      <c r="T13" s="81">
        <v>4</v>
      </c>
      <c r="U13" s="81"/>
      <c r="V13" s="81">
        <f>'Praroop-20 hindi'!F16</f>
        <v>3</v>
      </c>
      <c r="W13" s="81">
        <v>5</v>
      </c>
      <c r="X13" s="81"/>
      <c r="Y13" s="81">
        <f>'Praroop-20 hindi'!G16</f>
        <v>1</v>
      </c>
      <c r="Z13" s="81">
        <v>6</v>
      </c>
      <c r="AA13" s="81"/>
      <c r="AB13" s="81">
        <f>'Praroop-20 hindi'!H16</f>
        <v>2</v>
      </c>
      <c r="AC13" s="81">
        <v>7</v>
      </c>
      <c r="AD13" s="81"/>
      <c r="AE13" s="81">
        <f>'Praroop-20 hindi'!I16</f>
        <v>0</v>
      </c>
      <c r="AF13" s="81">
        <v>8</v>
      </c>
      <c r="AG13" s="81"/>
      <c r="AH13" s="81">
        <f>'Praroop-20 hindi'!J16</f>
        <v>5</v>
      </c>
      <c r="AI13" s="81">
        <v>9</v>
      </c>
      <c r="AJ13" s="81"/>
      <c r="AK13" s="81">
        <f>'Praroop-20 hindi'!K16</f>
        <v>1</v>
      </c>
      <c r="AL13" s="81">
        <v>10</v>
      </c>
      <c r="AM13" s="81"/>
      <c r="AN13" s="81">
        <f>'Praroop-20 hindi'!L16</f>
        <v>2</v>
      </c>
      <c r="AO13" s="81">
        <v>11</v>
      </c>
      <c r="AP13" s="81"/>
      <c r="AQ13" s="81">
        <f>'Praroop-20 hindi'!M16</f>
        <v>1</v>
      </c>
      <c r="AR13" s="81">
        <f t="shared" si="1"/>
        <v>372</v>
      </c>
    </row>
    <row r="14" spans="1:44" ht="25.5">
      <c r="A14" s="81">
        <v>64</v>
      </c>
      <c r="B14" s="41">
        <v>8</v>
      </c>
      <c r="C14" s="113" t="s">
        <v>133</v>
      </c>
      <c r="D14" s="117">
        <v>756</v>
      </c>
      <c r="E14" s="110">
        <v>215</v>
      </c>
      <c r="F14" s="110">
        <v>140</v>
      </c>
      <c r="G14" s="110">
        <v>0</v>
      </c>
      <c r="H14" s="111">
        <f t="shared" si="0"/>
        <v>355</v>
      </c>
      <c r="I14" s="112">
        <v>332</v>
      </c>
      <c r="J14" s="110">
        <v>0</v>
      </c>
      <c r="K14" s="110">
        <v>1</v>
      </c>
      <c r="L14" s="81"/>
      <c r="M14" s="81">
        <f>'Praroop-20 hindi'!C17</f>
        <v>38</v>
      </c>
      <c r="N14" s="81">
        <v>2</v>
      </c>
      <c r="O14" s="81"/>
      <c r="P14" s="81">
        <f>'Praroop-20 hindi'!D17</f>
        <v>45</v>
      </c>
      <c r="Q14" s="81">
        <v>3</v>
      </c>
      <c r="R14" s="81"/>
      <c r="S14" s="81">
        <f>'Praroop-20 hindi'!E17</f>
        <v>254</v>
      </c>
      <c r="T14" s="81">
        <v>4</v>
      </c>
      <c r="U14" s="81"/>
      <c r="V14" s="81">
        <f>'Praroop-20 hindi'!F17</f>
        <v>5</v>
      </c>
      <c r="W14" s="81">
        <v>5</v>
      </c>
      <c r="X14" s="81"/>
      <c r="Y14" s="81">
        <f>'Praroop-20 hindi'!G17</f>
        <v>2</v>
      </c>
      <c r="Z14" s="81">
        <v>6</v>
      </c>
      <c r="AA14" s="81"/>
      <c r="AB14" s="81">
        <f>'Praroop-20 hindi'!H17</f>
        <v>0</v>
      </c>
      <c r="AC14" s="81">
        <v>7</v>
      </c>
      <c r="AD14" s="81"/>
      <c r="AE14" s="81">
        <f>'Praroop-20 hindi'!I17</f>
        <v>0</v>
      </c>
      <c r="AF14" s="81">
        <v>8</v>
      </c>
      <c r="AG14" s="81"/>
      <c r="AH14" s="81">
        <f>'Praroop-20 hindi'!J17</f>
        <v>1</v>
      </c>
      <c r="AI14" s="81">
        <v>9</v>
      </c>
      <c r="AJ14" s="81"/>
      <c r="AK14" s="81">
        <f>'Praroop-20 hindi'!K17</f>
        <v>0</v>
      </c>
      <c r="AL14" s="81">
        <v>10</v>
      </c>
      <c r="AM14" s="81"/>
      <c r="AN14" s="81">
        <f>'Praroop-20 hindi'!L17</f>
        <v>1</v>
      </c>
      <c r="AO14" s="81">
        <v>11</v>
      </c>
      <c r="AP14" s="81"/>
      <c r="AQ14" s="81">
        <f>'Praroop-20 hindi'!M17</f>
        <v>1</v>
      </c>
      <c r="AR14" s="81">
        <f t="shared" si="1"/>
        <v>347</v>
      </c>
    </row>
    <row r="15" spans="1:44" ht="25.5">
      <c r="A15" s="81">
        <v>64</v>
      </c>
      <c r="B15" s="41">
        <v>9</v>
      </c>
      <c r="C15" s="113" t="s">
        <v>134</v>
      </c>
      <c r="D15" s="117">
        <v>803</v>
      </c>
      <c r="E15" s="110">
        <v>285</v>
      </c>
      <c r="F15" s="110">
        <v>168</v>
      </c>
      <c r="G15" s="110">
        <v>0</v>
      </c>
      <c r="H15" s="111">
        <f t="shared" si="0"/>
        <v>453</v>
      </c>
      <c r="I15" s="112">
        <v>411</v>
      </c>
      <c r="J15" s="110">
        <v>0</v>
      </c>
      <c r="K15" s="110">
        <v>1</v>
      </c>
      <c r="L15" s="81"/>
      <c r="M15" s="81">
        <f>'Praroop-20 hindi'!C18</f>
        <v>12</v>
      </c>
      <c r="N15" s="81">
        <v>2</v>
      </c>
      <c r="O15" s="81"/>
      <c r="P15" s="81">
        <f>'Praroop-20 hindi'!D18</f>
        <v>46</v>
      </c>
      <c r="Q15" s="81">
        <v>3</v>
      </c>
      <c r="R15" s="81"/>
      <c r="S15" s="81">
        <f>'Praroop-20 hindi'!E18</f>
        <v>385</v>
      </c>
      <c r="T15" s="81">
        <v>4</v>
      </c>
      <c r="U15" s="81"/>
      <c r="V15" s="81">
        <f>'Praroop-20 hindi'!F18</f>
        <v>2</v>
      </c>
      <c r="W15" s="81">
        <v>5</v>
      </c>
      <c r="X15" s="81"/>
      <c r="Y15" s="81">
        <f>'Praroop-20 hindi'!G18</f>
        <v>1</v>
      </c>
      <c r="Z15" s="81">
        <v>6</v>
      </c>
      <c r="AA15" s="81"/>
      <c r="AB15" s="81">
        <f>'Praroop-20 hindi'!H18</f>
        <v>0</v>
      </c>
      <c r="AC15" s="81">
        <v>7</v>
      </c>
      <c r="AD15" s="81"/>
      <c r="AE15" s="81">
        <f>'Praroop-20 hindi'!I18</f>
        <v>0</v>
      </c>
      <c r="AF15" s="81">
        <v>8</v>
      </c>
      <c r="AG15" s="81"/>
      <c r="AH15" s="81">
        <f>'Praroop-20 hindi'!J18</f>
        <v>1</v>
      </c>
      <c r="AI15" s="81">
        <v>9</v>
      </c>
      <c r="AJ15" s="81"/>
      <c r="AK15" s="81">
        <f>'Praroop-20 hindi'!K18</f>
        <v>0</v>
      </c>
      <c r="AL15" s="81">
        <v>10</v>
      </c>
      <c r="AM15" s="81"/>
      <c r="AN15" s="81">
        <f>'Praroop-20 hindi'!L18</f>
        <v>3</v>
      </c>
      <c r="AO15" s="81">
        <v>11</v>
      </c>
      <c r="AP15" s="81"/>
      <c r="AQ15" s="81">
        <f>'Praroop-20 hindi'!M18</f>
        <v>2</v>
      </c>
      <c r="AR15" s="81">
        <f t="shared" si="1"/>
        <v>452</v>
      </c>
    </row>
    <row r="16" spans="1:44" ht="25.5">
      <c r="A16" s="81">
        <v>64</v>
      </c>
      <c r="B16" s="41">
        <v>10</v>
      </c>
      <c r="C16" s="113" t="s">
        <v>135</v>
      </c>
      <c r="D16" s="117">
        <v>747</v>
      </c>
      <c r="E16" s="110">
        <v>205</v>
      </c>
      <c r="F16" s="110">
        <v>163</v>
      </c>
      <c r="G16" s="110">
        <v>0</v>
      </c>
      <c r="H16" s="111">
        <f t="shared" si="0"/>
        <v>368</v>
      </c>
      <c r="I16" s="112">
        <v>343</v>
      </c>
      <c r="J16" s="110">
        <v>0</v>
      </c>
      <c r="K16" s="110">
        <v>1</v>
      </c>
      <c r="L16" s="81"/>
      <c r="M16" s="81">
        <f>'Praroop-20 hindi'!C19</f>
        <v>65</v>
      </c>
      <c r="N16" s="81">
        <v>2</v>
      </c>
      <c r="O16" s="81"/>
      <c r="P16" s="81">
        <f>'Praroop-20 hindi'!D19</f>
        <v>85</v>
      </c>
      <c r="Q16" s="81">
        <v>3</v>
      </c>
      <c r="R16" s="81"/>
      <c r="S16" s="81">
        <f>'Praroop-20 hindi'!E19</f>
        <v>210</v>
      </c>
      <c r="T16" s="81">
        <v>4</v>
      </c>
      <c r="U16" s="81"/>
      <c r="V16" s="81">
        <f>'Praroop-20 hindi'!F19</f>
        <v>4</v>
      </c>
      <c r="W16" s="81">
        <v>5</v>
      </c>
      <c r="X16" s="81"/>
      <c r="Y16" s="81">
        <f>'Praroop-20 hindi'!G19</f>
        <v>1</v>
      </c>
      <c r="Z16" s="81">
        <v>6</v>
      </c>
      <c r="AA16" s="81"/>
      <c r="AB16" s="81">
        <f>'Praroop-20 hindi'!H19</f>
        <v>0</v>
      </c>
      <c r="AC16" s="81">
        <v>7</v>
      </c>
      <c r="AD16" s="81"/>
      <c r="AE16" s="81">
        <f>'Praroop-20 hindi'!I19</f>
        <v>0</v>
      </c>
      <c r="AF16" s="81">
        <v>8</v>
      </c>
      <c r="AG16" s="81"/>
      <c r="AH16" s="81">
        <f>'Praroop-20 hindi'!J19</f>
        <v>0</v>
      </c>
      <c r="AI16" s="81">
        <v>9</v>
      </c>
      <c r="AJ16" s="81"/>
      <c r="AK16" s="81">
        <f>'Praroop-20 hindi'!K19</f>
        <v>2</v>
      </c>
      <c r="AL16" s="81">
        <v>10</v>
      </c>
      <c r="AM16" s="81"/>
      <c r="AN16" s="81">
        <f>'Praroop-20 hindi'!L19</f>
        <v>1</v>
      </c>
      <c r="AO16" s="81">
        <v>11</v>
      </c>
      <c r="AP16" s="81"/>
      <c r="AQ16" s="81">
        <f>'Praroop-20 hindi'!M19</f>
        <v>0</v>
      </c>
      <c r="AR16" s="81">
        <f t="shared" si="1"/>
        <v>368</v>
      </c>
    </row>
    <row r="17" spans="1:44" ht="38.25">
      <c r="A17" s="81">
        <v>64</v>
      </c>
      <c r="B17" s="41">
        <v>11</v>
      </c>
      <c r="C17" s="116" t="s">
        <v>136</v>
      </c>
      <c r="D17" s="117">
        <v>642</v>
      </c>
      <c r="E17" s="110">
        <v>197</v>
      </c>
      <c r="F17" s="110">
        <v>208</v>
      </c>
      <c r="G17" s="110">
        <v>0</v>
      </c>
      <c r="H17" s="111">
        <f t="shared" si="0"/>
        <v>405</v>
      </c>
      <c r="I17" s="112">
        <v>379</v>
      </c>
      <c r="J17" s="110">
        <v>0</v>
      </c>
      <c r="K17" s="110">
        <v>1</v>
      </c>
      <c r="L17" s="81"/>
      <c r="M17" s="81">
        <f>'Praroop-20 hindi'!C20</f>
        <v>151</v>
      </c>
      <c r="N17" s="81">
        <v>2</v>
      </c>
      <c r="O17" s="81"/>
      <c r="P17" s="81">
        <f>'Praroop-20 hindi'!D20</f>
        <v>48</v>
      </c>
      <c r="Q17" s="81">
        <v>3</v>
      </c>
      <c r="R17" s="81"/>
      <c r="S17" s="81">
        <f>'Praroop-20 hindi'!E20</f>
        <v>197</v>
      </c>
      <c r="T17" s="81">
        <v>4</v>
      </c>
      <c r="U17" s="81"/>
      <c r="V17" s="81">
        <f>'Praroop-20 hindi'!F20</f>
        <v>3</v>
      </c>
      <c r="W17" s="81">
        <v>5</v>
      </c>
      <c r="X17" s="81"/>
      <c r="Y17" s="81">
        <f>'Praroop-20 hindi'!G20</f>
        <v>1</v>
      </c>
      <c r="Z17" s="81">
        <v>6</v>
      </c>
      <c r="AA17" s="81"/>
      <c r="AB17" s="81">
        <f>'Praroop-20 hindi'!H20</f>
        <v>0</v>
      </c>
      <c r="AC17" s="81">
        <v>7</v>
      </c>
      <c r="AD17" s="81"/>
      <c r="AE17" s="81">
        <f>'Praroop-20 hindi'!I20</f>
        <v>0</v>
      </c>
      <c r="AF17" s="81">
        <v>8</v>
      </c>
      <c r="AG17" s="81"/>
      <c r="AH17" s="81">
        <f>'Praroop-20 hindi'!J20</f>
        <v>0</v>
      </c>
      <c r="AI17" s="81">
        <v>9</v>
      </c>
      <c r="AJ17" s="81"/>
      <c r="AK17" s="81">
        <f>'Praroop-20 hindi'!K20</f>
        <v>0</v>
      </c>
      <c r="AL17" s="81">
        <v>10</v>
      </c>
      <c r="AM17" s="81"/>
      <c r="AN17" s="81">
        <f>'Praroop-20 hindi'!L20</f>
        <v>1</v>
      </c>
      <c r="AO17" s="81">
        <v>11</v>
      </c>
      <c r="AP17" s="81"/>
      <c r="AQ17" s="81">
        <f>'Praroop-20 hindi'!M20</f>
        <v>0</v>
      </c>
      <c r="AR17" s="81">
        <f t="shared" si="1"/>
        <v>401</v>
      </c>
    </row>
    <row r="18" spans="1:44" ht="38.25">
      <c r="A18" s="81">
        <v>64</v>
      </c>
      <c r="B18" s="41">
        <v>12</v>
      </c>
      <c r="C18" s="116" t="s">
        <v>137</v>
      </c>
      <c r="D18" s="117">
        <v>672</v>
      </c>
      <c r="E18" s="110">
        <v>213</v>
      </c>
      <c r="F18" s="110">
        <v>185</v>
      </c>
      <c r="G18" s="110">
        <v>0</v>
      </c>
      <c r="H18" s="111">
        <f t="shared" si="0"/>
        <v>398</v>
      </c>
      <c r="I18" s="112">
        <v>327</v>
      </c>
      <c r="J18" s="110">
        <v>0</v>
      </c>
      <c r="K18" s="110">
        <v>1</v>
      </c>
      <c r="L18" s="81"/>
      <c r="M18" s="81">
        <f>'Praroop-20 hindi'!C21</f>
        <v>29</v>
      </c>
      <c r="N18" s="81">
        <v>2</v>
      </c>
      <c r="O18" s="81"/>
      <c r="P18" s="81">
        <f>'Praroop-20 hindi'!D21</f>
        <v>79</v>
      </c>
      <c r="Q18" s="81">
        <v>3</v>
      </c>
      <c r="R18" s="81"/>
      <c r="S18" s="81">
        <f>'Praroop-20 hindi'!E21</f>
        <v>282</v>
      </c>
      <c r="T18" s="81">
        <v>4</v>
      </c>
      <c r="U18" s="81"/>
      <c r="V18" s="81">
        <f>'Praroop-20 hindi'!F21</f>
        <v>3</v>
      </c>
      <c r="W18" s="81">
        <v>5</v>
      </c>
      <c r="X18" s="81"/>
      <c r="Y18" s="81">
        <f>'Praroop-20 hindi'!G21</f>
        <v>1</v>
      </c>
      <c r="Z18" s="81">
        <v>6</v>
      </c>
      <c r="AA18" s="81"/>
      <c r="AB18" s="81">
        <f>'Praroop-20 hindi'!H21</f>
        <v>0</v>
      </c>
      <c r="AC18" s="81">
        <v>7</v>
      </c>
      <c r="AD18" s="81"/>
      <c r="AE18" s="81">
        <f>'Praroop-20 hindi'!I21</f>
        <v>0</v>
      </c>
      <c r="AF18" s="81">
        <v>8</v>
      </c>
      <c r="AG18" s="81"/>
      <c r="AH18" s="81">
        <f>'Praroop-20 hindi'!J21</f>
        <v>0</v>
      </c>
      <c r="AI18" s="81">
        <v>9</v>
      </c>
      <c r="AJ18" s="81"/>
      <c r="AK18" s="81">
        <f>'Praroop-20 hindi'!K21</f>
        <v>0</v>
      </c>
      <c r="AL18" s="81">
        <v>10</v>
      </c>
      <c r="AM18" s="81"/>
      <c r="AN18" s="81">
        <f>'Praroop-20 hindi'!L21</f>
        <v>3</v>
      </c>
      <c r="AO18" s="81">
        <v>11</v>
      </c>
      <c r="AP18" s="81"/>
      <c r="AQ18" s="81">
        <f>'Praroop-20 hindi'!M21</f>
        <v>1</v>
      </c>
      <c r="AR18" s="81">
        <f t="shared" si="1"/>
        <v>398</v>
      </c>
    </row>
    <row r="19" spans="1:44" ht="38.25">
      <c r="A19" s="81">
        <v>64</v>
      </c>
      <c r="B19" s="41">
        <v>13</v>
      </c>
      <c r="C19" s="113" t="s">
        <v>138</v>
      </c>
      <c r="D19" s="117">
        <v>856</v>
      </c>
      <c r="E19" s="110">
        <v>300</v>
      </c>
      <c r="F19" s="110">
        <v>253</v>
      </c>
      <c r="G19" s="110">
        <v>0</v>
      </c>
      <c r="H19" s="111">
        <f t="shared" si="0"/>
        <v>553</v>
      </c>
      <c r="I19" s="112">
        <v>509</v>
      </c>
      <c r="J19" s="110">
        <v>0</v>
      </c>
      <c r="K19" s="110">
        <v>1</v>
      </c>
      <c r="L19" s="81"/>
      <c r="M19" s="81">
        <f>'Praroop-20 hindi'!C22</f>
        <v>16</v>
      </c>
      <c r="N19" s="81">
        <v>2</v>
      </c>
      <c r="O19" s="81"/>
      <c r="P19" s="81">
        <f>'Praroop-20 hindi'!D22</f>
        <v>110</v>
      </c>
      <c r="Q19" s="81">
        <v>3</v>
      </c>
      <c r="R19" s="81"/>
      <c r="S19" s="81">
        <f>'Praroop-20 hindi'!E22</f>
        <v>421</v>
      </c>
      <c r="T19" s="81">
        <v>4</v>
      </c>
      <c r="U19" s="81"/>
      <c r="V19" s="81">
        <f>'Praroop-20 hindi'!F22</f>
        <v>0</v>
      </c>
      <c r="W19" s="81">
        <v>5</v>
      </c>
      <c r="X19" s="81"/>
      <c r="Y19" s="81">
        <f>'Praroop-20 hindi'!G22</f>
        <v>0</v>
      </c>
      <c r="Z19" s="81">
        <v>6</v>
      </c>
      <c r="AA19" s="81"/>
      <c r="AB19" s="81">
        <f>'Praroop-20 hindi'!H22</f>
        <v>0</v>
      </c>
      <c r="AC19" s="81">
        <v>7</v>
      </c>
      <c r="AD19" s="81"/>
      <c r="AE19" s="81">
        <f>'Praroop-20 hindi'!I22</f>
        <v>1</v>
      </c>
      <c r="AF19" s="81">
        <v>8</v>
      </c>
      <c r="AG19" s="81"/>
      <c r="AH19" s="81">
        <f>'Praroop-20 hindi'!J22</f>
        <v>1</v>
      </c>
      <c r="AI19" s="81">
        <v>9</v>
      </c>
      <c r="AJ19" s="81"/>
      <c r="AK19" s="81">
        <f>'Praroop-20 hindi'!K22</f>
        <v>0</v>
      </c>
      <c r="AL19" s="81">
        <v>10</v>
      </c>
      <c r="AM19" s="81"/>
      <c r="AN19" s="81">
        <f>'Praroop-20 hindi'!L22</f>
        <v>2</v>
      </c>
      <c r="AO19" s="81">
        <v>11</v>
      </c>
      <c r="AP19" s="81"/>
      <c r="AQ19" s="81">
        <f>'Praroop-20 hindi'!M22</f>
        <v>1</v>
      </c>
      <c r="AR19" s="81">
        <f t="shared" si="1"/>
        <v>552</v>
      </c>
    </row>
    <row r="20" spans="1:44" ht="25.5">
      <c r="A20" s="81">
        <v>64</v>
      </c>
      <c r="B20" s="41">
        <v>14</v>
      </c>
      <c r="C20" s="113" t="s">
        <v>139</v>
      </c>
      <c r="D20" s="117">
        <v>854</v>
      </c>
      <c r="E20" s="110">
        <v>270</v>
      </c>
      <c r="F20" s="110">
        <v>179</v>
      </c>
      <c r="G20" s="110">
        <v>0</v>
      </c>
      <c r="H20" s="111">
        <f t="shared" si="0"/>
        <v>449</v>
      </c>
      <c r="I20" s="112">
        <v>440</v>
      </c>
      <c r="J20" s="110">
        <v>0</v>
      </c>
      <c r="K20" s="110">
        <v>1</v>
      </c>
      <c r="L20" s="81"/>
      <c r="M20" s="81">
        <f>'Praroop-20 hindi'!C23</f>
        <v>40</v>
      </c>
      <c r="N20" s="81">
        <v>2</v>
      </c>
      <c r="O20" s="81"/>
      <c r="P20" s="81">
        <f>'Praroop-20 hindi'!D23</f>
        <v>103</v>
      </c>
      <c r="Q20" s="81">
        <v>3</v>
      </c>
      <c r="R20" s="81"/>
      <c r="S20" s="81">
        <f>'Praroop-20 hindi'!E23</f>
        <v>282</v>
      </c>
      <c r="T20" s="81">
        <v>4</v>
      </c>
      <c r="U20" s="81"/>
      <c r="V20" s="81">
        <f>'Praroop-20 hindi'!F23</f>
        <v>8</v>
      </c>
      <c r="W20" s="81">
        <v>5</v>
      </c>
      <c r="X20" s="81"/>
      <c r="Y20" s="81">
        <f>'Praroop-20 hindi'!G23</f>
        <v>12</v>
      </c>
      <c r="Z20" s="81">
        <v>6</v>
      </c>
      <c r="AA20" s="81"/>
      <c r="AB20" s="81">
        <f>'Praroop-20 hindi'!H23</f>
        <v>1</v>
      </c>
      <c r="AC20" s="81">
        <v>7</v>
      </c>
      <c r="AD20" s="81"/>
      <c r="AE20" s="81">
        <f>'Praroop-20 hindi'!I23</f>
        <v>0</v>
      </c>
      <c r="AF20" s="81">
        <v>8</v>
      </c>
      <c r="AG20" s="81"/>
      <c r="AH20" s="81">
        <f>'Praroop-20 hindi'!J23</f>
        <v>0</v>
      </c>
      <c r="AI20" s="81">
        <v>9</v>
      </c>
      <c r="AJ20" s="81"/>
      <c r="AK20" s="81">
        <f>'Praroop-20 hindi'!K23</f>
        <v>0</v>
      </c>
      <c r="AL20" s="81">
        <v>10</v>
      </c>
      <c r="AM20" s="81"/>
      <c r="AN20" s="81">
        <f>'Praroop-20 hindi'!L23</f>
        <v>2</v>
      </c>
      <c r="AO20" s="81">
        <v>11</v>
      </c>
      <c r="AP20" s="81"/>
      <c r="AQ20" s="81">
        <f>'Praroop-20 hindi'!M23</f>
        <v>0</v>
      </c>
      <c r="AR20" s="81">
        <f t="shared" si="1"/>
        <v>448</v>
      </c>
    </row>
    <row r="21" spans="1:44" ht="25.5">
      <c r="A21" s="81">
        <v>64</v>
      </c>
      <c r="B21" s="41">
        <v>15</v>
      </c>
      <c r="C21" s="113" t="s">
        <v>140</v>
      </c>
      <c r="D21" s="117">
        <v>872</v>
      </c>
      <c r="E21" s="110">
        <v>249</v>
      </c>
      <c r="F21" s="110">
        <v>210</v>
      </c>
      <c r="G21" s="110">
        <v>0</v>
      </c>
      <c r="H21" s="111">
        <f t="shared" si="0"/>
        <v>459</v>
      </c>
      <c r="I21" s="112">
        <v>403</v>
      </c>
      <c r="J21" s="110">
        <v>0</v>
      </c>
      <c r="K21" s="110">
        <v>1</v>
      </c>
      <c r="L21" s="81"/>
      <c r="M21" s="81">
        <f>'Praroop-20 hindi'!C24</f>
        <v>120</v>
      </c>
      <c r="N21" s="81">
        <v>2</v>
      </c>
      <c r="O21" s="81"/>
      <c r="P21" s="81">
        <f>'Praroop-20 hindi'!D24</f>
        <v>241</v>
      </c>
      <c r="Q21" s="81">
        <v>3</v>
      </c>
      <c r="R21" s="81"/>
      <c r="S21" s="81">
        <f>'Praroop-20 hindi'!E24</f>
        <v>84</v>
      </c>
      <c r="T21" s="81">
        <v>4</v>
      </c>
      <c r="U21" s="81"/>
      <c r="V21" s="81">
        <f>'Praroop-20 hindi'!F24</f>
        <v>4</v>
      </c>
      <c r="W21" s="81">
        <v>5</v>
      </c>
      <c r="X21" s="81"/>
      <c r="Y21" s="81">
        <f>'Praroop-20 hindi'!G24</f>
        <v>1</v>
      </c>
      <c r="Z21" s="81">
        <v>6</v>
      </c>
      <c r="AA21" s="81"/>
      <c r="AB21" s="81">
        <f>'Praroop-20 hindi'!H24</f>
        <v>0</v>
      </c>
      <c r="AC21" s="81">
        <v>7</v>
      </c>
      <c r="AD21" s="81"/>
      <c r="AE21" s="81">
        <f>'Praroop-20 hindi'!I24</f>
        <v>0</v>
      </c>
      <c r="AF21" s="81">
        <v>8</v>
      </c>
      <c r="AG21" s="81"/>
      <c r="AH21" s="81">
        <f>'Praroop-20 hindi'!J24</f>
        <v>0</v>
      </c>
      <c r="AI21" s="81">
        <v>9</v>
      </c>
      <c r="AJ21" s="81"/>
      <c r="AK21" s="81">
        <f>'Praroop-20 hindi'!K24</f>
        <v>7</v>
      </c>
      <c r="AL21" s="81">
        <v>10</v>
      </c>
      <c r="AM21" s="81"/>
      <c r="AN21" s="81">
        <f>'Praroop-20 hindi'!L24</f>
        <v>1</v>
      </c>
      <c r="AO21" s="81">
        <v>11</v>
      </c>
      <c r="AP21" s="81"/>
      <c r="AQ21" s="81">
        <f>'Praroop-20 hindi'!M24</f>
        <v>1</v>
      </c>
      <c r="AR21" s="81">
        <f t="shared" si="1"/>
        <v>459</v>
      </c>
    </row>
    <row r="22" spans="1:44" ht="25.5">
      <c r="A22" s="81">
        <v>64</v>
      </c>
      <c r="B22" s="41">
        <v>16</v>
      </c>
      <c r="C22" s="113" t="s">
        <v>141</v>
      </c>
      <c r="D22" s="117">
        <v>717</v>
      </c>
      <c r="E22" s="110">
        <v>185</v>
      </c>
      <c r="F22" s="110">
        <v>159</v>
      </c>
      <c r="G22" s="110">
        <v>0</v>
      </c>
      <c r="H22" s="111">
        <f t="shared" si="0"/>
        <v>344</v>
      </c>
      <c r="I22" s="112">
        <v>304</v>
      </c>
      <c r="J22" s="110">
        <v>0</v>
      </c>
      <c r="K22" s="110">
        <v>1</v>
      </c>
      <c r="L22" s="81"/>
      <c r="M22" s="81">
        <f>'Praroop-20 hindi'!C25</f>
        <v>81</v>
      </c>
      <c r="N22" s="81">
        <v>2</v>
      </c>
      <c r="O22" s="81"/>
      <c r="P22" s="81">
        <f>'Praroop-20 hindi'!D25</f>
        <v>200</v>
      </c>
      <c r="Q22" s="81">
        <v>3</v>
      </c>
      <c r="R22" s="81"/>
      <c r="S22" s="81">
        <f>'Praroop-20 hindi'!E25</f>
        <v>55</v>
      </c>
      <c r="T22" s="81">
        <v>4</v>
      </c>
      <c r="U22" s="81"/>
      <c r="V22" s="81">
        <f>'Praroop-20 hindi'!F25</f>
        <v>1</v>
      </c>
      <c r="W22" s="81">
        <v>5</v>
      </c>
      <c r="X22" s="81"/>
      <c r="Y22" s="81">
        <f>'Praroop-20 hindi'!G25</f>
        <v>0</v>
      </c>
      <c r="Z22" s="81">
        <v>6</v>
      </c>
      <c r="AA22" s="81"/>
      <c r="AB22" s="81">
        <f>'Praroop-20 hindi'!H25</f>
        <v>0</v>
      </c>
      <c r="AC22" s="81">
        <v>7</v>
      </c>
      <c r="AD22" s="81"/>
      <c r="AE22" s="81">
        <f>'Praroop-20 hindi'!I25</f>
        <v>0</v>
      </c>
      <c r="AF22" s="81">
        <v>8</v>
      </c>
      <c r="AG22" s="81"/>
      <c r="AH22" s="81">
        <f>'Praroop-20 hindi'!J25</f>
        <v>1</v>
      </c>
      <c r="AI22" s="81">
        <v>9</v>
      </c>
      <c r="AJ22" s="81"/>
      <c r="AK22" s="81">
        <f>'Praroop-20 hindi'!K25</f>
        <v>0</v>
      </c>
      <c r="AL22" s="81">
        <v>10</v>
      </c>
      <c r="AM22" s="81"/>
      <c r="AN22" s="81">
        <f>'Praroop-20 hindi'!L25</f>
        <v>1</v>
      </c>
      <c r="AO22" s="81">
        <v>11</v>
      </c>
      <c r="AP22" s="81"/>
      <c r="AQ22" s="81">
        <f>'Praroop-20 hindi'!M25</f>
        <v>1</v>
      </c>
      <c r="AR22" s="81">
        <f t="shared" si="1"/>
        <v>340</v>
      </c>
    </row>
    <row r="23" spans="1:44" ht="25.5">
      <c r="A23" s="81">
        <v>64</v>
      </c>
      <c r="B23" s="41">
        <v>17</v>
      </c>
      <c r="C23" s="113" t="s">
        <v>142</v>
      </c>
      <c r="D23" s="117">
        <v>828</v>
      </c>
      <c r="E23" s="110">
        <v>271</v>
      </c>
      <c r="F23" s="110">
        <v>202</v>
      </c>
      <c r="G23" s="110">
        <v>0</v>
      </c>
      <c r="H23" s="111">
        <f t="shared" si="0"/>
        <v>473</v>
      </c>
      <c r="I23" s="112">
        <v>422</v>
      </c>
      <c r="J23" s="110">
        <v>0</v>
      </c>
      <c r="K23" s="110">
        <v>1</v>
      </c>
      <c r="L23" s="81"/>
      <c r="M23" s="81">
        <f>'Praroop-20 hindi'!C26</f>
        <v>1</v>
      </c>
      <c r="N23" s="81">
        <v>2</v>
      </c>
      <c r="O23" s="81"/>
      <c r="P23" s="81">
        <f>'Praroop-20 hindi'!D26</f>
        <v>380</v>
      </c>
      <c r="Q23" s="81">
        <v>3</v>
      </c>
      <c r="R23" s="81"/>
      <c r="S23" s="81">
        <f>'Praroop-20 hindi'!E26</f>
        <v>45</v>
      </c>
      <c r="T23" s="81">
        <v>4</v>
      </c>
      <c r="U23" s="81"/>
      <c r="V23" s="81">
        <f>'Praroop-20 hindi'!F26</f>
        <v>37</v>
      </c>
      <c r="W23" s="81">
        <v>5</v>
      </c>
      <c r="X23" s="81"/>
      <c r="Y23" s="81">
        <f>'Praroop-20 hindi'!G26</f>
        <v>1</v>
      </c>
      <c r="Z23" s="81">
        <v>6</v>
      </c>
      <c r="AA23" s="81"/>
      <c r="AB23" s="81">
        <f>'Praroop-20 hindi'!H26</f>
        <v>0</v>
      </c>
      <c r="AC23" s="81">
        <v>7</v>
      </c>
      <c r="AD23" s="81"/>
      <c r="AE23" s="81">
        <f>'Praroop-20 hindi'!I26</f>
        <v>0</v>
      </c>
      <c r="AF23" s="81">
        <v>8</v>
      </c>
      <c r="AG23" s="81"/>
      <c r="AH23" s="81">
        <f>'Praroop-20 hindi'!J26</f>
        <v>0</v>
      </c>
      <c r="AI23" s="81">
        <v>9</v>
      </c>
      <c r="AJ23" s="81"/>
      <c r="AK23" s="81">
        <f>'Praroop-20 hindi'!K26</f>
        <v>0</v>
      </c>
      <c r="AL23" s="81">
        <v>10</v>
      </c>
      <c r="AM23" s="81"/>
      <c r="AN23" s="81">
        <f>'Praroop-20 hindi'!L26</f>
        <v>3</v>
      </c>
      <c r="AO23" s="81">
        <v>11</v>
      </c>
      <c r="AP23" s="81"/>
      <c r="AQ23" s="81">
        <f>'Praroop-20 hindi'!M26</f>
        <v>4</v>
      </c>
      <c r="AR23" s="81">
        <f t="shared" si="1"/>
        <v>471</v>
      </c>
    </row>
    <row r="24" spans="1:44" ht="25.5">
      <c r="A24" s="81">
        <v>64</v>
      </c>
      <c r="B24" s="41">
        <v>18</v>
      </c>
      <c r="C24" s="113" t="s">
        <v>143</v>
      </c>
      <c r="D24" s="117">
        <v>791</v>
      </c>
      <c r="E24" s="110">
        <v>281</v>
      </c>
      <c r="F24" s="110">
        <v>237</v>
      </c>
      <c r="G24" s="110">
        <v>0</v>
      </c>
      <c r="H24" s="111">
        <f t="shared" si="0"/>
        <v>518</v>
      </c>
      <c r="I24" s="112">
        <v>472</v>
      </c>
      <c r="J24" s="110">
        <v>0</v>
      </c>
      <c r="K24" s="110">
        <v>1</v>
      </c>
      <c r="L24" s="81"/>
      <c r="M24" s="81">
        <f>'Praroop-20 hindi'!C27</f>
        <v>3</v>
      </c>
      <c r="N24" s="81">
        <v>2</v>
      </c>
      <c r="O24" s="81"/>
      <c r="P24" s="81">
        <f>'Praroop-20 hindi'!D27</f>
        <v>470</v>
      </c>
      <c r="Q24" s="81">
        <v>3</v>
      </c>
      <c r="R24" s="81"/>
      <c r="S24" s="81">
        <f>'Praroop-20 hindi'!E27</f>
        <v>8</v>
      </c>
      <c r="T24" s="81">
        <v>4</v>
      </c>
      <c r="U24" s="81"/>
      <c r="V24" s="81">
        <f>'Praroop-20 hindi'!F27</f>
        <v>31</v>
      </c>
      <c r="W24" s="81">
        <v>5</v>
      </c>
      <c r="X24" s="81"/>
      <c r="Y24" s="81">
        <f>'Praroop-20 hindi'!G27</f>
        <v>0</v>
      </c>
      <c r="Z24" s="81">
        <v>6</v>
      </c>
      <c r="AA24" s="81"/>
      <c r="AB24" s="81">
        <f>'Praroop-20 hindi'!H27</f>
        <v>0</v>
      </c>
      <c r="AC24" s="81">
        <v>7</v>
      </c>
      <c r="AD24" s="81"/>
      <c r="AE24" s="81">
        <f>'Praroop-20 hindi'!I27</f>
        <v>0</v>
      </c>
      <c r="AF24" s="81">
        <v>8</v>
      </c>
      <c r="AG24" s="81"/>
      <c r="AH24" s="81">
        <f>'Praroop-20 hindi'!J27</f>
        <v>0</v>
      </c>
      <c r="AI24" s="81">
        <v>9</v>
      </c>
      <c r="AJ24" s="81"/>
      <c r="AK24" s="81">
        <f>'Praroop-20 hindi'!K27</f>
        <v>4</v>
      </c>
      <c r="AL24" s="81">
        <v>10</v>
      </c>
      <c r="AM24" s="81"/>
      <c r="AN24" s="81">
        <f>'Praroop-20 hindi'!L27</f>
        <v>0</v>
      </c>
      <c r="AO24" s="81">
        <v>11</v>
      </c>
      <c r="AP24" s="81"/>
      <c r="AQ24" s="81">
        <f>'Praroop-20 hindi'!M27</f>
        <v>1</v>
      </c>
      <c r="AR24" s="81">
        <f t="shared" si="1"/>
        <v>517</v>
      </c>
    </row>
    <row r="25" spans="1:44" ht="25.5">
      <c r="A25" s="81">
        <v>64</v>
      </c>
      <c r="B25" s="41">
        <v>19</v>
      </c>
      <c r="C25" s="113" t="s">
        <v>144</v>
      </c>
      <c r="D25" s="117">
        <v>563</v>
      </c>
      <c r="E25" s="110">
        <v>227</v>
      </c>
      <c r="F25" s="110">
        <v>197</v>
      </c>
      <c r="G25" s="110">
        <v>0</v>
      </c>
      <c r="H25" s="111">
        <f t="shared" si="0"/>
        <v>424</v>
      </c>
      <c r="I25" s="112">
        <v>395</v>
      </c>
      <c r="J25" s="110">
        <v>0</v>
      </c>
      <c r="K25" s="110">
        <v>1</v>
      </c>
      <c r="L25" s="81"/>
      <c r="M25" s="81">
        <f>'Praroop-20 hindi'!C28</f>
        <v>113</v>
      </c>
      <c r="N25" s="81">
        <v>2</v>
      </c>
      <c r="O25" s="81"/>
      <c r="P25" s="81">
        <f>'Praroop-20 hindi'!D28</f>
        <v>212</v>
      </c>
      <c r="Q25" s="81">
        <v>3</v>
      </c>
      <c r="R25" s="81"/>
      <c r="S25" s="81">
        <f>'Praroop-20 hindi'!E28</f>
        <v>75</v>
      </c>
      <c r="T25" s="81">
        <v>4</v>
      </c>
      <c r="U25" s="81"/>
      <c r="V25" s="81">
        <f>'Praroop-20 hindi'!F28</f>
        <v>13</v>
      </c>
      <c r="W25" s="81">
        <v>5</v>
      </c>
      <c r="X25" s="81"/>
      <c r="Y25" s="81">
        <f>'Praroop-20 hindi'!G28</f>
        <v>1</v>
      </c>
      <c r="Z25" s="81">
        <v>6</v>
      </c>
      <c r="AA25" s="81"/>
      <c r="AB25" s="81">
        <f>'Praroop-20 hindi'!H28</f>
        <v>0</v>
      </c>
      <c r="AC25" s="81">
        <v>7</v>
      </c>
      <c r="AD25" s="81"/>
      <c r="AE25" s="81">
        <f>'Praroop-20 hindi'!I28</f>
        <v>0</v>
      </c>
      <c r="AF25" s="81">
        <v>8</v>
      </c>
      <c r="AG25" s="81"/>
      <c r="AH25" s="81">
        <f>'Praroop-20 hindi'!J28</f>
        <v>0</v>
      </c>
      <c r="AI25" s="81">
        <v>9</v>
      </c>
      <c r="AJ25" s="81"/>
      <c r="AK25" s="81">
        <f>'Praroop-20 hindi'!K28</f>
        <v>5</v>
      </c>
      <c r="AL25" s="81">
        <v>10</v>
      </c>
      <c r="AM25" s="81"/>
      <c r="AN25" s="81">
        <f>'Praroop-20 hindi'!L28</f>
        <v>1</v>
      </c>
      <c r="AO25" s="81">
        <v>11</v>
      </c>
      <c r="AP25" s="81"/>
      <c r="AQ25" s="81">
        <f>'Praroop-20 hindi'!M28</f>
        <v>1</v>
      </c>
      <c r="AR25" s="81">
        <f t="shared" si="1"/>
        <v>421</v>
      </c>
    </row>
    <row r="26" spans="1:44" ht="25.5">
      <c r="A26" s="81">
        <v>64</v>
      </c>
      <c r="B26" s="41">
        <v>20</v>
      </c>
      <c r="C26" s="113" t="s">
        <v>145</v>
      </c>
      <c r="D26" s="117">
        <v>914</v>
      </c>
      <c r="E26" s="110">
        <v>260</v>
      </c>
      <c r="F26" s="110">
        <v>245</v>
      </c>
      <c r="G26" s="110">
        <v>0</v>
      </c>
      <c r="H26" s="111">
        <f t="shared" si="0"/>
        <v>505</v>
      </c>
      <c r="I26" s="112">
        <v>505</v>
      </c>
      <c r="J26" s="110">
        <v>0</v>
      </c>
      <c r="K26" s="110">
        <v>1</v>
      </c>
      <c r="L26" s="81"/>
      <c r="M26" s="81">
        <f>'Praroop-20 hindi'!C29</f>
        <v>4</v>
      </c>
      <c r="N26" s="81">
        <v>2</v>
      </c>
      <c r="O26" s="81"/>
      <c r="P26" s="81">
        <f>'Praroop-20 hindi'!D29</f>
        <v>96</v>
      </c>
      <c r="Q26" s="81">
        <v>3</v>
      </c>
      <c r="R26" s="81"/>
      <c r="S26" s="81">
        <f>'Praroop-20 hindi'!E29</f>
        <v>398</v>
      </c>
      <c r="T26" s="81">
        <v>4</v>
      </c>
      <c r="U26" s="81"/>
      <c r="V26" s="81">
        <f>'Praroop-20 hindi'!F29</f>
        <v>5</v>
      </c>
      <c r="W26" s="81">
        <v>5</v>
      </c>
      <c r="X26" s="81"/>
      <c r="Y26" s="81">
        <f>'Praroop-20 hindi'!G29</f>
        <v>0</v>
      </c>
      <c r="Z26" s="81">
        <v>6</v>
      </c>
      <c r="AA26" s="81"/>
      <c r="AB26" s="81">
        <f>'Praroop-20 hindi'!H29</f>
        <v>0</v>
      </c>
      <c r="AC26" s="81">
        <v>7</v>
      </c>
      <c r="AD26" s="81"/>
      <c r="AE26" s="81">
        <f>'Praroop-20 hindi'!I29</f>
        <v>0</v>
      </c>
      <c r="AF26" s="81">
        <v>8</v>
      </c>
      <c r="AG26" s="81"/>
      <c r="AH26" s="81">
        <f>'Praroop-20 hindi'!J29</f>
        <v>1</v>
      </c>
      <c r="AI26" s="81">
        <v>9</v>
      </c>
      <c r="AJ26" s="81"/>
      <c r="AK26" s="81">
        <f>'Praroop-20 hindi'!K29</f>
        <v>0</v>
      </c>
      <c r="AL26" s="81">
        <v>10</v>
      </c>
      <c r="AM26" s="81"/>
      <c r="AN26" s="81">
        <f>'Praroop-20 hindi'!L29</f>
        <v>0</v>
      </c>
      <c r="AO26" s="81">
        <v>11</v>
      </c>
      <c r="AP26" s="81"/>
      <c r="AQ26" s="81">
        <f>'Praroop-20 hindi'!M29</f>
        <v>0</v>
      </c>
      <c r="AR26" s="81">
        <f t="shared" si="1"/>
        <v>504</v>
      </c>
    </row>
    <row r="27" spans="1:44" ht="25.5">
      <c r="A27" s="81">
        <v>64</v>
      </c>
      <c r="B27" s="41">
        <v>21</v>
      </c>
      <c r="C27" s="113" t="s">
        <v>146</v>
      </c>
      <c r="D27" s="117">
        <v>881</v>
      </c>
      <c r="E27" s="110">
        <v>293</v>
      </c>
      <c r="F27" s="110">
        <v>268</v>
      </c>
      <c r="G27" s="110">
        <v>0</v>
      </c>
      <c r="H27" s="111">
        <f t="shared" si="0"/>
        <v>561</v>
      </c>
      <c r="I27" s="112">
        <v>517</v>
      </c>
      <c r="J27" s="110">
        <v>0</v>
      </c>
      <c r="K27" s="110">
        <v>1</v>
      </c>
      <c r="L27" s="81"/>
      <c r="M27" s="81">
        <f>'Praroop-20 hindi'!C30</f>
        <v>29</v>
      </c>
      <c r="N27" s="81">
        <v>2</v>
      </c>
      <c r="O27" s="81"/>
      <c r="P27" s="81">
        <f>'Praroop-20 hindi'!D30</f>
        <v>258</v>
      </c>
      <c r="Q27" s="81">
        <v>3</v>
      </c>
      <c r="R27" s="81"/>
      <c r="S27" s="81">
        <f>'Praroop-20 hindi'!E30</f>
        <v>262</v>
      </c>
      <c r="T27" s="81">
        <v>4</v>
      </c>
      <c r="U27" s="81"/>
      <c r="V27" s="81">
        <f>'Praroop-20 hindi'!F30</f>
        <v>6</v>
      </c>
      <c r="W27" s="81">
        <v>5</v>
      </c>
      <c r="X27" s="81"/>
      <c r="Y27" s="81">
        <f>'Praroop-20 hindi'!G30</f>
        <v>0</v>
      </c>
      <c r="Z27" s="81">
        <v>6</v>
      </c>
      <c r="AA27" s="81"/>
      <c r="AB27" s="81">
        <f>'Praroop-20 hindi'!H30</f>
        <v>0</v>
      </c>
      <c r="AC27" s="81">
        <v>7</v>
      </c>
      <c r="AD27" s="81"/>
      <c r="AE27" s="81">
        <f>'Praroop-20 hindi'!I30</f>
        <v>0</v>
      </c>
      <c r="AF27" s="81">
        <v>8</v>
      </c>
      <c r="AG27" s="81"/>
      <c r="AH27" s="81">
        <f>'Praroop-20 hindi'!J30</f>
        <v>0</v>
      </c>
      <c r="AI27" s="81">
        <v>9</v>
      </c>
      <c r="AJ27" s="81"/>
      <c r="AK27" s="81">
        <f>'Praroop-20 hindi'!K30</f>
        <v>2</v>
      </c>
      <c r="AL27" s="81">
        <v>10</v>
      </c>
      <c r="AM27" s="81"/>
      <c r="AN27" s="81">
        <f>'Praroop-20 hindi'!L30</f>
        <v>2</v>
      </c>
      <c r="AO27" s="81">
        <v>11</v>
      </c>
      <c r="AP27" s="81"/>
      <c r="AQ27" s="81">
        <f>'Praroop-20 hindi'!M30</f>
        <v>0</v>
      </c>
      <c r="AR27" s="81">
        <f t="shared" si="1"/>
        <v>559</v>
      </c>
    </row>
    <row r="28" spans="1:44" ht="25.5">
      <c r="A28" s="81">
        <v>64</v>
      </c>
      <c r="B28" s="41">
        <v>22</v>
      </c>
      <c r="C28" s="113" t="s">
        <v>147</v>
      </c>
      <c r="D28" s="117">
        <v>951</v>
      </c>
      <c r="E28" s="110">
        <v>334</v>
      </c>
      <c r="F28" s="110">
        <v>255</v>
      </c>
      <c r="G28" s="110">
        <v>0</v>
      </c>
      <c r="H28" s="111">
        <f t="shared" si="0"/>
        <v>589</v>
      </c>
      <c r="I28" s="112">
        <v>560</v>
      </c>
      <c r="J28" s="110">
        <v>0</v>
      </c>
      <c r="K28" s="110">
        <v>1</v>
      </c>
      <c r="L28" s="81"/>
      <c r="M28" s="81">
        <f>'Praroop-20 hindi'!C31</f>
        <v>255</v>
      </c>
      <c r="N28" s="81">
        <v>2</v>
      </c>
      <c r="O28" s="81"/>
      <c r="P28" s="81">
        <f>'Praroop-20 hindi'!D31</f>
        <v>120</v>
      </c>
      <c r="Q28" s="81">
        <v>3</v>
      </c>
      <c r="R28" s="81"/>
      <c r="S28" s="81">
        <f>'Praroop-20 hindi'!E31</f>
        <v>210</v>
      </c>
      <c r="T28" s="81">
        <v>4</v>
      </c>
      <c r="U28" s="81"/>
      <c r="V28" s="81">
        <f>'Praroop-20 hindi'!F31</f>
        <v>1</v>
      </c>
      <c r="W28" s="81">
        <v>5</v>
      </c>
      <c r="X28" s="81"/>
      <c r="Y28" s="81">
        <f>'Praroop-20 hindi'!G31</f>
        <v>0</v>
      </c>
      <c r="Z28" s="81">
        <v>6</v>
      </c>
      <c r="AA28" s="81"/>
      <c r="AB28" s="81">
        <f>'Praroop-20 hindi'!H31</f>
        <v>0</v>
      </c>
      <c r="AC28" s="81">
        <v>7</v>
      </c>
      <c r="AD28" s="81"/>
      <c r="AE28" s="81">
        <f>'Praroop-20 hindi'!I31</f>
        <v>0</v>
      </c>
      <c r="AF28" s="81">
        <v>8</v>
      </c>
      <c r="AG28" s="81"/>
      <c r="AH28" s="81">
        <f>'Praroop-20 hindi'!J31</f>
        <v>0</v>
      </c>
      <c r="AI28" s="81">
        <v>9</v>
      </c>
      <c r="AJ28" s="81"/>
      <c r="AK28" s="81">
        <f>'Praroop-20 hindi'!K31</f>
        <v>0</v>
      </c>
      <c r="AL28" s="81">
        <v>10</v>
      </c>
      <c r="AM28" s="81"/>
      <c r="AN28" s="81">
        <f>'Praroop-20 hindi'!L31</f>
        <v>2</v>
      </c>
      <c r="AO28" s="81">
        <v>11</v>
      </c>
      <c r="AP28" s="81"/>
      <c r="AQ28" s="81">
        <f>'Praroop-20 hindi'!M31</f>
        <v>1</v>
      </c>
      <c r="AR28" s="81">
        <f t="shared" si="1"/>
        <v>589</v>
      </c>
    </row>
    <row r="29" spans="1:44" ht="25.5">
      <c r="A29" s="81">
        <v>64</v>
      </c>
      <c r="B29" s="41">
        <v>23</v>
      </c>
      <c r="C29" s="113" t="s">
        <v>148</v>
      </c>
      <c r="D29" s="117">
        <v>787</v>
      </c>
      <c r="E29" s="110">
        <v>215</v>
      </c>
      <c r="F29" s="110">
        <v>218</v>
      </c>
      <c r="G29" s="110">
        <v>0</v>
      </c>
      <c r="H29" s="111">
        <f t="shared" si="0"/>
        <v>433</v>
      </c>
      <c r="I29" s="112">
        <v>433</v>
      </c>
      <c r="J29" s="110">
        <v>0</v>
      </c>
      <c r="K29" s="110">
        <v>1</v>
      </c>
      <c r="L29" s="81"/>
      <c r="M29" s="81">
        <f>'Praroop-20 hindi'!C32</f>
        <v>58</v>
      </c>
      <c r="N29" s="81">
        <v>2</v>
      </c>
      <c r="O29" s="81"/>
      <c r="P29" s="81">
        <f>'Praroop-20 hindi'!D32</f>
        <v>29</v>
      </c>
      <c r="Q29" s="81">
        <v>3</v>
      </c>
      <c r="R29" s="81"/>
      <c r="S29" s="81">
        <f>'Praroop-20 hindi'!E32</f>
        <v>336</v>
      </c>
      <c r="T29" s="81">
        <v>4</v>
      </c>
      <c r="U29" s="81"/>
      <c r="V29" s="81">
        <f>'Praroop-20 hindi'!F32</f>
        <v>3</v>
      </c>
      <c r="W29" s="81">
        <v>5</v>
      </c>
      <c r="X29" s="81"/>
      <c r="Y29" s="81">
        <f>'Praroop-20 hindi'!G32</f>
        <v>0</v>
      </c>
      <c r="Z29" s="81">
        <v>6</v>
      </c>
      <c r="AA29" s="81"/>
      <c r="AB29" s="81">
        <f>'Praroop-20 hindi'!H32</f>
        <v>1</v>
      </c>
      <c r="AC29" s="81">
        <v>7</v>
      </c>
      <c r="AD29" s="81"/>
      <c r="AE29" s="81">
        <f>'Praroop-20 hindi'!I32</f>
        <v>0</v>
      </c>
      <c r="AF29" s="81">
        <v>8</v>
      </c>
      <c r="AG29" s="81"/>
      <c r="AH29" s="81">
        <f>'Praroop-20 hindi'!J32</f>
        <v>1</v>
      </c>
      <c r="AI29" s="81">
        <v>9</v>
      </c>
      <c r="AJ29" s="81"/>
      <c r="AK29" s="81">
        <f>'Praroop-20 hindi'!K32</f>
        <v>0</v>
      </c>
      <c r="AL29" s="81">
        <v>10</v>
      </c>
      <c r="AM29" s="81"/>
      <c r="AN29" s="81">
        <f>'Praroop-20 hindi'!L32</f>
        <v>2</v>
      </c>
      <c r="AO29" s="81">
        <v>11</v>
      </c>
      <c r="AP29" s="81"/>
      <c r="AQ29" s="81">
        <f>'Praroop-20 hindi'!M32</f>
        <v>1</v>
      </c>
      <c r="AR29" s="81">
        <f t="shared" si="1"/>
        <v>431</v>
      </c>
    </row>
    <row r="30" spans="1:44" ht="25.5">
      <c r="A30" s="81">
        <v>64</v>
      </c>
      <c r="B30" s="41">
        <v>24</v>
      </c>
      <c r="C30" s="113" t="s">
        <v>149</v>
      </c>
      <c r="D30" s="117">
        <v>877</v>
      </c>
      <c r="E30" s="110">
        <v>258</v>
      </c>
      <c r="F30" s="110">
        <v>246</v>
      </c>
      <c r="G30" s="110">
        <v>0</v>
      </c>
      <c r="H30" s="111">
        <f t="shared" si="0"/>
        <v>504</v>
      </c>
      <c r="I30" s="112">
        <v>463</v>
      </c>
      <c r="J30" s="110">
        <v>0</v>
      </c>
      <c r="K30" s="110">
        <v>1</v>
      </c>
      <c r="L30" s="81"/>
      <c r="M30" s="81">
        <f>'Praroop-20 hindi'!C33</f>
        <v>134</v>
      </c>
      <c r="N30" s="81">
        <v>2</v>
      </c>
      <c r="O30" s="81"/>
      <c r="P30" s="81">
        <f>'Praroop-20 hindi'!D33</f>
        <v>182</v>
      </c>
      <c r="Q30" s="81">
        <v>3</v>
      </c>
      <c r="R30" s="81"/>
      <c r="S30" s="81">
        <f>'Praroop-20 hindi'!E33</f>
        <v>150</v>
      </c>
      <c r="T30" s="81">
        <v>4</v>
      </c>
      <c r="U30" s="81"/>
      <c r="V30" s="81">
        <f>'Praroop-20 hindi'!F33</f>
        <v>10</v>
      </c>
      <c r="W30" s="81">
        <v>5</v>
      </c>
      <c r="X30" s="81"/>
      <c r="Y30" s="81">
        <f>'Praroop-20 hindi'!G33</f>
        <v>1</v>
      </c>
      <c r="Z30" s="81">
        <v>6</v>
      </c>
      <c r="AA30" s="81"/>
      <c r="AB30" s="81">
        <f>'Praroop-20 hindi'!H33</f>
        <v>0</v>
      </c>
      <c r="AC30" s="81">
        <v>7</v>
      </c>
      <c r="AD30" s="81"/>
      <c r="AE30" s="81">
        <f>'Praroop-20 hindi'!I33</f>
        <v>3</v>
      </c>
      <c r="AF30" s="81">
        <v>8</v>
      </c>
      <c r="AG30" s="81"/>
      <c r="AH30" s="81">
        <f>'Praroop-20 hindi'!J33</f>
        <v>1</v>
      </c>
      <c r="AI30" s="81">
        <v>9</v>
      </c>
      <c r="AJ30" s="81"/>
      <c r="AK30" s="81">
        <f>'Praroop-20 hindi'!K33</f>
        <v>11</v>
      </c>
      <c r="AL30" s="81">
        <v>10</v>
      </c>
      <c r="AM30" s="81"/>
      <c r="AN30" s="81">
        <f>'Praroop-20 hindi'!L33</f>
        <v>5</v>
      </c>
      <c r="AO30" s="81">
        <v>11</v>
      </c>
      <c r="AP30" s="81"/>
      <c r="AQ30" s="81">
        <f>'Praroop-20 hindi'!M33</f>
        <v>1</v>
      </c>
      <c r="AR30" s="81">
        <f t="shared" si="1"/>
        <v>498</v>
      </c>
    </row>
    <row r="31" spans="1:44" ht="25.5">
      <c r="A31" s="81">
        <v>64</v>
      </c>
      <c r="B31" s="41">
        <v>25</v>
      </c>
      <c r="C31" s="113" t="s">
        <v>150</v>
      </c>
      <c r="D31" s="117">
        <v>856</v>
      </c>
      <c r="E31" s="110">
        <v>246</v>
      </c>
      <c r="F31" s="110">
        <v>194</v>
      </c>
      <c r="G31" s="110">
        <v>0</v>
      </c>
      <c r="H31" s="111">
        <f t="shared" si="0"/>
        <v>440</v>
      </c>
      <c r="I31" s="112">
        <v>390</v>
      </c>
      <c r="J31" s="110">
        <v>0</v>
      </c>
      <c r="K31" s="110">
        <v>1</v>
      </c>
      <c r="L31" s="81"/>
      <c r="M31" s="81">
        <f>'Praroop-20 hindi'!C34</f>
        <v>3</v>
      </c>
      <c r="N31" s="81">
        <v>2</v>
      </c>
      <c r="O31" s="81"/>
      <c r="P31" s="81">
        <f>'Praroop-20 hindi'!D34</f>
        <v>384</v>
      </c>
      <c r="Q31" s="81">
        <v>3</v>
      </c>
      <c r="R31" s="81"/>
      <c r="S31" s="81">
        <f>'Praroop-20 hindi'!E34</f>
        <v>37</v>
      </c>
      <c r="T31" s="81">
        <v>4</v>
      </c>
      <c r="U31" s="81"/>
      <c r="V31" s="81">
        <f>'Praroop-20 hindi'!F34</f>
        <v>9</v>
      </c>
      <c r="W31" s="81">
        <v>5</v>
      </c>
      <c r="X31" s="81"/>
      <c r="Y31" s="81">
        <f>'Praroop-20 hindi'!G34</f>
        <v>0</v>
      </c>
      <c r="Z31" s="81">
        <v>6</v>
      </c>
      <c r="AA31" s="81"/>
      <c r="AB31" s="81">
        <f>'Praroop-20 hindi'!H34</f>
        <v>0</v>
      </c>
      <c r="AC31" s="81">
        <v>7</v>
      </c>
      <c r="AD31" s="81"/>
      <c r="AE31" s="81">
        <f>'Praroop-20 hindi'!I34</f>
        <v>0</v>
      </c>
      <c r="AF31" s="81">
        <v>8</v>
      </c>
      <c r="AG31" s="81"/>
      <c r="AH31" s="81">
        <f>'Praroop-20 hindi'!J34</f>
        <v>0</v>
      </c>
      <c r="AI31" s="81">
        <v>9</v>
      </c>
      <c r="AJ31" s="81"/>
      <c r="AK31" s="81">
        <f>'Praroop-20 hindi'!K34</f>
        <v>6</v>
      </c>
      <c r="AL31" s="81">
        <v>10</v>
      </c>
      <c r="AM31" s="81"/>
      <c r="AN31" s="81">
        <f>'Praroop-20 hindi'!L34</f>
        <v>1</v>
      </c>
      <c r="AO31" s="81">
        <v>11</v>
      </c>
      <c r="AP31" s="81"/>
      <c r="AQ31" s="81">
        <f>'Praroop-20 hindi'!M34</f>
        <v>0</v>
      </c>
      <c r="AR31" s="81">
        <f t="shared" si="1"/>
        <v>440</v>
      </c>
    </row>
    <row r="32" spans="1:44" ht="25.5">
      <c r="A32" s="81">
        <v>64</v>
      </c>
      <c r="B32" s="41">
        <v>26</v>
      </c>
      <c r="C32" s="113" t="s">
        <v>151</v>
      </c>
      <c r="D32" s="117">
        <v>905</v>
      </c>
      <c r="E32" s="110">
        <v>323</v>
      </c>
      <c r="F32" s="110">
        <v>240</v>
      </c>
      <c r="G32" s="110">
        <v>0</v>
      </c>
      <c r="H32" s="111">
        <f t="shared" si="0"/>
        <v>563</v>
      </c>
      <c r="I32" s="112">
        <v>493</v>
      </c>
      <c r="J32" s="110">
        <v>0</v>
      </c>
      <c r="K32" s="110">
        <v>1</v>
      </c>
      <c r="L32" s="81"/>
      <c r="M32" s="81">
        <f>'Praroop-20 hindi'!C35</f>
        <v>303</v>
      </c>
      <c r="N32" s="81">
        <v>2</v>
      </c>
      <c r="O32" s="81"/>
      <c r="P32" s="81">
        <f>'Praroop-20 hindi'!D35</f>
        <v>100</v>
      </c>
      <c r="Q32" s="81">
        <v>3</v>
      </c>
      <c r="R32" s="81"/>
      <c r="S32" s="81">
        <f>'Praroop-20 hindi'!E35</f>
        <v>147</v>
      </c>
      <c r="T32" s="81">
        <v>4</v>
      </c>
      <c r="U32" s="81"/>
      <c r="V32" s="81">
        <f>'Praroop-20 hindi'!F35</f>
        <v>1</v>
      </c>
      <c r="W32" s="81">
        <v>5</v>
      </c>
      <c r="X32" s="81"/>
      <c r="Y32" s="81">
        <f>'Praroop-20 hindi'!G35</f>
        <v>1</v>
      </c>
      <c r="Z32" s="81">
        <v>6</v>
      </c>
      <c r="AA32" s="81"/>
      <c r="AB32" s="81">
        <f>'Praroop-20 hindi'!H35</f>
        <v>0</v>
      </c>
      <c r="AC32" s="81">
        <v>7</v>
      </c>
      <c r="AD32" s="81"/>
      <c r="AE32" s="81">
        <f>'Praroop-20 hindi'!I35</f>
        <v>2</v>
      </c>
      <c r="AF32" s="81">
        <v>8</v>
      </c>
      <c r="AG32" s="81"/>
      <c r="AH32" s="81">
        <f>'Praroop-20 hindi'!J35</f>
        <v>3</v>
      </c>
      <c r="AI32" s="81">
        <v>9</v>
      </c>
      <c r="AJ32" s="81"/>
      <c r="AK32" s="81">
        <f>'Praroop-20 hindi'!K35</f>
        <v>0</v>
      </c>
      <c r="AL32" s="81">
        <v>10</v>
      </c>
      <c r="AM32" s="81"/>
      <c r="AN32" s="81">
        <f>'Praroop-20 hindi'!L35</f>
        <v>0</v>
      </c>
      <c r="AO32" s="81">
        <v>11</v>
      </c>
      <c r="AP32" s="81"/>
      <c r="AQ32" s="81">
        <f>'Praroop-20 hindi'!M35</f>
        <v>1</v>
      </c>
      <c r="AR32" s="81">
        <f t="shared" si="1"/>
        <v>558</v>
      </c>
    </row>
    <row r="33" spans="1:44" ht="25.5">
      <c r="A33" s="81">
        <v>64</v>
      </c>
      <c r="B33" s="41">
        <v>27</v>
      </c>
      <c r="C33" s="113" t="s">
        <v>152</v>
      </c>
      <c r="D33" s="117">
        <v>791</v>
      </c>
      <c r="E33" s="110">
        <v>249</v>
      </c>
      <c r="F33" s="110">
        <v>229</v>
      </c>
      <c r="G33" s="110">
        <v>0</v>
      </c>
      <c r="H33" s="111">
        <f t="shared" si="0"/>
        <v>478</v>
      </c>
      <c r="I33" s="112">
        <v>434</v>
      </c>
      <c r="J33" s="110">
        <v>0</v>
      </c>
      <c r="K33" s="110">
        <v>1</v>
      </c>
      <c r="L33" s="81"/>
      <c r="M33" s="81">
        <f>'Praroop-20 hindi'!C36</f>
        <v>12</v>
      </c>
      <c r="N33" s="81">
        <v>2</v>
      </c>
      <c r="O33" s="81"/>
      <c r="P33" s="81">
        <f>'Praroop-20 hindi'!D36</f>
        <v>122</v>
      </c>
      <c r="Q33" s="81">
        <v>3</v>
      </c>
      <c r="R33" s="81"/>
      <c r="S33" s="81">
        <f>'Praroop-20 hindi'!E36</f>
        <v>326</v>
      </c>
      <c r="T33" s="81">
        <v>4</v>
      </c>
      <c r="U33" s="81"/>
      <c r="V33" s="81">
        <f>'Praroop-20 hindi'!F36</f>
        <v>3</v>
      </c>
      <c r="W33" s="81">
        <v>5</v>
      </c>
      <c r="X33" s="81"/>
      <c r="Y33" s="81">
        <f>'Praroop-20 hindi'!G36</f>
        <v>0</v>
      </c>
      <c r="Z33" s="81">
        <v>6</v>
      </c>
      <c r="AA33" s="81"/>
      <c r="AB33" s="81">
        <f>'Praroop-20 hindi'!H36</f>
        <v>0</v>
      </c>
      <c r="AC33" s="81">
        <v>7</v>
      </c>
      <c r="AD33" s="81"/>
      <c r="AE33" s="81">
        <f>'Praroop-20 hindi'!I36</f>
        <v>0</v>
      </c>
      <c r="AF33" s="81">
        <v>8</v>
      </c>
      <c r="AG33" s="81"/>
      <c r="AH33" s="81">
        <f>'Praroop-20 hindi'!J36</f>
        <v>3</v>
      </c>
      <c r="AI33" s="81">
        <v>9</v>
      </c>
      <c r="AJ33" s="81"/>
      <c r="AK33" s="81">
        <f>'Praroop-20 hindi'!K36</f>
        <v>3</v>
      </c>
      <c r="AL33" s="81">
        <v>10</v>
      </c>
      <c r="AM33" s="81"/>
      <c r="AN33" s="81">
        <f>'Praroop-20 hindi'!L36</f>
        <v>8</v>
      </c>
      <c r="AO33" s="81">
        <v>11</v>
      </c>
      <c r="AP33" s="81"/>
      <c r="AQ33" s="81">
        <f>'Praroop-20 hindi'!M36</f>
        <v>0</v>
      </c>
      <c r="AR33" s="81">
        <f t="shared" si="1"/>
        <v>477</v>
      </c>
    </row>
    <row r="34" spans="1:44" ht="25.5">
      <c r="A34" s="81">
        <v>64</v>
      </c>
      <c r="B34" s="41">
        <v>28</v>
      </c>
      <c r="C34" s="113" t="s">
        <v>153</v>
      </c>
      <c r="D34" s="117">
        <v>1110</v>
      </c>
      <c r="E34" s="110">
        <v>340</v>
      </c>
      <c r="F34" s="110">
        <v>308</v>
      </c>
      <c r="G34" s="110">
        <v>0</v>
      </c>
      <c r="H34" s="111">
        <f t="shared" si="0"/>
        <v>648</v>
      </c>
      <c r="I34" s="112">
        <v>648</v>
      </c>
      <c r="J34" s="110">
        <v>0</v>
      </c>
      <c r="K34" s="110">
        <v>1</v>
      </c>
      <c r="L34" s="81"/>
      <c r="M34" s="81">
        <f>'Praroop-20 hindi'!C37</f>
        <v>16</v>
      </c>
      <c r="N34" s="81">
        <v>2</v>
      </c>
      <c r="O34" s="81"/>
      <c r="P34" s="81">
        <f>'Praroop-20 hindi'!D37</f>
        <v>105</v>
      </c>
      <c r="Q34" s="81">
        <v>3</v>
      </c>
      <c r="R34" s="81"/>
      <c r="S34" s="81">
        <f>'Praroop-20 hindi'!E37</f>
        <v>514</v>
      </c>
      <c r="T34" s="81">
        <v>4</v>
      </c>
      <c r="U34" s="81"/>
      <c r="V34" s="81">
        <f>'Praroop-20 hindi'!F37</f>
        <v>8</v>
      </c>
      <c r="W34" s="81">
        <v>5</v>
      </c>
      <c r="X34" s="81"/>
      <c r="Y34" s="81">
        <f>'Praroop-20 hindi'!G37</f>
        <v>0</v>
      </c>
      <c r="Z34" s="81">
        <v>6</v>
      </c>
      <c r="AA34" s="81"/>
      <c r="AB34" s="81">
        <f>'Praroop-20 hindi'!H37</f>
        <v>0</v>
      </c>
      <c r="AC34" s="81">
        <v>7</v>
      </c>
      <c r="AD34" s="81"/>
      <c r="AE34" s="81">
        <f>'Praroop-20 hindi'!I37</f>
        <v>0</v>
      </c>
      <c r="AF34" s="81">
        <v>8</v>
      </c>
      <c r="AG34" s="81"/>
      <c r="AH34" s="81">
        <f>'Praroop-20 hindi'!J37</f>
        <v>0</v>
      </c>
      <c r="AI34" s="81">
        <v>9</v>
      </c>
      <c r="AJ34" s="81"/>
      <c r="AK34" s="81">
        <f>'Praroop-20 hindi'!K37</f>
        <v>0</v>
      </c>
      <c r="AL34" s="81">
        <v>10</v>
      </c>
      <c r="AM34" s="81"/>
      <c r="AN34" s="81">
        <f>'Praroop-20 hindi'!L37</f>
        <v>2</v>
      </c>
      <c r="AO34" s="81">
        <v>11</v>
      </c>
      <c r="AP34" s="81"/>
      <c r="AQ34" s="81">
        <f>'Praroop-20 hindi'!M37</f>
        <v>0</v>
      </c>
      <c r="AR34" s="81">
        <f t="shared" si="1"/>
        <v>645</v>
      </c>
    </row>
    <row r="35" spans="1:44" ht="25.5">
      <c r="A35" s="81">
        <v>64</v>
      </c>
      <c r="B35" s="41">
        <v>29</v>
      </c>
      <c r="C35" s="113" t="s">
        <v>154</v>
      </c>
      <c r="D35" s="117">
        <v>1089</v>
      </c>
      <c r="E35" s="110">
        <v>382</v>
      </c>
      <c r="F35" s="110">
        <v>295</v>
      </c>
      <c r="G35" s="110">
        <v>0</v>
      </c>
      <c r="H35" s="111">
        <f t="shared" si="0"/>
        <v>677</v>
      </c>
      <c r="I35" s="112">
        <v>609</v>
      </c>
      <c r="J35" s="110">
        <v>0</v>
      </c>
      <c r="K35" s="110">
        <v>1</v>
      </c>
      <c r="L35" s="81"/>
      <c r="M35" s="81">
        <f>'Praroop-20 hindi'!C38</f>
        <v>9</v>
      </c>
      <c r="N35" s="81">
        <v>2</v>
      </c>
      <c r="O35" s="81"/>
      <c r="P35" s="81">
        <f>'Praroop-20 hindi'!D38</f>
        <v>122</v>
      </c>
      <c r="Q35" s="81">
        <v>3</v>
      </c>
      <c r="R35" s="81"/>
      <c r="S35" s="81">
        <f>'Praroop-20 hindi'!E38</f>
        <v>538</v>
      </c>
      <c r="T35" s="81">
        <v>4</v>
      </c>
      <c r="U35" s="81"/>
      <c r="V35" s="81">
        <f>'Praroop-20 hindi'!F38</f>
        <v>4</v>
      </c>
      <c r="W35" s="81">
        <v>5</v>
      </c>
      <c r="X35" s="81"/>
      <c r="Y35" s="81">
        <f>'Praroop-20 hindi'!G38</f>
        <v>0</v>
      </c>
      <c r="Z35" s="81">
        <v>6</v>
      </c>
      <c r="AA35" s="81"/>
      <c r="AB35" s="81">
        <f>'Praroop-20 hindi'!H38</f>
        <v>0</v>
      </c>
      <c r="AC35" s="81">
        <v>7</v>
      </c>
      <c r="AD35" s="81"/>
      <c r="AE35" s="81">
        <f>'Praroop-20 hindi'!I38</f>
        <v>0</v>
      </c>
      <c r="AF35" s="81">
        <v>8</v>
      </c>
      <c r="AG35" s="81"/>
      <c r="AH35" s="81">
        <f>'Praroop-20 hindi'!J38</f>
        <v>0</v>
      </c>
      <c r="AI35" s="81">
        <v>9</v>
      </c>
      <c r="AJ35" s="81"/>
      <c r="AK35" s="81">
        <f>'Praroop-20 hindi'!K38</f>
        <v>0</v>
      </c>
      <c r="AL35" s="81">
        <v>10</v>
      </c>
      <c r="AM35" s="81"/>
      <c r="AN35" s="81">
        <f>'Praroop-20 hindi'!L38</f>
        <v>3</v>
      </c>
      <c r="AO35" s="81">
        <v>11</v>
      </c>
      <c r="AP35" s="81"/>
      <c r="AQ35" s="81">
        <f>'Praroop-20 hindi'!M38</f>
        <v>0</v>
      </c>
      <c r="AR35" s="81">
        <f t="shared" si="1"/>
        <v>676</v>
      </c>
    </row>
    <row r="36" spans="1:44" ht="25.5">
      <c r="A36" s="81">
        <v>64</v>
      </c>
      <c r="B36" s="41">
        <v>30</v>
      </c>
      <c r="C36" s="113" t="s">
        <v>155</v>
      </c>
      <c r="D36" s="117">
        <v>978</v>
      </c>
      <c r="E36" s="110">
        <v>260</v>
      </c>
      <c r="F36" s="110">
        <v>218</v>
      </c>
      <c r="G36" s="110">
        <v>0</v>
      </c>
      <c r="H36" s="111">
        <f t="shared" si="0"/>
        <v>478</v>
      </c>
      <c r="I36" s="112">
        <v>478</v>
      </c>
      <c r="J36" s="110">
        <v>0</v>
      </c>
      <c r="K36" s="110">
        <v>1</v>
      </c>
      <c r="L36" s="81"/>
      <c r="M36" s="81">
        <f>'Praroop-20 hindi'!C39</f>
        <v>125</v>
      </c>
      <c r="N36" s="81">
        <v>2</v>
      </c>
      <c r="O36" s="81"/>
      <c r="P36" s="81">
        <f>'Praroop-20 hindi'!D39</f>
        <v>44</v>
      </c>
      <c r="Q36" s="81">
        <v>3</v>
      </c>
      <c r="R36" s="81"/>
      <c r="S36" s="81">
        <f>'Praroop-20 hindi'!E39</f>
        <v>289</v>
      </c>
      <c r="T36" s="81">
        <v>4</v>
      </c>
      <c r="U36" s="81"/>
      <c r="V36" s="81">
        <f>'Praroop-20 hindi'!F39</f>
        <v>5</v>
      </c>
      <c r="W36" s="81">
        <v>5</v>
      </c>
      <c r="X36" s="81"/>
      <c r="Y36" s="81">
        <f>'Praroop-20 hindi'!G39</f>
        <v>1</v>
      </c>
      <c r="Z36" s="81">
        <v>6</v>
      </c>
      <c r="AA36" s="81"/>
      <c r="AB36" s="81">
        <f>'Praroop-20 hindi'!H39</f>
        <v>1</v>
      </c>
      <c r="AC36" s="81">
        <v>7</v>
      </c>
      <c r="AD36" s="81"/>
      <c r="AE36" s="81">
        <f>'Praroop-20 hindi'!I39</f>
        <v>1</v>
      </c>
      <c r="AF36" s="81">
        <v>8</v>
      </c>
      <c r="AG36" s="81"/>
      <c r="AH36" s="81">
        <f>'Praroop-20 hindi'!J39</f>
        <v>0</v>
      </c>
      <c r="AI36" s="81">
        <v>9</v>
      </c>
      <c r="AJ36" s="81"/>
      <c r="AK36" s="81">
        <f>'Praroop-20 hindi'!K39</f>
        <v>2</v>
      </c>
      <c r="AL36" s="81">
        <v>10</v>
      </c>
      <c r="AM36" s="81"/>
      <c r="AN36" s="81">
        <f>'Praroop-20 hindi'!L39</f>
        <v>1</v>
      </c>
      <c r="AO36" s="81">
        <v>11</v>
      </c>
      <c r="AP36" s="81"/>
      <c r="AQ36" s="81">
        <f>'Praroop-20 hindi'!M39</f>
        <v>1</v>
      </c>
      <c r="AR36" s="81">
        <f t="shared" si="1"/>
        <v>470</v>
      </c>
    </row>
    <row r="37" spans="1:44" ht="25.5">
      <c r="A37" s="81">
        <v>64</v>
      </c>
      <c r="B37" s="41">
        <v>31</v>
      </c>
      <c r="C37" s="113" t="s">
        <v>156</v>
      </c>
      <c r="D37" s="117">
        <v>862</v>
      </c>
      <c r="E37" s="110">
        <v>285</v>
      </c>
      <c r="F37" s="110">
        <v>231</v>
      </c>
      <c r="G37" s="110">
        <v>0</v>
      </c>
      <c r="H37" s="111">
        <f t="shared" si="0"/>
        <v>516</v>
      </c>
      <c r="I37" s="112">
        <v>427</v>
      </c>
      <c r="J37" s="110">
        <v>0</v>
      </c>
      <c r="K37" s="110">
        <v>1</v>
      </c>
      <c r="L37" s="81"/>
      <c r="M37" s="81">
        <f>'Praroop-20 hindi'!C40</f>
        <v>41</v>
      </c>
      <c r="N37" s="81">
        <v>2</v>
      </c>
      <c r="O37" s="81"/>
      <c r="P37" s="81">
        <f>'Praroop-20 hindi'!D40</f>
        <v>77</v>
      </c>
      <c r="Q37" s="81">
        <v>3</v>
      </c>
      <c r="R37" s="81"/>
      <c r="S37" s="81">
        <f>'Praroop-20 hindi'!E40</f>
        <v>392</v>
      </c>
      <c r="T37" s="81">
        <v>4</v>
      </c>
      <c r="U37" s="81"/>
      <c r="V37" s="81">
        <f>'Praroop-20 hindi'!F40</f>
        <v>3</v>
      </c>
      <c r="W37" s="81">
        <v>5</v>
      </c>
      <c r="X37" s="81"/>
      <c r="Y37" s="81">
        <f>'Praroop-20 hindi'!G40</f>
        <v>0</v>
      </c>
      <c r="Z37" s="81">
        <v>6</v>
      </c>
      <c r="AA37" s="81"/>
      <c r="AB37" s="81">
        <f>'Praroop-20 hindi'!H40</f>
        <v>0</v>
      </c>
      <c r="AC37" s="81">
        <v>7</v>
      </c>
      <c r="AD37" s="81"/>
      <c r="AE37" s="81">
        <f>'Praroop-20 hindi'!I40</f>
        <v>0</v>
      </c>
      <c r="AF37" s="81">
        <v>8</v>
      </c>
      <c r="AG37" s="81"/>
      <c r="AH37" s="81">
        <f>'Praroop-20 hindi'!J40</f>
        <v>1</v>
      </c>
      <c r="AI37" s="81">
        <v>9</v>
      </c>
      <c r="AJ37" s="81"/>
      <c r="AK37" s="81">
        <f>'Praroop-20 hindi'!K40</f>
        <v>0</v>
      </c>
      <c r="AL37" s="81">
        <v>10</v>
      </c>
      <c r="AM37" s="81"/>
      <c r="AN37" s="81">
        <f>'Praroop-20 hindi'!L40</f>
        <v>2</v>
      </c>
      <c r="AO37" s="81">
        <v>11</v>
      </c>
      <c r="AP37" s="81"/>
      <c r="AQ37" s="81">
        <f>'Praroop-20 hindi'!M40</f>
        <v>0</v>
      </c>
      <c r="AR37" s="81">
        <f t="shared" si="1"/>
        <v>516</v>
      </c>
    </row>
    <row r="38" spans="1:44" ht="25.5">
      <c r="A38" s="81">
        <v>64</v>
      </c>
      <c r="B38" s="41">
        <v>32</v>
      </c>
      <c r="C38" s="113" t="s">
        <v>157</v>
      </c>
      <c r="D38" s="117">
        <v>925</v>
      </c>
      <c r="E38" s="110">
        <v>381</v>
      </c>
      <c r="F38" s="110">
        <v>290</v>
      </c>
      <c r="G38" s="110">
        <v>0</v>
      </c>
      <c r="H38" s="111">
        <f t="shared" si="0"/>
        <v>671</v>
      </c>
      <c r="I38" s="112">
        <v>633</v>
      </c>
      <c r="J38" s="110">
        <v>0</v>
      </c>
      <c r="K38" s="110">
        <v>1</v>
      </c>
      <c r="L38" s="81"/>
      <c r="M38" s="81">
        <f>'Praroop-20 hindi'!C41</f>
        <v>4</v>
      </c>
      <c r="N38" s="81">
        <v>2</v>
      </c>
      <c r="O38" s="81"/>
      <c r="P38" s="81">
        <f>'Praroop-20 hindi'!D41</f>
        <v>634</v>
      </c>
      <c r="Q38" s="81">
        <v>3</v>
      </c>
      <c r="R38" s="81"/>
      <c r="S38" s="81">
        <f>'Praroop-20 hindi'!E41</f>
        <v>15</v>
      </c>
      <c r="T38" s="81">
        <v>4</v>
      </c>
      <c r="U38" s="81"/>
      <c r="V38" s="81">
        <f>'Praroop-20 hindi'!F41</f>
        <v>10</v>
      </c>
      <c r="W38" s="81">
        <v>5</v>
      </c>
      <c r="X38" s="81"/>
      <c r="Y38" s="81">
        <f>'Praroop-20 hindi'!G41</f>
        <v>0</v>
      </c>
      <c r="Z38" s="81">
        <v>6</v>
      </c>
      <c r="AA38" s="81"/>
      <c r="AB38" s="81">
        <f>'Praroop-20 hindi'!H41</f>
        <v>0</v>
      </c>
      <c r="AC38" s="81">
        <v>7</v>
      </c>
      <c r="AD38" s="81"/>
      <c r="AE38" s="81">
        <f>'Praroop-20 hindi'!I41</f>
        <v>0</v>
      </c>
      <c r="AF38" s="81">
        <v>8</v>
      </c>
      <c r="AG38" s="81"/>
      <c r="AH38" s="81">
        <f>'Praroop-20 hindi'!J41</f>
        <v>0</v>
      </c>
      <c r="AI38" s="81">
        <v>9</v>
      </c>
      <c r="AJ38" s="81"/>
      <c r="AK38" s="81">
        <f>'Praroop-20 hindi'!K41</f>
        <v>1</v>
      </c>
      <c r="AL38" s="81">
        <v>10</v>
      </c>
      <c r="AM38" s="81"/>
      <c r="AN38" s="81">
        <f>'Praroop-20 hindi'!L41</f>
        <v>2</v>
      </c>
      <c r="AO38" s="81">
        <v>11</v>
      </c>
      <c r="AP38" s="81"/>
      <c r="AQ38" s="81">
        <f>'Praroop-20 hindi'!M41</f>
        <v>4</v>
      </c>
      <c r="AR38" s="81">
        <f t="shared" si="1"/>
        <v>670</v>
      </c>
    </row>
    <row r="39" spans="1:44" ht="25.5">
      <c r="A39" s="81">
        <v>64</v>
      </c>
      <c r="B39" s="41">
        <v>33</v>
      </c>
      <c r="C39" s="113" t="s">
        <v>158</v>
      </c>
      <c r="D39" s="117">
        <v>781</v>
      </c>
      <c r="E39" s="110">
        <v>292</v>
      </c>
      <c r="F39" s="110">
        <v>231</v>
      </c>
      <c r="G39" s="110">
        <v>0</v>
      </c>
      <c r="H39" s="111">
        <f t="shared" si="0"/>
        <v>523</v>
      </c>
      <c r="I39" s="112">
        <v>497</v>
      </c>
      <c r="J39" s="110">
        <v>0</v>
      </c>
      <c r="K39" s="110">
        <v>1</v>
      </c>
      <c r="L39" s="81"/>
      <c r="M39" s="81">
        <f>'Praroop-20 hindi'!C42</f>
        <v>5</v>
      </c>
      <c r="N39" s="81">
        <v>2</v>
      </c>
      <c r="O39" s="81"/>
      <c r="P39" s="81">
        <f>'Praroop-20 hindi'!D42</f>
        <v>397</v>
      </c>
      <c r="Q39" s="81">
        <v>3</v>
      </c>
      <c r="R39" s="81"/>
      <c r="S39" s="81">
        <f>'Praroop-20 hindi'!E42</f>
        <v>12</v>
      </c>
      <c r="T39" s="81">
        <v>4</v>
      </c>
      <c r="U39" s="81"/>
      <c r="V39" s="81">
        <f>'Praroop-20 hindi'!F42</f>
        <v>78</v>
      </c>
      <c r="W39" s="81">
        <v>5</v>
      </c>
      <c r="X39" s="81"/>
      <c r="Y39" s="81">
        <f>'Praroop-20 hindi'!G42</f>
        <v>1</v>
      </c>
      <c r="Z39" s="81">
        <v>6</v>
      </c>
      <c r="AA39" s="81"/>
      <c r="AB39" s="81">
        <f>'Praroop-20 hindi'!H42</f>
        <v>0</v>
      </c>
      <c r="AC39" s="81">
        <v>7</v>
      </c>
      <c r="AD39" s="81"/>
      <c r="AE39" s="81">
        <f>'Praroop-20 hindi'!I42</f>
        <v>1</v>
      </c>
      <c r="AF39" s="81">
        <v>8</v>
      </c>
      <c r="AG39" s="81"/>
      <c r="AH39" s="81">
        <f>'Praroop-20 hindi'!J42</f>
        <v>0</v>
      </c>
      <c r="AI39" s="81">
        <v>9</v>
      </c>
      <c r="AJ39" s="81"/>
      <c r="AK39" s="81">
        <f>'Praroop-20 hindi'!K42</f>
        <v>16</v>
      </c>
      <c r="AL39" s="81">
        <v>10</v>
      </c>
      <c r="AM39" s="81"/>
      <c r="AN39" s="81">
        <f>'Praroop-20 hindi'!L42</f>
        <v>7</v>
      </c>
      <c r="AO39" s="81">
        <v>11</v>
      </c>
      <c r="AP39" s="81"/>
      <c r="AQ39" s="81">
        <f>'Praroop-20 hindi'!M42</f>
        <v>1</v>
      </c>
      <c r="AR39" s="81">
        <f t="shared" si="1"/>
        <v>518</v>
      </c>
    </row>
    <row r="40" spans="1:44" ht="25.5">
      <c r="A40" s="81">
        <v>64</v>
      </c>
      <c r="B40" s="41">
        <v>34</v>
      </c>
      <c r="C40" s="113" t="s">
        <v>159</v>
      </c>
      <c r="D40" s="117">
        <v>880</v>
      </c>
      <c r="E40" s="110">
        <v>325</v>
      </c>
      <c r="F40" s="110">
        <v>297</v>
      </c>
      <c r="G40" s="110">
        <v>0</v>
      </c>
      <c r="H40" s="111">
        <f t="shared" si="0"/>
        <v>622</v>
      </c>
      <c r="I40" s="112">
        <v>598</v>
      </c>
      <c r="J40" s="110">
        <v>0</v>
      </c>
      <c r="K40" s="110">
        <v>1</v>
      </c>
      <c r="L40" s="81"/>
      <c r="M40" s="81">
        <f>'Praroop-20 hindi'!C43</f>
        <v>65</v>
      </c>
      <c r="N40" s="81">
        <v>2</v>
      </c>
      <c r="O40" s="81"/>
      <c r="P40" s="81">
        <f>'Praroop-20 hindi'!D43</f>
        <v>461</v>
      </c>
      <c r="Q40" s="81">
        <v>3</v>
      </c>
      <c r="R40" s="81"/>
      <c r="S40" s="81">
        <f>'Praroop-20 hindi'!E43</f>
        <v>30</v>
      </c>
      <c r="T40" s="81">
        <v>4</v>
      </c>
      <c r="U40" s="81"/>
      <c r="V40" s="81">
        <f>'Praroop-20 hindi'!F43</f>
        <v>39</v>
      </c>
      <c r="W40" s="81">
        <v>5</v>
      </c>
      <c r="X40" s="81"/>
      <c r="Y40" s="81">
        <f>'Praroop-20 hindi'!G43</f>
        <v>1</v>
      </c>
      <c r="Z40" s="81">
        <v>6</v>
      </c>
      <c r="AA40" s="81"/>
      <c r="AB40" s="81">
        <f>'Praroop-20 hindi'!H43</f>
        <v>0</v>
      </c>
      <c r="AC40" s="81">
        <v>7</v>
      </c>
      <c r="AD40" s="81"/>
      <c r="AE40" s="81">
        <f>'Praroop-20 hindi'!I43</f>
        <v>0</v>
      </c>
      <c r="AF40" s="81">
        <v>8</v>
      </c>
      <c r="AG40" s="81"/>
      <c r="AH40" s="81">
        <f>'Praroop-20 hindi'!J43</f>
        <v>7</v>
      </c>
      <c r="AI40" s="81">
        <v>9</v>
      </c>
      <c r="AJ40" s="81"/>
      <c r="AK40" s="81">
        <f>'Praroop-20 hindi'!K43</f>
        <v>11</v>
      </c>
      <c r="AL40" s="81">
        <v>10</v>
      </c>
      <c r="AM40" s="81"/>
      <c r="AN40" s="81">
        <f>'Praroop-20 hindi'!L43</f>
        <v>4</v>
      </c>
      <c r="AO40" s="81">
        <v>11</v>
      </c>
      <c r="AP40" s="81"/>
      <c r="AQ40" s="81">
        <f>'Praroop-20 hindi'!M43</f>
        <v>1</v>
      </c>
      <c r="AR40" s="81">
        <f t="shared" si="1"/>
        <v>619</v>
      </c>
    </row>
    <row r="41" spans="1:44" ht="38.25">
      <c r="A41" s="81">
        <v>64</v>
      </c>
      <c r="B41" s="41">
        <v>35</v>
      </c>
      <c r="C41" s="113" t="s">
        <v>160</v>
      </c>
      <c r="D41" s="117">
        <v>938</v>
      </c>
      <c r="E41" s="110">
        <v>353</v>
      </c>
      <c r="F41" s="110">
        <v>316</v>
      </c>
      <c r="G41" s="110">
        <v>0</v>
      </c>
      <c r="H41" s="111">
        <f t="shared" si="0"/>
        <v>669</v>
      </c>
      <c r="I41" s="112">
        <v>616</v>
      </c>
      <c r="J41" s="110">
        <v>0</v>
      </c>
      <c r="K41" s="110">
        <v>1</v>
      </c>
      <c r="L41" s="81"/>
      <c r="M41" s="81">
        <f>'Praroop-20 hindi'!C44</f>
        <v>5</v>
      </c>
      <c r="N41" s="81">
        <v>2</v>
      </c>
      <c r="O41" s="81"/>
      <c r="P41" s="81">
        <f>'Praroop-20 hindi'!D44</f>
        <v>546</v>
      </c>
      <c r="Q41" s="81">
        <v>3</v>
      </c>
      <c r="R41" s="81"/>
      <c r="S41" s="81">
        <f>'Praroop-20 hindi'!E44</f>
        <v>51</v>
      </c>
      <c r="T41" s="81">
        <v>4</v>
      </c>
      <c r="U41" s="81"/>
      <c r="V41" s="81">
        <f>'Praroop-20 hindi'!F44</f>
        <v>28</v>
      </c>
      <c r="W41" s="81">
        <v>5</v>
      </c>
      <c r="X41" s="81"/>
      <c r="Y41" s="81">
        <f>'Praroop-20 hindi'!G44</f>
        <v>1</v>
      </c>
      <c r="Z41" s="81">
        <v>6</v>
      </c>
      <c r="AA41" s="81"/>
      <c r="AB41" s="81">
        <f>'Praroop-20 hindi'!H44</f>
        <v>0</v>
      </c>
      <c r="AC41" s="81">
        <v>7</v>
      </c>
      <c r="AD41" s="81"/>
      <c r="AE41" s="81">
        <f>'Praroop-20 hindi'!I44</f>
        <v>0</v>
      </c>
      <c r="AF41" s="81">
        <v>8</v>
      </c>
      <c r="AG41" s="81"/>
      <c r="AH41" s="81">
        <f>'Praroop-20 hindi'!J44</f>
        <v>0</v>
      </c>
      <c r="AI41" s="81">
        <v>9</v>
      </c>
      <c r="AJ41" s="81"/>
      <c r="AK41" s="81">
        <f>'Praroop-20 hindi'!K44</f>
        <v>24</v>
      </c>
      <c r="AL41" s="81">
        <v>10</v>
      </c>
      <c r="AM41" s="81"/>
      <c r="AN41" s="81">
        <f>'Praroop-20 hindi'!L44</f>
        <v>7</v>
      </c>
      <c r="AO41" s="81">
        <v>11</v>
      </c>
      <c r="AP41" s="81"/>
      <c r="AQ41" s="81">
        <f>'Praroop-20 hindi'!M44</f>
        <v>3</v>
      </c>
      <c r="AR41" s="81">
        <f t="shared" si="1"/>
        <v>665</v>
      </c>
    </row>
    <row r="42" spans="1:44" ht="38.25">
      <c r="A42" s="81">
        <v>64</v>
      </c>
      <c r="B42" s="41">
        <v>36</v>
      </c>
      <c r="C42" s="113" t="s">
        <v>161</v>
      </c>
      <c r="D42" s="117">
        <v>901</v>
      </c>
      <c r="E42" s="110">
        <v>288</v>
      </c>
      <c r="F42" s="110">
        <v>262</v>
      </c>
      <c r="G42" s="110">
        <v>0</v>
      </c>
      <c r="H42" s="111">
        <f t="shared" si="0"/>
        <v>550</v>
      </c>
      <c r="I42" s="112">
        <v>525</v>
      </c>
      <c r="J42" s="110">
        <v>0</v>
      </c>
      <c r="K42" s="110">
        <v>1</v>
      </c>
      <c r="L42" s="81"/>
      <c r="M42" s="81">
        <f>'Praroop-20 hindi'!C45</f>
        <v>4</v>
      </c>
      <c r="N42" s="81">
        <v>2</v>
      </c>
      <c r="O42" s="81"/>
      <c r="P42" s="81">
        <f>'Praroop-20 hindi'!D45</f>
        <v>438</v>
      </c>
      <c r="Q42" s="81">
        <v>3</v>
      </c>
      <c r="R42" s="81"/>
      <c r="S42" s="81">
        <f>'Praroop-20 hindi'!E45</f>
        <v>69</v>
      </c>
      <c r="T42" s="81">
        <v>4</v>
      </c>
      <c r="U42" s="81"/>
      <c r="V42" s="81">
        <f>'Praroop-20 hindi'!F45</f>
        <v>14</v>
      </c>
      <c r="W42" s="81">
        <v>5</v>
      </c>
      <c r="X42" s="81"/>
      <c r="Y42" s="81">
        <f>'Praroop-20 hindi'!G45</f>
        <v>0</v>
      </c>
      <c r="Z42" s="81">
        <v>6</v>
      </c>
      <c r="AA42" s="81"/>
      <c r="AB42" s="81">
        <f>'Praroop-20 hindi'!H45</f>
        <v>0</v>
      </c>
      <c r="AC42" s="81">
        <v>7</v>
      </c>
      <c r="AD42" s="81"/>
      <c r="AE42" s="81">
        <f>'Praroop-20 hindi'!I45</f>
        <v>0</v>
      </c>
      <c r="AF42" s="81">
        <v>8</v>
      </c>
      <c r="AG42" s="81"/>
      <c r="AH42" s="81">
        <f>'Praroop-20 hindi'!J45</f>
        <v>0</v>
      </c>
      <c r="AI42" s="81">
        <v>9</v>
      </c>
      <c r="AJ42" s="81"/>
      <c r="AK42" s="81">
        <f>'Praroop-20 hindi'!K45</f>
        <v>23</v>
      </c>
      <c r="AL42" s="81">
        <v>10</v>
      </c>
      <c r="AM42" s="81"/>
      <c r="AN42" s="81">
        <f>'Praroop-20 hindi'!L45</f>
        <v>1</v>
      </c>
      <c r="AO42" s="81">
        <v>11</v>
      </c>
      <c r="AP42" s="81"/>
      <c r="AQ42" s="81">
        <f>'Praroop-20 hindi'!M45</f>
        <v>1</v>
      </c>
      <c r="AR42" s="81">
        <f t="shared" si="1"/>
        <v>550</v>
      </c>
    </row>
    <row r="43" spans="1:44" ht="38.25">
      <c r="A43" s="81">
        <v>64</v>
      </c>
      <c r="B43" s="41">
        <v>37</v>
      </c>
      <c r="C43" s="113" t="s">
        <v>162</v>
      </c>
      <c r="D43" s="117">
        <v>1088</v>
      </c>
      <c r="E43" s="110">
        <v>387</v>
      </c>
      <c r="F43" s="110">
        <v>333</v>
      </c>
      <c r="G43" s="110">
        <v>0</v>
      </c>
      <c r="H43" s="111">
        <f t="shared" si="0"/>
        <v>720</v>
      </c>
      <c r="I43" s="112">
        <v>655</v>
      </c>
      <c r="J43" s="110">
        <v>0</v>
      </c>
      <c r="K43" s="110">
        <v>1</v>
      </c>
      <c r="L43" s="81"/>
      <c r="M43" s="81">
        <f>'Praroop-20 hindi'!C46</f>
        <v>2</v>
      </c>
      <c r="N43" s="81">
        <v>2</v>
      </c>
      <c r="O43" s="81"/>
      <c r="P43" s="81">
        <f>'Praroop-20 hindi'!D46</f>
        <v>620</v>
      </c>
      <c r="Q43" s="81">
        <v>3</v>
      </c>
      <c r="R43" s="81"/>
      <c r="S43" s="81">
        <f>'Praroop-20 hindi'!E46</f>
        <v>48</v>
      </c>
      <c r="T43" s="81">
        <v>4</v>
      </c>
      <c r="U43" s="81"/>
      <c r="V43" s="81">
        <f>'Praroop-20 hindi'!F46</f>
        <v>17</v>
      </c>
      <c r="W43" s="81">
        <v>5</v>
      </c>
      <c r="X43" s="81"/>
      <c r="Y43" s="81">
        <f>'Praroop-20 hindi'!G46</f>
        <v>1</v>
      </c>
      <c r="Z43" s="81">
        <v>6</v>
      </c>
      <c r="AA43" s="81"/>
      <c r="AB43" s="81">
        <f>'Praroop-20 hindi'!H46</f>
        <v>0</v>
      </c>
      <c r="AC43" s="81">
        <v>7</v>
      </c>
      <c r="AD43" s="81"/>
      <c r="AE43" s="81">
        <f>'Praroop-20 hindi'!I46</f>
        <v>0</v>
      </c>
      <c r="AF43" s="81">
        <v>8</v>
      </c>
      <c r="AG43" s="81"/>
      <c r="AH43" s="81">
        <f>'Praroop-20 hindi'!J46</f>
        <v>0</v>
      </c>
      <c r="AI43" s="81">
        <v>9</v>
      </c>
      <c r="AJ43" s="81"/>
      <c r="AK43" s="81">
        <f>'Praroop-20 hindi'!K46</f>
        <v>26</v>
      </c>
      <c r="AL43" s="81">
        <v>10</v>
      </c>
      <c r="AM43" s="81"/>
      <c r="AN43" s="81">
        <f>'Praroop-20 hindi'!L46</f>
        <v>3</v>
      </c>
      <c r="AO43" s="81">
        <v>11</v>
      </c>
      <c r="AP43" s="81"/>
      <c r="AQ43" s="81">
        <f>'Praroop-20 hindi'!M46</f>
        <v>1</v>
      </c>
      <c r="AR43" s="81">
        <f t="shared" si="1"/>
        <v>718</v>
      </c>
    </row>
    <row r="44" spans="1:44" ht="25.5">
      <c r="A44" s="81">
        <v>64</v>
      </c>
      <c r="B44" s="41">
        <v>38</v>
      </c>
      <c r="C44" s="113" t="s">
        <v>163</v>
      </c>
      <c r="D44" s="117">
        <v>1112</v>
      </c>
      <c r="E44" s="110">
        <v>354</v>
      </c>
      <c r="F44" s="110">
        <v>314</v>
      </c>
      <c r="G44" s="110">
        <v>0</v>
      </c>
      <c r="H44" s="111">
        <f t="shared" si="0"/>
        <v>668</v>
      </c>
      <c r="I44" s="112">
        <v>559</v>
      </c>
      <c r="J44" s="110">
        <v>0</v>
      </c>
      <c r="K44" s="110">
        <v>1</v>
      </c>
      <c r="L44" s="81"/>
      <c r="M44" s="81">
        <f>'Praroop-20 hindi'!C47</f>
        <v>59</v>
      </c>
      <c r="N44" s="81">
        <v>2</v>
      </c>
      <c r="O44" s="81"/>
      <c r="P44" s="81">
        <f>'Praroop-20 hindi'!D47</f>
        <v>300</v>
      </c>
      <c r="Q44" s="81">
        <v>3</v>
      </c>
      <c r="R44" s="81"/>
      <c r="S44" s="81">
        <f>'Praroop-20 hindi'!E47</f>
        <v>299</v>
      </c>
      <c r="T44" s="81">
        <v>4</v>
      </c>
      <c r="U44" s="81"/>
      <c r="V44" s="81">
        <f>'Praroop-20 hindi'!F47</f>
        <v>1</v>
      </c>
      <c r="W44" s="81">
        <v>5</v>
      </c>
      <c r="X44" s="81"/>
      <c r="Y44" s="81">
        <f>'Praroop-20 hindi'!G47</f>
        <v>1</v>
      </c>
      <c r="Z44" s="81">
        <v>6</v>
      </c>
      <c r="AA44" s="81"/>
      <c r="AB44" s="81">
        <f>'Praroop-20 hindi'!H47</f>
        <v>0</v>
      </c>
      <c r="AC44" s="81">
        <v>7</v>
      </c>
      <c r="AD44" s="81"/>
      <c r="AE44" s="81">
        <f>'Praroop-20 hindi'!I47</f>
        <v>1</v>
      </c>
      <c r="AF44" s="81">
        <v>8</v>
      </c>
      <c r="AG44" s="81"/>
      <c r="AH44" s="81">
        <f>'Praroop-20 hindi'!J47</f>
        <v>3</v>
      </c>
      <c r="AI44" s="81">
        <v>9</v>
      </c>
      <c r="AJ44" s="81"/>
      <c r="AK44" s="81">
        <f>'Praroop-20 hindi'!K47</f>
        <v>0</v>
      </c>
      <c r="AL44" s="81">
        <v>10</v>
      </c>
      <c r="AM44" s="81"/>
      <c r="AN44" s="81">
        <f>'Praroop-20 hindi'!L47</f>
        <v>4</v>
      </c>
      <c r="AO44" s="81">
        <v>11</v>
      </c>
      <c r="AP44" s="81"/>
      <c r="AQ44" s="81">
        <f>'Praroop-20 hindi'!M47</f>
        <v>0</v>
      </c>
      <c r="AR44" s="81">
        <f t="shared" si="1"/>
        <v>668</v>
      </c>
    </row>
    <row r="45" spans="1:44" ht="25.5">
      <c r="A45" s="81">
        <v>64</v>
      </c>
      <c r="B45" s="41">
        <v>39</v>
      </c>
      <c r="C45" s="113" t="s">
        <v>164</v>
      </c>
      <c r="D45" s="117">
        <v>921</v>
      </c>
      <c r="E45" s="110">
        <v>307</v>
      </c>
      <c r="F45" s="110">
        <v>268</v>
      </c>
      <c r="G45" s="110">
        <v>0</v>
      </c>
      <c r="H45" s="111">
        <f t="shared" si="0"/>
        <v>575</v>
      </c>
      <c r="I45" s="112">
        <v>503</v>
      </c>
      <c r="J45" s="110">
        <v>0</v>
      </c>
      <c r="K45" s="110">
        <v>1</v>
      </c>
      <c r="L45" s="81"/>
      <c r="M45" s="81">
        <f>'Praroop-20 hindi'!C48</f>
        <v>51</v>
      </c>
      <c r="N45" s="81">
        <v>2</v>
      </c>
      <c r="O45" s="81"/>
      <c r="P45" s="81">
        <f>'Praroop-20 hindi'!D48</f>
        <v>180</v>
      </c>
      <c r="Q45" s="81">
        <v>3</v>
      </c>
      <c r="R45" s="81"/>
      <c r="S45" s="81">
        <f>'Praroop-20 hindi'!E48</f>
        <v>325</v>
      </c>
      <c r="T45" s="81">
        <v>4</v>
      </c>
      <c r="U45" s="81"/>
      <c r="V45" s="81">
        <f>'Praroop-20 hindi'!F48</f>
        <v>6</v>
      </c>
      <c r="W45" s="81">
        <v>5</v>
      </c>
      <c r="X45" s="81"/>
      <c r="Y45" s="81">
        <f>'Praroop-20 hindi'!G48</f>
        <v>1</v>
      </c>
      <c r="Z45" s="81">
        <v>6</v>
      </c>
      <c r="AA45" s="81"/>
      <c r="AB45" s="81">
        <f>'Praroop-20 hindi'!H48</f>
        <v>0</v>
      </c>
      <c r="AC45" s="81">
        <v>7</v>
      </c>
      <c r="AD45" s="81"/>
      <c r="AE45" s="81">
        <f>'Praroop-20 hindi'!I48</f>
        <v>2</v>
      </c>
      <c r="AF45" s="81">
        <v>8</v>
      </c>
      <c r="AG45" s="81"/>
      <c r="AH45" s="81">
        <f>'Praroop-20 hindi'!J48</f>
        <v>0</v>
      </c>
      <c r="AI45" s="81">
        <v>9</v>
      </c>
      <c r="AJ45" s="81"/>
      <c r="AK45" s="81">
        <f>'Praroop-20 hindi'!K48</f>
        <v>1</v>
      </c>
      <c r="AL45" s="81">
        <v>10</v>
      </c>
      <c r="AM45" s="81"/>
      <c r="AN45" s="81">
        <f>'Praroop-20 hindi'!L48</f>
        <v>1</v>
      </c>
      <c r="AO45" s="81">
        <v>11</v>
      </c>
      <c r="AP45" s="81"/>
      <c r="AQ45" s="81">
        <f>'Praroop-20 hindi'!M48</f>
        <v>1</v>
      </c>
      <c r="AR45" s="81">
        <f t="shared" si="1"/>
        <v>568</v>
      </c>
    </row>
    <row r="46" spans="1:44" ht="25.5">
      <c r="A46" s="81">
        <v>64</v>
      </c>
      <c r="B46" s="41">
        <v>40</v>
      </c>
      <c r="C46" s="113" t="s">
        <v>165</v>
      </c>
      <c r="D46" s="117">
        <v>1105</v>
      </c>
      <c r="E46" s="110">
        <v>384</v>
      </c>
      <c r="F46" s="110">
        <v>361</v>
      </c>
      <c r="G46" s="110">
        <v>0</v>
      </c>
      <c r="H46" s="111">
        <f t="shared" si="0"/>
        <v>745</v>
      </c>
      <c r="I46" s="112">
        <v>594</v>
      </c>
      <c r="J46" s="110">
        <v>0</v>
      </c>
      <c r="K46" s="110">
        <v>1</v>
      </c>
      <c r="L46" s="81"/>
      <c r="M46" s="81">
        <f>'Praroop-20 hindi'!C49</f>
        <v>74</v>
      </c>
      <c r="N46" s="81">
        <v>2</v>
      </c>
      <c r="O46" s="81"/>
      <c r="P46" s="81">
        <f>'Praroop-20 hindi'!D49</f>
        <v>168</v>
      </c>
      <c r="Q46" s="81">
        <v>3</v>
      </c>
      <c r="R46" s="81"/>
      <c r="S46" s="81">
        <f>'Praroop-20 hindi'!E49</f>
        <v>484</v>
      </c>
      <c r="T46" s="81">
        <v>4</v>
      </c>
      <c r="U46" s="81"/>
      <c r="V46" s="81">
        <f>'Praroop-20 hindi'!F49</f>
        <v>5</v>
      </c>
      <c r="W46" s="81">
        <v>5</v>
      </c>
      <c r="X46" s="81"/>
      <c r="Y46" s="81">
        <f>'Praroop-20 hindi'!G49</f>
        <v>1</v>
      </c>
      <c r="Z46" s="81">
        <v>6</v>
      </c>
      <c r="AA46" s="81"/>
      <c r="AB46" s="81">
        <f>'Praroop-20 hindi'!H49</f>
        <v>0</v>
      </c>
      <c r="AC46" s="81">
        <v>7</v>
      </c>
      <c r="AD46" s="81"/>
      <c r="AE46" s="81">
        <f>'Praroop-20 hindi'!I49</f>
        <v>3</v>
      </c>
      <c r="AF46" s="81">
        <v>8</v>
      </c>
      <c r="AG46" s="81"/>
      <c r="AH46" s="81">
        <f>'Praroop-20 hindi'!J49</f>
        <v>3</v>
      </c>
      <c r="AI46" s="81">
        <v>9</v>
      </c>
      <c r="AJ46" s="81"/>
      <c r="AK46" s="81">
        <f>'Praroop-20 hindi'!K49</f>
        <v>1</v>
      </c>
      <c r="AL46" s="81">
        <v>10</v>
      </c>
      <c r="AM46" s="81"/>
      <c r="AN46" s="81">
        <f>'Praroop-20 hindi'!L49</f>
        <v>4</v>
      </c>
      <c r="AO46" s="81">
        <v>11</v>
      </c>
      <c r="AP46" s="81"/>
      <c r="AQ46" s="81">
        <f>'Praroop-20 hindi'!M49</f>
        <v>1</v>
      </c>
      <c r="AR46" s="81">
        <f t="shared" si="1"/>
        <v>744</v>
      </c>
    </row>
    <row r="47" spans="1:44" ht="25.5">
      <c r="A47" s="81">
        <v>64</v>
      </c>
      <c r="B47" s="41">
        <v>41</v>
      </c>
      <c r="C47" s="113" t="s">
        <v>166</v>
      </c>
      <c r="D47" s="117">
        <v>1092</v>
      </c>
      <c r="E47" s="110">
        <v>365</v>
      </c>
      <c r="F47" s="110">
        <v>320</v>
      </c>
      <c r="G47" s="110">
        <v>0</v>
      </c>
      <c r="H47" s="111">
        <f t="shared" si="0"/>
        <v>685</v>
      </c>
      <c r="I47" s="112">
        <v>685</v>
      </c>
      <c r="J47" s="110">
        <v>0</v>
      </c>
      <c r="K47" s="110">
        <v>1</v>
      </c>
      <c r="L47" s="81"/>
      <c r="M47" s="81">
        <f>'Praroop-20 hindi'!C50</f>
        <v>227</v>
      </c>
      <c r="N47" s="81">
        <v>2</v>
      </c>
      <c r="O47" s="81"/>
      <c r="P47" s="81">
        <f>'Praroop-20 hindi'!D50</f>
        <v>175</v>
      </c>
      <c r="Q47" s="81">
        <v>3</v>
      </c>
      <c r="R47" s="81"/>
      <c r="S47" s="81">
        <f>'Praroop-20 hindi'!E50</f>
        <v>261</v>
      </c>
      <c r="T47" s="81">
        <v>4</v>
      </c>
      <c r="U47" s="81"/>
      <c r="V47" s="81">
        <f>'Praroop-20 hindi'!F50</f>
        <v>3</v>
      </c>
      <c r="W47" s="81">
        <v>5</v>
      </c>
      <c r="X47" s="81"/>
      <c r="Y47" s="81">
        <f>'Praroop-20 hindi'!G50</f>
        <v>1</v>
      </c>
      <c r="Z47" s="81">
        <v>6</v>
      </c>
      <c r="AA47" s="81"/>
      <c r="AB47" s="81">
        <f>'Praroop-20 hindi'!H50</f>
        <v>0</v>
      </c>
      <c r="AC47" s="81">
        <v>7</v>
      </c>
      <c r="AD47" s="81"/>
      <c r="AE47" s="81">
        <f>'Praroop-20 hindi'!I50</f>
        <v>1</v>
      </c>
      <c r="AF47" s="81">
        <v>8</v>
      </c>
      <c r="AG47" s="81"/>
      <c r="AH47" s="81">
        <f>'Praroop-20 hindi'!J50</f>
        <v>2</v>
      </c>
      <c r="AI47" s="81">
        <v>9</v>
      </c>
      <c r="AJ47" s="81"/>
      <c r="AK47" s="81">
        <f>'Praroop-20 hindi'!K50</f>
        <v>1</v>
      </c>
      <c r="AL47" s="81">
        <v>10</v>
      </c>
      <c r="AM47" s="81"/>
      <c r="AN47" s="81">
        <f>'Praroop-20 hindi'!L50</f>
        <v>5</v>
      </c>
      <c r="AO47" s="81">
        <v>11</v>
      </c>
      <c r="AP47" s="81"/>
      <c r="AQ47" s="81">
        <f>'Praroop-20 hindi'!M50</f>
        <v>3</v>
      </c>
      <c r="AR47" s="81">
        <f t="shared" si="1"/>
        <v>679</v>
      </c>
    </row>
    <row r="48" spans="1:44" ht="38.25">
      <c r="A48" s="81">
        <v>64</v>
      </c>
      <c r="B48" s="41">
        <v>42</v>
      </c>
      <c r="C48" s="113" t="s">
        <v>167</v>
      </c>
      <c r="D48" s="117">
        <v>1134</v>
      </c>
      <c r="E48" s="110">
        <v>373</v>
      </c>
      <c r="F48" s="110">
        <v>295</v>
      </c>
      <c r="G48" s="110">
        <v>0</v>
      </c>
      <c r="H48" s="111">
        <f t="shared" si="0"/>
        <v>668</v>
      </c>
      <c r="I48" s="112">
        <v>537</v>
      </c>
      <c r="J48" s="110">
        <v>0</v>
      </c>
      <c r="K48" s="110">
        <v>1</v>
      </c>
      <c r="L48" s="81"/>
      <c r="M48" s="81">
        <f>'Praroop-20 hindi'!C51</f>
        <v>168</v>
      </c>
      <c r="N48" s="81">
        <v>2</v>
      </c>
      <c r="O48" s="81"/>
      <c r="P48" s="81">
        <f>'Praroop-20 hindi'!D51</f>
        <v>71</v>
      </c>
      <c r="Q48" s="81">
        <v>3</v>
      </c>
      <c r="R48" s="81"/>
      <c r="S48" s="81">
        <f>'Praroop-20 hindi'!E51</f>
        <v>411</v>
      </c>
      <c r="T48" s="81">
        <v>4</v>
      </c>
      <c r="U48" s="81"/>
      <c r="V48" s="81">
        <f>'Praroop-20 hindi'!F51</f>
        <v>9</v>
      </c>
      <c r="W48" s="81">
        <v>5</v>
      </c>
      <c r="X48" s="81"/>
      <c r="Y48" s="81">
        <f>'Praroop-20 hindi'!G51</f>
        <v>5</v>
      </c>
      <c r="Z48" s="81">
        <v>6</v>
      </c>
      <c r="AA48" s="81"/>
      <c r="AB48" s="81">
        <f>'Praroop-20 hindi'!H51</f>
        <v>0</v>
      </c>
      <c r="AC48" s="81">
        <v>7</v>
      </c>
      <c r="AD48" s="81"/>
      <c r="AE48" s="81">
        <f>'Praroop-20 hindi'!I51</f>
        <v>1</v>
      </c>
      <c r="AF48" s="81">
        <v>8</v>
      </c>
      <c r="AG48" s="81"/>
      <c r="AH48" s="81">
        <f>'Praroop-20 hindi'!J51</f>
        <v>0</v>
      </c>
      <c r="AI48" s="81">
        <v>9</v>
      </c>
      <c r="AJ48" s="81"/>
      <c r="AK48" s="81">
        <f>'Praroop-20 hindi'!K51</f>
        <v>0</v>
      </c>
      <c r="AL48" s="81">
        <v>10</v>
      </c>
      <c r="AM48" s="81"/>
      <c r="AN48" s="81">
        <f>'Praroop-20 hindi'!L51</f>
        <v>1</v>
      </c>
      <c r="AO48" s="81">
        <v>11</v>
      </c>
      <c r="AP48" s="81"/>
      <c r="AQ48" s="81">
        <f>'Praroop-20 hindi'!M51</f>
        <v>1</v>
      </c>
      <c r="AR48" s="81">
        <f t="shared" si="1"/>
        <v>667</v>
      </c>
    </row>
    <row r="49" spans="1:44" ht="38.25">
      <c r="A49" s="81">
        <v>64</v>
      </c>
      <c r="B49" s="41">
        <v>43</v>
      </c>
      <c r="C49" s="113" t="s">
        <v>168</v>
      </c>
      <c r="D49" s="117">
        <v>526</v>
      </c>
      <c r="E49" s="110">
        <v>172</v>
      </c>
      <c r="F49" s="110">
        <v>162</v>
      </c>
      <c r="G49" s="110">
        <v>0</v>
      </c>
      <c r="H49" s="111">
        <f t="shared" si="0"/>
        <v>334</v>
      </c>
      <c r="I49" s="112">
        <v>281</v>
      </c>
      <c r="J49" s="110">
        <v>0</v>
      </c>
      <c r="K49" s="110">
        <v>1</v>
      </c>
      <c r="L49" s="81"/>
      <c r="M49" s="81">
        <f>'Praroop-20 hindi'!C52</f>
        <v>0</v>
      </c>
      <c r="N49" s="81">
        <v>2</v>
      </c>
      <c r="O49" s="81"/>
      <c r="P49" s="81">
        <f>'Praroop-20 hindi'!D52</f>
        <v>46</v>
      </c>
      <c r="Q49" s="81">
        <v>3</v>
      </c>
      <c r="R49" s="81"/>
      <c r="S49" s="81">
        <f>'Praroop-20 hindi'!E52</f>
        <v>284</v>
      </c>
      <c r="T49" s="81">
        <v>4</v>
      </c>
      <c r="U49" s="81"/>
      <c r="V49" s="81">
        <f>'Praroop-20 hindi'!F52</f>
        <v>3</v>
      </c>
      <c r="W49" s="81">
        <v>5</v>
      </c>
      <c r="X49" s="81"/>
      <c r="Y49" s="81">
        <f>'Praroop-20 hindi'!G52</f>
        <v>0</v>
      </c>
      <c r="Z49" s="81">
        <v>6</v>
      </c>
      <c r="AA49" s="81"/>
      <c r="AB49" s="81">
        <f>'Praroop-20 hindi'!H52</f>
        <v>0</v>
      </c>
      <c r="AC49" s="81">
        <v>7</v>
      </c>
      <c r="AD49" s="81"/>
      <c r="AE49" s="81">
        <f>'Praroop-20 hindi'!I52</f>
        <v>0</v>
      </c>
      <c r="AF49" s="81">
        <v>8</v>
      </c>
      <c r="AG49" s="81"/>
      <c r="AH49" s="81">
        <f>'Praroop-20 hindi'!J52</f>
        <v>0</v>
      </c>
      <c r="AI49" s="81">
        <v>9</v>
      </c>
      <c r="AJ49" s="81"/>
      <c r="AK49" s="81">
        <f>'Praroop-20 hindi'!K52</f>
        <v>0</v>
      </c>
      <c r="AL49" s="81">
        <v>10</v>
      </c>
      <c r="AM49" s="81"/>
      <c r="AN49" s="81">
        <f>'Praroop-20 hindi'!L52</f>
        <v>1</v>
      </c>
      <c r="AO49" s="81">
        <v>11</v>
      </c>
      <c r="AP49" s="81"/>
      <c r="AQ49" s="81">
        <f>'Praroop-20 hindi'!M52</f>
        <v>0</v>
      </c>
      <c r="AR49" s="81">
        <f t="shared" si="1"/>
        <v>334</v>
      </c>
    </row>
    <row r="50" spans="1:44" ht="38.25">
      <c r="A50" s="81">
        <v>64</v>
      </c>
      <c r="B50" s="41">
        <v>44</v>
      </c>
      <c r="C50" s="113" t="s">
        <v>169</v>
      </c>
      <c r="D50" s="117">
        <v>639</v>
      </c>
      <c r="E50" s="110">
        <v>226</v>
      </c>
      <c r="F50" s="110">
        <v>209</v>
      </c>
      <c r="G50" s="110">
        <v>0</v>
      </c>
      <c r="H50" s="111">
        <f t="shared" si="0"/>
        <v>435</v>
      </c>
      <c r="I50" s="112">
        <v>398</v>
      </c>
      <c r="J50" s="110">
        <v>0</v>
      </c>
      <c r="K50" s="110">
        <v>1</v>
      </c>
      <c r="L50" s="81"/>
      <c r="M50" s="81">
        <f>'Praroop-20 hindi'!C53</f>
        <v>13</v>
      </c>
      <c r="N50" s="81">
        <v>2</v>
      </c>
      <c r="O50" s="81"/>
      <c r="P50" s="81">
        <f>'Praroop-20 hindi'!D53</f>
        <v>45</v>
      </c>
      <c r="Q50" s="81">
        <v>3</v>
      </c>
      <c r="R50" s="81"/>
      <c r="S50" s="81">
        <f>'Praroop-20 hindi'!E53</f>
        <v>364</v>
      </c>
      <c r="T50" s="81">
        <v>4</v>
      </c>
      <c r="U50" s="81"/>
      <c r="V50" s="81">
        <f>'Praroop-20 hindi'!F53</f>
        <v>5</v>
      </c>
      <c r="W50" s="81">
        <v>5</v>
      </c>
      <c r="X50" s="81"/>
      <c r="Y50" s="81">
        <f>'Praroop-20 hindi'!G53</f>
        <v>2</v>
      </c>
      <c r="Z50" s="81">
        <v>6</v>
      </c>
      <c r="AA50" s="81"/>
      <c r="AB50" s="81">
        <f>'Praroop-20 hindi'!H53</f>
        <v>0</v>
      </c>
      <c r="AC50" s="81">
        <v>7</v>
      </c>
      <c r="AD50" s="81"/>
      <c r="AE50" s="81">
        <f>'Praroop-20 hindi'!I53</f>
        <v>0</v>
      </c>
      <c r="AF50" s="81">
        <v>8</v>
      </c>
      <c r="AG50" s="81"/>
      <c r="AH50" s="81">
        <f>'Praroop-20 hindi'!J53</f>
        <v>1</v>
      </c>
      <c r="AI50" s="81">
        <v>9</v>
      </c>
      <c r="AJ50" s="81"/>
      <c r="AK50" s="81">
        <f>'Praroop-20 hindi'!K53</f>
        <v>0</v>
      </c>
      <c r="AL50" s="81">
        <v>10</v>
      </c>
      <c r="AM50" s="81"/>
      <c r="AN50" s="81">
        <f>'Praroop-20 hindi'!L53</f>
        <v>2</v>
      </c>
      <c r="AO50" s="81">
        <v>11</v>
      </c>
      <c r="AP50" s="81"/>
      <c r="AQ50" s="81">
        <f>'Praroop-20 hindi'!M53</f>
        <v>1</v>
      </c>
      <c r="AR50" s="81">
        <f t="shared" si="1"/>
        <v>433</v>
      </c>
    </row>
    <row r="51" spans="1:44" ht="25.5">
      <c r="A51" s="81">
        <v>64</v>
      </c>
      <c r="B51" s="41">
        <v>45</v>
      </c>
      <c r="C51" s="113" t="s">
        <v>170</v>
      </c>
      <c r="D51" s="117">
        <v>731</v>
      </c>
      <c r="E51" s="110">
        <v>236</v>
      </c>
      <c r="F51" s="110">
        <v>239</v>
      </c>
      <c r="G51" s="110">
        <v>0</v>
      </c>
      <c r="H51" s="111">
        <f t="shared" si="0"/>
        <v>475</v>
      </c>
      <c r="I51" s="112">
        <v>416</v>
      </c>
      <c r="J51" s="110">
        <v>0</v>
      </c>
      <c r="K51" s="110">
        <v>1</v>
      </c>
      <c r="L51" s="81"/>
      <c r="M51" s="81">
        <f>'Praroop-20 hindi'!C54</f>
        <v>23</v>
      </c>
      <c r="N51" s="81">
        <v>2</v>
      </c>
      <c r="O51" s="81"/>
      <c r="P51" s="81">
        <f>'Praroop-20 hindi'!D54</f>
        <v>315</v>
      </c>
      <c r="Q51" s="81">
        <v>3</v>
      </c>
      <c r="R51" s="81"/>
      <c r="S51" s="81">
        <f>'Praroop-20 hindi'!E54</f>
        <v>131</v>
      </c>
      <c r="T51" s="81">
        <v>4</v>
      </c>
      <c r="U51" s="81"/>
      <c r="V51" s="81">
        <f>'Praroop-20 hindi'!F54</f>
        <v>0</v>
      </c>
      <c r="W51" s="81">
        <v>5</v>
      </c>
      <c r="X51" s="81"/>
      <c r="Y51" s="81">
        <f>'Praroop-20 hindi'!G54</f>
        <v>0</v>
      </c>
      <c r="Z51" s="81">
        <v>6</v>
      </c>
      <c r="AA51" s="81"/>
      <c r="AB51" s="81">
        <f>'Praroop-20 hindi'!H54</f>
        <v>0</v>
      </c>
      <c r="AC51" s="81">
        <v>7</v>
      </c>
      <c r="AD51" s="81"/>
      <c r="AE51" s="81">
        <f>'Praroop-20 hindi'!I54</f>
        <v>0</v>
      </c>
      <c r="AF51" s="81">
        <v>8</v>
      </c>
      <c r="AG51" s="81"/>
      <c r="AH51" s="81">
        <f>'Praroop-20 hindi'!J54</f>
        <v>1</v>
      </c>
      <c r="AI51" s="81">
        <v>9</v>
      </c>
      <c r="AJ51" s="81"/>
      <c r="AK51" s="81">
        <f>'Praroop-20 hindi'!K54</f>
        <v>0</v>
      </c>
      <c r="AL51" s="81">
        <v>10</v>
      </c>
      <c r="AM51" s="81"/>
      <c r="AN51" s="81">
        <f>'Praroop-20 hindi'!L54</f>
        <v>4</v>
      </c>
      <c r="AO51" s="81">
        <v>11</v>
      </c>
      <c r="AP51" s="81"/>
      <c r="AQ51" s="81">
        <f>'Praroop-20 hindi'!M54</f>
        <v>0</v>
      </c>
      <c r="AR51" s="81">
        <f t="shared" si="1"/>
        <v>474</v>
      </c>
    </row>
    <row r="52" spans="1:44" ht="25.5">
      <c r="A52" s="81">
        <v>64</v>
      </c>
      <c r="B52" s="41">
        <v>46</v>
      </c>
      <c r="C52" s="113" t="s">
        <v>171</v>
      </c>
      <c r="D52" s="117">
        <v>807</v>
      </c>
      <c r="E52" s="110">
        <v>270</v>
      </c>
      <c r="F52" s="110">
        <v>241</v>
      </c>
      <c r="G52" s="110">
        <v>0</v>
      </c>
      <c r="H52" s="111">
        <f t="shared" si="0"/>
        <v>511</v>
      </c>
      <c r="I52" s="112">
        <v>405</v>
      </c>
      <c r="J52" s="110">
        <v>0</v>
      </c>
      <c r="K52" s="110">
        <v>1</v>
      </c>
      <c r="L52" s="81"/>
      <c r="M52" s="81">
        <f>'Praroop-20 hindi'!C55</f>
        <v>59</v>
      </c>
      <c r="N52" s="81">
        <v>2</v>
      </c>
      <c r="O52" s="81"/>
      <c r="P52" s="81">
        <f>'Praroop-20 hindi'!D55</f>
        <v>371</v>
      </c>
      <c r="Q52" s="81">
        <v>3</v>
      </c>
      <c r="R52" s="81"/>
      <c r="S52" s="81">
        <f>'Praroop-20 hindi'!E55</f>
        <v>74</v>
      </c>
      <c r="T52" s="81">
        <v>4</v>
      </c>
      <c r="U52" s="81"/>
      <c r="V52" s="81">
        <f>'Praroop-20 hindi'!F55</f>
        <v>2</v>
      </c>
      <c r="W52" s="81">
        <v>5</v>
      </c>
      <c r="X52" s="81"/>
      <c r="Y52" s="81">
        <f>'Praroop-20 hindi'!G55</f>
        <v>0</v>
      </c>
      <c r="Z52" s="81">
        <v>6</v>
      </c>
      <c r="AA52" s="81"/>
      <c r="AB52" s="81">
        <f>'Praroop-20 hindi'!H55</f>
        <v>0</v>
      </c>
      <c r="AC52" s="81">
        <v>7</v>
      </c>
      <c r="AD52" s="81"/>
      <c r="AE52" s="81">
        <f>'Praroop-20 hindi'!I55</f>
        <v>0</v>
      </c>
      <c r="AF52" s="81">
        <v>8</v>
      </c>
      <c r="AG52" s="81"/>
      <c r="AH52" s="81">
        <f>'Praroop-20 hindi'!J55</f>
        <v>0</v>
      </c>
      <c r="AI52" s="81">
        <v>9</v>
      </c>
      <c r="AJ52" s="81"/>
      <c r="AK52" s="81">
        <f>'Praroop-20 hindi'!K55</f>
        <v>2</v>
      </c>
      <c r="AL52" s="81">
        <v>10</v>
      </c>
      <c r="AM52" s="81"/>
      <c r="AN52" s="81">
        <f>'Praroop-20 hindi'!L55</f>
        <v>2</v>
      </c>
      <c r="AO52" s="81">
        <v>11</v>
      </c>
      <c r="AP52" s="81"/>
      <c r="AQ52" s="81">
        <f>'Praroop-20 hindi'!M55</f>
        <v>1</v>
      </c>
      <c r="AR52" s="81">
        <f t="shared" si="1"/>
        <v>511</v>
      </c>
    </row>
    <row r="53" spans="1:44" ht="25.5">
      <c r="A53" s="81">
        <v>64</v>
      </c>
      <c r="B53" s="41">
        <v>47</v>
      </c>
      <c r="C53" s="113" t="s">
        <v>172</v>
      </c>
      <c r="D53" s="117">
        <v>949</v>
      </c>
      <c r="E53" s="110">
        <v>266</v>
      </c>
      <c r="F53" s="110">
        <v>244</v>
      </c>
      <c r="G53" s="110">
        <v>0</v>
      </c>
      <c r="H53" s="111">
        <f t="shared" si="0"/>
        <v>510</v>
      </c>
      <c r="I53" s="112">
        <v>410</v>
      </c>
      <c r="J53" s="110">
        <v>0</v>
      </c>
      <c r="K53" s="110">
        <v>1</v>
      </c>
      <c r="L53" s="81"/>
      <c r="M53" s="81">
        <f>'Praroop-20 hindi'!C56</f>
        <v>86</v>
      </c>
      <c r="N53" s="81">
        <v>2</v>
      </c>
      <c r="O53" s="81"/>
      <c r="P53" s="81">
        <f>'Praroop-20 hindi'!D56</f>
        <v>287</v>
      </c>
      <c r="Q53" s="81">
        <v>3</v>
      </c>
      <c r="R53" s="81"/>
      <c r="S53" s="81">
        <f>'Praroop-20 hindi'!E56</f>
        <v>133</v>
      </c>
      <c r="T53" s="81">
        <v>4</v>
      </c>
      <c r="U53" s="81"/>
      <c r="V53" s="81">
        <f>'Praroop-20 hindi'!F56</f>
        <v>1</v>
      </c>
      <c r="W53" s="81">
        <v>5</v>
      </c>
      <c r="X53" s="81"/>
      <c r="Y53" s="81">
        <f>'Praroop-20 hindi'!G56</f>
        <v>0</v>
      </c>
      <c r="Z53" s="81">
        <v>6</v>
      </c>
      <c r="AA53" s="81"/>
      <c r="AB53" s="81">
        <f>'Praroop-20 hindi'!H56</f>
        <v>0</v>
      </c>
      <c r="AC53" s="81">
        <v>7</v>
      </c>
      <c r="AD53" s="81"/>
      <c r="AE53" s="81">
        <f>'Praroop-20 hindi'!I56</f>
        <v>0</v>
      </c>
      <c r="AF53" s="81">
        <v>8</v>
      </c>
      <c r="AG53" s="81"/>
      <c r="AH53" s="81">
        <f>'Praroop-20 hindi'!J56</f>
        <v>0</v>
      </c>
      <c r="AI53" s="81">
        <v>9</v>
      </c>
      <c r="AJ53" s="81"/>
      <c r="AK53" s="81">
        <f>'Praroop-20 hindi'!K56</f>
        <v>0</v>
      </c>
      <c r="AL53" s="81">
        <v>10</v>
      </c>
      <c r="AM53" s="81"/>
      <c r="AN53" s="81">
        <f>'Praroop-20 hindi'!L56</f>
        <v>3</v>
      </c>
      <c r="AO53" s="81">
        <v>11</v>
      </c>
      <c r="AP53" s="81"/>
      <c r="AQ53" s="81">
        <f>'Praroop-20 hindi'!M56</f>
        <v>0</v>
      </c>
      <c r="AR53" s="81">
        <f t="shared" si="1"/>
        <v>510</v>
      </c>
    </row>
    <row r="54" spans="1:44" ht="25.5">
      <c r="A54" s="81">
        <v>64</v>
      </c>
      <c r="B54" s="41">
        <v>48</v>
      </c>
      <c r="C54" s="113" t="s">
        <v>173</v>
      </c>
      <c r="D54" s="117">
        <v>986</v>
      </c>
      <c r="E54" s="110">
        <v>258</v>
      </c>
      <c r="F54" s="110">
        <v>234</v>
      </c>
      <c r="G54" s="110">
        <v>0</v>
      </c>
      <c r="H54" s="111">
        <f t="shared" si="0"/>
        <v>492</v>
      </c>
      <c r="I54" s="112">
        <v>392</v>
      </c>
      <c r="J54" s="110">
        <v>0</v>
      </c>
      <c r="K54" s="110">
        <v>1</v>
      </c>
      <c r="L54" s="81"/>
      <c r="M54" s="81">
        <f>'Praroop-20 hindi'!C57</f>
        <v>4</v>
      </c>
      <c r="N54" s="81">
        <v>2</v>
      </c>
      <c r="O54" s="81"/>
      <c r="P54" s="81">
        <f>'Praroop-20 hindi'!D57</f>
        <v>327</v>
      </c>
      <c r="Q54" s="81">
        <v>3</v>
      </c>
      <c r="R54" s="81"/>
      <c r="S54" s="81">
        <f>'Praroop-20 hindi'!E57</f>
        <v>154</v>
      </c>
      <c r="T54" s="81">
        <v>4</v>
      </c>
      <c r="U54" s="81"/>
      <c r="V54" s="81">
        <f>'Praroop-20 hindi'!F57</f>
        <v>1</v>
      </c>
      <c r="W54" s="81">
        <v>5</v>
      </c>
      <c r="X54" s="81"/>
      <c r="Y54" s="81">
        <f>'Praroop-20 hindi'!G57</f>
        <v>1</v>
      </c>
      <c r="Z54" s="81">
        <v>6</v>
      </c>
      <c r="AA54" s="81"/>
      <c r="AB54" s="81">
        <f>'Praroop-20 hindi'!H57</f>
        <v>0</v>
      </c>
      <c r="AC54" s="81">
        <v>7</v>
      </c>
      <c r="AD54" s="81"/>
      <c r="AE54" s="81">
        <f>'Praroop-20 hindi'!I57</f>
        <v>0</v>
      </c>
      <c r="AF54" s="81">
        <v>8</v>
      </c>
      <c r="AG54" s="81"/>
      <c r="AH54" s="81">
        <f>'Praroop-20 hindi'!J57</f>
        <v>2</v>
      </c>
      <c r="AI54" s="81">
        <v>9</v>
      </c>
      <c r="AJ54" s="81"/>
      <c r="AK54" s="81">
        <f>'Praroop-20 hindi'!K57</f>
        <v>1</v>
      </c>
      <c r="AL54" s="81">
        <v>10</v>
      </c>
      <c r="AM54" s="81"/>
      <c r="AN54" s="81">
        <f>'Praroop-20 hindi'!L57</f>
        <v>2</v>
      </c>
      <c r="AO54" s="81">
        <v>11</v>
      </c>
      <c r="AP54" s="81"/>
      <c r="AQ54" s="81">
        <f>'Praroop-20 hindi'!M57</f>
        <v>0</v>
      </c>
      <c r="AR54" s="81">
        <f t="shared" si="1"/>
        <v>492</v>
      </c>
    </row>
    <row r="55" spans="1:44" ht="25.5">
      <c r="A55" s="81">
        <v>64</v>
      </c>
      <c r="B55" s="41">
        <v>49</v>
      </c>
      <c r="C55" s="113" t="s">
        <v>174</v>
      </c>
      <c r="D55" s="117">
        <v>775</v>
      </c>
      <c r="E55" s="110">
        <v>231</v>
      </c>
      <c r="F55" s="110">
        <v>236</v>
      </c>
      <c r="G55" s="110">
        <v>0</v>
      </c>
      <c r="H55" s="111">
        <f t="shared" si="0"/>
        <v>467</v>
      </c>
      <c r="I55" s="112">
        <v>370</v>
      </c>
      <c r="J55" s="110">
        <v>0</v>
      </c>
      <c r="K55" s="110">
        <v>1</v>
      </c>
      <c r="L55" s="81"/>
      <c r="M55" s="81">
        <f>'Praroop-20 hindi'!C58</f>
        <v>97</v>
      </c>
      <c r="N55" s="81">
        <v>2</v>
      </c>
      <c r="O55" s="81"/>
      <c r="P55" s="81">
        <f>'Praroop-20 hindi'!D58</f>
        <v>304</v>
      </c>
      <c r="Q55" s="81">
        <v>3</v>
      </c>
      <c r="R55" s="81"/>
      <c r="S55" s="81">
        <f>'Praroop-20 hindi'!E58</f>
        <v>61</v>
      </c>
      <c r="T55" s="81">
        <v>4</v>
      </c>
      <c r="U55" s="81"/>
      <c r="V55" s="81">
        <f>'Praroop-20 hindi'!F58</f>
        <v>1</v>
      </c>
      <c r="W55" s="81">
        <v>5</v>
      </c>
      <c r="X55" s="81"/>
      <c r="Y55" s="81">
        <f>'Praroop-20 hindi'!G58</f>
        <v>0</v>
      </c>
      <c r="Z55" s="81">
        <v>6</v>
      </c>
      <c r="AA55" s="81"/>
      <c r="AB55" s="81">
        <f>'Praroop-20 hindi'!H58</f>
        <v>0</v>
      </c>
      <c r="AC55" s="81">
        <v>7</v>
      </c>
      <c r="AD55" s="81"/>
      <c r="AE55" s="81">
        <f>'Praroop-20 hindi'!I58</f>
        <v>0</v>
      </c>
      <c r="AF55" s="81">
        <v>8</v>
      </c>
      <c r="AG55" s="81"/>
      <c r="AH55" s="81">
        <f>'Praroop-20 hindi'!J58</f>
        <v>0</v>
      </c>
      <c r="AI55" s="81">
        <v>9</v>
      </c>
      <c r="AJ55" s="81"/>
      <c r="AK55" s="81">
        <f>'Praroop-20 hindi'!K58</f>
        <v>1</v>
      </c>
      <c r="AL55" s="81">
        <v>10</v>
      </c>
      <c r="AM55" s="81"/>
      <c r="AN55" s="81">
        <f>'Praroop-20 hindi'!L58</f>
        <v>0</v>
      </c>
      <c r="AO55" s="81">
        <v>11</v>
      </c>
      <c r="AP55" s="81"/>
      <c r="AQ55" s="81">
        <f>'Praroop-20 hindi'!M58</f>
        <v>0</v>
      </c>
      <c r="AR55" s="81">
        <f t="shared" si="1"/>
        <v>464</v>
      </c>
    </row>
    <row r="56" spans="1:44" ht="25.5">
      <c r="A56" s="81">
        <v>64</v>
      </c>
      <c r="B56" s="41">
        <v>50</v>
      </c>
      <c r="C56" s="113" t="s">
        <v>175</v>
      </c>
      <c r="D56" s="117">
        <v>1058</v>
      </c>
      <c r="E56" s="110">
        <v>319</v>
      </c>
      <c r="F56" s="110">
        <v>265</v>
      </c>
      <c r="G56" s="110">
        <v>0</v>
      </c>
      <c r="H56" s="111">
        <f t="shared" si="0"/>
        <v>584</v>
      </c>
      <c r="I56" s="112">
        <v>500</v>
      </c>
      <c r="J56" s="110">
        <v>0</v>
      </c>
      <c r="K56" s="110">
        <v>1</v>
      </c>
      <c r="L56" s="81"/>
      <c r="M56" s="81">
        <f>'Praroop-20 hindi'!C59</f>
        <v>1</v>
      </c>
      <c r="N56" s="81">
        <v>2</v>
      </c>
      <c r="O56" s="81"/>
      <c r="P56" s="81">
        <f>'Praroop-20 hindi'!D59</f>
        <v>432</v>
      </c>
      <c r="Q56" s="81">
        <v>3</v>
      </c>
      <c r="R56" s="81"/>
      <c r="S56" s="81">
        <f>'Praroop-20 hindi'!E59</f>
        <v>145</v>
      </c>
      <c r="T56" s="81">
        <v>4</v>
      </c>
      <c r="U56" s="81"/>
      <c r="V56" s="81">
        <f>'Praroop-20 hindi'!F59</f>
        <v>1</v>
      </c>
      <c r="W56" s="81">
        <v>5</v>
      </c>
      <c r="X56" s="81"/>
      <c r="Y56" s="81">
        <f>'Praroop-20 hindi'!G59</f>
        <v>0</v>
      </c>
      <c r="Z56" s="81">
        <v>6</v>
      </c>
      <c r="AA56" s="81"/>
      <c r="AB56" s="81">
        <f>'Praroop-20 hindi'!H59</f>
        <v>0</v>
      </c>
      <c r="AC56" s="81">
        <v>7</v>
      </c>
      <c r="AD56" s="81"/>
      <c r="AE56" s="81">
        <f>'Praroop-20 hindi'!I59</f>
        <v>0</v>
      </c>
      <c r="AF56" s="81">
        <v>8</v>
      </c>
      <c r="AG56" s="81"/>
      <c r="AH56" s="81">
        <f>'Praroop-20 hindi'!J59</f>
        <v>0</v>
      </c>
      <c r="AI56" s="81">
        <v>9</v>
      </c>
      <c r="AJ56" s="81"/>
      <c r="AK56" s="81">
        <f>'Praroop-20 hindi'!K59</f>
        <v>1</v>
      </c>
      <c r="AL56" s="81">
        <v>10</v>
      </c>
      <c r="AM56" s="81"/>
      <c r="AN56" s="81">
        <f>'Praroop-20 hindi'!L59</f>
        <v>2</v>
      </c>
      <c r="AO56" s="81">
        <v>11</v>
      </c>
      <c r="AP56" s="81"/>
      <c r="AQ56" s="81">
        <f>'Praroop-20 hindi'!M59</f>
        <v>2</v>
      </c>
      <c r="AR56" s="81">
        <f t="shared" si="1"/>
        <v>584</v>
      </c>
    </row>
    <row r="57" spans="1:44" ht="25.5">
      <c r="A57" s="81">
        <v>64</v>
      </c>
      <c r="B57" s="41">
        <v>51</v>
      </c>
      <c r="C57" s="113" t="s">
        <v>176</v>
      </c>
      <c r="D57" s="117">
        <v>1045</v>
      </c>
      <c r="E57" s="110">
        <v>315</v>
      </c>
      <c r="F57" s="110">
        <v>262</v>
      </c>
      <c r="G57" s="110">
        <v>0</v>
      </c>
      <c r="H57" s="111">
        <f t="shared" si="0"/>
        <v>577</v>
      </c>
      <c r="I57" s="112">
        <v>530</v>
      </c>
      <c r="J57" s="110">
        <v>0</v>
      </c>
      <c r="K57" s="110">
        <v>1</v>
      </c>
      <c r="L57" s="81"/>
      <c r="M57" s="81">
        <f>'Praroop-20 hindi'!C60</f>
        <v>86</v>
      </c>
      <c r="N57" s="81">
        <v>2</v>
      </c>
      <c r="O57" s="81"/>
      <c r="P57" s="81">
        <f>'Praroop-20 hindi'!D60</f>
        <v>360</v>
      </c>
      <c r="Q57" s="81">
        <v>3</v>
      </c>
      <c r="R57" s="81"/>
      <c r="S57" s="81">
        <f>'Praroop-20 hindi'!E60</f>
        <v>124</v>
      </c>
      <c r="T57" s="81">
        <v>4</v>
      </c>
      <c r="U57" s="81"/>
      <c r="V57" s="81">
        <f>'Praroop-20 hindi'!F60</f>
        <v>3</v>
      </c>
      <c r="W57" s="81">
        <v>5</v>
      </c>
      <c r="X57" s="81"/>
      <c r="Y57" s="81">
        <f>'Praroop-20 hindi'!G60</f>
        <v>0</v>
      </c>
      <c r="Z57" s="81">
        <v>6</v>
      </c>
      <c r="AA57" s="81"/>
      <c r="AB57" s="81">
        <f>'Praroop-20 hindi'!H60</f>
        <v>0</v>
      </c>
      <c r="AC57" s="81">
        <v>7</v>
      </c>
      <c r="AD57" s="81"/>
      <c r="AE57" s="81">
        <f>'Praroop-20 hindi'!I60</f>
        <v>0</v>
      </c>
      <c r="AF57" s="81">
        <v>8</v>
      </c>
      <c r="AG57" s="81"/>
      <c r="AH57" s="81">
        <f>'Praroop-20 hindi'!J60</f>
        <v>0</v>
      </c>
      <c r="AI57" s="81">
        <v>9</v>
      </c>
      <c r="AJ57" s="81"/>
      <c r="AK57" s="81">
        <f>'Praroop-20 hindi'!K60</f>
        <v>0</v>
      </c>
      <c r="AL57" s="81">
        <v>10</v>
      </c>
      <c r="AM57" s="81"/>
      <c r="AN57" s="81">
        <f>'Praroop-20 hindi'!L60</f>
        <v>2</v>
      </c>
      <c r="AO57" s="81">
        <v>11</v>
      </c>
      <c r="AP57" s="81"/>
      <c r="AQ57" s="81">
        <f>'Praroop-20 hindi'!M60</f>
        <v>0</v>
      </c>
      <c r="AR57" s="81">
        <f t="shared" si="1"/>
        <v>575</v>
      </c>
    </row>
    <row r="58" spans="1:44" ht="25.5">
      <c r="A58" s="81">
        <v>64</v>
      </c>
      <c r="B58" s="41">
        <v>52</v>
      </c>
      <c r="C58" s="113" t="s">
        <v>177</v>
      </c>
      <c r="D58" s="117">
        <v>1043</v>
      </c>
      <c r="E58" s="110">
        <v>312</v>
      </c>
      <c r="F58" s="110">
        <v>281</v>
      </c>
      <c r="G58" s="110">
        <v>0</v>
      </c>
      <c r="H58" s="111">
        <f t="shared" si="0"/>
        <v>593</v>
      </c>
      <c r="I58" s="112">
        <v>593</v>
      </c>
      <c r="J58" s="110">
        <v>0</v>
      </c>
      <c r="K58" s="110">
        <v>1</v>
      </c>
      <c r="L58" s="81"/>
      <c r="M58" s="81">
        <f>'Praroop-20 hindi'!C61</f>
        <v>3</v>
      </c>
      <c r="N58" s="81">
        <v>2</v>
      </c>
      <c r="O58" s="81"/>
      <c r="P58" s="81">
        <f>'Praroop-20 hindi'!D61</f>
        <v>555</v>
      </c>
      <c r="Q58" s="81">
        <v>3</v>
      </c>
      <c r="R58" s="81"/>
      <c r="S58" s="81">
        <f>'Praroop-20 hindi'!E61</f>
        <v>20</v>
      </c>
      <c r="T58" s="81">
        <v>4</v>
      </c>
      <c r="U58" s="81"/>
      <c r="V58" s="81">
        <f>'Praroop-20 hindi'!F61</f>
        <v>0</v>
      </c>
      <c r="W58" s="81">
        <v>5</v>
      </c>
      <c r="X58" s="81"/>
      <c r="Y58" s="81">
        <f>'Praroop-20 hindi'!G61</f>
        <v>0</v>
      </c>
      <c r="Z58" s="81">
        <v>6</v>
      </c>
      <c r="AA58" s="81"/>
      <c r="AB58" s="81">
        <f>'Praroop-20 hindi'!H61</f>
        <v>0</v>
      </c>
      <c r="AC58" s="81">
        <v>7</v>
      </c>
      <c r="AD58" s="81"/>
      <c r="AE58" s="81">
        <f>'Praroop-20 hindi'!I61</f>
        <v>0</v>
      </c>
      <c r="AF58" s="81">
        <v>8</v>
      </c>
      <c r="AG58" s="81"/>
      <c r="AH58" s="81">
        <f>'Praroop-20 hindi'!J61</f>
        <v>0</v>
      </c>
      <c r="AI58" s="81">
        <v>9</v>
      </c>
      <c r="AJ58" s="81"/>
      <c r="AK58" s="81">
        <f>'Praroop-20 hindi'!K61</f>
        <v>8</v>
      </c>
      <c r="AL58" s="81">
        <v>10</v>
      </c>
      <c r="AM58" s="81"/>
      <c r="AN58" s="81">
        <f>'Praroop-20 hindi'!L61</f>
        <v>3</v>
      </c>
      <c r="AO58" s="81">
        <v>11</v>
      </c>
      <c r="AP58" s="81"/>
      <c r="AQ58" s="81">
        <f>'Praroop-20 hindi'!M61</f>
        <v>0</v>
      </c>
      <c r="AR58" s="81">
        <f t="shared" si="1"/>
        <v>589</v>
      </c>
    </row>
    <row r="59" spans="1:44" ht="25.5">
      <c r="A59" s="81">
        <v>64</v>
      </c>
      <c r="B59" s="41">
        <v>53</v>
      </c>
      <c r="C59" s="113" t="s">
        <v>178</v>
      </c>
      <c r="D59" s="117">
        <v>1064</v>
      </c>
      <c r="E59" s="110">
        <v>275</v>
      </c>
      <c r="F59" s="110">
        <v>255</v>
      </c>
      <c r="G59" s="110">
        <v>0</v>
      </c>
      <c r="H59" s="111">
        <f t="shared" si="0"/>
        <v>530</v>
      </c>
      <c r="I59" s="112">
        <v>462</v>
      </c>
      <c r="J59" s="110">
        <v>0</v>
      </c>
      <c r="K59" s="110">
        <v>1</v>
      </c>
      <c r="L59" s="81"/>
      <c r="M59" s="81">
        <f>'Praroop-20 hindi'!C62</f>
        <v>4</v>
      </c>
      <c r="N59" s="81">
        <v>2</v>
      </c>
      <c r="O59" s="81"/>
      <c r="P59" s="81">
        <f>'Praroop-20 hindi'!D62</f>
        <v>485</v>
      </c>
      <c r="Q59" s="81">
        <v>3</v>
      </c>
      <c r="R59" s="81"/>
      <c r="S59" s="81">
        <f>'Praroop-20 hindi'!E62</f>
        <v>13</v>
      </c>
      <c r="T59" s="81">
        <v>4</v>
      </c>
      <c r="U59" s="81"/>
      <c r="V59" s="81">
        <f>'Praroop-20 hindi'!F62</f>
        <v>14</v>
      </c>
      <c r="W59" s="81">
        <v>5</v>
      </c>
      <c r="X59" s="81"/>
      <c r="Y59" s="81">
        <f>'Praroop-20 hindi'!G62</f>
        <v>1</v>
      </c>
      <c r="Z59" s="81">
        <v>6</v>
      </c>
      <c r="AA59" s="81"/>
      <c r="AB59" s="81">
        <f>'Praroop-20 hindi'!H62</f>
        <v>0</v>
      </c>
      <c r="AC59" s="81">
        <v>7</v>
      </c>
      <c r="AD59" s="81"/>
      <c r="AE59" s="81">
        <f>'Praroop-20 hindi'!I62</f>
        <v>0</v>
      </c>
      <c r="AF59" s="81">
        <v>8</v>
      </c>
      <c r="AG59" s="81"/>
      <c r="AH59" s="81">
        <f>'Praroop-20 hindi'!J62</f>
        <v>3</v>
      </c>
      <c r="AI59" s="81">
        <v>9</v>
      </c>
      <c r="AJ59" s="81"/>
      <c r="AK59" s="81">
        <f>'Praroop-20 hindi'!K62</f>
        <v>8</v>
      </c>
      <c r="AL59" s="81">
        <v>10</v>
      </c>
      <c r="AM59" s="81"/>
      <c r="AN59" s="81">
        <f>'Praroop-20 hindi'!L62</f>
        <v>1</v>
      </c>
      <c r="AO59" s="81">
        <v>11</v>
      </c>
      <c r="AP59" s="81"/>
      <c r="AQ59" s="81">
        <f>'Praroop-20 hindi'!M62</f>
        <v>0</v>
      </c>
      <c r="AR59" s="81">
        <f t="shared" si="1"/>
        <v>529</v>
      </c>
    </row>
    <row r="60" spans="1:44" ht="25.5">
      <c r="A60" s="81">
        <v>64</v>
      </c>
      <c r="B60" s="41">
        <v>54</v>
      </c>
      <c r="C60" s="113" t="s">
        <v>179</v>
      </c>
      <c r="D60" s="117">
        <v>698</v>
      </c>
      <c r="E60" s="110">
        <v>205</v>
      </c>
      <c r="F60" s="110">
        <v>186</v>
      </c>
      <c r="G60" s="110">
        <v>0</v>
      </c>
      <c r="H60" s="111">
        <f t="shared" si="0"/>
        <v>391</v>
      </c>
      <c r="I60" s="112">
        <v>348</v>
      </c>
      <c r="J60" s="110">
        <v>0</v>
      </c>
      <c r="K60" s="110">
        <v>1</v>
      </c>
      <c r="L60" s="81"/>
      <c r="M60" s="81">
        <f>'Praroop-20 hindi'!C63</f>
        <v>14</v>
      </c>
      <c r="N60" s="81">
        <v>2</v>
      </c>
      <c r="O60" s="81"/>
      <c r="P60" s="81">
        <f>'Praroop-20 hindi'!D63</f>
        <v>355</v>
      </c>
      <c r="Q60" s="81">
        <v>3</v>
      </c>
      <c r="R60" s="81"/>
      <c r="S60" s="81">
        <f>'Praroop-20 hindi'!E63</f>
        <v>11</v>
      </c>
      <c r="T60" s="81">
        <v>4</v>
      </c>
      <c r="U60" s="81"/>
      <c r="V60" s="81">
        <f>'Praroop-20 hindi'!F63</f>
        <v>1</v>
      </c>
      <c r="W60" s="81">
        <v>5</v>
      </c>
      <c r="X60" s="81"/>
      <c r="Y60" s="81">
        <f>'Praroop-20 hindi'!G63</f>
        <v>0</v>
      </c>
      <c r="Z60" s="81">
        <v>6</v>
      </c>
      <c r="AA60" s="81"/>
      <c r="AB60" s="81">
        <f>'Praroop-20 hindi'!H63</f>
        <v>0</v>
      </c>
      <c r="AC60" s="81">
        <v>7</v>
      </c>
      <c r="AD60" s="81"/>
      <c r="AE60" s="81">
        <f>'Praroop-20 hindi'!I63</f>
        <v>0</v>
      </c>
      <c r="AF60" s="81">
        <v>8</v>
      </c>
      <c r="AG60" s="81"/>
      <c r="AH60" s="81">
        <f>'Praroop-20 hindi'!J63</f>
        <v>0</v>
      </c>
      <c r="AI60" s="81">
        <v>9</v>
      </c>
      <c r="AJ60" s="81"/>
      <c r="AK60" s="81">
        <f>'Praroop-20 hindi'!K63</f>
        <v>5</v>
      </c>
      <c r="AL60" s="81">
        <v>10</v>
      </c>
      <c r="AM60" s="81"/>
      <c r="AN60" s="81">
        <f>'Praroop-20 hindi'!L63</f>
        <v>3</v>
      </c>
      <c r="AO60" s="81">
        <v>11</v>
      </c>
      <c r="AP60" s="81"/>
      <c r="AQ60" s="81">
        <f>'Praroop-20 hindi'!M63</f>
        <v>2</v>
      </c>
      <c r="AR60" s="81">
        <f t="shared" si="1"/>
        <v>391</v>
      </c>
    </row>
    <row r="61" spans="1:44" ht="25.5">
      <c r="A61" s="81">
        <v>64</v>
      </c>
      <c r="B61" s="41">
        <v>55</v>
      </c>
      <c r="C61" s="113" t="s">
        <v>180</v>
      </c>
      <c r="D61" s="117">
        <v>677</v>
      </c>
      <c r="E61" s="110">
        <v>203</v>
      </c>
      <c r="F61" s="110">
        <v>159</v>
      </c>
      <c r="G61" s="110">
        <v>0</v>
      </c>
      <c r="H61" s="111">
        <f t="shared" si="0"/>
        <v>362</v>
      </c>
      <c r="I61" s="112">
        <v>312</v>
      </c>
      <c r="J61" s="110">
        <v>0</v>
      </c>
      <c r="K61" s="110">
        <v>1</v>
      </c>
      <c r="L61" s="81"/>
      <c r="M61" s="81">
        <f>'Praroop-20 hindi'!C64</f>
        <v>3</v>
      </c>
      <c r="N61" s="81">
        <v>2</v>
      </c>
      <c r="O61" s="81"/>
      <c r="P61" s="81">
        <f>'Praroop-20 hindi'!D64</f>
        <v>306</v>
      </c>
      <c r="Q61" s="81">
        <v>3</v>
      </c>
      <c r="R61" s="81"/>
      <c r="S61" s="81">
        <f>'Praroop-20 hindi'!E64</f>
        <v>46</v>
      </c>
      <c r="T61" s="81">
        <v>4</v>
      </c>
      <c r="U61" s="81"/>
      <c r="V61" s="81">
        <f>'Praroop-20 hindi'!F64</f>
        <v>0</v>
      </c>
      <c r="W61" s="81">
        <v>5</v>
      </c>
      <c r="X61" s="81"/>
      <c r="Y61" s="81">
        <f>'Praroop-20 hindi'!G64</f>
        <v>0</v>
      </c>
      <c r="Z61" s="81">
        <v>6</v>
      </c>
      <c r="AA61" s="81"/>
      <c r="AB61" s="81">
        <f>'Praroop-20 hindi'!H64</f>
        <v>0</v>
      </c>
      <c r="AC61" s="81">
        <v>7</v>
      </c>
      <c r="AD61" s="81"/>
      <c r="AE61" s="81">
        <f>'Praroop-20 hindi'!I64</f>
        <v>0</v>
      </c>
      <c r="AF61" s="81">
        <v>8</v>
      </c>
      <c r="AG61" s="81"/>
      <c r="AH61" s="81">
        <f>'Praroop-20 hindi'!J64</f>
        <v>0</v>
      </c>
      <c r="AI61" s="81">
        <v>9</v>
      </c>
      <c r="AJ61" s="81"/>
      <c r="AK61" s="81">
        <f>'Praroop-20 hindi'!K64</f>
        <v>1</v>
      </c>
      <c r="AL61" s="81">
        <v>10</v>
      </c>
      <c r="AM61" s="81"/>
      <c r="AN61" s="81">
        <f>'Praroop-20 hindi'!L64</f>
        <v>1</v>
      </c>
      <c r="AO61" s="81">
        <v>11</v>
      </c>
      <c r="AP61" s="81"/>
      <c r="AQ61" s="81">
        <f>'Praroop-20 hindi'!M64</f>
        <v>0</v>
      </c>
      <c r="AR61" s="81">
        <f t="shared" si="1"/>
        <v>357</v>
      </c>
    </row>
    <row r="62" spans="1:44">
      <c r="A62" s="81">
        <v>64</v>
      </c>
      <c r="B62" s="41">
        <v>56</v>
      </c>
      <c r="C62" s="113" t="s">
        <v>181</v>
      </c>
      <c r="D62" s="117">
        <v>631</v>
      </c>
      <c r="E62" s="110">
        <v>213</v>
      </c>
      <c r="F62" s="110">
        <v>207</v>
      </c>
      <c r="G62" s="110">
        <v>0</v>
      </c>
      <c r="H62" s="111">
        <f t="shared" si="0"/>
        <v>420</v>
      </c>
      <c r="I62" s="112">
        <v>350</v>
      </c>
      <c r="J62" s="110">
        <v>0</v>
      </c>
      <c r="K62" s="110">
        <v>1</v>
      </c>
      <c r="L62" s="81"/>
      <c r="M62" s="81">
        <f>'Praroop-20 hindi'!C65</f>
        <v>1</v>
      </c>
      <c r="N62" s="81">
        <v>2</v>
      </c>
      <c r="O62" s="81"/>
      <c r="P62" s="81">
        <f>'Praroop-20 hindi'!D65</f>
        <v>350</v>
      </c>
      <c r="Q62" s="81">
        <v>3</v>
      </c>
      <c r="R62" s="81"/>
      <c r="S62" s="81">
        <f>'Praroop-20 hindi'!E65</f>
        <v>45</v>
      </c>
      <c r="T62" s="81">
        <v>4</v>
      </c>
      <c r="U62" s="81"/>
      <c r="V62" s="81">
        <f>'Praroop-20 hindi'!F65</f>
        <v>2</v>
      </c>
      <c r="W62" s="81">
        <v>5</v>
      </c>
      <c r="X62" s="81"/>
      <c r="Y62" s="81">
        <f>'Praroop-20 hindi'!G65</f>
        <v>0</v>
      </c>
      <c r="Z62" s="81">
        <v>6</v>
      </c>
      <c r="AA62" s="81"/>
      <c r="AB62" s="81">
        <f>'Praroop-20 hindi'!H65</f>
        <v>0</v>
      </c>
      <c r="AC62" s="81">
        <v>7</v>
      </c>
      <c r="AD62" s="81"/>
      <c r="AE62" s="81">
        <f>'Praroop-20 hindi'!I65</f>
        <v>0</v>
      </c>
      <c r="AF62" s="81">
        <v>8</v>
      </c>
      <c r="AG62" s="81"/>
      <c r="AH62" s="81">
        <f>'Praroop-20 hindi'!J65</f>
        <v>0</v>
      </c>
      <c r="AI62" s="81">
        <v>9</v>
      </c>
      <c r="AJ62" s="81"/>
      <c r="AK62" s="81">
        <f>'Praroop-20 hindi'!K65</f>
        <v>17</v>
      </c>
      <c r="AL62" s="81">
        <v>10</v>
      </c>
      <c r="AM62" s="81"/>
      <c r="AN62" s="81">
        <f>'Praroop-20 hindi'!L65</f>
        <v>1</v>
      </c>
      <c r="AO62" s="81">
        <v>11</v>
      </c>
      <c r="AP62" s="81"/>
      <c r="AQ62" s="81">
        <f>'Praroop-20 hindi'!M65</f>
        <v>3</v>
      </c>
      <c r="AR62" s="81">
        <f t="shared" si="1"/>
        <v>419</v>
      </c>
    </row>
    <row r="63" spans="1:44" ht="38.25">
      <c r="A63" s="81">
        <v>64</v>
      </c>
      <c r="B63" s="41">
        <v>57</v>
      </c>
      <c r="C63" s="113" t="s">
        <v>182</v>
      </c>
      <c r="D63" s="117">
        <v>1143</v>
      </c>
      <c r="E63" s="110">
        <v>409</v>
      </c>
      <c r="F63" s="110">
        <v>349</v>
      </c>
      <c r="G63" s="110">
        <v>0</v>
      </c>
      <c r="H63" s="111">
        <f t="shared" si="0"/>
        <v>758</v>
      </c>
      <c r="I63" s="112">
        <v>652</v>
      </c>
      <c r="J63" s="110">
        <v>0</v>
      </c>
      <c r="K63" s="110">
        <v>1</v>
      </c>
      <c r="L63" s="81"/>
      <c r="M63" s="81">
        <f>'Praroop-20 hindi'!C66</f>
        <v>4</v>
      </c>
      <c r="N63" s="81">
        <v>2</v>
      </c>
      <c r="O63" s="81"/>
      <c r="P63" s="81">
        <f>'Praroop-20 hindi'!D66</f>
        <v>705</v>
      </c>
      <c r="Q63" s="81">
        <v>3</v>
      </c>
      <c r="R63" s="81"/>
      <c r="S63" s="81">
        <f>'Praroop-20 hindi'!E66</f>
        <v>15</v>
      </c>
      <c r="T63" s="81">
        <v>4</v>
      </c>
      <c r="U63" s="81"/>
      <c r="V63" s="81">
        <f>'Praroop-20 hindi'!F66</f>
        <v>4</v>
      </c>
      <c r="W63" s="81">
        <v>5</v>
      </c>
      <c r="X63" s="81"/>
      <c r="Y63" s="81">
        <f>'Praroop-20 hindi'!G66</f>
        <v>1</v>
      </c>
      <c r="Z63" s="81">
        <v>6</v>
      </c>
      <c r="AA63" s="81"/>
      <c r="AB63" s="81">
        <f>'Praroop-20 hindi'!H66</f>
        <v>0</v>
      </c>
      <c r="AC63" s="81">
        <v>7</v>
      </c>
      <c r="AD63" s="81"/>
      <c r="AE63" s="81">
        <f>'Praroop-20 hindi'!I66</f>
        <v>1</v>
      </c>
      <c r="AF63" s="81">
        <v>8</v>
      </c>
      <c r="AG63" s="81"/>
      <c r="AH63" s="81">
        <f>'Praroop-20 hindi'!J66</f>
        <v>0</v>
      </c>
      <c r="AI63" s="81">
        <v>9</v>
      </c>
      <c r="AJ63" s="81"/>
      <c r="AK63" s="81">
        <f>'Praroop-20 hindi'!K66</f>
        <v>13</v>
      </c>
      <c r="AL63" s="81">
        <v>10</v>
      </c>
      <c r="AM63" s="81"/>
      <c r="AN63" s="81">
        <f>'Praroop-20 hindi'!L66</f>
        <v>4</v>
      </c>
      <c r="AO63" s="81">
        <v>11</v>
      </c>
      <c r="AP63" s="81"/>
      <c r="AQ63" s="81">
        <f>'Praroop-20 hindi'!M66</f>
        <v>5</v>
      </c>
      <c r="AR63" s="81">
        <f t="shared" si="1"/>
        <v>752</v>
      </c>
    </row>
    <row r="64" spans="1:44" ht="38.25">
      <c r="A64" s="81">
        <v>64</v>
      </c>
      <c r="B64" s="41">
        <v>58</v>
      </c>
      <c r="C64" s="113" t="s">
        <v>183</v>
      </c>
      <c r="D64" s="117">
        <v>1134</v>
      </c>
      <c r="E64" s="110">
        <v>368</v>
      </c>
      <c r="F64" s="110">
        <v>347</v>
      </c>
      <c r="G64" s="110">
        <v>0</v>
      </c>
      <c r="H64" s="111">
        <f t="shared" si="0"/>
        <v>715</v>
      </c>
      <c r="I64" s="112">
        <v>643</v>
      </c>
      <c r="J64" s="110">
        <v>0</v>
      </c>
      <c r="K64" s="110">
        <v>1</v>
      </c>
      <c r="L64" s="81"/>
      <c r="M64" s="81">
        <f>'Praroop-20 hindi'!C67</f>
        <v>5</v>
      </c>
      <c r="N64" s="81">
        <v>2</v>
      </c>
      <c r="O64" s="81"/>
      <c r="P64" s="81">
        <f>'Praroop-20 hindi'!D67</f>
        <v>676</v>
      </c>
      <c r="Q64" s="81">
        <v>3</v>
      </c>
      <c r="R64" s="81"/>
      <c r="S64" s="81">
        <f>'Praroop-20 hindi'!E67</f>
        <v>17</v>
      </c>
      <c r="T64" s="81">
        <v>4</v>
      </c>
      <c r="U64" s="81"/>
      <c r="V64" s="81">
        <f>'Praroop-20 hindi'!F67</f>
        <v>1</v>
      </c>
      <c r="W64" s="81">
        <v>5</v>
      </c>
      <c r="X64" s="81"/>
      <c r="Y64" s="81">
        <f>'Praroop-20 hindi'!G67</f>
        <v>1</v>
      </c>
      <c r="Z64" s="81">
        <v>6</v>
      </c>
      <c r="AA64" s="81"/>
      <c r="AB64" s="81">
        <f>'Praroop-20 hindi'!H67</f>
        <v>0</v>
      </c>
      <c r="AC64" s="81">
        <v>7</v>
      </c>
      <c r="AD64" s="81"/>
      <c r="AE64" s="81">
        <f>'Praroop-20 hindi'!I67</f>
        <v>1</v>
      </c>
      <c r="AF64" s="81">
        <v>8</v>
      </c>
      <c r="AG64" s="81"/>
      <c r="AH64" s="81">
        <f>'Praroop-20 hindi'!J67</f>
        <v>0</v>
      </c>
      <c r="AI64" s="81">
        <v>9</v>
      </c>
      <c r="AJ64" s="81"/>
      <c r="AK64" s="81">
        <f>'Praroop-20 hindi'!K67</f>
        <v>6</v>
      </c>
      <c r="AL64" s="81">
        <v>10</v>
      </c>
      <c r="AM64" s="81"/>
      <c r="AN64" s="81">
        <f>'Praroop-20 hindi'!L67</f>
        <v>2</v>
      </c>
      <c r="AO64" s="81">
        <v>11</v>
      </c>
      <c r="AP64" s="81"/>
      <c r="AQ64" s="81">
        <f>'Praroop-20 hindi'!M67</f>
        <v>3</v>
      </c>
      <c r="AR64" s="81">
        <f t="shared" si="1"/>
        <v>712</v>
      </c>
    </row>
    <row r="65" spans="1:44" ht="38.25">
      <c r="A65" s="81">
        <v>64</v>
      </c>
      <c r="B65" s="41">
        <v>59</v>
      </c>
      <c r="C65" s="113" t="s">
        <v>184</v>
      </c>
      <c r="D65" s="117">
        <v>864</v>
      </c>
      <c r="E65" s="110">
        <v>315</v>
      </c>
      <c r="F65" s="110">
        <v>250</v>
      </c>
      <c r="G65" s="110">
        <v>0</v>
      </c>
      <c r="H65" s="111">
        <f t="shared" si="0"/>
        <v>565</v>
      </c>
      <c r="I65" s="112">
        <v>450</v>
      </c>
      <c r="J65" s="110">
        <v>0</v>
      </c>
      <c r="K65" s="110">
        <v>1</v>
      </c>
      <c r="L65" s="81"/>
      <c r="M65" s="81">
        <f>'Praroop-20 hindi'!C68</f>
        <v>4</v>
      </c>
      <c r="N65" s="81">
        <v>2</v>
      </c>
      <c r="O65" s="81"/>
      <c r="P65" s="81">
        <f>'Praroop-20 hindi'!D68</f>
        <v>544</v>
      </c>
      <c r="Q65" s="81">
        <v>3</v>
      </c>
      <c r="R65" s="81"/>
      <c r="S65" s="81">
        <f>'Praroop-20 hindi'!E68</f>
        <v>4</v>
      </c>
      <c r="T65" s="81">
        <v>4</v>
      </c>
      <c r="U65" s="81"/>
      <c r="V65" s="81">
        <f>'Praroop-20 hindi'!F68</f>
        <v>0</v>
      </c>
      <c r="W65" s="81">
        <v>5</v>
      </c>
      <c r="X65" s="81"/>
      <c r="Y65" s="81">
        <f>'Praroop-20 hindi'!G68</f>
        <v>0</v>
      </c>
      <c r="Z65" s="81">
        <v>6</v>
      </c>
      <c r="AA65" s="81"/>
      <c r="AB65" s="81">
        <f>'Praroop-20 hindi'!H68</f>
        <v>0</v>
      </c>
      <c r="AC65" s="81">
        <v>7</v>
      </c>
      <c r="AD65" s="81"/>
      <c r="AE65" s="81">
        <f>'Praroop-20 hindi'!I68</f>
        <v>1</v>
      </c>
      <c r="AF65" s="81">
        <v>8</v>
      </c>
      <c r="AG65" s="81"/>
      <c r="AH65" s="81">
        <f>'Praroop-20 hindi'!J68</f>
        <v>0</v>
      </c>
      <c r="AI65" s="81">
        <v>9</v>
      </c>
      <c r="AJ65" s="81"/>
      <c r="AK65" s="81">
        <f>'Praroop-20 hindi'!K68</f>
        <v>3</v>
      </c>
      <c r="AL65" s="81">
        <v>10</v>
      </c>
      <c r="AM65" s="81"/>
      <c r="AN65" s="81">
        <f>'Praroop-20 hindi'!L68</f>
        <v>2</v>
      </c>
      <c r="AO65" s="81">
        <v>11</v>
      </c>
      <c r="AP65" s="81"/>
      <c r="AQ65" s="81">
        <f>'Praroop-20 hindi'!M68</f>
        <v>4</v>
      </c>
      <c r="AR65" s="81">
        <f t="shared" si="1"/>
        <v>562</v>
      </c>
    </row>
    <row r="66" spans="1:44" ht="25.5">
      <c r="A66" s="81">
        <v>64</v>
      </c>
      <c r="B66" s="41">
        <v>60</v>
      </c>
      <c r="C66" s="113" t="s">
        <v>185</v>
      </c>
      <c r="D66" s="117">
        <v>887</v>
      </c>
      <c r="E66" s="110">
        <v>307</v>
      </c>
      <c r="F66" s="110">
        <v>267</v>
      </c>
      <c r="G66" s="110">
        <v>0</v>
      </c>
      <c r="H66" s="111">
        <f t="shared" si="0"/>
        <v>574</v>
      </c>
      <c r="I66" s="112">
        <v>457</v>
      </c>
      <c r="J66" s="110">
        <v>0</v>
      </c>
      <c r="K66" s="110">
        <v>1</v>
      </c>
      <c r="L66" s="81"/>
      <c r="M66" s="81">
        <f>'Praroop-20 hindi'!C69</f>
        <v>2</v>
      </c>
      <c r="N66" s="81">
        <v>2</v>
      </c>
      <c r="O66" s="81"/>
      <c r="P66" s="81">
        <f>'Praroop-20 hindi'!D69</f>
        <v>483</v>
      </c>
      <c r="Q66" s="81">
        <v>3</v>
      </c>
      <c r="R66" s="81"/>
      <c r="S66" s="81">
        <f>'Praroop-20 hindi'!E69</f>
        <v>74</v>
      </c>
      <c r="T66" s="81">
        <v>4</v>
      </c>
      <c r="U66" s="81"/>
      <c r="V66" s="81">
        <f>'Praroop-20 hindi'!F69</f>
        <v>3</v>
      </c>
      <c r="W66" s="81">
        <v>5</v>
      </c>
      <c r="X66" s="81"/>
      <c r="Y66" s="81">
        <f>'Praroop-20 hindi'!G69</f>
        <v>0</v>
      </c>
      <c r="Z66" s="81">
        <v>6</v>
      </c>
      <c r="AA66" s="81"/>
      <c r="AB66" s="81">
        <f>'Praroop-20 hindi'!H69</f>
        <v>0</v>
      </c>
      <c r="AC66" s="81">
        <v>7</v>
      </c>
      <c r="AD66" s="81"/>
      <c r="AE66" s="81">
        <f>'Praroop-20 hindi'!I69</f>
        <v>0</v>
      </c>
      <c r="AF66" s="81">
        <v>8</v>
      </c>
      <c r="AG66" s="81"/>
      <c r="AH66" s="81">
        <f>'Praroop-20 hindi'!J69</f>
        <v>0</v>
      </c>
      <c r="AI66" s="81">
        <v>9</v>
      </c>
      <c r="AJ66" s="81"/>
      <c r="AK66" s="81">
        <f>'Praroop-20 hindi'!K69</f>
        <v>4</v>
      </c>
      <c r="AL66" s="81">
        <v>10</v>
      </c>
      <c r="AM66" s="81"/>
      <c r="AN66" s="81">
        <f>'Praroop-20 hindi'!L69</f>
        <v>2</v>
      </c>
      <c r="AO66" s="81">
        <v>11</v>
      </c>
      <c r="AP66" s="81"/>
      <c r="AQ66" s="81">
        <f>'Praroop-20 hindi'!M69</f>
        <v>3</v>
      </c>
      <c r="AR66" s="81">
        <f t="shared" si="1"/>
        <v>571</v>
      </c>
    </row>
    <row r="67" spans="1:44" ht="25.5">
      <c r="A67" s="81">
        <v>64</v>
      </c>
      <c r="B67" s="41">
        <v>61</v>
      </c>
      <c r="C67" s="113" t="s">
        <v>186</v>
      </c>
      <c r="D67" s="117">
        <v>1116</v>
      </c>
      <c r="E67" s="110">
        <v>357</v>
      </c>
      <c r="F67" s="110">
        <v>327</v>
      </c>
      <c r="G67" s="110">
        <v>0</v>
      </c>
      <c r="H67" s="111">
        <f t="shared" si="0"/>
        <v>684</v>
      </c>
      <c r="I67" s="112">
        <v>605</v>
      </c>
      <c r="J67" s="110">
        <v>0</v>
      </c>
      <c r="K67" s="110">
        <v>1</v>
      </c>
      <c r="L67" s="81"/>
      <c r="M67" s="81">
        <f>'Praroop-20 hindi'!C70</f>
        <v>1</v>
      </c>
      <c r="N67" s="81">
        <v>2</v>
      </c>
      <c r="O67" s="81"/>
      <c r="P67" s="81">
        <f>'Praroop-20 hindi'!D70</f>
        <v>647</v>
      </c>
      <c r="Q67" s="81">
        <v>3</v>
      </c>
      <c r="R67" s="81"/>
      <c r="S67" s="81">
        <f>'Praroop-20 hindi'!E70</f>
        <v>18</v>
      </c>
      <c r="T67" s="81">
        <v>4</v>
      </c>
      <c r="U67" s="81"/>
      <c r="V67" s="81">
        <f>'Praroop-20 hindi'!F70</f>
        <v>5</v>
      </c>
      <c r="W67" s="81">
        <v>5</v>
      </c>
      <c r="X67" s="81"/>
      <c r="Y67" s="81">
        <f>'Praroop-20 hindi'!G70</f>
        <v>0</v>
      </c>
      <c r="Z67" s="81">
        <v>6</v>
      </c>
      <c r="AA67" s="81"/>
      <c r="AB67" s="81">
        <f>'Praroop-20 hindi'!H70</f>
        <v>0</v>
      </c>
      <c r="AC67" s="81">
        <v>7</v>
      </c>
      <c r="AD67" s="81"/>
      <c r="AE67" s="81">
        <f>'Praroop-20 hindi'!I70</f>
        <v>0</v>
      </c>
      <c r="AF67" s="81">
        <v>8</v>
      </c>
      <c r="AG67" s="81"/>
      <c r="AH67" s="81">
        <f>'Praroop-20 hindi'!J70</f>
        <v>0</v>
      </c>
      <c r="AI67" s="81">
        <v>9</v>
      </c>
      <c r="AJ67" s="81"/>
      <c r="AK67" s="81">
        <f>'Praroop-20 hindi'!K70</f>
        <v>4</v>
      </c>
      <c r="AL67" s="81">
        <v>10</v>
      </c>
      <c r="AM67" s="81"/>
      <c r="AN67" s="81">
        <f>'Praroop-20 hindi'!L70</f>
        <v>2</v>
      </c>
      <c r="AO67" s="81">
        <v>11</v>
      </c>
      <c r="AP67" s="81"/>
      <c r="AQ67" s="81">
        <f>'Praroop-20 hindi'!M70</f>
        <v>3</v>
      </c>
      <c r="AR67" s="81">
        <f t="shared" si="1"/>
        <v>680</v>
      </c>
    </row>
    <row r="68" spans="1:44" ht="25.5">
      <c r="A68" s="81">
        <v>64</v>
      </c>
      <c r="B68" s="41">
        <v>62</v>
      </c>
      <c r="C68" s="113" t="s">
        <v>187</v>
      </c>
      <c r="D68" s="117">
        <v>1038</v>
      </c>
      <c r="E68" s="110">
        <v>347</v>
      </c>
      <c r="F68" s="110">
        <v>288</v>
      </c>
      <c r="G68" s="110">
        <v>0</v>
      </c>
      <c r="H68" s="111">
        <f t="shared" si="0"/>
        <v>635</v>
      </c>
      <c r="I68" s="112">
        <v>571</v>
      </c>
      <c r="J68" s="110">
        <v>0</v>
      </c>
      <c r="K68" s="110">
        <v>1</v>
      </c>
      <c r="L68" s="81"/>
      <c r="M68" s="81">
        <f>'Praroop-20 hindi'!C71</f>
        <v>8</v>
      </c>
      <c r="N68" s="81">
        <v>2</v>
      </c>
      <c r="O68" s="81"/>
      <c r="P68" s="81">
        <f>'Praroop-20 hindi'!D71</f>
        <v>573</v>
      </c>
      <c r="Q68" s="81">
        <v>3</v>
      </c>
      <c r="R68" s="81"/>
      <c r="S68" s="81">
        <f>'Praroop-20 hindi'!E71</f>
        <v>37</v>
      </c>
      <c r="T68" s="81">
        <v>4</v>
      </c>
      <c r="U68" s="81"/>
      <c r="V68" s="81">
        <f>'Praroop-20 hindi'!F71</f>
        <v>0</v>
      </c>
      <c r="W68" s="81">
        <v>5</v>
      </c>
      <c r="X68" s="81"/>
      <c r="Y68" s="81">
        <f>'Praroop-20 hindi'!G71</f>
        <v>0</v>
      </c>
      <c r="Z68" s="81">
        <v>6</v>
      </c>
      <c r="AA68" s="81"/>
      <c r="AB68" s="81">
        <f>'Praroop-20 hindi'!H71</f>
        <v>0</v>
      </c>
      <c r="AC68" s="81">
        <v>7</v>
      </c>
      <c r="AD68" s="81"/>
      <c r="AE68" s="81">
        <f>'Praroop-20 hindi'!I71</f>
        <v>0</v>
      </c>
      <c r="AF68" s="81">
        <v>8</v>
      </c>
      <c r="AG68" s="81"/>
      <c r="AH68" s="81">
        <f>'Praroop-20 hindi'!J71</f>
        <v>0</v>
      </c>
      <c r="AI68" s="81">
        <v>9</v>
      </c>
      <c r="AJ68" s="81"/>
      <c r="AK68" s="81">
        <f>'Praroop-20 hindi'!K71</f>
        <v>10</v>
      </c>
      <c r="AL68" s="81">
        <v>10</v>
      </c>
      <c r="AM68" s="81"/>
      <c r="AN68" s="81">
        <f>'Praroop-20 hindi'!L71</f>
        <v>2</v>
      </c>
      <c r="AO68" s="81">
        <v>11</v>
      </c>
      <c r="AP68" s="81"/>
      <c r="AQ68" s="81">
        <f>'Praroop-20 hindi'!M71</f>
        <v>2</v>
      </c>
      <c r="AR68" s="81">
        <f t="shared" si="1"/>
        <v>632</v>
      </c>
    </row>
    <row r="69" spans="1:44" ht="38.25">
      <c r="A69" s="81">
        <v>64</v>
      </c>
      <c r="B69" s="41">
        <v>63</v>
      </c>
      <c r="C69" s="116" t="s">
        <v>188</v>
      </c>
      <c r="D69" s="117">
        <v>627</v>
      </c>
      <c r="E69" s="110">
        <v>185</v>
      </c>
      <c r="F69" s="110">
        <v>167</v>
      </c>
      <c r="G69" s="110">
        <v>0</v>
      </c>
      <c r="H69" s="111">
        <f t="shared" si="0"/>
        <v>352</v>
      </c>
      <c r="I69" s="112">
        <v>292</v>
      </c>
      <c r="J69" s="110">
        <v>0</v>
      </c>
      <c r="K69" s="110">
        <v>1</v>
      </c>
      <c r="L69" s="81"/>
      <c r="M69" s="81">
        <f>'Praroop-20 hindi'!C72</f>
        <v>88</v>
      </c>
      <c r="N69" s="81">
        <v>2</v>
      </c>
      <c r="O69" s="81"/>
      <c r="P69" s="81">
        <f>'Praroop-20 hindi'!D72</f>
        <v>176</v>
      </c>
      <c r="Q69" s="81">
        <v>3</v>
      </c>
      <c r="R69" s="81"/>
      <c r="S69" s="81">
        <f>'Praroop-20 hindi'!E72</f>
        <v>73</v>
      </c>
      <c r="T69" s="81">
        <v>4</v>
      </c>
      <c r="U69" s="81"/>
      <c r="V69" s="81">
        <f>'Praroop-20 hindi'!F72</f>
        <v>2</v>
      </c>
      <c r="W69" s="81">
        <v>5</v>
      </c>
      <c r="X69" s="81"/>
      <c r="Y69" s="81">
        <f>'Praroop-20 hindi'!G72</f>
        <v>1</v>
      </c>
      <c r="Z69" s="81">
        <v>6</v>
      </c>
      <c r="AA69" s="81"/>
      <c r="AB69" s="81">
        <f>'Praroop-20 hindi'!H72</f>
        <v>1</v>
      </c>
      <c r="AC69" s="81">
        <v>7</v>
      </c>
      <c r="AD69" s="81"/>
      <c r="AE69" s="81">
        <f>'Praroop-20 hindi'!I72</f>
        <v>0</v>
      </c>
      <c r="AF69" s="81">
        <v>8</v>
      </c>
      <c r="AG69" s="81"/>
      <c r="AH69" s="81">
        <f>'Praroop-20 hindi'!J72</f>
        <v>1</v>
      </c>
      <c r="AI69" s="81">
        <v>9</v>
      </c>
      <c r="AJ69" s="81"/>
      <c r="AK69" s="81">
        <f>'Praroop-20 hindi'!K72</f>
        <v>1</v>
      </c>
      <c r="AL69" s="81">
        <v>10</v>
      </c>
      <c r="AM69" s="81"/>
      <c r="AN69" s="81">
        <f>'Praroop-20 hindi'!L72</f>
        <v>3</v>
      </c>
      <c r="AO69" s="81">
        <v>11</v>
      </c>
      <c r="AP69" s="81"/>
      <c r="AQ69" s="81">
        <f>'Praroop-20 hindi'!M72</f>
        <v>2</v>
      </c>
      <c r="AR69" s="81">
        <f t="shared" si="1"/>
        <v>348</v>
      </c>
    </row>
    <row r="70" spans="1:44" ht="38.25">
      <c r="A70" s="81">
        <v>64</v>
      </c>
      <c r="B70" s="41">
        <v>64</v>
      </c>
      <c r="C70" s="116" t="s">
        <v>189</v>
      </c>
      <c r="D70" s="117">
        <v>669</v>
      </c>
      <c r="E70" s="110">
        <v>215</v>
      </c>
      <c r="F70" s="110">
        <v>193</v>
      </c>
      <c r="G70" s="110">
        <v>0</v>
      </c>
      <c r="H70" s="111">
        <f t="shared" si="0"/>
        <v>408</v>
      </c>
      <c r="I70" s="112">
        <v>337</v>
      </c>
      <c r="J70" s="110">
        <v>0</v>
      </c>
      <c r="K70" s="110">
        <v>1</v>
      </c>
      <c r="L70" s="81"/>
      <c r="M70" s="81">
        <f>'Praroop-20 hindi'!C73</f>
        <v>10</v>
      </c>
      <c r="N70" s="81">
        <v>2</v>
      </c>
      <c r="O70" s="81"/>
      <c r="P70" s="81">
        <f>'Praroop-20 hindi'!D73</f>
        <v>72</v>
      </c>
      <c r="Q70" s="81">
        <v>3</v>
      </c>
      <c r="R70" s="81"/>
      <c r="S70" s="81">
        <f>'Praroop-20 hindi'!E73</f>
        <v>316</v>
      </c>
      <c r="T70" s="81">
        <v>4</v>
      </c>
      <c r="U70" s="81"/>
      <c r="V70" s="81">
        <f>'Praroop-20 hindi'!F73</f>
        <v>4</v>
      </c>
      <c r="W70" s="81">
        <v>5</v>
      </c>
      <c r="X70" s="81"/>
      <c r="Y70" s="81">
        <f>'Praroop-20 hindi'!G73</f>
        <v>0</v>
      </c>
      <c r="Z70" s="81">
        <v>6</v>
      </c>
      <c r="AA70" s="81"/>
      <c r="AB70" s="81">
        <f>'Praroop-20 hindi'!H73</f>
        <v>0</v>
      </c>
      <c r="AC70" s="81">
        <v>7</v>
      </c>
      <c r="AD70" s="81"/>
      <c r="AE70" s="81">
        <f>'Praroop-20 hindi'!I73</f>
        <v>0</v>
      </c>
      <c r="AF70" s="81">
        <v>8</v>
      </c>
      <c r="AG70" s="81"/>
      <c r="AH70" s="81">
        <f>'Praroop-20 hindi'!J73</f>
        <v>0</v>
      </c>
      <c r="AI70" s="81">
        <v>9</v>
      </c>
      <c r="AJ70" s="81"/>
      <c r="AK70" s="81">
        <f>'Praroop-20 hindi'!K73</f>
        <v>1</v>
      </c>
      <c r="AL70" s="81">
        <v>10</v>
      </c>
      <c r="AM70" s="81"/>
      <c r="AN70" s="81">
        <f>'Praroop-20 hindi'!L73</f>
        <v>3</v>
      </c>
      <c r="AO70" s="81">
        <v>11</v>
      </c>
      <c r="AP70" s="81"/>
      <c r="AQ70" s="81">
        <f>'Praroop-20 hindi'!M73</f>
        <v>1</v>
      </c>
      <c r="AR70" s="81">
        <f t="shared" si="1"/>
        <v>407</v>
      </c>
    </row>
    <row r="71" spans="1:44" ht="38.25">
      <c r="A71" s="81">
        <v>64</v>
      </c>
      <c r="B71" s="41">
        <v>65</v>
      </c>
      <c r="C71" s="113" t="s">
        <v>190</v>
      </c>
      <c r="D71" s="117">
        <v>817</v>
      </c>
      <c r="E71" s="110">
        <v>305</v>
      </c>
      <c r="F71" s="110">
        <v>260</v>
      </c>
      <c r="G71" s="110">
        <v>0</v>
      </c>
      <c r="H71" s="111">
        <f t="shared" ref="H71:H134" si="2">SUM(E71:G71)</f>
        <v>565</v>
      </c>
      <c r="I71" s="112">
        <v>508</v>
      </c>
      <c r="J71" s="110">
        <v>0</v>
      </c>
      <c r="K71" s="110">
        <v>1</v>
      </c>
      <c r="L71" s="81"/>
      <c r="M71" s="81">
        <f>'Praroop-20 hindi'!C74</f>
        <v>0</v>
      </c>
      <c r="N71" s="81">
        <v>2</v>
      </c>
      <c r="O71" s="81"/>
      <c r="P71" s="81">
        <f>'Praroop-20 hindi'!D74</f>
        <v>22</v>
      </c>
      <c r="Q71" s="81">
        <v>3</v>
      </c>
      <c r="R71" s="81"/>
      <c r="S71" s="81">
        <f>'Praroop-20 hindi'!E74</f>
        <v>536</v>
      </c>
      <c r="T71" s="81">
        <v>4</v>
      </c>
      <c r="U71" s="81"/>
      <c r="V71" s="81">
        <f>'Praroop-20 hindi'!F74</f>
        <v>2</v>
      </c>
      <c r="W71" s="81">
        <v>5</v>
      </c>
      <c r="X71" s="81"/>
      <c r="Y71" s="81">
        <f>'Praroop-20 hindi'!G74</f>
        <v>0</v>
      </c>
      <c r="Z71" s="81">
        <v>6</v>
      </c>
      <c r="AA71" s="81"/>
      <c r="AB71" s="81">
        <f>'Praroop-20 hindi'!H74</f>
        <v>0</v>
      </c>
      <c r="AC71" s="81">
        <v>7</v>
      </c>
      <c r="AD71" s="81"/>
      <c r="AE71" s="81">
        <f>'Praroop-20 hindi'!I74</f>
        <v>1</v>
      </c>
      <c r="AF71" s="81">
        <v>8</v>
      </c>
      <c r="AG71" s="81"/>
      <c r="AH71" s="81">
        <f>'Praroop-20 hindi'!J74</f>
        <v>1</v>
      </c>
      <c r="AI71" s="81">
        <v>9</v>
      </c>
      <c r="AJ71" s="81"/>
      <c r="AK71" s="81">
        <f>'Praroop-20 hindi'!K74</f>
        <v>0</v>
      </c>
      <c r="AL71" s="81">
        <v>10</v>
      </c>
      <c r="AM71" s="81"/>
      <c r="AN71" s="81">
        <f>'Praroop-20 hindi'!L74</f>
        <v>0</v>
      </c>
      <c r="AO71" s="81">
        <v>11</v>
      </c>
      <c r="AP71" s="81"/>
      <c r="AQ71" s="81">
        <f>'Praroop-20 hindi'!M74</f>
        <v>0</v>
      </c>
      <c r="AR71" s="81">
        <f t="shared" si="1"/>
        <v>562</v>
      </c>
    </row>
    <row r="72" spans="1:44" ht="38.25">
      <c r="A72" s="81">
        <v>64</v>
      </c>
      <c r="B72" s="41">
        <v>66</v>
      </c>
      <c r="C72" s="113" t="s">
        <v>191</v>
      </c>
      <c r="D72" s="117">
        <v>819</v>
      </c>
      <c r="E72" s="110">
        <v>227</v>
      </c>
      <c r="F72" s="110">
        <v>209</v>
      </c>
      <c r="G72" s="110">
        <v>0</v>
      </c>
      <c r="H72" s="111">
        <f t="shared" si="2"/>
        <v>436</v>
      </c>
      <c r="I72" s="112">
        <v>390</v>
      </c>
      <c r="J72" s="110">
        <v>0</v>
      </c>
      <c r="K72" s="110">
        <v>1</v>
      </c>
      <c r="L72" s="81"/>
      <c r="M72" s="81">
        <f>'Praroop-20 hindi'!C75</f>
        <v>2</v>
      </c>
      <c r="N72" s="81">
        <v>2</v>
      </c>
      <c r="O72" s="81"/>
      <c r="P72" s="81">
        <f>'Praroop-20 hindi'!D75</f>
        <v>39</v>
      </c>
      <c r="Q72" s="81">
        <v>3</v>
      </c>
      <c r="R72" s="81"/>
      <c r="S72" s="81">
        <f>'Praroop-20 hindi'!E75</f>
        <v>388</v>
      </c>
      <c r="T72" s="81">
        <v>4</v>
      </c>
      <c r="U72" s="81"/>
      <c r="V72" s="81">
        <f>'Praroop-20 hindi'!F75</f>
        <v>3</v>
      </c>
      <c r="W72" s="81">
        <v>5</v>
      </c>
      <c r="X72" s="81"/>
      <c r="Y72" s="81">
        <f>'Praroop-20 hindi'!G75</f>
        <v>1</v>
      </c>
      <c r="Z72" s="81">
        <v>6</v>
      </c>
      <c r="AA72" s="81"/>
      <c r="AB72" s="81">
        <f>'Praroop-20 hindi'!H75</f>
        <v>0</v>
      </c>
      <c r="AC72" s="81">
        <v>7</v>
      </c>
      <c r="AD72" s="81"/>
      <c r="AE72" s="81">
        <f>'Praroop-20 hindi'!I75</f>
        <v>0</v>
      </c>
      <c r="AF72" s="81">
        <v>8</v>
      </c>
      <c r="AG72" s="81"/>
      <c r="AH72" s="81">
        <f>'Praroop-20 hindi'!J75</f>
        <v>0</v>
      </c>
      <c r="AI72" s="81">
        <v>9</v>
      </c>
      <c r="AJ72" s="81"/>
      <c r="AK72" s="81">
        <f>'Praroop-20 hindi'!K75</f>
        <v>0</v>
      </c>
      <c r="AL72" s="81">
        <v>10</v>
      </c>
      <c r="AM72" s="81"/>
      <c r="AN72" s="81">
        <f>'Praroop-20 hindi'!L75</f>
        <v>1</v>
      </c>
      <c r="AO72" s="81">
        <v>11</v>
      </c>
      <c r="AP72" s="81"/>
      <c r="AQ72" s="81">
        <f>'Praroop-20 hindi'!M75</f>
        <v>0</v>
      </c>
      <c r="AR72" s="81">
        <f t="shared" ref="AR72:AR135" si="3">M72+P72+S72+V72+Y72+AB72+AE72+AH72+AK72+AN72+AQ72</f>
        <v>434</v>
      </c>
    </row>
    <row r="73" spans="1:44" ht="38.25">
      <c r="A73" s="81">
        <v>64</v>
      </c>
      <c r="B73" s="41">
        <v>67</v>
      </c>
      <c r="C73" s="113" t="s">
        <v>192</v>
      </c>
      <c r="D73" s="117">
        <v>827</v>
      </c>
      <c r="E73" s="110">
        <v>264</v>
      </c>
      <c r="F73" s="110">
        <v>267</v>
      </c>
      <c r="G73" s="110">
        <v>0</v>
      </c>
      <c r="H73" s="111">
        <f t="shared" si="2"/>
        <v>531</v>
      </c>
      <c r="I73" s="112">
        <v>477</v>
      </c>
      <c r="J73" s="110">
        <v>0</v>
      </c>
      <c r="K73" s="110">
        <v>1</v>
      </c>
      <c r="L73" s="81"/>
      <c r="M73" s="81">
        <f>'Praroop-20 hindi'!C76</f>
        <v>1</v>
      </c>
      <c r="N73" s="81">
        <v>2</v>
      </c>
      <c r="O73" s="81"/>
      <c r="P73" s="81">
        <f>'Praroop-20 hindi'!D76</f>
        <v>29</v>
      </c>
      <c r="Q73" s="81">
        <v>3</v>
      </c>
      <c r="R73" s="81"/>
      <c r="S73" s="81">
        <f>'Praroop-20 hindi'!E76</f>
        <v>495</v>
      </c>
      <c r="T73" s="81">
        <v>4</v>
      </c>
      <c r="U73" s="81"/>
      <c r="V73" s="81">
        <f>'Praroop-20 hindi'!F76</f>
        <v>3</v>
      </c>
      <c r="W73" s="81">
        <v>5</v>
      </c>
      <c r="X73" s="81"/>
      <c r="Y73" s="81">
        <f>'Praroop-20 hindi'!G76</f>
        <v>0</v>
      </c>
      <c r="Z73" s="81">
        <v>6</v>
      </c>
      <c r="AA73" s="81"/>
      <c r="AB73" s="81">
        <f>'Praroop-20 hindi'!H76</f>
        <v>0</v>
      </c>
      <c r="AC73" s="81">
        <v>7</v>
      </c>
      <c r="AD73" s="81"/>
      <c r="AE73" s="81">
        <f>'Praroop-20 hindi'!I76</f>
        <v>0</v>
      </c>
      <c r="AF73" s="81">
        <v>8</v>
      </c>
      <c r="AG73" s="81"/>
      <c r="AH73" s="81">
        <f>'Praroop-20 hindi'!J76</f>
        <v>2</v>
      </c>
      <c r="AI73" s="81">
        <v>9</v>
      </c>
      <c r="AJ73" s="81"/>
      <c r="AK73" s="81">
        <f>'Praroop-20 hindi'!K76</f>
        <v>0</v>
      </c>
      <c r="AL73" s="81">
        <v>10</v>
      </c>
      <c r="AM73" s="81"/>
      <c r="AN73" s="81">
        <f>'Praroop-20 hindi'!L76</f>
        <v>0</v>
      </c>
      <c r="AO73" s="81">
        <v>11</v>
      </c>
      <c r="AP73" s="81"/>
      <c r="AQ73" s="81">
        <f>'Praroop-20 hindi'!M76</f>
        <v>0</v>
      </c>
      <c r="AR73" s="81">
        <f t="shared" si="3"/>
        <v>530</v>
      </c>
    </row>
    <row r="74" spans="1:44" ht="38.25">
      <c r="A74" s="81">
        <v>64</v>
      </c>
      <c r="B74" s="41">
        <v>68</v>
      </c>
      <c r="C74" s="113" t="s">
        <v>193</v>
      </c>
      <c r="D74" s="117">
        <v>952</v>
      </c>
      <c r="E74" s="110">
        <v>337</v>
      </c>
      <c r="F74" s="110">
        <v>288</v>
      </c>
      <c r="G74" s="110">
        <v>0</v>
      </c>
      <c r="H74" s="111">
        <f t="shared" si="2"/>
        <v>625</v>
      </c>
      <c r="I74" s="112">
        <v>562</v>
      </c>
      <c r="J74" s="110">
        <v>0</v>
      </c>
      <c r="K74" s="110">
        <v>1</v>
      </c>
      <c r="L74" s="81"/>
      <c r="M74" s="81">
        <f>'Praroop-20 hindi'!C77</f>
        <v>2</v>
      </c>
      <c r="N74" s="81">
        <v>2</v>
      </c>
      <c r="O74" s="81"/>
      <c r="P74" s="81">
        <f>'Praroop-20 hindi'!D77</f>
        <v>37</v>
      </c>
      <c r="Q74" s="81">
        <v>3</v>
      </c>
      <c r="R74" s="81"/>
      <c r="S74" s="81">
        <f>'Praroop-20 hindi'!E77</f>
        <v>583</v>
      </c>
      <c r="T74" s="81">
        <v>4</v>
      </c>
      <c r="U74" s="81"/>
      <c r="V74" s="81">
        <f>'Praroop-20 hindi'!F77</f>
        <v>2</v>
      </c>
      <c r="W74" s="81">
        <v>5</v>
      </c>
      <c r="X74" s="81"/>
      <c r="Y74" s="81">
        <f>'Praroop-20 hindi'!G77</f>
        <v>0</v>
      </c>
      <c r="Z74" s="81">
        <v>6</v>
      </c>
      <c r="AA74" s="81"/>
      <c r="AB74" s="81">
        <f>'Praroop-20 hindi'!H77</f>
        <v>0</v>
      </c>
      <c r="AC74" s="81">
        <v>7</v>
      </c>
      <c r="AD74" s="81"/>
      <c r="AE74" s="81">
        <f>'Praroop-20 hindi'!I77</f>
        <v>0</v>
      </c>
      <c r="AF74" s="81">
        <v>8</v>
      </c>
      <c r="AG74" s="81"/>
      <c r="AH74" s="81">
        <f>'Praroop-20 hindi'!J77</f>
        <v>0</v>
      </c>
      <c r="AI74" s="81">
        <v>9</v>
      </c>
      <c r="AJ74" s="81"/>
      <c r="AK74" s="81">
        <f>'Praroop-20 hindi'!K77</f>
        <v>0</v>
      </c>
      <c r="AL74" s="81">
        <v>10</v>
      </c>
      <c r="AM74" s="81"/>
      <c r="AN74" s="81">
        <f>'Praroop-20 hindi'!L77</f>
        <v>1</v>
      </c>
      <c r="AO74" s="81">
        <v>11</v>
      </c>
      <c r="AP74" s="81"/>
      <c r="AQ74" s="81">
        <f>'Praroop-20 hindi'!M77</f>
        <v>0</v>
      </c>
      <c r="AR74" s="81">
        <f t="shared" si="3"/>
        <v>625</v>
      </c>
    </row>
    <row r="75" spans="1:44" ht="38.25">
      <c r="A75" s="81">
        <v>64</v>
      </c>
      <c r="B75" s="41">
        <v>69</v>
      </c>
      <c r="C75" s="113" t="s">
        <v>194</v>
      </c>
      <c r="D75" s="117">
        <v>1003</v>
      </c>
      <c r="E75" s="110">
        <v>323</v>
      </c>
      <c r="F75" s="110">
        <v>289</v>
      </c>
      <c r="G75" s="110">
        <v>0</v>
      </c>
      <c r="H75" s="111">
        <f t="shared" si="2"/>
        <v>612</v>
      </c>
      <c r="I75" s="112">
        <v>550</v>
      </c>
      <c r="J75" s="110">
        <v>0</v>
      </c>
      <c r="K75" s="110">
        <v>1</v>
      </c>
      <c r="L75" s="81"/>
      <c r="M75" s="81">
        <f>'Praroop-20 hindi'!C78</f>
        <v>17</v>
      </c>
      <c r="N75" s="81">
        <v>2</v>
      </c>
      <c r="O75" s="81"/>
      <c r="P75" s="81">
        <f>'Praroop-20 hindi'!D78</f>
        <v>80</v>
      </c>
      <c r="Q75" s="81">
        <v>3</v>
      </c>
      <c r="R75" s="81"/>
      <c r="S75" s="81">
        <f>'Praroop-20 hindi'!E78</f>
        <v>505</v>
      </c>
      <c r="T75" s="81">
        <v>4</v>
      </c>
      <c r="U75" s="81"/>
      <c r="V75" s="81">
        <f>'Praroop-20 hindi'!F78</f>
        <v>5</v>
      </c>
      <c r="W75" s="81">
        <v>5</v>
      </c>
      <c r="X75" s="81"/>
      <c r="Y75" s="81">
        <f>'Praroop-20 hindi'!G78</f>
        <v>2</v>
      </c>
      <c r="Z75" s="81">
        <v>6</v>
      </c>
      <c r="AA75" s="81"/>
      <c r="AB75" s="81">
        <f>'Praroop-20 hindi'!H78</f>
        <v>0</v>
      </c>
      <c r="AC75" s="81">
        <v>7</v>
      </c>
      <c r="AD75" s="81"/>
      <c r="AE75" s="81">
        <f>'Praroop-20 hindi'!I78</f>
        <v>0</v>
      </c>
      <c r="AF75" s="81">
        <v>8</v>
      </c>
      <c r="AG75" s="81"/>
      <c r="AH75" s="81">
        <f>'Praroop-20 hindi'!J78</f>
        <v>0</v>
      </c>
      <c r="AI75" s="81">
        <v>9</v>
      </c>
      <c r="AJ75" s="81"/>
      <c r="AK75" s="81">
        <f>'Praroop-20 hindi'!K78</f>
        <v>1</v>
      </c>
      <c r="AL75" s="81">
        <v>10</v>
      </c>
      <c r="AM75" s="81"/>
      <c r="AN75" s="81">
        <f>'Praroop-20 hindi'!L78</f>
        <v>1</v>
      </c>
      <c r="AO75" s="81">
        <v>11</v>
      </c>
      <c r="AP75" s="81"/>
      <c r="AQ75" s="81">
        <f>'Praroop-20 hindi'!M78</f>
        <v>1</v>
      </c>
      <c r="AR75" s="81">
        <f t="shared" si="3"/>
        <v>612</v>
      </c>
    </row>
    <row r="76" spans="1:44" ht="38.25">
      <c r="A76" s="81">
        <v>64</v>
      </c>
      <c r="B76" s="41">
        <v>70</v>
      </c>
      <c r="C76" s="113" t="s">
        <v>195</v>
      </c>
      <c r="D76" s="117">
        <v>1106</v>
      </c>
      <c r="E76" s="110">
        <v>370</v>
      </c>
      <c r="F76" s="110">
        <v>310</v>
      </c>
      <c r="G76" s="110">
        <v>0</v>
      </c>
      <c r="H76" s="111">
        <f t="shared" si="2"/>
        <v>680</v>
      </c>
      <c r="I76" s="112">
        <v>613</v>
      </c>
      <c r="J76" s="110">
        <v>0</v>
      </c>
      <c r="K76" s="110">
        <v>1</v>
      </c>
      <c r="L76" s="81"/>
      <c r="M76" s="81">
        <f>'Praroop-20 hindi'!C79</f>
        <v>7</v>
      </c>
      <c r="N76" s="81">
        <v>2</v>
      </c>
      <c r="O76" s="81"/>
      <c r="P76" s="81">
        <f>'Praroop-20 hindi'!D79</f>
        <v>66</v>
      </c>
      <c r="Q76" s="81">
        <v>3</v>
      </c>
      <c r="R76" s="81"/>
      <c r="S76" s="81">
        <f>'Praroop-20 hindi'!E79</f>
        <v>603</v>
      </c>
      <c r="T76" s="81">
        <v>4</v>
      </c>
      <c r="U76" s="81"/>
      <c r="V76" s="81">
        <f>'Praroop-20 hindi'!F79</f>
        <v>0</v>
      </c>
      <c r="W76" s="81">
        <v>5</v>
      </c>
      <c r="X76" s="81"/>
      <c r="Y76" s="81">
        <f>'Praroop-20 hindi'!G79</f>
        <v>0</v>
      </c>
      <c r="Z76" s="81">
        <v>6</v>
      </c>
      <c r="AA76" s="81"/>
      <c r="AB76" s="81">
        <f>'Praroop-20 hindi'!H79</f>
        <v>0</v>
      </c>
      <c r="AC76" s="81">
        <v>7</v>
      </c>
      <c r="AD76" s="81"/>
      <c r="AE76" s="81">
        <f>'Praroop-20 hindi'!I79</f>
        <v>0</v>
      </c>
      <c r="AF76" s="81">
        <v>8</v>
      </c>
      <c r="AG76" s="81"/>
      <c r="AH76" s="81">
        <f>'Praroop-20 hindi'!J79</f>
        <v>2</v>
      </c>
      <c r="AI76" s="81">
        <v>9</v>
      </c>
      <c r="AJ76" s="81"/>
      <c r="AK76" s="81">
        <f>'Praroop-20 hindi'!K79</f>
        <v>0</v>
      </c>
      <c r="AL76" s="81">
        <v>10</v>
      </c>
      <c r="AM76" s="81"/>
      <c r="AN76" s="81">
        <f>'Praroop-20 hindi'!L79</f>
        <v>0</v>
      </c>
      <c r="AO76" s="81">
        <v>11</v>
      </c>
      <c r="AP76" s="81"/>
      <c r="AQ76" s="81">
        <f>'Praroop-20 hindi'!M79</f>
        <v>0</v>
      </c>
      <c r="AR76" s="81">
        <f t="shared" si="3"/>
        <v>678</v>
      </c>
    </row>
    <row r="77" spans="1:44" ht="38.25">
      <c r="A77" s="81">
        <v>64</v>
      </c>
      <c r="B77" s="41">
        <v>71</v>
      </c>
      <c r="C77" s="113" t="s">
        <v>196</v>
      </c>
      <c r="D77" s="117">
        <v>1069</v>
      </c>
      <c r="E77" s="110">
        <v>341</v>
      </c>
      <c r="F77" s="110">
        <v>264</v>
      </c>
      <c r="G77" s="110">
        <v>0</v>
      </c>
      <c r="H77" s="111">
        <f t="shared" si="2"/>
        <v>605</v>
      </c>
      <c r="I77" s="112">
        <v>550</v>
      </c>
      <c r="J77" s="110">
        <v>0</v>
      </c>
      <c r="K77" s="110">
        <v>1</v>
      </c>
      <c r="L77" s="81"/>
      <c r="M77" s="81">
        <f>'Praroop-20 hindi'!C80</f>
        <v>29</v>
      </c>
      <c r="N77" s="81">
        <v>2</v>
      </c>
      <c r="O77" s="81"/>
      <c r="P77" s="81">
        <f>'Praroop-20 hindi'!D80</f>
        <v>210</v>
      </c>
      <c r="Q77" s="81">
        <v>3</v>
      </c>
      <c r="R77" s="81"/>
      <c r="S77" s="81">
        <f>'Praroop-20 hindi'!E80</f>
        <v>350</v>
      </c>
      <c r="T77" s="81">
        <v>4</v>
      </c>
      <c r="U77" s="81"/>
      <c r="V77" s="81">
        <f>'Praroop-20 hindi'!F80</f>
        <v>3</v>
      </c>
      <c r="W77" s="81">
        <v>5</v>
      </c>
      <c r="X77" s="81"/>
      <c r="Y77" s="81">
        <f>'Praroop-20 hindi'!G80</f>
        <v>0</v>
      </c>
      <c r="Z77" s="81">
        <v>6</v>
      </c>
      <c r="AA77" s="81"/>
      <c r="AB77" s="81">
        <f>'Praroop-20 hindi'!H80</f>
        <v>0</v>
      </c>
      <c r="AC77" s="81">
        <v>7</v>
      </c>
      <c r="AD77" s="81"/>
      <c r="AE77" s="81">
        <f>'Praroop-20 hindi'!I80</f>
        <v>0</v>
      </c>
      <c r="AF77" s="81">
        <v>8</v>
      </c>
      <c r="AG77" s="81"/>
      <c r="AH77" s="81">
        <f>'Praroop-20 hindi'!J80</f>
        <v>1</v>
      </c>
      <c r="AI77" s="81">
        <v>9</v>
      </c>
      <c r="AJ77" s="81"/>
      <c r="AK77" s="81">
        <f>'Praroop-20 hindi'!K80</f>
        <v>10</v>
      </c>
      <c r="AL77" s="81">
        <v>10</v>
      </c>
      <c r="AM77" s="81"/>
      <c r="AN77" s="81">
        <f>'Praroop-20 hindi'!L80</f>
        <v>1</v>
      </c>
      <c r="AO77" s="81">
        <v>11</v>
      </c>
      <c r="AP77" s="81"/>
      <c r="AQ77" s="81">
        <f>'Praroop-20 hindi'!M80</f>
        <v>1</v>
      </c>
      <c r="AR77" s="81">
        <f t="shared" si="3"/>
        <v>605</v>
      </c>
    </row>
    <row r="78" spans="1:44" ht="38.25">
      <c r="A78" s="81">
        <v>64</v>
      </c>
      <c r="B78" s="41">
        <v>72</v>
      </c>
      <c r="C78" s="113" t="s">
        <v>197</v>
      </c>
      <c r="D78" s="117">
        <v>879</v>
      </c>
      <c r="E78" s="110">
        <v>251</v>
      </c>
      <c r="F78" s="110">
        <v>240</v>
      </c>
      <c r="G78" s="110">
        <v>0</v>
      </c>
      <c r="H78" s="111">
        <f t="shared" si="2"/>
        <v>491</v>
      </c>
      <c r="I78" s="112">
        <v>412</v>
      </c>
      <c r="J78" s="110">
        <v>0</v>
      </c>
      <c r="K78" s="110">
        <v>1</v>
      </c>
      <c r="L78" s="81"/>
      <c r="M78" s="81">
        <f>'Praroop-20 hindi'!C81</f>
        <v>8</v>
      </c>
      <c r="N78" s="81">
        <v>2</v>
      </c>
      <c r="O78" s="81"/>
      <c r="P78" s="81">
        <f>'Praroop-20 hindi'!D81</f>
        <v>117</v>
      </c>
      <c r="Q78" s="81">
        <v>3</v>
      </c>
      <c r="R78" s="81"/>
      <c r="S78" s="81">
        <f>'Praroop-20 hindi'!E81</f>
        <v>350</v>
      </c>
      <c r="T78" s="81">
        <v>4</v>
      </c>
      <c r="U78" s="81"/>
      <c r="V78" s="81">
        <f>'Praroop-20 hindi'!F81</f>
        <v>8</v>
      </c>
      <c r="W78" s="81">
        <v>5</v>
      </c>
      <c r="X78" s="81"/>
      <c r="Y78" s="81">
        <f>'Praroop-20 hindi'!G81</f>
        <v>0</v>
      </c>
      <c r="Z78" s="81">
        <v>6</v>
      </c>
      <c r="AA78" s="81"/>
      <c r="AB78" s="81">
        <f>'Praroop-20 hindi'!H81</f>
        <v>1</v>
      </c>
      <c r="AC78" s="81">
        <v>7</v>
      </c>
      <c r="AD78" s="81"/>
      <c r="AE78" s="81">
        <f>'Praroop-20 hindi'!I81</f>
        <v>0</v>
      </c>
      <c r="AF78" s="81">
        <v>8</v>
      </c>
      <c r="AG78" s="81"/>
      <c r="AH78" s="81">
        <f>'Praroop-20 hindi'!J81</f>
        <v>0</v>
      </c>
      <c r="AI78" s="81">
        <v>9</v>
      </c>
      <c r="AJ78" s="81"/>
      <c r="AK78" s="81">
        <f>'Praroop-20 hindi'!K81</f>
        <v>4</v>
      </c>
      <c r="AL78" s="81">
        <v>10</v>
      </c>
      <c r="AM78" s="81"/>
      <c r="AN78" s="81">
        <f>'Praroop-20 hindi'!L81</f>
        <v>0</v>
      </c>
      <c r="AO78" s="81">
        <v>11</v>
      </c>
      <c r="AP78" s="81"/>
      <c r="AQ78" s="81">
        <f>'Praroop-20 hindi'!M81</f>
        <v>1</v>
      </c>
      <c r="AR78" s="81">
        <f t="shared" si="3"/>
        <v>489</v>
      </c>
    </row>
    <row r="79" spans="1:44" ht="38.25">
      <c r="A79" s="81">
        <v>64</v>
      </c>
      <c r="B79" s="41">
        <v>73</v>
      </c>
      <c r="C79" s="113" t="s">
        <v>198</v>
      </c>
      <c r="D79" s="117">
        <v>674</v>
      </c>
      <c r="E79" s="110">
        <v>245</v>
      </c>
      <c r="F79" s="110">
        <v>205</v>
      </c>
      <c r="G79" s="110">
        <v>0</v>
      </c>
      <c r="H79" s="111">
        <f t="shared" si="2"/>
        <v>450</v>
      </c>
      <c r="I79" s="112">
        <v>395</v>
      </c>
      <c r="J79" s="110">
        <v>0</v>
      </c>
      <c r="K79" s="110">
        <v>1</v>
      </c>
      <c r="L79" s="81"/>
      <c r="M79" s="81">
        <f>'Praroop-20 hindi'!C82</f>
        <v>4</v>
      </c>
      <c r="N79" s="81">
        <v>2</v>
      </c>
      <c r="O79" s="81"/>
      <c r="P79" s="81">
        <f>'Praroop-20 hindi'!D82</f>
        <v>254</v>
      </c>
      <c r="Q79" s="81">
        <v>3</v>
      </c>
      <c r="R79" s="81"/>
      <c r="S79" s="81">
        <f>'Praroop-20 hindi'!E82</f>
        <v>181</v>
      </c>
      <c r="T79" s="81">
        <v>4</v>
      </c>
      <c r="U79" s="81"/>
      <c r="V79" s="81">
        <f>'Praroop-20 hindi'!F82</f>
        <v>1</v>
      </c>
      <c r="W79" s="81">
        <v>5</v>
      </c>
      <c r="X79" s="81"/>
      <c r="Y79" s="81">
        <f>'Praroop-20 hindi'!G82</f>
        <v>0</v>
      </c>
      <c r="Z79" s="81">
        <v>6</v>
      </c>
      <c r="AA79" s="81"/>
      <c r="AB79" s="81">
        <f>'Praroop-20 hindi'!H82</f>
        <v>0</v>
      </c>
      <c r="AC79" s="81">
        <v>7</v>
      </c>
      <c r="AD79" s="81"/>
      <c r="AE79" s="81">
        <f>'Praroop-20 hindi'!I82</f>
        <v>0</v>
      </c>
      <c r="AF79" s="81">
        <v>8</v>
      </c>
      <c r="AG79" s="81"/>
      <c r="AH79" s="81">
        <f>'Praroop-20 hindi'!J82</f>
        <v>0</v>
      </c>
      <c r="AI79" s="81">
        <v>9</v>
      </c>
      <c r="AJ79" s="81"/>
      <c r="AK79" s="81">
        <f>'Praroop-20 hindi'!K82</f>
        <v>8</v>
      </c>
      <c r="AL79" s="81">
        <v>10</v>
      </c>
      <c r="AM79" s="81"/>
      <c r="AN79" s="81">
        <f>'Praroop-20 hindi'!L82</f>
        <v>1</v>
      </c>
      <c r="AO79" s="81">
        <v>11</v>
      </c>
      <c r="AP79" s="81"/>
      <c r="AQ79" s="81">
        <f>'Praroop-20 hindi'!M82</f>
        <v>1</v>
      </c>
      <c r="AR79" s="81">
        <f t="shared" si="3"/>
        <v>450</v>
      </c>
    </row>
    <row r="80" spans="1:44" ht="38.25">
      <c r="A80" s="81">
        <v>64</v>
      </c>
      <c r="B80" s="41">
        <v>74</v>
      </c>
      <c r="C80" s="113" t="s">
        <v>199</v>
      </c>
      <c r="D80" s="117">
        <v>1116</v>
      </c>
      <c r="E80" s="110">
        <v>423</v>
      </c>
      <c r="F80" s="110">
        <v>401</v>
      </c>
      <c r="G80" s="110">
        <v>0</v>
      </c>
      <c r="H80" s="111">
        <f t="shared" si="2"/>
        <v>824</v>
      </c>
      <c r="I80" s="112">
        <v>742</v>
      </c>
      <c r="J80" s="110">
        <v>0</v>
      </c>
      <c r="K80" s="110">
        <v>1</v>
      </c>
      <c r="L80" s="81"/>
      <c r="M80" s="81">
        <f>'Praroop-20 hindi'!C83</f>
        <v>2</v>
      </c>
      <c r="N80" s="81">
        <v>2</v>
      </c>
      <c r="O80" s="81"/>
      <c r="P80" s="81">
        <f>'Praroop-20 hindi'!D83</f>
        <v>222</v>
      </c>
      <c r="Q80" s="81">
        <v>3</v>
      </c>
      <c r="R80" s="81"/>
      <c r="S80" s="81">
        <f>'Praroop-20 hindi'!E83</f>
        <v>589</v>
      </c>
      <c r="T80" s="81">
        <v>4</v>
      </c>
      <c r="U80" s="81"/>
      <c r="V80" s="81">
        <f>'Praroop-20 hindi'!F83</f>
        <v>3</v>
      </c>
      <c r="W80" s="81">
        <v>5</v>
      </c>
      <c r="X80" s="81"/>
      <c r="Y80" s="81">
        <f>'Praroop-20 hindi'!G83</f>
        <v>0</v>
      </c>
      <c r="Z80" s="81">
        <v>6</v>
      </c>
      <c r="AA80" s="81"/>
      <c r="AB80" s="81">
        <f>'Praroop-20 hindi'!H83</f>
        <v>0</v>
      </c>
      <c r="AC80" s="81">
        <v>7</v>
      </c>
      <c r="AD80" s="81"/>
      <c r="AE80" s="81">
        <f>'Praroop-20 hindi'!I83</f>
        <v>1</v>
      </c>
      <c r="AF80" s="81">
        <v>8</v>
      </c>
      <c r="AG80" s="81"/>
      <c r="AH80" s="81">
        <f>'Praroop-20 hindi'!J83</f>
        <v>2</v>
      </c>
      <c r="AI80" s="81">
        <v>9</v>
      </c>
      <c r="AJ80" s="81"/>
      <c r="AK80" s="81">
        <f>'Praroop-20 hindi'!K83</f>
        <v>3</v>
      </c>
      <c r="AL80" s="81">
        <v>10</v>
      </c>
      <c r="AM80" s="81"/>
      <c r="AN80" s="81">
        <f>'Praroop-20 hindi'!L83</f>
        <v>1</v>
      </c>
      <c r="AO80" s="81">
        <v>11</v>
      </c>
      <c r="AP80" s="81"/>
      <c r="AQ80" s="81">
        <f>'Praroop-20 hindi'!M83</f>
        <v>1</v>
      </c>
      <c r="AR80" s="81">
        <f t="shared" si="3"/>
        <v>824</v>
      </c>
    </row>
    <row r="81" spans="1:44" ht="38.25">
      <c r="A81" s="81">
        <v>64</v>
      </c>
      <c r="B81" s="41">
        <v>75</v>
      </c>
      <c r="C81" s="113" t="s">
        <v>200</v>
      </c>
      <c r="D81" s="117">
        <v>1140</v>
      </c>
      <c r="E81" s="110">
        <v>385</v>
      </c>
      <c r="F81" s="110">
        <v>295</v>
      </c>
      <c r="G81" s="110">
        <v>0</v>
      </c>
      <c r="H81" s="111">
        <f t="shared" si="2"/>
        <v>680</v>
      </c>
      <c r="I81" s="112">
        <v>612</v>
      </c>
      <c r="J81" s="110">
        <v>0</v>
      </c>
      <c r="K81" s="110">
        <v>1</v>
      </c>
      <c r="L81" s="81"/>
      <c r="M81" s="81">
        <f>'Praroop-20 hindi'!C84</f>
        <v>18</v>
      </c>
      <c r="N81" s="81">
        <v>2</v>
      </c>
      <c r="O81" s="81"/>
      <c r="P81" s="81">
        <f>'Praroop-20 hindi'!D84</f>
        <v>162</v>
      </c>
      <c r="Q81" s="81">
        <v>3</v>
      </c>
      <c r="R81" s="81"/>
      <c r="S81" s="81">
        <f>'Praroop-20 hindi'!E84</f>
        <v>493</v>
      </c>
      <c r="T81" s="81">
        <v>4</v>
      </c>
      <c r="U81" s="81"/>
      <c r="V81" s="81">
        <f>'Praroop-20 hindi'!F84</f>
        <v>3</v>
      </c>
      <c r="W81" s="81">
        <v>5</v>
      </c>
      <c r="X81" s="81"/>
      <c r="Y81" s="81">
        <f>'Praroop-20 hindi'!G84</f>
        <v>0</v>
      </c>
      <c r="Z81" s="81">
        <v>6</v>
      </c>
      <c r="AA81" s="81"/>
      <c r="AB81" s="81">
        <f>'Praroop-20 hindi'!H84</f>
        <v>0</v>
      </c>
      <c r="AC81" s="81">
        <v>7</v>
      </c>
      <c r="AD81" s="81"/>
      <c r="AE81" s="81">
        <f>'Praroop-20 hindi'!I84</f>
        <v>0</v>
      </c>
      <c r="AF81" s="81">
        <v>8</v>
      </c>
      <c r="AG81" s="81"/>
      <c r="AH81" s="81">
        <f>'Praroop-20 hindi'!J84</f>
        <v>0</v>
      </c>
      <c r="AI81" s="81">
        <v>9</v>
      </c>
      <c r="AJ81" s="81"/>
      <c r="AK81" s="81">
        <f>'Praroop-20 hindi'!K84</f>
        <v>0</v>
      </c>
      <c r="AL81" s="81">
        <v>10</v>
      </c>
      <c r="AM81" s="81"/>
      <c r="AN81" s="81">
        <f>'Praroop-20 hindi'!L84</f>
        <v>1</v>
      </c>
      <c r="AO81" s="81">
        <v>11</v>
      </c>
      <c r="AP81" s="81"/>
      <c r="AQ81" s="81">
        <f>'Praroop-20 hindi'!M84</f>
        <v>0</v>
      </c>
      <c r="AR81" s="81">
        <f t="shared" si="3"/>
        <v>677</v>
      </c>
    </row>
    <row r="82" spans="1:44" ht="38.25">
      <c r="A82" s="81">
        <v>64</v>
      </c>
      <c r="B82" s="41">
        <v>76</v>
      </c>
      <c r="C82" s="113" t="s">
        <v>201</v>
      </c>
      <c r="D82" s="117">
        <v>626</v>
      </c>
      <c r="E82" s="110">
        <v>231</v>
      </c>
      <c r="F82" s="110">
        <v>201</v>
      </c>
      <c r="G82" s="110">
        <v>0</v>
      </c>
      <c r="H82" s="111">
        <f t="shared" si="2"/>
        <v>432</v>
      </c>
      <c r="I82" s="112">
        <v>357</v>
      </c>
      <c r="J82" s="110">
        <v>0</v>
      </c>
      <c r="K82" s="110">
        <v>1</v>
      </c>
      <c r="L82" s="81"/>
      <c r="M82" s="81">
        <f>'Praroop-20 hindi'!C85</f>
        <v>3</v>
      </c>
      <c r="N82" s="81">
        <v>2</v>
      </c>
      <c r="O82" s="81"/>
      <c r="P82" s="81">
        <f>'Praroop-20 hindi'!D85</f>
        <v>246</v>
      </c>
      <c r="Q82" s="81">
        <v>3</v>
      </c>
      <c r="R82" s="81"/>
      <c r="S82" s="81">
        <f>'Praroop-20 hindi'!E85</f>
        <v>171</v>
      </c>
      <c r="T82" s="81">
        <v>4</v>
      </c>
      <c r="U82" s="81"/>
      <c r="V82" s="81">
        <f>'Praroop-20 hindi'!F85</f>
        <v>4</v>
      </c>
      <c r="W82" s="81">
        <v>5</v>
      </c>
      <c r="X82" s="81"/>
      <c r="Y82" s="81">
        <f>'Praroop-20 hindi'!G85</f>
        <v>1</v>
      </c>
      <c r="Z82" s="81">
        <v>6</v>
      </c>
      <c r="AA82" s="81"/>
      <c r="AB82" s="81">
        <f>'Praroop-20 hindi'!H85</f>
        <v>0</v>
      </c>
      <c r="AC82" s="81">
        <v>7</v>
      </c>
      <c r="AD82" s="81"/>
      <c r="AE82" s="81">
        <f>'Praroop-20 hindi'!I85</f>
        <v>1</v>
      </c>
      <c r="AF82" s="81">
        <v>8</v>
      </c>
      <c r="AG82" s="81"/>
      <c r="AH82" s="81">
        <f>'Praroop-20 hindi'!J85</f>
        <v>0</v>
      </c>
      <c r="AI82" s="81">
        <v>9</v>
      </c>
      <c r="AJ82" s="81"/>
      <c r="AK82" s="81">
        <f>'Praroop-20 hindi'!K85</f>
        <v>2</v>
      </c>
      <c r="AL82" s="81">
        <v>10</v>
      </c>
      <c r="AM82" s="81"/>
      <c r="AN82" s="81">
        <f>'Praroop-20 hindi'!L85</f>
        <v>3</v>
      </c>
      <c r="AO82" s="81">
        <v>11</v>
      </c>
      <c r="AP82" s="81"/>
      <c r="AQ82" s="81">
        <f>'Praroop-20 hindi'!M85</f>
        <v>0</v>
      </c>
      <c r="AR82" s="81">
        <f t="shared" si="3"/>
        <v>431</v>
      </c>
    </row>
    <row r="83" spans="1:44" ht="38.25">
      <c r="A83" s="81">
        <v>64</v>
      </c>
      <c r="B83" s="41">
        <v>77</v>
      </c>
      <c r="C83" s="113" t="s">
        <v>202</v>
      </c>
      <c r="D83" s="117">
        <v>960</v>
      </c>
      <c r="E83" s="110">
        <v>316</v>
      </c>
      <c r="F83" s="110">
        <v>273</v>
      </c>
      <c r="G83" s="110">
        <v>0</v>
      </c>
      <c r="H83" s="111">
        <f t="shared" si="2"/>
        <v>589</v>
      </c>
      <c r="I83" s="112">
        <v>505</v>
      </c>
      <c r="J83" s="110">
        <v>0</v>
      </c>
      <c r="K83" s="110">
        <v>1</v>
      </c>
      <c r="L83" s="81"/>
      <c r="M83" s="81">
        <f>'Praroop-20 hindi'!C86</f>
        <v>77</v>
      </c>
      <c r="N83" s="81">
        <v>2</v>
      </c>
      <c r="O83" s="81"/>
      <c r="P83" s="81">
        <f>'Praroop-20 hindi'!D86</f>
        <v>244</v>
      </c>
      <c r="Q83" s="81">
        <v>3</v>
      </c>
      <c r="R83" s="81"/>
      <c r="S83" s="81">
        <f>'Praroop-20 hindi'!E86</f>
        <v>236</v>
      </c>
      <c r="T83" s="81">
        <v>4</v>
      </c>
      <c r="U83" s="81"/>
      <c r="V83" s="81">
        <f>'Praroop-20 hindi'!F86</f>
        <v>7</v>
      </c>
      <c r="W83" s="81">
        <v>5</v>
      </c>
      <c r="X83" s="81"/>
      <c r="Y83" s="81">
        <f>'Praroop-20 hindi'!G86</f>
        <v>1</v>
      </c>
      <c r="Z83" s="81">
        <v>6</v>
      </c>
      <c r="AA83" s="81"/>
      <c r="AB83" s="81">
        <f>'Praroop-20 hindi'!H86</f>
        <v>1</v>
      </c>
      <c r="AC83" s="81">
        <v>7</v>
      </c>
      <c r="AD83" s="81"/>
      <c r="AE83" s="81">
        <f>'Praroop-20 hindi'!I86</f>
        <v>3</v>
      </c>
      <c r="AF83" s="81">
        <v>8</v>
      </c>
      <c r="AG83" s="81"/>
      <c r="AH83" s="81">
        <f>'Praroop-20 hindi'!J86</f>
        <v>0</v>
      </c>
      <c r="AI83" s="81">
        <v>9</v>
      </c>
      <c r="AJ83" s="81"/>
      <c r="AK83" s="81">
        <f>'Praroop-20 hindi'!K86</f>
        <v>8</v>
      </c>
      <c r="AL83" s="81">
        <v>10</v>
      </c>
      <c r="AM83" s="81"/>
      <c r="AN83" s="81">
        <f>'Praroop-20 hindi'!L86</f>
        <v>7</v>
      </c>
      <c r="AO83" s="81">
        <v>11</v>
      </c>
      <c r="AP83" s="81"/>
      <c r="AQ83" s="81">
        <f>'Praroop-20 hindi'!M86</f>
        <v>2</v>
      </c>
      <c r="AR83" s="81">
        <f t="shared" si="3"/>
        <v>586</v>
      </c>
    </row>
    <row r="84" spans="1:44" ht="38.25">
      <c r="A84" s="81">
        <v>64</v>
      </c>
      <c r="B84" s="41">
        <v>78</v>
      </c>
      <c r="C84" s="113" t="s">
        <v>203</v>
      </c>
      <c r="D84" s="117">
        <v>984</v>
      </c>
      <c r="E84" s="110">
        <v>294</v>
      </c>
      <c r="F84" s="110">
        <v>246</v>
      </c>
      <c r="G84" s="110">
        <v>0</v>
      </c>
      <c r="H84" s="111">
        <f t="shared" si="2"/>
        <v>540</v>
      </c>
      <c r="I84" s="112">
        <v>489</v>
      </c>
      <c r="J84" s="110">
        <v>0</v>
      </c>
      <c r="K84" s="110">
        <v>1</v>
      </c>
      <c r="L84" s="81"/>
      <c r="M84" s="81">
        <f>'Praroop-20 hindi'!C87</f>
        <v>109</v>
      </c>
      <c r="N84" s="81">
        <v>2</v>
      </c>
      <c r="O84" s="81"/>
      <c r="P84" s="81">
        <f>'Praroop-20 hindi'!D87</f>
        <v>172</v>
      </c>
      <c r="Q84" s="81">
        <v>3</v>
      </c>
      <c r="R84" s="81"/>
      <c r="S84" s="81">
        <f>'Praroop-20 hindi'!E87</f>
        <v>250</v>
      </c>
      <c r="T84" s="81">
        <v>4</v>
      </c>
      <c r="U84" s="81"/>
      <c r="V84" s="81">
        <f>'Praroop-20 hindi'!F87</f>
        <v>4</v>
      </c>
      <c r="W84" s="81">
        <v>5</v>
      </c>
      <c r="X84" s="81"/>
      <c r="Y84" s="81">
        <f>'Praroop-20 hindi'!G87</f>
        <v>0</v>
      </c>
      <c r="Z84" s="81">
        <v>6</v>
      </c>
      <c r="AA84" s="81"/>
      <c r="AB84" s="81">
        <f>'Praroop-20 hindi'!H87</f>
        <v>0</v>
      </c>
      <c r="AC84" s="81">
        <v>7</v>
      </c>
      <c r="AD84" s="81"/>
      <c r="AE84" s="81">
        <f>'Praroop-20 hindi'!I87</f>
        <v>0</v>
      </c>
      <c r="AF84" s="81">
        <v>8</v>
      </c>
      <c r="AG84" s="81"/>
      <c r="AH84" s="81">
        <f>'Praroop-20 hindi'!J87</f>
        <v>1</v>
      </c>
      <c r="AI84" s="81">
        <v>9</v>
      </c>
      <c r="AJ84" s="81"/>
      <c r="AK84" s="81">
        <f>'Praroop-20 hindi'!K87</f>
        <v>1</v>
      </c>
      <c r="AL84" s="81">
        <v>10</v>
      </c>
      <c r="AM84" s="81"/>
      <c r="AN84" s="81">
        <f>'Praroop-20 hindi'!L87</f>
        <v>1</v>
      </c>
      <c r="AO84" s="81">
        <v>11</v>
      </c>
      <c r="AP84" s="81"/>
      <c r="AQ84" s="81">
        <f>'Praroop-20 hindi'!M87</f>
        <v>1</v>
      </c>
      <c r="AR84" s="81">
        <f t="shared" si="3"/>
        <v>539</v>
      </c>
    </row>
    <row r="85" spans="1:44" ht="38.25">
      <c r="A85" s="81">
        <v>64</v>
      </c>
      <c r="B85" s="41">
        <v>79</v>
      </c>
      <c r="C85" s="113" t="s">
        <v>204</v>
      </c>
      <c r="D85" s="117">
        <v>1085</v>
      </c>
      <c r="E85" s="110">
        <v>335</v>
      </c>
      <c r="F85" s="110">
        <v>298</v>
      </c>
      <c r="G85" s="110">
        <v>0</v>
      </c>
      <c r="H85" s="111">
        <f t="shared" si="2"/>
        <v>633</v>
      </c>
      <c r="I85" s="112">
        <v>563</v>
      </c>
      <c r="J85" s="110">
        <v>0</v>
      </c>
      <c r="K85" s="110">
        <v>1</v>
      </c>
      <c r="L85" s="81"/>
      <c r="M85" s="81">
        <f>'Praroop-20 hindi'!C88</f>
        <v>70</v>
      </c>
      <c r="N85" s="81">
        <v>2</v>
      </c>
      <c r="O85" s="81"/>
      <c r="P85" s="81">
        <f>'Praroop-20 hindi'!D88</f>
        <v>238</v>
      </c>
      <c r="Q85" s="81">
        <v>3</v>
      </c>
      <c r="R85" s="81"/>
      <c r="S85" s="81">
        <f>'Praroop-20 hindi'!E88</f>
        <v>286</v>
      </c>
      <c r="T85" s="81">
        <v>4</v>
      </c>
      <c r="U85" s="81"/>
      <c r="V85" s="81">
        <f>'Praroop-20 hindi'!F88</f>
        <v>4</v>
      </c>
      <c r="W85" s="81">
        <v>5</v>
      </c>
      <c r="X85" s="81"/>
      <c r="Y85" s="81">
        <f>'Praroop-20 hindi'!G88</f>
        <v>0</v>
      </c>
      <c r="Z85" s="81">
        <v>6</v>
      </c>
      <c r="AA85" s="81"/>
      <c r="AB85" s="81">
        <f>'Praroop-20 hindi'!H88</f>
        <v>1</v>
      </c>
      <c r="AC85" s="81">
        <v>7</v>
      </c>
      <c r="AD85" s="81"/>
      <c r="AE85" s="81">
        <f>'Praroop-20 hindi'!I88</f>
        <v>2</v>
      </c>
      <c r="AF85" s="81">
        <v>8</v>
      </c>
      <c r="AG85" s="81"/>
      <c r="AH85" s="81">
        <f>'Praroop-20 hindi'!J88</f>
        <v>0</v>
      </c>
      <c r="AI85" s="81">
        <v>9</v>
      </c>
      <c r="AJ85" s="81"/>
      <c r="AK85" s="81">
        <f>'Praroop-20 hindi'!K88</f>
        <v>22</v>
      </c>
      <c r="AL85" s="81">
        <v>10</v>
      </c>
      <c r="AM85" s="81"/>
      <c r="AN85" s="81">
        <f>'Praroop-20 hindi'!L88</f>
        <v>9</v>
      </c>
      <c r="AO85" s="81">
        <v>11</v>
      </c>
      <c r="AP85" s="81"/>
      <c r="AQ85" s="81">
        <f>'Praroop-20 hindi'!M88</f>
        <v>0</v>
      </c>
      <c r="AR85" s="81">
        <f t="shared" si="3"/>
        <v>632</v>
      </c>
    </row>
    <row r="86" spans="1:44" ht="38.25">
      <c r="A86" s="81">
        <v>64</v>
      </c>
      <c r="B86" s="41">
        <v>80</v>
      </c>
      <c r="C86" s="113" t="s">
        <v>205</v>
      </c>
      <c r="D86" s="117">
        <v>962</v>
      </c>
      <c r="E86" s="110">
        <v>334</v>
      </c>
      <c r="F86" s="110">
        <v>270</v>
      </c>
      <c r="G86" s="110">
        <v>0</v>
      </c>
      <c r="H86" s="111">
        <f t="shared" si="2"/>
        <v>604</v>
      </c>
      <c r="I86" s="112">
        <v>543</v>
      </c>
      <c r="J86" s="110">
        <v>0</v>
      </c>
      <c r="K86" s="110">
        <v>1</v>
      </c>
      <c r="L86" s="81"/>
      <c r="M86" s="81">
        <f>'Praroop-20 hindi'!C89</f>
        <v>40</v>
      </c>
      <c r="N86" s="81">
        <v>2</v>
      </c>
      <c r="O86" s="81"/>
      <c r="P86" s="81">
        <f>'Praroop-20 hindi'!D89</f>
        <v>394</v>
      </c>
      <c r="Q86" s="81">
        <v>3</v>
      </c>
      <c r="R86" s="81"/>
      <c r="S86" s="81">
        <f>'Praroop-20 hindi'!E89</f>
        <v>139</v>
      </c>
      <c r="T86" s="81">
        <v>4</v>
      </c>
      <c r="U86" s="81"/>
      <c r="V86" s="81">
        <f>'Praroop-20 hindi'!F89</f>
        <v>3</v>
      </c>
      <c r="W86" s="81">
        <v>5</v>
      </c>
      <c r="X86" s="81"/>
      <c r="Y86" s="81">
        <f>'Praroop-20 hindi'!G89</f>
        <v>0</v>
      </c>
      <c r="Z86" s="81">
        <v>6</v>
      </c>
      <c r="AA86" s="81"/>
      <c r="AB86" s="81">
        <f>'Praroop-20 hindi'!H89</f>
        <v>0</v>
      </c>
      <c r="AC86" s="81">
        <v>7</v>
      </c>
      <c r="AD86" s="81"/>
      <c r="AE86" s="81">
        <f>'Praroop-20 hindi'!I89</f>
        <v>1</v>
      </c>
      <c r="AF86" s="81">
        <v>8</v>
      </c>
      <c r="AG86" s="81"/>
      <c r="AH86" s="81">
        <f>'Praroop-20 hindi'!J89</f>
        <v>0</v>
      </c>
      <c r="AI86" s="81">
        <v>9</v>
      </c>
      <c r="AJ86" s="81"/>
      <c r="AK86" s="81">
        <f>'Praroop-20 hindi'!K89</f>
        <v>16</v>
      </c>
      <c r="AL86" s="81">
        <v>10</v>
      </c>
      <c r="AM86" s="81"/>
      <c r="AN86" s="81">
        <f>'Praroop-20 hindi'!L89</f>
        <v>5</v>
      </c>
      <c r="AO86" s="81">
        <v>11</v>
      </c>
      <c r="AP86" s="81"/>
      <c r="AQ86" s="81">
        <f>'Praroop-20 hindi'!M89</f>
        <v>0</v>
      </c>
      <c r="AR86" s="81">
        <f t="shared" si="3"/>
        <v>598</v>
      </c>
    </row>
    <row r="87" spans="1:44" ht="38.25">
      <c r="A87" s="81">
        <v>64</v>
      </c>
      <c r="B87" s="41">
        <v>81</v>
      </c>
      <c r="C87" s="113" t="s">
        <v>206</v>
      </c>
      <c r="D87" s="117">
        <v>886</v>
      </c>
      <c r="E87" s="110">
        <v>264</v>
      </c>
      <c r="F87" s="110">
        <v>221</v>
      </c>
      <c r="G87" s="110">
        <v>0</v>
      </c>
      <c r="H87" s="111">
        <f t="shared" si="2"/>
        <v>485</v>
      </c>
      <c r="I87" s="112">
        <v>450</v>
      </c>
      <c r="J87" s="110">
        <v>0</v>
      </c>
      <c r="K87" s="110">
        <v>1</v>
      </c>
      <c r="L87" s="81"/>
      <c r="M87" s="81">
        <f>'Praroop-20 hindi'!C90</f>
        <v>50</v>
      </c>
      <c r="N87" s="81">
        <v>2</v>
      </c>
      <c r="O87" s="81"/>
      <c r="P87" s="81">
        <f>'Praroop-20 hindi'!D90</f>
        <v>323</v>
      </c>
      <c r="Q87" s="81">
        <v>3</v>
      </c>
      <c r="R87" s="81"/>
      <c r="S87" s="81">
        <f>'Praroop-20 hindi'!E90</f>
        <v>83</v>
      </c>
      <c r="T87" s="81">
        <v>4</v>
      </c>
      <c r="U87" s="81"/>
      <c r="V87" s="81">
        <f>'Praroop-20 hindi'!F90</f>
        <v>9</v>
      </c>
      <c r="W87" s="81">
        <v>5</v>
      </c>
      <c r="X87" s="81"/>
      <c r="Y87" s="81">
        <f>'Praroop-20 hindi'!G90</f>
        <v>0</v>
      </c>
      <c r="Z87" s="81">
        <v>6</v>
      </c>
      <c r="AA87" s="81"/>
      <c r="AB87" s="81">
        <f>'Praroop-20 hindi'!H90</f>
        <v>1</v>
      </c>
      <c r="AC87" s="81">
        <v>7</v>
      </c>
      <c r="AD87" s="81"/>
      <c r="AE87" s="81">
        <f>'Praroop-20 hindi'!I90</f>
        <v>0</v>
      </c>
      <c r="AF87" s="81">
        <v>8</v>
      </c>
      <c r="AG87" s="81"/>
      <c r="AH87" s="81">
        <f>'Praroop-20 hindi'!J90</f>
        <v>0</v>
      </c>
      <c r="AI87" s="81">
        <v>9</v>
      </c>
      <c r="AJ87" s="81"/>
      <c r="AK87" s="81">
        <f>'Praroop-20 hindi'!K90</f>
        <v>15</v>
      </c>
      <c r="AL87" s="81">
        <v>10</v>
      </c>
      <c r="AM87" s="81"/>
      <c r="AN87" s="81">
        <f>'Praroop-20 hindi'!L90</f>
        <v>1</v>
      </c>
      <c r="AO87" s="81">
        <v>11</v>
      </c>
      <c r="AP87" s="81"/>
      <c r="AQ87" s="81">
        <f>'Praroop-20 hindi'!M90</f>
        <v>1</v>
      </c>
      <c r="AR87" s="81">
        <f t="shared" si="3"/>
        <v>483</v>
      </c>
    </row>
    <row r="88" spans="1:44" ht="38.25">
      <c r="A88" s="81">
        <v>64</v>
      </c>
      <c r="B88" s="41">
        <v>82</v>
      </c>
      <c r="C88" s="113" t="s">
        <v>207</v>
      </c>
      <c r="D88" s="117">
        <v>756</v>
      </c>
      <c r="E88" s="110">
        <v>193</v>
      </c>
      <c r="F88" s="110">
        <v>165</v>
      </c>
      <c r="G88" s="110">
        <v>0</v>
      </c>
      <c r="H88" s="111">
        <f t="shared" si="2"/>
        <v>358</v>
      </c>
      <c r="I88" s="112">
        <v>358</v>
      </c>
      <c r="J88" s="110">
        <v>0</v>
      </c>
      <c r="K88" s="110">
        <v>1</v>
      </c>
      <c r="L88" s="81"/>
      <c r="M88" s="81">
        <f>'Praroop-20 hindi'!C91</f>
        <v>8</v>
      </c>
      <c r="N88" s="81">
        <v>2</v>
      </c>
      <c r="O88" s="81"/>
      <c r="P88" s="81">
        <f>'Praroop-20 hindi'!D91</f>
        <v>146</v>
      </c>
      <c r="Q88" s="81">
        <v>3</v>
      </c>
      <c r="R88" s="81"/>
      <c r="S88" s="81">
        <f>'Praroop-20 hindi'!E91</f>
        <v>190</v>
      </c>
      <c r="T88" s="81">
        <v>4</v>
      </c>
      <c r="U88" s="81"/>
      <c r="V88" s="81">
        <f>'Praroop-20 hindi'!F91</f>
        <v>7</v>
      </c>
      <c r="W88" s="81">
        <v>5</v>
      </c>
      <c r="X88" s="81"/>
      <c r="Y88" s="81">
        <f>'Praroop-20 hindi'!G91</f>
        <v>0</v>
      </c>
      <c r="Z88" s="81">
        <v>6</v>
      </c>
      <c r="AA88" s="81"/>
      <c r="AB88" s="81">
        <f>'Praroop-20 hindi'!H91</f>
        <v>1</v>
      </c>
      <c r="AC88" s="81">
        <v>7</v>
      </c>
      <c r="AD88" s="81"/>
      <c r="AE88" s="81">
        <f>'Praroop-20 hindi'!I91</f>
        <v>0</v>
      </c>
      <c r="AF88" s="81">
        <v>8</v>
      </c>
      <c r="AG88" s="81"/>
      <c r="AH88" s="81">
        <f>'Praroop-20 hindi'!J91</f>
        <v>0</v>
      </c>
      <c r="AI88" s="81">
        <v>9</v>
      </c>
      <c r="AJ88" s="81"/>
      <c r="AK88" s="81">
        <f>'Praroop-20 hindi'!K91</f>
        <v>4</v>
      </c>
      <c r="AL88" s="81">
        <v>10</v>
      </c>
      <c r="AM88" s="81"/>
      <c r="AN88" s="81">
        <f>'Praroop-20 hindi'!L91</f>
        <v>1</v>
      </c>
      <c r="AO88" s="81">
        <v>11</v>
      </c>
      <c r="AP88" s="81"/>
      <c r="AQ88" s="81">
        <f>'Praroop-20 hindi'!M91</f>
        <v>0</v>
      </c>
      <c r="AR88" s="81">
        <f t="shared" si="3"/>
        <v>357</v>
      </c>
    </row>
    <row r="89" spans="1:44" ht="38.25">
      <c r="A89" s="81">
        <v>64</v>
      </c>
      <c r="B89" s="41">
        <v>83</v>
      </c>
      <c r="C89" s="113" t="s">
        <v>208</v>
      </c>
      <c r="D89" s="117">
        <v>782</v>
      </c>
      <c r="E89" s="110">
        <v>240</v>
      </c>
      <c r="F89" s="110">
        <v>213</v>
      </c>
      <c r="G89" s="110">
        <v>0</v>
      </c>
      <c r="H89" s="111">
        <f t="shared" si="2"/>
        <v>453</v>
      </c>
      <c r="I89" s="112">
        <v>453</v>
      </c>
      <c r="J89" s="110">
        <v>0</v>
      </c>
      <c r="K89" s="110">
        <v>1</v>
      </c>
      <c r="L89" s="81"/>
      <c r="M89" s="81">
        <f>'Praroop-20 hindi'!C92</f>
        <v>14</v>
      </c>
      <c r="N89" s="81">
        <v>2</v>
      </c>
      <c r="O89" s="81"/>
      <c r="P89" s="81">
        <f>'Praroop-20 hindi'!D92</f>
        <v>62</v>
      </c>
      <c r="Q89" s="81">
        <v>3</v>
      </c>
      <c r="R89" s="81"/>
      <c r="S89" s="81">
        <f>'Praroop-20 hindi'!E92</f>
        <v>369</v>
      </c>
      <c r="T89" s="81">
        <v>4</v>
      </c>
      <c r="U89" s="81"/>
      <c r="V89" s="81">
        <f>'Praroop-20 hindi'!F92</f>
        <v>4</v>
      </c>
      <c r="W89" s="81">
        <v>5</v>
      </c>
      <c r="X89" s="81"/>
      <c r="Y89" s="81">
        <f>'Praroop-20 hindi'!G92</f>
        <v>0</v>
      </c>
      <c r="Z89" s="81">
        <v>6</v>
      </c>
      <c r="AA89" s="81"/>
      <c r="AB89" s="81">
        <f>'Praroop-20 hindi'!H92</f>
        <v>0</v>
      </c>
      <c r="AC89" s="81">
        <v>7</v>
      </c>
      <c r="AD89" s="81"/>
      <c r="AE89" s="81">
        <f>'Praroop-20 hindi'!I92</f>
        <v>0</v>
      </c>
      <c r="AF89" s="81">
        <v>8</v>
      </c>
      <c r="AG89" s="81"/>
      <c r="AH89" s="81">
        <f>'Praroop-20 hindi'!J92</f>
        <v>2</v>
      </c>
      <c r="AI89" s="81">
        <v>9</v>
      </c>
      <c r="AJ89" s="81"/>
      <c r="AK89" s="81">
        <f>'Praroop-20 hindi'!K92</f>
        <v>0</v>
      </c>
      <c r="AL89" s="81">
        <v>10</v>
      </c>
      <c r="AM89" s="81"/>
      <c r="AN89" s="81">
        <f>'Praroop-20 hindi'!L92</f>
        <v>0</v>
      </c>
      <c r="AO89" s="81">
        <v>11</v>
      </c>
      <c r="AP89" s="81"/>
      <c r="AQ89" s="81">
        <f>'Praroop-20 hindi'!M92</f>
        <v>1</v>
      </c>
      <c r="AR89" s="81">
        <f t="shared" si="3"/>
        <v>452</v>
      </c>
    </row>
    <row r="90" spans="1:44" ht="38.25">
      <c r="A90" s="81">
        <v>64</v>
      </c>
      <c r="B90" s="41">
        <v>84</v>
      </c>
      <c r="C90" s="113" t="s">
        <v>209</v>
      </c>
      <c r="D90" s="117">
        <v>1083</v>
      </c>
      <c r="E90" s="110">
        <v>371</v>
      </c>
      <c r="F90" s="110">
        <v>315</v>
      </c>
      <c r="G90" s="110">
        <v>0</v>
      </c>
      <c r="H90" s="111">
        <f t="shared" si="2"/>
        <v>686</v>
      </c>
      <c r="I90" s="112">
        <v>686</v>
      </c>
      <c r="J90" s="110">
        <v>0</v>
      </c>
      <c r="K90" s="110">
        <v>1</v>
      </c>
      <c r="L90" s="81"/>
      <c r="M90" s="81">
        <f>'Praroop-20 hindi'!C93</f>
        <v>495</v>
      </c>
      <c r="N90" s="81">
        <v>2</v>
      </c>
      <c r="O90" s="81"/>
      <c r="P90" s="81">
        <f>'Praroop-20 hindi'!D93</f>
        <v>14</v>
      </c>
      <c r="Q90" s="81">
        <v>3</v>
      </c>
      <c r="R90" s="81"/>
      <c r="S90" s="81">
        <f>'Praroop-20 hindi'!E93</f>
        <v>159</v>
      </c>
      <c r="T90" s="81">
        <v>4</v>
      </c>
      <c r="U90" s="81"/>
      <c r="V90" s="81">
        <f>'Praroop-20 hindi'!F93</f>
        <v>2</v>
      </c>
      <c r="W90" s="81">
        <v>5</v>
      </c>
      <c r="X90" s="81"/>
      <c r="Y90" s="81">
        <f>'Praroop-20 hindi'!G93</f>
        <v>1</v>
      </c>
      <c r="Z90" s="81">
        <v>6</v>
      </c>
      <c r="AA90" s="81"/>
      <c r="AB90" s="81">
        <f>'Praroop-20 hindi'!H93</f>
        <v>0</v>
      </c>
      <c r="AC90" s="81">
        <v>7</v>
      </c>
      <c r="AD90" s="81"/>
      <c r="AE90" s="81">
        <f>'Praroop-20 hindi'!I93</f>
        <v>0</v>
      </c>
      <c r="AF90" s="81">
        <v>8</v>
      </c>
      <c r="AG90" s="81"/>
      <c r="AH90" s="81">
        <f>'Praroop-20 hindi'!J93</f>
        <v>4</v>
      </c>
      <c r="AI90" s="81">
        <v>9</v>
      </c>
      <c r="AJ90" s="81"/>
      <c r="AK90" s="81">
        <f>'Praroop-20 hindi'!K93</f>
        <v>1</v>
      </c>
      <c r="AL90" s="81">
        <v>10</v>
      </c>
      <c r="AM90" s="81"/>
      <c r="AN90" s="81">
        <f>'Praroop-20 hindi'!L93</f>
        <v>2</v>
      </c>
      <c r="AO90" s="81">
        <v>11</v>
      </c>
      <c r="AP90" s="81"/>
      <c r="AQ90" s="81">
        <f>'Praroop-20 hindi'!M93</f>
        <v>1</v>
      </c>
      <c r="AR90" s="81">
        <f t="shared" si="3"/>
        <v>679</v>
      </c>
    </row>
    <row r="91" spans="1:44" ht="38.25">
      <c r="A91" s="81">
        <v>64</v>
      </c>
      <c r="B91" s="41">
        <v>85</v>
      </c>
      <c r="C91" s="113" t="s">
        <v>210</v>
      </c>
      <c r="D91" s="117">
        <v>889</v>
      </c>
      <c r="E91" s="110">
        <v>322</v>
      </c>
      <c r="F91" s="110">
        <v>278</v>
      </c>
      <c r="G91" s="110">
        <v>0</v>
      </c>
      <c r="H91" s="111">
        <f t="shared" si="2"/>
        <v>600</v>
      </c>
      <c r="I91" s="112">
        <v>600</v>
      </c>
      <c r="J91" s="110">
        <v>0</v>
      </c>
      <c r="K91" s="110">
        <v>1</v>
      </c>
      <c r="L91" s="81"/>
      <c r="M91" s="81">
        <f>'Praroop-20 hindi'!C94</f>
        <v>284</v>
      </c>
      <c r="N91" s="81">
        <v>2</v>
      </c>
      <c r="O91" s="81"/>
      <c r="P91" s="81">
        <f>'Praroop-20 hindi'!D94</f>
        <v>230</v>
      </c>
      <c r="Q91" s="81">
        <v>3</v>
      </c>
      <c r="R91" s="81"/>
      <c r="S91" s="81">
        <f>'Praroop-20 hindi'!E94</f>
        <v>66</v>
      </c>
      <c r="T91" s="81">
        <v>4</v>
      </c>
      <c r="U91" s="81"/>
      <c r="V91" s="81">
        <f>'Praroop-20 hindi'!F94</f>
        <v>6</v>
      </c>
      <c r="W91" s="81">
        <v>5</v>
      </c>
      <c r="X91" s="81"/>
      <c r="Y91" s="81">
        <f>'Praroop-20 hindi'!G94</f>
        <v>0</v>
      </c>
      <c r="Z91" s="81">
        <v>6</v>
      </c>
      <c r="AA91" s="81"/>
      <c r="AB91" s="81">
        <f>'Praroop-20 hindi'!H94</f>
        <v>1</v>
      </c>
      <c r="AC91" s="81">
        <v>7</v>
      </c>
      <c r="AD91" s="81"/>
      <c r="AE91" s="81">
        <f>'Praroop-20 hindi'!I94</f>
        <v>0</v>
      </c>
      <c r="AF91" s="81">
        <v>8</v>
      </c>
      <c r="AG91" s="81"/>
      <c r="AH91" s="81">
        <f>'Praroop-20 hindi'!J94</f>
        <v>0</v>
      </c>
      <c r="AI91" s="81">
        <v>9</v>
      </c>
      <c r="AJ91" s="81"/>
      <c r="AK91" s="81">
        <f>'Praroop-20 hindi'!K94</f>
        <v>6</v>
      </c>
      <c r="AL91" s="81">
        <v>10</v>
      </c>
      <c r="AM91" s="81"/>
      <c r="AN91" s="81">
        <f>'Praroop-20 hindi'!L94</f>
        <v>3</v>
      </c>
      <c r="AO91" s="81">
        <v>11</v>
      </c>
      <c r="AP91" s="81"/>
      <c r="AQ91" s="81">
        <f>'Praroop-20 hindi'!M94</f>
        <v>0</v>
      </c>
      <c r="AR91" s="81">
        <f t="shared" si="3"/>
        <v>596</v>
      </c>
    </row>
    <row r="92" spans="1:44" ht="38.25">
      <c r="A92" s="81">
        <v>64</v>
      </c>
      <c r="B92" s="41">
        <v>86</v>
      </c>
      <c r="C92" s="113" t="s">
        <v>211</v>
      </c>
      <c r="D92" s="117">
        <v>978</v>
      </c>
      <c r="E92" s="110">
        <v>319</v>
      </c>
      <c r="F92" s="110">
        <v>285</v>
      </c>
      <c r="G92" s="110">
        <v>0</v>
      </c>
      <c r="H92" s="111">
        <f t="shared" si="2"/>
        <v>604</v>
      </c>
      <c r="I92" s="112">
        <v>546</v>
      </c>
      <c r="J92" s="110">
        <v>0</v>
      </c>
      <c r="K92" s="110">
        <v>1</v>
      </c>
      <c r="L92" s="81"/>
      <c r="M92" s="81">
        <f>'Praroop-20 hindi'!C95</f>
        <v>101</v>
      </c>
      <c r="N92" s="81">
        <v>2</v>
      </c>
      <c r="O92" s="81"/>
      <c r="P92" s="81">
        <f>'Praroop-20 hindi'!D95</f>
        <v>399</v>
      </c>
      <c r="Q92" s="81">
        <v>3</v>
      </c>
      <c r="R92" s="81"/>
      <c r="S92" s="81">
        <f>'Praroop-20 hindi'!E95</f>
        <v>95</v>
      </c>
      <c r="T92" s="81">
        <v>4</v>
      </c>
      <c r="U92" s="81"/>
      <c r="V92" s="81">
        <f>'Praroop-20 hindi'!F95</f>
        <v>4</v>
      </c>
      <c r="W92" s="81">
        <v>5</v>
      </c>
      <c r="X92" s="81"/>
      <c r="Y92" s="81">
        <f>'Praroop-20 hindi'!G95</f>
        <v>0</v>
      </c>
      <c r="Z92" s="81">
        <v>6</v>
      </c>
      <c r="AA92" s="81"/>
      <c r="AB92" s="81">
        <f>'Praroop-20 hindi'!H95</f>
        <v>0</v>
      </c>
      <c r="AC92" s="81">
        <v>7</v>
      </c>
      <c r="AD92" s="81"/>
      <c r="AE92" s="81">
        <f>'Praroop-20 hindi'!I95</f>
        <v>0</v>
      </c>
      <c r="AF92" s="81">
        <v>8</v>
      </c>
      <c r="AG92" s="81"/>
      <c r="AH92" s="81">
        <f>'Praroop-20 hindi'!J95</f>
        <v>0</v>
      </c>
      <c r="AI92" s="81">
        <v>9</v>
      </c>
      <c r="AJ92" s="81"/>
      <c r="AK92" s="81">
        <f>'Praroop-20 hindi'!K95</f>
        <v>1</v>
      </c>
      <c r="AL92" s="81">
        <v>10</v>
      </c>
      <c r="AM92" s="81"/>
      <c r="AN92" s="81">
        <f>'Praroop-20 hindi'!L95</f>
        <v>1</v>
      </c>
      <c r="AO92" s="81">
        <v>11</v>
      </c>
      <c r="AP92" s="81"/>
      <c r="AQ92" s="81">
        <f>'Praroop-20 hindi'!M95</f>
        <v>2</v>
      </c>
      <c r="AR92" s="81">
        <f t="shared" si="3"/>
        <v>603</v>
      </c>
    </row>
    <row r="93" spans="1:44" ht="38.25">
      <c r="A93" s="81">
        <v>64</v>
      </c>
      <c r="B93" s="41">
        <v>87</v>
      </c>
      <c r="C93" s="113" t="s">
        <v>212</v>
      </c>
      <c r="D93" s="117">
        <v>917</v>
      </c>
      <c r="E93" s="110">
        <v>305</v>
      </c>
      <c r="F93" s="110">
        <v>258</v>
      </c>
      <c r="G93" s="110">
        <v>0</v>
      </c>
      <c r="H93" s="111">
        <f t="shared" si="2"/>
        <v>563</v>
      </c>
      <c r="I93" s="112">
        <v>533</v>
      </c>
      <c r="J93" s="110">
        <v>0</v>
      </c>
      <c r="K93" s="110">
        <v>1</v>
      </c>
      <c r="L93" s="81"/>
      <c r="M93" s="81">
        <f>'Praroop-20 hindi'!C96</f>
        <v>1</v>
      </c>
      <c r="N93" s="81">
        <v>2</v>
      </c>
      <c r="O93" s="81"/>
      <c r="P93" s="81">
        <f>'Praroop-20 hindi'!D96</f>
        <v>486</v>
      </c>
      <c r="Q93" s="81">
        <v>3</v>
      </c>
      <c r="R93" s="81"/>
      <c r="S93" s="81">
        <f>'Praroop-20 hindi'!E96</f>
        <v>62</v>
      </c>
      <c r="T93" s="81">
        <v>4</v>
      </c>
      <c r="U93" s="81"/>
      <c r="V93" s="81">
        <f>'Praroop-20 hindi'!F96</f>
        <v>2</v>
      </c>
      <c r="W93" s="81">
        <v>5</v>
      </c>
      <c r="X93" s="81"/>
      <c r="Y93" s="81">
        <f>'Praroop-20 hindi'!G96</f>
        <v>0</v>
      </c>
      <c r="Z93" s="81">
        <v>6</v>
      </c>
      <c r="AA93" s="81"/>
      <c r="AB93" s="81">
        <f>'Praroop-20 hindi'!H96</f>
        <v>0</v>
      </c>
      <c r="AC93" s="81">
        <v>7</v>
      </c>
      <c r="AD93" s="81"/>
      <c r="AE93" s="81">
        <f>'Praroop-20 hindi'!I96</f>
        <v>0</v>
      </c>
      <c r="AF93" s="81">
        <v>8</v>
      </c>
      <c r="AG93" s="81"/>
      <c r="AH93" s="81">
        <f>'Praroop-20 hindi'!J96</f>
        <v>1</v>
      </c>
      <c r="AI93" s="81">
        <v>9</v>
      </c>
      <c r="AJ93" s="81"/>
      <c r="AK93" s="81">
        <f>'Praroop-20 hindi'!K96</f>
        <v>5</v>
      </c>
      <c r="AL93" s="81">
        <v>10</v>
      </c>
      <c r="AM93" s="81"/>
      <c r="AN93" s="81">
        <f>'Praroop-20 hindi'!L96</f>
        <v>1</v>
      </c>
      <c r="AO93" s="81">
        <v>11</v>
      </c>
      <c r="AP93" s="81"/>
      <c r="AQ93" s="81">
        <f>'Praroop-20 hindi'!M96</f>
        <v>4</v>
      </c>
      <c r="AR93" s="81">
        <f t="shared" si="3"/>
        <v>562</v>
      </c>
    </row>
    <row r="94" spans="1:44" ht="38.25">
      <c r="A94" s="81">
        <v>64</v>
      </c>
      <c r="B94" s="41">
        <v>88</v>
      </c>
      <c r="C94" s="113" t="s">
        <v>213</v>
      </c>
      <c r="D94" s="117">
        <v>860</v>
      </c>
      <c r="E94" s="110">
        <v>281</v>
      </c>
      <c r="F94" s="110">
        <v>231</v>
      </c>
      <c r="G94" s="110">
        <v>0</v>
      </c>
      <c r="H94" s="111">
        <f t="shared" si="2"/>
        <v>512</v>
      </c>
      <c r="I94" s="112">
        <v>512</v>
      </c>
      <c r="J94" s="110">
        <v>0</v>
      </c>
      <c r="K94" s="110">
        <v>1</v>
      </c>
      <c r="L94" s="81"/>
      <c r="M94" s="81">
        <f>'Praroop-20 hindi'!C97</f>
        <v>2</v>
      </c>
      <c r="N94" s="81">
        <v>2</v>
      </c>
      <c r="O94" s="81"/>
      <c r="P94" s="81">
        <f>'Praroop-20 hindi'!D97</f>
        <v>409</v>
      </c>
      <c r="Q94" s="81">
        <v>3</v>
      </c>
      <c r="R94" s="81"/>
      <c r="S94" s="81">
        <f>'Praroop-20 hindi'!E97</f>
        <v>70</v>
      </c>
      <c r="T94" s="81">
        <v>4</v>
      </c>
      <c r="U94" s="81"/>
      <c r="V94" s="81">
        <f>'Praroop-20 hindi'!F97</f>
        <v>9</v>
      </c>
      <c r="W94" s="81">
        <v>5</v>
      </c>
      <c r="X94" s="81"/>
      <c r="Y94" s="81">
        <f>'Praroop-20 hindi'!G97</f>
        <v>1</v>
      </c>
      <c r="Z94" s="81">
        <v>6</v>
      </c>
      <c r="AA94" s="81"/>
      <c r="AB94" s="81">
        <f>'Praroop-20 hindi'!H97</f>
        <v>1</v>
      </c>
      <c r="AC94" s="81">
        <v>7</v>
      </c>
      <c r="AD94" s="81"/>
      <c r="AE94" s="81">
        <f>'Praroop-20 hindi'!I97</f>
        <v>2</v>
      </c>
      <c r="AF94" s="81">
        <v>8</v>
      </c>
      <c r="AG94" s="81"/>
      <c r="AH94" s="81">
        <f>'Praroop-20 hindi'!J97</f>
        <v>1</v>
      </c>
      <c r="AI94" s="81">
        <v>9</v>
      </c>
      <c r="AJ94" s="81"/>
      <c r="AK94" s="81">
        <f>'Praroop-20 hindi'!K97</f>
        <v>10</v>
      </c>
      <c r="AL94" s="81">
        <v>10</v>
      </c>
      <c r="AM94" s="81"/>
      <c r="AN94" s="81">
        <f>'Praroop-20 hindi'!L97</f>
        <v>2</v>
      </c>
      <c r="AO94" s="81">
        <v>11</v>
      </c>
      <c r="AP94" s="81"/>
      <c r="AQ94" s="81">
        <f>'Praroop-20 hindi'!M97</f>
        <v>2</v>
      </c>
      <c r="AR94" s="81">
        <f t="shared" si="3"/>
        <v>509</v>
      </c>
    </row>
    <row r="95" spans="1:44" ht="38.25">
      <c r="A95" s="81">
        <v>64</v>
      </c>
      <c r="B95" s="41">
        <v>89</v>
      </c>
      <c r="C95" s="113" t="s">
        <v>214</v>
      </c>
      <c r="D95" s="117">
        <v>802</v>
      </c>
      <c r="E95" s="110">
        <v>278</v>
      </c>
      <c r="F95" s="110">
        <v>228</v>
      </c>
      <c r="G95" s="110">
        <v>0</v>
      </c>
      <c r="H95" s="111">
        <f t="shared" si="2"/>
        <v>506</v>
      </c>
      <c r="I95" s="112">
        <v>506</v>
      </c>
      <c r="J95" s="110">
        <v>0</v>
      </c>
      <c r="K95" s="110">
        <v>1</v>
      </c>
      <c r="L95" s="81"/>
      <c r="M95" s="81">
        <f>'Praroop-20 hindi'!C98</f>
        <v>2</v>
      </c>
      <c r="N95" s="81">
        <v>2</v>
      </c>
      <c r="O95" s="81"/>
      <c r="P95" s="81">
        <f>'Praroop-20 hindi'!D98</f>
        <v>466</v>
      </c>
      <c r="Q95" s="81">
        <v>3</v>
      </c>
      <c r="R95" s="81"/>
      <c r="S95" s="81">
        <f>'Praroop-20 hindi'!E98</f>
        <v>22</v>
      </c>
      <c r="T95" s="81">
        <v>4</v>
      </c>
      <c r="U95" s="81"/>
      <c r="V95" s="81">
        <f>'Praroop-20 hindi'!F98</f>
        <v>6</v>
      </c>
      <c r="W95" s="81">
        <v>5</v>
      </c>
      <c r="X95" s="81"/>
      <c r="Y95" s="81">
        <f>'Praroop-20 hindi'!G98</f>
        <v>0</v>
      </c>
      <c r="Z95" s="81">
        <v>6</v>
      </c>
      <c r="AA95" s="81"/>
      <c r="AB95" s="81">
        <f>'Praroop-20 hindi'!H98</f>
        <v>0</v>
      </c>
      <c r="AC95" s="81">
        <v>7</v>
      </c>
      <c r="AD95" s="81"/>
      <c r="AE95" s="81">
        <f>'Praroop-20 hindi'!I98</f>
        <v>1</v>
      </c>
      <c r="AF95" s="81">
        <v>8</v>
      </c>
      <c r="AG95" s="81"/>
      <c r="AH95" s="81">
        <f>'Praroop-20 hindi'!J98</f>
        <v>0</v>
      </c>
      <c r="AI95" s="81">
        <v>9</v>
      </c>
      <c r="AJ95" s="81"/>
      <c r="AK95" s="81">
        <f>'Praroop-20 hindi'!K98</f>
        <v>2</v>
      </c>
      <c r="AL95" s="81">
        <v>10</v>
      </c>
      <c r="AM95" s="81"/>
      <c r="AN95" s="81">
        <f>'Praroop-20 hindi'!L98</f>
        <v>5</v>
      </c>
      <c r="AO95" s="81">
        <v>11</v>
      </c>
      <c r="AP95" s="81"/>
      <c r="AQ95" s="81">
        <f>'Praroop-20 hindi'!M98</f>
        <v>0</v>
      </c>
      <c r="AR95" s="81">
        <f t="shared" si="3"/>
        <v>504</v>
      </c>
    </row>
    <row r="96" spans="1:44" ht="38.25">
      <c r="A96" s="81">
        <v>64</v>
      </c>
      <c r="B96" s="41">
        <v>90</v>
      </c>
      <c r="C96" s="113" t="s">
        <v>215</v>
      </c>
      <c r="D96" s="117">
        <v>918</v>
      </c>
      <c r="E96" s="110">
        <v>316</v>
      </c>
      <c r="F96" s="110">
        <v>260</v>
      </c>
      <c r="G96" s="110">
        <v>0</v>
      </c>
      <c r="H96" s="111">
        <f t="shared" si="2"/>
        <v>576</v>
      </c>
      <c r="I96" s="112">
        <v>576</v>
      </c>
      <c r="J96" s="110">
        <v>0</v>
      </c>
      <c r="K96" s="110">
        <v>1</v>
      </c>
      <c r="L96" s="81"/>
      <c r="M96" s="81">
        <f>'Praroop-20 hindi'!C99</f>
        <v>8</v>
      </c>
      <c r="N96" s="81">
        <v>2</v>
      </c>
      <c r="O96" s="81"/>
      <c r="P96" s="81">
        <f>'Praroop-20 hindi'!D99</f>
        <v>410</v>
      </c>
      <c r="Q96" s="81">
        <v>3</v>
      </c>
      <c r="R96" s="81"/>
      <c r="S96" s="81">
        <f>'Praroop-20 hindi'!E99</f>
        <v>129</v>
      </c>
      <c r="T96" s="81">
        <v>4</v>
      </c>
      <c r="U96" s="81"/>
      <c r="V96" s="81">
        <f>'Praroop-20 hindi'!F99</f>
        <v>7</v>
      </c>
      <c r="W96" s="81">
        <v>5</v>
      </c>
      <c r="X96" s="81"/>
      <c r="Y96" s="81">
        <f>'Praroop-20 hindi'!G99</f>
        <v>1</v>
      </c>
      <c r="Z96" s="81">
        <v>6</v>
      </c>
      <c r="AA96" s="81"/>
      <c r="AB96" s="81">
        <f>'Praroop-20 hindi'!H99</f>
        <v>1</v>
      </c>
      <c r="AC96" s="81">
        <v>7</v>
      </c>
      <c r="AD96" s="81"/>
      <c r="AE96" s="81">
        <f>'Praroop-20 hindi'!I99</f>
        <v>0</v>
      </c>
      <c r="AF96" s="81">
        <v>8</v>
      </c>
      <c r="AG96" s="81"/>
      <c r="AH96" s="81">
        <f>'Praroop-20 hindi'!J99</f>
        <v>1</v>
      </c>
      <c r="AI96" s="81">
        <v>9</v>
      </c>
      <c r="AJ96" s="81"/>
      <c r="AK96" s="81">
        <f>'Praroop-20 hindi'!K99</f>
        <v>12</v>
      </c>
      <c r="AL96" s="81">
        <v>10</v>
      </c>
      <c r="AM96" s="81"/>
      <c r="AN96" s="81">
        <f>'Praroop-20 hindi'!L99</f>
        <v>4</v>
      </c>
      <c r="AO96" s="81">
        <v>11</v>
      </c>
      <c r="AP96" s="81"/>
      <c r="AQ96" s="81">
        <f>'Praroop-20 hindi'!M99</f>
        <v>2</v>
      </c>
      <c r="AR96" s="81">
        <f t="shared" si="3"/>
        <v>575</v>
      </c>
    </row>
    <row r="97" spans="1:44" ht="38.25">
      <c r="A97" s="81">
        <v>64</v>
      </c>
      <c r="B97" s="41">
        <v>91</v>
      </c>
      <c r="C97" s="113" t="s">
        <v>216</v>
      </c>
      <c r="D97" s="117">
        <v>986</v>
      </c>
      <c r="E97" s="110">
        <v>328</v>
      </c>
      <c r="F97" s="110">
        <v>288</v>
      </c>
      <c r="G97" s="110">
        <v>0</v>
      </c>
      <c r="H97" s="111">
        <f t="shared" si="2"/>
        <v>616</v>
      </c>
      <c r="I97" s="112">
        <v>616</v>
      </c>
      <c r="J97" s="110">
        <v>0</v>
      </c>
      <c r="K97" s="110">
        <v>1</v>
      </c>
      <c r="L97" s="81"/>
      <c r="M97" s="81">
        <f>'Praroop-20 hindi'!C100</f>
        <v>8</v>
      </c>
      <c r="N97" s="81">
        <v>2</v>
      </c>
      <c r="O97" s="81"/>
      <c r="P97" s="81">
        <f>'Praroop-20 hindi'!D100</f>
        <v>318</v>
      </c>
      <c r="Q97" s="81">
        <v>3</v>
      </c>
      <c r="R97" s="81"/>
      <c r="S97" s="81">
        <f>'Praroop-20 hindi'!E100</f>
        <v>262</v>
      </c>
      <c r="T97" s="81">
        <v>4</v>
      </c>
      <c r="U97" s="81"/>
      <c r="V97" s="81">
        <f>'Praroop-20 hindi'!F100</f>
        <v>5</v>
      </c>
      <c r="W97" s="81">
        <v>5</v>
      </c>
      <c r="X97" s="81"/>
      <c r="Y97" s="81">
        <f>'Praroop-20 hindi'!G100</f>
        <v>0</v>
      </c>
      <c r="Z97" s="81">
        <v>6</v>
      </c>
      <c r="AA97" s="81"/>
      <c r="AB97" s="81">
        <f>'Praroop-20 hindi'!H100</f>
        <v>0</v>
      </c>
      <c r="AC97" s="81">
        <v>7</v>
      </c>
      <c r="AD97" s="81"/>
      <c r="AE97" s="81">
        <f>'Praroop-20 hindi'!I100</f>
        <v>1</v>
      </c>
      <c r="AF97" s="81">
        <v>8</v>
      </c>
      <c r="AG97" s="81"/>
      <c r="AH97" s="81">
        <f>'Praroop-20 hindi'!J100</f>
        <v>1</v>
      </c>
      <c r="AI97" s="81">
        <v>9</v>
      </c>
      <c r="AJ97" s="81"/>
      <c r="AK97" s="81">
        <f>'Praroop-20 hindi'!K100</f>
        <v>9</v>
      </c>
      <c r="AL97" s="81">
        <v>10</v>
      </c>
      <c r="AM97" s="81"/>
      <c r="AN97" s="81">
        <f>'Praroop-20 hindi'!L100</f>
        <v>6</v>
      </c>
      <c r="AO97" s="81">
        <v>11</v>
      </c>
      <c r="AP97" s="81"/>
      <c r="AQ97" s="81">
        <f>'Praroop-20 hindi'!M100</f>
        <v>0</v>
      </c>
      <c r="AR97" s="81">
        <f t="shared" si="3"/>
        <v>610</v>
      </c>
    </row>
    <row r="98" spans="1:44" ht="38.25">
      <c r="A98" s="81">
        <v>64</v>
      </c>
      <c r="B98" s="41">
        <v>92</v>
      </c>
      <c r="C98" s="113" t="s">
        <v>217</v>
      </c>
      <c r="D98" s="117">
        <v>962</v>
      </c>
      <c r="E98" s="110">
        <v>260</v>
      </c>
      <c r="F98" s="110">
        <v>204</v>
      </c>
      <c r="G98" s="110">
        <v>0</v>
      </c>
      <c r="H98" s="111">
        <f t="shared" si="2"/>
        <v>464</v>
      </c>
      <c r="I98" s="112">
        <v>464</v>
      </c>
      <c r="J98" s="110">
        <v>0</v>
      </c>
      <c r="K98" s="110">
        <v>1</v>
      </c>
      <c r="L98" s="81"/>
      <c r="M98" s="81">
        <f>'Praroop-20 hindi'!C101</f>
        <v>1</v>
      </c>
      <c r="N98" s="81">
        <v>2</v>
      </c>
      <c r="O98" s="81"/>
      <c r="P98" s="81">
        <f>'Praroop-20 hindi'!D101</f>
        <v>422</v>
      </c>
      <c r="Q98" s="81">
        <v>3</v>
      </c>
      <c r="R98" s="81"/>
      <c r="S98" s="81">
        <f>'Praroop-20 hindi'!E101</f>
        <v>8</v>
      </c>
      <c r="T98" s="81">
        <v>4</v>
      </c>
      <c r="U98" s="81"/>
      <c r="V98" s="81">
        <f>'Praroop-20 hindi'!F101</f>
        <v>5</v>
      </c>
      <c r="W98" s="81">
        <v>5</v>
      </c>
      <c r="X98" s="81"/>
      <c r="Y98" s="81">
        <f>'Praroop-20 hindi'!G101</f>
        <v>0</v>
      </c>
      <c r="Z98" s="81">
        <v>6</v>
      </c>
      <c r="AA98" s="81"/>
      <c r="AB98" s="81">
        <f>'Praroop-20 hindi'!H101</f>
        <v>1</v>
      </c>
      <c r="AC98" s="81">
        <v>7</v>
      </c>
      <c r="AD98" s="81"/>
      <c r="AE98" s="81">
        <f>'Praroop-20 hindi'!I101</f>
        <v>0</v>
      </c>
      <c r="AF98" s="81">
        <v>8</v>
      </c>
      <c r="AG98" s="81"/>
      <c r="AH98" s="81">
        <f>'Praroop-20 hindi'!J101</f>
        <v>0</v>
      </c>
      <c r="AI98" s="81">
        <v>9</v>
      </c>
      <c r="AJ98" s="81"/>
      <c r="AK98" s="81">
        <f>'Praroop-20 hindi'!K101</f>
        <v>20</v>
      </c>
      <c r="AL98" s="81">
        <v>10</v>
      </c>
      <c r="AM98" s="81"/>
      <c r="AN98" s="81">
        <f>'Praroop-20 hindi'!L101</f>
        <v>6</v>
      </c>
      <c r="AO98" s="81">
        <v>11</v>
      </c>
      <c r="AP98" s="81"/>
      <c r="AQ98" s="81">
        <f>'Praroop-20 hindi'!M101</f>
        <v>1</v>
      </c>
      <c r="AR98" s="81">
        <f t="shared" si="3"/>
        <v>464</v>
      </c>
    </row>
    <row r="99" spans="1:44" ht="38.25">
      <c r="A99" s="81">
        <v>64</v>
      </c>
      <c r="B99" s="41">
        <v>93</v>
      </c>
      <c r="C99" s="113" t="s">
        <v>218</v>
      </c>
      <c r="D99" s="117">
        <v>1055</v>
      </c>
      <c r="E99" s="110">
        <v>374</v>
      </c>
      <c r="F99" s="110">
        <v>299</v>
      </c>
      <c r="G99" s="110">
        <v>0</v>
      </c>
      <c r="H99" s="111">
        <f t="shared" si="2"/>
        <v>673</v>
      </c>
      <c r="I99" s="112">
        <v>665</v>
      </c>
      <c r="J99" s="110">
        <v>0</v>
      </c>
      <c r="K99" s="110">
        <v>1</v>
      </c>
      <c r="L99" s="81"/>
      <c r="M99" s="81">
        <f>'Praroop-20 hindi'!C102</f>
        <v>4</v>
      </c>
      <c r="N99" s="81">
        <v>2</v>
      </c>
      <c r="O99" s="81"/>
      <c r="P99" s="81">
        <f>'Praroop-20 hindi'!D102</f>
        <v>479</v>
      </c>
      <c r="Q99" s="81">
        <v>3</v>
      </c>
      <c r="R99" s="81"/>
      <c r="S99" s="81">
        <f>'Praroop-20 hindi'!E102</f>
        <v>167</v>
      </c>
      <c r="T99" s="81">
        <v>4</v>
      </c>
      <c r="U99" s="81"/>
      <c r="V99" s="81">
        <f>'Praroop-20 hindi'!F102</f>
        <v>9</v>
      </c>
      <c r="W99" s="81">
        <v>5</v>
      </c>
      <c r="X99" s="81"/>
      <c r="Y99" s="81">
        <f>'Praroop-20 hindi'!G102</f>
        <v>0</v>
      </c>
      <c r="Z99" s="81">
        <v>6</v>
      </c>
      <c r="AA99" s="81"/>
      <c r="AB99" s="81">
        <f>'Praroop-20 hindi'!H102</f>
        <v>0</v>
      </c>
      <c r="AC99" s="81">
        <v>7</v>
      </c>
      <c r="AD99" s="81"/>
      <c r="AE99" s="81">
        <f>'Praroop-20 hindi'!I102</f>
        <v>0</v>
      </c>
      <c r="AF99" s="81">
        <v>8</v>
      </c>
      <c r="AG99" s="81"/>
      <c r="AH99" s="81">
        <f>'Praroop-20 hindi'!J102</f>
        <v>1</v>
      </c>
      <c r="AI99" s="81">
        <v>9</v>
      </c>
      <c r="AJ99" s="81"/>
      <c r="AK99" s="81">
        <f>'Praroop-20 hindi'!K102</f>
        <v>7</v>
      </c>
      <c r="AL99" s="81">
        <v>10</v>
      </c>
      <c r="AM99" s="81"/>
      <c r="AN99" s="81">
        <f>'Praroop-20 hindi'!L102</f>
        <v>3</v>
      </c>
      <c r="AO99" s="81">
        <v>11</v>
      </c>
      <c r="AP99" s="81"/>
      <c r="AQ99" s="81">
        <f>'Praroop-20 hindi'!M102</f>
        <v>1</v>
      </c>
      <c r="AR99" s="81">
        <f t="shared" si="3"/>
        <v>671</v>
      </c>
    </row>
    <row r="100" spans="1:44" ht="38.25">
      <c r="A100" s="81">
        <v>64</v>
      </c>
      <c r="B100" s="41">
        <v>94</v>
      </c>
      <c r="C100" s="113" t="s">
        <v>219</v>
      </c>
      <c r="D100" s="117">
        <v>839</v>
      </c>
      <c r="E100" s="110">
        <v>313</v>
      </c>
      <c r="F100" s="110">
        <v>229</v>
      </c>
      <c r="G100" s="110">
        <v>0</v>
      </c>
      <c r="H100" s="111">
        <f t="shared" si="2"/>
        <v>542</v>
      </c>
      <c r="I100" s="112">
        <v>542</v>
      </c>
      <c r="J100" s="110">
        <v>0</v>
      </c>
      <c r="K100" s="110">
        <v>1</v>
      </c>
      <c r="L100" s="81"/>
      <c r="M100" s="81">
        <f>'Praroop-20 hindi'!C103</f>
        <v>6</v>
      </c>
      <c r="N100" s="81">
        <v>2</v>
      </c>
      <c r="O100" s="81"/>
      <c r="P100" s="81">
        <f>'Praroop-20 hindi'!D103</f>
        <v>229</v>
      </c>
      <c r="Q100" s="81">
        <v>3</v>
      </c>
      <c r="R100" s="81"/>
      <c r="S100" s="81">
        <f>'Praroop-20 hindi'!E103</f>
        <v>273</v>
      </c>
      <c r="T100" s="81">
        <v>4</v>
      </c>
      <c r="U100" s="81"/>
      <c r="V100" s="81">
        <f>'Praroop-20 hindi'!F103</f>
        <v>2</v>
      </c>
      <c r="W100" s="81">
        <v>5</v>
      </c>
      <c r="X100" s="81"/>
      <c r="Y100" s="81">
        <f>'Praroop-20 hindi'!G103</f>
        <v>0</v>
      </c>
      <c r="Z100" s="81">
        <v>6</v>
      </c>
      <c r="AA100" s="81"/>
      <c r="AB100" s="81">
        <f>'Praroop-20 hindi'!H103</f>
        <v>1</v>
      </c>
      <c r="AC100" s="81">
        <v>7</v>
      </c>
      <c r="AD100" s="81"/>
      <c r="AE100" s="81">
        <f>'Praroop-20 hindi'!I103</f>
        <v>0</v>
      </c>
      <c r="AF100" s="81">
        <v>8</v>
      </c>
      <c r="AG100" s="81"/>
      <c r="AH100" s="81">
        <f>'Praroop-20 hindi'!J103</f>
        <v>0</v>
      </c>
      <c r="AI100" s="81">
        <v>9</v>
      </c>
      <c r="AJ100" s="81"/>
      <c r="AK100" s="81">
        <f>'Praroop-20 hindi'!K103</f>
        <v>25</v>
      </c>
      <c r="AL100" s="81">
        <v>10</v>
      </c>
      <c r="AM100" s="81"/>
      <c r="AN100" s="81">
        <f>'Praroop-20 hindi'!L103</f>
        <v>2</v>
      </c>
      <c r="AO100" s="81">
        <v>11</v>
      </c>
      <c r="AP100" s="81"/>
      <c r="AQ100" s="81">
        <f>'Praroop-20 hindi'!M103</f>
        <v>1</v>
      </c>
      <c r="AR100" s="81">
        <f t="shared" si="3"/>
        <v>539</v>
      </c>
    </row>
    <row r="101" spans="1:44" ht="38.25">
      <c r="A101" s="81">
        <v>64</v>
      </c>
      <c r="B101" s="41">
        <v>95</v>
      </c>
      <c r="C101" s="113" t="s">
        <v>220</v>
      </c>
      <c r="D101" s="117">
        <v>1066</v>
      </c>
      <c r="E101" s="110">
        <v>381</v>
      </c>
      <c r="F101" s="110">
        <v>315</v>
      </c>
      <c r="G101" s="110">
        <v>0</v>
      </c>
      <c r="H101" s="111">
        <f t="shared" si="2"/>
        <v>696</v>
      </c>
      <c r="I101" s="112">
        <v>600</v>
      </c>
      <c r="J101" s="110">
        <v>0</v>
      </c>
      <c r="K101" s="110">
        <v>1</v>
      </c>
      <c r="L101" s="81"/>
      <c r="M101" s="81">
        <f>'Praroop-20 hindi'!C104</f>
        <v>126</v>
      </c>
      <c r="N101" s="81">
        <v>2</v>
      </c>
      <c r="O101" s="81"/>
      <c r="P101" s="81">
        <f>'Praroop-20 hindi'!D104</f>
        <v>374</v>
      </c>
      <c r="Q101" s="81">
        <v>3</v>
      </c>
      <c r="R101" s="81"/>
      <c r="S101" s="81">
        <f>'Praroop-20 hindi'!E104</f>
        <v>154</v>
      </c>
      <c r="T101" s="81">
        <v>4</v>
      </c>
      <c r="U101" s="81"/>
      <c r="V101" s="81">
        <f>'Praroop-20 hindi'!F104</f>
        <v>15</v>
      </c>
      <c r="W101" s="81">
        <v>5</v>
      </c>
      <c r="X101" s="81"/>
      <c r="Y101" s="81">
        <f>'Praroop-20 hindi'!G104</f>
        <v>1</v>
      </c>
      <c r="Z101" s="81">
        <v>6</v>
      </c>
      <c r="AA101" s="81"/>
      <c r="AB101" s="81">
        <f>'Praroop-20 hindi'!H104</f>
        <v>1</v>
      </c>
      <c r="AC101" s="81">
        <v>7</v>
      </c>
      <c r="AD101" s="81"/>
      <c r="AE101" s="81">
        <f>'Praroop-20 hindi'!I104</f>
        <v>0</v>
      </c>
      <c r="AF101" s="81">
        <v>8</v>
      </c>
      <c r="AG101" s="81"/>
      <c r="AH101" s="81">
        <f>'Praroop-20 hindi'!J104</f>
        <v>0</v>
      </c>
      <c r="AI101" s="81">
        <v>9</v>
      </c>
      <c r="AJ101" s="81"/>
      <c r="AK101" s="81">
        <f>'Praroop-20 hindi'!K104</f>
        <v>24</v>
      </c>
      <c r="AL101" s="81">
        <v>10</v>
      </c>
      <c r="AM101" s="81"/>
      <c r="AN101" s="81">
        <f>'Praroop-20 hindi'!L104</f>
        <v>0</v>
      </c>
      <c r="AO101" s="81">
        <v>11</v>
      </c>
      <c r="AP101" s="81"/>
      <c r="AQ101" s="81">
        <f>'Praroop-20 hindi'!M104</f>
        <v>1</v>
      </c>
      <c r="AR101" s="81">
        <f t="shared" si="3"/>
        <v>696</v>
      </c>
    </row>
    <row r="102" spans="1:44" ht="38.25">
      <c r="A102" s="81">
        <v>64</v>
      </c>
      <c r="B102" s="41">
        <v>96</v>
      </c>
      <c r="C102" s="113" t="s">
        <v>221</v>
      </c>
      <c r="D102" s="117">
        <v>818</v>
      </c>
      <c r="E102" s="110">
        <v>250</v>
      </c>
      <c r="F102" s="110">
        <v>213</v>
      </c>
      <c r="G102" s="110">
        <v>0</v>
      </c>
      <c r="H102" s="111">
        <f t="shared" si="2"/>
        <v>463</v>
      </c>
      <c r="I102" s="112">
        <v>463</v>
      </c>
      <c r="J102" s="110">
        <v>0</v>
      </c>
      <c r="K102" s="110">
        <v>1</v>
      </c>
      <c r="L102" s="81"/>
      <c r="M102" s="81">
        <f>'Praroop-20 hindi'!C105</f>
        <v>2</v>
      </c>
      <c r="N102" s="81">
        <v>2</v>
      </c>
      <c r="O102" s="81"/>
      <c r="P102" s="81">
        <f>'Praroop-20 hindi'!D105</f>
        <v>428</v>
      </c>
      <c r="Q102" s="81">
        <v>3</v>
      </c>
      <c r="R102" s="81"/>
      <c r="S102" s="81">
        <f>'Praroop-20 hindi'!E105</f>
        <v>15</v>
      </c>
      <c r="T102" s="81">
        <v>4</v>
      </c>
      <c r="U102" s="81"/>
      <c r="V102" s="81">
        <f>'Praroop-20 hindi'!F105</f>
        <v>4</v>
      </c>
      <c r="W102" s="81">
        <v>5</v>
      </c>
      <c r="X102" s="81"/>
      <c r="Y102" s="81">
        <f>'Praroop-20 hindi'!G105</f>
        <v>0</v>
      </c>
      <c r="Z102" s="81">
        <v>6</v>
      </c>
      <c r="AA102" s="81"/>
      <c r="AB102" s="81">
        <f>'Praroop-20 hindi'!H105</f>
        <v>0</v>
      </c>
      <c r="AC102" s="81">
        <v>7</v>
      </c>
      <c r="AD102" s="81"/>
      <c r="AE102" s="81">
        <f>'Praroop-20 hindi'!I105</f>
        <v>0</v>
      </c>
      <c r="AF102" s="81">
        <v>8</v>
      </c>
      <c r="AG102" s="81"/>
      <c r="AH102" s="81">
        <f>'Praroop-20 hindi'!J105</f>
        <v>0</v>
      </c>
      <c r="AI102" s="81">
        <v>9</v>
      </c>
      <c r="AJ102" s="81"/>
      <c r="AK102" s="81">
        <f>'Praroop-20 hindi'!K105</f>
        <v>13</v>
      </c>
      <c r="AL102" s="81">
        <v>10</v>
      </c>
      <c r="AM102" s="81"/>
      <c r="AN102" s="81">
        <f>'Praroop-20 hindi'!L105</f>
        <v>0</v>
      </c>
      <c r="AO102" s="81">
        <v>11</v>
      </c>
      <c r="AP102" s="81"/>
      <c r="AQ102" s="81">
        <f>'Praroop-20 hindi'!M105</f>
        <v>1</v>
      </c>
      <c r="AR102" s="81">
        <f t="shared" si="3"/>
        <v>463</v>
      </c>
    </row>
    <row r="103" spans="1:44" ht="38.25">
      <c r="A103" s="81">
        <v>64</v>
      </c>
      <c r="B103" s="41">
        <v>97</v>
      </c>
      <c r="C103" s="113" t="s">
        <v>222</v>
      </c>
      <c r="D103" s="117">
        <v>632</v>
      </c>
      <c r="E103" s="110">
        <v>185</v>
      </c>
      <c r="F103" s="110">
        <v>150</v>
      </c>
      <c r="G103" s="110">
        <v>0</v>
      </c>
      <c r="H103" s="111">
        <f t="shared" si="2"/>
        <v>335</v>
      </c>
      <c r="I103" s="112">
        <v>335</v>
      </c>
      <c r="J103" s="110">
        <v>0</v>
      </c>
      <c r="K103" s="110">
        <v>1</v>
      </c>
      <c r="L103" s="81"/>
      <c r="M103" s="81">
        <f>'Praroop-20 hindi'!C106</f>
        <v>0</v>
      </c>
      <c r="N103" s="81">
        <v>2</v>
      </c>
      <c r="O103" s="81"/>
      <c r="P103" s="81">
        <f>'Praroop-20 hindi'!D106</f>
        <v>243</v>
      </c>
      <c r="Q103" s="81">
        <v>3</v>
      </c>
      <c r="R103" s="81"/>
      <c r="S103" s="81">
        <f>'Praroop-20 hindi'!E106</f>
        <v>81</v>
      </c>
      <c r="T103" s="81">
        <v>4</v>
      </c>
      <c r="U103" s="81"/>
      <c r="V103" s="81">
        <f>'Praroop-20 hindi'!F106</f>
        <v>2</v>
      </c>
      <c r="W103" s="81">
        <v>5</v>
      </c>
      <c r="X103" s="81"/>
      <c r="Y103" s="81">
        <f>'Praroop-20 hindi'!G106</f>
        <v>0</v>
      </c>
      <c r="Z103" s="81">
        <v>6</v>
      </c>
      <c r="AA103" s="81"/>
      <c r="AB103" s="81">
        <f>'Praroop-20 hindi'!H106</f>
        <v>0</v>
      </c>
      <c r="AC103" s="81">
        <v>7</v>
      </c>
      <c r="AD103" s="81"/>
      <c r="AE103" s="81">
        <f>'Praroop-20 hindi'!I106</f>
        <v>1</v>
      </c>
      <c r="AF103" s="81">
        <v>8</v>
      </c>
      <c r="AG103" s="81"/>
      <c r="AH103" s="81">
        <f>'Praroop-20 hindi'!J106</f>
        <v>0</v>
      </c>
      <c r="AI103" s="81">
        <v>9</v>
      </c>
      <c r="AJ103" s="81"/>
      <c r="AK103" s="81">
        <f>'Praroop-20 hindi'!K106</f>
        <v>4</v>
      </c>
      <c r="AL103" s="81">
        <v>10</v>
      </c>
      <c r="AM103" s="81"/>
      <c r="AN103" s="81">
        <f>'Praroop-20 hindi'!L106</f>
        <v>3</v>
      </c>
      <c r="AO103" s="81">
        <v>11</v>
      </c>
      <c r="AP103" s="81"/>
      <c r="AQ103" s="81">
        <f>'Praroop-20 hindi'!M106</f>
        <v>0</v>
      </c>
      <c r="AR103" s="81">
        <f t="shared" si="3"/>
        <v>334</v>
      </c>
    </row>
    <row r="104" spans="1:44" ht="38.25">
      <c r="A104" s="81">
        <v>64</v>
      </c>
      <c r="B104" s="41">
        <v>98</v>
      </c>
      <c r="C104" s="113" t="s">
        <v>223</v>
      </c>
      <c r="D104" s="117">
        <v>804</v>
      </c>
      <c r="E104" s="110">
        <v>247</v>
      </c>
      <c r="F104" s="110">
        <v>238</v>
      </c>
      <c r="G104" s="110">
        <v>0</v>
      </c>
      <c r="H104" s="111">
        <f t="shared" si="2"/>
        <v>485</v>
      </c>
      <c r="I104" s="112">
        <v>485</v>
      </c>
      <c r="J104" s="110">
        <v>0</v>
      </c>
      <c r="K104" s="110">
        <v>1</v>
      </c>
      <c r="L104" s="81"/>
      <c r="M104" s="81">
        <f>'Praroop-20 hindi'!C107</f>
        <v>3</v>
      </c>
      <c r="N104" s="81">
        <v>2</v>
      </c>
      <c r="O104" s="81"/>
      <c r="P104" s="81">
        <f>'Praroop-20 hindi'!D107</f>
        <v>119</v>
      </c>
      <c r="Q104" s="81">
        <v>3</v>
      </c>
      <c r="R104" s="81"/>
      <c r="S104" s="81">
        <f>'Praroop-20 hindi'!E107</f>
        <v>340</v>
      </c>
      <c r="T104" s="81">
        <v>4</v>
      </c>
      <c r="U104" s="81"/>
      <c r="V104" s="81">
        <f>'Praroop-20 hindi'!F107</f>
        <v>10</v>
      </c>
      <c r="W104" s="81">
        <v>5</v>
      </c>
      <c r="X104" s="81"/>
      <c r="Y104" s="81">
        <f>'Praroop-20 hindi'!G107</f>
        <v>1</v>
      </c>
      <c r="Z104" s="81">
        <v>6</v>
      </c>
      <c r="AA104" s="81"/>
      <c r="AB104" s="81">
        <f>'Praroop-20 hindi'!H107</f>
        <v>0</v>
      </c>
      <c r="AC104" s="81">
        <v>7</v>
      </c>
      <c r="AD104" s="81"/>
      <c r="AE104" s="81">
        <f>'Praroop-20 hindi'!I107</f>
        <v>1</v>
      </c>
      <c r="AF104" s="81">
        <v>8</v>
      </c>
      <c r="AG104" s="81"/>
      <c r="AH104" s="81">
        <f>'Praroop-20 hindi'!J107</f>
        <v>0</v>
      </c>
      <c r="AI104" s="81">
        <v>9</v>
      </c>
      <c r="AJ104" s="81"/>
      <c r="AK104" s="81">
        <f>'Praroop-20 hindi'!K107</f>
        <v>2</v>
      </c>
      <c r="AL104" s="81">
        <v>10</v>
      </c>
      <c r="AM104" s="81"/>
      <c r="AN104" s="81">
        <f>'Praroop-20 hindi'!L107</f>
        <v>5</v>
      </c>
      <c r="AO104" s="81">
        <v>11</v>
      </c>
      <c r="AP104" s="81"/>
      <c r="AQ104" s="81">
        <f>'Praroop-20 hindi'!M107</f>
        <v>1</v>
      </c>
      <c r="AR104" s="81">
        <f t="shared" si="3"/>
        <v>482</v>
      </c>
    </row>
    <row r="105" spans="1:44" ht="38.25">
      <c r="A105" s="81">
        <v>64</v>
      </c>
      <c r="B105" s="41">
        <v>99</v>
      </c>
      <c r="C105" s="113" t="s">
        <v>224</v>
      </c>
      <c r="D105" s="117">
        <v>1086</v>
      </c>
      <c r="E105" s="110">
        <v>337</v>
      </c>
      <c r="F105" s="110">
        <v>300</v>
      </c>
      <c r="G105" s="110">
        <v>0</v>
      </c>
      <c r="H105" s="111">
        <f t="shared" si="2"/>
        <v>637</v>
      </c>
      <c r="I105" s="112">
        <v>637</v>
      </c>
      <c r="J105" s="110">
        <v>0</v>
      </c>
      <c r="K105" s="110">
        <v>1</v>
      </c>
      <c r="L105" s="81"/>
      <c r="M105" s="81">
        <f>'Praroop-20 hindi'!C108</f>
        <v>5</v>
      </c>
      <c r="N105" s="81">
        <v>2</v>
      </c>
      <c r="O105" s="81"/>
      <c r="P105" s="81">
        <f>'Praroop-20 hindi'!D108</f>
        <v>557</v>
      </c>
      <c r="Q105" s="81">
        <v>3</v>
      </c>
      <c r="R105" s="81"/>
      <c r="S105" s="81">
        <f>'Praroop-20 hindi'!E108</f>
        <v>14</v>
      </c>
      <c r="T105" s="81">
        <v>4</v>
      </c>
      <c r="U105" s="81"/>
      <c r="V105" s="81">
        <f>'Praroop-20 hindi'!F108</f>
        <v>3</v>
      </c>
      <c r="W105" s="81">
        <v>5</v>
      </c>
      <c r="X105" s="81"/>
      <c r="Y105" s="81">
        <f>'Praroop-20 hindi'!G108</f>
        <v>1</v>
      </c>
      <c r="Z105" s="81">
        <v>6</v>
      </c>
      <c r="AA105" s="81"/>
      <c r="AB105" s="81">
        <f>'Praroop-20 hindi'!H108</f>
        <v>0</v>
      </c>
      <c r="AC105" s="81">
        <v>7</v>
      </c>
      <c r="AD105" s="81"/>
      <c r="AE105" s="81">
        <f>'Praroop-20 hindi'!I108</f>
        <v>0</v>
      </c>
      <c r="AF105" s="81">
        <v>8</v>
      </c>
      <c r="AG105" s="81"/>
      <c r="AH105" s="81">
        <f>'Praroop-20 hindi'!J108</f>
        <v>1</v>
      </c>
      <c r="AI105" s="81">
        <v>9</v>
      </c>
      <c r="AJ105" s="81"/>
      <c r="AK105" s="81">
        <f>'Praroop-20 hindi'!K108</f>
        <v>54</v>
      </c>
      <c r="AL105" s="81">
        <v>10</v>
      </c>
      <c r="AM105" s="81"/>
      <c r="AN105" s="81">
        <f>'Praroop-20 hindi'!L108</f>
        <v>1</v>
      </c>
      <c r="AO105" s="81">
        <v>11</v>
      </c>
      <c r="AP105" s="81"/>
      <c r="AQ105" s="81">
        <f>'Praroop-20 hindi'!M108</f>
        <v>1</v>
      </c>
      <c r="AR105" s="81">
        <f t="shared" si="3"/>
        <v>637</v>
      </c>
    </row>
    <row r="106" spans="1:44" ht="38.25">
      <c r="A106" s="81">
        <v>64</v>
      </c>
      <c r="B106" s="41">
        <v>100</v>
      </c>
      <c r="C106" s="113" t="s">
        <v>225</v>
      </c>
      <c r="D106" s="117">
        <v>1150</v>
      </c>
      <c r="E106" s="110">
        <v>370</v>
      </c>
      <c r="F106" s="110">
        <v>278</v>
      </c>
      <c r="G106" s="110">
        <v>0</v>
      </c>
      <c r="H106" s="111">
        <f t="shared" si="2"/>
        <v>648</v>
      </c>
      <c r="I106" s="112">
        <v>648</v>
      </c>
      <c r="J106" s="110">
        <v>0</v>
      </c>
      <c r="K106" s="110">
        <v>1</v>
      </c>
      <c r="L106" s="81"/>
      <c r="M106" s="81">
        <f>'Praroop-20 hindi'!C109</f>
        <v>1</v>
      </c>
      <c r="N106" s="81">
        <v>2</v>
      </c>
      <c r="O106" s="81"/>
      <c r="P106" s="81">
        <f>'Praroop-20 hindi'!D109</f>
        <v>602</v>
      </c>
      <c r="Q106" s="81">
        <v>3</v>
      </c>
      <c r="R106" s="81"/>
      <c r="S106" s="81">
        <f>'Praroop-20 hindi'!E109</f>
        <v>7</v>
      </c>
      <c r="T106" s="81">
        <v>4</v>
      </c>
      <c r="U106" s="81"/>
      <c r="V106" s="81">
        <f>'Praroop-20 hindi'!F109</f>
        <v>4</v>
      </c>
      <c r="W106" s="81">
        <v>5</v>
      </c>
      <c r="X106" s="81"/>
      <c r="Y106" s="81">
        <f>'Praroop-20 hindi'!G109</f>
        <v>0</v>
      </c>
      <c r="Z106" s="81">
        <v>6</v>
      </c>
      <c r="AA106" s="81"/>
      <c r="AB106" s="81">
        <f>'Praroop-20 hindi'!H109</f>
        <v>0</v>
      </c>
      <c r="AC106" s="81">
        <v>7</v>
      </c>
      <c r="AD106" s="81"/>
      <c r="AE106" s="81">
        <f>'Praroop-20 hindi'!I109</f>
        <v>0</v>
      </c>
      <c r="AF106" s="81">
        <v>8</v>
      </c>
      <c r="AG106" s="81"/>
      <c r="AH106" s="81">
        <f>'Praroop-20 hindi'!J109</f>
        <v>1</v>
      </c>
      <c r="AI106" s="81">
        <v>9</v>
      </c>
      <c r="AJ106" s="81"/>
      <c r="AK106" s="81">
        <f>'Praroop-20 hindi'!K109</f>
        <v>27</v>
      </c>
      <c r="AL106" s="81">
        <v>10</v>
      </c>
      <c r="AM106" s="81"/>
      <c r="AN106" s="81">
        <f>'Praroop-20 hindi'!L109</f>
        <v>2</v>
      </c>
      <c r="AO106" s="81">
        <v>11</v>
      </c>
      <c r="AP106" s="81"/>
      <c r="AQ106" s="81">
        <f>'Praroop-20 hindi'!M109</f>
        <v>2</v>
      </c>
      <c r="AR106" s="81">
        <f t="shared" si="3"/>
        <v>646</v>
      </c>
    </row>
    <row r="107" spans="1:44" ht="38.25">
      <c r="A107" s="81">
        <v>64</v>
      </c>
      <c r="B107" s="41">
        <v>101</v>
      </c>
      <c r="C107" s="113" t="s">
        <v>226</v>
      </c>
      <c r="D107" s="117">
        <v>1171</v>
      </c>
      <c r="E107" s="110">
        <v>367</v>
      </c>
      <c r="F107" s="110">
        <v>258</v>
      </c>
      <c r="G107" s="110">
        <v>0</v>
      </c>
      <c r="H107" s="111">
        <f t="shared" si="2"/>
        <v>625</v>
      </c>
      <c r="I107" s="112">
        <v>625</v>
      </c>
      <c r="J107" s="110">
        <v>0</v>
      </c>
      <c r="K107" s="110">
        <v>1</v>
      </c>
      <c r="L107" s="81"/>
      <c r="M107" s="81">
        <f>'Praroop-20 hindi'!C110</f>
        <v>2</v>
      </c>
      <c r="N107" s="81">
        <v>2</v>
      </c>
      <c r="O107" s="81"/>
      <c r="P107" s="81">
        <f>'Praroop-20 hindi'!D110</f>
        <v>600</v>
      </c>
      <c r="Q107" s="81">
        <v>3</v>
      </c>
      <c r="R107" s="81"/>
      <c r="S107" s="81">
        <f>'Praroop-20 hindi'!E110</f>
        <v>4</v>
      </c>
      <c r="T107" s="81">
        <v>4</v>
      </c>
      <c r="U107" s="81"/>
      <c r="V107" s="81">
        <f>'Praroop-20 hindi'!F110</f>
        <v>4</v>
      </c>
      <c r="W107" s="81">
        <v>5</v>
      </c>
      <c r="X107" s="81"/>
      <c r="Y107" s="81">
        <f>'Praroop-20 hindi'!G110</f>
        <v>0</v>
      </c>
      <c r="Z107" s="81">
        <v>6</v>
      </c>
      <c r="AA107" s="81"/>
      <c r="AB107" s="81">
        <f>'Praroop-20 hindi'!H110</f>
        <v>0</v>
      </c>
      <c r="AC107" s="81">
        <v>7</v>
      </c>
      <c r="AD107" s="81"/>
      <c r="AE107" s="81">
        <f>'Praroop-20 hindi'!I110</f>
        <v>1</v>
      </c>
      <c r="AF107" s="81">
        <v>8</v>
      </c>
      <c r="AG107" s="81"/>
      <c r="AH107" s="81">
        <f>'Praroop-20 hindi'!J110</f>
        <v>0</v>
      </c>
      <c r="AI107" s="81">
        <v>9</v>
      </c>
      <c r="AJ107" s="81"/>
      <c r="AK107" s="81">
        <f>'Praroop-20 hindi'!K110</f>
        <v>13</v>
      </c>
      <c r="AL107" s="81">
        <v>10</v>
      </c>
      <c r="AM107" s="81"/>
      <c r="AN107" s="81">
        <f>'Praroop-20 hindi'!L110</f>
        <v>0</v>
      </c>
      <c r="AO107" s="81">
        <v>11</v>
      </c>
      <c r="AP107" s="81"/>
      <c r="AQ107" s="81">
        <f>'Praroop-20 hindi'!M110</f>
        <v>1</v>
      </c>
      <c r="AR107" s="81">
        <f t="shared" si="3"/>
        <v>625</v>
      </c>
    </row>
    <row r="108" spans="1:44" ht="38.25">
      <c r="A108" s="81">
        <v>64</v>
      </c>
      <c r="B108" s="41">
        <v>102</v>
      </c>
      <c r="C108" s="113" t="s">
        <v>227</v>
      </c>
      <c r="D108" s="117">
        <v>1135</v>
      </c>
      <c r="E108" s="110">
        <v>331</v>
      </c>
      <c r="F108" s="110">
        <v>263</v>
      </c>
      <c r="G108" s="110">
        <v>0</v>
      </c>
      <c r="H108" s="111">
        <f t="shared" si="2"/>
        <v>594</v>
      </c>
      <c r="I108" s="112">
        <v>594</v>
      </c>
      <c r="J108" s="110">
        <v>0</v>
      </c>
      <c r="K108" s="110">
        <v>1</v>
      </c>
      <c r="L108" s="81"/>
      <c r="M108" s="81">
        <f>'Praroop-20 hindi'!C111</f>
        <v>3</v>
      </c>
      <c r="N108" s="81">
        <v>2</v>
      </c>
      <c r="O108" s="81"/>
      <c r="P108" s="81">
        <f>'Praroop-20 hindi'!D111</f>
        <v>556</v>
      </c>
      <c r="Q108" s="81">
        <v>3</v>
      </c>
      <c r="R108" s="81"/>
      <c r="S108" s="81">
        <f>'Praroop-20 hindi'!E111</f>
        <v>9</v>
      </c>
      <c r="T108" s="81">
        <v>4</v>
      </c>
      <c r="U108" s="81"/>
      <c r="V108" s="81">
        <f>'Praroop-20 hindi'!F111</f>
        <v>7</v>
      </c>
      <c r="W108" s="81">
        <v>5</v>
      </c>
      <c r="X108" s="81"/>
      <c r="Y108" s="81">
        <f>'Praroop-20 hindi'!G111</f>
        <v>0</v>
      </c>
      <c r="Z108" s="81">
        <v>6</v>
      </c>
      <c r="AA108" s="81"/>
      <c r="AB108" s="81">
        <f>'Praroop-20 hindi'!H111</f>
        <v>0</v>
      </c>
      <c r="AC108" s="81">
        <v>7</v>
      </c>
      <c r="AD108" s="81"/>
      <c r="AE108" s="81">
        <f>'Praroop-20 hindi'!I111</f>
        <v>0</v>
      </c>
      <c r="AF108" s="81">
        <v>8</v>
      </c>
      <c r="AG108" s="81"/>
      <c r="AH108" s="81">
        <f>'Praroop-20 hindi'!J111</f>
        <v>0</v>
      </c>
      <c r="AI108" s="81">
        <v>9</v>
      </c>
      <c r="AJ108" s="81"/>
      <c r="AK108" s="81">
        <f>'Praroop-20 hindi'!K111</f>
        <v>16</v>
      </c>
      <c r="AL108" s="81">
        <v>10</v>
      </c>
      <c r="AM108" s="81"/>
      <c r="AN108" s="81">
        <f>'Praroop-20 hindi'!L111</f>
        <v>3</v>
      </c>
      <c r="AO108" s="81">
        <v>11</v>
      </c>
      <c r="AP108" s="81"/>
      <c r="AQ108" s="81">
        <f>'Praroop-20 hindi'!M111</f>
        <v>0</v>
      </c>
      <c r="AR108" s="81">
        <f t="shared" si="3"/>
        <v>594</v>
      </c>
    </row>
    <row r="109" spans="1:44" ht="38.25">
      <c r="A109" s="81">
        <v>64</v>
      </c>
      <c r="B109" s="41">
        <v>103</v>
      </c>
      <c r="C109" s="113" t="s">
        <v>228</v>
      </c>
      <c r="D109" s="117">
        <v>1107</v>
      </c>
      <c r="E109" s="110">
        <v>329</v>
      </c>
      <c r="F109" s="110">
        <v>237</v>
      </c>
      <c r="G109" s="110">
        <v>0</v>
      </c>
      <c r="H109" s="111">
        <f t="shared" si="2"/>
        <v>566</v>
      </c>
      <c r="I109" s="112">
        <v>534</v>
      </c>
      <c r="J109" s="110">
        <v>0</v>
      </c>
      <c r="K109" s="110">
        <v>1</v>
      </c>
      <c r="L109" s="81"/>
      <c r="M109" s="81">
        <f>'Praroop-20 hindi'!C112</f>
        <v>0</v>
      </c>
      <c r="N109" s="81">
        <v>2</v>
      </c>
      <c r="O109" s="81"/>
      <c r="P109" s="81">
        <f>'Praroop-20 hindi'!D112</f>
        <v>494</v>
      </c>
      <c r="Q109" s="81">
        <v>3</v>
      </c>
      <c r="R109" s="81"/>
      <c r="S109" s="81">
        <f>'Praroop-20 hindi'!E112</f>
        <v>47</v>
      </c>
      <c r="T109" s="81">
        <v>4</v>
      </c>
      <c r="U109" s="81"/>
      <c r="V109" s="81">
        <f>'Praroop-20 hindi'!F112</f>
        <v>3</v>
      </c>
      <c r="W109" s="81">
        <v>5</v>
      </c>
      <c r="X109" s="81"/>
      <c r="Y109" s="81">
        <f>'Praroop-20 hindi'!G112</f>
        <v>0</v>
      </c>
      <c r="Z109" s="81">
        <v>6</v>
      </c>
      <c r="AA109" s="81"/>
      <c r="AB109" s="81">
        <f>'Praroop-20 hindi'!H112</f>
        <v>0</v>
      </c>
      <c r="AC109" s="81">
        <v>7</v>
      </c>
      <c r="AD109" s="81"/>
      <c r="AE109" s="81">
        <f>'Praroop-20 hindi'!I112</f>
        <v>1</v>
      </c>
      <c r="AF109" s="81">
        <v>8</v>
      </c>
      <c r="AG109" s="81"/>
      <c r="AH109" s="81">
        <f>'Praroop-20 hindi'!J112</f>
        <v>0</v>
      </c>
      <c r="AI109" s="81">
        <v>9</v>
      </c>
      <c r="AJ109" s="81"/>
      <c r="AK109" s="81">
        <f>'Praroop-20 hindi'!K112</f>
        <v>16</v>
      </c>
      <c r="AL109" s="81">
        <v>10</v>
      </c>
      <c r="AM109" s="81"/>
      <c r="AN109" s="81">
        <f>'Praroop-20 hindi'!L112</f>
        <v>1</v>
      </c>
      <c r="AO109" s="81">
        <v>11</v>
      </c>
      <c r="AP109" s="81"/>
      <c r="AQ109" s="81">
        <f>'Praroop-20 hindi'!M112</f>
        <v>2</v>
      </c>
      <c r="AR109" s="81">
        <f t="shared" si="3"/>
        <v>564</v>
      </c>
    </row>
    <row r="110" spans="1:44" ht="38.25">
      <c r="A110" s="81">
        <v>64</v>
      </c>
      <c r="B110" s="41">
        <v>104</v>
      </c>
      <c r="C110" s="113" t="s">
        <v>229</v>
      </c>
      <c r="D110" s="117">
        <v>1132</v>
      </c>
      <c r="E110" s="110">
        <v>371</v>
      </c>
      <c r="F110" s="110">
        <v>321</v>
      </c>
      <c r="G110" s="110"/>
      <c r="H110" s="111">
        <f t="shared" si="2"/>
        <v>692</v>
      </c>
      <c r="I110" s="112">
        <v>692</v>
      </c>
      <c r="J110" s="110">
        <v>0</v>
      </c>
      <c r="K110" s="110">
        <v>1</v>
      </c>
      <c r="L110" s="81"/>
      <c r="M110" s="81">
        <f>'Praroop-20 hindi'!C113</f>
        <v>8</v>
      </c>
      <c r="N110" s="81">
        <v>2</v>
      </c>
      <c r="O110" s="81"/>
      <c r="P110" s="81">
        <f>'Praroop-20 hindi'!D113</f>
        <v>551</v>
      </c>
      <c r="Q110" s="81">
        <v>3</v>
      </c>
      <c r="R110" s="81"/>
      <c r="S110" s="81">
        <f>'Praroop-20 hindi'!E113</f>
        <v>83</v>
      </c>
      <c r="T110" s="81">
        <v>4</v>
      </c>
      <c r="U110" s="81"/>
      <c r="V110" s="81">
        <f>'Praroop-20 hindi'!F113</f>
        <v>6</v>
      </c>
      <c r="W110" s="81">
        <v>5</v>
      </c>
      <c r="X110" s="81"/>
      <c r="Y110" s="81">
        <f>'Praroop-20 hindi'!G113</f>
        <v>0</v>
      </c>
      <c r="Z110" s="81">
        <v>6</v>
      </c>
      <c r="AA110" s="81"/>
      <c r="AB110" s="81">
        <f>'Praroop-20 hindi'!H113</f>
        <v>0</v>
      </c>
      <c r="AC110" s="81">
        <v>7</v>
      </c>
      <c r="AD110" s="81"/>
      <c r="AE110" s="81">
        <f>'Praroop-20 hindi'!I113</f>
        <v>0</v>
      </c>
      <c r="AF110" s="81">
        <v>8</v>
      </c>
      <c r="AG110" s="81"/>
      <c r="AH110" s="81">
        <f>'Praroop-20 hindi'!J113</f>
        <v>0</v>
      </c>
      <c r="AI110" s="81">
        <v>9</v>
      </c>
      <c r="AJ110" s="81"/>
      <c r="AK110" s="81">
        <f>'Praroop-20 hindi'!K113</f>
        <v>16</v>
      </c>
      <c r="AL110" s="81">
        <v>10</v>
      </c>
      <c r="AM110" s="81"/>
      <c r="AN110" s="81">
        <f>'Praroop-20 hindi'!L113</f>
        <v>15</v>
      </c>
      <c r="AO110" s="81">
        <v>11</v>
      </c>
      <c r="AP110" s="81"/>
      <c r="AQ110" s="81">
        <f>'Praroop-20 hindi'!M113</f>
        <v>7</v>
      </c>
      <c r="AR110" s="81">
        <f t="shared" si="3"/>
        <v>686</v>
      </c>
    </row>
    <row r="111" spans="1:44" ht="25.5">
      <c r="A111" s="81">
        <v>64</v>
      </c>
      <c r="B111" s="41">
        <v>105</v>
      </c>
      <c r="C111" s="113" t="s">
        <v>230</v>
      </c>
      <c r="D111" s="117">
        <v>927</v>
      </c>
      <c r="E111" s="110">
        <v>385</v>
      </c>
      <c r="F111" s="110">
        <v>296</v>
      </c>
      <c r="G111" s="110">
        <v>0</v>
      </c>
      <c r="H111" s="111">
        <f t="shared" si="2"/>
        <v>681</v>
      </c>
      <c r="I111" s="112">
        <v>647</v>
      </c>
      <c r="J111" s="110">
        <v>0</v>
      </c>
      <c r="K111" s="110">
        <v>1</v>
      </c>
      <c r="L111" s="81"/>
      <c r="M111" s="81">
        <f>'Praroop-20 hindi'!C114</f>
        <v>7</v>
      </c>
      <c r="N111" s="81">
        <v>2</v>
      </c>
      <c r="O111" s="81"/>
      <c r="P111" s="81">
        <f>'Praroop-20 hindi'!D114</f>
        <v>660</v>
      </c>
      <c r="Q111" s="81">
        <v>3</v>
      </c>
      <c r="R111" s="81"/>
      <c r="S111" s="81">
        <f>'Praroop-20 hindi'!E114</f>
        <v>8</v>
      </c>
      <c r="T111" s="81">
        <v>4</v>
      </c>
      <c r="U111" s="81"/>
      <c r="V111" s="81">
        <f>'Praroop-20 hindi'!F114</f>
        <v>2</v>
      </c>
      <c r="W111" s="81">
        <v>5</v>
      </c>
      <c r="X111" s="81"/>
      <c r="Y111" s="81">
        <f>'Praroop-20 hindi'!G114</f>
        <v>0</v>
      </c>
      <c r="Z111" s="81">
        <v>6</v>
      </c>
      <c r="AA111" s="81"/>
      <c r="AB111" s="81">
        <f>'Praroop-20 hindi'!H114</f>
        <v>0</v>
      </c>
      <c r="AC111" s="81">
        <v>7</v>
      </c>
      <c r="AD111" s="81"/>
      <c r="AE111" s="81">
        <f>'Praroop-20 hindi'!I114</f>
        <v>0</v>
      </c>
      <c r="AF111" s="81">
        <v>8</v>
      </c>
      <c r="AG111" s="81"/>
      <c r="AH111" s="81">
        <f>'Praroop-20 hindi'!J114</f>
        <v>0</v>
      </c>
      <c r="AI111" s="81">
        <v>9</v>
      </c>
      <c r="AJ111" s="81"/>
      <c r="AK111" s="81">
        <f>'Praroop-20 hindi'!K114</f>
        <v>2</v>
      </c>
      <c r="AL111" s="81">
        <v>10</v>
      </c>
      <c r="AM111" s="81"/>
      <c r="AN111" s="81">
        <f>'Praroop-20 hindi'!L114</f>
        <v>2</v>
      </c>
      <c r="AO111" s="81">
        <v>11</v>
      </c>
      <c r="AP111" s="81"/>
      <c r="AQ111" s="81">
        <f>'Praroop-20 hindi'!M114</f>
        <v>0</v>
      </c>
      <c r="AR111" s="81">
        <f t="shared" si="3"/>
        <v>681</v>
      </c>
    </row>
    <row r="112" spans="1:44" ht="25.5">
      <c r="A112" s="81">
        <v>64</v>
      </c>
      <c r="B112" s="41">
        <v>106</v>
      </c>
      <c r="C112" s="113" t="s">
        <v>231</v>
      </c>
      <c r="D112" s="117">
        <v>312</v>
      </c>
      <c r="E112" s="110">
        <v>85</v>
      </c>
      <c r="F112" s="110">
        <v>69</v>
      </c>
      <c r="G112" s="110">
        <v>0</v>
      </c>
      <c r="H112" s="111">
        <f t="shared" si="2"/>
        <v>154</v>
      </c>
      <c r="I112" s="112">
        <v>154</v>
      </c>
      <c r="J112" s="110">
        <v>0</v>
      </c>
      <c r="K112" s="110">
        <v>1</v>
      </c>
      <c r="L112" s="81"/>
      <c r="M112" s="81">
        <f>'Praroop-20 hindi'!C115</f>
        <v>2</v>
      </c>
      <c r="N112" s="81">
        <v>2</v>
      </c>
      <c r="O112" s="81"/>
      <c r="P112" s="81">
        <f>'Praroop-20 hindi'!D115</f>
        <v>40</v>
      </c>
      <c r="Q112" s="81">
        <v>3</v>
      </c>
      <c r="R112" s="81"/>
      <c r="S112" s="81">
        <f>'Praroop-20 hindi'!E115</f>
        <v>111</v>
      </c>
      <c r="T112" s="81">
        <v>4</v>
      </c>
      <c r="U112" s="81"/>
      <c r="V112" s="81">
        <f>'Praroop-20 hindi'!F115</f>
        <v>0</v>
      </c>
      <c r="W112" s="81">
        <v>5</v>
      </c>
      <c r="X112" s="81"/>
      <c r="Y112" s="81">
        <f>'Praroop-20 hindi'!G115</f>
        <v>0</v>
      </c>
      <c r="Z112" s="81">
        <v>6</v>
      </c>
      <c r="AA112" s="81"/>
      <c r="AB112" s="81">
        <f>'Praroop-20 hindi'!H115</f>
        <v>0</v>
      </c>
      <c r="AC112" s="81">
        <v>7</v>
      </c>
      <c r="AD112" s="81"/>
      <c r="AE112" s="81">
        <f>'Praroop-20 hindi'!I115</f>
        <v>0</v>
      </c>
      <c r="AF112" s="81">
        <v>8</v>
      </c>
      <c r="AG112" s="81"/>
      <c r="AH112" s="81">
        <f>'Praroop-20 hindi'!J115</f>
        <v>0</v>
      </c>
      <c r="AI112" s="81">
        <v>9</v>
      </c>
      <c r="AJ112" s="81"/>
      <c r="AK112" s="81">
        <f>'Praroop-20 hindi'!K115</f>
        <v>0</v>
      </c>
      <c r="AL112" s="81">
        <v>10</v>
      </c>
      <c r="AM112" s="81"/>
      <c r="AN112" s="81">
        <f>'Praroop-20 hindi'!L115</f>
        <v>0</v>
      </c>
      <c r="AO112" s="81">
        <v>11</v>
      </c>
      <c r="AP112" s="81"/>
      <c r="AQ112" s="81">
        <f>'Praroop-20 hindi'!M115</f>
        <v>1</v>
      </c>
      <c r="AR112" s="81">
        <f t="shared" si="3"/>
        <v>154</v>
      </c>
    </row>
    <row r="113" spans="1:44" ht="25.5">
      <c r="A113" s="81">
        <v>64</v>
      </c>
      <c r="B113" s="41">
        <v>107</v>
      </c>
      <c r="C113" s="113" t="s">
        <v>232</v>
      </c>
      <c r="D113" s="117">
        <v>790</v>
      </c>
      <c r="E113" s="110">
        <v>277</v>
      </c>
      <c r="F113" s="110">
        <v>232</v>
      </c>
      <c r="G113" s="110">
        <v>0</v>
      </c>
      <c r="H113" s="111">
        <f t="shared" si="2"/>
        <v>509</v>
      </c>
      <c r="I113" s="112">
        <v>450</v>
      </c>
      <c r="J113" s="110">
        <v>0</v>
      </c>
      <c r="K113" s="110">
        <v>1</v>
      </c>
      <c r="L113" s="81"/>
      <c r="M113" s="81">
        <f>'Praroop-20 hindi'!C116</f>
        <v>3</v>
      </c>
      <c r="N113" s="81">
        <v>2</v>
      </c>
      <c r="O113" s="81"/>
      <c r="P113" s="81">
        <f>'Praroop-20 hindi'!D116</f>
        <v>486</v>
      </c>
      <c r="Q113" s="81">
        <v>3</v>
      </c>
      <c r="R113" s="81"/>
      <c r="S113" s="81">
        <f>'Praroop-20 hindi'!E116</f>
        <v>15</v>
      </c>
      <c r="T113" s="81">
        <v>4</v>
      </c>
      <c r="U113" s="81"/>
      <c r="V113" s="81">
        <f>'Praroop-20 hindi'!F116</f>
        <v>0</v>
      </c>
      <c r="W113" s="81">
        <v>5</v>
      </c>
      <c r="X113" s="81"/>
      <c r="Y113" s="81">
        <f>'Praroop-20 hindi'!G116</f>
        <v>0</v>
      </c>
      <c r="Z113" s="81">
        <v>6</v>
      </c>
      <c r="AA113" s="81"/>
      <c r="AB113" s="81">
        <f>'Praroop-20 hindi'!H116</f>
        <v>0</v>
      </c>
      <c r="AC113" s="81">
        <v>7</v>
      </c>
      <c r="AD113" s="81"/>
      <c r="AE113" s="81">
        <f>'Praroop-20 hindi'!I116</f>
        <v>0</v>
      </c>
      <c r="AF113" s="81">
        <v>8</v>
      </c>
      <c r="AG113" s="81"/>
      <c r="AH113" s="81">
        <f>'Praroop-20 hindi'!J116</f>
        <v>1</v>
      </c>
      <c r="AI113" s="81">
        <v>9</v>
      </c>
      <c r="AJ113" s="81"/>
      <c r="AK113" s="81">
        <f>'Praroop-20 hindi'!K116</f>
        <v>2</v>
      </c>
      <c r="AL113" s="81">
        <v>10</v>
      </c>
      <c r="AM113" s="81"/>
      <c r="AN113" s="81">
        <f>'Praroop-20 hindi'!L116</f>
        <v>0</v>
      </c>
      <c r="AO113" s="81">
        <v>11</v>
      </c>
      <c r="AP113" s="81"/>
      <c r="AQ113" s="81">
        <f>'Praroop-20 hindi'!M116</f>
        <v>1</v>
      </c>
      <c r="AR113" s="81">
        <f t="shared" si="3"/>
        <v>508</v>
      </c>
    </row>
    <row r="114" spans="1:44" ht="25.5">
      <c r="A114" s="81">
        <v>64</v>
      </c>
      <c r="B114" s="41">
        <v>108</v>
      </c>
      <c r="C114" s="113" t="s">
        <v>233</v>
      </c>
      <c r="D114" s="117">
        <v>739</v>
      </c>
      <c r="E114" s="110">
        <v>271</v>
      </c>
      <c r="F114" s="110">
        <v>227</v>
      </c>
      <c r="G114" s="110">
        <v>0</v>
      </c>
      <c r="H114" s="111">
        <f t="shared" si="2"/>
        <v>498</v>
      </c>
      <c r="I114" s="112">
        <v>488</v>
      </c>
      <c r="J114" s="110">
        <v>0</v>
      </c>
      <c r="K114" s="110">
        <v>1</v>
      </c>
      <c r="L114" s="81"/>
      <c r="M114" s="81">
        <f>'Praroop-20 hindi'!C117</f>
        <v>3</v>
      </c>
      <c r="N114" s="81">
        <v>2</v>
      </c>
      <c r="O114" s="81"/>
      <c r="P114" s="81">
        <f>'Praroop-20 hindi'!D117</f>
        <v>474</v>
      </c>
      <c r="Q114" s="81">
        <v>3</v>
      </c>
      <c r="R114" s="81"/>
      <c r="S114" s="81">
        <f>'Praroop-20 hindi'!E117</f>
        <v>15</v>
      </c>
      <c r="T114" s="81">
        <v>4</v>
      </c>
      <c r="U114" s="81"/>
      <c r="V114" s="81">
        <f>'Praroop-20 hindi'!F117</f>
        <v>2</v>
      </c>
      <c r="W114" s="81">
        <v>5</v>
      </c>
      <c r="X114" s="81"/>
      <c r="Y114" s="81">
        <f>'Praroop-20 hindi'!G117</f>
        <v>0</v>
      </c>
      <c r="Z114" s="81">
        <v>6</v>
      </c>
      <c r="AA114" s="81"/>
      <c r="AB114" s="81">
        <f>'Praroop-20 hindi'!H117</f>
        <v>0</v>
      </c>
      <c r="AC114" s="81">
        <v>7</v>
      </c>
      <c r="AD114" s="81"/>
      <c r="AE114" s="81">
        <f>'Praroop-20 hindi'!I117</f>
        <v>0</v>
      </c>
      <c r="AF114" s="81">
        <v>8</v>
      </c>
      <c r="AG114" s="81"/>
      <c r="AH114" s="81">
        <f>'Praroop-20 hindi'!J117</f>
        <v>0</v>
      </c>
      <c r="AI114" s="81">
        <v>9</v>
      </c>
      <c r="AJ114" s="81"/>
      <c r="AK114" s="81">
        <f>'Praroop-20 hindi'!K117</f>
        <v>0</v>
      </c>
      <c r="AL114" s="81">
        <v>10</v>
      </c>
      <c r="AM114" s="81"/>
      <c r="AN114" s="81">
        <f>'Praroop-20 hindi'!L117</f>
        <v>2</v>
      </c>
      <c r="AO114" s="81">
        <v>11</v>
      </c>
      <c r="AP114" s="81"/>
      <c r="AQ114" s="81">
        <f>'Praroop-20 hindi'!M117</f>
        <v>2</v>
      </c>
      <c r="AR114" s="81">
        <f t="shared" si="3"/>
        <v>498</v>
      </c>
    </row>
    <row r="115" spans="1:44">
      <c r="A115" s="81">
        <v>64</v>
      </c>
      <c r="B115" s="41">
        <v>109</v>
      </c>
      <c r="C115" s="113" t="s">
        <v>234</v>
      </c>
      <c r="D115" s="117">
        <v>597</v>
      </c>
      <c r="E115" s="110">
        <v>175</v>
      </c>
      <c r="F115" s="110">
        <v>135</v>
      </c>
      <c r="G115" s="110">
        <v>0</v>
      </c>
      <c r="H115" s="111">
        <f t="shared" si="2"/>
        <v>310</v>
      </c>
      <c r="I115" s="112">
        <v>310</v>
      </c>
      <c r="J115" s="110">
        <v>0</v>
      </c>
      <c r="K115" s="110">
        <v>1</v>
      </c>
      <c r="L115" s="81"/>
      <c r="M115" s="81">
        <f>'Praroop-20 hindi'!C118</f>
        <v>0</v>
      </c>
      <c r="N115" s="81">
        <v>2</v>
      </c>
      <c r="O115" s="81"/>
      <c r="P115" s="81">
        <f>'Praroop-20 hindi'!D118</f>
        <v>39</v>
      </c>
      <c r="Q115" s="81">
        <v>3</v>
      </c>
      <c r="R115" s="81"/>
      <c r="S115" s="81">
        <f>'Praroop-20 hindi'!E118</f>
        <v>269</v>
      </c>
      <c r="T115" s="81">
        <v>4</v>
      </c>
      <c r="U115" s="81"/>
      <c r="V115" s="81">
        <f>'Praroop-20 hindi'!F118</f>
        <v>1</v>
      </c>
      <c r="W115" s="81">
        <v>5</v>
      </c>
      <c r="X115" s="81"/>
      <c r="Y115" s="81">
        <f>'Praroop-20 hindi'!G118</f>
        <v>0</v>
      </c>
      <c r="Z115" s="81">
        <v>6</v>
      </c>
      <c r="AA115" s="81"/>
      <c r="AB115" s="81">
        <f>'Praroop-20 hindi'!H118</f>
        <v>0</v>
      </c>
      <c r="AC115" s="81">
        <v>7</v>
      </c>
      <c r="AD115" s="81"/>
      <c r="AE115" s="81">
        <f>'Praroop-20 hindi'!I118</f>
        <v>0</v>
      </c>
      <c r="AF115" s="81">
        <v>8</v>
      </c>
      <c r="AG115" s="81"/>
      <c r="AH115" s="81">
        <f>'Praroop-20 hindi'!J118</f>
        <v>0</v>
      </c>
      <c r="AI115" s="81">
        <v>9</v>
      </c>
      <c r="AJ115" s="81"/>
      <c r="AK115" s="81">
        <f>'Praroop-20 hindi'!K118</f>
        <v>0</v>
      </c>
      <c r="AL115" s="81">
        <v>10</v>
      </c>
      <c r="AM115" s="81"/>
      <c r="AN115" s="81">
        <f>'Praroop-20 hindi'!L118</f>
        <v>1</v>
      </c>
      <c r="AO115" s="81">
        <v>11</v>
      </c>
      <c r="AP115" s="81"/>
      <c r="AQ115" s="81">
        <f>'Praroop-20 hindi'!M118</f>
        <v>0</v>
      </c>
      <c r="AR115" s="81">
        <f t="shared" si="3"/>
        <v>310</v>
      </c>
    </row>
    <row r="116" spans="1:44" ht="25.5">
      <c r="A116" s="81">
        <v>64</v>
      </c>
      <c r="B116" s="41">
        <v>110</v>
      </c>
      <c r="C116" s="113" t="s">
        <v>235</v>
      </c>
      <c r="D116" s="117">
        <v>902</v>
      </c>
      <c r="E116" s="110">
        <v>270</v>
      </c>
      <c r="F116" s="110">
        <v>249</v>
      </c>
      <c r="G116" s="110">
        <v>0</v>
      </c>
      <c r="H116" s="111">
        <f t="shared" si="2"/>
        <v>519</v>
      </c>
      <c r="I116" s="112">
        <v>467</v>
      </c>
      <c r="J116" s="110">
        <v>0</v>
      </c>
      <c r="K116" s="110">
        <v>1</v>
      </c>
      <c r="L116" s="81"/>
      <c r="M116" s="81">
        <f>'Praroop-20 hindi'!C119</f>
        <v>84</v>
      </c>
      <c r="N116" s="81">
        <v>2</v>
      </c>
      <c r="O116" s="81"/>
      <c r="P116" s="81">
        <f>'Praroop-20 hindi'!D119</f>
        <v>119</v>
      </c>
      <c r="Q116" s="81">
        <v>3</v>
      </c>
      <c r="R116" s="81"/>
      <c r="S116" s="81">
        <f>'Praroop-20 hindi'!E119</f>
        <v>305</v>
      </c>
      <c r="T116" s="81">
        <v>4</v>
      </c>
      <c r="U116" s="81"/>
      <c r="V116" s="81">
        <f>'Praroop-20 hindi'!F119</f>
        <v>3</v>
      </c>
      <c r="W116" s="81">
        <v>5</v>
      </c>
      <c r="X116" s="81"/>
      <c r="Y116" s="81">
        <f>'Praroop-20 hindi'!G119</f>
        <v>0</v>
      </c>
      <c r="Z116" s="81">
        <v>6</v>
      </c>
      <c r="AA116" s="81"/>
      <c r="AB116" s="81">
        <f>'Praroop-20 hindi'!H119</f>
        <v>1</v>
      </c>
      <c r="AC116" s="81">
        <v>7</v>
      </c>
      <c r="AD116" s="81"/>
      <c r="AE116" s="81">
        <f>'Praroop-20 hindi'!I119</f>
        <v>1</v>
      </c>
      <c r="AF116" s="81">
        <v>8</v>
      </c>
      <c r="AG116" s="81"/>
      <c r="AH116" s="81">
        <f>'Praroop-20 hindi'!J119</f>
        <v>1</v>
      </c>
      <c r="AI116" s="81">
        <v>9</v>
      </c>
      <c r="AJ116" s="81"/>
      <c r="AK116" s="81">
        <f>'Praroop-20 hindi'!K119</f>
        <v>1</v>
      </c>
      <c r="AL116" s="81">
        <v>10</v>
      </c>
      <c r="AM116" s="81"/>
      <c r="AN116" s="81">
        <f>'Praroop-20 hindi'!L119</f>
        <v>1</v>
      </c>
      <c r="AO116" s="81">
        <v>11</v>
      </c>
      <c r="AP116" s="81"/>
      <c r="AQ116" s="81">
        <f>'Praroop-20 hindi'!M119</f>
        <v>1</v>
      </c>
      <c r="AR116" s="81">
        <f t="shared" si="3"/>
        <v>517</v>
      </c>
    </row>
    <row r="117" spans="1:44" ht="25.5">
      <c r="A117" s="81">
        <v>64</v>
      </c>
      <c r="B117" s="41">
        <v>111</v>
      </c>
      <c r="C117" s="113" t="s">
        <v>236</v>
      </c>
      <c r="D117" s="117">
        <v>851</v>
      </c>
      <c r="E117" s="110">
        <v>280</v>
      </c>
      <c r="F117" s="110">
        <v>244</v>
      </c>
      <c r="G117" s="110">
        <v>0</v>
      </c>
      <c r="H117" s="111">
        <f t="shared" si="2"/>
        <v>524</v>
      </c>
      <c r="I117" s="112">
        <v>524</v>
      </c>
      <c r="J117" s="110">
        <v>0</v>
      </c>
      <c r="K117" s="110">
        <v>1</v>
      </c>
      <c r="L117" s="81"/>
      <c r="M117" s="81">
        <f>'Praroop-20 hindi'!C120</f>
        <v>166</v>
      </c>
      <c r="N117" s="81">
        <v>2</v>
      </c>
      <c r="O117" s="81"/>
      <c r="P117" s="81">
        <f>'Praroop-20 hindi'!D120</f>
        <v>137</v>
      </c>
      <c r="Q117" s="81">
        <v>3</v>
      </c>
      <c r="R117" s="81"/>
      <c r="S117" s="81">
        <f>'Praroop-20 hindi'!E120</f>
        <v>196</v>
      </c>
      <c r="T117" s="81">
        <v>4</v>
      </c>
      <c r="U117" s="81"/>
      <c r="V117" s="81">
        <f>'Praroop-20 hindi'!F120</f>
        <v>4</v>
      </c>
      <c r="W117" s="81">
        <v>5</v>
      </c>
      <c r="X117" s="81"/>
      <c r="Y117" s="81">
        <f>'Praroop-20 hindi'!G120</f>
        <v>1</v>
      </c>
      <c r="Z117" s="81">
        <v>6</v>
      </c>
      <c r="AA117" s="81"/>
      <c r="AB117" s="81">
        <f>'Praroop-20 hindi'!H120</f>
        <v>0</v>
      </c>
      <c r="AC117" s="81">
        <v>7</v>
      </c>
      <c r="AD117" s="81"/>
      <c r="AE117" s="81">
        <f>'Praroop-20 hindi'!I120</f>
        <v>1</v>
      </c>
      <c r="AF117" s="81">
        <v>8</v>
      </c>
      <c r="AG117" s="81"/>
      <c r="AH117" s="81">
        <f>'Praroop-20 hindi'!J120</f>
        <v>1</v>
      </c>
      <c r="AI117" s="81">
        <v>9</v>
      </c>
      <c r="AJ117" s="81"/>
      <c r="AK117" s="81">
        <f>'Praroop-20 hindi'!K120</f>
        <v>1</v>
      </c>
      <c r="AL117" s="81">
        <v>10</v>
      </c>
      <c r="AM117" s="81"/>
      <c r="AN117" s="81">
        <f>'Praroop-20 hindi'!L120</f>
        <v>4</v>
      </c>
      <c r="AO117" s="81">
        <v>11</v>
      </c>
      <c r="AP117" s="81"/>
      <c r="AQ117" s="81">
        <f>'Praroop-20 hindi'!M120</f>
        <v>4</v>
      </c>
      <c r="AR117" s="81">
        <f t="shared" si="3"/>
        <v>515</v>
      </c>
    </row>
    <row r="118" spans="1:44" ht="25.5">
      <c r="A118" s="81">
        <v>64</v>
      </c>
      <c r="B118" s="41">
        <v>112</v>
      </c>
      <c r="C118" s="113" t="s">
        <v>237</v>
      </c>
      <c r="D118" s="117">
        <v>848</v>
      </c>
      <c r="E118" s="110">
        <v>259</v>
      </c>
      <c r="F118" s="110">
        <v>202</v>
      </c>
      <c r="G118" s="110">
        <v>0</v>
      </c>
      <c r="H118" s="111">
        <f t="shared" si="2"/>
        <v>461</v>
      </c>
      <c r="I118" s="112">
        <v>451</v>
      </c>
      <c r="J118" s="110">
        <v>0</v>
      </c>
      <c r="K118" s="110">
        <v>1</v>
      </c>
      <c r="L118" s="81"/>
      <c r="M118" s="81">
        <f>'Praroop-20 hindi'!C121</f>
        <v>35</v>
      </c>
      <c r="N118" s="81">
        <v>2</v>
      </c>
      <c r="O118" s="81"/>
      <c r="P118" s="81">
        <f>'Praroop-20 hindi'!D121</f>
        <v>154</v>
      </c>
      <c r="Q118" s="81">
        <v>3</v>
      </c>
      <c r="R118" s="81"/>
      <c r="S118" s="81">
        <f>'Praroop-20 hindi'!E121</f>
        <v>263</v>
      </c>
      <c r="T118" s="81">
        <v>4</v>
      </c>
      <c r="U118" s="81"/>
      <c r="V118" s="81">
        <f>'Praroop-20 hindi'!F121</f>
        <v>5</v>
      </c>
      <c r="W118" s="81">
        <v>5</v>
      </c>
      <c r="X118" s="81"/>
      <c r="Y118" s="81">
        <f>'Praroop-20 hindi'!G121</f>
        <v>1</v>
      </c>
      <c r="Z118" s="81">
        <v>6</v>
      </c>
      <c r="AA118" s="81"/>
      <c r="AB118" s="81">
        <f>'Praroop-20 hindi'!H121</f>
        <v>0</v>
      </c>
      <c r="AC118" s="81">
        <v>7</v>
      </c>
      <c r="AD118" s="81"/>
      <c r="AE118" s="81">
        <f>'Praroop-20 hindi'!I121</f>
        <v>0</v>
      </c>
      <c r="AF118" s="81">
        <v>8</v>
      </c>
      <c r="AG118" s="81"/>
      <c r="AH118" s="81">
        <f>'Praroop-20 hindi'!J121</f>
        <v>0</v>
      </c>
      <c r="AI118" s="81">
        <v>9</v>
      </c>
      <c r="AJ118" s="81"/>
      <c r="AK118" s="81">
        <f>'Praroop-20 hindi'!K121</f>
        <v>0</v>
      </c>
      <c r="AL118" s="81">
        <v>10</v>
      </c>
      <c r="AM118" s="81"/>
      <c r="AN118" s="81">
        <f>'Praroop-20 hindi'!L121</f>
        <v>1</v>
      </c>
      <c r="AO118" s="81">
        <v>11</v>
      </c>
      <c r="AP118" s="81"/>
      <c r="AQ118" s="81">
        <f>'Praroop-20 hindi'!M121</f>
        <v>0</v>
      </c>
      <c r="AR118" s="81">
        <f t="shared" si="3"/>
        <v>459</v>
      </c>
    </row>
    <row r="119" spans="1:44" ht="25.5">
      <c r="A119" s="81">
        <v>64</v>
      </c>
      <c r="B119" s="41">
        <v>113</v>
      </c>
      <c r="C119" s="113" t="s">
        <v>238</v>
      </c>
      <c r="D119" s="117">
        <v>858</v>
      </c>
      <c r="E119" s="110">
        <v>227</v>
      </c>
      <c r="F119" s="110">
        <v>218</v>
      </c>
      <c r="G119" s="110">
        <v>0</v>
      </c>
      <c r="H119" s="111">
        <f t="shared" si="2"/>
        <v>445</v>
      </c>
      <c r="I119" s="112">
        <v>416</v>
      </c>
      <c r="J119" s="110">
        <v>0</v>
      </c>
      <c r="K119" s="110">
        <v>1</v>
      </c>
      <c r="L119" s="81"/>
      <c r="M119" s="81">
        <f>'Praroop-20 hindi'!C122</f>
        <v>11</v>
      </c>
      <c r="N119" s="81">
        <v>2</v>
      </c>
      <c r="O119" s="81"/>
      <c r="P119" s="81">
        <f>'Praroop-20 hindi'!D122</f>
        <v>153</v>
      </c>
      <c r="Q119" s="81">
        <v>3</v>
      </c>
      <c r="R119" s="81"/>
      <c r="S119" s="81">
        <f>'Praroop-20 hindi'!E122</f>
        <v>276</v>
      </c>
      <c r="T119" s="81">
        <v>4</v>
      </c>
      <c r="U119" s="81"/>
      <c r="V119" s="81">
        <f>'Praroop-20 hindi'!F122</f>
        <v>0</v>
      </c>
      <c r="W119" s="81">
        <v>5</v>
      </c>
      <c r="X119" s="81"/>
      <c r="Y119" s="81">
        <f>'Praroop-20 hindi'!G122</f>
        <v>3</v>
      </c>
      <c r="Z119" s="81">
        <v>6</v>
      </c>
      <c r="AA119" s="81"/>
      <c r="AB119" s="81">
        <f>'Praroop-20 hindi'!H122</f>
        <v>1</v>
      </c>
      <c r="AC119" s="81">
        <v>7</v>
      </c>
      <c r="AD119" s="81"/>
      <c r="AE119" s="81">
        <f>'Praroop-20 hindi'!I122</f>
        <v>0</v>
      </c>
      <c r="AF119" s="81">
        <v>8</v>
      </c>
      <c r="AG119" s="81"/>
      <c r="AH119" s="81">
        <f>'Praroop-20 hindi'!J122</f>
        <v>0</v>
      </c>
      <c r="AI119" s="81">
        <v>9</v>
      </c>
      <c r="AJ119" s="81"/>
      <c r="AK119" s="81">
        <f>'Praroop-20 hindi'!K122</f>
        <v>0</v>
      </c>
      <c r="AL119" s="81">
        <v>10</v>
      </c>
      <c r="AM119" s="81"/>
      <c r="AN119" s="81">
        <f>'Praroop-20 hindi'!L122</f>
        <v>0</v>
      </c>
      <c r="AO119" s="81">
        <v>11</v>
      </c>
      <c r="AP119" s="81"/>
      <c r="AQ119" s="81">
        <f>'Praroop-20 hindi'!M122</f>
        <v>0</v>
      </c>
      <c r="AR119" s="81">
        <f t="shared" si="3"/>
        <v>444</v>
      </c>
    </row>
    <row r="120" spans="1:44" ht="25.5">
      <c r="A120" s="81">
        <v>64</v>
      </c>
      <c r="B120" s="41">
        <v>114</v>
      </c>
      <c r="C120" s="113" t="s">
        <v>239</v>
      </c>
      <c r="D120" s="117">
        <v>933</v>
      </c>
      <c r="E120" s="110">
        <v>261</v>
      </c>
      <c r="F120" s="110">
        <v>204</v>
      </c>
      <c r="G120" s="110">
        <v>0</v>
      </c>
      <c r="H120" s="111">
        <f t="shared" si="2"/>
        <v>465</v>
      </c>
      <c r="I120" s="112">
        <v>455</v>
      </c>
      <c r="J120" s="110">
        <v>0</v>
      </c>
      <c r="K120" s="110">
        <v>1</v>
      </c>
      <c r="L120" s="81"/>
      <c r="M120" s="81">
        <f>'Praroop-20 hindi'!C123</f>
        <v>9</v>
      </c>
      <c r="N120" s="81">
        <v>2</v>
      </c>
      <c r="O120" s="81"/>
      <c r="P120" s="81">
        <f>'Praroop-20 hindi'!D123</f>
        <v>123</v>
      </c>
      <c r="Q120" s="81">
        <v>3</v>
      </c>
      <c r="R120" s="81"/>
      <c r="S120" s="81">
        <f>'Praroop-20 hindi'!E123</f>
        <v>331</v>
      </c>
      <c r="T120" s="81">
        <v>4</v>
      </c>
      <c r="U120" s="81"/>
      <c r="V120" s="81">
        <f>'Praroop-20 hindi'!F123</f>
        <v>0</v>
      </c>
      <c r="W120" s="81">
        <v>5</v>
      </c>
      <c r="X120" s="81"/>
      <c r="Y120" s="81">
        <f>'Praroop-20 hindi'!G123</f>
        <v>1</v>
      </c>
      <c r="Z120" s="81">
        <v>6</v>
      </c>
      <c r="AA120" s="81"/>
      <c r="AB120" s="81">
        <f>'Praroop-20 hindi'!H123</f>
        <v>0</v>
      </c>
      <c r="AC120" s="81">
        <v>7</v>
      </c>
      <c r="AD120" s="81"/>
      <c r="AE120" s="81">
        <f>'Praroop-20 hindi'!I123</f>
        <v>0</v>
      </c>
      <c r="AF120" s="81">
        <v>8</v>
      </c>
      <c r="AG120" s="81"/>
      <c r="AH120" s="81">
        <f>'Praroop-20 hindi'!J123</f>
        <v>0</v>
      </c>
      <c r="AI120" s="81">
        <v>9</v>
      </c>
      <c r="AJ120" s="81"/>
      <c r="AK120" s="81">
        <f>'Praroop-20 hindi'!K123</f>
        <v>0</v>
      </c>
      <c r="AL120" s="81">
        <v>10</v>
      </c>
      <c r="AM120" s="81"/>
      <c r="AN120" s="81">
        <f>'Praroop-20 hindi'!L123</f>
        <v>0</v>
      </c>
      <c r="AO120" s="81">
        <v>11</v>
      </c>
      <c r="AP120" s="81"/>
      <c r="AQ120" s="81">
        <f>'Praroop-20 hindi'!M123</f>
        <v>0</v>
      </c>
      <c r="AR120" s="81">
        <f t="shared" si="3"/>
        <v>464</v>
      </c>
    </row>
    <row r="121" spans="1:44" ht="25.5">
      <c r="A121" s="81">
        <v>64</v>
      </c>
      <c r="B121" s="41">
        <v>115</v>
      </c>
      <c r="C121" s="113" t="s">
        <v>240</v>
      </c>
      <c r="D121" s="117">
        <v>736</v>
      </c>
      <c r="E121" s="110">
        <v>247</v>
      </c>
      <c r="F121" s="110">
        <v>206</v>
      </c>
      <c r="G121" s="110">
        <v>0</v>
      </c>
      <c r="H121" s="111">
        <f t="shared" si="2"/>
        <v>453</v>
      </c>
      <c r="I121" s="112">
        <v>387</v>
      </c>
      <c r="J121" s="110">
        <v>0</v>
      </c>
      <c r="K121" s="110">
        <v>1</v>
      </c>
      <c r="L121" s="81"/>
      <c r="M121" s="81">
        <f>'Praroop-20 hindi'!C124</f>
        <v>11</v>
      </c>
      <c r="N121" s="81">
        <v>2</v>
      </c>
      <c r="O121" s="81"/>
      <c r="P121" s="81">
        <f>'Praroop-20 hindi'!D124</f>
        <v>92</v>
      </c>
      <c r="Q121" s="81">
        <v>3</v>
      </c>
      <c r="R121" s="81"/>
      <c r="S121" s="81">
        <f>'Praroop-20 hindi'!E124</f>
        <v>347</v>
      </c>
      <c r="T121" s="81">
        <v>4</v>
      </c>
      <c r="U121" s="81"/>
      <c r="V121" s="81">
        <f>'Praroop-20 hindi'!F124</f>
        <v>0</v>
      </c>
      <c r="W121" s="81">
        <v>5</v>
      </c>
      <c r="X121" s="81"/>
      <c r="Y121" s="81">
        <f>'Praroop-20 hindi'!G124</f>
        <v>1</v>
      </c>
      <c r="Z121" s="81">
        <v>6</v>
      </c>
      <c r="AA121" s="81"/>
      <c r="AB121" s="81">
        <f>'Praroop-20 hindi'!H124</f>
        <v>0</v>
      </c>
      <c r="AC121" s="81">
        <v>7</v>
      </c>
      <c r="AD121" s="81"/>
      <c r="AE121" s="81">
        <f>'Praroop-20 hindi'!I124</f>
        <v>0</v>
      </c>
      <c r="AF121" s="81">
        <v>8</v>
      </c>
      <c r="AG121" s="81"/>
      <c r="AH121" s="81">
        <f>'Praroop-20 hindi'!J124</f>
        <v>0</v>
      </c>
      <c r="AI121" s="81">
        <v>9</v>
      </c>
      <c r="AJ121" s="81"/>
      <c r="AK121" s="81">
        <f>'Praroop-20 hindi'!K124</f>
        <v>0</v>
      </c>
      <c r="AL121" s="81">
        <v>10</v>
      </c>
      <c r="AM121" s="81"/>
      <c r="AN121" s="81">
        <f>'Praroop-20 hindi'!L124</f>
        <v>0</v>
      </c>
      <c r="AO121" s="81">
        <v>11</v>
      </c>
      <c r="AP121" s="81"/>
      <c r="AQ121" s="81">
        <f>'Praroop-20 hindi'!M124</f>
        <v>0</v>
      </c>
      <c r="AR121" s="81">
        <f t="shared" si="3"/>
        <v>451</v>
      </c>
    </row>
    <row r="122" spans="1:44" ht="25.5">
      <c r="A122" s="81">
        <v>64</v>
      </c>
      <c r="B122" s="41">
        <v>116</v>
      </c>
      <c r="C122" s="113" t="s">
        <v>241</v>
      </c>
      <c r="D122" s="117">
        <v>929</v>
      </c>
      <c r="E122" s="110">
        <v>320</v>
      </c>
      <c r="F122" s="110">
        <v>289</v>
      </c>
      <c r="G122" s="110">
        <v>0</v>
      </c>
      <c r="H122" s="111">
        <f t="shared" si="2"/>
        <v>609</v>
      </c>
      <c r="I122" s="112">
        <v>583</v>
      </c>
      <c r="J122" s="110">
        <v>0</v>
      </c>
      <c r="K122" s="110">
        <v>1</v>
      </c>
      <c r="L122" s="81"/>
      <c r="M122" s="81">
        <f>'Praroop-20 hindi'!C125</f>
        <v>31</v>
      </c>
      <c r="N122" s="81">
        <v>2</v>
      </c>
      <c r="O122" s="81"/>
      <c r="P122" s="81">
        <f>'Praroop-20 hindi'!D125</f>
        <v>429</v>
      </c>
      <c r="Q122" s="81">
        <v>3</v>
      </c>
      <c r="R122" s="81"/>
      <c r="S122" s="81">
        <f>'Praroop-20 hindi'!E125</f>
        <v>128</v>
      </c>
      <c r="T122" s="81">
        <v>4</v>
      </c>
      <c r="U122" s="81"/>
      <c r="V122" s="81">
        <f>'Praroop-20 hindi'!F125</f>
        <v>1</v>
      </c>
      <c r="W122" s="81">
        <v>5</v>
      </c>
      <c r="X122" s="81"/>
      <c r="Y122" s="81">
        <f>'Praroop-20 hindi'!G125</f>
        <v>2</v>
      </c>
      <c r="Z122" s="81">
        <v>6</v>
      </c>
      <c r="AA122" s="81"/>
      <c r="AB122" s="81">
        <f>'Praroop-20 hindi'!H125</f>
        <v>0</v>
      </c>
      <c r="AC122" s="81">
        <v>7</v>
      </c>
      <c r="AD122" s="81"/>
      <c r="AE122" s="81">
        <f>'Praroop-20 hindi'!I125</f>
        <v>0</v>
      </c>
      <c r="AF122" s="81">
        <v>8</v>
      </c>
      <c r="AG122" s="81"/>
      <c r="AH122" s="81">
        <f>'Praroop-20 hindi'!J125</f>
        <v>2</v>
      </c>
      <c r="AI122" s="81">
        <v>9</v>
      </c>
      <c r="AJ122" s="81"/>
      <c r="AK122" s="81">
        <f>'Praroop-20 hindi'!K125</f>
        <v>7</v>
      </c>
      <c r="AL122" s="81">
        <v>10</v>
      </c>
      <c r="AM122" s="81"/>
      <c r="AN122" s="81">
        <f>'Praroop-20 hindi'!L125</f>
        <v>1</v>
      </c>
      <c r="AO122" s="81">
        <v>11</v>
      </c>
      <c r="AP122" s="81"/>
      <c r="AQ122" s="81">
        <f>'Praroop-20 hindi'!M125</f>
        <v>3</v>
      </c>
      <c r="AR122" s="81">
        <f t="shared" si="3"/>
        <v>604</v>
      </c>
    </row>
    <row r="123" spans="1:44" ht="25.5">
      <c r="A123" s="81">
        <v>64</v>
      </c>
      <c r="B123" s="41">
        <v>117</v>
      </c>
      <c r="C123" s="113" t="s">
        <v>242</v>
      </c>
      <c r="D123" s="117">
        <v>1072</v>
      </c>
      <c r="E123" s="110">
        <v>375</v>
      </c>
      <c r="F123" s="110">
        <v>327</v>
      </c>
      <c r="G123" s="110">
        <v>0</v>
      </c>
      <c r="H123" s="111">
        <f t="shared" si="2"/>
        <v>702</v>
      </c>
      <c r="I123" s="112">
        <v>588</v>
      </c>
      <c r="J123" s="110">
        <v>0</v>
      </c>
      <c r="K123" s="110">
        <v>1</v>
      </c>
      <c r="L123" s="81"/>
      <c r="M123" s="81">
        <f>'Praroop-20 hindi'!C126</f>
        <v>15</v>
      </c>
      <c r="N123" s="81">
        <v>2</v>
      </c>
      <c r="O123" s="81"/>
      <c r="P123" s="81">
        <f>'Praroop-20 hindi'!D126</f>
        <v>169</v>
      </c>
      <c r="Q123" s="81">
        <v>3</v>
      </c>
      <c r="R123" s="81"/>
      <c r="S123" s="81">
        <f>'Praroop-20 hindi'!E126</f>
        <v>510</v>
      </c>
      <c r="T123" s="81">
        <v>4</v>
      </c>
      <c r="U123" s="81"/>
      <c r="V123" s="81">
        <f>'Praroop-20 hindi'!F126</f>
        <v>3</v>
      </c>
      <c r="W123" s="81">
        <v>5</v>
      </c>
      <c r="X123" s="81"/>
      <c r="Y123" s="81">
        <f>'Praroop-20 hindi'!G126</f>
        <v>1</v>
      </c>
      <c r="Z123" s="81">
        <v>6</v>
      </c>
      <c r="AA123" s="81"/>
      <c r="AB123" s="81">
        <f>'Praroop-20 hindi'!H126</f>
        <v>0</v>
      </c>
      <c r="AC123" s="81">
        <v>7</v>
      </c>
      <c r="AD123" s="81"/>
      <c r="AE123" s="81">
        <f>'Praroop-20 hindi'!I126</f>
        <v>0</v>
      </c>
      <c r="AF123" s="81">
        <v>8</v>
      </c>
      <c r="AG123" s="81"/>
      <c r="AH123" s="81">
        <f>'Praroop-20 hindi'!J126</f>
        <v>0</v>
      </c>
      <c r="AI123" s="81">
        <v>9</v>
      </c>
      <c r="AJ123" s="81"/>
      <c r="AK123" s="81">
        <f>'Praroop-20 hindi'!K126</f>
        <v>1</v>
      </c>
      <c r="AL123" s="81">
        <v>10</v>
      </c>
      <c r="AM123" s="81"/>
      <c r="AN123" s="81">
        <f>'Praroop-20 hindi'!L126</f>
        <v>1</v>
      </c>
      <c r="AO123" s="81">
        <v>11</v>
      </c>
      <c r="AP123" s="81"/>
      <c r="AQ123" s="81">
        <f>'Praroop-20 hindi'!M126</f>
        <v>2</v>
      </c>
      <c r="AR123" s="81">
        <f t="shared" si="3"/>
        <v>702</v>
      </c>
    </row>
    <row r="124" spans="1:44" ht="25.5">
      <c r="A124" s="81">
        <v>64</v>
      </c>
      <c r="B124" s="41">
        <v>118</v>
      </c>
      <c r="C124" s="113" t="s">
        <v>243</v>
      </c>
      <c r="D124" s="117">
        <v>780</v>
      </c>
      <c r="E124" s="110">
        <v>269</v>
      </c>
      <c r="F124" s="110">
        <v>227</v>
      </c>
      <c r="G124" s="110">
        <v>0</v>
      </c>
      <c r="H124" s="111">
        <f t="shared" si="2"/>
        <v>496</v>
      </c>
      <c r="I124" s="112">
        <v>455</v>
      </c>
      <c r="J124" s="110">
        <v>0</v>
      </c>
      <c r="K124" s="110">
        <v>1</v>
      </c>
      <c r="L124" s="81"/>
      <c r="M124" s="81">
        <f>'Praroop-20 hindi'!C127</f>
        <v>8</v>
      </c>
      <c r="N124" s="81">
        <v>2</v>
      </c>
      <c r="O124" s="81"/>
      <c r="P124" s="81">
        <f>'Praroop-20 hindi'!D127</f>
        <v>365</v>
      </c>
      <c r="Q124" s="81">
        <v>3</v>
      </c>
      <c r="R124" s="81"/>
      <c r="S124" s="81">
        <f>'Praroop-20 hindi'!E127</f>
        <v>111</v>
      </c>
      <c r="T124" s="81">
        <v>4</v>
      </c>
      <c r="U124" s="81"/>
      <c r="V124" s="81">
        <f>'Praroop-20 hindi'!F127</f>
        <v>1</v>
      </c>
      <c r="W124" s="81">
        <v>5</v>
      </c>
      <c r="X124" s="81"/>
      <c r="Y124" s="81">
        <f>'Praroop-20 hindi'!G127</f>
        <v>2</v>
      </c>
      <c r="Z124" s="81">
        <v>6</v>
      </c>
      <c r="AA124" s="81"/>
      <c r="AB124" s="81">
        <f>'Praroop-20 hindi'!H127</f>
        <v>0</v>
      </c>
      <c r="AC124" s="81">
        <v>7</v>
      </c>
      <c r="AD124" s="81"/>
      <c r="AE124" s="81">
        <f>'Praroop-20 hindi'!I127</f>
        <v>0</v>
      </c>
      <c r="AF124" s="81">
        <v>8</v>
      </c>
      <c r="AG124" s="81"/>
      <c r="AH124" s="81">
        <f>'Praroop-20 hindi'!J127</f>
        <v>5</v>
      </c>
      <c r="AI124" s="81">
        <v>9</v>
      </c>
      <c r="AJ124" s="81"/>
      <c r="AK124" s="81">
        <f>'Praroop-20 hindi'!K127</f>
        <v>0</v>
      </c>
      <c r="AL124" s="81">
        <v>10</v>
      </c>
      <c r="AM124" s="81"/>
      <c r="AN124" s="81">
        <f>'Praroop-20 hindi'!L127</f>
        <v>2</v>
      </c>
      <c r="AO124" s="81">
        <v>11</v>
      </c>
      <c r="AP124" s="81"/>
      <c r="AQ124" s="81">
        <f>'Praroop-20 hindi'!M127</f>
        <v>0</v>
      </c>
      <c r="AR124" s="81">
        <f t="shared" si="3"/>
        <v>494</v>
      </c>
    </row>
    <row r="125" spans="1:44" ht="25.5">
      <c r="A125" s="81">
        <v>64</v>
      </c>
      <c r="B125" s="41">
        <v>119</v>
      </c>
      <c r="C125" s="113" t="s">
        <v>244</v>
      </c>
      <c r="D125" s="117">
        <v>828</v>
      </c>
      <c r="E125" s="110">
        <v>259</v>
      </c>
      <c r="F125" s="110">
        <v>222</v>
      </c>
      <c r="G125" s="110">
        <v>0</v>
      </c>
      <c r="H125" s="111">
        <f t="shared" si="2"/>
        <v>481</v>
      </c>
      <c r="I125" s="112">
        <v>406</v>
      </c>
      <c r="J125" s="110">
        <v>0</v>
      </c>
      <c r="K125" s="110">
        <v>1</v>
      </c>
      <c r="L125" s="81"/>
      <c r="M125" s="81">
        <f>'Praroop-20 hindi'!C128</f>
        <v>6</v>
      </c>
      <c r="N125" s="81">
        <v>2</v>
      </c>
      <c r="O125" s="81"/>
      <c r="P125" s="81">
        <f>'Praroop-20 hindi'!D128</f>
        <v>395</v>
      </c>
      <c r="Q125" s="81">
        <v>3</v>
      </c>
      <c r="R125" s="81"/>
      <c r="S125" s="81">
        <f>'Praroop-20 hindi'!E128</f>
        <v>67</v>
      </c>
      <c r="T125" s="81">
        <v>4</v>
      </c>
      <c r="U125" s="81"/>
      <c r="V125" s="81">
        <f>'Praroop-20 hindi'!F128</f>
        <v>1</v>
      </c>
      <c r="W125" s="81">
        <v>5</v>
      </c>
      <c r="X125" s="81"/>
      <c r="Y125" s="81">
        <f>'Praroop-20 hindi'!G128</f>
        <v>0</v>
      </c>
      <c r="Z125" s="81">
        <v>6</v>
      </c>
      <c r="AA125" s="81"/>
      <c r="AB125" s="81">
        <f>'Praroop-20 hindi'!H128</f>
        <v>0</v>
      </c>
      <c r="AC125" s="81">
        <v>7</v>
      </c>
      <c r="AD125" s="81"/>
      <c r="AE125" s="81">
        <f>'Praroop-20 hindi'!I128</f>
        <v>1</v>
      </c>
      <c r="AF125" s="81">
        <v>8</v>
      </c>
      <c r="AG125" s="81"/>
      <c r="AH125" s="81">
        <f>'Praroop-20 hindi'!J128</f>
        <v>0</v>
      </c>
      <c r="AI125" s="81">
        <v>9</v>
      </c>
      <c r="AJ125" s="81"/>
      <c r="AK125" s="81">
        <f>'Praroop-20 hindi'!K128</f>
        <v>1</v>
      </c>
      <c r="AL125" s="81">
        <v>10</v>
      </c>
      <c r="AM125" s="81"/>
      <c r="AN125" s="81">
        <f>'Praroop-20 hindi'!L128</f>
        <v>5</v>
      </c>
      <c r="AO125" s="81">
        <v>11</v>
      </c>
      <c r="AP125" s="81"/>
      <c r="AQ125" s="81">
        <f>'Praroop-20 hindi'!M128</f>
        <v>1</v>
      </c>
      <c r="AR125" s="81">
        <f t="shared" si="3"/>
        <v>477</v>
      </c>
    </row>
    <row r="126" spans="1:44" ht="25.5">
      <c r="A126" s="81">
        <v>64</v>
      </c>
      <c r="B126" s="41">
        <v>120</v>
      </c>
      <c r="C126" s="113" t="s">
        <v>245</v>
      </c>
      <c r="D126" s="117">
        <v>786</v>
      </c>
      <c r="E126" s="110">
        <v>236</v>
      </c>
      <c r="F126" s="110">
        <v>188</v>
      </c>
      <c r="G126" s="110">
        <v>0</v>
      </c>
      <c r="H126" s="111">
        <f t="shared" si="2"/>
        <v>424</v>
      </c>
      <c r="I126" s="112">
        <v>424</v>
      </c>
      <c r="J126" s="110">
        <v>0</v>
      </c>
      <c r="K126" s="110">
        <v>1</v>
      </c>
      <c r="L126" s="81"/>
      <c r="M126" s="81">
        <f>'Praroop-20 hindi'!C129</f>
        <v>61</v>
      </c>
      <c r="N126" s="81">
        <v>2</v>
      </c>
      <c r="O126" s="81"/>
      <c r="P126" s="81">
        <f>'Praroop-20 hindi'!D129</f>
        <v>277</v>
      </c>
      <c r="Q126" s="81">
        <v>3</v>
      </c>
      <c r="R126" s="81"/>
      <c r="S126" s="81">
        <f>'Praroop-20 hindi'!E129</f>
        <v>67</v>
      </c>
      <c r="T126" s="81">
        <v>4</v>
      </c>
      <c r="U126" s="81"/>
      <c r="V126" s="81">
        <f>'Praroop-20 hindi'!F129</f>
        <v>3</v>
      </c>
      <c r="W126" s="81">
        <v>5</v>
      </c>
      <c r="X126" s="81"/>
      <c r="Y126" s="81">
        <f>'Praroop-20 hindi'!G129</f>
        <v>2</v>
      </c>
      <c r="Z126" s="81">
        <v>6</v>
      </c>
      <c r="AA126" s="81"/>
      <c r="AB126" s="81">
        <f>'Praroop-20 hindi'!H129</f>
        <v>0</v>
      </c>
      <c r="AC126" s="81">
        <v>7</v>
      </c>
      <c r="AD126" s="81"/>
      <c r="AE126" s="81">
        <f>'Praroop-20 hindi'!I129</f>
        <v>1</v>
      </c>
      <c r="AF126" s="81">
        <v>8</v>
      </c>
      <c r="AG126" s="81"/>
      <c r="AH126" s="81">
        <f>'Praroop-20 hindi'!J129</f>
        <v>2</v>
      </c>
      <c r="AI126" s="81">
        <v>9</v>
      </c>
      <c r="AJ126" s="81"/>
      <c r="AK126" s="81">
        <f>'Praroop-20 hindi'!K129</f>
        <v>1</v>
      </c>
      <c r="AL126" s="81">
        <v>10</v>
      </c>
      <c r="AM126" s="81"/>
      <c r="AN126" s="81">
        <f>'Praroop-20 hindi'!L129</f>
        <v>1</v>
      </c>
      <c r="AO126" s="81">
        <v>11</v>
      </c>
      <c r="AP126" s="81"/>
      <c r="AQ126" s="81">
        <f>'Praroop-20 hindi'!M129</f>
        <v>4</v>
      </c>
      <c r="AR126" s="81">
        <f t="shared" si="3"/>
        <v>419</v>
      </c>
    </row>
    <row r="127" spans="1:44" ht="25.5">
      <c r="A127" s="81">
        <v>64</v>
      </c>
      <c r="B127" s="41">
        <v>121</v>
      </c>
      <c r="C127" s="113" t="s">
        <v>246</v>
      </c>
      <c r="D127" s="117">
        <v>848</v>
      </c>
      <c r="E127" s="110">
        <v>323</v>
      </c>
      <c r="F127" s="110">
        <v>262</v>
      </c>
      <c r="G127" s="110">
        <v>0</v>
      </c>
      <c r="H127" s="111">
        <f t="shared" si="2"/>
        <v>585</v>
      </c>
      <c r="I127" s="112">
        <v>585</v>
      </c>
      <c r="J127" s="110">
        <v>0</v>
      </c>
      <c r="K127" s="110">
        <v>1</v>
      </c>
      <c r="L127" s="81"/>
      <c r="M127" s="81">
        <f>'Praroop-20 hindi'!C130</f>
        <v>46</v>
      </c>
      <c r="N127" s="81">
        <v>2</v>
      </c>
      <c r="O127" s="81"/>
      <c r="P127" s="81">
        <f>'Praroop-20 hindi'!D130</f>
        <v>68</v>
      </c>
      <c r="Q127" s="81">
        <v>3</v>
      </c>
      <c r="R127" s="81"/>
      <c r="S127" s="81">
        <f>'Praroop-20 hindi'!E130</f>
        <v>438</v>
      </c>
      <c r="T127" s="81">
        <v>4</v>
      </c>
      <c r="U127" s="81"/>
      <c r="V127" s="81">
        <f>'Praroop-20 hindi'!F130</f>
        <v>3</v>
      </c>
      <c r="W127" s="81">
        <v>5</v>
      </c>
      <c r="X127" s="81"/>
      <c r="Y127" s="81">
        <f>'Praroop-20 hindi'!G130</f>
        <v>0</v>
      </c>
      <c r="Z127" s="81">
        <v>6</v>
      </c>
      <c r="AA127" s="81"/>
      <c r="AB127" s="81">
        <f>'Praroop-20 hindi'!H130</f>
        <v>0</v>
      </c>
      <c r="AC127" s="81">
        <v>7</v>
      </c>
      <c r="AD127" s="81"/>
      <c r="AE127" s="81">
        <f>'Praroop-20 hindi'!I130</f>
        <v>0</v>
      </c>
      <c r="AF127" s="81">
        <v>8</v>
      </c>
      <c r="AG127" s="81"/>
      <c r="AH127" s="81">
        <f>'Praroop-20 hindi'!J130</f>
        <v>1</v>
      </c>
      <c r="AI127" s="81">
        <v>9</v>
      </c>
      <c r="AJ127" s="81"/>
      <c r="AK127" s="81">
        <f>'Praroop-20 hindi'!K130</f>
        <v>0</v>
      </c>
      <c r="AL127" s="81">
        <v>10</v>
      </c>
      <c r="AM127" s="81"/>
      <c r="AN127" s="81">
        <f>'Praroop-20 hindi'!L130</f>
        <v>3</v>
      </c>
      <c r="AO127" s="81">
        <v>11</v>
      </c>
      <c r="AP127" s="81"/>
      <c r="AQ127" s="81">
        <f>'Praroop-20 hindi'!M130</f>
        <v>2</v>
      </c>
      <c r="AR127" s="81">
        <f t="shared" si="3"/>
        <v>561</v>
      </c>
    </row>
    <row r="128" spans="1:44" ht="25.5">
      <c r="A128" s="81">
        <v>64</v>
      </c>
      <c r="B128" s="41">
        <v>122</v>
      </c>
      <c r="C128" s="113" t="s">
        <v>247</v>
      </c>
      <c r="D128" s="117">
        <v>972</v>
      </c>
      <c r="E128" s="110">
        <v>303</v>
      </c>
      <c r="F128" s="110">
        <v>258</v>
      </c>
      <c r="G128" s="110">
        <v>0</v>
      </c>
      <c r="H128" s="111">
        <f t="shared" si="2"/>
        <v>561</v>
      </c>
      <c r="I128" s="112">
        <v>561</v>
      </c>
      <c r="J128" s="110">
        <v>0</v>
      </c>
      <c r="K128" s="110">
        <v>1</v>
      </c>
      <c r="L128" s="81"/>
      <c r="M128" s="81">
        <f>'Praroop-20 hindi'!C131</f>
        <v>158</v>
      </c>
      <c r="N128" s="81">
        <v>2</v>
      </c>
      <c r="O128" s="81"/>
      <c r="P128" s="81">
        <f>'Praroop-20 hindi'!D131</f>
        <v>47</v>
      </c>
      <c r="Q128" s="81">
        <v>3</v>
      </c>
      <c r="R128" s="81"/>
      <c r="S128" s="81">
        <f>'Praroop-20 hindi'!E131</f>
        <v>347</v>
      </c>
      <c r="T128" s="81">
        <v>4</v>
      </c>
      <c r="U128" s="81"/>
      <c r="V128" s="81">
        <f>'Praroop-20 hindi'!F131</f>
        <v>2</v>
      </c>
      <c r="W128" s="81">
        <v>5</v>
      </c>
      <c r="X128" s="81"/>
      <c r="Y128" s="81">
        <f>'Praroop-20 hindi'!G131</f>
        <v>3</v>
      </c>
      <c r="Z128" s="81">
        <v>6</v>
      </c>
      <c r="AA128" s="81"/>
      <c r="AB128" s="81">
        <f>'Praroop-20 hindi'!H131</f>
        <v>0</v>
      </c>
      <c r="AC128" s="81">
        <v>7</v>
      </c>
      <c r="AD128" s="81"/>
      <c r="AE128" s="81">
        <f>'Praroop-20 hindi'!I131</f>
        <v>0</v>
      </c>
      <c r="AF128" s="81">
        <v>8</v>
      </c>
      <c r="AG128" s="81"/>
      <c r="AH128" s="81">
        <f>'Praroop-20 hindi'!J131</f>
        <v>0</v>
      </c>
      <c r="AI128" s="81">
        <v>9</v>
      </c>
      <c r="AJ128" s="81"/>
      <c r="AK128" s="81">
        <f>'Praroop-20 hindi'!K131</f>
        <v>0</v>
      </c>
      <c r="AL128" s="81">
        <v>10</v>
      </c>
      <c r="AM128" s="81"/>
      <c r="AN128" s="81">
        <f>'Praroop-20 hindi'!L131</f>
        <v>0</v>
      </c>
      <c r="AO128" s="81">
        <v>11</v>
      </c>
      <c r="AP128" s="81"/>
      <c r="AQ128" s="81">
        <f>'Praroop-20 hindi'!M131</f>
        <v>1</v>
      </c>
      <c r="AR128" s="81">
        <f t="shared" si="3"/>
        <v>558</v>
      </c>
    </row>
    <row r="129" spans="1:44" ht="25.5">
      <c r="A129" s="81">
        <v>64</v>
      </c>
      <c r="B129" s="41">
        <v>123</v>
      </c>
      <c r="C129" s="113" t="s">
        <v>248</v>
      </c>
      <c r="D129" s="117">
        <v>804</v>
      </c>
      <c r="E129" s="110">
        <v>291</v>
      </c>
      <c r="F129" s="110">
        <v>245</v>
      </c>
      <c r="G129" s="110">
        <v>0</v>
      </c>
      <c r="H129" s="111">
        <f t="shared" si="2"/>
        <v>536</v>
      </c>
      <c r="I129" s="112">
        <v>536</v>
      </c>
      <c r="J129" s="110">
        <v>0</v>
      </c>
      <c r="K129" s="110">
        <v>1</v>
      </c>
      <c r="L129" s="81"/>
      <c r="M129" s="81">
        <f>'Praroop-20 hindi'!C132</f>
        <v>63</v>
      </c>
      <c r="N129" s="81">
        <v>2</v>
      </c>
      <c r="O129" s="81"/>
      <c r="P129" s="81">
        <f>'Praroop-20 hindi'!D132</f>
        <v>108</v>
      </c>
      <c r="Q129" s="81">
        <v>3</v>
      </c>
      <c r="R129" s="81"/>
      <c r="S129" s="81">
        <f>'Praroop-20 hindi'!E132</f>
        <v>316</v>
      </c>
      <c r="T129" s="81">
        <v>4</v>
      </c>
      <c r="U129" s="81"/>
      <c r="V129" s="81">
        <f>'Praroop-20 hindi'!F132</f>
        <v>1</v>
      </c>
      <c r="W129" s="81">
        <v>5</v>
      </c>
      <c r="X129" s="81"/>
      <c r="Y129" s="81">
        <f>'Praroop-20 hindi'!G132</f>
        <v>2</v>
      </c>
      <c r="Z129" s="81">
        <v>6</v>
      </c>
      <c r="AA129" s="81"/>
      <c r="AB129" s="81">
        <f>'Praroop-20 hindi'!H132</f>
        <v>0</v>
      </c>
      <c r="AC129" s="81">
        <v>7</v>
      </c>
      <c r="AD129" s="81"/>
      <c r="AE129" s="81">
        <f>'Praroop-20 hindi'!I132</f>
        <v>0</v>
      </c>
      <c r="AF129" s="81">
        <v>8</v>
      </c>
      <c r="AG129" s="81"/>
      <c r="AH129" s="81">
        <f>'Praroop-20 hindi'!J132</f>
        <v>0</v>
      </c>
      <c r="AI129" s="81">
        <v>9</v>
      </c>
      <c r="AJ129" s="81"/>
      <c r="AK129" s="81">
        <f>'Praroop-20 hindi'!K132</f>
        <v>0</v>
      </c>
      <c r="AL129" s="81">
        <v>10</v>
      </c>
      <c r="AM129" s="81"/>
      <c r="AN129" s="81">
        <f>'Praroop-20 hindi'!L132</f>
        <v>2</v>
      </c>
      <c r="AO129" s="81">
        <v>11</v>
      </c>
      <c r="AP129" s="81"/>
      <c r="AQ129" s="81">
        <f>'Praroop-20 hindi'!M132</f>
        <v>0</v>
      </c>
      <c r="AR129" s="81">
        <f t="shared" si="3"/>
        <v>492</v>
      </c>
    </row>
    <row r="130" spans="1:44" ht="38.25">
      <c r="A130" s="81">
        <v>64</v>
      </c>
      <c r="B130" s="41">
        <v>124</v>
      </c>
      <c r="C130" s="113" t="s">
        <v>249</v>
      </c>
      <c r="D130" s="117">
        <v>1101</v>
      </c>
      <c r="E130" s="110">
        <v>364</v>
      </c>
      <c r="F130" s="110">
        <v>314</v>
      </c>
      <c r="G130" s="110">
        <v>0</v>
      </c>
      <c r="H130" s="111">
        <f t="shared" si="2"/>
        <v>678</v>
      </c>
      <c r="I130" s="112">
        <v>678</v>
      </c>
      <c r="J130" s="110">
        <v>0</v>
      </c>
      <c r="K130" s="110">
        <v>1</v>
      </c>
      <c r="L130" s="81"/>
      <c r="M130" s="81">
        <f>'Praroop-20 hindi'!C133</f>
        <v>5</v>
      </c>
      <c r="N130" s="81">
        <v>2</v>
      </c>
      <c r="O130" s="81"/>
      <c r="P130" s="81">
        <f>'Praroop-20 hindi'!D133</f>
        <v>569</v>
      </c>
      <c r="Q130" s="81">
        <v>3</v>
      </c>
      <c r="R130" s="81"/>
      <c r="S130" s="81">
        <f>'Praroop-20 hindi'!E133</f>
        <v>94</v>
      </c>
      <c r="T130" s="81">
        <v>4</v>
      </c>
      <c r="U130" s="81"/>
      <c r="V130" s="81">
        <f>'Praroop-20 hindi'!F133</f>
        <v>1</v>
      </c>
      <c r="W130" s="81">
        <v>5</v>
      </c>
      <c r="X130" s="81"/>
      <c r="Y130" s="81">
        <f>'Praroop-20 hindi'!G133</f>
        <v>0</v>
      </c>
      <c r="Z130" s="81">
        <v>6</v>
      </c>
      <c r="AA130" s="81"/>
      <c r="AB130" s="81">
        <f>'Praroop-20 hindi'!H133</f>
        <v>0</v>
      </c>
      <c r="AC130" s="81">
        <v>7</v>
      </c>
      <c r="AD130" s="81"/>
      <c r="AE130" s="81">
        <f>'Praroop-20 hindi'!I133</f>
        <v>0</v>
      </c>
      <c r="AF130" s="81">
        <v>8</v>
      </c>
      <c r="AG130" s="81"/>
      <c r="AH130" s="81">
        <f>'Praroop-20 hindi'!J133</f>
        <v>0</v>
      </c>
      <c r="AI130" s="81">
        <v>9</v>
      </c>
      <c r="AJ130" s="81"/>
      <c r="AK130" s="81">
        <f>'Praroop-20 hindi'!K133</f>
        <v>0</v>
      </c>
      <c r="AL130" s="81">
        <v>10</v>
      </c>
      <c r="AM130" s="81"/>
      <c r="AN130" s="81">
        <f>'Praroop-20 hindi'!L133</f>
        <v>4</v>
      </c>
      <c r="AO130" s="81">
        <v>11</v>
      </c>
      <c r="AP130" s="81"/>
      <c r="AQ130" s="81">
        <f>'Praroop-20 hindi'!M133</f>
        <v>1</v>
      </c>
      <c r="AR130" s="81">
        <f t="shared" si="3"/>
        <v>674</v>
      </c>
    </row>
    <row r="131" spans="1:44" ht="38.25">
      <c r="A131" s="81">
        <v>64</v>
      </c>
      <c r="B131" s="41">
        <v>125</v>
      </c>
      <c r="C131" s="113" t="s">
        <v>250</v>
      </c>
      <c r="D131" s="117">
        <v>1066</v>
      </c>
      <c r="E131" s="110">
        <v>359</v>
      </c>
      <c r="F131" s="110">
        <v>322</v>
      </c>
      <c r="G131" s="110">
        <v>0</v>
      </c>
      <c r="H131" s="111">
        <f t="shared" si="2"/>
        <v>681</v>
      </c>
      <c r="I131" s="112">
        <v>681</v>
      </c>
      <c r="J131" s="110">
        <v>0</v>
      </c>
      <c r="K131" s="110">
        <v>1</v>
      </c>
      <c r="L131" s="81"/>
      <c r="M131" s="81">
        <f>'Praroop-20 hindi'!C134</f>
        <v>142</v>
      </c>
      <c r="N131" s="81">
        <v>2</v>
      </c>
      <c r="O131" s="81"/>
      <c r="P131" s="81">
        <f>'Praroop-20 hindi'!D134</f>
        <v>462</v>
      </c>
      <c r="Q131" s="81">
        <v>3</v>
      </c>
      <c r="R131" s="81"/>
      <c r="S131" s="81">
        <f>'Praroop-20 hindi'!E134</f>
        <v>65</v>
      </c>
      <c r="T131" s="81">
        <v>4</v>
      </c>
      <c r="U131" s="81"/>
      <c r="V131" s="81">
        <f>'Praroop-20 hindi'!F134</f>
        <v>3</v>
      </c>
      <c r="W131" s="81">
        <v>5</v>
      </c>
      <c r="X131" s="81"/>
      <c r="Y131" s="81">
        <f>'Praroop-20 hindi'!G134</f>
        <v>0</v>
      </c>
      <c r="Z131" s="81">
        <v>6</v>
      </c>
      <c r="AA131" s="81"/>
      <c r="AB131" s="81">
        <f>'Praroop-20 hindi'!H134</f>
        <v>0</v>
      </c>
      <c r="AC131" s="81">
        <v>7</v>
      </c>
      <c r="AD131" s="81"/>
      <c r="AE131" s="81">
        <f>'Praroop-20 hindi'!I134</f>
        <v>1</v>
      </c>
      <c r="AF131" s="81">
        <v>8</v>
      </c>
      <c r="AG131" s="81"/>
      <c r="AH131" s="81">
        <f>'Praroop-20 hindi'!J134</f>
        <v>1</v>
      </c>
      <c r="AI131" s="81">
        <v>9</v>
      </c>
      <c r="AJ131" s="81"/>
      <c r="AK131" s="81">
        <f>'Praroop-20 hindi'!K134</f>
        <v>0</v>
      </c>
      <c r="AL131" s="81">
        <v>10</v>
      </c>
      <c r="AM131" s="81"/>
      <c r="AN131" s="81">
        <f>'Praroop-20 hindi'!L134</f>
        <v>2</v>
      </c>
      <c r="AO131" s="81">
        <v>11</v>
      </c>
      <c r="AP131" s="81"/>
      <c r="AQ131" s="81">
        <f>'Praroop-20 hindi'!M134</f>
        <v>2</v>
      </c>
      <c r="AR131" s="81">
        <f t="shared" si="3"/>
        <v>678</v>
      </c>
    </row>
    <row r="132" spans="1:44" ht="25.5">
      <c r="A132" s="81">
        <v>64</v>
      </c>
      <c r="B132" s="41">
        <v>126</v>
      </c>
      <c r="C132" s="113" t="s">
        <v>251</v>
      </c>
      <c r="D132" s="117">
        <v>836</v>
      </c>
      <c r="E132" s="110">
        <v>282</v>
      </c>
      <c r="F132" s="110">
        <v>244</v>
      </c>
      <c r="G132" s="110">
        <v>0</v>
      </c>
      <c r="H132" s="111">
        <f t="shared" si="2"/>
        <v>526</v>
      </c>
      <c r="I132" s="112">
        <v>526</v>
      </c>
      <c r="J132" s="110">
        <v>0</v>
      </c>
      <c r="K132" s="110">
        <v>1</v>
      </c>
      <c r="L132" s="81"/>
      <c r="M132" s="81">
        <f>'Praroop-20 hindi'!C135</f>
        <v>368</v>
      </c>
      <c r="N132" s="81">
        <v>2</v>
      </c>
      <c r="O132" s="81"/>
      <c r="P132" s="81">
        <f>'Praroop-20 hindi'!D135</f>
        <v>71</v>
      </c>
      <c r="Q132" s="81">
        <v>3</v>
      </c>
      <c r="R132" s="81"/>
      <c r="S132" s="81">
        <f>'Praroop-20 hindi'!E135</f>
        <v>77</v>
      </c>
      <c r="T132" s="81">
        <v>4</v>
      </c>
      <c r="U132" s="81"/>
      <c r="V132" s="81">
        <f>'Praroop-20 hindi'!F135</f>
        <v>0</v>
      </c>
      <c r="W132" s="81">
        <v>5</v>
      </c>
      <c r="X132" s="81"/>
      <c r="Y132" s="81">
        <f>'Praroop-20 hindi'!G135</f>
        <v>1</v>
      </c>
      <c r="Z132" s="81">
        <v>6</v>
      </c>
      <c r="AA132" s="81"/>
      <c r="AB132" s="81">
        <f>'Praroop-20 hindi'!H135</f>
        <v>0</v>
      </c>
      <c r="AC132" s="81">
        <v>7</v>
      </c>
      <c r="AD132" s="81"/>
      <c r="AE132" s="81">
        <f>'Praroop-20 hindi'!I135</f>
        <v>0</v>
      </c>
      <c r="AF132" s="81">
        <v>8</v>
      </c>
      <c r="AG132" s="81"/>
      <c r="AH132" s="81">
        <f>'Praroop-20 hindi'!J135</f>
        <v>1</v>
      </c>
      <c r="AI132" s="81">
        <v>9</v>
      </c>
      <c r="AJ132" s="81"/>
      <c r="AK132" s="81">
        <f>'Praroop-20 hindi'!K135</f>
        <v>0</v>
      </c>
      <c r="AL132" s="81">
        <v>10</v>
      </c>
      <c r="AM132" s="81"/>
      <c r="AN132" s="81">
        <f>'Praroop-20 hindi'!L135</f>
        <v>1</v>
      </c>
      <c r="AO132" s="81">
        <v>11</v>
      </c>
      <c r="AP132" s="81"/>
      <c r="AQ132" s="81">
        <f>'Praroop-20 hindi'!M135</f>
        <v>1</v>
      </c>
      <c r="AR132" s="81">
        <f t="shared" si="3"/>
        <v>520</v>
      </c>
    </row>
    <row r="133" spans="1:44" ht="25.5">
      <c r="A133" s="81">
        <v>64</v>
      </c>
      <c r="B133" s="41">
        <v>127</v>
      </c>
      <c r="C133" s="113" t="s">
        <v>252</v>
      </c>
      <c r="D133" s="117">
        <v>788</v>
      </c>
      <c r="E133" s="110">
        <v>258</v>
      </c>
      <c r="F133" s="110">
        <v>232</v>
      </c>
      <c r="G133" s="110">
        <v>0</v>
      </c>
      <c r="H133" s="111">
        <f t="shared" si="2"/>
        <v>490</v>
      </c>
      <c r="I133" s="112">
        <v>490</v>
      </c>
      <c r="J133" s="110">
        <v>0</v>
      </c>
      <c r="K133" s="110">
        <v>1</v>
      </c>
      <c r="L133" s="81"/>
      <c r="M133" s="81">
        <f>'Praroop-20 hindi'!C136</f>
        <v>12</v>
      </c>
      <c r="N133" s="81">
        <v>2</v>
      </c>
      <c r="O133" s="81"/>
      <c r="P133" s="81">
        <f>'Praroop-20 hindi'!D136</f>
        <v>198</v>
      </c>
      <c r="Q133" s="81">
        <v>3</v>
      </c>
      <c r="R133" s="81"/>
      <c r="S133" s="81">
        <f>'Praroop-20 hindi'!E136</f>
        <v>274</v>
      </c>
      <c r="T133" s="81">
        <v>4</v>
      </c>
      <c r="U133" s="81"/>
      <c r="V133" s="81">
        <f>'Praroop-20 hindi'!F136</f>
        <v>3</v>
      </c>
      <c r="W133" s="81">
        <v>5</v>
      </c>
      <c r="X133" s="81"/>
      <c r="Y133" s="81">
        <f>'Praroop-20 hindi'!G136</f>
        <v>1</v>
      </c>
      <c r="Z133" s="81">
        <v>6</v>
      </c>
      <c r="AA133" s="81"/>
      <c r="AB133" s="81">
        <f>'Praroop-20 hindi'!H136</f>
        <v>0</v>
      </c>
      <c r="AC133" s="81">
        <v>7</v>
      </c>
      <c r="AD133" s="81"/>
      <c r="AE133" s="81">
        <f>'Praroop-20 hindi'!I136</f>
        <v>0</v>
      </c>
      <c r="AF133" s="81">
        <v>8</v>
      </c>
      <c r="AG133" s="81"/>
      <c r="AH133" s="81">
        <f>'Praroop-20 hindi'!J136</f>
        <v>0</v>
      </c>
      <c r="AI133" s="81">
        <v>9</v>
      </c>
      <c r="AJ133" s="81"/>
      <c r="AK133" s="81">
        <f>'Praroop-20 hindi'!K136</f>
        <v>0</v>
      </c>
      <c r="AL133" s="81">
        <v>10</v>
      </c>
      <c r="AM133" s="81"/>
      <c r="AN133" s="81">
        <f>'Praroop-20 hindi'!L136</f>
        <v>1</v>
      </c>
      <c r="AO133" s="81">
        <v>11</v>
      </c>
      <c r="AP133" s="81"/>
      <c r="AQ133" s="81">
        <f>'Praroop-20 hindi'!M136</f>
        <v>0</v>
      </c>
      <c r="AR133" s="81">
        <f t="shared" si="3"/>
        <v>489</v>
      </c>
    </row>
    <row r="134" spans="1:44" ht="38.25">
      <c r="A134" s="81">
        <v>64</v>
      </c>
      <c r="B134" s="41">
        <v>128</v>
      </c>
      <c r="C134" s="113" t="s">
        <v>253</v>
      </c>
      <c r="D134" s="117">
        <v>721</v>
      </c>
      <c r="E134" s="110">
        <v>208</v>
      </c>
      <c r="F134" s="110">
        <v>199</v>
      </c>
      <c r="G134" s="110">
        <v>0</v>
      </c>
      <c r="H134" s="111">
        <f t="shared" si="2"/>
        <v>407</v>
      </c>
      <c r="I134" s="112">
        <v>407</v>
      </c>
      <c r="J134" s="110">
        <v>0</v>
      </c>
      <c r="K134" s="110">
        <v>1</v>
      </c>
      <c r="L134" s="81"/>
      <c r="M134" s="81">
        <f>'Praroop-20 hindi'!C137</f>
        <v>3</v>
      </c>
      <c r="N134" s="81">
        <v>2</v>
      </c>
      <c r="O134" s="81"/>
      <c r="P134" s="81">
        <f>'Praroop-20 hindi'!D137</f>
        <v>390</v>
      </c>
      <c r="Q134" s="81">
        <v>3</v>
      </c>
      <c r="R134" s="81"/>
      <c r="S134" s="81">
        <f>'Praroop-20 hindi'!E137</f>
        <v>3</v>
      </c>
      <c r="T134" s="81">
        <v>4</v>
      </c>
      <c r="U134" s="81"/>
      <c r="V134" s="81">
        <f>'Praroop-20 hindi'!F137</f>
        <v>1</v>
      </c>
      <c r="W134" s="81">
        <v>5</v>
      </c>
      <c r="X134" s="81"/>
      <c r="Y134" s="81">
        <f>'Praroop-20 hindi'!G137</f>
        <v>0</v>
      </c>
      <c r="Z134" s="81">
        <v>6</v>
      </c>
      <c r="AA134" s="81"/>
      <c r="AB134" s="81">
        <f>'Praroop-20 hindi'!H137</f>
        <v>0</v>
      </c>
      <c r="AC134" s="81">
        <v>7</v>
      </c>
      <c r="AD134" s="81"/>
      <c r="AE134" s="81">
        <f>'Praroop-20 hindi'!I137</f>
        <v>0</v>
      </c>
      <c r="AF134" s="81">
        <v>8</v>
      </c>
      <c r="AG134" s="81"/>
      <c r="AH134" s="81">
        <f>'Praroop-20 hindi'!J137</f>
        <v>1</v>
      </c>
      <c r="AI134" s="81">
        <v>9</v>
      </c>
      <c r="AJ134" s="81"/>
      <c r="AK134" s="81">
        <f>'Praroop-20 hindi'!K137</f>
        <v>2</v>
      </c>
      <c r="AL134" s="81">
        <v>10</v>
      </c>
      <c r="AM134" s="81"/>
      <c r="AN134" s="81">
        <f>'Praroop-20 hindi'!L137</f>
        <v>0</v>
      </c>
      <c r="AO134" s="81">
        <v>11</v>
      </c>
      <c r="AP134" s="81"/>
      <c r="AQ134" s="81">
        <f>'Praroop-20 hindi'!M137</f>
        <v>5</v>
      </c>
      <c r="AR134" s="81">
        <f t="shared" si="3"/>
        <v>405</v>
      </c>
    </row>
    <row r="135" spans="1:44" ht="38.25">
      <c r="A135" s="81">
        <v>64</v>
      </c>
      <c r="B135" s="41">
        <v>129</v>
      </c>
      <c r="C135" s="113" t="s">
        <v>254</v>
      </c>
      <c r="D135" s="117">
        <v>716</v>
      </c>
      <c r="E135" s="110">
        <v>257</v>
      </c>
      <c r="F135" s="110">
        <v>222</v>
      </c>
      <c r="G135" s="110">
        <v>0</v>
      </c>
      <c r="H135" s="111">
        <f t="shared" ref="H135:H198" si="4">SUM(E135:G135)</f>
        <v>479</v>
      </c>
      <c r="I135" s="112">
        <v>479</v>
      </c>
      <c r="J135" s="110">
        <v>0</v>
      </c>
      <c r="K135" s="110">
        <v>1</v>
      </c>
      <c r="L135" s="81"/>
      <c r="M135" s="81">
        <f>'Praroop-20 hindi'!C138</f>
        <v>3</v>
      </c>
      <c r="N135" s="81">
        <v>2</v>
      </c>
      <c r="O135" s="81"/>
      <c r="P135" s="81">
        <f>'Praroop-20 hindi'!D138</f>
        <v>78</v>
      </c>
      <c r="Q135" s="81">
        <v>3</v>
      </c>
      <c r="R135" s="81"/>
      <c r="S135" s="81">
        <f>'Praroop-20 hindi'!E138</f>
        <v>392</v>
      </c>
      <c r="T135" s="81">
        <v>4</v>
      </c>
      <c r="U135" s="81"/>
      <c r="V135" s="81">
        <f>'Praroop-20 hindi'!F138</f>
        <v>3</v>
      </c>
      <c r="W135" s="81">
        <v>5</v>
      </c>
      <c r="X135" s="81"/>
      <c r="Y135" s="81">
        <f>'Praroop-20 hindi'!G138</f>
        <v>0</v>
      </c>
      <c r="Z135" s="81">
        <v>6</v>
      </c>
      <c r="AA135" s="81"/>
      <c r="AB135" s="81">
        <f>'Praroop-20 hindi'!H138</f>
        <v>0</v>
      </c>
      <c r="AC135" s="81">
        <v>7</v>
      </c>
      <c r="AD135" s="81"/>
      <c r="AE135" s="81">
        <f>'Praroop-20 hindi'!I138</f>
        <v>1</v>
      </c>
      <c r="AF135" s="81">
        <v>8</v>
      </c>
      <c r="AG135" s="81"/>
      <c r="AH135" s="81">
        <f>'Praroop-20 hindi'!J138</f>
        <v>0</v>
      </c>
      <c r="AI135" s="81">
        <v>9</v>
      </c>
      <c r="AJ135" s="81"/>
      <c r="AK135" s="81">
        <f>'Praroop-20 hindi'!K138</f>
        <v>1</v>
      </c>
      <c r="AL135" s="81">
        <v>10</v>
      </c>
      <c r="AM135" s="81"/>
      <c r="AN135" s="81">
        <f>'Praroop-20 hindi'!L138</f>
        <v>0</v>
      </c>
      <c r="AO135" s="81">
        <v>11</v>
      </c>
      <c r="AP135" s="81"/>
      <c r="AQ135" s="81">
        <f>'Praroop-20 hindi'!M138</f>
        <v>0</v>
      </c>
      <c r="AR135" s="81">
        <f t="shared" si="3"/>
        <v>478</v>
      </c>
    </row>
    <row r="136" spans="1:44" ht="38.25">
      <c r="A136" s="81">
        <v>64</v>
      </c>
      <c r="B136" s="41">
        <v>130</v>
      </c>
      <c r="C136" s="113" t="s">
        <v>255</v>
      </c>
      <c r="D136" s="117">
        <v>600</v>
      </c>
      <c r="E136" s="110">
        <v>180</v>
      </c>
      <c r="F136" s="110">
        <v>159</v>
      </c>
      <c r="G136" s="110">
        <v>0</v>
      </c>
      <c r="H136" s="111">
        <f t="shared" si="4"/>
        <v>339</v>
      </c>
      <c r="I136" s="112">
        <v>300</v>
      </c>
      <c r="J136" s="110">
        <v>0</v>
      </c>
      <c r="K136" s="110">
        <v>1</v>
      </c>
      <c r="L136" s="81"/>
      <c r="M136" s="81">
        <f>'Praroop-20 hindi'!C139</f>
        <v>2</v>
      </c>
      <c r="N136" s="81">
        <v>2</v>
      </c>
      <c r="O136" s="81"/>
      <c r="P136" s="81">
        <f>'Praroop-20 hindi'!D139</f>
        <v>98</v>
      </c>
      <c r="Q136" s="81">
        <v>3</v>
      </c>
      <c r="R136" s="81"/>
      <c r="S136" s="81">
        <f>'Praroop-20 hindi'!E139</f>
        <v>223</v>
      </c>
      <c r="T136" s="81">
        <v>4</v>
      </c>
      <c r="U136" s="81"/>
      <c r="V136" s="81">
        <f>'Praroop-20 hindi'!F139</f>
        <v>1</v>
      </c>
      <c r="W136" s="81">
        <v>5</v>
      </c>
      <c r="X136" s="81"/>
      <c r="Y136" s="81">
        <f>'Praroop-20 hindi'!G139</f>
        <v>12</v>
      </c>
      <c r="Z136" s="81">
        <v>6</v>
      </c>
      <c r="AA136" s="81"/>
      <c r="AB136" s="81">
        <f>'Praroop-20 hindi'!H139</f>
        <v>0</v>
      </c>
      <c r="AC136" s="81">
        <v>7</v>
      </c>
      <c r="AD136" s="81"/>
      <c r="AE136" s="81">
        <f>'Praroop-20 hindi'!I139</f>
        <v>0</v>
      </c>
      <c r="AF136" s="81">
        <v>8</v>
      </c>
      <c r="AG136" s="81"/>
      <c r="AH136" s="81">
        <f>'Praroop-20 hindi'!J139</f>
        <v>0</v>
      </c>
      <c r="AI136" s="81">
        <v>9</v>
      </c>
      <c r="AJ136" s="81"/>
      <c r="AK136" s="81">
        <f>'Praroop-20 hindi'!K139</f>
        <v>0</v>
      </c>
      <c r="AL136" s="81">
        <v>10</v>
      </c>
      <c r="AM136" s="81"/>
      <c r="AN136" s="81">
        <f>'Praroop-20 hindi'!L139</f>
        <v>1</v>
      </c>
      <c r="AO136" s="81">
        <v>11</v>
      </c>
      <c r="AP136" s="81"/>
      <c r="AQ136" s="81">
        <f>'Praroop-20 hindi'!M139</f>
        <v>0</v>
      </c>
      <c r="AR136" s="81">
        <f t="shared" ref="AR136:AR199" si="5">M136+P136+S136+V136+Y136+AB136+AE136+AH136+AK136+AN136+AQ136</f>
        <v>337</v>
      </c>
    </row>
    <row r="137" spans="1:44" ht="38.25">
      <c r="A137" s="81">
        <v>64</v>
      </c>
      <c r="B137" s="41">
        <v>131</v>
      </c>
      <c r="C137" s="113" t="s">
        <v>256</v>
      </c>
      <c r="D137" s="117">
        <v>646</v>
      </c>
      <c r="E137" s="110">
        <v>209</v>
      </c>
      <c r="F137" s="110">
        <v>192</v>
      </c>
      <c r="G137" s="110">
        <v>0</v>
      </c>
      <c r="H137" s="111">
        <f t="shared" si="4"/>
        <v>401</v>
      </c>
      <c r="I137" s="112">
        <v>401</v>
      </c>
      <c r="J137" s="110">
        <v>0</v>
      </c>
      <c r="K137" s="110">
        <v>1</v>
      </c>
      <c r="L137" s="81"/>
      <c r="M137" s="81">
        <f>'Praroop-20 hindi'!C140</f>
        <v>6</v>
      </c>
      <c r="N137" s="81">
        <v>2</v>
      </c>
      <c r="O137" s="81"/>
      <c r="P137" s="81">
        <f>'Praroop-20 hindi'!D140</f>
        <v>378</v>
      </c>
      <c r="Q137" s="81">
        <v>3</v>
      </c>
      <c r="R137" s="81"/>
      <c r="S137" s="81">
        <f>'Praroop-20 hindi'!E140</f>
        <v>13</v>
      </c>
      <c r="T137" s="81">
        <v>4</v>
      </c>
      <c r="U137" s="81"/>
      <c r="V137" s="81">
        <f>'Praroop-20 hindi'!F140</f>
        <v>0</v>
      </c>
      <c r="W137" s="81">
        <v>5</v>
      </c>
      <c r="X137" s="81"/>
      <c r="Y137" s="81">
        <f>'Praroop-20 hindi'!G140</f>
        <v>0</v>
      </c>
      <c r="Z137" s="81">
        <v>6</v>
      </c>
      <c r="AA137" s="81"/>
      <c r="AB137" s="81">
        <f>'Praroop-20 hindi'!H140</f>
        <v>0</v>
      </c>
      <c r="AC137" s="81">
        <v>7</v>
      </c>
      <c r="AD137" s="81"/>
      <c r="AE137" s="81">
        <f>'Praroop-20 hindi'!I140</f>
        <v>0</v>
      </c>
      <c r="AF137" s="81">
        <v>8</v>
      </c>
      <c r="AG137" s="81"/>
      <c r="AH137" s="81">
        <f>'Praroop-20 hindi'!J140</f>
        <v>1</v>
      </c>
      <c r="AI137" s="81">
        <v>9</v>
      </c>
      <c r="AJ137" s="81"/>
      <c r="AK137" s="81">
        <f>'Praroop-20 hindi'!K140</f>
        <v>0</v>
      </c>
      <c r="AL137" s="81">
        <v>10</v>
      </c>
      <c r="AM137" s="81"/>
      <c r="AN137" s="81">
        <f>'Praroop-20 hindi'!L140</f>
        <v>1</v>
      </c>
      <c r="AO137" s="81">
        <v>11</v>
      </c>
      <c r="AP137" s="81"/>
      <c r="AQ137" s="81">
        <f>'Praroop-20 hindi'!M140</f>
        <v>1</v>
      </c>
      <c r="AR137" s="81">
        <f t="shared" si="5"/>
        <v>400</v>
      </c>
    </row>
    <row r="138" spans="1:44" ht="38.25">
      <c r="A138" s="81">
        <v>64</v>
      </c>
      <c r="B138" s="41">
        <v>132</v>
      </c>
      <c r="C138" s="113" t="s">
        <v>257</v>
      </c>
      <c r="D138" s="117">
        <v>729</v>
      </c>
      <c r="E138" s="110">
        <v>261</v>
      </c>
      <c r="F138" s="110">
        <v>210</v>
      </c>
      <c r="G138" s="110">
        <v>0</v>
      </c>
      <c r="H138" s="111">
        <f t="shared" si="4"/>
        <v>471</v>
      </c>
      <c r="I138" s="112">
        <v>471</v>
      </c>
      <c r="J138" s="110">
        <v>0</v>
      </c>
      <c r="K138" s="110">
        <v>1</v>
      </c>
      <c r="L138" s="81"/>
      <c r="M138" s="81">
        <f>'Praroop-20 hindi'!C141</f>
        <v>202</v>
      </c>
      <c r="N138" s="81">
        <v>2</v>
      </c>
      <c r="O138" s="81"/>
      <c r="P138" s="81">
        <f>'Praroop-20 hindi'!D141</f>
        <v>15</v>
      </c>
      <c r="Q138" s="81">
        <v>3</v>
      </c>
      <c r="R138" s="81"/>
      <c r="S138" s="81">
        <f>'Praroop-20 hindi'!E141</f>
        <v>241</v>
      </c>
      <c r="T138" s="81">
        <v>4</v>
      </c>
      <c r="U138" s="81"/>
      <c r="V138" s="81">
        <f>'Praroop-20 hindi'!F141</f>
        <v>2</v>
      </c>
      <c r="W138" s="81">
        <v>5</v>
      </c>
      <c r="X138" s="81"/>
      <c r="Y138" s="81">
        <f>'Praroop-20 hindi'!G141</f>
        <v>1</v>
      </c>
      <c r="Z138" s="81">
        <v>6</v>
      </c>
      <c r="AA138" s="81"/>
      <c r="AB138" s="81">
        <f>'Praroop-20 hindi'!H141</f>
        <v>0</v>
      </c>
      <c r="AC138" s="81">
        <v>7</v>
      </c>
      <c r="AD138" s="81"/>
      <c r="AE138" s="81">
        <f>'Praroop-20 hindi'!I141</f>
        <v>0</v>
      </c>
      <c r="AF138" s="81">
        <v>8</v>
      </c>
      <c r="AG138" s="81"/>
      <c r="AH138" s="81">
        <f>'Praroop-20 hindi'!J141</f>
        <v>1</v>
      </c>
      <c r="AI138" s="81">
        <v>9</v>
      </c>
      <c r="AJ138" s="81"/>
      <c r="AK138" s="81">
        <f>'Praroop-20 hindi'!K141</f>
        <v>2</v>
      </c>
      <c r="AL138" s="81">
        <v>10</v>
      </c>
      <c r="AM138" s="81"/>
      <c r="AN138" s="81">
        <f>'Praroop-20 hindi'!L141</f>
        <v>1</v>
      </c>
      <c r="AO138" s="81">
        <v>11</v>
      </c>
      <c r="AP138" s="81"/>
      <c r="AQ138" s="81">
        <f>'Praroop-20 hindi'!M141</f>
        <v>1</v>
      </c>
      <c r="AR138" s="81">
        <f t="shared" si="5"/>
        <v>466</v>
      </c>
    </row>
    <row r="139" spans="1:44" ht="38.25">
      <c r="A139" s="81">
        <v>64</v>
      </c>
      <c r="B139" s="41">
        <v>133</v>
      </c>
      <c r="C139" s="113" t="s">
        <v>258</v>
      </c>
      <c r="D139" s="117">
        <v>779</v>
      </c>
      <c r="E139" s="110">
        <v>335</v>
      </c>
      <c r="F139" s="110">
        <v>264</v>
      </c>
      <c r="G139" s="110">
        <v>0</v>
      </c>
      <c r="H139" s="111">
        <f t="shared" si="4"/>
        <v>599</v>
      </c>
      <c r="I139" s="112">
        <v>599</v>
      </c>
      <c r="J139" s="110">
        <v>0</v>
      </c>
      <c r="K139" s="110">
        <v>1</v>
      </c>
      <c r="L139" s="81"/>
      <c r="M139" s="81">
        <f>'Praroop-20 hindi'!C142</f>
        <v>559</v>
      </c>
      <c r="N139" s="81">
        <v>2</v>
      </c>
      <c r="O139" s="81"/>
      <c r="P139" s="81">
        <f>'Praroop-20 hindi'!D142</f>
        <v>19</v>
      </c>
      <c r="Q139" s="81">
        <v>3</v>
      </c>
      <c r="R139" s="81"/>
      <c r="S139" s="81">
        <f>'Praroop-20 hindi'!E142</f>
        <v>12</v>
      </c>
      <c r="T139" s="81">
        <v>4</v>
      </c>
      <c r="U139" s="81"/>
      <c r="V139" s="81">
        <f>'Praroop-20 hindi'!F142</f>
        <v>0</v>
      </c>
      <c r="W139" s="81">
        <v>5</v>
      </c>
      <c r="X139" s="81"/>
      <c r="Y139" s="81">
        <f>'Praroop-20 hindi'!G142</f>
        <v>2</v>
      </c>
      <c r="Z139" s="81">
        <v>6</v>
      </c>
      <c r="AA139" s="81"/>
      <c r="AB139" s="81">
        <f>'Praroop-20 hindi'!H142</f>
        <v>0</v>
      </c>
      <c r="AC139" s="81">
        <v>7</v>
      </c>
      <c r="AD139" s="81"/>
      <c r="AE139" s="81">
        <f>'Praroop-20 hindi'!I142</f>
        <v>0</v>
      </c>
      <c r="AF139" s="81">
        <v>8</v>
      </c>
      <c r="AG139" s="81"/>
      <c r="AH139" s="81">
        <f>'Praroop-20 hindi'!J142</f>
        <v>1</v>
      </c>
      <c r="AI139" s="81">
        <v>9</v>
      </c>
      <c r="AJ139" s="81"/>
      <c r="AK139" s="81">
        <f>'Praroop-20 hindi'!K142</f>
        <v>0</v>
      </c>
      <c r="AL139" s="81">
        <v>10</v>
      </c>
      <c r="AM139" s="81"/>
      <c r="AN139" s="81">
        <f>'Praroop-20 hindi'!L142</f>
        <v>0</v>
      </c>
      <c r="AO139" s="81">
        <v>11</v>
      </c>
      <c r="AP139" s="81"/>
      <c r="AQ139" s="81">
        <f>'Praroop-20 hindi'!M142</f>
        <v>0</v>
      </c>
      <c r="AR139" s="81">
        <f t="shared" si="5"/>
        <v>593</v>
      </c>
    </row>
    <row r="140" spans="1:44" ht="25.5">
      <c r="A140" s="81">
        <v>64</v>
      </c>
      <c r="B140" s="41">
        <v>134</v>
      </c>
      <c r="C140" s="113" t="s">
        <v>259</v>
      </c>
      <c r="D140" s="117">
        <v>476</v>
      </c>
      <c r="E140" s="110">
        <v>182</v>
      </c>
      <c r="F140" s="110">
        <v>172</v>
      </c>
      <c r="G140" s="110">
        <v>0</v>
      </c>
      <c r="H140" s="111">
        <f t="shared" si="4"/>
        <v>354</v>
      </c>
      <c r="I140" s="112">
        <v>354</v>
      </c>
      <c r="J140" s="110">
        <v>0</v>
      </c>
      <c r="K140" s="110">
        <v>1</v>
      </c>
      <c r="L140" s="81"/>
      <c r="M140" s="81">
        <f>'Praroop-20 hindi'!C143</f>
        <v>145</v>
      </c>
      <c r="N140" s="81">
        <v>2</v>
      </c>
      <c r="O140" s="81"/>
      <c r="P140" s="81">
        <f>'Praroop-20 hindi'!D143</f>
        <v>38</v>
      </c>
      <c r="Q140" s="81">
        <v>3</v>
      </c>
      <c r="R140" s="81"/>
      <c r="S140" s="81">
        <f>'Praroop-20 hindi'!E143</f>
        <v>165</v>
      </c>
      <c r="T140" s="81">
        <v>4</v>
      </c>
      <c r="U140" s="81"/>
      <c r="V140" s="81">
        <f>'Praroop-20 hindi'!F143</f>
        <v>2</v>
      </c>
      <c r="W140" s="81">
        <v>5</v>
      </c>
      <c r="X140" s="81"/>
      <c r="Y140" s="81">
        <f>'Praroop-20 hindi'!G143</f>
        <v>0</v>
      </c>
      <c r="Z140" s="81">
        <v>6</v>
      </c>
      <c r="AA140" s="81"/>
      <c r="AB140" s="81">
        <f>'Praroop-20 hindi'!H143</f>
        <v>0</v>
      </c>
      <c r="AC140" s="81">
        <v>7</v>
      </c>
      <c r="AD140" s="81"/>
      <c r="AE140" s="81">
        <f>'Praroop-20 hindi'!I143</f>
        <v>0</v>
      </c>
      <c r="AF140" s="81">
        <v>8</v>
      </c>
      <c r="AG140" s="81"/>
      <c r="AH140" s="81">
        <f>'Praroop-20 hindi'!J143</f>
        <v>0</v>
      </c>
      <c r="AI140" s="81">
        <v>9</v>
      </c>
      <c r="AJ140" s="81"/>
      <c r="AK140" s="81">
        <f>'Praroop-20 hindi'!K143</f>
        <v>0</v>
      </c>
      <c r="AL140" s="81">
        <v>10</v>
      </c>
      <c r="AM140" s="81"/>
      <c r="AN140" s="81">
        <f>'Praroop-20 hindi'!L143</f>
        <v>3</v>
      </c>
      <c r="AO140" s="81">
        <v>11</v>
      </c>
      <c r="AP140" s="81"/>
      <c r="AQ140" s="81">
        <f>'Praroop-20 hindi'!M143</f>
        <v>0</v>
      </c>
      <c r="AR140" s="81">
        <f t="shared" si="5"/>
        <v>353</v>
      </c>
    </row>
    <row r="141" spans="1:44" ht="38.25">
      <c r="A141" s="81">
        <v>64</v>
      </c>
      <c r="B141" s="41">
        <v>135</v>
      </c>
      <c r="C141" s="113" t="s">
        <v>260</v>
      </c>
      <c r="D141" s="117">
        <v>742</v>
      </c>
      <c r="E141" s="110">
        <v>250</v>
      </c>
      <c r="F141" s="110">
        <v>213</v>
      </c>
      <c r="G141" s="110">
        <v>0</v>
      </c>
      <c r="H141" s="111">
        <f t="shared" si="4"/>
        <v>463</v>
      </c>
      <c r="I141" s="112">
        <v>463</v>
      </c>
      <c r="J141" s="110">
        <v>0</v>
      </c>
      <c r="K141" s="110">
        <v>1</v>
      </c>
      <c r="L141" s="81"/>
      <c r="M141" s="81">
        <f>'Praroop-20 hindi'!C144</f>
        <v>98</v>
      </c>
      <c r="N141" s="81">
        <v>2</v>
      </c>
      <c r="O141" s="81"/>
      <c r="P141" s="81">
        <f>'Praroop-20 hindi'!D144</f>
        <v>208</v>
      </c>
      <c r="Q141" s="81">
        <v>3</v>
      </c>
      <c r="R141" s="81"/>
      <c r="S141" s="81">
        <f>'Praroop-20 hindi'!E144</f>
        <v>150</v>
      </c>
      <c r="T141" s="81">
        <v>4</v>
      </c>
      <c r="U141" s="81"/>
      <c r="V141" s="81">
        <f>'Praroop-20 hindi'!F144</f>
        <v>2</v>
      </c>
      <c r="W141" s="81">
        <v>5</v>
      </c>
      <c r="X141" s="81"/>
      <c r="Y141" s="81">
        <f>'Praroop-20 hindi'!G144</f>
        <v>0</v>
      </c>
      <c r="Z141" s="81">
        <v>6</v>
      </c>
      <c r="AA141" s="81"/>
      <c r="AB141" s="81">
        <f>'Praroop-20 hindi'!H144</f>
        <v>0</v>
      </c>
      <c r="AC141" s="81">
        <v>7</v>
      </c>
      <c r="AD141" s="81"/>
      <c r="AE141" s="81">
        <f>'Praroop-20 hindi'!I144</f>
        <v>0</v>
      </c>
      <c r="AF141" s="81">
        <v>8</v>
      </c>
      <c r="AG141" s="81"/>
      <c r="AH141" s="81">
        <f>'Praroop-20 hindi'!J144</f>
        <v>0</v>
      </c>
      <c r="AI141" s="81">
        <v>9</v>
      </c>
      <c r="AJ141" s="81"/>
      <c r="AK141" s="81">
        <f>'Praroop-20 hindi'!K144</f>
        <v>0</v>
      </c>
      <c r="AL141" s="81">
        <v>10</v>
      </c>
      <c r="AM141" s="81"/>
      <c r="AN141" s="81">
        <f>'Praroop-20 hindi'!L144</f>
        <v>3</v>
      </c>
      <c r="AO141" s="81">
        <v>11</v>
      </c>
      <c r="AP141" s="81"/>
      <c r="AQ141" s="81">
        <f>'Praroop-20 hindi'!M144</f>
        <v>0</v>
      </c>
      <c r="AR141" s="81">
        <f t="shared" si="5"/>
        <v>461</v>
      </c>
    </row>
    <row r="142" spans="1:44" ht="38.25">
      <c r="A142" s="81">
        <v>64</v>
      </c>
      <c r="B142" s="41">
        <v>136</v>
      </c>
      <c r="C142" s="113" t="s">
        <v>261</v>
      </c>
      <c r="D142" s="117">
        <v>643</v>
      </c>
      <c r="E142" s="110">
        <v>238</v>
      </c>
      <c r="F142" s="110">
        <v>212</v>
      </c>
      <c r="G142" s="110">
        <v>0</v>
      </c>
      <c r="H142" s="111">
        <f t="shared" si="4"/>
        <v>450</v>
      </c>
      <c r="I142" s="112">
        <v>450</v>
      </c>
      <c r="J142" s="110">
        <v>0</v>
      </c>
      <c r="K142" s="110">
        <v>1</v>
      </c>
      <c r="L142" s="81"/>
      <c r="M142" s="81">
        <f>'Praroop-20 hindi'!C145</f>
        <v>31</v>
      </c>
      <c r="N142" s="81">
        <v>2</v>
      </c>
      <c r="O142" s="81"/>
      <c r="P142" s="81">
        <f>'Praroop-20 hindi'!D145</f>
        <v>352</v>
      </c>
      <c r="Q142" s="81">
        <v>3</v>
      </c>
      <c r="R142" s="81"/>
      <c r="S142" s="81">
        <f>'Praroop-20 hindi'!E145</f>
        <v>62</v>
      </c>
      <c r="T142" s="81">
        <v>4</v>
      </c>
      <c r="U142" s="81"/>
      <c r="V142" s="81">
        <f>'Praroop-20 hindi'!F145</f>
        <v>2</v>
      </c>
      <c r="W142" s="81">
        <v>5</v>
      </c>
      <c r="X142" s="81"/>
      <c r="Y142" s="81">
        <f>'Praroop-20 hindi'!G145</f>
        <v>0</v>
      </c>
      <c r="Z142" s="81">
        <v>6</v>
      </c>
      <c r="AA142" s="81"/>
      <c r="AB142" s="81">
        <f>'Praroop-20 hindi'!H145</f>
        <v>0</v>
      </c>
      <c r="AC142" s="81">
        <v>7</v>
      </c>
      <c r="AD142" s="81"/>
      <c r="AE142" s="81">
        <f>'Praroop-20 hindi'!I145</f>
        <v>0</v>
      </c>
      <c r="AF142" s="81">
        <v>8</v>
      </c>
      <c r="AG142" s="81"/>
      <c r="AH142" s="81">
        <f>'Praroop-20 hindi'!J145</f>
        <v>0</v>
      </c>
      <c r="AI142" s="81">
        <v>9</v>
      </c>
      <c r="AJ142" s="81"/>
      <c r="AK142" s="81">
        <f>'Praroop-20 hindi'!K145</f>
        <v>0</v>
      </c>
      <c r="AL142" s="81">
        <v>10</v>
      </c>
      <c r="AM142" s="81"/>
      <c r="AN142" s="81">
        <f>'Praroop-20 hindi'!L145</f>
        <v>3</v>
      </c>
      <c r="AO142" s="81">
        <v>11</v>
      </c>
      <c r="AP142" s="81"/>
      <c r="AQ142" s="81">
        <f>'Praroop-20 hindi'!M145</f>
        <v>0</v>
      </c>
      <c r="AR142" s="81">
        <f t="shared" si="5"/>
        <v>450</v>
      </c>
    </row>
    <row r="143" spans="1:44" ht="38.25">
      <c r="A143" s="81">
        <v>64</v>
      </c>
      <c r="B143" s="41">
        <v>137</v>
      </c>
      <c r="C143" s="113" t="s">
        <v>262</v>
      </c>
      <c r="D143" s="117">
        <v>822</v>
      </c>
      <c r="E143" s="110">
        <v>293</v>
      </c>
      <c r="F143" s="110">
        <v>265</v>
      </c>
      <c r="G143" s="110">
        <v>0</v>
      </c>
      <c r="H143" s="111">
        <f t="shared" si="4"/>
        <v>558</v>
      </c>
      <c r="I143" s="112">
        <v>558</v>
      </c>
      <c r="J143" s="110">
        <v>0</v>
      </c>
      <c r="K143" s="110">
        <v>1</v>
      </c>
      <c r="L143" s="81"/>
      <c r="M143" s="81">
        <f>'Praroop-20 hindi'!C146</f>
        <v>49</v>
      </c>
      <c r="N143" s="81">
        <v>2</v>
      </c>
      <c r="O143" s="81"/>
      <c r="P143" s="81">
        <f>'Praroop-20 hindi'!D146</f>
        <v>357</v>
      </c>
      <c r="Q143" s="81">
        <v>3</v>
      </c>
      <c r="R143" s="81"/>
      <c r="S143" s="81">
        <f>'Praroop-20 hindi'!E146</f>
        <v>149</v>
      </c>
      <c r="T143" s="81">
        <v>4</v>
      </c>
      <c r="U143" s="81"/>
      <c r="V143" s="81">
        <f>'Praroop-20 hindi'!F146</f>
        <v>1</v>
      </c>
      <c r="W143" s="81">
        <v>5</v>
      </c>
      <c r="X143" s="81"/>
      <c r="Y143" s="81">
        <f>'Praroop-20 hindi'!G146</f>
        <v>0</v>
      </c>
      <c r="Z143" s="81">
        <v>6</v>
      </c>
      <c r="AA143" s="81"/>
      <c r="AB143" s="81">
        <f>'Praroop-20 hindi'!H146</f>
        <v>1</v>
      </c>
      <c r="AC143" s="81">
        <v>7</v>
      </c>
      <c r="AD143" s="81"/>
      <c r="AE143" s="81">
        <f>'Praroop-20 hindi'!I146</f>
        <v>1</v>
      </c>
      <c r="AF143" s="81">
        <v>8</v>
      </c>
      <c r="AG143" s="81"/>
      <c r="AH143" s="81">
        <f>'Praroop-20 hindi'!J146</f>
        <v>0</v>
      </c>
      <c r="AI143" s="81">
        <v>9</v>
      </c>
      <c r="AJ143" s="81"/>
      <c r="AK143" s="81">
        <f>'Praroop-20 hindi'!K146</f>
        <v>0</v>
      </c>
      <c r="AL143" s="81">
        <v>10</v>
      </c>
      <c r="AM143" s="81"/>
      <c r="AN143" s="81">
        <f>'Praroop-20 hindi'!L146</f>
        <v>0</v>
      </c>
      <c r="AO143" s="81">
        <v>11</v>
      </c>
      <c r="AP143" s="81"/>
      <c r="AQ143" s="81">
        <f>'Praroop-20 hindi'!M146</f>
        <v>0</v>
      </c>
      <c r="AR143" s="81">
        <f t="shared" si="5"/>
        <v>558</v>
      </c>
    </row>
    <row r="144" spans="1:44" ht="38.25">
      <c r="A144" s="81">
        <v>64</v>
      </c>
      <c r="B144" s="41">
        <v>138</v>
      </c>
      <c r="C144" s="113" t="s">
        <v>263</v>
      </c>
      <c r="D144" s="117">
        <v>724</v>
      </c>
      <c r="E144" s="110">
        <v>255</v>
      </c>
      <c r="F144" s="110">
        <v>219</v>
      </c>
      <c r="G144" s="110">
        <v>0</v>
      </c>
      <c r="H144" s="111">
        <f t="shared" si="4"/>
        <v>474</v>
      </c>
      <c r="I144" s="112">
        <v>474</v>
      </c>
      <c r="J144" s="110">
        <v>0</v>
      </c>
      <c r="K144" s="110">
        <v>1</v>
      </c>
      <c r="L144" s="81"/>
      <c r="M144" s="81">
        <f>'Praroop-20 hindi'!C147</f>
        <v>161</v>
      </c>
      <c r="N144" s="81">
        <v>2</v>
      </c>
      <c r="O144" s="81"/>
      <c r="P144" s="81">
        <f>'Praroop-20 hindi'!D147</f>
        <v>27</v>
      </c>
      <c r="Q144" s="81">
        <v>3</v>
      </c>
      <c r="R144" s="81"/>
      <c r="S144" s="81">
        <f>'Praroop-20 hindi'!E147</f>
        <v>263</v>
      </c>
      <c r="T144" s="81">
        <v>4</v>
      </c>
      <c r="U144" s="81"/>
      <c r="V144" s="81">
        <f>'Praroop-20 hindi'!F147</f>
        <v>4</v>
      </c>
      <c r="W144" s="81">
        <v>5</v>
      </c>
      <c r="X144" s="81"/>
      <c r="Y144" s="81">
        <f>'Praroop-20 hindi'!G147</f>
        <v>2</v>
      </c>
      <c r="Z144" s="81">
        <v>6</v>
      </c>
      <c r="AA144" s="81"/>
      <c r="AB144" s="81">
        <f>'Praroop-20 hindi'!H147</f>
        <v>1</v>
      </c>
      <c r="AC144" s="81">
        <v>7</v>
      </c>
      <c r="AD144" s="81"/>
      <c r="AE144" s="81">
        <f>'Praroop-20 hindi'!I147</f>
        <v>3</v>
      </c>
      <c r="AF144" s="81">
        <v>8</v>
      </c>
      <c r="AG144" s="81"/>
      <c r="AH144" s="81">
        <f>'Praroop-20 hindi'!J147</f>
        <v>1</v>
      </c>
      <c r="AI144" s="81">
        <v>9</v>
      </c>
      <c r="AJ144" s="81"/>
      <c r="AK144" s="81">
        <f>'Praroop-20 hindi'!K147</f>
        <v>1</v>
      </c>
      <c r="AL144" s="81">
        <v>10</v>
      </c>
      <c r="AM144" s="81"/>
      <c r="AN144" s="81">
        <f>'Praroop-20 hindi'!L147</f>
        <v>5</v>
      </c>
      <c r="AO144" s="81">
        <v>11</v>
      </c>
      <c r="AP144" s="81"/>
      <c r="AQ144" s="81">
        <f>'Praroop-20 hindi'!M147</f>
        <v>2</v>
      </c>
      <c r="AR144" s="81">
        <f t="shared" si="5"/>
        <v>470</v>
      </c>
    </row>
    <row r="145" spans="1:44" ht="38.25">
      <c r="A145" s="81">
        <v>64</v>
      </c>
      <c r="B145" s="41">
        <v>139</v>
      </c>
      <c r="C145" s="113" t="s">
        <v>264</v>
      </c>
      <c r="D145" s="117">
        <v>876</v>
      </c>
      <c r="E145" s="110">
        <v>346</v>
      </c>
      <c r="F145" s="110">
        <v>258</v>
      </c>
      <c r="G145" s="110">
        <v>0</v>
      </c>
      <c r="H145" s="111">
        <f t="shared" si="4"/>
        <v>604</v>
      </c>
      <c r="I145" s="112">
        <v>604</v>
      </c>
      <c r="J145" s="110">
        <v>0</v>
      </c>
      <c r="K145" s="110">
        <v>1</v>
      </c>
      <c r="L145" s="81"/>
      <c r="M145" s="81">
        <f>'Praroop-20 hindi'!C148</f>
        <v>268</v>
      </c>
      <c r="N145" s="81">
        <v>2</v>
      </c>
      <c r="O145" s="81"/>
      <c r="P145" s="81">
        <f>'Praroop-20 hindi'!D148</f>
        <v>15</v>
      </c>
      <c r="Q145" s="81">
        <v>3</v>
      </c>
      <c r="R145" s="81"/>
      <c r="S145" s="81">
        <f>'Praroop-20 hindi'!E148</f>
        <v>307</v>
      </c>
      <c r="T145" s="81">
        <v>4</v>
      </c>
      <c r="U145" s="81"/>
      <c r="V145" s="81">
        <f>'Praroop-20 hindi'!F148</f>
        <v>1</v>
      </c>
      <c r="W145" s="81">
        <v>5</v>
      </c>
      <c r="X145" s="81"/>
      <c r="Y145" s="81">
        <f>'Praroop-20 hindi'!G148</f>
        <v>7</v>
      </c>
      <c r="Z145" s="81">
        <v>6</v>
      </c>
      <c r="AA145" s="81"/>
      <c r="AB145" s="81">
        <f>'Praroop-20 hindi'!H148</f>
        <v>1</v>
      </c>
      <c r="AC145" s="81">
        <v>7</v>
      </c>
      <c r="AD145" s="81"/>
      <c r="AE145" s="81">
        <f>'Praroop-20 hindi'!I148</f>
        <v>1</v>
      </c>
      <c r="AF145" s="81">
        <v>8</v>
      </c>
      <c r="AG145" s="81"/>
      <c r="AH145" s="81">
        <f>'Praroop-20 hindi'!J148</f>
        <v>2</v>
      </c>
      <c r="AI145" s="81">
        <v>9</v>
      </c>
      <c r="AJ145" s="81"/>
      <c r="AK145" s="81">
        <f>'Praroop-20 hindi'!K148</f>
        <v>0</v>
      </c>
      <c r="AL145" s="81">
        <v>10</v>
      </c>
      <c r="AM145" s="81"/>
      <c r="AN145" s="81">
        <f>'Praroop-20 hindi'!L148</f>
        <v>1</v>
      </c>
      <c r="AO145" s="81">
        <v>11</v>
      </c>
      <c r="AP145" s="81"/>
      <c r="AQ145" s="81">
        <f>'Praroop-20 hindi'!M148</f>
        <v>0</v>
      </c>
      <c r="AR145" s="81">
        <f t="shared" si="5"/>
        <v>603</v>
      </c>
    </row>
    <row r="146" spans="1:44" ht="38.25">
      <c r="A146" s="81">
        <v>64</v>
      </c>
      <c r="B146" s="41">
        <v>140</v>
      </c>
      <c r="C146" s="113" t="s">
        <v>265</v>
      </c>
      <c r="D146" s="117">
        <v>936</v>
      </c>
      <c r="E146" s="110">
        <v>361</v>
      </c>
      <c r="F146" s="110">
        <v>288</v>
      </c>
      <c r="G146" s="110"/>
      <c r="H146" s="111">
        <f t="shared" si="4"/>
        <v>649</v>
      </c>
      <c r="I146" s="112">
        <v>649</v>
      </c>
      <c r="J146" s="110">
        <v>0</v>
      </c>
      <c r="K146" s="110">
        <v>1</v>
      </c>
      <c r="L146" s="81"/>
      <c r="M146" s="81">
        <f>'Praroop-20 hindi'!C149</f>
        <v>191</v>
      </c>
      <c r="N146" s="81">
        <v>2</v>
      </c>
      <c r="O146" s="81"/>
      <c r="P146" s="81">
        <f>'Praroop-20 hindi'!D149</f>
        <v>27</v>
      </c>
      <c r="Q146" s="81">
        <v>3</v>
      </c>
      <c r="R146" s="81"/>
      <c r="S146" s="81">
        <f>'Praroop-20 hindi'!E149</f>
        <v>400</v>
      </c>
      <c r="T146" s="81">
        <v>4</v>
      </c>
      <c r="U146" s="81"/>
      <c r="V146" s="81">
        <f>'Praroop-20 hindi'!F149</f>
        <v>6</v>
      </c>
      <c r="W146" s="81">
        <v>5</v>
      </c>
      <c r="X146" s="81"/>
      <c r="Y146" s="81">
        <f>'Praroop-20 hindi'!G149</f>
        <v>4</v>
      </c>
      <c r="Z146" s="81">
        <v>6</v>
      </c>
      <c r="AA146" s="81"/>
      <c r="AB146" s="81">
        <f>'Praroop-20 hindi'!H149</f>
        <v>2</v>
      </c>
      <c r="AC146" s="81">
        <v>7</v>
      </c>
      <c r="AD146" s="81"/>
      <c r="AE146" s="81">
        <f>'Praroop-20 hindi'!I149</f>
        <v>0</v>
      </c>
      <c r="AF146" s="81">
        <v>8</v>
      </c>
      <c r="AG146" s="81"/>
      <c r="AH146" s="81">
        <f>'Praroop-20 hindi'!J149</f>
        <v>2</v>
      </c>
      <c r="AI146" s="81">
        <v>9</v>
      </c>
      <c r="AJ146" s="81"/>
      <c r="AK146" s="81">
        <f>'Praroop-20 hindi'!K149</f>
        <v>3</v>
      </c>
      <c r="AL146" s="81">
        <v>10</v>
      </c>
      <c r="AM146" s="81"/>
      <c r="AN146" s="81">
        <f>'Praroop-20 hindi'!L149</f>
        <v>6</v>
      </c>
      <c r="AO146" s="81">
        <v>11</v>
      </c>
      <c r="AP146" s="81"/>
      <c r="AQ146" s="81">
        <f>'Praroop-20 hindi'!M149</f>
        <v>1</v>
      </c>
      <c r="AR146" s="81">
        <f t="shared" si="5"/>
        <v>642</v>
      </c>
    </row>
    <row r="147" spans="1:44" ht="25.5">
      <c r="A147" s="81">
        <v>64</v>
      </c>
      <c r="B147" s="41">
        <v>141</v>
      </c>
      <c r="C147" s="113" t="s">
        <v>266</v>
      </c>
      <c r="D147" s="117">
        <v>445</v>
      </c>
      <c r="E147" s="110">
        <v>198</v>
      </c>
      <c r="F147" s="110">
        <v>157</v>
      </c>
      <c r="G147" s="110">
        <v>0</v>
      </c>
      <c r="H147" s="111">
        <f t="shared" si="4"/>
        <v>355</v>
      </c>
      <c r="I147" s="112">
        <v>340</v>
      </c>
      <c r="J147" s="110">
        <v>0</v>
      </c>
      <c r="K147" s="110">
        <v>1</v>
      </c>
      <c r="L147" s="81"/>
      <c r="M147" s="81">
        <f>'Praroop-20 hindi'!C150</f>
        <v>10</v>
      </c>
      <c r="N147" s="81">
        <v>2</v>
      </c>
      <c r="O147" s="81"/>
      <c r="P147" s="81">
        <f>'Praroop-20 hindi'!D150</f>
        <v>27</v>
      </c>
      <c r="Q147" s="81">
        <v>3</v>
      </c>
      <c r="R147" s="81"/>
      <c r="S147" s="81">
        <f>'Praroop-20 hindi'!E150</f>
        <v>311</v>
      </c>
      <c r="T147" s="81">
        <v>4</v>
      </c>
      <c r="U147" s="81"/>
      <c r="V147" s="81">
        <f>'Praroop-20 hindi'!F150</f>
        <v>0</v>
      </c>
      <c r="W147" s="81">
        <v>5</v>
      </c>
      <c r="X147" s="81"/>
      <c r="Y147" s="81">
        <f>'Praroop-20 hindi'!G150</f>
        <v>0</v>
      </c>
      <c r="Z147" s="81">
        <v>6</v>
      </c>
      <c r="AA147" s="81"/>
      <c r="AB147" s="81">
        <f>'Praroop-20 hindi'!H150</f>
        <v>0</v>
      </c>
      <c r="AC147" s="81">
        <v>7</v>
      </c>
      <c r="AD147" s="81"/>
      <c r="AE147" s="81">
        <f>'Praroop-20 hindi'!I150</f>
        <v>0</v>
      </c>
      <c r="AF147" s="81">
        <v>8</v>
      </c>
      <c r="AG147" s="81"/>
      <c r="AH147" s="81">
        <f>'Praroop-20 hindi'!J150</f>
        <v>0</v>
      </c>
      <c r="AI147" s="81">
        <v>9</v>
      </c>
      <c r="AJ147" s="81"/>
      <c r="AK147" s="81">
        <f>'Praroop-20 hindi'!K150</f>
        <v>1</v>
      </c>
      <c r="AL147" s="81">
        <v>10</v>
      </c>
      <c r="AM147" s="81"/>
      <c r="AN147" s="81">
        <f>'Praroop-20 hindi'!L150</f>
        <v>5</v>
      </c>
      <c r="AO147" s="81">
        <v>11</v>
      </c>
      <c r="AP147" s="81"/>
      <c r="AQ147" s="81">
        <f>'Praroop-20 hindi'!M150</f>
        <v>0</v>
      </c>
      <c r="AR147" s="81">
        <f t="shared" si="5"/>
        <v>354</v>
      </c>
    </row>
    <row r="148" spans="1:44" ht="25.5">
      <c r="A148" s="81">
        <v>64</v>
      </c>
      <c r="B148" s="41">
        <v>142</v>
      </c>
      <c r="C148" s="113" t="s">
        <v>267</v>
      </c>
      <c r="D148" s="117">
        <v>849</v>
      </c>
      <c r="E148" s="110">
        <v>336</v>
      </c>
      <c r="F148" s="110">
        <v>307</v>
      </c>
      <c r="G148" s="110">
        <v>0</v>
      </c>
      <c r="H148" s="111">
        <f t="shared" si="4"/>
        <v>643</v>
      </c>
      <c r="I148" s="112">
        <v>643</v>
      </c>
      <c r="J148" s="110">
        <v>0</v>
      </c>
      <c r="K148" s="110">
        <v>1</v>
      </c>
      <c r="L148" s="81"/>
      <c r="M148" s="81">
        <f>'Praroop-20 hindi'!C151</f>
        <v>50</v>
      </c>
      <c r="N148" s="81">
        <v>2</v>
      </c>
      <c r="O148" s="81"/>
      <c r="P148" s="81">
        <f>'Praroop-20 hindi'!D151</f>
        <v>65</v>
      </c>
      <c r="Q148" s="81">
        <v>3</v>
      </c>
      <c r="R148" s="81"/>
      <c r="S148" s="81">
        <f>'Praroop-20 hindi'!E151</f>
        <v>508</v>
      </c>
      <c r="T148" s="81">
        <v>4</v>
      </c>
      <c r="U148" s="81"/>
      <c r="V148" s="81">
        <f>'Praroop-20 hindi'!F151</f>
        <v>3</v>
      </c>
      <c r="W148" s="81">
        <v>5</v>
      </c>
      <c r="X148" s="81"/>
      <c r="Y148" s="81">
        <f>'Praroop-20 hindi'!G151</f>
        <v>1</v>
      </c>
      <c r="Z148" s="81">
        <v>6</v>
      </c>
      <c r="AA148" s="81"/>
      <c r="AB148" s="81">
        <f>'Praroop-20 hindi'!H151</f>
        <v>0</v>
      </c>
      <c r="AC148" s="81">
        <v>7</v>
      </c>
      <c r="AD148" s="81"/>
      <c r="AE148" s="81">
        <f>'Praroop-20 hindi'!I151</f>
        <v>0</v>
      </c>
      <c r="AF148" s="81">
        <v>8</v>
      </c>
      <c r="AG148" s="81"/>
      <c r="AH148" s="81">
        <f>'Praroop-20 hindi'!J151</f>
        <v>2</v>
      </c>
      <c r="AI148" s="81">
        <v>9</v>
      </c>
      <c r="AJ148" s="81"/>
      <c r="AK148" s="81">
        <f>'Praroop-20 hindi'!K151</f>
        <v>0</v>
      </c>
      <c r="AL148" s="81">
        <v>10</v>
      </c>
      <c r="AM148" s="81"/>
      <c r="AN148" s="81">
        <f>'Praroop-20 hindi'!L151</f>
        <v>9</v>
      </c>
      <c r="AO148" s="81">
        <v>11</v>
      </c>
      <c r="AP148" s="81"/>
      <c r="AQ148" s="81">
        <f>'Praroop-20 hindi'!M151</f>
        <v>2</v>
      </c>
      <c r="AR148" s="81">
        <f t="shared" si="5"/>
        <v>640</v>
      </c>
    </row>
    <row r="149" spans="1:44" ht="25.5">
      <c r="A149" s="81">
        <v>64</v>
      </c>
      <c r="B149" s="41">
        <v>143</v>
      </c>
      <c r="C149" s="113" t="s">
        <v>268</v>
      </c>
      <c r="D149" s="117">
        <v>865</v>
      </c>
      <c r="E149" s="110">
        <v>365</v>
      </c>
      <c r="F149" s="110">
        <v>310</v>
      </c>
      <c r="G149" s="110">
        <v>0</v>
      </c>
      <c r="H149" s="111">
        <f t="shared" si="4"/>
        <v>675</v>
      </c>
      <c r="I149" s="112">
        <v>600</v>
      </c>
      <c r="J149" s="110">
        <v>0</v>
      </c>
      <c r="K149" s="110">
        <v>1</v>
      </c>
      <c r="L149" s="81"/>
      <c r="M149" s="81">
        <f>'Praroop-20 hindi'!C152</f>
        <v>71</v>
      </c>
      <c r="N149" s="81">
        <v>2</v>
      </c>
      <c r="O149" s="81"/>
      <c r="P149" s="81">
        <f>'Praroop-20 hindi'!D152</f>
        <v>70</v>
      </c>
      <c r="Q149" s="81">
        <v>3</v>
      </c>
      <c r="R149" s="81"/>
      <c r="S149" s="81">
        <f>'Praroop-20 hindi'!E152</f>
        <v>520</v>
      </c>
      <c r="T149" s="81">
        <v>4</v>
      </c>
      <c r="U149" s="81"/>
      <c r="V149" s="81">
        <f>'Praroop-20 hindi'!F152</f>
        <v>2</v>
      </c>
      <c r="W149" s="81">
        <v>5</v>
      </c>
      <c r="X149" s="81"/>
      <c r="Y149" s="81">
        <f>'Praroop-20 hindi'!G152</f>
        <v>3</v>
      </c>
      <c r="Z149" s="81">
        <v>6</v>
      </c>
      <c r="AA149" s="81"/>
      <c r="AB149" s="81">
        <f>'Praroop-20 hindi'!H152</f>
        <v>0</v>
      </c>
      <c r="AC149" s="81">
        <v>7</v>
      </c>
      <c r="AD149" s="81"/>
      <c r="AE149" s="81">
        <f>'Praroop-20 hindi'!I152</f>
        <v>0</v>
      </c>
      <c r="AF149" s="81">
        <v>8</v>
      </c>
      <c r="AG149" s="81"/>
      <c r="AH149" s="81">
        <f>'Praroop-20 hindi'!J152</f>
        <v>0</v>
      </c>
      <c r="AI149" s="81">
        <v>9</v>
      </c>
      <c r="AJ149" s="81"/>
      <c r="AK149" s="81">
        <f>'Praroop-20 hindi'!K152</f>
        <v>2</v>
      </c>
      <c r="AL149" s="81">
        <v>10</v>
      </c>
      <c r="AM149" s="81"/>
      <c r="AN149" s="81">
        <f>'Praroop-20 hindi'!L152</f>
        <v>7</v>
      </c>
      <c r="AO149" s="81">
        <v>11</v>
      </c>
      <c r="AP149" s="81"/>
      <c r="AQ149" s="81">
        <f>'Praroop-20 hindi'!M152</f>
        <v>0</v>
      </c>
      <c r="AR149" s="81">
        <f t="shared" si="5"/>
        <v>675</v>
      </c>
    </row>
    <row r="150" spans="1:44" ht="38.25">
      <c r="A150" s="81">
        <v>64</v>
      </c>
      <c r="B150" s="41">
        <v>144</v>
      </c>
      <c r="C150" s="116" t="s">
        <v>269</v>
      </c>
      <c r="D150" s="117">
        <v>695</v>
      </c>
      <c r="E150" s="110">
        <v>271</v>
      </c>
      <c r="F150" s="110">
        <v>262</v>
      </c>
      <c r="G150" s="110">
        <v>0</v>
      </c>
      <c r="H150" s="111">
        <f t="shared" si="4"/>
        <v>533</v>
      </c>
      <c r="I150" s="112">
        <v>518</v>
      </c>
      <c r="J150" s="110">
        <v>0</v>
      </c>
      <c r="K150" s="110">
        <v>1</v>
      </c>
      <c r="L150" s="81"/>
      <c r="M150" s="81">
        <f>'Praroop-20 hindi'!C153</f>
        <v>75</v>
      </c>
      <c r="N150" s="81">
        <v>2</v>
      </c>
      <c r="O150" s="81"/>
      <c r="P150" s="81">
        <f>'Praroop-20 hindi'!D153</f>
        <v>119</v>
      </c>
      <c r="Q150" s="81">
        <v>3</v>
      </c>
      <c r="R150" s="81"/>
      <c r="S150" s="81">
        <f>'Praroop-20 hindi'!E153</f>
        <v>324</v>
      </c>
      <c r="T150" s="81">
        <v>4</v>
      </c>
      <c r="U150" s="81"/>
      <c r="V150" s="81">
        <f>'Praroop-20 hindi'!F153</f>
        <v>4</v>
      </c>
      <c r="W150" s="81">
        <v>5</v>
      </c>
      <c r="X150" s="81"/>
      <c r="Y150" s="81">
        <f>'Praroop-20 hindi'!G153</f>
        <v>1</v>
      </c>
      <c r="Z150" s="81">
        <v>6</v>
      </c>
      <c r="AA150" s="81"/>
      <c r="AB150" s="81">
        <f>'Praroop-20 hindi'!H153</f>
        <v>0</v>
      </c>
      <c r="AC150" s="81">
        <v>7</v>
      </c>
      <c r="AD150" s="81"/>
      <c r="AE150" s="81">
        <f>'Praroop-20 hindi'!I153</f>
        <v>0</v>
      </c>
      <c r="AF150" s="81">
        <v>8</v>
      </c>
      <c r="AG150" s="81"/>
      <c r="AH150" s="81">
        <f>'Praroop-20 hindi'!J153</f>
        <v>0</v>
      </c>
      <c r="AI150" s="81">
        <v>9</v>
      </c>
      <c r="AJ150" s="81"/>
      <c r="AK150" s="81">
        <f>'Praroop-20 hindi'!K153</f>
        <v>1</v>
      </c>
      <c r="AL150" s="81">
        <v>10</v>
      </c>
      <c r="AM150" s="81"/>
      <c r="AN150" s="81">
        <f>'Praroop-20 hindi'!L153</f>
        <v>2</v>
      </c>
      <c r="AO150" s="81">
        <v>11</v>
      </c>
      <c r="AP150" s="81"/>
      <c r="AQ150" s="81">
        <f>'Praroop-20 hindi'!M153</f>
        <v>1</v>
      </c>
      <c r="AR150" s="81">
        <f t="shared" si="5"/>
        <v>527</v>
      </c>
    </row>
    <row r="151" spans="1:44" ht="38.25">
      <c r="A151" s="81">
        <v>64</v>
      </c>
      <c r="B151" s="41">
        <v>145</v>
      </c>
      <c r="C151" s="116" t="s">
        <v>270</v>
      </c>
      <c r="D151" s="117">
        <v>722</v>
      </c>
      <c r="E151" s="110">
        <v>297</v>
      </c>
      <c r="F151" s="110">
        <v>283</v>
      </c>
      <c r="G151" s="110">
        <v>0</v>
      </c>
      <c r="H151" s="111">
        <f t="shared" si="4"/>
        <v>580</v>
      </c>
      <c r="I151" s="112">
        <v>518</v>
      </c>
      <c r="J151" s="110">
        <v>0</v>
      </c>
      <c r="K151" s="110">
        <v>1</v>
      </c>
      <c r="L151" s="81"/>
      <c r="M151" s="81">
        <f>'Praroop-20 hindi'!C154</f>
        <v>13</v>
      </c>
      <c r="N151" s="81">
        <v>2</v>
      </c>
      <c r="O151" s="81"/>
      <c r="P151" s="81">
        <f>'Praroop-20 hindi'!D154</f>
        <v>368</v>
      </c>
      <c r="Q151" s="81">
        <v>3</v>
      </c>
      <c r="R151" s="81"/>
      <c r="S151" s="81">
        <f>'Praroop-20 hindi'!E154</f>
        <v>183</v>
      </c>
      <c r="T151" s="81">
        <v>4</v>
      </c>
      <c r="U151" s="81"/>
      <c r="V151" s="81">
        <f>'Praroop-20 hindi'!F154</f>
        <v>3</v>
      </c>
      <c r="W151" s="81">
        <v>5</v>
      </c>
      <c r="X151" s="81"/>
      <c r="Y151" s="81">
        <f>'Praroop-20 hindi'!G154</f>
        <v>1</v>
      </c>
      <c r="Z151" s="81">
        <v>6</v>
      </c>
      <c r="AA151" s="81"/>
      <c r="AB151" s="81">
        <f>'Praroop-20 hindi'!H154</f>
        <v>0</v>
      </c>
      <c r="AC151" s="81">
        <v>7</v>
      </c>
      <c r="AD151" s="81"/>
      <c r="AE151" s="81">
        <f>'Praroop-20 hindi'!I154</f>
        <v>1</v>
      </c>
      <c r="AF151" s="81">
        <v>8</v>
      </c>
      <c r="AG151" s="81"/>
      <c r="AH151" s="81">
        <f>'Praroop-20 hindi'!J154</f>
        <v>0</v>
      </c>
      <c r="AI151" s="81">
        <v>9</v>
      </c>
      <c r="AJ151" s="81"/>
      <c r="AK151" s="81">
        <f>'Praroop-20 hindi'!K154</f>
        <v>1</v>
      </c>
      <c r="AL151" s="81">
        <v>10</v>
      </c>
      <c r="AM151" s="81"/>
      <c r="AN151" s="81">
        <f>'Praroop-20 hindi'!L154</f>
        <v>7</v>
      </c>
      <c r="AO151" s="81">
        <v>11</v>
      </c>
      <c r="AP151" s="81"/>
      <c r="AQ151" s="81">
        <f>'Praroop-20 hindi'!M154</f>
        <v>2</v>
      </c>
      <c r="AR151" s="81">
        <f t="shared" si="5"/>
        <v>579</v>
      </c>
    </row>
    <row r="152" spans="1:44" ht="25.5">
      <c r="A152" s="81">
        <v>64</v>
      </c>
      <c r="B152" s="41">
        <v>146</v>
      </c>
      <c r="C152" s="116" t="s">
        <v>271</v>
      </c>
      <c r="D152" s="117">
        <v>637</v>
      </c>
      <c r="E152" s="110">
        <v>261</v>
      </c>
      <c r="F152" s="110">
        <v>219</v>
      </c>
      <c r="G152" s="110">
        <v>0</v>
      </c>
      <c r="H152" s="111">
        <f t="shared" si="4"/>
        <v>480</v>
      </c>
      <c r="I152" s="112">
        <v>410</v>
      </c>
      <c r="J152" s="110">
        <v>0</v>
      </c>
      <c r="K152" s="110">
        <v>1</v>
      </c>
      <c r="L152" s="81"/>
      <c r="M152" s="81">
        <f>'Praroop-20 hindi'!C155</f>
        <v>120</v>
      </c>
      <c r="N152" s="81">
        <v>2</v>
      </c>
      <c r="O152" s="81"/>
      <c r="P152" s="81">
        <f>'Praroop-20 hindi'!D155</f>
        <v>246</v>
      </c>
      <c r="Q152" s="81">
        <v>3</v>
      </c>
      <c r="R152" s="81"/>
      <c r="S152" s="81">
        <f>'Praroop-20 hindi'!E155</f>
        <v>104</v>
      </c>
      <c r="T152" s="81">
        <v>4</v>
      </c>
      <c r="U152" s="81"/>
      <c r="V152" s="81">
        <f>'Praroop-20 hindi'!F155</f>
        <v>0</v>
      </c>
      <c r="W152" s="81">
        <v>5</v>
      </c>
      <c r="X152" s="81"/>
      <c r="Y152" s="81">
        <f>'Praroop-20 hindi'!G155</f>
        <v>0</v>
      </c>
      <c r="Z152" s="81">
        <v>6</v>
      </c>
      <c r="AA152" s="81"/>
      <c r="AB152" s="81">
        <f>'Praroop-20 hindi'!H155</f>
        <v>0</v>
      </c>
      <c r="AC152" s="81">
        <v>7</v>
      </c>
      <c r="AD152" s="81"/>
      <c r="AE152" s="81">
        <f>'Praroop-20 hindi'!I155</f>
        <v>0</v>
      </c>
      <c r="AF152" s="81">
        <v>8</v>
      </c>
      <c r="AG152" s="81"/>
      <c r="AH152" s="81">
        <f>'Praroop-20 hindi'!J155</f>
        <v>1</v>
      </c>
      <c r="AI152" s="81">
        <v>9</v>
      </c>
      <c r="AJ152" s="81"/>
      <c r="AK152" s="81">
        <f>'Praroop-20 hindi'!K155</f>
        <v>1</v>
      </c>
      <c r="AL152" s="81">
        <v>10</v>
      </c>
      <c r="AM152" s="81"/>
      <c r="AN152" s="81">
        <f>'Praroop-20 hindi'!L155</f>
        <v>3</v>
      </c>
      <c r="AO152" s="81">
        <v>11</v>
      </c>
      <c r="AP152" s="81"/>
      <c r="AQ152" s="81">
        <f>'Praroop-20 hindi'!M155</f>
        <v>2</v>
      </c>
      <c r="AR152" s="81">
        <f t="shared" si="5"/>
        <v>477</v>
      </c>
    </row>
    <row r="153" spans="1:44" ht="25.5">
      <c r="A153" s="81">
        <v>64</v>
      </c>
      <c r="B153" s="41">
        <v>147</v>
      </c>
      <c r="C153" s="116" t="s">
        <v>272</v>
      </c>
      <c r="D153" s="117">
        <v>590</v>
      </c>
      <c r="E153" s="110">
        <v>211</v>
      </c>
      <c r="F153" s="110">
        <v>190</v>
      </c>
      <c r="G153" s="110">
        <v>0</v>
      </c>
      <c r="H153" s="111">
        <f t="shared" si="4"/>
        <v>401</v>
      </c>
      <c r="I153" s="112">
        <v>355</v>
      </c>
      <c r="J153" s="110">
        <v>0</v>
      </c>
      <c r="K153" s="110">
        <v>1</v>
      </c>
      <c r="L153" s="81"/>
      <c r="M153" s="81">
        <f>'Praroop-20 hindi'!C156</f>
        <v>47</v>
      </c>
      <c r="N153" s="81">
        <v>2</v>
      </c>
      <c r="O153" s="81"/>
      <c r="P153" s="81">
        <f>'Praroop-20 hindi'!D156</f>
        <v>234</v>
      </c>
      <c r="Q153" s="81">
        <v>3</v>
      </c>
      <c r="R153" s="81"/>
      <c r="S153" s="81">
        <f>'Praroop-20 hindi'!E156</f>
        <v>117</v>
      </c>
      <c r="T153" s="81">
        <v>4</v>
      </c>
      <c r="U153" s="81"/>
      <c r="V153" s="81">
        <f>'Praroop-20 hindi'!F156</f>
        <v>0</v>
      </c>
      <c r="W153" s="81">
        <v>5</v>
      </c>
      <c r="X153" s="81"/>
      <c r="Y153" s="81">
        <f>'Praroop-20 hindi'!G156</f>
        <v>0</v>
      </c>
      <c r="Z153" s="81">
        <v>6</v>
      </c>
      <c r="AA153" s="81"/>
      <c r="AB153" s="81">
        <f>'Praroop-20 hindi'!H156</f>
        <v>1</v>
      </c>
      <c r="AC153" s="81">
        <v>7</v>
      </c>
      <c r="AD153" s="81"/>
      <c r="AE153" s="81">
        <f>'Praroop-20 hindi'!I156</f>
        <v>0</v>
      </c>
      <c r="AF153" s="81">
        <v>8</v>
      </c>
      <c r="AG153" s="81"/>
      <c r="AH153" s="81">
        <f>'Praroop-20 hindi'!J156</f>
        <v>0</v>
      </c>
      <c r="AI153" s="81">
        <v>9</v>
      </c>
      <c r="AJ153" s="81"/>
      <c r="AK153" s="81">
        <f>'Praroop-20 hindi'!K156</f>
        <v>1</v>
      </c>
      <c r="AL153" s="81">
        <v>10</v>
      </c>
      <c r="AM153" s="81"/>
      <c r="AN153" s="81">
        <f>'Praroop-20 hindi'!L156</f>
        <v>1</v>
      </c>
      <c r="AO153" s="81">
        <v>11</v>
      </c>
      <c r="AP153" s="81"/>
      <c r="AQ153" s="81">
        <f>'Praroop-20 hindi'!M156</f>
        <v>0</v>
      </c>
      <c r="AR153" s="81">
        <f t="shared" si="5"/>
        <v>401</v>
      </c>
    </row>
    <row r="154" spans="1:44">
      <c r="A154" s="81">
        <v>64</v>
      </c>
      <c r="B154" s="41">
        <v>148</v>
      </c>
      <c r="C154" s="113" t="s">
        <v>273</v>
      </c>
      <c r="D154" s="117">
        <v>1179</v>
      </c>
      <c r="E154" s="110">
        <v>420</v>
      </c>
      <c r="F154" s="110">
        <v>410</v>
      </c>
      <c r="G154" s="110">
        <v>0</v>
      </c>
      <c r="H154" s="111">
        <f t="shared" si="4"/>
        <v>830</v>
      </c>
      <c r="I154" s="112">
        <v>800</v>
      </c>
      <c r="J154" s="110">
        <v>0</v>
      </c>
      <c r="K154" s="110">
        <v>1</v>
      </c>
      <c r="L154" s="81"/>
      <c r="M154" s="81">
        <f>'Praroop-20 hindi'!C157</f>
        <v>120</v>
      </c>
      <c r="N154" s="81">
        <v>2</v>
      </c>
      <c r="O154" s="81"/>
      <c r="P154" s="81">
        <f>'Praroop-20 hindi'!D157</f>
        <v>343</v>
      </c>
      <c r="Q154" s="81">
        <v>3</v>
      </c>
      <c r="R154" s="81"/>
      <c r="S154" s="81">
        <f>'Praroop-20 hindi'!E157</f>
        <v>358</v>
      </c>
      <c r="T154" s="81">
        <v>4</v>
      </c>
      <c r="U154" s="81"/>
      <c r="V154" s="81">
        <f>'Praroop-20 hindi'!F157</f>
        <v>3</v>
      </c>
      <c r="W154" s="81">
        <v>5</v>
      </c>
      <c r="X154" s="81"/>
      <c r="Y154" s="81">
        <f>'Praroop-20 hindi'!G157</f>
        <v>0</v>
      </c>
      <c r="Z154" s="81">
        <v>6</v>
      </c>
      <c r="AA154" s="81"/>
      <c r="AB154" s="81">
        <f>'Praroop-20 hindi'!H157</f>
        <v>0</v>
      </c>
      <c r="AC154" s="81">
        <v>7</v>
      </c>
      <c r="AD154" s="81"/>
      <c r="AE154" s="81">
        <f>'Praroop-20 hindi'!I157</f>
        <v>0</v>
      </c>
      <c r="AF154" s="81">
        <v>8</v>
      </c>
      <c r="AG154" s="81"/>
      <c r="AH154" s="81">
        <f>'Praroop-20 hindi'!J157</f>
        <v>0</v>
      </c>
      <c r="AI154" s="81">
        <v>9</v>
      </c>
      <c r="AJ154" s="81"/>
      <c r="AK154" s="81">
        <f>'Praroop-20 hindi'!K157</f>
        <v>0</v>
      </c>
      <c r="AL154" s="81">
        <v>10</v>
      </c>
      <c r="AM154" s="81"/>
      <c r="AN154" s="81">
        <f>'Praroop-20 hindi'!L157</f>
        <v>4</v>
      </c>
      <c r="AO154" s="81">
        <v>11</v>
      </c>
      <c r="AP154" s="81"/>
      <c r="AQ154" s="81">
        <f>'Praroop-20 hindi'!M157</f>
        <v>1</v>
      </c>
      <c r="AR154" s="81">
        <f t="shared" si="5"/>
        <v>829</v>
      </c>
    </row>
    <row r="155" spans="1:44" ht="25.5">
      <c r="A155" s="81">
        <v>64</v>
      </c>
      <c r="B155" s="41">
        <v>149</v>
      </c>
      <c r="C155" s="113" t="s">
        <v>274</v>
      </c>
      <c r="D155" s="117">
        <v>833</v>
      </c>
      <c r="E155" s="110">
        <v>345</v>
      </c>
      <c r="F155" s="110">
        <v>291</v>
      </c>
      <c r="G155" s="110">
        <v>0</v>
      </c>
      <c r="H155" s="111">
        <f t="shared" si="4"/>
        <v>636</v>
      </c>
      <c r="I155" s="112">
        <v>615</v>
      </c>
      <c r="J155" s="110">
        <v>0</v>
      </c>
      <c r="K155" s="110">
        <v>1</v>
      </c>
      <c r="L155" s="81"/>
      <c r="M155" s="81">
        <f>'Praroop-20 hindi'!C158</f>
        <v>33</v>
      </c>
      <c r="N155" s="81">
        <v>2</v>
      </c>
      <c r="O155" s="81"/>
      <c r="P155" s="81">
        <f>'Praroop-20 hindi'!D158</f>
        <v>557</v>
      </c>
      <c r="Q155" s="81">
        <v>3</v>
      </c>
      <c r="R155" s="81"/>
      <c r="S155" s="81">
        <f>'Praroop-20 hindi'!E158</f>
        <v>22</v>
      </c>
      <c r="T155" s="81">
        <v>4</v>
      </c>
      <c r="U155" s="81"/>
      <c r="V155" s="81">
        <f>'Praroop-20 hindi'!F158</f>
        <v>7</v>
      </c>
      <c r="W155" s="81">
        <v>5</v>
      </c>
      <c r="X155" s="81"/>
      <c r="Y155" s="81">
        <f>'Praroop-20 hindi'!G158</f>
        <v>2</v>
      </c>
      <c r="Z155" s="81">
        <v>6</v>
      </c>
      <c r="AA155" s="81"/>
      <c r="AB155" s="81">
        <f>'Praroop-20 hindi'!H158</f>
        <v>0</v>
      </c>
      <c r="AC155" s="81">
        <v>7</v>
      </c>
      <c r="AD155" s="81"/>
      <c r="AE155" s="81">
        <f>'Praroop-20 hindi'!I158</f>
        <v>0</v>
      </c>
      <c r="AF155" s="81">
        <v>8</v>
      </c>
      <c r="AG155" s="81"/>
      <c r="AH155" s="81">
        <f>'Praroop-20 hindi'!J158</f>
        <v>1</v>
      </c>
      <c r="AI155" s="81">
        <v>9</v>
      </c>
      <c r="AJ155" s="81"/>
      <c r="AK155" s="81">
        <f>'Praroop-20 hindi'!K158</f>
        <v>8</v>
      </c>
      <c r="AL155" s="81">
        <v>10</v>
      </c>
      <c r="AM155" s="81"/>
      <c r="AN155" s="81">
        <f>'Praroop-20 hindi'!L158</f>
        <v>2</v>
      </c>
      <c r="AO155" s="81">
        <v>11</v>
      </c>
      <c r="AP155" s="81"/>
      <c r="AQ155" s="81">
        <f>'Praroop-20 hindi'!M158</f>
        <v>2</v>
      </c>
      <c r="AR155" s="81">
        <f t="shared" si="5"/>
        <v>634</v>
      </c>
    </row>
    <row r="156" spans="1:44" ht="38.25">
      <c r="A156" s="81">
        <v>64</v>
      </c>
      <c r="B156" s="41">
        <v>150</v>
      </c>
      <c r="C156" s="113" t="s">
        <v>275</v>
      </c>
      <c r="D156" s="117">
        <v>1129</v>
      </c>
      <c r="E156" s="110">
        <v>339</v>
      </c>
      <c r="F156" s="110">
        <v>298</v>
      </c>
      <c r="G156" s="110">
        <v>0</v>
      </c>
      <c r="H156" s="111">
        <f t="shared" si="4"/>
        <v>637</v>
      </c>
      <c r="I156" s="112">
        <v>537</v>
      </c>
      <c r="J156" s="110">
        <v>0</v>
      </c>
      <c r="K156" s="110">
        <v>1</v>
      </c>
      <c r="L156" s="81"/>
      <c r="M156" s="81">
        <f>'Praroop-20 hindi'!C159</f>
        <v>20</v>
      </c>
      <c r="N156" s="81">
        <v>2</v>
      </c>
      <c r="O156" s="81"/>
      <c r="P156" s="81">
        <f>'Praroop-20 hindi'!D159</f>
        <v>423</v>
      </c>
      <c r="Q156" s="81">
        <v>3</v>
      </c>
      <c r="R156" s="81"/>
      <c r="S156" s="81">
        <f>'Praroop-20 hindi'!E159</f>
        <v>182</v>
      </c>
      <c r="T156" s="81">
        <v>4</v>
      </c>
      <c r="U156" s="81"/>
      <c r="V156" s="81">
        <f>'Praroop-20 hindi'!F159</f>
        <v>9</v>
      </c>
      <c r="W156" s="81">
        <v>5</v>
      </c>
      <c r="X156" s="81"/>
      <c r="Y156" s="81">
        <f>'Praroop-20 hindi'!G159</f>
        <v>0</v>
      </c>
      <c r="Z156" s="81">
        <v>6</v>
      </c>
      <c r="AA156" s="81"/>
      <c r="AB156" s="81">
        <f>'Praroop-20 hindi'!H159</f>
        <v>0</v>
      </c>
      <c r="AC156" s="81">
        <v>7</v>
      </c>
      <c r="AD156" s="81"/>
      <c r="AE156" s="81">
        <f>'Praroop-20 hindi'!I159</f>
        <v>0</v>
      </c>
      <c r="AF156" s="81">
        <v>8</v>
      </c>
      <c r="AG156" s="81"/>
      <c r="AH156" s="81">
        <f>'Praroop-20 hindi'!J159</f>
        <v>0</v>
      </c>
      <c r="AI156" s="81">
        <v>9</v>
      </c>
      <c r="AJ156" s="81"/>
      <c r="AK156" s="81">
        <f>'Praroop-20 hindi'!K159</f>
        <v>1</v>
      </c>
      <c r="AL156" s="81">
        <v>10</v>
      </c>
      <c r="AM156" s="81"/>
      <c r="AN156" s="81">
        <f>'Praroop-20 hindi'!L159</f>
        <v>1</v>
      </c>
      <c r="AO156" s="81">
        <v>11</v>
      </c>
      <c r="AP156" s="81"/>
      <c r="AQ156" s="81">
        <f>'Praroop-20 hindi'!M159</f>
        <v>0</v>
      </c>
      <c r="AR156" s="81">
        <f t="shared" si="5"/>
        <v>636</v>
      </c>
    </row>
    <row r="157" spans="1:44" ht="38.25">
      <c r="A157" s="81">
        <v>64</v>
      </c>
      <c r="B157" s="41">
        <v>151</v>
      </c>
      <c r="C157" s="113" t="s">
        <v>276</v>
      </c>
      <c r="D157" s="117">
        <v>829</v>
      </c>
      <c r="E157" s="110">
        <v>285</v>
      </c>
      <c r="F157" s="110">
        <v>252</v>
      </c>
      <c r="G157" s="110">
        <v>0</v>
      </c>
      <c r="H157" s="111">
        <f t="shared" si="4"/>
        <v>537</v>
      </c>
      <c r="I157" s="112">
        <v>501</v>
      </c>
      <c r="J157" s="110">
        <v>0</v>
      </c>
      <c r="K157" s="110">
        <v>1</v>
      </c>
      <c r="L157" s="81"/>
      <c r="M157" s="81">
        <f>'Praroop-20 hindi'!C160</f>
        <v>126</v>
      </c>
      <c r="N157" s="81">
        <v>2</v>
      </c>
      <c r="O157" s="81"/>
      <c r="P157" s="81">
        <f>'Praroop-20 hindi'!D160</f>
        <v>278</v>
      </c>
      <c r="Q157" s="81">
        <v>3</v>
      </c>
      <c r="R157" s="81"/>
      <c r="S157" s="81">
        <f>'Praroop-20 hindi'!E160</f>
        <v>85</v>
      </c>
      <c r="T157" s="81">
        <v>4</v>
      </c>
      <c r="U157" s="81"/>
      <c r="V157" s="81">
        <f>'Praroop-20 hindi'!F160</f>
        <v>4</v>
      </c>
      <c r="W157" s="81">
        <v>5</v>
      </c>
      <c r="X157" s="81"/>
      <c r="Y157" s="81">
        <f>'Praroop-20 hindi'!G160</f>
        <v>2</v>
      </c>
      <c r="Z157" s="81">
        <v>6</v>
      </c>
      <c r="AA157" s="81"/>
      <c r="AB157" s="81">
        <f>'Praroop-20 hindi'!H160</f>
        <v>0</v>
      </c>
      <c r="AC157" s="81">
        <v>7</v>
      </c>
      <c r="AD157" s="81"/>
      <c r="AE157" s="81">
        <f>'Praroop-20 hindi'!I160</f>
        <v>0</v>
      </c>
      <c r="AF157" s="81">
        <v>8</v>
      </c>
      <c r="AG157" s="81"/>
      <c r="AH157" s="81">
        <f>'Praroop-20 hindi'!J160</f>
        <v>0</v>
      </c>
      <c r="AI157" s="81">
        <v>9</v>
      </c>
      <c r="AJ157" s="81"/>
      <c r="AK157" s="81">
        <f>'Praroop-20 hindi'!K160</f>
        <v>31</v>
      </c>
      <c r="AL157" s="81">
        <v>10</v>
      </c>
      <c r="AM157" s="81"/>
      <c r="AN157" s="81">
        <f>'Praroop-20 hindi'!L160</f>
        <v>5</v>
      </c>
      <c r="AO157" s="81">
        <v>11</v>
      </c>
      <c r="AP157" s="81"/>
      <c r="AQ157" s="81">
        <f>'Praroop-20 hindi'!M160</f>
        <v>2</v>
      </c>
      <c r="AR157" s="81">
        <f t="shared" si="5"/>
        <v>533</v>
      </c>
    </row>
    <row r="158" spans="1:44" ht="25.5">
      <c r="A158" s="81">
        <v>64</v>
      </c>
      <c r="B158" s="41">
        <v>152</v>
      </c>
      <c r="C158" s="113" t="s">
        <v>277</v>
      </c>
      <c r="D158" s="117">
        <v>827</v>
      </c>
      <c r="E158" s="110">
        <v>283</v>
      </c>
      <c r="F158" s="110">
        <v>278</v>
      </c>
      <c r="G158" s="110">
        <v>0</v>
      </c>
      <c r="H158" s="111">
        <f t="shared" si="4"/>
        <v>561</v>
      </c>
      <c r="I158" s="112">
        <v>519</v>
      </c>
      <c r="J158" s="110">
        <v>0</v>
      </c>
      <c r="K158" s="110">
        <v>1</v>
      </c>
      <c r="L158" s="81"/>
      <c r="M158" s="81">
        <f>'Praroop-20 hindi'!C161</f>
        <v>85</v>
      </c>
      <c r="N158" s="81">
        <v>2</v>
      </c>
      <c r="O158" s="81"/>
      <c r="P158" s="81">
        <f>'Praroop-20 hindi'!D161</f>
        <v>391</v>
      </c>
      <c r="Q158" s="81">
        <v>3</v>
      </c>
      <c r="R158" s="81"/>
      <c r="S158" s="81">
        <f>'Praroop-20 hindi'!E161</f>
        <v>79</v>
      </c>
      <c r="T158" s="81">
        <v>4</v>
      </c>
      <c r="U158" s="81"/>
      <c r="V158" s="81">
        <f>'Praroop-20 hindi'!F161</f>
        <v>0</v>
      </c>
      <c r="W158" s="81">
        <v>5</v>
      </c>
      <c r="X158" s="81"/>
      <c r="Y158" s="81">
        <f>'Praroop-20 hindi'!G161</f>
        <v>0</v>
      </c>
      <c r="Z158" s="81">
        <v>6</v>
      </c>
      <c r="AA158" s="81"/>
      <c r="AB158" s="81">
        <f>'Praroop-20 hindi'!H161</f>
        <v>0</v>
      </c>
      <c r="AC158" s="81">
        <v>7</v>
      </c>
      <c r="AD158" s="81"/>
      <c r="AE158" s="81">
        <f>'Praroop-20 hindi'!I161</f>
        <v>0</v>
      </c>
      <c r="AF158" s="81">
        <v>8</v>
      </c>
      <c r="AG158" s="81"/>
      <c r="AH158" s="81">
        <f>'Praroop-20 hindi'!J161</f>
        <v>1</v>
      </c>
      <c r="AI158" s="81">
        <v>9</v>
      </c>
      <c r="AJ158" s="81"/>
      <c r="AK158" s="81">
        <f>'Praroop-20 hindi'!K161</f>
        <v>0</v>
      </c>
      <c r="AL158" s="81">
        <v>10</v>
      </c>
      <c r="AM158" s="81"/>
      <c r="AN158" s="81">
        <f>'Praroop-20 hindi'!L161</f>
        <v>2</v>
      </c>
      <c r="AO158" s="81">
        <v>11</v>
      </c>
      <c r="AP158" s="81"/>
      <c r="AQ158" s="81">
        <f>'Praroop-20 hindi'!M161</f>
        <v>2</v>
      </c>
      <c r="AR158" s="81">
        <f t="shared" si="5"/>
        <v>560</v>
      </c>
    </row>
    <row r="159" spans="1:44" ht="25.5">
      <c r="A159" s="81">
        <v>64</v>
      </c>
      <c r="B159" s="41">
        <v>153</v>
      </c>
      <c r="C159" s="113" t="s">
        <v>278</v>
      </c>
      <c r="D159" s="117">
        <v>1024</v>
      </c>
      <c r="E159" s="110">
        <v>383</v>
      </c>
      <c r="F159" s="110">
        <v>350</v>
      </c>
      <c r="G159" s="110">
        <v>0</v>
      </c>
      <c r="H159" s="111">
        <f t="shared" si="4"/>
        <v>733</v>
      </c>
      <c r="I159" s="112">
        <v>662</v>
      </c>
      <c r="J159" s="110">
        <v>0</v>
      </c>
      <c r="K159" s="110">
        <v>1</v>
      </c>
      <c r="L159" s="81"/>
      <c r="M159" s="81">
        <f>'Praroop-20 hindi'!C162</f>
        <v>4</v>
      </c>
      <c r="N159" s="81">
        <v>2</v>
      </c>
      <c r="O159" s="81"/>
      <c r="P159" s="81">
        <f>'Praroop-20 hindi'!D162</f>
        <v>489</v>
      </c>
      <c r="Q159" s="81">
        <v>3</v>
      </c>
      <c r="R159" s="81"/>
      <c r="S159" s="81">
        <f>'Praroop-20 hindi'!E162</f>
        <v>225</v>
      </c>
      <c r="T159" s="81">
        <v>4</v>
      </c>
      <c r="U159" s="81"/>
      <c r="V159" s="81">
        <f>'Praroop-20 hindi'!F162</f>
        <v>3</v>
      </c>
      <c r="W159" s="81">
        <v>5</v>
      </c>
      <c r="X159" s="81"/>
      <c r="Y159" s="81">
        <f>'Praroop-20 hindi'!G162</f>
        <v>0</v>
      </c>
      <c r="Z159" s="81">
        <v>6</v>
      </c>
      <c r="AA159" s="81"/>
      <c r="AB159" s="81">
        <f>'Praroop-20 hindi'!H162</f>
        <v>0</v>
      </c>
      <c r="AC159" s="81">
        <v>7</v>
      </c>
      <c r="AD159" s="81"/>
      <c r="AE159" s="81">
        <f>'Praroop-20 hindi'!I162</f>
        <v>0</v>
      </c>
      <c r="AF159" s="81">
        <v>8</v>
      </c>
      <c r="AG159" s="81"/>
      <c r="AH159" s="81">
        <f>'Praroop-20 hindi'!J162</f>
        <v>2</v>
      </c>
      <c r="AI159" s="81">
        <v>9</v>
      </c>
      <c r="AJ159" s="81"/>
      <c r="AK159" s="81">
        <f>'Praroop-20 hindi'!K162</f>
        <v>0</v>
      </c>
      <c r="AL159" s="81">
        <v>10</v>
      </c>
      <c r="AM159" s="81"/>
      <c r="AN159" s="81">
        <f>'Praroop-20 hindi'!L162</f>
        <v>8</v>
      </c>
      <c r="AO159" s="81">
        <v>11</v>
      </c>
      <c r="AP159" s="81"/>
      <c r="AQ159" s="81">
        <f>'Praroop-20 hindi'!M162</f>
        <v>0</v>
      </c>
      <c r="AR159" s="81">
        <f t="shared" si="5"/>
        <v>731</v>
      </c>
    </row>
    <row r="160" spans="1:44" ht="25.5">
      <c r="A160" s="81">
        <v>64</v>
      </c>
      <c r="B160" s="41">
        <v>154</v>
      </c>
      <c r="C160" s="113" t="s">
        <v>279</v>
      </c>
      <c r="D160" s="117">
        <v>838</v>
      </c>
      <c r="E160" s="110">
        <v>317</v>
      </c>
      <c r="F160" s="110">
        <v>286</v>
      </c>
      <c r="G160" s="110">
        <v>0</v>
      </c>
      <c r="H160" s="111">
        <f t="shared" si="4"/>
        <v>603</v>
      </c>
      <c r="I160" s="112">
        <v>528</v>
      </c>
      <c r="J160" s="110">
        <v>0</v>
      </c>
      <c r="K160" s="110">
        <v>1</v>
      </c>
      <c r="L160" s="81"/>
      <c r="M160" s="81">
        <f>'Praroop-20 hindi'!C163</f>
        <v>247</v>
      </c>
      <c r="N160" s="81">
        <v>2</v>
      </c>
      <c r="O160" s="81"/>
      <c r="P160" s="81">
        <f>'Praroop-20 hindi'!D163</f>
        <v>53</v>
      </c>
      <c r="Q160" s="81">
        <v>3</v>
      </c>
      <c r="R160" s="81"/>
      <c r="S160" s="81">
        <f>'Praroop-20 hindi'!E163</f>
        <v>290</v>
      </c>
      <c r="T160" s="81">
        <v>4</v>
      </c>
      <c r="U160" s="81"/>
      <c r="V160" s="81">
        <f>'Praroop-20 hindi'!F163</f>
        <v>1</v>
      </c>
      <c r="W160" s="81">
        <v>5</v>
      </c>
      <c r="X160" s="81"/>
      <c r="Y160" s="81">
        <f>'Praroop-20 hindi'!G163</f>
        <v>0</v>
      </c>
      <c r="Z160" s="81">
        <v>6</v>
      </c>
      <c r="AA160" s="81"/>
      <c r="AB160" s="81">
        <f>'Praroop-20 hindi'!H163</f>
        <v>0</v>
      </c>
      <c r="AC160" s="81">
        <v>7</v>
      </c>
      <c r="AD160" s="81"/>
      <c r="AE160" s="81">
        <f>'Praroop-20 hindi'!I163</f>
        <v>0</v>
      </c>
      <c r="AF160" s="81">
        <v>8</v>
      </c>
      <c r="AG160" s="81"/>
      <c r="AH160" s="81">
        <f>'Praroop-20 hindi'!J163</f>
        <v>1</v>
      </c>
      <c r="AI160" s="81">
        <v>9</v>
      </c>
      <c r="AJ160" s="81"/>
      <c r="AK160" s="81">
        <f>'Praroop-20 hindi'!K163</f>
        <v>1</v>
      </c>
      <c r="AL160" s="81">
        <v>10</v>
      </c>
      <c r="AM160" s="81"/>
      <c r="AN160" s="81">
        <f>'Praroop-20 hindi'!L163</f>
        <v>5</v>
      </c>
      <c r="AO160" s="81">
        <v>11</v>
      </c>
      <c r="AP160" s="81"/>
      <c r="AQ160" s="81">
        <f>'Praroop-20 hindi'!M163</f>
        <v>0</v>
      </c>
      <c r="AR160" s="81">
        <f t="shared" si="5"/>
        <v>598</v>
      </c>
    </row>
    <row r="161" spans="1:44" ht="25.5">
      <c r="A161" s="81">
        <v>64</v>
      </c>
      <c r="B161" s="41">
        <v>155</v>
      </c>
      <c r="C161" s="113" t="s">
        <v>280</v>
      </c>
      <c r="D161" s="117">
        <v>707</v>
      </c>
      <c r="E161" s="110">
        <v>272</v>
      </c>
      <c r="F161" s="110">
        <v>246</v>
      </c>
      <c r="G161" s="110">
        <v>0</v>
      </c>
      <c r="H161" s="111">
        <f t="shared" si="4"/>
        <v>518</v>
      </c>
      <c r="I161" s="112">
        <v>442</v>
      </c>
      <c r="J161" s="110">
        <v>0</v>
      </c>
      <c r="K161" s="110">
        <v>1</v>
      </c>
      <c r="L161" s="81"/>
      <c r="M161" s="81">
        <f>'Praroop-20 hindi'!C164</f>
        <v>1</v>
      </c>
      <c r="N161" s="81">
        <v>2</v>
      </c>
      <c r="O161" s="81"/>
      <c r="P161" s="81">
        <f>'Praroop-20 hindi'!D164</f>
        <v>408</v>
      </c>
      <c r="Q161" s="81">
        <v>3</v>
      </c>
      <c r="R161" s="81"/>
      <c r="S161" s="81">
        <f>'Praroop-20 hindi'!E164</f>
        <v>104</v>
      </c>
      <c r="T161" s="81">
        <v>4</v>
      </c>
      <c r="U161" s="81"/>
      <c r="V161" s="81">
        <f>'Praroop-20 hindi'!F164</f>
        <v>1</v>
      </c>
      <c r="W161" s="81">
        <v>5</v>
      </c>
      <c r="X161" s="81"/>
      <c r="Y161" s="81">
        <f>'Praroop-20 hindi'!G164</f>
        <v>0</v>
      </c>
      <c r="Z161" s="81">
        <v>6</v>
      </c>
      <c r="AA161" s="81"/>
      <c r="AB161" s="81">
        <f>'Praroop-20 hindi'!H164</f>
        <v>0</v>
      </c>
      <c r="AC161" s="81">
        <v>7</v>
      </c>
      <c r="AD161" s="81"/>
      <c r="AE161" s="81">
        <f>'Praroop-20 hindi'!I164</f>
        <v>0</v>
      </c>
      <c r="AF161" s="81">
        <v>8</v>
      </c>
      <c r="AG161" s="81"/>
      <c r="AH161" s="81">
        <f>'Praroop-20 hindi'!J164</f>
        <v>2</v>
      </c>
      <c r="AI161" s="81">
        <v>9</v>
      </c>
      <c r="AJ161" s="81"/>
      <c r="AK161" s="81">
        <f>'Praroop-20 hindi'!K164</f>
        <v>0</v>
      </c>
      <c r="AL161" s="81">
        <v>10</v>
      </c>
      <c r="AM161" s="81"/>
      <c r="AN161" s="81">
        <f>'Praroop-20 hindi'!L164</f>
        <v>1</v>
      </c>
      <c r="AO161" s="81">
        <v>11</v>
      </c>
      <c r="AP161" s="81"/>
      <c r="AQ161" s="81">
        <f>'Praroop-20 hindi'!M164</f>
        <v>1</v>
      </c>
      <c r="AR161" s="81">
        <f t="shared" si="5"/>
        <v>518</v>
      </c>
    </row>
    <row r="162" spans="1:44" ht="25.5">
      <c r="A162" s="81">
        <v>64</v>
      </c>
      <c r="B162" s="41">
        <v>156</v>
      </c>
      <c r="C162" s="116" t="s">
        <v>281</v>
      </c>
      <c r="D162" s="117">
        <v>1168</v>
      </c>
      <c r="E162" s="110">
        <v>392</v>
      </c>
      <c r="F162" s="110">
        <v>358</v>
      </c>
      <c r="G162" s="110">
        <v>0</v>
      </c>
      <c r="H162" s="111">
        <f t="shared" si="4"/>
        <v>750</v>
      </c>
      <c r="I162" s="112">
        <v>648</v>
      </c>
      <c r="J162" s="110">
        <v>0</v>
      </c>
      <c r="K162" s="110">
        <v>1</v>
      </c>
      <c r="L162" s="81"/>
      <c r="M162" s="81">
        <f>'Praroop-20 hindi'!C165</f>
        <v>111</v>
      </c>
      <c r="N162" s="81">
        <v>2</v>
      </c>
      <c r="O162" s="81"/>
      <c r="P162" s="81">
        <f>'Praroop-20 hindi'!D165</f>
        <v>76</v>
      </c>
      <c r="Q162" s="81">
        <v>3</v>
      </c>
      <c r="R162" s="81"/>
      <c r="S162" s="81">
        <f>'Praroop-20 hindi'!E165</f>
        <v>552</v>
      </c>
      <c r="T162" s="81">
        <v>4</v>
      </c>
      <c r="U162" s="81"/>
      <c r="V162" s="81">
        <f>'Praroop-20 hindi'!F165</f>
        <v>4</v>
      </c>
      <c r="W162" s="81">
        <v>5</v>
      </c>
      <c r="X162" s="81"/>
      <c r="Y162" s="81">
        <f>'Praroop-20 hindi'!G165</f>
        <v>4</v>
      </c>
      <c r="Z162" s="81">
        <v>6</v>
      </c>
      <c r="AA162" s="81"/>
      <c r="AB162" s="81">
        <f>'Praroop-20 hindi'!H165</f>
        <v>0</v>
      </c>
      <c r="AC162" s="81">
        <v>7</v>
      </c>
      <c r="AD162" s="81"/>
      <c r="AE162" s="81">
        <f>'Praroop-20 hindi'!I165</f>
        <v>0</v>
      </c>
      <c r="AF162" s="81">
        <v>8</v>
      </c>
      <c r="AG162" s="81"/>
      <c r="AH162" s="81">
        <f>'Praroop-20 hindi'!J165</f>
        <v>0</v>
      </c>
      <c r="AI162" s="81">
        <v>9</v>
      </c>
      <c r="AJ162" s="81"/>
      <c r="AK162" s="81">
        <f>'Praroop-20 hindi'!K165</f>
        <v>0</v>
      </c>
      <c r="AL162" s="81">
        <v>10</v>
      </c>
      <c r="AM162" s="81"/>
      <c r="AN162" s="81">
        <f>'Praroop-20 hindi'!L165</f>
        <v>1</v>
      </c>
      <c r="AO162" s="81">
        <v>11</v>
      </c>
      <c r="AP162" s="81"/>
      <c r="AQ162" s="81">
        <f>'Praroop-20 hindi'!M165</f>
        <v>1</v>
      </c>
      <c r="AR162" s="81">
        <f t="shared" si="5"/>
        <v>749</v>
      </c>
    </row>
    <row r="163" spans="1:44" ht="38.25">
      <c r="A163" s="81">
        <v>64</v>
      </c>
      <c r="B163" s="41">
        <v>157</v>
      </c>
      <c r="C163" s="113" t="s">
        <v>282</v>
      </c>
      <c r="D163" s="117">
        <v>788</v>
      </c>
      <c r="E163" s="110">
        <v>257</v>
      </c>
      <c r="F163" s="110">
        <v>219</v>
      </c>
      <c r="G163" s="110">
        <v>0</v>
      </c>
      <c r="H163" s="111">
        <f t="shared" si="4"/>
        <v>476</v>
      </c>
      <c r="I163" s="112">
        <v>427</v>
      </c>
      <c r="J163" s="110">
        <v>0</v>
      </c>
      <c r="K163" s="110">
        <v>1</v>
      </c>
      <c r="L163" s="81"/>
      <c r="M163" s="81">
        <f>'Praroop-20 hindi'!C166</f>
        <v>40</v>
      </c>
      <c r="N163" s="81">
        <v>2</v>
      </c>
      <c r="O163" s="81"/>
      <c r="P163" s="81">
        <f>'Praroop-20 hindi'!D166</f>
        <v>262</v>
      </c>
      <c r="Q163" s="81">
        <v>3</v>
      </c>
      <c r="R163" s="81"/>
      <c r="S163" s="81">
        <f>'Praroop-20 hindi'!E166</f>
        <v>167</v>
      </c>
      <c r="T163" s="81">
        <v>4</v>
      </c>
      <c r="U163" s="81"/>
      <c r="V163" s="81">
        <f>'Praroop-20 hindi'!F166</f>
        <v>2</v>
      </c>
      <c r="W163" s="81">
        <v>5</v>
      </c>
      <c r="X163" s="81"/>
      <c r="Y163" s="81">
        <f>'Praroop-20 hindi'!G166</f>
        <v>1</v>
      </c>
      <c r="Z163" s="81">
        <v>6</v>
      </c>
      <c r="AA163" s="81"/>
      <c r="AB163" s="81">
        <f>'Praroop-20 hindi'!H166</f>
        <v>0</v>
      </c>
      <c r="AC163" s="81">
        <v>7</v>
      </c>
      <c r="AD163" s="81"/>
      <c r="AE163" s="81">
        <f>'Praroop-20 hindi'!I166</f>
        <v>0</v>
      </c>
      <c r="AF163" s="81">
        <v>8</v>
      </c>
      <c r="AG163" s="81"/>
      <c r="AH163" s="81">
        <f>'Praroop-20 hindi'!J166</f>
        <v>0</v>
      </c>
      <c r="AI163" s="81">
        <v>9</v>
      </c>
      <c r="AJ163" s="81"/>
      <c r="AK163" s="81">
        <f>'Praroop-20 hindi'!K166</f>
        <v>0</v>
      </c>
      <c r="AL163" s="81">
        <v>10</v>
      </c>
      <c r="AM163" s="81"/>
      <c r="AN163" s="81">
        <f>'Praroop-20 hindi'!L166</f>
        <v>2</v>
      </c>
      <c r="AO163" s="81">
        <v>11</v>
      </c>
      <c r="AP163" s="81"/>
      <c r="AQ163" s="81">
        <f>'Praroop-20 hindi'!M166</f>
        <v>1</v>
      </c>
      <c r="AR163" s="81">
        <f t="shared" si="5"/>
        <v>475</v>
      </c>
    </row>
    <row r="164" spans="1:44" ht="38.25">
      <c r="A164" s="81">
        <v>64</v>
      </c>
      <c r="B164" s="41">
        <v>158</v>
      </c>
      <c r="C164" s="113" t="s">
        <v>283</v>
      </c>
      <c r="D164" s="117">
        <v>846</v>
      </c>
      <c r="E164" s="110">
        <v>289</v>
      </c>
      <c r="F164" s="110">
        <v>273</v>
      </c>
      <c r="G164" s="110">
        <v>0</v>
      </c>
      <c r="H164" s="111">
        <f t="shared" si="4"/>
        <v>562</v>
      </c>
      <c r="I164" s="112">
        <v>562</v>
      </c>
      <c r="J164" s="110">
        <v>0</v>
      </c>
      <c r="K164" s="110">
        <v>1</v>
      </c>
      <c r="L164" s="81"/>
      <c r="M164" s="81">
        <f>'Praroop-20 hindi'!C167</f>
        <v>6</v>
      </c>
      <c r="N164" s="81">
        <v>2</v>
      </c>
      <c r="O164" s="81"/>
      <c r="P164" s="81">
        <f>'Praroop-20 hindi'!D167</f>
        <v>379</v>
      </c>
      <c r="Q164" s="81">
        <v>3</v>
      </c>
      <c r="R164" s="81"/>
      <c r="S164" s="81">
        <f>'Praroop-20 hindi'!E167</f>
        <v>175</v>
      </c>
      <c r="T164" s="81">
        <v>4</v>
      </c>
      <c r="U164" s="81"/>
      <c r="V164" s="81">
        <f>'Praroop-20 hindi'!F167</f>
        <v>0</v>
      </c>
      <c r="W164" s="81">
        <v>5</v>
      </c>
      <c r="X164" s="81"/>
      <c r="Y164" s="81">
        <f>'Praroop-20 hindi'!G167</f>
        <v>0</v>
      </c>
      <c r="Z164" s="81">
        <v>6</v>
      </c>
      <c r="AA164" s="81"/>
      <c r="AB164" s="81">
        <f>'Praroop-20 hindi'!H167</f>
        <v>0</v>
      </c>
      <c r="AC164" s="81">
        <v>7</v>
      </c>
      <c r="AD164" s="81"/>
      <c r="AE164" s="81">
        <f>'Praroop-20 hindi'!I167</f>
        <v>0</v>
      </c>
      <c r="AF164" s="81">
        <v>8</v>
      </c>
      <c r="AG164" s="81"/>
      <c r="AH164" s="81">
        <f>'Praroop-20 hindi'!J167</f>
        <v>0</v>
      </c>
      <c r="AI164" s="81">
        <v>9</v>
      </c>
      <c r="AJ164" s="81"/>
      <c r="AK164" s="81">
        <f>'Praroop-20 hindi'!K167</f>
        <v>0</v>
      </c>
      <c r="AL164" s="81">
        <v>10</v>
      </c>
      <c r="AM164" s="81"/>
      <c r="AN164" s="81">
        <f>'Praroop-20 hindi'!L167</f>
        <v>1</v>
      </c>
      <c r="AO164" s="81">
        <v>11</v>
      </c>
      <c r="AP164" s="81"/>
      <c r="AQ164" s="81">
        <f>'Praroop-20 hindi'!M167</f>
        <v>0</v>
      </c>
      <c r="AR164" s="81">
        <f t="shared" si="5"/>
        <v>561</v>
      </c>
    </row>
    <row r="165" spans="1:44" ht="25.5">
      <c r="A165" s="81">
        <v>64</v>
      </c>
      <c r="B165" s="41">
        <v>159</v>
      </c>
      <c r="C165" s="113" t="s">
        <v>284</v>
      </c>
      <c r="D165" s="117">
        <v>628</v>
      </c>
      <c r="E165" s="110">
        <v>231</v>
      </c>
      <c r="F165" s="110">
        <v>207</v>
      </c>
      <c r="G165" s="110">
        <v>0</v>
      </c>
      <c r="H165" s="111">
        <f t="shared" si="4"/>
        <v>438</v>
      </c>
      <c r="I165" s="112">
        <v>438</v>
      </c>
      <c r="J165" s="110">
        <v>0</v>
      </c>
      <c r="K165" s="110">
        <v>1</v>
      </c>
      <c r="L165" s="81"/>
      <c r="M165" s="81">
        <f>'Praroop-20 hindi'!C168</f>
        <v>1</v>
      </c>
      <c r="N165" s="81">
        <v>2</v>
      </c>
      <c r="O165" s="81"/>
      <c r="P165" s="81">
        <f>'Praroop-20 hindi'!D168</f>
        <v>341</v>
      </c>
      <c r="Q165" s="81">
        <v>3</v>
      </c>
      <c r="R165" s="81"/>
      <c r="S165" s="81">
        <f>'Praroop-20 hindi'!E168</f>
        <v>90</v>
      </c>
      <c r="T165" s="81">
        <v>4</v>
      </c>
      <c r="U165" s="81"/>
      <c r="V165" s="81">
        <f>'Praroop-20 hindi'!F168</f>
        <v>2</v>
      </c>
      <c r="W165" s="81">
        <v>5</v>
      </c>
      <c r="X165" s="81"/>
      <c r="Y165" s="81">
        <f>'Praroop-20 hindi'!G168</f>
        <v>0</v>
      </c>
      <c r="Z165" s="81">
        <v>6</v>
      </c>
      <c r="AA165" s="81"/>
      <c r="AB165" s="81">
        <f>'Praroop-20 hindi'!H168</f>
        <v>0</v>
      </c>
      <c r="AC165" s="81">
        <v>7</v>
      </c>
      <c r="AD165" s="81"/>
      <c r="AE165" s="81">
        <f>'Praroop-20 hindi'!I168</f>
        <v>0</v>
      </c>
      <c r="AF165" s="81">
        <v>8</v>
      </c>
      <c r="AG165" s="81"/>
      <c r="AH165" s="81">
        <f>'Praroop-20 hindi'!J168</f>
        <v>0</v>
      </c>
      <c r="AI165" s="81">
        <v>9</v>
      </c>
      <c r="AJ165" s="81"/>
      <c r="AK165" s="81">
        <f>'Praroop-20 hindi'!K168</f>
        <v>3</v>
      </c>
      <c r="AL165" s="81">
        <v>10</v>
      </c>
      <c r="AM165" s="81"/>
      <c r="AN165" s="81">
        <f>'Praroop-20 hindi'!L168</f>
        <v>1</v>
      </c>
      <c r="AO165" s="81">
        <v>11</v>
      </c>
      <c r="AP165" s="81"/>
      <c r="AQ165" s="81">
        <f>'Praroop-20 hindi'!M168</f>
        <v>0</v>
      </c>
      <c r="AR165" s="81">
        <f t="shared" si="5"/>
        <v>438</v>
      </c>
    </row>
    <row r="166" spans="1:44" ht="25.5">
      <c r="A166" s="81">
        <v>64</v>
      </c>
      <c r="B166" s="41">
        <v>160</v>
      </c>
      <c r="C166" s="113" t="s">
        <v>285</v>
      </c>
      <c r="D166" s="117">
        <v>594</v>
      </c>
      <c r="E166" s="110">
        <v>207</v>
      </c>
      <c r="F166" s="110">
        <v>195</v>
      </c>
      <c r="G166" s="110">
        <v>0</v>
      </c>
      <c r="H166" s="111">
        <f t="shared" si="4"/>
        <v>402</v>
      </c>
      <c r="I166" s="112">
        <v>402</v>
      </c>
      <c r="J166" s="110">
        <v>0</v>
      </c>
      <c r="K166" s="110">
        <v>1</v>
      </c>
      <c r="L166" s="81"/>
      <c r="M166" s="81">
        <f>'Praroop-20 hindi'!C169</f>
        <v>38</v>
      </c>
      <c r="N166" s="81">
        <v>2</v>
      </c>
      <c r="O166" s="81"/>
      <c r="P166" s="81">
        <f>'Praroop-20 hindi'!D169</f>
        <v>260</v>
      </c>
      <c r="Q166" s="81">
        <v>3</v>
      </c>
      <c r="R166" s="81"/>
      <c r="S166" s="81">
        <f>'Praroop-20 hindi'!E169</f>
        <v>92</v>
      </c>
      <c r="T166" s="81">
        <v>4</v>
      </c>
      <c r="U166" s="81"/>
      <c r="V166" s="81">
        <f>'Praroop-20 hindi'!F169</f>
        <v>0</v>
      </c>
      <c r="W166" s="81">
        <v>5</v>
      </c>
      <c r="X166" s="81"/>
      <c r="Y166" s="81">
        <f>'Praroop-20 hindi'!G169</f>
        <v>0</v>
      </c>
      <c r="Z166" s="81">
        <v>6</v>
      </c>
      <c r="AA166" s="81"/>
      <c r="AB166" s="81">
        <f>'Praroop-20 hindi'!H169</f>
        <v>0</v>
      </c>
      <c r="AC166" s="81">
        <v>7</v>
      </c>
      <c r="AD166" s="81"/>
      <c r="AE166" s="81">
        <f>'Praroop-20 hindi'!I169</f>
        <v>0</v>
      </c>
      <c r="AF166" s="81">
        <v>8</v>
      </c>
      <c r="AG166" s="81"/>
      <c r="AH166" s="81">
        <f>'Praroop-20 hindi'!J169</f>
        <v>0</v>
      </c>
      <c r="AI166" s="81">
        <v>9</v>
      </c>
      <c r="AJ166" s="81"/>
      <c r="AK166" s="81">
        <f>'Praroop-20 hindi'!K169</f>
        <v>5</v>
      </c>
      <c r="AL166" s="81">
        <v>10</v>
      </c>
      <c r="AM166" s="81"/>
      <c r="AN166" s="81">
        <f>'Praroop-20 hindi'!L169</f>
        <v>2</v>
      </c>
      <c r="AO166" s="81">
        <v>11</v>
      </c>
      <c r="AP166" s="81"/>
      <c r="AQ166" s="81">
        <f>'Praroop-20 hindi'!M169</f>
        <v>4</v>
      </c>
      <c r="AR166" s="81">
        <f t="shared" si="5"/>
        <v>401</v>
      </c>
    </row>
    <row r="167" spans="1:44" ht="25.5">
      <c r="A167" s="81">
        <v>64</v>
      </c>
      <c r="B167" s="41">
        <v>161</v>
      </c>
      <c r="C167" s="113" t="s">
        <v>286</v>
      </c>
      <c r="D167" s="117">
        <v>928</v>
      </c>
      <c r="E167" s="110">
        <v>348</v>
      </c>
      <c r="F167" s="110">
        <v>325</v>
      </c>
      <c r="G167" s="110">
        <v>0</v>
      </c>
      <c r="H167" s="111">
        <f t="shared" si="4"/>
        <v>673</v>
      </c>
      <c r="I167" s="112">
        <v>673</v>
      </c>
      <c r="J167" s="110">
        <v>0</v>
      </c>
      <c r="K167" s="110">
        <v>1</v>
      </c>
      <c r="L167" s="81"/>
      <c r="M167" s="81">
        <f>'Praroop-20 hindi'!C170</f>
        <v>136</v>
      </c>
      <c r="N167" s="81">
        <v>2</v>
      </c>
      <c r="O167" s="81"/>
      <c r="P167" s="81">
        <f>'Praroop-20 hindi'!D170</f>
        <v>454</v>
      </c>
      <c r="Q167" s="81">
        <v>3</v>
      </c>
      <c r="R167" s="81"/>
      <c r="S167" s="81">
        <f>'Praroop-20 hindi'!E170</f>
        <v>75</v>
      </c>
      <c r="T167" s="81">
        <v>4</v>
      </c>
      <c r="U167" s="81"/>
      <c r="V167" s="81">
        <f>'Praroop-20 hindi'!F170</f>
        <v>0</v>
      </c>
      <c r="W167" s="81">
        <v>5</v>
      </c>
      <c r="X167" s="81"/>
      <c r="Y167" s="81">
        <f>'Praroop-20 hindi'!G170</f>
        <v>1</v>
      </c>
      <c r="Z167" s="81">
        <v>6</v>
      </c>
      <c r="AA167" s="81"/>
      <c r="AB167" s="81">
        <f>'Praroop-20 hindi'!H170</f>
        <v>0</v>
      </c>
      <c r="AC167" s="81">
        <v>7</v>
      </c>
      <c r="AD167" s="81"/>
      <c r="AE167" s="81">
        <f>'Praroop-20 hindi'!I170</f>
        <v>0</v>
      </c>
      <c r="AF167" s="81">
        <v>8</v>
      </c>
      <c r="AG167" s="81"/>
      <c r="AH167" s="81">
        <f>'Praroop-20 hindi'!J170</f>
        <v>0</v>
      </c>
      <c r="AI167" s="81">
        <v>9</v>
      </c>
      <c r="AJ167" s="81"/>
      <c r="AK167" s="81">
        <f>'Praroop-20 hindi'!K170</f>
        <v>0</v>
      </c>
      <c r="AL167" s="81">
        <v>10</v>
      </c>
      <c r="AM167" s="81"/>
      <c r="AN167" s="81">
        <f>'Praroop-20 hindi'!L170</f>
        <v>1</v>
      </c>
      <c r="AO167" s="81">
        <v>11</v>
      </c>
      <c r="AP167" s="81"/>
      <c r="AQ167" s="81">
        <f>'Praroop-20 hindi'!M170</f>
        <v>4</v>
      </c>
      <c r="AR167" s="81">
        <f t="shared" si="5"/>
        <v>671</v>
      </c>
    </row>
    <row r="168" spans="1:44" ht="25.5">
      <c r="A168" s="81">
        <v>64</v>
      </c>
      <c r="B168" s="41">
        <v>162</v>
      </c>
      <c r="C168" s="113" t="s">
        <v>287</v>
      </c>
      <c r="D168" s="117">
        <v>878</v>
      </c>
      <c r="E168" s="110">
        <v>312</v>
      </c>
      <c r="F168" s="110">
        <v>268</v>
      </c>
      <c r="G168" s="110">
        <v>0</v>
      </c>
      <c r="H168" s="111">
        <f t="shared" si="4"/>
        <v>580</v>
      </c>
      <c r="I168" s="112">
        <v>580</v>
      </c>
      <c r="J168" s="110">
        <v>0</v>
      </c>
      <c r="K168" s="110">
        <v>1</v>
      </c>
      <c r="L168" s="81"/>
      <c r="M168" s="81">
        <f>'Praroop-20 hindi'!C171</f>
        <v>36</v>
      </c>
      <c r="N168" s="81">
        <v>2</v>
      </c>
      <c r="O168" s="81"/>
      <c r="P168" s="81">
        <f>'Praroop-20 hindi'!D171</f>
        <v>434</v>
      </c>
      <c r="Q168" s="81">
        <v>3</v>
      </c>
      <c r="R168" s="81"/>
      <c r="S168" s="81">
        <f>'Praroop-20 hindi'!E171</f>
        <v>95</v>
      </c>
      <c r="T168" s="81">
        <v>4</v>
      </c>
      <c r="U168" s="81"/>
      <c r="V168" s="81">
        <f>'Praroop-20 hindi'!F171</f>
        <v>2</v>
      </c>
      <c r="W168" s="81">
        <v>5</v>
      </c>
      <c r="X168" s="81"/>
      <c r="Y168" s="81">
        <f>'Praroop-20 hindi'!G171</f>
        <v>0</v>
      </c>
      <c r="Z168" s="81">
        <v>6</v>
      </c>
      <c r="AA168" s="81"/>
      <c r="AB168" s="81">
        <f>'Praroop-20 hindi'!H171</f>
        <v>0</v>
      </c>
      <c r="AC168" s="81">
        <v>7</v>
      </c>
      <c r="AD168" s="81"/>
      <c r="AE168" s="81">
        <f>'Praroop-20 hindi'!I171</f>
        <v>0</v>
      </c>
      <c r="AF168" s="81">
        <v>8</v>
      </c>
      <c r="AG168" s="81"/>
      <c r="AH168" s="81">
        <f>'Praroop-20 hindi'!J171</f>
        <v>1</v>
      </c>
      <c r="AI168" s="81">
        <v>9</v>
      </c>
      <c r="AJ168" s="81"/>
      <c r="AK168" s="81">
        <f>'Praroop-20 hindi'!K171</f>
        <v>2</v>
      </c>
      <c r="AL168" s="81">
        <v>10</v>
      </c>
      <c r="AM168" s="81"/>
      <c r="AN168" s="81">
        <f>'Praroop-20 hindi'!L171</f>
        <v>5</v>
      </c>
      <c r="AO168" s="81">
        <v>11</v>
      </c>
      <c r="AP168" s="81"/>
      <c r="AQ168" s="81">
        <f>'Praroop-20 hindi'!M171</f>
        <v>3</v>
      </c>
      <c r="AR168" s="81">
        <f t="shared" si="5"/>
        <v>578</v>
      </c>
    </row>
    <row r="169" spans="1:44" ht="25.5">
      <c r="A169" s="81">
        <v>64</v>
      </c>
      <c r="B169" s="41">
        <v>163</v>
      </c>
      <c r="C169" s="113" t="s">
        <v>288</v>
      </c>
      <c r="D169" s="117">
        <v>699</v>
      </c>
      <c r="E169" s="110">
        <v>224</v>
      </c>
      <c r="F169" s="110">
        <v>193</v>
      </c>
      <c r="G169" s="110">
        <v>0</v>
      </c>
      <c r="H169" s="111">
        <f t="shared" si="4"/>
        <v>417</v>
      </c>
      <c r="I169" s="112">
        <v>417</v>
      </c>
      <c r="J169" s="110">
        <v>0</v>
      </c>
      <c r="K169" s="110">
        <v>1</v>
      </c>
      <c r="L169" s="81"/>
      <c r="M169" s="81">
        <f>'Praroop-20 hindi'!C172</f>
        <v>231</v>
      </c>
      <c r="N169" s="81">
        <v>2</v>
      </c>
      <c r="O169" s="81"/>
      <c r="P169" s="81">
        <f>'Praroop-20 hindi'!D172</f>
        <v>143</v>
      </c>
      <c r="Q169" s="81">
        <v>3</v>
      </c>
      <c r="R169" s="81"/>
      <c r="S169" s="81">
        <f>'Praroop-20 hindi'!E172</f>
        <v>37</v>
      </c>
      <c r="T169" s="81">
        <v>4</v>
      </c>
      <c r="U169" s="81"/>
      <c r="V169" s="81">
        <f>'Praroop-20 hindi'!F172</f>
        <v>2</v>
      </c>
      <c r="W169" s="81">
        <v>5</v>
      </c>
      <c r="X169" s="81"/>
      <c r="Y169" s="81">
        <f>'Praroop-20 hindi'!G172</f>
        <v>0</v>
      </c>
      <c r="Z169" s="81">
        <v>6</v>
      </c>
      <c r="AA169" s="81"/>
      <c r="AB169" s="81">
        <f>'Praroop-20 hindi'!H172</f>
        <v>0</v>
      </c>
      <c r="AC169" s="81">
        <v>7</v>
      </c>
      <c r="AD169" s="81"/>
      <c r="AE169" s="81">
        <f>'Praroop-20 hindi'!I172</f>
        <v>0</v>
      </c>
      <c r="AF169" s="81">
        <v>8</v>
      </c>
      <c r="AG169" s="81"/>
      <c r="AH169" s="81">
        <f>'Praroop-20 hindi'!J172</f>
        <v>0</v>
      </c>
      <c r="AI169" s="81">
        <v>9</v>
      </c>
      <c r="AJ169" s="81"/>
      <c r="AK169" s="81">
        <f>'Praroop-20 hindi'!K172</f>
        <v>0</v>
      </c>
      <c r="AL169" s="81">
        <v>10</v>
      </c>
      <c r="AM169" s="81"/>
      <c r="AN169" s="81">
        <f>'Praroop-20 hindi'!L172</f>
        <v>2</v>
      </c>
      <c r="AO169" s="81">
        <v>11</v>
      </c>
      <c r="AP169" s="81"/>
      <c r="AQ169" s="81">
        <f>'Praroop-20 hindi'!M172</f>
        <v>0</v>
      </c>
      <c r="AR169" s="81">
        <f t="shared" si="5"/>
        <v>415</v>
      </c>
    </row>
    <row r="170" spans="1:44" ht="25.5">
      <c r="A170" s="81">
        <v>64</v>
      </c>
      <c r="B170" s="41">
        <v>164</v>
      </c>
      <c r="C170" s="113" t="s">
        <v>289</v>
      </c>
      <c r="D170" s="117">
        <v>787</v>
      </c>
      <c r="E170" s="110">
        <v>260</v>
      </c>
      <c r="F170" s="110">
        <v>253</v>
      </c>
      <c r="G170" s="110">
        <v>0</v>
      </c>
      <c r="H170" s="111">
        <f t="shared" si="4"/>
        <v>513</v>
      </c>
      <c r="I170" s="112">
        <v>513</v>
      </c>
      <c r="J170" s="110">
        <v>0</v>
      </c>
      <c r="K170" s="110">
        <v>1</v>
      </c>
      <c r="L170" s="81"/>
      <c r="M170" s="81">
        <f>'Praroop-20 hindi'!C173</f>
        <v>4</v>
      </c>
      <c r="N170" s="81">
        <v>2</v>
      </c>
      <c r="O170" s="81"/>
      <c r="P170" s="81">
        <f>'Praroop-20 hindi'!D173</f>
        <v>413</v>
      </c>
      <c r="Q170" s="81">
        <v>3</v>
      </c>
      <c r="R170" s="81"/>
      <c r="S170" s="81">
        <f>'Praroop-20 hindi'!E173</f>
        <v>77</v>
      </c>
      <c r="T170" s="81">
        <v>4</v>
      </c>
      <c r="U170" s="81"/>
      <c r="V170" s="81">
        <f>'Praroop-20 hindi'!F173</f>
        <v>12</v>
      </c>
      <c r="W170" s="81">
        <v>5</v>
      </c>
      <c r="X170" s="81"/>
      <c r="Y170" s="81">
        <f>'Praroop-20 hindi'!G173</f>
        <v>0</v>
      </c>
      <c r="Z170" s="81">
        <v>6</v>
      </c>
      <c r="AA170" s="81"/>
      <c r="AB170" s="81">
        <f>'Praroop-20 hindi'!H173</f>
        <v>0</v>
      </c>
      <c r="AC170" s="81">
        <v>7</v>
      </c>
      <c r="AD170" s="81"/>
      <c r="AE170" s="81">
        <f>'Praroop-20 hindi'!I173</f>
        <v>1</v>
      </c>
      <c r="AF170" s="81">
        <v>8</v>
      </c>
      <c r="AG170" s="81"/>
      <c r="AH170" s="81">
        <f>'Praroop-20 hindi'!J173</f>
        <v>1</v>
      </c>
      <c r="AI170" s="81">
        <v>9</v>
      </c>
      <c r="AJ170" s="81"/>
      <c r="AK170" s="81">
        <f>'Praroop-20 hindi'!K173</f>
        <v>0</v>
      </c>
      <c r="AL170" s="81">
        <v>10</v>
      </c>
      <c r="AM170" s="81"/>
      <c r="AN170" s="81">
        <f>'Praroop-20 hindi'!L173</f>
        <v>2</v>
      </c>
      <c r="AO170" s="81">
        <v>11</v>
      </c>
      <c r="AP170" s="81"/>
      <c r="AQ170" s="81">
        <f>'Praroop-20 hindi'!M173</f>
        <v>1</v>
      </c>
      <c r="AR170" s="81">
        <f t="shared" si="5"/>
        <v>511</v>
      </c>
    </row>
    <row r="171" spans="1:44" ht="25.5">
      <c r="A171" s="81">
        <v>64</v>
      </c>
      <c r="B171" s="41">
        <v>165</v>
      </c>
      <c r="C171" s="113" t="s">
        <v>290</v>
      </c>
      <c r="D171" s="117">
        <v>854</v>
      </c>
      <c r="E171" s="110">
        <v>316</v>
      </c>
      <c r="F171" s="110">
        <v>267</v>
      </c>
      <c r="G171" s="110">
        <v>0</v>
      </c>
      <c r="H171" s="111">
        <f t="shared" si="4"/>
        <v>583</v>
      </c>
      <c r="I171" s="112">
        <v>583</v>
      </c>
      <c r="J171" s="110">
        <v>0</v>
      </c>
      <c r="K171" s="110">
        <v>1</v>
      </c>
      <c r="L171" s="81"/>
      <c r="M171" s="81">
        <f>'Praroop-20 hindi'!C174</f>
        <v>85</v>
      </c>
      <c r="N171" s="81">
        <v>2</v>
      </c>
      <c r="O171" s="81"/>
      <c r="P171" s="81">
        <f>'Praroop-20 hindi'!D174</f>
        <v>33</v>
      </c>
      <c r="Q171" s="81">
        <v>3</v>
      </c>
      <c r="R171" s="81"/>
      <c r="S171" s="81">
        <f>'Praroop-20 hindi'!E174</f>
        <v>439</v>
      </c>
      <c r="T171" s="81">
        <v>4</v>
      </c>
      <c r="U171" s="81"/>
      <c r="V171" s="81">
        <f>'Praroop-20 hindi'!F174</f>
        <v>1</v>
      </c>
      <c r="W171" s="81">
        <v>5</v>
      </c>
      <c r="X171" s="81"/>
      <c r="Y171" s="81">
        <f>'Praroop-20 hindi'!G174</f>
        <v>2</v>
      </c>
      <c r="Z171" s="81">
        <v>6</v>
      </c>
      <c r="AA171" s="81"/>
      <c r="AB171" s="81">
        <f>'Praroop-20 hindi'!H174</f>
        <v>1</v>
      </c>
      <c r="AC171" s="81">
        <v>7</v>
      </c>
      <c r="AD171" s="81"/>
      <c r="AE171" s="81">
        <f>'Praroop-20 hindi'!I174</f>
        <v>3</v>
      </c>
      <c r="AF171" s="81">
        <v>8</v>
      </c>
      <c r="AG171" s="81"/>
      <c r="AH171" s="81">
        <f>'Praroop-20 hindi'!J174</f>
        <v>0</v>
      </c>
      <c r="AI171" s="81">
        <v>9</v>
      </c>
      <c r="AJ171" s="81"/>
      <c r="AK171" s="81">
        <f>'Praroop-20 hindi'!K174</f>
        <v>2</v>
      </c>
      <c r="AL171" s="81">
        <v>10</v>
      </c>
      <c r="AM171" s="81"/>
      <c r="AN171" s="81">
        <f>'Praroop-20 hindi'!L174</f>
        <v>3</v>
      </c>
      <c r="AO171" s="81">
        <v>11</v>
      </c>
      <c r="AP171" s="81"/>
      <c r="AQ171" s="81">
        <f>'Praroop-20 hindi'!M174</f>
        <v>4</v>
      </c>
      <c r="AR171" s="81">
        <f t="shared" si="5"/>
        <v>573</v>
      </c>
    </row>
    <row r="172" spans="1:44" ht="25.5">
      <c r="A172" s="81">
        <v>64</v>
      </c>
      <c r="B172" s="41">
        <v>166</v>
      </c>
      <c r="C172" s="113" t="s">
        <v>291</v>
      </c>
      <c r="D172" s="117">
        <v>846</v>
      </c>
      <c r="E172" s="110">
        <v>334</v>
      </c>
      <c r="F172" s="110">
        <v>260</v>
      </c>
      <c r="G172" s="110">
        <v>0</v>
      </c>
      <c r="H172" s="111">
        <f t="shared" si="4"/>
        <v>594</v>
      </c>
      <c r="I172" s="112">
        <v>594</v>
      </c>
      <c r="J172" s="110">
        <v>0</v>
      </c>
      <c r="K172" s="110">
        <v>1</v>
      </c>
      <c r="L172" s="81"/>
      <c r="M172" s="81">
        <f>'Praroop-20 hindi'!C175</f>
        <v>100</v>
      </c>
      <c r="N172" s="81">
        <v>2</v>
      </c>
      <c r="O172" s="81"/>
      <c r="P172" s="81">
        <f>'Praroop-20 hindi'!D175</f>
        <v>105</v>
      </c>
      <c r="Q172" s="81">
        <v>3</v>
      </c>
      <c r="R172" s="81"/>
      <c r="S172" s="81">
        <f>'Praroop-20 hindi'!E175</f>
        <v>357</v>
      </c>
      <c r="T172" s="81">
        <v>4</v>
      </c>
      <c r="U172" s="81"/>
      <c r="V172" s="81">
        <f>'Praroop-20 hindi'!F175</f>
        <v>9</v>
      </c>
      <c r="W172" s="81">
        <v>5</v>
      </c>
      <c r="X172" s="81"/>
      <c r="Y172" s="81">
        <f>'Praroop-20 hindi'!G175</f>
        <v>0</v>
      </c>
      <c r="Z172" s="81">
        <v>6</v>
      </c>
      <c r="AA172" s="81"/>
      <c r="AB172" s="81">
        <f>'Praroop-20 hindi'!H175</f>
        <v>2</v>
      </c>
      <c r="AC172" s="81">
        <v>7</v>
      </c>
      <c r="AD172" s="81"/>
      <c r="AE172" s="81">
        <f>'Praroop-20 hindi'!I175</f>
        <v>0</v>
      </c>
      <c r="AF172" s="81">
        <v>8</v>
      </c>
      <c r="AG172" s="81"/>
      <c r="AH172" s="81">
        <f>'Praroop-20 hindi'!J175</f>
        <v>3</v>
      </c>
      <c r="AI172" s="81">
        <v>9</v>
      </c>
      <c r="AJ172" s="81"/>
      <c r="AK172" s="81">
        <f>'Praroop-20 hindi'!K175</f>
        <v>2</v>
      </c>
      <c r="AL172" s="81">
        <v>10</v>
      </c>
      <c r="AM172" s="81"/>
      <c r="AN172" s="81">
        <f>'Praroop-20 hindi'!L175</f>
        <v>3</v>
      </c>
      <c r="AO172" s="81">
        <v>11</v>
      </c>
      <c r="AP172" s="81"/>
      <c r="AQ172" s="81">
        <f>'Praroop-20 hindi'!M175</f>
        <v>3</v>
      </c>
      <c r="AR172" s="81">
        <f t="shared" si="5"/>
        <v>584</v>
      </c>
    </row>
    <row r="173" spans="1:44" ht="51">
      <c r="A173" s="81">
        <v>64</v>
      </c>
      <c r="B173" s="41">
        <v>167</v>
      </c>
      <c r="C173" s="113" t="s">
        <v>292</v>
      </c>
      <c r="D173" s="117">
        <v>600</v>
      </c>
      <c r="E173" s="110">
        <v>203</v>
      </c>
      <c r="F173" s="110">
        <v>202</v>
      </c>
      <c r="G173" s="110">
        <v>0</v>
      </c>
      <c r="H173" s="111">
        <f t="shared" si="4"/>
        <v>405</v>
      </c>
      <c r="I173" s="112">
        <v>405</v>
      </c>
      <c r="J173" s="110">
        <v>0</v>
      </c>
      <c r="K173" s="110">
        <v>1</v>
      </c>
      <c r="L173" s="81"/>
      <c r="M173" s="81">
        <f>'Praroop-20 hindi'!C176</f>
        <v>115</v>
      </c>
      <c r="N173" s="81">
        <v>2</v>
      </c>
      <c r="O173" s="81"/>
      <c r="P173" s="81">
        <f>'Praroop-20 hindi'!D176</f>
        <v>93</v>
      </c>
      <c r="Q173" s="81">
        <v>3</v>
      </c>
      <c r="R173" s="81"/>
      <c r="S173" s="81">
        <f>'Praroop-20 hindi'!E176</f>
        <v>188</v>
      </c>
      <c r="T173" s="81">
        <v>4</v>
      </c>
      <c r="U173" s="81"/>
      <c r="V173" s="81">
        <f>'Praroop-20 hindi'!F176</f>
        <v>6</v>
      </c>
      <c r="W173" s="81">
        <v>5</v>
      </c>
      <c r="X173" s="81"/>
      <c r="Y173" s="81">
        <f>'Praroop-20 hindi'!G176</f>
        <v>0</v>
      </c>
      <c r="Z173" s="81">
        <v>6</v>
      </c>
      <c r="AA173" s="81"/>
      <c r="AB173" s="81">
        <f>'Praroop-20 hindi'!H176</f>
        <v>0</v>
      </c>
      <c r="AC173" s="81">
        <v>7</v>
      </c>
      <c r="AD173" s="81"/>
      <c r="AE173" s="81">
        <f>'Praroop-20 hindi'!I176</f>
        <v>0</v>
      </c>
      <c r="AF173" s="81">
        <v>8</v>
      </c>
      <c r="AG173" s="81"/>
      <c r="AH173" s="81">
        <f>'Praroop-20 hindi'!J176</f>
        <v>1</v>
      </c>
      <c r="AI173" s="81">
        <v>9</v>
      </c>
      <c r="AJ173" s="81"/>
      <c r="AK173" s="81">
        <f>'Praroop-20 hindi'!K176</f>
        <v>0</v>
      </c>
      <c r="AL173" s="81">
        <v>10</v>
      </c>
      <c r="AM173" s="81"/>
      <c r="AN173" s="81">
        <f>'Praroop-20 hindi'!L176</f>
        <v>0</v>
      </c>
      <c r="AO173" s="81">
        <v>11</v>
      </c>
      <c r="AP173" s="81"/>
      <c r="AQ173" s="81">
        <f>'Praroop-20 hindi'!M176</f>
        <v>1</v>
      </c>
      <c r="AR173" s="81">
        <f t="shared" si="5"/>
        <v>404</v>
      </c>
    </row>
    <row r="174" spans="1:44" ht="25.5">
      <c r="A174" s="81">
        <v>64</v>
      </c>
      <c r="B174" s="41">
        <v>168</v>
      </c>
      <c r="C174" s="113" t="s">
        <v>293</v>
      </c>
      <c r="D174" s="117">
        <v>993</v>
      </c>
      <c r="E174" s="110">
        <v>364</v>
      </c>
      <c r="F174" s="110">
        <v>324</v>
      </c>
      <c r="G174" s="110">
        <v>0</v>
      </c>
      <c r="H174" s="111">
        <f t="shared" si="4"/>
        <v>688</v>
      </c>
      <c r="I174" s="112">
        <v>688</v>
      </c>
      <c r="J174" s="110">
        <v>0</v>
      </c>
      <c r="K174" s="110">
        <v>1</v>
      </c>
      <c r="L174" s="81"/>
      <c r="M174" s="81">
        <f>'Praroop-20 hindi'!C177</f>
        <v>24</v>
      </c>
      <c r="N174" s="81">
        <v>2</v>
      </c>
      <c r="O174" s="81"/>
      <c r="P174" s="81">
        <f>'Praroop-20 hindi'!D177</f>
        <v>236</v>
      </c>
      <c r="Q174" s="81">
        <v>3</v>
      </c>
      <c r="R174" s="81"/>
      <c r="S174" s="81">
        <f>'Praroop-20 hindi'!E177</f>
        <v>406</v>
      </c>
      <c r="T174" s="81">
        <v>4</v>
      </c>
      <c r="U174" s="81"/>
      <c r="V174" s="81">
        <f>'Praroop-20 hindi'!F177</f>
        <v>10</v>
      </c>
      <c r="W174" s="81">
        <v>5</v>
      </c>
      <c r="X174" s="81"/>
      <c r="Y174" s="81">
        <f>'Praroop-20 hindi'!G177</f>
        <v>0</v>
      </c>
      <c r="Z174" s="81">
        <v>6</v>
      </c>
      <c r="AA174" s="81"/>
      <c r="AB174" s="81">
        <f>'Praroop-20 hindi'!H177</f>
        <v>0</v>
      </c>
      <c r="AC174" s="81">
        <v>7</v>
      </c>
      <c r="AD174" s="81"/>
      <c r="AE174" s="81">
        <f>'Praroop-20 hindi'!I177</f>
        <v>1</v>
      </c>
      <c r="AF174" s="81">
        <v>8</v>
      </c>
      <c r="AG174" s="81"/>
      <c r="AH174" s="81">
        <f>'Praroop-20 hindi'!J177</f>
        <v>1</v>
      </c>
      <c r="AI174" s="81">
        <v>9</v>
      </c>
      <c r="AJ174" s="81"/>
      <c r="AK174" s="81">
        <f>'Praroop-20 hindi'!K177</f>
        <v>5</v>
      </c>
      <c r="AL174" s="81">
        <v>10</v>
      </c>
      <c r="AM174" s="81"/>
      <c r="AN174" s="81">
        <f>'Praroop-20 hindi'!L177</f>
        <v>3</v>
      </c>
      <c r="AO174" s="81">
        <v>11</v>
      </c>
      <c r="AP174" s="81"/>
      <c r="AQ174" s="81">
        <f>'Praroop-20 hindi'!M177</f>
        <v>1</v>
      </c>
      <c r="AR174" s="81">
        <f t="shared" si="5"/>
        <v>687</v>
      </c>
    </row>
    <row r="175" spans="1:44" ht="38.25">
      <c r="A175" s="81">
        <v>64</v>
      </c>
      <c r="B175" s="41">
        <v>169</v>
      </c>
      <c r="C175" s="113" t="s">
        <v>294</v>
      </c>
      <c r="D175" s="117">
        <v>1038</v>
      </c>
      <c r="E175" s="110">
        <v>368</v>
      </c>
      <c r="F175" s="110">
        <v>342</v>
      </c>
      <c r="G175" s="110">
        <v>0</v>
      </c>
      <c r="H175" s="111">
        <f t="shared" si="4"/>
        <v>710</v>
      </c>
      <c r="I175" s="112">
        <v>710</v>
      </c>
      <c r="J175" s="110">
        <v>0</v>
      </c>
      <c r="K175" s="110">
        <v>1</v>
      </c>
      <c r="L175" s="81"/>
      <c r="M175" s="81">
        <f>'Praroop-20 hindi'!C178</f>
        <v>95</v>
      </c>
      <c r="N175" s="81">
        <v>2</v>
      </c>
      <c r="O175" s="81"/>
      <c r="P175" s="81">
        <f>'Praroop-20 hindi'!D178</f>
        <v>426</v>
      </c>
      <c r="Q175" s="81">
        <v>3</v>
      </c>
      <c r="R175" s="81"/>
      <c r="S175" s="81">
        <f>'Praroop-20 hindi'!E178</f>
        <v>152</v>
      </c>
      <c r="T175" s="81">
        <v>4</v>
      </c>
      <c r="U175" s="81"/>
      <c r="V175" s="81">
        <f>'Praroop-20 hindi'!F178</f>
        <v>5</v>
      </c>
      <c r="W175" s="81">
        <v>5</v>
      </c>
      <c r="X175" s="81"/>
      <c r="Y175" s="81">
        <f>'Praroop-20 hindi'!G178</f>
        <v>0</v>
      </c>
      <c r="Z175" s="81">
        <v>6</v>
      </c>
      <c r="AA175" s="81"/>
      <c r="AB175" s="81">
        <f>'Praroop-20 hindi'!H178</f>
        <v>0</v>
      </c>
      <c r="AC175" s="81">
        <v>7</v>
      </c>
      <c r="AD175" s="81"/>
      <c r="AE175" s="81">
        <f>'Praroop-20 hindi'!I178</f>
        <v>1</v>
      </c>
      <c r="AF175" s="81">
        <v>8</v>
      </c>
      <c r="AG175" s="81"/>
      <c r="AH175" s="81">
        <f>'Praroop-20 hindi'!J178</f>
        <v>3</v>
      </c>
      <c r="AI175" s="81">
        <v>9</v>
      </c>
      <c r="AJ175" s="81"/>
      <c r="AK175" s="81">
        <f>'Praroop-20 hindi'!K178</f>
        <v>8</v>
      </c>
      <c r="AL175" s="81">
        <v>10</v>
      </c>
      <c r="AM175" s="81"/>
      <c r="AN175" s="81">
        <f>'Praroop-20 hindi'!L178</f>
        <v>11</v>
      </c>
      <c r="AO175" s="81">
        <v>11</v>
      </c>
      <c r="AP175" s="81"/>
      <c r="AQ175" s="81">
        <f>'Praroop-20 hindi'!M178</f>
        <v>4</v>
      </c>
      <c r="AR175" s="81">
        <f t="shared" si="5"/>
        <v>705</v>
      </c>
    </row>
    <row r="176" spans="1:44" ht="25.5">
      <c r="A176" s="81">
        <v>64</v>
      </c>
      <c r="B176" s="41">
        <v>170</v>
      </c>
      <c r="C176" s="113" t="s">
        <v>295</v>
      </c>
      <c r="D176" s="117">
        <v>1130</v>
      </c>
      <c r="E176" s="110">
        <v>397</v>
      </c>
      <c r="F176" s="110">
        <v>353</v>
      </c>
      <c r="G176" s="110">
        <v>0</v>
      </c>
      <c r="H176" s="111">
        <f t="shared" si="4"/>
        <v>750</v>
      </c>
      <c r="I176" s="112">
        <v>750</v>
      </c>
      <c r="J176" s="110">
        <v>0</v>
      </c>
      <c r="K176" s="110">
        <v>1</v>
      </c>
      <c r="L176" s="81"/>
      <c r="M176" s="81">
        <f>'Praroop-20 hindi'!C179</f>
        <v>77</v>
      </c>
      <c r="N176" s="81">
        <v>2</v>
      </c>
      <c r="O176" s="81"/>
      <c r="P176" s="81">
        <f>'Praroop-20 hindi'!D179</f>
        <v>91</v>
      </c>
      <c r="Q176" s="81">
        <v>3</v>
      </c>
      <c r="R176" s="81"/>
      <c r="S176" s="81">
        <f>'Praroop-20 hindi'!E179</f>
        <v>575</v>
      </c>
      <c r="T176" s="81">
        <v>4</v>
      </c>
      <c r="U176" s="81"/>
      <c r="V176" s="81">
        <f>'Praroop-20 hindi'!F179</f>
        <v>2</v>
      </c>
      <c r="W176" s="81">
        <v>5</v>
      </c>
      <c r="X176" s="81"/>
      <c r="Y176" s="81">
        <f>'Praroop-20 hindi'!G179</f>
        <v>0</v>
      </c>
      <c r="Z176" s="81">
        <v>6</v>
      </c>
      <c r="AA176" s="81"/>
      <c r="AB176" s="81">
        <f>'Praroop-20 hindi'!H179</f>
        <v>0</v>
      </c>
      <c r="AC176" s="81">
        <v>7</v>
      </c>
      <c r="AD176" s="81"/>
      <c r="AE176" s="81">
        <f>'Praroop-20 hindi'!I179</f>
        <v>0</v>
      </c>
      <c r="AF176" s="81">
        <v>8</v>
      </c>
      <c r="AG176" s="81"/>
      <c r="AH176" s="81">
        <f>'Praroop-20 hindi'!J179</f>
        <v>4</v>
      </c>
      <c r="AI176" s="81">
        <v>9</v>
      </c>
      <c r="AJ176" s="81"/>
      <c r="AK176" s="81">
        <f>'Praroop-20 hindi'!K179</f>
        <v>0</v>
      </c>
      <c r="AL176" s="81">
        <v>10</v>
      </c>
      <c r="AM176" s="81"/>
      <c r="AN176" s="81">
        <f>'Praroop-20 hindi'!L179</f>
        <v>0</v>
      </c>
      <c r="AO176" s="81">
        <v>11</v>
      </c>
      <c r="AP176" s="81"/>
      <c r="AQ176" s="81">
        <f>'Praroop-20 hindi'!M179</f>
        <v>0</v>
      </c>
      <c r="AR176" s="81">
        <f t="shared" si="5"/>
        <v>749</v>
      </c>
    </row>
    <row r="177" spans="1:44" ht="25.5">
      <c r="A177" s="81">
        <v>64</v>
      </c>
      <c r="B177" s="41">
        <v>171</v>
      </c>
      <c r="C177" s="113" t="s">
        <v>296</v>
      </c>
      <c r="D177" s="117">
        <v>668</v>
      </c>
      <c r="E177" s="110">
        <v>202</v>
      </c>
      <c r="F177" s="110">
        <v>181</v>
      </c>
      <c r="G177" s="110">
        <v>0</v>
      </c>
      <c r="H177" s="111">
        <f t="shared" si="4"/>
        <v>383</v>
      </c>
      <c r="I177" s="112">
        <v>383</v>
      </c>
      <c r="J177" s="110">
        <v>0</v>
      </c>
      <c r="K177" s="110">
        <v>1</v>
      </c>
      <c r="L177" s="81"/>
      <c r="M177" s="81">
        <f>'Praroop-20 hindi'!C180</f>
        <v>19</v>
      </c>
      <c r="N177" s="81">
        <v>2</v>
      </c>
      <c r="O177" s="81"/>
      <c r="P177" s="81">
        <f>'Praroop-20 hindi'!D180</f>
        <v>37</v>
      </c>
      <c r="Q177" s="81">
        <v>3</v>
      </c>
      <c r="R177" s="81"/>
      <c r="S177" s="81">
        <f>'Praroop-20 hindi'!E180</f>
        <v>319</v>
      </c>
      <c r="T177" s="81">
        <v>4</v>
      </c>
      <c r="U177" s="81"/>
      <c r="V177" s="81">
        <f>'Praroop-20 hindi'!F180</f>
        <v>3</v>
      </c>
      <c r="W177" s="81">
        <v>5</v>
      </c>
      <c r="X177" s="81"/>
      <c r="Y177" s="81">
        <f>'Praroop-20 hindi'!G180</f>
        <v>1</v>
      </c>
      <c r="Z177" s="81">
        <v>6</v>
      </c>
      <c r="AA177" s="81"/>
      <c r="AB177" s="81">
        <f>'Praroop-20 hindi'!H180</f>
        <v>0</v>
      </c>
      <c r="AC177" s="81">
        <v>7</v>
      </c>
      <c r="AD177" s="81"/>
      <c r="AE177" s="81">
        <f>'Praroop-20 hindi'!I180</f>
        <v>0</v>
      </c>
      <c r="AF177" s="81">
        <v>8</v>
      </c>
      <c r="AG177" s="81"/>
      <c r="AH177" s="81">
        <f>'Praroop-20 hindi'!J180</f>
        <v>1</v>
      </c>
      <c r="AI177" s="81">
        <v>9</v>
      </c>
      <c r="AJ177" s="81"/>
      <c r="AK177" s="81">
        <f>'Praroop-20 hindi'!K180</f>
        <v>0</v>
      </c>
      <c r="AL177" s="81">
        <v>10</v>
      </c>
      <c r="AM177" s="81"/>
      <c r="AN177" s="81">
        <f>'Praroop-20 hindi'!L180</f>
        <v>2</v>
      </c>
      <c r="AO177" s="81">
        <v>11</v>
      </c>
      <c r="AP177" s="81"/>
      <c r="AQ177" s="81">
        <f>'Praroop-20 hindi'!M180</f>
        <v>1</v>
      </c>
      <c r="AR177" s="81">
        <f t="shared" si="5"/>
        <v>383</v>
      </c>
    </row>
    <row r="178" spans="1:44" ht="25.5">
      <c r="A178" s="81">
        <v>64</v>
      </c>
      <c r="B178" s="41">
        <v>172</v>
      </c>
      <c r="C178" s="113" t="s">
        <v>297</v>
      </c>
      <c r="D178" s="117">
        <v>724</v>
      </c>
      <c r="E178" s="110">
        <v>244</v>
      </c>
      <c r="F178" s="110">
        <v>218</v>
      </c>
      <c r="G178" s="110">
        <v>0</v>
      </c>
      <c r="H178" s="111">
        <f t="shared" si="4"/>
        <v>462</v>
      </c>
      <c r="I178" s="112">
        <v>462</v>
      </c>
      <c r="J178" s="110">
        <v>0</v>
      </c>
      <c r="K178" s="110">
        <v>1</v>
      </c>
      <c r="L178" s="81"/>
      <c r="M178" s="81">
        <f>'Praroop-20 hindi'!C181</f>
        <v>138</v>
      </c>
      <c r="N178" s="81">
        <v>2</v>
      </c>
      <c r="O178" s="81"/>
      <c r="P178" s="81">
        <f>'Praroop-20 hindi'!D181</f>
        <v>35</v>
      </c>
      <c r="Q178" s="81">
        <v>3</v>
      </c>
      <c r="R178" s="81"/>
      <c r="S178" s="81">
        <f>'Praroop-20 hindi'!E181</f>
        <v>279</v>
      </c>
      <c r="T178" s="81">
        <v>4</v>
      </c>
      <c r="U178" s="81"/>
      <c r="V178" s="81">
        <f>'Praroop-20 hindi'!F181</f>
        <v>1</v>
      </c>
      <c r="W178" s="81">
        <v>5</v>
      </c>
      <c r="X178" s="81"/>
      <c r="Y178" s="81">
        <f>'Praroop-20 hindi'!G181</f>
        <v>2</v>
      </c>
      <c r="Z178" s="81">
        <v>6</v>
      </c>
      <c r="AA178" s="81"/>
      <c r="AB178" s="81">
        <f>'Praroop-20 hindi'!H181</f>
        <v>0</v>
      </c>
      <c r="AC178" s="81">
        <v>7</v>
      </c>
      <c r="AD178" s="81"/>
      <c r="AE178" s="81">
        <f>'Praroop-20 hindi'!I181</f>
        <v>0</v>
      </c>
      <c r="AF178" s="81">
        <v>8</v>
      </c>
      <c r="AG178" s="81"/>
      <c r="AH178" s="81">
        <f>'Praroop-20 hindi'!J181</f>
        <v>2</v>
      </c>
      <c r="AI178" s="81">
        <v>9</v>
      </c>
      <c r="AJ178" s="81"/>
      <c r="AK178" s="81">
        <f>'Praroop-20 hindi'!K181</f>
        <v>1</v>
      </c>
      <c r="AL178" s="81">
        <v>10</v>
      </c>
      <c r="AM178" s="81"/>
      <c r="AN178" s="81">
        <f>'Praroop-20 hindi'!L181</f>
        <v>3</v>
      </c>
      <c r="AO178" s="81">
        <v>11</v>
      </c>
      <c r="AP178" s="81"/>
      <c r="AQ178" s="81">
        <f>'Praroop-20 hindi'!M181</f>
        <v>1</v>
      </c>
      <c r="AR178" s="81">
        <f t="shared" si="5"/>
        <v>462</v>
      </c>
    </row>
    <row r="179" spans="1:44" ht="25.5">
      <c r="A179" s="81">
        <v>64</v>
      </c>
      <c r="B179" s="41">
        <v>173</v>
      </c>
      <c r="C179" s="113" t="s">
        <v>298</v>
      </c>
      <c r="D179" s="117">
        <v>728</v>
      </c>
      <c r="E179" s="110">
        <v>308</v>
      </c>
      <c r="F179" s="110">
        <v>274</v>
      </c>
      <c r="G179" s="110">
        <v>0</v>
      </c>
      <c r="H179" s="111">
        <f t="shared" si="4"/>
        <v>582</v>
      </c>
      <c r="I179" s="112">
        <v>582</v>
      </c>
      <c r="J179" s="110">
        <v>0</v>
      </c>
      <c r="K179" s="110">
        <v>1</v>
      </c>
      <c r="L179" s="81"/>
      <c r="M179" s="81">
        <f>'Praroop-20 hindi'!C182</f>
        <v>10</v>
      </c>
      <c r="N179" s="81">
        <v>2</v>
      </c>
      <c r="O179" s="81"/>
      <c r="P179" s="81">
        <f>'Praroop-20 hindi'!D182</f>
        <v>139</v>
      </c>
      <c r="Q179" s="81">
        <v>3</v>
      </c>
      <c r="R179" s="81"/>
      <c r="S179" s="81">
        <f>'Praroop-20 hindi'!E182</f>
        <v>415</v>
      </c>
      <c r="T179" s="81">
        <v>4</v>
      </c>
      <c r="U179" s="81"/>
      <c r="V179" s="81">
        <f>'Praroop-20 hindi'!F182</f>
        <v>6</v>
      </c>
      <c r="W179" s="81">
        <v>5</v>
      </c>
      <c r="X179" s="81"/>
      <c r="Y179" s="81">
        <f>'Praroop-20 hindi'!G182</f>
        <v>2</v>
      </c>
      <c r="Z179" s="81">
        <v>6</v>
      </c>
      <c r="AA179" s="81"/>
      <c r="AB179" s="81">
        <f>'Praroop-20 hindi'!H182</f>
        <v>1</v>
      </c>
      <c r="AC179" s="81">
        <v>7</v>
      </c>
      <c r="AD179" s="81"/>
      <c r="AE179" s="81">
        <f>'Praroop-20 hindi'!I182</f>
        <v>0</v>
      </c>
      <c r="AF179" s="81">
        <v>8</v>
      </c>
      <c r="AG179" s="81"/>
      <c r="AH179" s="81">
        <f>'Praroop-20 hindi'!J182</f>
        <v>0</v>
      </c>
      <c r="AI179" s="81">
        <v>9</v>
      </c>
      <c r="AJ179" s="81"/>
      <c r="AK179" s="81">
        <f>'Praroop-20 hindi'!K182</f>
        <v>2</v>
      </c>
      <c r="AL179" s="81">
        <v>10</v>
      </c>
      <c r="AM179" s="81"/>
      <c r="AN179" s="81">
        <f>'Praroop-20 hindi'!L182</f>
        <v>5</v>
      </c>
      <c r="AO179" s="81">
        <v>11</v>
      </c>
      <c r="AP179" s="81"/>
      <c r="AQ179" s="81">
        <f>'Praroop-20 hindi'!M182</f>
        <v>1</v>
      </c>
      <c r="AR179" s="81">
        <f t="shared" si="5"/>
        <v>581</v>
      </c>
    </row>
    <row r="180" spans="1:44" ht="25.5">
      <c r="A180" s="81">
        <v>64</v>
      </c>
      <c r="B180" s="41">
        <v>174</v>
      </c>
      <c r="C180" s="113" t="s">
        <v>299</v>
      </c>
      <c r="D180" s="117">
        <v>984</v>
      </c>
      <c r="E180" s="110">
        <v>432</v>
      </c>
      <c r="F180" s="110">
        <v>365</v>
      </c>
      <c r="G180" s="110">
        <v>0</v>
      </c>
      <c r="H180" s="111">
        <f t="shared" si="4"/>
        <v>797</v>
      </c>
      <c r="I180" s="112">
        <v>797</v>
      </c>
      <c r="J180" s="110">
        <v>0</v>
      </c>
      <c r="K180" s="110">
        <v>1</v>
      </c>
      <c r="L180" s="81"/>
      <c r="M180" s="81">
        <f>'Praroop-20 hindi'!C183</f>
        <v>132</v>
      </c>
      <c r="N180" s="81">
        <v>2</v>
      </c>
      <c r="O180" s="81"/>
      <c r="P180" s="81">
        <f>'Praroop-20 hindi'!D183</f>
        <v>278</v>
      </c>
      <c r="Q180" s="81">
        <v>3</v>
      </c>
      <c r="R180" s="81"/>
      <c r="S180" s="81">
        <f>'Praroop-20 hindi'!E183</f>
        <v>366</v>
      </c>
      <c r="T180" s="81">
        <v>4</v>
      </c>
      <c r="U180" s="81"/>
      <c r="V180" s="81">
        <f>'Praroop-20 hindi'!F183</f>
        <v>11</v>
      </c>
      <c r="W180" s="81">
        <v>5</v>
      </c>
      <c r="X180" s="81"/>
      <c r="Y180" s="81">
        <f>'Praroop-20 hindi'!G183</f>
        <v>0</v>
      </c>
      <c r="Z180" s="81">
        <v>6</v>
      </c>
      <c r="AA180" s="81"/>
      <c r="AB180" s="81">
        <f>'Praroop-20 hindi'!H183</f>
        <v>0</v>
      </c>
      <c r="AC180" s="81">
        <v>7</v>
      </c>
      <c r="AD180" s="81"/>
      <c r="AE180" s="81">
        <f>'Praroop-20 hindi'!I183</f>
        <v>2</v>
      </c>
      <c r="AF180" s="81">
        <v>8</v>
      </c>
      <c r="AG180" s="81"/>
      <c r="AH180" s="81">
        <f>'Praroop-20 hindi'!J183</f>
        <v>3</v>
      </c>
      <c r="AI180" s="81">
        <v>9</v>
      </c>
      <c r="AJ180" s="81"/>
      <c r="AK180" s="81">
        <f>'Praroop-20 hindi'!K183</f>
        <v>1</v>
      </c>
      <c r="AL180" s="81">
        <v>10</v>
      </c>
      <c r="AM180" s="81"/>
      <c r="AN180" s="81">
        <f>'Praroop-20 hindi'!L183</f>
        <v>1</v>
      </c>
      <c r="AO180" s="81">
        <v>11</v>
      </c>
      <c r="AP180" s="81"/>
      <c r="AQ180" s="81">
        <f>'Praroop-20 hindi'!M183</f>
        <v>0</v>
      </c>
      <c r="AR180" s="81">
        <f t="shared" si="5"/>
        <v>794</v>
      </c>
    </row>
    <row r="181" spans="1:44" ht="25.5">
      <c r="A181" s="81">
        <v>64</v>
      </c>
      <c r="B181" s="41">
        <v>175</v>
      </c>
      <c r="C181" s="113" t="s">
        <v>300</v>
      </c>
      <c r="D181" s="117">
        <v>968</v>
      </c>
      <c r="E181" s="110">
        <v>364</v>
      </c>
      <c r="F181" s="110">
        <v>358</v>
      </c>
      <c r="G181" s="110">
        <v>0</v>
      </c>
      <c r="H181" s="111">
        <f t="shared" si="4"/>
        <v>722</v>
      </c>
      <c r="I181" s="112">
        <v>722</v>
      </c>
      <c r="J181" s="110">
        <v>0</v>
      </c>
      <c r="K181" s="110">
        <v>1</v>
      </c>
      <c r="L181" s="81"/>
      <c r="M181" s="81">
        <f>'Praroop-20 hindi'!C184</f>
        <v>232</v>
      </c>
      <c r="N181" s="81">
        <v>2</v>
      </c>
      <c r="O181" s="81"/>
      <c r="P181" s="81">
        <f>'Praroop-20 hindi'!D184</f>
        <v>341</v>
      </c>
      <c r="Q181" s="81">
        <v>3</v>
      </c>
      <c r="R181" s="81"/>
      <c r="S181" s="81">
        <f>'Praroop-20 hindi'!E184</f>
        <v>127</v>
      </c>
      <c r="T181" s="81">
        <v>4</v>
      </c>
      <c r="U181" s="81"/>
      <c r="V181" s="81">
        <f>'Praroop-20 hindi'!F184</f>
        <v>4</v>
      </c>
      <c r="W181" s="81">
        <v>5</v>
      </c>
      <c r="X181" s="81"/>
      <c r="Y181" s="81">
        <f>'Praroop-20 hindi'!G184</f>
        <v>1</v>
      </c>
      <c r="Z181" s="81">
        <v>6</v>
      </c>
      <c r="AA181" s="81"/>
      <c r="AB181" s="81">
        <f>'Praroop-20 hindi'!H184</f>
        <v>1</v>
      </c>
      <c r="AC181" s="81">
        <v>7</v>
      </c>
      <c r="AD181" s="81"/>
      <c r="AE181" s="81">
        <f>'Praroop-20 hindi'!I184</f>
        <v>1</v>
      </c>
      <c r="AF181" s="81">
        <v>8</v>
      </c>
      <c r="AG181" s="81"/>
      <c r="AH181" s="81">
        <f>'Praroop-20 hindi'!J184</f>
        <v>1</v>
      </c>
      <c r="AI181" s="81">
        <v>9</v>
      </c>
      <c r="AJ181" s="81"/>
      <c r="AK181" s="81">
        <f>'Praroop-20 hindi'!K184</f>
        <v>6</v>
      </c>
      <c r="AL181" s="81">
        <v>10</v>
      </c>
      <c r="AM181" s="81"/>
      <c r="AN181" s="81">
        <f>'Praroop-20 hindi'!L184</f>
        <v>3</v>
      </c>
      <c r="AO181" s="81">
        <v>11</v>
      </c>
      <c r="AP181" s="81"/>
      <c r="AQ181" s="81">
        <f>'Praroop-20 hindi'!M184</f>
        <v>4</v>
      </c>
      <c r="AR181" s="81">
        <f t="shared" si="5"/>
        <v>721</v>
      </c>
    </row>
    <row r="182" spans="1:44" ht="25.5">
      <c r="A182" s="81">
        <v>64</v>
      </c>
      <c r="B182" s="41">
        <v>176</v>
      </c>
      <c r="C182" s="113" t="s">
        <v>301</v>
      </c>
      <c r="D182" s="117">
        <v>717</v>
      </c>
      <c r="E182" s="110">
        <v>278</v>
      </c>
      <c r="F182" s="110">
        <v>217</v>
      </c>
      <c r="G182" s="110">
        <v>0</v>
      </c>
      <c r="H182" s="111">
        <f t="shared" si="4"/>
        <v>495</v>
      </c>
      <c r="I182" s="112">
        <v>495</v>
      </c>
      <c r="J182" s="110">
        <v>0</v>
      </c>
      <c r="K182" s="110">
        <v>1</v>
      </c>
      <c r="L182" s="81"/>
      <c r="M182" s="81">
        <f>'Praroop-20 hindi'!C185</f>
        <v>99</v>
      </c>
      <c r="N182" s="81">
        <v>2</v>
      </c>
      <c r="O182" s="81"/>
      <c r="P182" s="81">
        <f>'Praroop-20 hindi'!D185</f>
        <v>60</v>
      </c>
      <c r="Q182" s="81">
        <v>3</v>
      </c>
      <c r="R182" s="81"/>
      <c r="S182" s="81">
        <f>'Praroop-20 hindi'!E185</f>
        <v>318</v>
      </c>
      <c r="T182" s="81">
        <v>4</v>
      </c>
      <c r="U182" s="81"/>
      <c r="V182" s="81">
        <f>'Praroop-20 hindi'!F185</f>
        <v>8</v>
      </c>
      <c r="W182" s="81">
        <v>5</v>
      </c>
      <c r="X182" s="81"/>
      <c r="Y182" s="81">
        <f>'Praroop-20 hindi'!G185</f>
        <v>1</v>
      </c>
      <c r="Z182" s="81">
        <v>6</v>
      </c>
      <c r="AA182" s="81"/>
      <c r="AB182" s="81">
        <f>'Praroop-20 hindi'!H185</f>
        <v>1</v>
      </c>
      <c r="AC182" s="81">
        <v>7</v>
      </c>
      <c r="AD182" s="81"/>
      <c r="AE182" s="81">
        <f>'Praroop-20 hindi'!I185</f>
        <v>0</v>
      </c>
      <c r="AF182" s="81">
        <v>8</v>
      </c>
      <c r="AG182" s="81"/>
      <c r="AH182" s="81">
        <f>'Praroop-20 hindi'!J185</f>
        <v>2</v>
      </c>
      <c r="AI182" s="81">
        <v>9</v>
      </c>
      <c r="AJ182" s="81"/>
      <c r="AK182" s="81">
        <f>'Praroop-20 hindi'!K185</f>
        <v>1</v>
      </c>
      <c r="AL182" s="81">
        <v>10</v>
      </c>
      <c r="AM182" s="81"/>
      <c r="AN182" s="81">
        <f>'Praroop-20 hindi'!L185</f>
        <v>3</v>
      </c>
      <c r="AO182" s="81">
        <v>11</v>
      </c>
      <c r="AP182" s="81"/>
      <c r="AQ182" s="81">
        <f>'Praroop-20 hindi'!M185</f>
        <v>1</v>
      </c>
      <c r="AR182" s="81">
        <f t="shared" si="5"/>
        <v>494</v>
      </c>
    </row>
    <row r="183" spans="1:44" ht="25.5">
      <c r="A183" s="81">
        <v>64</v>
      </c>
      <c r="B183" s="41">
        <v>177</v>
      </c>
      <c r="C183" s="113" t="s">
        <v>302</v>
      </c>
      <c r="D183" s="117">
        <v>784</v>
      </c>
      <c r="E183" s="110">
        <v>311</v>
      </c>
      <c r="F183" s="110">
        <v>274</v>
      </c>
      <c r="G183" s="110">
        <v>0</v>
      </c>
      <c r="H183" s="111">
        <f t="shared" si="4"/>
        <v>585</v>
      </c>
      <c r="I183" s="112">
        <v>512</v>
      </c>
      <c r="J183" s="110">
        <v>0</v>
      </c>
      <c r="K183" s="110">
        <v>1</v>
      </c>
      <c r="L183" s="81"/>
      <c r="M183" s="81">
        <f>'Praroop-20 hindi'!C186</f>
        <v>84</v>
      </c>
      <c r="N183" s="81">
        <v>2</v>
      </c>
      <c r="O183" s="81"/>
      <c r="P183" s="81">
        <f>'Praroop-20 hindi'!D186</f>
        <v>44</v>
      </c>
      <c r="Q183" s="81">
        <v>3</v>
      </c>
      <c r="R183" s="81"/>
      <c r="S183" s="81">
        <f>'Praroop-20 hindi'!E186</f>
        <v>450</v>
      </c>
      <c r="T183" s="81">
        <v>4</v>
      </c>
      <c r="U183" s="81"/>
      <c r="V183" s="81">
        <f>'Praroop-20 hindi'!F186</f>
        <v>2</v>
      </c>
      <c r="W183" s="81">
        <v>5</v>
      </c>
      <c r="X183" s="81"/>
      <c r="Y183" s="81">
        <f>'Praroop-20 hindi'!G186</f>
        <v>1</v>
      </c>
      <c r="Z183" s="81">
        <v>6</v>
      </c>
      <c r="AA183" s="81"/>
      <c r="AB183" s="81">
        <f>'Praroop-20 hindi'!H186</f>
        <v>0</v>
      </c>
      <c r="AC183" s="81">
        <v>7</v>
      </c>
      <c r="AD183" s="81"/>
      <c r="AE183" s="81">
        <f>'Praroop-20 hindi'!I186</f>
        <v>0</v>
      </c>
      <c r="AF183" s="81">
        <v>8</v>
      </c>
      <c r="AG183" s="81"/>
      <c r="AH183" s="81">
        <f>'Praroop-20 hindi'!J186</f>
        <v>0</v>
      </c>
      <c r="AI183" s="81">
        <v>9</v>
      </c>
      <c r="AJ183" s="81"/>
      <c r="AK183" s="81">
        <f>'Praroop-20 hindi'!K186</f>
        <v>0</v>
      </c>
      <c r="AL183" s="81">
        <v>10</v>
      </c>
      <c r="AM183" s="81"/>
      <c r="AN183" s="81">
        <f>'Praroop-20 hindi'!L186</f>
        <v>2</v>
      </c>
      <c r="AO183" s="81">
        <v>11</v>
      </c>
      <c r="AP183" s="81"/>
      <c r="AQ183" s="81">
        <f>'Praroop-20 hindi'!M186</f>
        <v>1</v>
      </c>
      <c r="AR183" s="81">
        <f t="shared" si="5"/>
        <v>584</v>
      </c>
    </row>
    <row r="184" spans="1:44" ht="25.5">
      <c r="A184" s="81">
        <v>64</v>
      </c>
      <c r="B184" s="41">
        <v>178</v>
      </c>
      <c r="C184" s="113" t="s">
        <v>303</v>
      </c>
      <c r="D184" s="117">
        <v>1043</v>
      </c>
      <c r="E184" s="110">
        <v>400</v>
      </c>
      <c r="F184" s="110">
        <v>322</v>
      </c>
      <c r="G184" s="110">
        <v>0</v>
      </c>
      <c r="H184" s="111">
        <f t="shared" si="4"/>
        <v>722</v>
      </c>
      <c r="I184" s="112">
        <v>722</v>
      </c>
      <c r="J184" s="110">
        <v>0</v>
      </c>
      <c r="K184" s="110">
        <v>1</v>
      </c>
      <c r="L184" s="81"/>
      <c r="M184" s="81">
        <f>'Praroop-20 hindi'!C187</f>
        <v>101</v>
      </c>
      <c r="N184" s="81">
        <v>2</v>
      </c>
      <c r="O184" s="81"/>
      <c r="P184" s="81">
        <f>'Praroop-20 hindi'!D187</f>
        <v>121</v>
      </c>
      <c r="Q184" s="81">
        <v>3</v>
      </c>
      <c r="R184" s="81"/>
      <c r="S184" s="81">
        <f>'Praroop-20 hindi'!E187</f>
        <v>487</v>
      </c>
      <c r="T184" s="81">
        <v>4</v>
      </c>
      <c r="U184" s="81"/>
      <c r="V184" s="81">
        <f>'Praroop-20 hindi'!F187</f>
        <v>3</v>
      </c>
      <c r="W184" s="81">
        <v>5</v>
      </c>
      <c r="X184" s="81"/>
      <c r="Y184" s="81">
        <f>'Praroop-20 hindi'!G187</f>
        <v>0</v>
      </c>
      <c r="Z184" s="81">
        <v>6</v>
      </c>
      <c r="AA184" s="81"/>
      <c r="AB184" s="81">
        <f>'Praroop-20 hindi'!H187</f>
        <v>1</v>
      </c>
      <c r="AC184" s="81">
        <v>7</v>
      </c>
      <c r="AD184" s="81"/>
      <c r="AE184" s="81">
        <f>'Praroop-20 hindi'!I187</f>
        <v>1</v>
      </c>
      <c r="AF184" s="81">
        <v>8</v>
      </c>
      <c r="AG184" s="81"/>
      <c r="AH184" s="81">
        <f>'Praroop-20 hindi'!J187</f>
        <v>1</v>
      </c>
      <c r="AI184" s="81">
        <v>9</v>
      </c>
      <c r="AJ184" s="81"/>
      <c r="AK184" s="81">
        <f>'Praroop-20 hindi'!K187</f>
        <v>1</v>
      </c>
      <c r="AL184" s="81">
        <v>10</v>
      </c>
      <c r="AM184" s="81"/>
      <c r="AN184" s="81">
        <f>'Praroop-20 hindi'!L187</f>
        <v>3</v>
      </c>
      <c r="AO184" s="81">
        <v>11</v>
      </c>
      <c r="AP184" s="81"/>
      <c r="AQ184" s="81">
        <f>'Praroop-20 hindi'!M187</f>
        <v>0</v>
      </c>
      <c r="AR184" s="81">
        <f t="shared" si="5"/>
        <v>719</v>
      </c>
    </row>
    <row r="185" spans="1:44" ht="25.5">
      <c r="A185" s="81">
        <v>64</v>
      </c>
      <c r="B185" s="41">
        <v>179</v>
      </c>
      <c r="C185" s="113" t="s">
        <v>304</v>
      </c>
      <c r="D185" s="117">
        <v>879</v>
      </c>
      <c r="E185" s="110">
        <v>328</v>
      </c>
      <c r="F185" s="110">
        <v>291</v>
      </c>
      <c r="G185" s="110">
        <v>0</v>
      </c>
      <c r="H185" s="111">
        <f t="shared" si="4"/>
        <v>619</v>
      </c>
      <c r="I185" s="112">
        <v>549</v>
      </c>
      <c r="J185" s="110">
        <v>0</v>
      </c>
      <c r="K185" s="110">
        <v>1</v>
      </c>
      <c r="L185" s="81"/>
      <c r="M185" s="81">
        <f>'Praroop-20 hindi'!C188</f>
        <v>131</v>
      </c>
      <c r="N185" s="81">
        <v>2</v>
      </c>
      <c r="O185" s="81"/>
      <c r="P185" s="81">
        <f>'Praroop-20 hindi'!D188</f>
        <v>138</v>
      </c>
      <c r="Q185" s="81">
        <v>3</v>
      </c>
      <c r="R185" s="81"/>
      <c r="S185" s="81">
        <f>'Praroop-20 hindi'!E188</f>
        <v>335</v>
      </c>
      <c r="T185" s="81">
        <v>4</v>
      </c>
      <c r="U185" s="81"/>
      <c r="V185" s="81">
        <f>'Praroop-20 hindi'!F188</f>
        <v>7</v>
      </c>
      <c r="W185" s="81">
        <v>5</v>
      </c>
      <c r="X185" s="81"/>
      <c r="Y185" s="81">
        <f>'Praroop-20 hindi'!G188</f>
        <v>0</v>
      </c>
      <c r="Z185" s="81">
        <v>6</v>
      </c>
      <c r="AA185" s="81"/>
      <c r="AB185" s="81">
        <f>'Praroop-20 hindi'!H188</f>
        <v>1</v>
      </c>
      <c r="AC185" s="81">
        <v>7</v>
      </c>
      <c r="AD185" s="81"/>
      <c r="AE185" s="81">
        <f>'Praroop-20 hindi'!I188</f>
        <v>0</v>
      </c>
      <c r="AF185" s="81">
        <v>8</v>
      </c>
      <c r="AG185" s="81"/>
      <c r="AH185" s="81">
        <f>'Praroop-20 hindi'!J188</f>
        <v>1</v>
      </c>
      <c r="AI185" s="81">
        <v>9</v>
      </c>
      <c r="AJ185" s="81"/>
      <c r="AK185" s="81">
        <f>'Praroop-20 hindi'!K188</f>
        <v>1</v>
      </c>
      <c r="AL185" s="81">
        <v>10</v>
      </c>
      <c r="AM185" s="81"/>
      <c r="AN185" s="81">
        <f>'Praroop-20 hindi'!L188</f>
        <v>2</v>
      </c>
      <c r="AO185" s="81">
        <v>11</v>
      </c>
      <c r="AP185" s="81"/>
      <c r="AQ185" s="81">
        <f>'Praroop-20 hindi'!M188</f>
        <v>0</v>
      </c>
      <c r="AR185" s="81">
        <f t="shared" si="5"/>
        <v>616</v>
      </c>
    </row>
    <row r="186" spans="1:44" ht="25.5">
      <c r="A186" s="81">
        <v>64</v>
      </c>
      <c r="B186" s="41">
        <v>180</v>
      </c>
      <c r="C186" s="113" t="s">
        <v>305</v>
      </c>
      <c r="D186" s="117">
        <v>561</v>
      </c>
      <c r="E186" s="110">
        <v>254</v>
      </c>
      <c r="F186" s="110">
        <v>206</v>
      </c>
      <c r="G186" s="110">
        <v>0</v>
      </c>
      <c r="H186" s="111">
        <f t="shared" si="4"/>
        <v>460</v>
      </c>
      <c r="I186" s="112">
        <v>460</v>
      </c>
      <c r="J186" s="110">
        <v>0</v>
      </c>
      <c r="K186" s="110">
        <v>1</v>
      </c>
      <c r="L186" s="81"/>
      <c r="M186" s="81">
        <f>'Praroop-20 hindi'!C189</f>
        <v>1</v>
      </c>
      <c r="N186" s="81">
        <v>2</v>
      </c>
      <c r="O186" s="81"/>
      <c r="P186" s="81">
        <f>'Praroop-20 hindi'!D189</f>
        <v>345</v>
      </c>
      <c r="Q186" s="81">
        <v>3</v>
      </c>
      <c r="R186" s="81"/>
      <c r="S186" s="81">
        <f>'Praroop-20 hindi'!E189</f>
        <v>101</v>
      </c>
      <c r="T186" s="81">
        <v>4</v>
      </c>
      <c r="U186" s="81"/>
      <c r="V186" s="81">
        <f>'Praroop-20 hindi'!F189</f>
        <v>12</v>
      </c>
      <c r="W186" s="81">
        <v>5</v>
      </c>
      <c r="X186" s="81"/>
      <c r="Y186" s="81">
        <f>'Praroop-20 hindi'!G189</f>
        <v>0</v>
      </c>
      <c r="Z186" s="81">
        <v>6</v>
      </c>
      <c r="AA186" s="81"/>
      <c r="AB186" s="81">
        <f>'Praroop-20 hindi'!H189</f>
        <v>0</v>
      </c>
      <c r="AC186" s="81">
        <v>7</v>
      </c>
      <c r="AD186" s="81"/>
      <c r="AE186" s="81">
        <f>'Praroop-20 hindi'!I189</f>
        <v>1</v>
      </c>
      <c r="AF186" s="81">
        <v>8</v>
      </c>
      <c r="AG186" s="81"/>
      <c r="AH186" s="81">
        <f>'Praroop-20 hindi'!J189</f>
        <v>0</v>
      </c>
      <c r="AI186" s="81">
        <v>9</v>
      </c>
      <c r="AJ186" s="81"/>
      <c r="AK186" s="81">
        <f>'Praroop-20 hindi'!K189</f>
        <v>0</v>
      </c>
      <c r="AL186" s="81">
        <v>10</v>
      </c>
      <c r="AM186" s="81"/>
      <c r="AN186" s="81">
        <f>'Praroop-20 hindi'!L189</f>
        <v>0</v>
      </c>
      <c r="AO186" s="81">
        <v>11</v>
      </c>
      <c r="AP186" s="81"/>
      <c r="AQ186" s="81">
        <f>'Praroop-20 hindi'!M189</f>
        <v>0</v>
      </c>
      <c r="AR186" s="81">
        <f t="shared" si="5"/>
        <v>460</v>
      </c>
    </row>
    <row r="187" spans="1:44" ht="38.25">
      <c r="A187" s="81">
        <v>64</v>
      </c>
      <c r="B187" s="41">
        <v>181</v>
      </c>
      <c r="C187" s="113" t="s">
        <v>306</v>
      </c>
      <c r="D187" s="117">
        <v>576</v>
      </c>
      <c r="E187" s="110">
        <v>220</v>
      </c>
      <c r="F187" s="110">
        <v>181</v>
      </c>
      <c r="G187" s="110">
        <v>0</v>
      </c>
      <c r="H187" s="111">
        <f t="shared" si="4"/>
        <v>401</v>
      </c>
      <c r="I187" s="112">
        <v>401</v>
      </c>
      <c r="J187" s="110">
        <v>0</v>
      </c>
      <c r="K187" s="110">
        <v>1</v>
      </c>
      <c r="L187" s="81"/>
      <c r="M187" s="81">
        <f>'Praroop-20 hindi'!C190</f>
        <v>1</v>
      </c>
      <c r="N187" s="81">
        <v>2</v>
      </c>
      <c r="O187" s="81"/>
      <c r="P187" s="81">
        <f>'Praroop-20 hindi'!D190</f>
        <v>80</v>
      </c>
      <c r="Q187" s="81">
        <v>3</v>
      </c>
      <c r="R187" s="81"/>
      <c r="S187" s="81">
        <f>'Praroop-20 hindi'!E190</f>
        <v>309</v>
      </c>
      <c r="T187" s="81">
        <v>4</v>
      </c>
      <c r="U187" s="81"/>
      <c r="V187" s="81">
        <f>'Praroop-20 hindi'!F190</f>
        <v>2</v>
      </c>
      <c r="W187" s="81">
        <v>5</v>
      </c>
      <c r="X187" s="81"/>
      <c r="Y187" s="81">
        <f>'Praroop-20 hindi'!G190</f>
        <v>0</v>
      </c>
      <c r="Z187" s="81">
        <v>6</v>
      </c>
      <c r="AA187" s="81"/>
      <c r="AB187" s="81">
        <f>'Praroop-20 hindi'!H190</f>
        <v>0</v>
      </c>
      <c r="AC187" s="81">
        <v>7</v>
      </c>
      <c r="AD187" s="81"/>
      <c r="AE187" s="81">
        <f>'Praroop-20 hindi'!I190</f>
        <v>1</v>
      </c>
      <c r="AF187" s="81">
        <v>8</v>
      </c>
      <c r="AG187" s="81"/>
      <c r="AH187" s="81">
        <f>'Praroop-20 hindi'!J190</f>
        <v>3</v>
      </c>
      <c r="AI187" s="81">
        <v>9</v>
      </c>
      <c r="AJ187" s="81"/>
      <c r="AK187" s="81">
        <f>'Praroop-20 hindi'!K190</f>
        <v>0</v>
      </c>
      <c r="AL187" s="81">
        <v>10</v>
      </c>
      <c r="AM187" s="81"/>
      <c r="AN187" s="81">
        <f>'Praroop-20 hindi'!L190</f>
        <v>2</v>
      </c>
      <c r="AO187" s="81">
        <v>11</v>
      </c>
      <c r="AP187" s="81"/>
      <c r="AQ187" s="81">
        <f>'Praroop-20 hindi'!M190</f>
        <v>2</v>
      </c>
      <c r="AR187" s="81">
        <f t="shared" si="5"/>
        <v>400</v>
      </c>
    </row>
    <row r="188" spans="1:44" ht="38.25">
      <c r="A188" s="81">
        <v>64</v>
      </c>
      <c r="B188" s="41">
        <v>182</v>
      </c>
      <c r="C188" s="113" t="s">
        <v>307</v>
      </c>
      <c r="D188" s="117">
        <v>630</v>
      </c>
      <c r="E188" s="110">
        <v>229</v>
      </c>
      <c r="F188" s="110">
        <v>190</v>
      </c>
      <c r="G188" s="110">
        <v>0</v>
      </c>
      <c r="H188" s="111">
        <f t="shared" si="4"/>
        <v>419</v>
      </c>
      <c r="I188" s="112">
        <v>419</v>
      </c>
      <c r="J188" s="110">
        <v>0</v>
      </c>
      <c r="K188" s="110">
        <v>1</v>
      </c>
      <c r="L188" s="81"/>
      <c r="M188" s="81">
        <f>'Praroop-20 hindi'!C191</f>
        <v>13</v>
      </c>
      <c r="N188" s="81">
        <v>2</v>
      </c>
      <c r="O188" s="81"/>
      <c r="P188" s="81">
        <f>'Praroop-20 hindi'!D191</f>
        <v>94</v>
      </c>
      <c r="Q188" s="81">
        <v>3</v>
      </c>
      <c r="R188" s="81"/>
      <c r="S188" s="81">
        <f>'Praroop-20 hindi'!E191</f>
        <v>303</v>
      </c>
      <c r="T188" s="81">
        <v>4</v>
      </c>
      <c r="U188" s="81"/>
      <c r="V188" s="81">
        <f>'Praroop-20 hindi'!F191</f>
        <v>1</v>
      </c>
      <c r="W188" s="81">
        <v>5</v>
      </c>
      <c r="X188" s="81"/>
      <c r="Y188" s="81">
        <f>'Praroop-20 hindi'!G191</f>
        <v>0</v>
      </c>
      <c r="Z188" s="81">
        <v>6</v>
      </c>
      <c r="AA188" s="81"/>
      <c r="AB188" s="81">
        <f>'Praroop-20 hindi'!H191</f>
        <v>0</v>
      </c>
      <c r="AC188" s="81">
        <v>7</v>
      </c>
      <c r="AD188" s="81"/>
      <c r="AE188" s="81">
        <f>'Praroop-20 hindi'!I191</f>
        <v>0</v>
      </c>
      <c r="AF188" s="81">
        <v>8</v>
      </c>
      <c r="AG188" s="81"/>
      <c r="AH188" s="81">
        <f>'Praroop-20 hindi'!J191</f>
        <v>0</v>
      </c>
      <c r="AI188" s="81">
        <v>9</v>
      </c>
      <c r="AJ188" s="81"/>
      <c r="AK188" s="81">
        <f>'Praroop-20 hindi'!K191</f>
        <v>0</v>
      </c>
      <c r="AL188" s="81">
        <v>10</v>
      </c>
      <c r="AM188" s="81"/>
      <c r="AN188" s="81">
        <f>'Praroop-20 hindi'!L191</f>
        <v>4</v>
      </c>
      <c r="AO188" s="81">
        <v>11</v>
      </c>
      <c r="AP188" s="81"/>
      <c r="AQ188" s="81">
        <f>'Praroop-20 hindi'!M191</f>
        <v>0</v>
      </c>
      <c r="AR188" s="81">
        <f t="shared" si="5"/>
        <v>415</v>
      </c>
    </row>
    <row r="189" spans="1:44" ht="25.5">
      <c r="A189" s="81">
        <v>64</v>
      </c>
      <c r="B189" s="41">
        <v>183</v>
      </c>
      <c r="C189" s="113" t="s">
        <v>308</v>
      </c>
      <c r="D189" s="117">
        <v>838</v>
      </c>
      <c r="E189" s="110">
        <v>274</v>
      </c>
      <c r="F189" s="110">
        <v>246</v>
      </c>
      <c r="G189" s="110">
        <v>0</v>
      </c>
      <c r="H189" s="111">
        <f t="shared" si="4"/>
        <v>520</v>
      </c>
      <c r="I189" s="112">
        <v>520</v>
      </c>
      <c r="J189" s="110">
        <v>0</v>
      </c>
      <c r="K189" s="110">
        <v>1</v>
      </c>
      <c r="L189" s="81"/>
      <c r="M189" s="81">
        <f>'Praroop-20 hindi'!C192</f>
        <v>11</v>
      </c>
      <c r="N189" s="81">
        <v>2</v>
      </c>
      <c r="O189" s="81"/>
      <c r="P189" s="81">
        <f>'Praroop-20 hindi'!D192</f>
        <v>277</v>
      </c>
      <c r="Q189" s="81">
        <v>3</v>
      </c>
      <c r="R189" s="81"/>
      <c r="S189" s="81">
        <f>'Praroop-20 hindi'!E192</f>
        <v>209</v>
      </c>
      <c r="T189" s="81">
        <v>4</v>
      </c>
      <c r="U189" s="81"/>
      <c r="V189" s="81">
        <f>'Praroop-20 hindi'!F192</f>
        <v>10</v>
      </c>
      <c r="W189" s="81">
        <v>5</v>
      </c>
      <c r="X189" s="81"/>
      <c r="Y189" s="81">
        <f>'Praroop-20 hindi'!G192</f>
        <v>1</v>
      </c>
      <c r="Z189" s="81">
        <v>6</v>
      </c>
      <c r="AA189" s="81"/>
      <c r="AB189" s="81">
        <f>'Praroop-20 hindi'!H192</f>
        <v>0</v>
      </c>
      <c r="AC189" s="81">
        <v>7</v>
      </c>
      <c r="AD189" s="81"/>
      <c r="AE189" s="81">
        <f>'Praroop-20 hindi'!I192</f>
        <v>1</v>
      </c>
      <c r="AF189" s="81">
        <v>8</v>
      </c>
      <c r="AG189" s="81"/>
      <c r="AH189" s="81">
        <f>'Praroop-20 hindi'!J192</f>
        <v>0</v>
      </c>
      <c r="AI189" s="81">
        <v>9</v>
      </c>
      <c r="AJ189" s="81"/>
      <c r="AK189" s="81">
        <f>'Praroop-20 hindi'!K192</f>
        <v>1</v>
      </c>
      <c r="AL189" s="81">
        <v>10</v>
      </c>
      <c r="AM189" s="81"/>
      <c r="AN189" s="81">
        <f>'Praroop-20 hindi'!L192</f>
        <v>5</v>
      </c>
      <c r="AO189" s="81">
        <v>11</v>
      </c>
      <c r="AP189" s="81"/>
      <c r="AQ189" s="81">
        <f>'Praroop-20 hindi'!M192</f>
        <v>0</v>
      </c>
      <c r="AR189" s="81">
        <f t="shared" si="5"/>
        <v>515</v>
      </c>
    </row>
    <row r="190" spans="1:44" ht="25.5">
      <c r="A190" s="81">
        <v>64</v>
      </c>
      <c r="B190" s="41">
        <v>184</v>
      </c>
      <c r="C190" s="113" t="s">
        <v>309</v>
      </c>
      <c r="D190" s="117">
        <v>823</v>
      </c>
      <c r="E190" s="110">
        <v>286</v>
      </c>
      <c r="F190" s="110">
        <v>240</v>
      </c>
      <c r="G190" s="110">
        <v>0</v>
      </c>
      <c r="H190" s="111">
        <f t="shared" si="4"/>
        <v>526</v>
      </c>
      <c r="I190" s="112">
        <v>526</v>
      </c>
      <c r="J190" s="110">
        <v>0</v>
      </c>
      <c r="K190" s="110">
        <v>1</v>
      </c>
      <c r="L190" s="81"/>
      <c r="M190" s="81">
        <f>'Praroop-20 hindi'!C193</f>
        <v>10</v>
      </c>
      <c r="N190" s="81">
        <v>2</v>
      </c>
      <c r="O190" s="81"/>
      <c r="P190" s="81">
        <f>'Praroop-20 hindi'!D193</f>
        <v>211</v>
      </c>
      <c r="Q190" s="81">
        <v>3</v>
      </c>
      <c r="R190" s="81"/>
      <c r="S190" s="81">
        <f>'Praroop-20 hindi'!E193</f>
        <v>290</v>
      </c>
      <c r="T190" s="81">
        <v>4</v>
      </c>
      <c r="U190" s="81"/>
      <c r="V190" s="81">
        <f>'Praroop-20 hindi'!F193</f>
        <v>1</v>
      </c>
      <c r="W190" s="81">
        <v>5</v>
      </c>
      <c r="X190" s="81"/>
      <c r="Y190" s="81">
        <f>'Praroop-20 hindi'!G193</f>
        <v>0</v>
      </c>
      <c r="Z190" s="81">
        <v>6</v>
      </c>
      <c r="AA190" s="81"/>
      <c r="AB190" s="81">
        <f>'Praroop-20 hindi'!H193</f>
        <v>1</v>
      </c>
      <c r="AC190" s="81">
        <v>7</v>
      </c>
      <c r="AD190" s="81"/>
      <c r="AE190" s="81">
        <f>'Praroop-20 hindi'!I193</f>
        <v>0</v>
      </c>
      <c r="AF190" s="81">
        <v>8</v>
      </c>
      <c r="AG190" s="81"/>
      <c r="AH190" s="81">
        <f>'Praroop-20 hindi'!J193</f>
        <v>1</v>
      </c>
      <c r="AI190" s="81">
        <v>9</v>
      </c>
      <c r="AJ190" s="81"/>
      <c r="AK190" s="81">
        <f>'Praroop-20 hindi'!K193</f>
        <v>1</v>
      </c>
      <c r="AL190" s="81">
        <v>10</v>
      </c>
      <c r="AM190" s="81"/>
      <c r="AN190" s="81">
        <f>'Praroop-20 hindi'!L193</f>
        <v>4</v>
      </c>
      <c r="AO190" s="81">
        <v>11</v>
      </c>
      <c r="AP190" s="81"/>
      <c r="AQ190" s="81">
        <f>'Praroop-20 hindi'!M193</f>
        <v>1</v>
      </c>
      <c r="AR190" s="81">
        <f t="shared" si="5"/>
        <v>520</v>
      </c>
    </row>
    <row r="191" spans="1:44" ht="25.5">
      <c r="A191" s="81">
        <v>64</v>
      </c>
      <c r="B191" s="41">
        <v>185</v>
      </c>
      <c r="C191" s="113" t="s">
        <v>310</v>
      </c>
      <c r="D191" s="117">
        <v>808</v>
      </c>
      <c r="E191" s="110">
        <v>264</v>
      </c>
      <c r="F191" s="110">
        <v>259</v>
      </c>
      <c r="G191" s="110">
        <v>0</v>
      </c>
      <c r="H191" s="111">
        <f t="shared" si="4"/>
        <v>523</v>
      </c>
      <c r="I191" s="112">
        <v>523</v>
      </c>
      <c r="J191" s="110">
        <v>0</v>
      </c>
      <c r="K191" s="110">
        <v>1</v>
      </c>
      <c r="L191" s="81"/>
      <c r="M191" s="81">
        <f>'Praroop-20 hindi'!C194</f>
        <v>2</v>
      </c>
      <c r="N191" s="81">
        <v>2</v>
      </c>
      <c r="O191" s="81"/>
      <c r="P191" s="81">
        <f>'Praroop-20 hindi'!D194</f>
        <v>438</v>
      </c>
      <c r="Q191" s="81">
        <v>3</v>
      </c>
      <c r="R191" s="81"/>
      <c r="S191" s="81">
        <f>'Praroop-20 hindi'!E194</f>
        <v>75</v>
      </c>
      <c r="T191" s="81">
        <v>4</v>
      </c>
      <c r="U191" s="81"/>
      <c r="V191" s="81">
        <f>'Praroop-20 hindi'!F194</f>
        <v>0</v>
      </c>
      <c r="W191" s="81">
        <v>5</v>
      </c>
      <c r="X191" s="81"/>
      <c r="Y191" s="81">
        <f>'Praroop-20 hindi'!G194</f>
        <v>0</v>
      </c>
      <c r="Z191" s="81">
        <v>6</v>
      </c>
      <c r="AA191" s="81"/>
      <c r="AB191" s="81">
        <f>'Praroop-20 hindi'!H194</f>
        <v>0</v>
      </c>
      <c r="AC191" s="81">
        <v>7</v>
      </c>
      <c r="AD191" s="81"/>
      <c r="AE191" s="81">
        <f>'Praroop-20 hindi'!I194</f>
        <v>0</v>
      </c>
      <c r="AF191" s="81">
        <v>8</v>
      </c>
      <c r="AG191" s="81"/>
      <c r="AH191" s="81">
        <f>'Praroop-20 hindi'!J194</f>
        <v>0</v>
      </c>
      <c r="AI191" s="81">
        <v>9</v>
      </c>
      <c r="AJ191" s="81"/>
      <c r="AK191" s="81">
        <f>'Praroop-20 hindi'!K194</f>
        <v>0</v>
      </c>
      <c r="AL191" s="81">
        <v>10</v>
      </c>
      <c r="AM191" s="81"/>
      <c r="AN191" s="81">
        <f>'Praroop-20 hindi'!L194</f>
        <v>4</v>
      </c>
      <c r="AO191" s="81">
        <v>11</v>
      </c>
      <c r="AP191" s="81"/>
      <c r="AQ191" s="81">
        <f>'Praroop-20 hindi'!M194</f>
        <v>0</v>
      </c>
      <c r="AR191" s="81">
        <f t="shared" si="5"/>
        <v>519</v>
      </c>
    </row>
    <row r="192" spans="1:44" ht="25.5">
      <c r="A192" s="81">
        <v>64</v>
      </c>
      <c r="B192" s="41">
        <v>186</v>
      </c>
      <c r="C192" s="113" t="s">
        <v>311</v>
      </c>
      <c r="D192" s="117">
        <v>827</v>
      </c>
      <c r="E192" s="110">
        <v>279</v>
      </c>
      <c r="F192" s="110">
        <v>219</v>
      </c>
      <c r="G192" s="110">
        <v>0</v>
      </c>
      <c r="H192" s="111">
        <f t="shared" si="4"/>
        <v>498</v>
      </c>
      <c r="I192" s="112">
        <v>498</v>
      </c>
      <c r="J192" s="110">
        <v>0</v>
      </c>
      <c r="K192" s="110">
        <v>1</v>
      </c>
      <c r="L192" s="81"/>
      <c r="M192" s="81">
        <f>'Praroop-20 hindi'!C195</f>
        <v>167</v>
      </c>
      <c r="N192" s="81">
        <v>2</v>
      </c>
      <c r="O192" s="81"/>
      <c r="P192" s="81">
        <f>'Praroop-20 hindi'!D195</f>
        <v>221</v>
      </c>
      <c r="Q192" s="81">
        <v>3</v>
      </c>
      <c r="R192" s="81"/>
      <c r="S192" s="81">
        <f>'Praroop-20 hindi'!E195</f>
        <v>104</v>
      </c>
      <c r="T192" s="81">
        <v>4</v>
      </c>
      <c r="U192" s="81"/>
      <c r="V192" s="81">
        <f>'Praroop-20 hindi'!F195</f>
        <v>1</v>
      </c>
      <c r="W192" s="81">
        <v>5</v>
      </c>
      <c r="X192" s="81"/>
      <c r="Y192" s="81">
        <f>'Praroop-20 hindi'!G195</f>
        <v>1</v>
      </c>
      <c r="Z192" s="81">
        <v>6</v>
      </c>
      <c r="AA192" s="81"/>
      <c r="AB192" s="81">
        <f>'Praroop-20 hindi'!H195</f>
        <v>0</v>
      </c>
      <c r="AC192" s="81">
        <v>7</v>
      </c>
      <c r="AD192" s="81"/>
      <c r="AE192" s="81">
        <f>'Praroop-20 hindi'!I195</f>
        <v>0</v>
      </c>
      <c r="AF192" s="81">
        <v>8</v>
      </c>
      <c r="AG192" s="81"/>
      <c r="AH192" s="81">
        <f>'Praroop-20 hindi'!J195</f>
        <v>1</v>
      </c>
      <c r="AI192" s="81">
        <v>9</v>
      </c>
      <c r="AJ192" s="81"/>
      <c r="AK192" s="81">
        <f>'Praroop-20 hindi'!K195</f>
        <v>1</v>
      </c>
      <c r="AL192" s="81">
        <v>10</v>
      </c>
      <c r="AM192" s="81"/>
      <c r="AN192" s="81">
        <f>'Praroop-20 hindi'!L195</f>
        <v>1</v>
      </c>
      <c r="AO192" s="81">
        <v>11</v>
      </c>
      <c r="AP192" s="81"/>
      <c r="AQ192" s="81">
        <f>'Praroop-20 hindi'!M195</f>
        <v>1</v>
      </c>
      <c r="AR192" s="81">
        <f t="shared" si="5"/>
        <v>498</v>
      </c>
    </row>
    <row r="193" spans="1:44" ht="25.5">
      <c r="A193" s="81">
        <v>64</v>
      </c>
      <c r="B193" s="41">
        <v>187</v>
      </c>
      <c r="C193" s="113" t="s">
        <v>312</v>
      </c>
      <c r="D193" s="117">
        <v>1077</v>
      </c>
      <c r="E193" s="110">
        <v>456</v>
      </c>
      <c r="F193" s="110">
        <v>350</v>
      </c>
      <c r="G193" s="110">
        <v>0</v>
      </c>
      <c r="H193" s="111">
        <f t="shared" si="4"/>
        <v>806</v>
      </c>
      <c r="I193" s="112">
        <v>806</v>
      </c>
      <c r="J193" s="110">
        <v>0</v>
      </c>
      <c r="K193" s="110">
        <v>1</v>
      </c>
      <c r="L193" s="81"/>
      <c r="M193" s="81">
        <f>'Praroop-20 hindi'!C196</f>
        <v>198</v>
      </c>
      <c r="N193" s="81">
        <v>2</v>
      </c>
      <c r="O193" s="81"/>
      <c r="P193" s="81">
        <f>'Praroop-20 hindi'!D196</f>
        <v>163</v>
      </c>
      <c r="Q193" s="81">
        <v>3</v>
      </c>
      <c r="R193" s="81"/>
      <c r="S193" s="81">
        <f>'Praroop-20 hindi'!E196</f>
        <v>431</v>
      </c>
      <c r="T193" s="81">
        <v>4</v>
      </c>
      <c r="U193" s="81"/>
      <c r="V193" s="81">
        <f>'Praroop-20 hindi'!F196</f>
        <v>5</v>
      </c>
      <c r="W193" s="81">
        <v>5</v>
      </c>
      <c r="X193" s="81"/>
      <c r="Y193" s="81">
        <f>'Praroop-20 hindi'!G196</f>
        <v>0</v>
      </c>
      <c r="Z193" s="81">
        <v>6</v>
      </c>
      <c r="AA193" s="81"/>
      <c r="AB193" s="81">
        <f>'Praroop-20 hindi'!H196</f>
        <v>0</v>
      </c>
      <c r="AC193" s="81">
        <v>7</v>
      </c>
      <c r="AD193" s="81"/>
      <c r="AE193" s="81">
        <f>'Praroop-20 hindi'!I196</f>
        <v>1</v>
      </c>
      <c r="AF193" s="81">
        <v>8</v>
      </c>
      <c r="AG193" s="81"/>
      <c r="AH193" s="81">
        <f>'Praroop-20 hindi'!J196</f>
        <v>0</v>
      </c>
      <c r="AI193" s="81">
        <v>9</v>
      </c>
      <c r="AJ193" s="81"/>
      <c r="AK193" s="81">
        <f>'Praroop-20 hindi'!K196</f>
        <v>1</v>
      </c>
      <c r="AL193" s="81">
        <v>10</v>
      </c>
      <c r="AM193" s="81"/>
      <c r="AN193" s="81">
        <f>'Praroop-20 hindi'!L196</f>
        <v>4</v>
      </c>
      <c r="AO193" s="81">
        <v>11</v>
      </c>
      <c r="AP193" s="81"/>
      <c r="AQ193" s="81">
        <f>'Praroop-20 hindi'!M196</f>
        <v>0</v>
      </c>
      <c r="AR193" s="81">
        <f t="shared" si="5"/>
        <v>803</v>
      </c>
    </row>
    <row r="194" spans="1:44">
      <c r="A194" s="81">
        <v>64</v>
      </c>
      <c r="B194" s="41">
        <v>188</v>
      </c>
      <c r="C194" s="113" t="s">
        <v>313</v>
      </c>
      <c r="D194" s="117">
        <v>454</v>
      </c>
      <c r="E194" s="110">
        <v>190</v>
      </c>
      <c r="F194" s="110">
        <v>186</v>
      </c>
      <c r="G194" s="110">
        <v>0</v>
      </c>
      <c r="H194" s="111">
        <f t="shared" si="4"/>
        <v>376</v>
      </c>
      <c r="I194" s="112">
        <v>376</v>
      </c>
      <c r="J194" s="110">
        <v>0</v>
      </c>
      <c r="K194" s="110">
        <v>1</v>
      </c>
      <c r="L194" s="81"/>
      <c r="M194" s="81">
        <f>'Praroop-20 hindi'!C197</f>
        <v>316</v>
      </c>
      <c r="N194" s="81">
        <v>2</v>
      </c>
      <c r="O194" s="81"/>
      <c r="P194" s="81">
        <f>'Praroop-20 hindi'!D197</f>
        <v>5</v>
      </c>
      <c r="Q194" s="81">
        <v>3</v>
      </c>
      <c r="R194" s="81"/>
      <c r="S194" s="81">
        <f>'Praroop-20 hindi'!E197</f>
        <v>36</v>
      </c>
      <c r="T194" s="81">
        <v>4</v>
      </c>
      <c r="U194" s="81"/>
      <c r="V194" s="81">
        <f>'Praroop-20 hindi'!F197</f>
        <v>1</v>
      </c>
      <c r="W194" s="81">
        <v>5</v>
      </c>
      <c r="X194" s="81"/>
      <c r="Y194" s="81">
        <f>'Praroop-20 hindi'!G197</f>
        <v>0</v>
      </c>
      <c r="Z194" s="81">
        <v>6</v>
      </c>
      <c r="AA194" s="81"/>
      <c r="AB194" s="81">
        <f>'Praroop-20 hindi'!H197</f>
        <v>0</v>
      </c>
      <c r="AC194" s="81">
        <v>7</v>
      </c>
      <c r="AD194" s="81"/>
      <c r="AE194" s="81">
        <f>'Praroop-20 hindi'!I197</f>
        <v>0</v>
      </c>
      <c r="AF194" s="81">
        <v>8</v>
      </c>
      <c r="AG194" s="81"/>
      <c r="AH194" s="81">
        <f>'Praroop-20 hindi'!J197</f>
        <v>1</v>
      </c>
      <c r="AI194" s="81">
        <v>9</v>
      </c>
      <c r="AJ194" s="81"/>
      <c r="AK194" s="81">
        <f>'Praroop-20 hindi'!K197</f>
        <v>0</v>
      </c>
      <c r="AL194" s="81">
        <v>10</v>
      </c>
      <c r="AM194" s="81"/>
      <c r="AN194" s="81">
        <f>'Praroop-20 hindi'!L197</f>
        <v>2</v>
      </c>
      <c r="AO194" s="81">
        <v>11</v>
      </c>
      <c r="AP194" s="81"/>
      <c r="AQ194" s="81">
        <f>'Praroop-20 hindi'!M197</f>
        <v>1</v>
      </c>
      <c r="AR194" s="81">
        <f t="shared" si="5"/>
        <v>362</v>
      </c>
    </row>
    <row r="195" spans="1:44" ht="25.5">
      <c r="A195" s="81">
        <v>64</v>
      </c>
      <c r="B195" s="41">
        <v>189</v>
      </c>
      <c r="C195" s="113" t="s">
        <v>314</v>
      </c>
      <c r="D195" s="117">
        <v>939</v>
      </c>
      <c r="E195" s="110">
        <v>363</v>
      </c>
      <c r="F195" s="110">
        <v>301</v>
      </c>
      <c r="G195" s="110">
        <v>0</v>
      </c>
      <c r="H195" s="111">
        <f t="shared" si="4"/>
        <v>664</v>
      </c>
      <c r="I195" s="112">
        <v>664</v>
      </c>
      <c r="J195" s="110">
        <v>0</v>
      </c>
      <c r="K195" s="110">
        <v>1</v>
      </c>
      <c r="L195" s="81"/>
      <c r="M195" s="81">
        <f>'Praroop-20 hindi'!C198</f>
        <v>256</v>
      </c>
      <c r="N195" s="81">
        <v>2</v>
      </c>
      <c r="O195" s="81"/>
      <c r="P195" s="81">
        <f>'Praroop-20 hindi'!D198</f>
        <v>20</v>
      </c>
      <c r="Q195" s="81">
        <v>3</v>
      </c>
      <c r="R195" s="81"/>
      <c r="S195" s="81">
        <f>'Praroop-20 hindi'!E198</f>
        <v>377</v>
      </c>
      <c r="T195" s="81">
        <v>4</v>
      </c>
      <c r="U195" s="81"/>
      <c r="V195" s="81">
        <f>'Praroop-20 hindi'!F198</f>
        <v>3</v>
      </c>
      <c r="W195" s="81">
        <v>5</v>
      </c>
      <c r="X195" s="81"/>
      <c r="Y195" s="81">
        <f>'Praroop-20 hindi'!G198</f>
        <v>1</v>
      </c>
      <c r="Z195" s="81">
        <v>6</v>
      </c>
      <c r="AA195" s="81"/>
      <c r="AB195" s="81">
        <f>'Praroop-20 hindi'!H198</f>
        <v>0</v>
      </c>
      <c r="AC195" s="81">
        <v>7</v>
      </c>
      <c r="AD195" s="81"/>
      <c r="AE195" s="81">
        <f>'Praroop-20 hindi'!I198</f>
        <v>1</v>
      </c>
      <c r="AF195" s="81">
        <v>8</v>
      </c>
      <c r="AG195" s="81"/>
      <c r="AH195" s="81">
        <f>'Praroop-20 hindi'!J198</f>
        <v>1</v>
      </c>
      <c r="AI195" s="81">
        <v>9</v>
      </c>
      <c r="AJ195" s="81"/>
      <c r="AK195" s="81">
        <f>'Praroop-20 hindi'!K198</f>
        <v>1</v>
      </c>
      <c r="AL195" s="81">
        <v>10</v>
      </c>
      <c r="AM195" s="81"/>
      <c r="AN195" s="81">
        <f>'Praroop-20 hindi'!L198</f>
        <v>0</v>
      </c>
      <c r="AO195" s="81">
        <v>11</v>
      </c>
      <c r="AP195" s="81"/>
      <c r="AQ195" s="81">
        <f>'Praroop-20 hindi'!M198</f>
        <v>1</v>
      </c>
      <c r="AR195" s="81">
        <f t="shared" si="5"/>
        <v>661</v>
      </c>
    </row>
    <row r="196" spans="1:44" ht="25.5">
      <c r="A196" s="81">
        <v>64</v>
      </c>
      <c r="B196" s="41">
        <v>190</v>
      </c>
      <c r="C196" s="113" t="s">
        <v>315</v>
      </c>
      <c r="D196" s="117">
        <v>1129</v>
      </c>
      <c r="E196" s="110">
        <v>427</v>
      </c>
      <c r="F196" s="110">
        <v>408</v>
      </c>
      <c r="G196" s="110">
        <v>0</v>
      </c>
      <c r="H196" s="111">
        <f t="shared" si="4"/>
        <v>835</v>
      </c>
      <c r="I196" s="112">
        <v>756</v>
      </c>
      <c r="J196" s="110">
        <v>0</v>
      </c>
      <c r="K196" s="110">
        <v>1</v>
      </c>
      <c r="L196" s="81"/>
      <c r="M196" s="81">
        <f>'Praroop-20 hindi'!C199</f>
        <v>359</v>
      </c>
      <c r="N196" s="81">
        <v>2</v>
      </c>
      <c r="O196" s="81"/>
      <c r="P196" s="81">
        <f>'Praroop-20 hindi'!D199</f>
        <v>287</v>
      </c>
      <c r="Q196" s="81">
        <v>3</v>
      </c>
      <c r="R196" s="81"/>
      <c r="S196" s="81">
        <f>'Praroop-20 hindi'!E199</f>
        <v>164</v>
      </c>
      <c r="T196" s="81">
        <v>4</v>
      </c>
      <c r="U196" s="81"/>
      <c r="V196" s="81">
        <f>'Praroop-20 hindi'!F199</f>
        <v>4</v>
      </c>
      <c r="W196" s="81">
        <v>5</v>
      </c>
      <c r="X196" s="81"/>
      <c r="Y196" s="81">
        <f>'Praroop-20 hindi'!G199</f>
        <v>8</v>
      </c>
      <c r="Z196" s="81">
        <v>6</v>
      </c>
      <c r="AA196" s="81"/>
      <c r="AB196" s="81">
        <f>'Praroop-20 hindi'!H199</f>
        <v>0</v>
      </c>
      <c r="AC196" s="81">
        <v>7</v>
      </c>
      <c r="AD196" s="81"/>
      <c r="AE196" s="81">
        <f>'Praroop-20 hindi'!I199</f>
        <v>1</v>
      </c>
      <c r="AF196" s="81">
        <v>8</v>
      </c>
      <c r="AG196" s="81"/>
      <c r="AH196" s="81">
        <f>'Praroop-20 hindi'!J199</f>
        <v>0</v>
      </c>
      <c r="AI196" s="81">
        <v>9</v>
      </c>
      <c r="AJ196" s="81"/>
      <c r="AK196" s="81">
        <f>'Praroop-20 hindi'!K199</f>
        <v>0</v>
      </c>
      <c r="AL196" s="81">
        <v>10</v>
      </c>
      <c r="AM196" s="81"/>
      <c r="AN196" s="81">
        <f>'Praroop-20 hindi'!L199</f>
        <v>4</v>
      </c>
      <c r="AO196" s="81">
        <v>11</v>
      </c>
      <c r="AP196" s="81"/>
      <c r="AQ196" s="81">
        <f>'Praroop-20 hindi'!M199</f>
        <v>3</v>
      </c>
      <c r="AR196" s="81">
        <f t="shared" si="5"/>
        <v>830</v>
      </c>
    </row>
    <row r="197" spans="1:44" ht="25.5">
      <c r="A197" s="81">
        <v>64</v>
      </c>
      <c r="B197" s="41">
        <v>191</v>
      </c>
      <c r="C197" s="113" t="s">
        <v>316</v>
      </c>
      <c r="D197" s="117">
        <v>695</v>
      </c>
      <c r="E197" s="110">
        <v>300</v>
      </c>
      <c r="F197" s="110">
        <v>244</v>
      </c>
      <c r="G197" s="110">
        <v>0</v>
      </c>
      <c r="H197" s="111">
        <f t="shared" si="4"/>
        <v>544</v>
      </c>
      <c r="I197" s="112">
        <v>513</v>
      </c>
      <c r="J197" s="110">
        <v>0</v>
      </c>
      <c r="K197" s="110">
        <v>1</v>
      </c>
      <c r="L197" s="81"/>
      <c r="M197" s="81">
        <f>'Praroop-20 hindi'!C200</f>
        <v>522</v>
      </c>
      <c r="N197" s="81">
        <v>2</v>
      </c>
      <c r="O197" s="81"/>
      <c r="P197" s="81">
        <f>'Praroop-20 hindi'!D200</f>
        <v>4</v>
      </c>
      <c r="Q197" s="81">
        <v>3</v>
      </c>
      <c r="R197" s="81"/>
      <c r="S197" s="81">
        <f>'Praroop-20 hindi'!E200</f>
        <v>8</v>
      </c>
      <c r="T197" s="81">
        <v>4</v>
      </c>
      <c r="U197" s="81"/>
      <c r="V197" s="81">
        <f>'Praroop-20 hindi'!F200</f>
        <v>1</v>
      </c>
      <c r="W197" s="81">
        <v>5</v>
      </c>
      <c r="X197" s="81"/>
      <c r="Y197" s="81">
        <f>'Praroop-20 hindi'!G200</f>
        <v>0</v>
      </c>
      <c r="Z197" s="81">
        <v>6</v>
      </c>
      <c r="AA197" s="81"/>
      <c r="AB197" s="81">
        <f>'Praroop-20 hindi'!H200</f>
        <v>0</v>
      </c>
      <c r="AC197" s="81">
        <v>7</v>
      </c>
      <c r="AD197" s="81"/>
      <c r="AE197" s="81">
        <f>'Praroop-20 hindi'!I200</f>
        <v>0</v>
      </c>
      <c r="AF197" s="81">
        <v>8</v>
      </c>
      <c r="AG197" s="81"/>
      <c r="AH197" s="81">
        <f>'Praroop-20 hindi'!J200</f>
        <v>1</v>
      </c>
      <c r="AI197" s="81">
        <v>9</v>
      </c>
      <c r="AJ197" s="81"/>
      <c r="AK197" s="81">
        <f>'Praroop-20 hindi'!K200</f>
        <v>0</v>
      </c>
      <c r="AL197" s="81">
        <v>10</v>
      </c>
      <c r="AM197" s="81"/>
      <c r="AN197" s="81">
        <f>'Praroop-20 hindi'!L200</f>
        <v>0</v>
      </c>
      <c r="AO197" s="81">
        <v>11</v>
      </c>
      <c r="AP197" s="81"/>
      <c r="AQ197" s="81">
        <f>'Praroop-20 hindi'!M200</f>
        <v>0</v>
      </c>
      <c r="AR197" s="81">
        <f t="shared" si="5"/>
        <v>536</v>
      </c>
    </row>
    <row r="198" spans="1:44" ht="25.5">
      <c r="A198" s="81">
        <v>64</v>
      </c>
      <c r="B198" s="41">
        <v>192</v>
      </c>
      <c r="C198" s="113" t="s">
        <v>317</v>
      </c>
      <c r="D198" s="117">
        <v>802</v>
      </c>
      <c r="E198" s="110">
        <v>314</v>
      </c>
      <c r="F198" s="110">
        <v>288</v>
      </c>
      <c r="G198" s="110">
        <v>0</v>
      </c>
      <c r="H198" s="111">
        <f t="shared" si="4"/>
        <v>602</v>
      </c>
      <c r="I198" s="112">
        <v>540</v>
      </c>
      <c r="J198" s="110">
        <v>0</v>
      </c>
      <c r="K198" s="110">
        <v>1</v>
      </c>
      <c r="L198" s="81"/>
      <c r="M198" s="81">
        <f>'Praroop-20 hindi'!C201</f>
        <v>563</v>
      </c>
      <c r="N198" s="81">
        <v>2</v>
      </c>
      <c r="O198" s="81"/>
      <c r="P198" s="81">
        <f>'Praroop-20 hindi'!D201</f>
        <v>10</v>
      </c>
      <c r="Q198" s="81">
        <v>3</v>
      </c>
      <c r="R198" s="81"/>
      <c r="S198" s="81">
        <f>'Praroop-20 hindi'!E201</f>
        <v>19</v>
      </c>
      <c r="T198" s="81">
        <v>4</v>
      </c>
      <c r="U198" s="81"/>
      <c r="V198" s="81">
        <f>'Praroop-20 hindi'!F201</f>
        <v>1</v>
      </c>
      <c r="W198" s="81">
        <v>5</v>
      </c>
      <c r="X198" s="81"/>
      <c r="Y198" s="81">
        <f>'Praroop-20 hindi'!G201</f>
        <v>0</v>
      </c>
      <c r="Z198" s="81">
        <v>6</v>
      </c>
      <c r="AA198" s="81"/>
      <c r="AB198" s="81">
        <f>'Praroop-20 hindi'!H201</f>
        <v>0</v>
      </c>
      <c r="AC198" s="81">
        <v>7</v>
      </c>
      <c r="AD198" s="81"/>
      <c r="AE198" s="81">
        <f>'Praroop-20 hindi'!I201</f>
        <v>0</v>
      </c>
      <c r="AF198" s="81">
        <v>8</v>
      </c>
      <c r="AG198" s="81"/>
      <c r="AH198" s="81">
        <f>'Praroop-20 hindi'!J201</f>
        <v>2</v>
      </c>
      <c r="AI198" s="81">
        <v>9</v>
      </c>
      <c r="AJ198" s="81"/>
      <c r="AK198" s="81">
        <f>'Praroop-20 hindi'!K201</f>
        <v>0</v>
      </c>
      <c r="AL198" s="81">
        <v>10</v>
      </c>
      <c r="AM198" s="81"/>
      <c r="AN198" s="81">
        <f>'Praroop-20 hindi'!L201</f>
        <v>0</v>
      </c>
      <c r="AO198" s="81">
        <v>11</v>
      </c>
      <c r="AP198" s="81"/>
      <c r="AQ198" s="81">
        <f>'Praroop-20 hindi'!M201</f>
        <v>0</v>
      </c>
      <c r="AR198" s="81">
        <f t="shared" si="5"/>
        <v>595</v>
      </c>
    </row>
    <row r="199" spans="1:44" ht="25.5">
      <c r="A199" s="81">
        <v>64</v>
      </c>
      <c r="B199" s="41">
        <v>193</v>
      </c>
      <c r="C199" s="113" t="s">
        <v>318</v>
      </c>
      <c r="D199" s="117">
        <v>874</v>
      </c>
      <c r="E199" s="110">
        <v>366</v>
      </c>
      <c r="F199" s="110">
        <v>325</v>
      </c>
      <c r="G199" s="110">
        <v>0</v>
      </c>
      <c r="H199" s="111">
        <f t="shared" ref="H199:H262" si="6">SUM(E199:G199)</f>
        <v>691</v>
      </c>
      <c r="I199" s="112">
        <v>595</v>
      </c>
      <c r="J199" s="110">
        <v>0</v>
      </c>
      <c r="K199" s="110">
        <v>1</v>
      </c>
      <c r="L199" s="81"/>
      <c r="M199" s="81">
        <f>'Praroop-20 hindi'!C202</f>
        <v>335</v>
      </c>
      <c r="N199" s="81">
        <v>2</v>
      </c>
      <c r="O199" s="81"/>
      <c r="P199" s="81">
        <f>'Praroop-20 hindi'!D202</f>
        <v>104</v>
      </c>
      <c r="Q199" s="81">
        <v>3</v>
      </c>
      <c r="R199" s="81"/>
      <c r="S199" s="81">
        <f>'Praroop-20 hindi'!E202</f>
        <v>243</v>
      </c>
      <c r="T199" s="81">
        <v>4</v>
      </c>
      <c r="U199" s="81"/>
      <c r="V199" s="81">
        <f>'Praroop-20 hindi'!F202</f>
        <v>1</v>
      </c>
      <c r="W199" s="81">
        <v>5</v>
      </c>
      <c r="X199" s="81"/>
      <c r="Y199" s="81">
        <f>'Praroop-20 hindi'!G202</f>
        <v>0</v>
      </c>
      <c r="Z199" s="81">
        <v>6</v>
      </c>
      <c r="AA199" s="81"/>
      <c r="AB199" s="81">
        <f>'Praroop-20 hindi'!H202</f>
        <v>0</v>
      </c>
      <c r="AC199" s="81">
        <v>7</v>
      </c>
      <c r="AD199" s="81"/>
      <c r="AE199" s="81">
        <f>'Praroop-20 hindi'!I202</f>
        <v>0</v>
      </c>
      <c r="AF199" s="81">
        <v>8</v>
      </c>
      <c r="AG199" s="81"/>
      <c r="AH199" s="81">
        <f>'Praroop-20 hindi'!J202</f>
        <v>0</v>
      </c>
      <c r="AI199" s="81">
        <v>9</v>
      </c>
      <c r="AJ199" s="81"/>
      <c r="AK199" s="81">
        <f>'Praroop-20 hindi'!K202</f>
        <v>2</v>
      </c>
      <c r="AL199" s="81">
        <v>10</v>
      </c>
      <c r="AM199" s="81"/>
      <c r="AN199" s="81">
        <f>'Praroop-20 hindi'!L202</f>
        <v>1</v>
      </c>
      <c r="AO199" s="81">
        <v>11</v>
      </c>
      <c r="AP199" s="81"/>
      <c r="AQ199" s="81">
        <f>'Praroop-20 hindi'!M202</f>
        <v>2</v>
      </c>
      <c r="AR199" s="81">
        <f t="shared" si="5"/>
        <v>688</v>
      </c>
    </row>
    <row r="200" spans="1:44" ht="25.5">
      <c r="A200" s="81">
        <v>64</v>
      </c>
      <c r="B200" s="41">
        <v>194</v>
      </c>
      <c r="C200" s="113" t="s">
        <v>319</v>
      </c>
      <c r="D200" s="117">
        <v>852</v>
      </c>
      <c r="E200" s="110">
        <v>354</v>
      </c>
      <c r="F200" s="110">
        <v>295</v>
      </c>
      <c r="G200" s="110">
        <v>0</v>
      </c>
      <c r="H200" s="111">
        <f t="shared" si="6"/>
        <v>649</v>
      </c>
      <c r="I200" s="112">
        <v>649</v>
      </c>
      <c r="J200" s="110">
        <v>0</v>
      </c>
      <c r="K200" s="110">
        <v>1</v>
      </c>
      <c r="L200" s="81"/>
      <c r="M200" s="81">
        <f>'Praroop-20 hindi'!C203</f>
        <v>37</v>
      </c>
      <c r="N200" s="81">
        <v>2</v>
      </c>
      <c r="O200" s="81"/>
      <c r="P200" s="81">
        <f>'Praroop-20 hindi'!D203</f>
        <v>510</v>
      </c>
      <c r="Q200" s="81">
        <v>3</v>
      </c>
      <c r="R200" s="81"/>
      <c r="S200" s="81">
        <f>'Praroop-20 hindi'!E203</f>
        <v>58</v>
      </c>
      <c r="T200" s="81">
        <v>4</v>
      </c>
      <c r="U200" s="81"/>
      <c r="V200" s="81">
        <f>'Praroop-20 hindi'!F203</f>
        <v>26</v>
      </c>
      <c r="W200" s="81">
        <v>5</v>
      </c>
      <c r="X200" s="81"/>
      <c r="Y200" s="81">
        <f>'Praroop-20 hindi'!G203</f>
        <v>1</v>
      </c>
      <c r="Z200" s="81">
        <v>6</v>
      </c>
      <c r="AA200" s="81"/>
      <c r="AB200" s="81">
        <f>'Praroop-20 hindi'!H203</f>
        <v>0</v>
      </c>
      <c r="AC200" s="81">
        <v>7</v>
      </c>
      <c r="AD200" s="81"/>
      <c r="AE200" s="81">
        <f>'Praroop-20 hindi'!I203</f>
        <v>0</v>
      </c>
      <c r="AF200" s="81">
        <v>8</v>
      </c>
      <c r="AG200" s="81"/>
      <c r="AH200" s="81">
        <f>'Praroop-20 hindi'!J203</f>
        <v>1</v>
      </c>
      <c r="AI200" s="81">
        <v>9</v>
      </c>
      <c r="AJ200" s="81"/>
      <c r="AK200" s="81">
        <f>'Praroop-20 hindi'!K203</f>
        <v>11</v>
      </c>
      <c r="AL200" s="81">
        <v>10</v>
      </c>
      <c r="AM200" s="81"/>
      <c r="AN200" s="81">
        <f>'Praroop-20 hindi'!L203</f>
        <v>0</v>
      </c>
      <c r="AO200" s="81">
        <v>11</v>
      </c>
      <c r="AP200" s="81"/>
      <c r="AQ200" s="81">
        <f>'Praroop-20 hindi'!M203</f>
        <v>2</v>
      </c>
      <c r="AR200" s="81">
        <f t="shared" ref="AR200:AR263" si="7">M200+P200+S200+V200+Y200+AB200+AE200+AH200+AK200+AN200+AQ200</f>
        <v>646</v>
      </c>
    </row>
    <row r="201" spans="1:44" ht="25.5">
      <c r="A201" s="81">
        <v>64</v>
      </c>
      <c r="B201" s="41">
        <v>195</v>
      </c>
      <c r="C201" s="113" t="s">
        <v>320</v>
      </c>
      <c r="D201" s="117">
        <v>897</v>
      </c>
      <c r="E201" s="110">
        <v>366</v>
      </c>
      <c r="F201" s="110">
        <v>261</v>
      </c>
      <c r="G201" s="110">
        <v>0</v>
      </c>
      <c r="H201" s="111">
        <f t="shared" si="6"/>
        <v>627</v>
      </c>
      <c r="I201" s="112">
        <v>627</v>
      </c>
      <c r="J201" s="110">
        <v>0</v>
      </c>
      <c r="K201" s="110">
        <v>1</v>
      </c>
      <c r="L201" s="81"/>
      <c r="M201" s="81">
        <f>'Praroop-20 hindi'!C204</f>
        <v>23</v>
      </c>
      <c r="N201" s="81">
        <v>2</v>
      </c>
      <c r="O201" s="81"/>
      <c r="P201" s="81">
        <f>'Praroop-20 hindi'!D204</f>
        <v>500</v>
      </c>
      <c r="Q201" s="81">
        <v>3</v>
      </c>
      <c r="R201" s="81"/>
      <c r="S201" s="81">
        <f>'Praroop-20 hindi'!E204</f>
        <v>14</v>
      </c>
      <c r="T201" s="81">
        <v>4</v>
      </c>
      <c r="U201" s="81"/>
      <c r="V201" s="81">
        <f>'Praroop-20 hindi'!F204</f>
        <v>67</v>
      </c>
      <c r="W201" s="81">
        <v>5</v>
      </c>
      <c r="X201" s="81"/>
      <c r="Y201" s="81">
        <f>'Praroop-20 hindi'!G204</f>
        <v>5</v>
      </c>
      <c r="Z201" s="81">
        <v>6</v>
      </c>
      <c r="AA201" s="81"/>
      <c r="AB201" s="81">
        <f>'Praroop-20 hindi'!H204</f>
        <v>0</v>
      </c>
      <c r="AC201" s="81">
        <v>7</v>
      </c>
      <c r="AD201" s="81"/>
      <c r="AE201" s="81">
        <f>'Praroop-20 hindi'!I204</f>
        <v>0</v>
      </c>
      <c r="AF201" s="81">
        <v>8</v>
      </c>
      <c r="AG201" s="81"/>
      <c r="AH201" s="81">
        <f>'Praroop-20 hindi'!J204</f>
        <v>1</v>
      </c>
      <c r="AI201" s="81">
        <v>9</v>
      </c>
      <c r="AJ201" s="81"/>
      <c r="AK201" s="81">
        <f>'Praroop-20 hindi'!K204</f>
        <v>12</v>
      </c>
      <c r="AL201" s="81">
        <v>10</v>
      </c>
      <c r="AM201" s="81"/>
      <c r="AN201" s="81">
        <f>'Praroop-20 hindi'!L204</f>
        <v>1</v>
      </c>
      <c r="AO201" s="81">
        <v>11</v>
      </c>
      <c r="AP201" s="81"/>
      <c r="AQ201" s="81">
        <f>'Praroop-20 hindi'!M204</f>
        <v>2</v>
      </c>
      <c r="AR201" s="81">
        <f t="shared" si="7"/>
        <v>625</v>
      </c>
    </row>
    <row r="202" spans="1:44" ht="25.5">
      <c r="A202" s="81">
        <v>64</v>
      </c>
      <c r="B202" s="41">
        <v>196</v>
      </c>
      <c r="C202" s="113" t="s">
        <v>321</v>
      </c>
      <c r="D202" s="117">
        <v>912</v>
      </c>
      <c r="E202" s="110">
        <v>390</v>
      </c>
      <c r="F202" s="110">
        <v>358</v>
      </c>
      <c r="G202" s="110">
        <v>0</v>
      </c>
      <c r="H202" s="111">
        <f t="shared" si="6"/>
        <v>748</v>
      </c>
      <c r="I202" s="112">
        <v>748</v>
      </c>
      <c r="J202" s="110">
        <v>0</v>
      </c>
      <c r="K202" s="110">
        <v>1</v>
      </c>
      <c r="L202" s="81"/>
      <c r="M202" s="81">
        <f>'Praroop-20 hindi'!C205</f>
        <v>689</v>
      </c>
      <c r="N202" s="81">
        <v>2</v>
      </c>
      <c r="O202" s="81"/>
      <c r="P202" s="81">
        <f>'Praroop-20 hindi'!D205</f>
        <v>15</v>
      </c>
      <c r="Q202" s="81">
        <v>3</v>
      </c>
      <c r="R202" s="81"/>
      <c r="S202" s="81">
        <f>'Praroop-20 hindi'!E205</f>
        <v>29</v>
      </c>
      <c r="T202" s="81">
        <v>4</v>
      </c>
      <c r="U202" s="81"/>
      <c r="V202" s="81">
        <f>'Praroop-20 hindi'!F205</f>
        <v>0</v>
      </c>
      <c r="W202" s="81">
        <v>5</v>
      </c>
      <c r="X202" s="81"/>
      <c r="Y202" s="81">
        <f>'Praroop-20 hindi'!G205</f>
        <v>14</v>
      </c>
      <c r="Z202" s="81">
        <v>6</v>
      </c>
      <c r="AA202" s="81"/>
      <c r="AB202" s="81">
        <f>'Praroop-20 hindi'!H205</f>
        <v>0</v>
      </c>
      <c r="AC202" s="81">
        <v>7</v>
      </c>
      <c r="AD202" s="81"/>
      <c r="AE202" s="81">
        <f>'Praroop-20 hindi'!I205</f>
        <v>0</v>
      </c>
      <c r="AF202" s="81">
        <v>8</v>
      </c>
      <c r="AG202" s="81"/>
      <c r="AH202" s="81">
        <f>'Praroop-20 hindi'!J205</f>
        <v>0</v>
      </c>
      <c r="AI202" s="81">
        <v>9</v>
      </c>
      <c r="AJ202" s="81"/>
      <c r="AK202" s="81">
        <f>'Praroop-20 hindi'!K205</f>
        <v>1</v>
      </c>
      <c r="AL202" s="81">
        <v>10</v>
      </c>
      <c r="AM202" s="81"/>
      <c r="AN202" s="81">
        <f>'Praroop-20 hindi'!L205</f>
        <v>0</v>
      </c>
      <c r="AO202" s="81">
        <v>11</v>
      </c>
      <c r="AP202" s="81"/>
      <c r="AQ202" s="81">
        <f>'Praroop-20 hindi'!M205</f>
        <v>0</v>
      </c>
      <c r="AR202" s="81">
        <f t="shared" si="7"/>
        <v>748</v>
      </c>
    </row>
    <row r="203" spans="1:44" ht="25.5">
      <c r="A203" s="81">
        <v>64</v>
      </c>
      <c r="B203" s="41">
        <v>197</v>
      </c>
      <c r="C203" s="113" t="s">
        <v>322</v>
      </c>
      <c r="D203" s="117">
        <v>362</v>
      </c>
      <c r="E203" s="110">
        <v>168</v>
      </c>
      <c r="F203" s="110">
        <v>156</v>
      </c>
      <c r="G203" s="110">
        <v>0</v>
      </c>
      <c r="H203" s="111">
        <f t="shared" si="6"/>
        <v>324</v>
      </c>
      <c r="I203" s="112">
        <v>324</v>
      </c>
      <c r="J203" s="110">
        <v>0</v>
      </c>
      <c r="K203" s="110">
        <v>1</v>
      </c>
      <c r="L203" s="81"/>
      <c r="M203" s="81">
        <f>'Praroop-20 hindi'!C206</f>
        <v>305</v>
      </c>
      <c r="N203" s="81">
        <v>2</v>
      </c>
      <c r="O203" s="81"/>
      <c r="P203" s="81">
        <f>'Praroop-20 hindi'!D206</f>
        <v>3</v>
      </c>
      <c r="Q203" s="81">
        <v>3</v>
      </c>
      <c r="R203" s="81"/>
      <c r="S203" s="81">
        <f>'Praroop-20 hindi'!E206</f>
        <v>10</v>
      </c>
      <c r="T203" s="81">
        <v>4</v>
      </c>
      <c r="U203" s="81"/>
      <c r="V203" s="81">
        <f>'Praroop-20 hindi'!F206</f>
        <v>2</v>
      </c>
      <c r="W203" s="81">
        <v>5</v>
      </c>
      <c r="X203" s="81"/>
      <c r="Y203" s="81">
        <f>'Praroop-20 hindi'!G206</f>
        <v>0</v>
      </c>
      <c r="Z203" s="81">
        <v>6</v>
      </c>
      <c r="AA203" s="81"/>
      <c r="AB203" s="81">
        <f>'Praroop-20 hindi'!H206</f>
        <v>0</v>
      </c>
      <c r="AC203" s="81">
        <v>7</v>
      </c>
      <c r="AD203" s="81"/>
      <c r="AE203" s="81">
        <f>'Praroop-20 hindi'!I206</f>
        <v>0</v>
      </c>
      <c r="AF203" s="81">
        <v>8</v>
      </c>
      <c r="AG203" s="81"/>
      <c r="AH203" s="81">
        <f>'Praroop-20 hindi'!J206</f>
        <v>0</v>
      </c>
      <c r="AI203" s="81">
        <v>9</v>
      </c>
      <c r="AJ203" s="81"/>
      <c r="AK203" s="81">
        <f>'Praroop-20 hindi'!K206</f>
        <v>0</v>
      </c>
      <c r="AL203" s="81">
        <v>10</v>
      </c>
      <c r="AM203" s="81"/>
      <c r="AN203" s="81">
        <f>'Praroop-20 hindi'!L206</f>
        <v>0</v>
      </c>
      <c r="AO203" s="81">
        <v>11</v>
      </c>
      <c r="AP203" s="81"/>
      <c r="AQ203" s="81">
        <f>'Praroop-20 hindi'!M206</f>
        <v>0</v>
      </c>
      <c r="AR203" s="81">
        <f t="shared" si="7"/>
        <v>320</v>
      </c>
    </row>
    <row r="204" spans="1:44" ht="25.5">
      <c r="A204" s="81">
        <v>64</v>
      </c>
      <c r="B204" s="41">
        <v>198</v>
      </c>
      <c r="C204" s="113" t="s">
        <v>323</v>
      </c>
      <c r="D204" s="117">
        <v>563</v>
      </c>
      <c r="E204" s="110">
        <v>233</v>
      </c>
      <c r="F204" s="110">
        <v>217</v>
      </c>
      <c r="G204" s="110">
        <v>0</v>
      </c>
      <c r="H204" s="111">
        <f t="shared" si="6"/>
        <v>450</v>
      </c>
      <c r="I204" s="112">
        <v>450</v>
      </c>
      <c r="J204" s="110">
        <v>0</v>
      </c>
      <c r="K204" s="110">
        <v>1</v>
      </c>
      <c r="L204" s="81"/>
      <c r="M204" s="81">
        <f>'Praroop-20 hindi'!C207</f>
        <v>49</v>
      </c>
      <c r="N204" s="81">
        <v>2</v>
      </c>
      <c r="O204" s="81"/>
      <c r="P204" s="81">
        <f>'Praroop-20 hindi'!D207</f>
        <v>31</v>
      </c>
      <c r="Q204" s="81">
        <v>3</v>
      </c>
      <c r="R204" s="81"/>
      <c r="S204" s="81">
        <f>'Praroop-20 hindi'!E207</f>
        <v>356</v>
      </c>
      <c r="T204" s="81">
        <v>4</v>
      </c>
      <c r="U204" s="81"/>
      <c r="V204" s="81">
        <f>'Praroop-20 hindi'!F207</f>
        <v>9</v>
      </c>
      <c r="W204" s="81">
        <v>5</v>
      </c>
      <c r="X204" s="81"/>
      <c r="Y204" s="81">
        <f>'Praroop-20 hindi'!G207</f>
        <v>0</v>
      </c>
      <c r="Z204" s="81">
        <v>6</v>
      </c>
      <c r="AA204" s="81"/>
      <c r="AB204" s="81">
        <f>'Praroop-20 hindi'!H207</f>
        <v>0</v>
      </c>
      <c r="AC204" s="81">
        <v>7</v>
      </c>
      <c r="AD204" s="81"/>
      <c r="AE204" s="81">
        <f>'Praroop-20 hindi'!I207</f>
        <v>0</v>
      </c>
      <c r="AF204" s="81">
        <v>8</v>
      </c>
      <c r="AG204" s="81"/>
      <c r="AH204" s="81">
        <f>'Praroop-20 hindi'!J207</f>
        <v>2</v>
      </c>
      <c r="AI204" s="81">
        <v>9</v>
      </c>
      <c r="AJ204" s="81"/>
      <c r="AK204" s="81">
        <f>'Praroop-20 hindi'!K207</f>
        <v>0</v>
      </c>
      <c r="AL204" s="81">
        <v>10</v>
      </c>
      <c r="AM204" s="81"/>
      <c r="AN204" s="81">
        <f>'Praroop-20 hindi'!L207</f>
        <v>2</v>
      </c>
      <c r="AO204" s="81">
        <v>11</v>
      </c>
      <c r="AP204" s="81"/>
      <c r="AQ204" s="81">
        <f>'Praroop-20 hindi'!M207</f>
        <v>0</v>
      </c>
      <c r="AR204" s="81">
        <f t="shared" si="7"/>
        <v>449</v>
      </c>
    </row>
    <row r="205" spans="1:44" ht="25.5">
      <c r="A205" s="81">
        <v>64</v>
      </c>
      <c r="B205" s="41">
        <v>199</v>
      </c>
      <c r="C205" s="113" t="s">
        <v>324</v>
      </c>
      <c r="D205" s="117">
        <v>433</v>
      </c>
      <c r="E205" s="110">
        <v>203</v>
      </c>
      <c r="F205" s="110">
        <v>163</v>
      </c>
      <c r="G205" s="110">
        <v>0</v>
      </c>
      <c r="H205" s="111">
        <f t="shared" si="6"/>
        <v>366</v>
      </c>
      <c r="I205" s="112">
        <v>366</v>
      </c>
      <c r="J205" s="110">
        <v>0</v>
      </c>
      <c r="K205" s="110">
        <v>1</v>
      </c>
      <c r="L205" s="81"/>
      <c r="M205" s="81">
        <f>'Praroop-20 hindi'!C208</f>
        <v>46</v>
      </c>
      <c r="N205" s="81">
        <v>2</v>
      </c>
      <c r="O205" s="81"/>
      <c r="P205" s="81">
        <f>'Praroop-20 hindi'!D208</f>
        <v>47</v>
      </c>
      <c r="Q205" s="81">
        <v>3</v>
      </c>
      <c r="R205" s="81"/>
      <c r="S205" s="81">
        <f>'Praroop-20 hindi'!E208</f>
        <v>250</v>
      </c>
      <c r="T205" s="81">
        <v>4</v>
      </c>
      <c r="U205" s="81"/>
      <c r="V205" s="81">
        <f>'Praroop-20 hindi'!F208</f>
        <v>3</v>
      </c>
      <c r="W205" s="81">
        <v>5</v>
      </c>
      <c r="X205" s="81"/>
      <c r="Y205" s="81">
        <f>'Praroop-20 hindi'!G208</f>
        <v>9</v>
      </c>
      <c r="Z205" s="81">
        <v>6</v>
      </c>
      <c r="AA205" s="81"/>
      <c r="AB205" s="81">
        <f>'Praroop-20 hindi'!H208</f>
        <v>0</v>
      </c>
      <c r="AC205" s="81">
        <v>7</v>
      </c>
      <c r="AD205" s="81"/>
      <c r="AE205" s="81">
        <f>'Praroop-20 hindi'!I208</f>
        <v>0</v>
      </c>
      <c r="AF205" s="81">
        <v>8</v>
      </c>
      <c r="AG205" s="81"/>
      <c r="AH205" s="81">
        <f>'Praroop-20 hindi'!J208</f>
        <v>0</v>
      </c>
      <c r="AI205" s="81">
        <v>9</v>
      </c>
      <c r="AJ205" s="81"/>
      <c r="AK205" s="81">
        <f>'Praroop-20 hindi'!K208</f>
        <v>0</v>
      </c>
      <c r="AL205" s="81">
        <v>10</v>
      </c>
      <c r="AM205" s="81"/>
      <c r="AN205" s="81">
        <f>'Praroop-20 hindi'!L208</f>
        <v>9</v>
      </c>
      <c r="AO205" s="81">
        <v>11</v>
      </c>
      <c r="AP205" s="81"/>
      <c r="AQ205" s="81">
        <f>'Praroop-20 hindi'!M208</f>
        <v>1</v>
      </c>
      <c r="AR205" s="81">
        <f t="shared" si="7"/>
        <v>365</v>
      </c>
    </row>
    <row r="206" spans="1:44" ht="25.5">
      <c r="A206" s="81">
        <v>64</v>
      </c>
      <c r="B206" s="41">
        <v>200</v>
      </c>
      <c r="C206" s="116" t="s">
        <v>325</v>
      </c>
      <c r="D206" s="117">
        <v>823</v>
      </c>
      <c r="E206" s="110">
        <v>330</v>
      </c>
      <c r="F206" s="110">
        <v>240</v>
      </c>
      <c r="G206" s="110">
        <v>0</v>
      </c>
      <c r="H206" s="111">
        <f t="shared" si="6"/>
        <v>570</v>
      </c>
      <c r="I206" s="112">
        <v>570</v>
      </c>
      <c r="J206" s="110">
        <v>0</v>
      </c>
      <c r="K206" s="110">
        <v>1</v>
      </c>
      <c r="L206" s="81"/>
      <c r="M206" s="81">
        <f>'Praroop-20 hindi'!C209</f>
        <v>211</v>
      </c>
      <c r="N206" s="81">
        <v>2</v>
      </c>
      <c r="O206" s="81"/>
      <c r="P206" s="81">
        <f>'Praroop-20 hindi'!D209</f>
        <v>17</v>
      </c>
      <c r="Q206" s="81">
        <v>3</v>
      </c>
      <c r="R206" s="81"/>
      <c r="S206" s="81">
        <f>'Praroop-20 hindi'!E209</f>
        <v>319</v>
      </c>
      <c r="T206" s="81">
        <v>4</v>
      </c>
      <c r="U206" s="81"/>
      <c r="V206" s="81">
        <f>'Praroop-20 hindi'!F209</f>
        <v>8</v>
      </c>
      <c r="W206" s="81">
        <v>5</v>
      </c>
      <c r="X206" s="81"/>
      <c r="Y206" s="81">
        <f>'Praroop-20 hindi'!G209</f>
        <v>1</v>
      </c>
      <c r="Z206" s="81">
        <v>6</v>
      </c>
      <c r="AA206" s="81"/>
      <c r="AB206" s="81">
        <f>'Praroop-20 hindi'!H209</f>
        <v>0</v>
      </c>
      <c r="AC206" s="81">
        <v>7</v>
      </c>
      <c r="AD206" s="81"/>
      <c r="AE206" s="81">
        <f>'Praroop-20 hindi'!I209</f>
        <v>1</v>
      </c>
      <c r="AF206" s="81">
        <v>8</v>
      </c>
      <c r="AG206" s="81"/>
      <c r="AH206" s="81">
        <f>'Praroop-20 hindi'!J209</f>
        <v>1</v>
      </c>
      <c r="AI206" s="81">
        <v>9</v>
      </c>
      <c r="AJ206" s="81"/>
      <c r="AK206" s="81">
        <f>'Praroop-20 hindi'!K209</f>
        <v>0</v>
      </c>
      <c r="AL206" s="81">
        <v>10</v>
      </c>
      <c r="AM206" s="81"/>
      <c r="AN206" s="81">
        <f>'Praroop-20 hindi'!L209</f>
        <v>6</v>
      </c>
      <c r="AO206" s="81">
        <v>11</v>
      </c>
      <c r="AP206" s="81"/>
      <c r="AQ206" s="81">
        <f>'Praroop-20 hindi'!M209</f>
        <v>2</v>
      </c>
      <c r="AR206" s="81">
        <f t="shared" si="7"/>
        <v>566</v>
      </c>
    </row>
    <row r="207" spans="1:44" ht="25.5">
      <c r="A207" s="81">
        <v>64</v>
      </c>
      <c r="B207" s="41">
        <v>201</v>
      </c>
      <c r="C207" s="113" t="s">
        <v>326</v>
      </c>
      <c r="D207" s="117">
        <v>764</v>
      </c>
      <c r="E207" s="110">
        <v>282</v>
      </c>
      <c r="F207" s="110">
        <v>228</v>
      </c>
      <c r="G207" s="110">
        <v>0</v>
      </c>
      <c r="H207" s="111">
        <f t="shared" si="6"/>
        <v>510</v>
      </c>
      <c r="I207" s="112">
        <v>412</v>
      </c>
      <c r="J207" s="110">
        <v>0</v>
      </c>
      <c r="K207" s="110">
        <v>1</v>
      </c>
      <c r="L207" s="81"/>
      <c r="M207" s="81">
        <f>'Praroop-20 hindi'!C210</f>
        <v>55</v>
      </c>
      <c r="N207" s="81">
        <v>2</v>
      </c>
      <c r="O207" s="81"/>
      <c r="P207" s="81">
        <f>'Praroop-20 hindi'!D210</f>
        <v>67</v>
      </c>
      <c r="Q207" s="81">
        <v>3</v>
      </c>
      <c r="R207" s="81"/>
      <c r="S207" s="81">
        <f>'Praroop-20 hindi'!E210</f>
        <v>372</v>
      </c>
      <c r="T207" s="81">
        <v>4</v>
      </c>
      <c r="U207" s="81"/>
      <c r="V207" s="81">
        <f>'Praroop-20 hindi'!F210</f>
        <v>3</v>
      </c>
      <c r="W207" s="81">
        <v>5</v>
      </c>
      <c r="X207" s="81"/>
      <c r="Y207" s="81">
        <f>'Praroop-20 hindi'!G210</f>
        <v>1</v>
      </c>
      <c r="Z207" s="81">
        <v>6</v>
      </c>
      <c r="AA207" s="81"/>
      <c r="AB207" s="81">
        <f>'Praroop-20 hindi'!H210</f>
        <v>0</v>
      </c>
      <c r="AC207" s="81">
        <v>7</v>
      </c>
      <c r="AD207" s="81"/>
      <c r="AE207" s="81">
        <f>'Praroop-20 hindi'!I210</f>
        <v>0</v>
      </c>
      <c r="AF207" s="81">
        <v>8</v>
      </c>
      <c r="AG207" s="81"/>
      <c r="AH207" s="81">
        <f>'Praroop-20 hindi'!J210</f>
        <v>5</v>
      </c>
      <c r="AI207" s="81">
        <v>9</v>
      </c>
      <c r="AJ207" s="81"/>
      <c r="AK207" s="81">
        <f>'Praroop-20 hindi'!K210</f>
        <v>1</v>
      </c>
      <c r="AL207" s="81">
        <v>10</v>
      </c>
      <c r="AM207" s="81"/>
      <c r="AN207" s="81">
        <f>'Praroop-20 hindi'!L210</f>
        <v>2</v>
      </c>
      <c r="AO207" s="81">
        <v>11</v>
      </c>
      <c r="AP207" s="81"/>
      <c r="AQ207" s="81">
        <f>'Praroop-20 hindi'!M210</f>
        <v>0</v>
      </c>
      <c r="AR207" s="81">
        <f t="shared" si="7"/>
        <v>506</v>
      </c>
    </row>
    <row r="208" spans="1:44" ht="25.5">
      <c r="A208" s="81">
        <v>64</v>
      </c>
      <c r="B208" s="41">
        <v>202</v>
      </c>
      <c r="C208" s="113" t="s">
        <v>327</v>
      </c>
      <c r="D208" s="117">
        <v>486</v>
      </c>
      <c r="E208" s="110">
        <v>201</v>
      </c>
      <c r="F208" s="110">
        <v>173</v>
      </c>
      <c r="G208" s="110">
        <v>0</v>
      </c>
      <c r="H208" s="111">
        <f t="shared" si="6"/>
        <v>374</v>
      </c>
      <c r="I208" s="112">
        <v>338</v>
      </c>
      <c r="J208" s="110">
        <v>0</v>
      </c>
      <c r="K208" s="110">
        <v>1</v>
      </c>
      <c r="L208" s="81"/>
      <c r="M208" s="81">
        <f>'Praroop-20 hindi'!C211</f>
        <v>47</v>
      </c>
      <c r="N208" s="81">
        <v>2</v>
      </c>
      <c r="O208" s="81"/>
      <c r="P208" s="81">
        <f>'Praroop-20 hindi'!D211</f>
        <v>72</v>
      </c>
      <c r="Q208" s="81">
        <v>3</v>
      </c>
      <c r="R208" s="81"/>
      <c r="S208" s="81">
        <f>'Praroop-20 hindi'!E211</f>
        <v>250</v>
      </c>
      <c r="T208" s="81">
        <v>4</v>
      </c>
      <c r="U208" s="81"/>
      <c r="V208" s="81">
        <f>'Praroop-20 hindi'!F211</f>
        <v>0</v>
      </c>
      <c r="W208" s="81">
        <v>5</v>
      </c>
      <c r="X208" s="81"/>
      <c r="Y208" s="81">
        <f>'Praroop-20 hindi'!G211</f>
        <v>0</v>
      </c>
      <c r="Z208" s="81">
        <v>6</v>
      </c>
      <c r="AA208" s="81"/>
      <c r="AB208" s="81">
        <f>'Praroop-20 hindi'!H211</f>
        <v>0</v>
      </c>
      <c r="AC208" s="81">
        <v>7</v>
      </c>
      <c r="AD208" s="81"/>
      <c r="AE208" s="81">
        <f>'Praroop-20 hindi'!I211</f>
        <v>1</v>
      </c>
      <c r="AF208" s="81">
        <v>8</v>
      </c>
      <c r="AG208" s="81"/>
      <c r="AH208" s="81">
        <f>'Praroop-20 hindi'!J211</f>
        <v>0</v>
      </c>
      <c r="AI208" s="81">
        <v>9</v>
      </c>
      <c r="AJ208" s="81"/>
      <c r="AK208" s="81">
        <f>'Praroop-20 hindi'!K211</f>
        <v>4</v>
      </c>
      <c r="AL208" s="81">
        <v>10</v>
      </c>
      <c r="AM208" s="81"/>
      <c r="AN208" s="81">
        <f>'Praroop-20 hindi'!L211</f>
        <v>0</v>
      </c>
      <c r="AO208" s="81">
        <v>11</v>
      </c>
      <c r="AP208" s="81"/>
      <c r="AQ208" s="81">
        <f>'Praroop-20 hindi'!M211</f>
        <v>0</v>
      </c>
      <c r="AR208" s="81">
        <f t="shared" si="7"/>
        <v>374</v>
      </c>
    </row>
    <row r="209" spans="1:44" ht="25.5">
      <c r="A209" s="81">
        <v>64</v>
      </c>
      <c r="B209" s="41">
        <v>203</v>
      </c>
      <c r="C209" s="113" t="s">
        <v>328</v>
      </c>
      <c r="D209" s="117">
        <v>1126</v>
      </c>
      <c r="E209" s="110">
        <v>474</v>
      </c>
      <c r="F209" s="110">
        <v>378</v>
      </c>
      <c r="G209" s="110">
        <v>0</v>
      </c>
      <c r="H209" s="111">
        <f t="shared" si="6"/>
        <v>852</v>
      </c>
      <c r="I209" s="112">
        <v>812</v>
      </c>
      <c r="J209" s="110">
        <v>0</v>
      </c>
      <c r="K209" s="110">
        <v>1</v>
      </c>
      <c r="L209" s="81"/>
      <c r="M209" s="81">
        <f>'Praroop-20 hindi'!C212</f>
        <v>13</v>
      </c>
      <c r="N209" s="81">
        <v>2</v>
      </c>
      <c r="O209" s="81"/>
      <c r="P209" s="81">
        <f>'Praroop-20 hindi'!D212</f>
        <v>660</v>
      </c>
      <c r="Q209" s="81">
        <v>3</v>
      </c>
      <c r="R209" s="81"/>
      <c r="S209" s="81">
        <f>'Praroop-20 hindi'!E212</f>
        <v>150</v>
      </c>
      <c r="T209" s="81">
        <v>4</v>
      </c>
      <c r="U209" s="81"/>
      <c r="V209" s="81">
        <f>'Praroop-20 hindi'!F212</f>
        <v>2</v>
      </c>
      <c r="W209" s="81">
        <v>5</v>
      </c>
      <c r="X209" s="81"/>
      <c r="Y209" s="81">
        <f>'Praroop-20 hindi'!G212</f>
        <v>6</v>
      </c>
      <c r="Z209" s="81">
        <v>6</v>
      </c>
      <c r="AA209" s="81"/>
      <c r="AB209" s="81">
        <f>'Praroop-20 hindi'!H212</f>
        <v>1</v>
      </c>
      <c r="AC209" s="81">
        <v>7</v>
      </c>
      <c r="AD209" s="81"/>
      <c r="AE209" s="81">
        <f>'Praroop-20 hindi'!I212</f>
        <v>2</v>
      </c>
      <c r="AF209" s="81">
        <v>8</v>
      </c>
      <c r="AG209" s="81"/>
      <c r="AH209" s="81">
        <f>'Praroop-20 hindi'!J212</f>
        <v>2</v>
      </c>
      <c r="AI209" s="81">
        <v>9</v>
      </c>
      <c r="AJ209" s="81"/>
      <c r="AK209" s="81">
        <f>'Praroop-20 hindi'!K212</f>
        <v>6</v>
      </c>
      <c r="AL209" s="81">
        <v>10</v>
      </c>
      <c r="AM209" s="81"/>
      <c r="AN209" s="81">
        <f>'Praroop-20 hindi'!L212</f>
        <v>5</v>
      </c>
      <c r="AO209" s="81">
        <v>11</v>
      </c>
      <c r="AP209" s="81"/>
      <c r="AQ209" s="81">
        <f>'Praroop-20 hindi'!M212</f>
        <v>2</v>
      </c>
      <c r="AR209" s="81">
        <f t="shared" si="7"/>
        <v>849</v>
      </c>
    </row>
    <row r="210" spans="1:44" ht="25.5">
      <c r="A210" s="81">
        <v>64</v>
      </c>
      <c r="B210" s="41">
        <v>204</v>
      </c>
      <c r="C210" s="113" t="s">
        <v>329</v>
      </c>
      <c r="D210" s="117">
        <v>1016</v>
      </c>
      <c r="E210" s="110">
        <v>422</v>
      </c>
      <c r="F210" s="110">
        <v>321</v>
      </c>
      <c r="G210" s="110">
        <v>0</v>
      </c>
      <c r="H210" s="111">
        <f t="shared" si="6"/>
        <v>743</v>
      </c>
      <c r="I210" s="112">
        <v>700</v>
      </c>
      <c r="J210" s="110">
        <v>0</v>
      </c>
      <c r="K210" s="110">
        <v>1</v>
      </c>
      <c r="L210" s="81"/>
      <c r="M210" s="81">
        <f>'Praroop-20 hindi'!C213</f>
        <v>100</v>
      </c>
      <c r="N210" s="81">
        <v>2</v>
      </c>
      <c r="O210" s="81"/>
      <c r="P210" s="81">
        <f>'Praroop-20 hindi'!D213</f>
        <v>582</v>
      </c>
      <c r="Q210" s="81">
        <v>3</v>
      </c>
      <c r="R210" s="81"/>
      <c r="S210" s="81">
        <f>'Praroop-20 hindi'!E213</f>
        <v>36</v>
      </c>
      <c r="T210" s="81">
        <v>4</v>
      </c>
      <c r="U210" s="81"/>
      <c r="V210" s="81">
        <f>'Praroop-20 hindi'!F213</f>
        <v>2</v>
      </c>
      <c r="W210" s="81">
        <v>5</v>
      </c>
      <c r="X210" s="81"/>
      <c r="Y210" s="81">
        <f>'Praroop-20 hindi'!G213</f>
        <v>2</v>
      </c>
      <c r="Z210" s="81">
        <v>6</v>
      </c>
      <c r="AA210" s="81"/>
      <c r="AB210" s="81">
        <f>'Praroop-20 hindi'!H213</f>
        <v>1</v>
      </c>
      <c r="AC210" s="81">
        <v>7</v>
      </c>
      <c r="AD210" s="81"/>
      <c r="AE210" s="81">
        <f>'Praroop-20 hindi'!I213</f>
        <v>0</v>
      </c>
      <c r="AF210" s="81">
        <v>8</v>
      </c>
      <c r="AG210" s="81"/>
      <c r="AH210" s="81">
        <f>'Praroop-20 hindi'!J213</f>
        <v>0</v>
      </c>
      <c r="AI210" s="81">
        <v>9</v>
      </c>
      <c r="AJ210" s="81"/>
      <c r="AK210" s="81">
        <f>'Praroop-20 hindi'!K213</f>
        <v>12</v>
      </c>
      <c r="AL210" s="81">
        <v>10</v>
      </c>
      <c r="AM210" s="81"/>
      <c r="AN210" s="81">
        <f>'Praroop-20 hindi'!L213</f>
        <v>2</v>
      </c>
      <c r="AO210" s="81">
        <v>11</v>
      </c>
      <c r="AP210" s="81"/>
      <c r="AQ210" s="81">
        <f>'Praroop-20 hindi'!M213</f>
        <v>1</v>
      </c>
      <c r="AR210" s="81">
        <f t="shared" si="7"/>
        <v>738</v>
      </c>
    </row>
    <row r="211" spans="1:44" ht="25.5">
      <c r="A211" s="81">
        <v>64</v>
      </c>
      <c r="B211" s="41">
        <v>205</v>
      </c>
      <c r="C211" s="113" t="s">
        <v>330</v>
      </c>
      <c r="D211" s="117">
        <v>829</v>
      </c>
      <c r="E211" s="110">
        <v>350</v>
      </c>
      <c r="F211" s="110">
        <v>260</v>
      </c>
      <c r="G211" s="110">
        <v>0</v>
      </c>
      <c r="H211" s="111">
        <f t="shared" si="6"/>
        <v>610</v>
      </c>
      <c r="I211" s="112">
        <v>544</v>
      </c>
      <c r="J211" s="110">
        <v>0</v>
      </c>
      <c r="K211" s="110">
        <v>1</v>
      </c>
      <c r="L211" s="81"/>
      <c r="M211" s="81">
        <f>'Praroop-20 hindi'!C214</f>
        <v>20</v>
      </c>
      <c r="N211" s="81">
        <v>2</v>
      </c>
      <c r="O211" s="81"/>
      <c r="P211" s="81">
        <f>'Praroop-20 hindi'!D214</f>
        <v>542</v>
      </c>
      <c r="Q211" s="81">
        <v>3</v>
      </c>
      <c r="R211" s="81"/>
      <c r="S211" s="81">
        <f>'Praroop-20 hindi'!E214</f>
        <v>41</v>
      </c>
      <c r="T211" s="81">
        <v>4</v>
      </c>
      <c r="U211" s="81"/>
      <c r="V211" s="81">
        <f>'Praroop-20 hindi'!F214</f>
        <v>0</v>
      </c>
      <c r="W211" s="81">
        <v>5</v>
      </c>
      <c r="X211" s="81"/>
      <c r="Y211" s="81">
        <f>'Praroop-20 hindi'!G214</f>
        <v>0</v>
      </c>
      <c r="Z211" s="81">
        <v>6</v>
      </c>
      <c r="AA211" s="81"/>
      <c r="AB211" s="81">
        <f>'Praroop-20 hindi'!H214</f>
        <v>0</v>
      </c>
      <c r="AC211" s="81">
        <v>7</v>
      </c>
      <c r="AD211" s="81"/>
      <c r="AE211" s="81">
        <f>'Praroop-20 hindi'!I214</f>
        <v>0</v>
      </c>
      <c r="AF211" s="81">
        <v>8</v>
      </c>
      <c r="AG211" s="81"/>
      <c r="AH211" s="81">
        <f>'Praroop-20 hindi'!J214</f>
        <v>0</v>
      </c>
      <c r="AI211" s="81">
        <v>9</v>
      </c>
      <c r="AJ211" s="81"/>
      <c r="AK211" s="81">
        <f>'Praroop-20 hindi'!K214</f>
        <v>2</v>
      </c>
      <c r="AL211" s="81">
        <v>10</v>
      </c>
      <c r="AM211" s="81"/>
      <c r="AN211" s="81">
        <f>'Praroop-20 hindi'!L214</f>
        <v>4</v>
      </c>
      <c r="AO211" s="81">
        <v>11</v>
      </c>
      <c r="AP211" s="81"/>
      <c r="AQ211" s="81">
        <f>'Praroop-20 hindi'!M214</f>
        <v>0</v>
      </c>
      <c r="AR211" s="81">
        <f t="shared" si="7"/>
        <v>609</v>
      </c>
    </row>
    <row r="212" spans="1:44" ht="25.5">
      <c r="A212" s="81">
        <v>64</v>
      </c>
      <c r="B212" s="41">
        <v>206</v>
      </c>
      <c r="C212" s="113" t="s">
        <v>331</v>
      </c>
      <c r="D212" s="117">
        <v>903</v>
      </c>
      <c r="E212" s="110">
        <v>363</v>
      </c>
      <c r="F212" s="110">
        <v>315</v>
      </c>
      <c r="G212" s="110">
        <v>0</v>
      </c>
      <c r="H212" s="111">
        <f t="shared" si="6"/>
        <v>678</v>
      </c>
      <c r="I212" s="112">
        <v>678</v>
      </c>
      <c r="J212" s="110">
        <v>0</v>
      </c>
      <c r="K212" s="110">
        <v>1</v>
      </c>
      <c r="L212" s="81"/>
      <c r="M212" s="81">
        <f>'Praroop-20 hindi'!C215</f>
        <v>46</v>
      </c>
      <c r="N212" s="81">
        <v>2</v>
      </c>
      <c r="O212" s="81"/>
      <c r="P212" s="81">
        <f>'Praroop-20 hindi'!D215</f>
        <v>608</v>
      </c>
      <c r="Q212" s="81">
        <v>3</v>
      </c>
      <c r="R212" s="81"/>
      <c r="S212" s="81">
        <f>'Praroop-20 hindi'!E215</f>
        <v>10</v>
      </c>
      <c r="T212" s="81">
        <v>4</v>
      </c>
      <c r="U212" s="81"/>
      <c r="V212" s="81">
        <f>'Praroop-20 hindi'!F215</f>
        <v>3</v>
      </c>
      <c r="W212" s="81">
        <v>5</v>
      </c>
      <c r="X212" s="81"/>
      <c r="Y212" s="81">
        <f>'Praroop-20 hindi'!G215</f>
        <v>0</v>
      </c>
      <c r="Z212" s="81">
        <v>6</v>
      </c>
      <c r="AA212" s="81"/>
      <c r="AB212" s="81">
        <f>'Praroop-20 hindi'!H215</f>
        <v>0</v>
      </c>
      <c r="AC212" s="81">
        <v>7</v>
      </c>
      <c r="AD212" s="81"/>
      <c r="AE212" s="81">
        <f>'Praroop-20 hindi'!I215</f>
        <v>0</v>
      </c>
      <c r="AF212" s="81">
        <v>8</v>
      </c>
      <c r="AG212" s="81"/>
      <c r="AH212" s="81">
        <f>'Praroop-20 hindi'!J215</f>
        <v>0</v>
      </c>
      <c r="AI212" s="81">
        <v>9</v>
      </c>
      <c r="AJ212" s="81"/>
      <c r="AK212" s="81">
        <f>'Praroop-20 hindi'!K215</f>
        <v>8</v>
      </c>
      <c r="AL212" s="81">
        <v>10</v>
      </c>
      <c r="AM212" s="81"/>
      <c r="AN212" s="81">
        <f>'Praroop-20 hindi'!L215</f>
        <v>0</v>
      </c>
      <c r="AO212" s="81">
        <v>11</v>
      </c>
      <c r="AP212" s="81"/>
      <c r="AQ212" s="81">
        <f>'Praroop-20 hindi'!M215</f>
        <v>1</v>
      </c>
      <c r="AR212" s="81">
        <f t="shared" si="7"/>
        <v>676</v>
      </c>
    </row>
    <row r="213" spans="1:44" ht="38.25">
      <c r="A213" s="81">
        <v>64</v>
      </c>
      <c r="B213" s="41">
        <v>207</v>
      </c>
      <c r="C213" s="113" t="s">
        <v>332</v>
      </c>
      <c r="D213" s="117">
        <v>846</v>
      </c>
      <c r="E213" s="110">
        <v>356</v>
      </c>
      <c r="F213" s="110">
        <v>290</v>
      </c>
      <c r="G213" s="110">
        <v>0</v>
      </c>
      <c r="H213" s="111">
        <f t="shared" si="6"/>
        <v>646</v>
      </c>
      <c r="I213" s="112">
        <v>631</v>
      </c>
      <c r="J213" s="110">
        <v>0</v>
      </c>
      <c r="K213" s="110">
        <v>1</v>
      </c>
      <c r="L213" s="81"/>
      <c r="M213" s="81">
        <f>'Praroop-20 hindi'!C216</f>
        <v>400</v>
      </c>
      <c r="N213" s="81">
        <v>2</v>
      </c>
      <c r="O213" s="81"/>
      <c r="P213" s="81">
        <f>'Praroop-20 hindi'!D216</f>
        <v>16</v>
      </c>
      <c r="Q213" s="81">
        <v>3</v>
      </c>
      <c r="R213" s="81"/>
      <c r="S213" s="81">
        <f>'Praroop-20 hindi'!E216</f>
        <v>215</v>
      </c>
      <c r="T213" s="81">
        <v>4</v>
      </c>
      <c r="U213" s="81"/>
      <c r="V213" s="81">
        <f>'Praroop-20 hindi'!F216</f>
        <v>1</v>
      </c>
      <c r="W213" s="81">
        <v>5</v>
      </c>
      <c r="X213" s="81"/>
      <c r="Y213" s="81">
        <f>'Praroop-20 hindi'!G216</f>
        <v>1</v>
      </c>
      <c r="Z213" s="81">
        <v>6</v>
      </c>
      <c r="AA213" s="81"/>
      <c r="AB213" s="81">
        <f>'Praroop-20 hindi'!H216</f>
        <v>0</v>
      </c>
      <c r="AC213" s="81">
        <v>7</v>
      </c>
      <c r="AD213" s="81"/>
      <c r="AE213" s="81">
        <f>'Praroop-20 hindi'!I216</f>
        <v>2</v>
      </c>
      <c r="AF213" s="81">
        <v>8</v>
      </c>
      <c r="AG213" s="81"/>
      <c r="AH213" s="81">
        <f>'Praroop-20 hindi'!J216</f>
        <v>1</v>
      </c>
      <c r="AI213" s="81">
        <v>9</v>
      </c>
      <c r="AJ213" s="81"/>
      <c r="AK213" s="81">
        <f>'Praroop-20 hindi'!K216</f>
        <v>1</v>
      </c>
      <c r="AL213" s="81">
        <v>10</v>
      </c>
      <c r="AM213" s="81"/>
      <c r="AN213" s="81">
        <f>'Praroop-20 hindi'!L216</f>
        <v>2</v>
      </c>
      <c r="AO213" s="81">
        <v>11</v>
      </c>
      <c r="AP213" s="81"/>
      <c r="AQ213" s="81">
        <f>'Praroop-20 hindi'!M216</f>
        <v>2</v>
      </c>
      <c r="AR213" s="81">
        <f t="shared" si="7"/>
        <v>641</v>
      </c>
    </row>
    <row r="214" spans="1:44">
      <c r="A214" s="81">
        <v>64</v>
      </c>
      <c r="B214" s="41">
        <v>208</v>
      </c>
      <c r="C214" s="113" t="s">
        <v>333</v>
      </c>
      <c r="D214" s="117">
        <v>1141</v>
      </c>
      <c r="E214" s="110">
        <v>452</v>
      </c>
      <c r="F214" s="110">
        <v>373</v>
      </c>
      <c r="G214" s="110">
        <v>0</v>
      </c>
      <c r="H214" s="111">
        <f t="shared" si="6"/>
        <v>825</v>
      </c>
      <c r="I214" s="112">
        <v>772</v>
      </c>
      <c r="J214" s="110">
        <v>0</v>
      </c>
      <c r="K214" s="110">
        <v>1</v>
      </c>
      <c r="L214" s="81"/>
      <c r="M214" s="81">
        <f>'Praroop-20 hindi'!C217</f>
        <v>274</v>
      </c>
      <c r="N214" s="81">
        <v>2</v>
      </c>
      <c r="O214" s="81"/>
      <c r="P214" s="81">
        <f>'Praroop-20 hindi'!D217</f>
        <v>47</v>
      </c>
      <c r="Q214" s="81">
        <v>3</v>
      </c>
      <c r="R214" s="81"/>
      <c r="S214" s="81">
        <f>'Praroop-20 hindi'!E217</f>
        <v>463</v>
      </c>
      <c r="T214" s="81">
        <v>4</v>
      </c>
      <c r="U214" s="81"/>
      <c r="V214" s="81">
        <f>'Praroop-20 hindi'!F217</f>
        <v>3</v>
      </c>
      <c r="W214" s="81">
        <v>5</v>
      </c>
      <c r="X214" s="81"/>
      <c r="Y214" s="81">
        <f>'Praroop-20 hindi'!G217</f>
        <v>27</v>
      </c>
      <c r="Z214" s="81">
        <v>6</v>
      </c>
      <c r="AA214" s="81"/>
      <c r="AB214" s="81">
        <f>'Praroop-20 hindi'!H217</f>
        <v>1</v>
      </c>
      <c r="AC214" s="81">
        <v>7</v>
      </c>
      <c r="AD214" s="81"/>
      <c r="AE214" s="81">
        <f>'Praroop-20 hindi'!I217</f>
        <v>2</v>
      </c>
      <c r="AF214" s="81">
        <v>8</v>
      </c>
      <c r="AG214" s="81"/>
      <c r="AH214" s="81">
        <f>'Praroop-20 hindi'!J217</f>
        <v>0</v>
      </c>
      <c r="AI214" s="81">
        <v>9</v>
      </c>
      <c r="AJ214" s="81"/>
      <c r="AK214" s="81">
        <f>'Praroop-20 hindi'!K217</f>
        <v>1</v>
      </c>
      <c r="AL214" s="81">
        <v>10</v>
      </c>
      <c r="AM214" s="81"/>
      <c r="AN214" s="81">
        <f>'Praroop-20 hindi'!L217</f>
        <v>4</v>
      </c>
      <c r="AO214" s="81">
        <v>11</v>
      </c>
      <c r="AP214" s="81"/>
      <c r="AQ214" s="81">
        <f>'Praroop-20 hindi'!M217</f>
        <v>0</v>
      </c>
      <c r="AR214" s="81">
        <f t="shared" si="7"/>
        <v>822</v>
      </c>
    </row>
    <row r="215" spans="1:44" ht="25.5">
      <c r="A215" s="81">
        <v>64</v>
      </c>
      <c r="B215" s="41">
        <v>209</v>
      </c>
      <c r="C215" s="113" t="s">
        <v>334</v>
      </c>
      <c r="D215" s="117">
        <v>389</v>
      </c>
      <c r="E215" s="110">
        <v>170</v>
      </c>
      <c r="F215" s="110">
        <v>139</v>
      </c>
      <c r="G215" s="110">
        <v>0</v>
      </c>
      <c r="H215" s="111">
        <f t="shared" si="6"/>
        <v>309</v>
      </c>
      <c r="I215" s="112">
        <v>300</v>
      </c>
      <c r="J215" s="110">
        <v>0</v>
      </c>
      <c r="K215" s="110">
        <v>1</v>
      </c>
      <c r="L215" s="81"/>
      <c r="M215" s="81">
        <f>'Praroop-20 hindi'!C218</f>
        <v>49</v>
      </c>
      <c r="N215" s="81">
        <v>2</v>
      </c>
      <c r="O215" s="81"/>
      <c r="P215" s="81">
        <f>'Praroop-20 hindi'!D218</f>
        <v>13</v>
      </c>
      <c r="Q215" s="81">
        <v>3</v>
      </c>
      <c r="R215" s="81"/>
      <c r="S215" s="81">
        <f>'Praroop-20 hindi'!E218</f>
        <v>232</v>
      </c>
      <c r="T215" s="81">
        <v>4</v>
      </c>
      <c r="U215" s="81"/>
      <c r="V215" s="81">
        <f>'Praroop-20 hindi'!F218</f>
        <v>4</v>
      </c>
      <c r="W215" s="81">
        <v>5</v>
      </c>
      <c r="X215" s="81"/>
      <c r="Y215" s="81">
        <f>'Praroop-20 hindi'!G218</f>
        <v>1</v>
      </c>
      <c r="Z215" s="81">
        <v>6</v>
      </c>
      <c r="AA215" s="81"/>
      <c r="AB215" s="81">
        <f>'Praroop-20 hindi'!H218</f>
        <v>0</v>
      </c>
      <c r="AC215" s="81">
        <v>7</v>
      </c>
      <c r="AD215" s="81"/>
      <c r="AE215" s="81">
        <f>'Praroop-20 hindi'!I218</f>
        <v>0</v>
      </c>
      <c r="AF215" s="81">
        <v>8</v>
      </c>
      <c r="AG215" s="81"/>
      <c r="AH215" s="81">
        <f>'Praroop-20 hindi'!J218</f>
        <v>0</v>
      </c>
      <c r="AI215" s="81">
        <v>9</v>
      </c>
      <c r="AJ215" s="81"/>
      <c r="AK215" s="81">
        <f>'Praroop-20 hindi'!K218</f>
        <v>1</v>
      </c>
      <c r="AL215" s="81">
        <v>10</v>
      </c>
      <c r="AM215" s="81"/>
      <c r="AN215" s="81">
        <f>'Praroop-20 hindi'!L218</f>
        <v>5</v>
      </c>
      <c r="AO215" s="81">
        <v>11</v>
      </c>
      <c r="AP215" s="81"/>
      <c r="AQ215" s="81">
        <f>'Praroop-20 hindi'!M218</f>
        <v>0</v>
      </c>
      <c r="AR215" s="81">
        <f t="shared" si="7"/>
        <v>305</v>
      </c>
    </row>
    <row r="216" spans="1:44" ht="25.5">
      <c r="A216" s="81">
        <v>64</v>
      </c>
      <c r="B216" s="41">
        <v>210</v>
      </c>
      <c r="C216" s="113" t="s">
        <v>335</v>
      </c>
      <c r="D216" s="117">
        <v>707</v>
      </c>
      <c r="E216" s="110">
        <v>257</v>
      </c>
      <c r="F216" s="110">
        <v>206</v>
      </c>
      <c r="G216" s="110">
        <v>0</v>
      </c>
      <c r="H216" s="111">
        <f t="shared" si="6"/>
        <v>463</v>
      </c>
      <c r="I216" s="112">
        <v>399</v>
      </c>
      <c r="J216" s="110">
        <v>0</v>
      </c>
      <c r="K216" s="110">
        <v>1</v>
      </c>
      <c r="L216" s="81"/>
      <c r="M216" s="81">
        <f>'Praroop-20 hindi'!C219</f>
        <v>74</v>
      </c>
      <c r="N216" s="81">
        <v>2</v>
      </c>
      <c r="O216" s="81"/>
      <c r="P216" s="81">
        <f>'Praroop-20 hindi'!D219</f>
        <v>83</v>
      </c>
      <c r="Q216" s="81">
        <v>3</v>
      </c>
      <c r="R216" s="81"/>
      <c r="S216" s="81">
        <f>'Praroop-20 hindi'!E219</f>
        <v>287</v>
      </c>
      <c r="T216" s="81">
        <v>4</v>
      </c>
      <c r="U216" s="81"/>
      <c r="V216" s="81">
        <f>'Praroop-20 hindi'!F219</f>
        <v>3</v>
      </c>
      <c r="W216" s="81">
        <v>5</v>
      </c>
      <c r="X216" s="81"/>
      <c r="Y216" s="81">
        <f>'Praroop-20 hindi'!G219</f>
        <v>7</v>
      </c>
      <c r="Z216" s="81">
        <v>6</v>
      </c>
      <c r="AA216" s="81"/>
      <c r="AB216" s="81">
        <f>'Praroop-20 hindi'!H219</f>
        <v>0</v>
      </c>
      <c r="AC216" s="81">
        <v>7</v>
      </c>
      <c r="AD216" s="81"/>
      <c r="AE216" s="81">
        <f>'Praroop-20 hindi'!I219</f>
        <v>1</v>
      </c>
      <c r="AF216" s="81">
        <v>8</v>
      </c>
      <c r="AG216" s="81"/>
      <c r="AH216" s="81">
        <f>'Praroop-20 hindi'!J219</f>
        <v>1</v>
      </c>
      <c r="AI216" s="81">
        <v>9</v>
      </c>
      <c r="AJ216" s="81"/>
      <c r="AK216" s="81">
        <f>'Praroop-20 hindi'!K219</f>
        <v>0</v>
      </c>
      <c r="AL216" s="81">
        <v>10</v>
      </c>
      <c r="AM216" s="81"/>
      <c r="AN216" s="81">
        <f>'Praroop-20 hindi'!L219</f>
        <v>6</v>
      </c>
      <c r="AO216" s="81">
        <v>11</v>
      </c>
      <c r="AP216" s="81"/>
      <c r="AQ216" s="81">
        <f>'Praroop-20 hindi'!M219</f>
        <v>1</v>
      </c>
      <c r="AR216" s="81">
        <f t="shared" si="7"/>
        <v>463</v>
      </c>
    </row>
    <row r="217" spans="1:44" ht="25.5">
      <c r="A217" s="81">
        <v>64</v>
      </c>
      <c r="B217" s="41">
        <v>211</v>
      </c>
      <c r="C217" s="113" t="s">
        <v>336</v>
      </c>
      <c r="D217" s="117">
        <v>797</v>
      </c>
      <c r="E217" s="110">
        <v>348</v>
      </c>
      <c r="F217" s="110">
        <v>283</v>
      </c>
      <c r="G217" s="110">
        <v>0</v>
      </c>
      <c r="H217" s="111">
        <f t="shared" si="6"/>
        <v>631</v>
      </c>
      <c r="I217" s="112">
        <v>545</v>
      </c>
      <c r="J217" s="110">
        <v>0</v>
      </c>
      <c r="K217" s="110">
        <v>1</v>
      </c>
      <c r="L217" s="81"/>
      <c r="M217" s="81">
        <f>'Praroop-20 hindi'!C220</f>
        <v>237</v>
      </c>
      <c r="N217" s="81">
        <v>2</v>
      </c>
      <c r="O217" s="81"/>
      <c r="P217" s="81">
        <f>'Praroop-20 hindi'!D220</f>
        <v>54</v>
      </c>
      <c r="Q217" s="81">
        <v>3</v>
      </c>
      <c r="R217" s="81"/>
      <c r="S217" s="81">
        <f>'Praroop-20 hindi'!E220</f>
        <v>305</v>
      </c>
      <c r="T217" s="81">
        <v>4</v>
      </c>
      <c r="U217" s="81"/>
      <c r="V217" s="81">
        <f>'Praroop-20 hindi'!F220</f>
        <v>2</v>
      </c>
      <c r="W217" s="81">
        <v>5</v>
      </c>
      <c r="X217" s="81"/>
      <c r="Y217" s="81">
        <f>'Praroop-20 hindi'!G220</f>
        <v>13</v>
      </c>
      <c r="Z217" s="81">
        <v>6</v>
      </c>
      <c r="AA217" s="81"/>
      <c r="AB217" s="81">
        <f>'Praroop-20 hindi'!H220</f>
        <v>0</v>
      </c>
      <c r="AC217" s="81">
        <v>7</v>
      </c>
      <c r="AD217" s="81"/>
      <c r="AE217" s="81">
        <f>'Praroop-20 hindi'!I220</f>
        <v>3</v>
      </c>
      <c r="AF217" s="81">
        <v>8</v>
      </c>
      <c r="AG217" s="81"/>
      <c r="AH217" s="81">
        <f>'Praroop-20 hindi'!J220</f>
        <v>2</v>
      </c>
      <c r="AI217" s="81">
        <v>9</v>
      </c>
      <c r="AJ217" s="81"/>
      <c r="AK217" s="81">
        <f>'Praroop-20 hindi'!K220</f>
        <v>1</v>
      </c>
      <c r="AL217" s="81">
        <v>10</v>
      </c>
      <c r="AM217" s="81"/>
      <c r="AN217" s="81">
        <f>'Praroop-20 hindi'!L220</f>
        <v>5</v>
      </c>
      <c r="AO217" s="81">
        <v>11</v>
      </c>
      <c r="AP217" s="81"/>
      <c r="AQ217" s="81">
        <f>'Praroop-20 hindi'!M220</f>
        <v>3</v>
      </c>
      <c r="AR217" s="81">
        <f t="shared" si="7"/>
        <v>625</v>
      </c>
    </row>
    <row r="218" spans="1:44" ht="25.5">
      <c r="A218" s="81">
        <v>64</v>
      </c>
      <c r="B218" s="41">
        <v>212</v>
      </c>
      <c r="C218" s="113" t="s">
        <v>337</v>
      </c>
      <c r="D218" s="117">
        <v>765</v>
      </c>
      <c r="E218" s="110">
        <v>311</v>
      </c>
      <c r="F218" s="110">
        <v>238</v>
      </c>
      <c r="G218" s="110">
        <v>0</v>
      </c>
      <c r="H218" s="111">
        <f t="shared" si="6"/>
        <v>549</v>
      </c>
      <c r="I218" s="112">
        <v>500</v>
      </c>
      <c r="J218" s="110">
        <v>0</v>
      </c>
      <c r="K218" s="110">
        <v>1</v>
      </c>
      <c r="L218" s="81"/>
      <c r="M218" s="81">
        <f>'Praroop-20 hindi'!C221</f>
        <v>155</v>
      </c>
      <c r="N218" s="81">
        <v>2</v>
      </c>
      <c r="O218" s="81"/>
      <c r="P218" s="81">
        <f>'Praroop-20 hindi'!D221</f>
        <v>114</v>
      </c>
      <c r="Q218" s="81">
        <v>3</v>
      </c>
      <c r="R218" s="81"/>
      <c r="S218" s="81">
        <f>'Praroop-20 hindi'!E221</f>
        <v>249</v>
      </c>
      <c r="T218" s="81">
        <v>4</v>
      </c>
      <c r="U218" s="81"/>
      <c r="V218" s="81">
        <f>'Praroop-20 hindi'!F221</f>
        <v>8</v>
      </c>
      <c r="W218" s="81">
        <v>5</v>
      </c>
      <c r="X218" s="81"/>
      <c r="Y218" s="81">
        <f>'Praroop-20 hindi'!G221</f>
        <v>8</v>
      </c>
      <c r="Z218" s="81">
        <v>6</v>
      </c>
      <c r="AA218" s="81"/>
      <c r="AB218" s="81">
        <f>'Praroop-20 hindi'!H221</f>
        <v>0</v>
      </c>
      <c r="AC218" s="81">
        <v>7</v>
      </c>
      <c r="AD218" s="81"/>
      <c r="AE218" s="81">
        <f>'Praroop-20 hindi'!I221</f>
        <v>4</v>
      </c>
      <c r="AF218" s="81">
        <v>8</v>
      </c>
      <c r="AG218" s="81"/>
      <c r="AH218" s="81">
        <f>'Praroop-20 hindi'!J221</f>
        <v>0</v>
      </c>
      <c r="AI218" s="81">
        <v>9</v>
      </c>
      <c r="AJ218" s="81"/>
      <c r="AK218" s="81">
        <f>'Praroop-20 hindi'!K221</f>
        <v>1</v>
      </c>
      <c r="AL218" s="81">
        <v>10</v>
      </c>
      <c r="AM218" s="81"/>
      <c r="AN218" s="81">
        <f>'Praroop-20 hindi'!L221</f>
        <v>4</v>
      </c>
      <c r="AO218" s="81">
        <v>11</v>
      </c>
      <c r="AP218" s="81"/>
      <c r="AQ218" s="81">
        <f>'Praroop-20 hindi'!M221</f>
        <v>3</v>
      </c>
      <c r="AR218" s="81">
        <f t="shared" si="7"/>
        <v>546</v>
      </c>
    </row>
    <row r="219" spans="1:44" ht="25.5">
      <c r="A219" s="81">
        <v>64</v>
      </c>
      <c r="B219" s="41">
        <v>213</v>
      </c>
      <c r="C219" s="113" t="s">
        <v>338</v>
      </c>
      <c r="D219" s="117">
        <v>591</v>
      </c>
      <c r="E219" s="110">
        <v>270</v>
      </c>
      <c r="F219" s="110">
        <v>202</v>
      </c>
      <c r="G219" s="110">
        <v>0</v>
      </c>
      <c r="H219" s="111">
        <f t="shared" si="6"/>
        <v>472</v>
      </c>
      <c r="I219" s="112">
        <v>422</v>
      </c>
      <c r="J219" s="110">
        <v>0</v>
      </c>
      <c r="K219" s="110">
        <v>1</v>
      </c>
      <c r="L219" s="81"/>
      <c r="M219" s="81">
        <f>'Praroop-20 hindi'!C222</f>
        <v>266</v>
      </c>
      <c r="N219" s="81">
        <v>2</v>
      </c>
      <c r="O219" s="81"/>
      <c r="P219" s="81">
        <f>'Praroop-20 hindi'!D222</f>
        <v>13</v>
      </c>
      <c r="Q219" s="81">
        <v>3</v>
      </c>
      <c r="R219" s="81"/>
      <c r="S219" s="81">
        <f>'Praroop-20 hindi'!E222</f>
        <v>92</v>
      </c>
      <c r="T219" s="81">
        <v>4</v>
      </c>
      <c r="U219" s="81"/>
      <c r="V219" s="81">
        <f>'Praroop-20 hindi'!F222</f>
        <v>0</v>
      </c>
      <c r="W219" s="81">
        <v>5</v>
      </c>
      <c r="X219" s="81"/>
      <c r="Y219" s="81">
        <f>'Praroop-20 hindi'!G222</f>
        <v>91</v>
      </c>
      <c r="Z219" s="81">
        <v>6</v>
      </c>
      <c r="AA219" s="81"/>
      <c r="AB219" s="81">
        <f>'Praroop-20 hindi'!H222</f>
        <v>1</v>
      </c>
      <c r="AC219" s="81">
        <v>7</v>
      </c>
      <c r="AD219" s="81"/>
      <c r="AE219" s="81">
        <f>'Praroop-20 hindi'!I222</f>
        <v>0</v>
      </c>
      <c r="AF219" s="81">
        <v>8</v>
      </c>
      <c r="AG219" s="81"/>
      <c r="AH219" s="81">
        <f>'Praroop-20 hindi'!J222</f>
        <v>6</v>
      </c>
      <c r="AI219" s="81">
        <v>9</v>
      </c>
      <c r="AJ219" s="81"/>
      <c r="AK219" s="81">
        <f>'Praroop-20 hindi'!K222</f>
        <v>2</v>
      </c>
      <c r="AL219" s="81">
        <v>10</v>
      </c>
      <c r="AM219" s="81"/>
      <c r="AN219" s="81">
        <f>'Praroop-20 hindi'!L222</f>
        <v>0</v>
      </c>
      <c r="AO219" s="81">
        <v>11</v>
      </c>
      <c r="AP219" s="81"/>
      <c r="AQ219" s="81">
        <f>'Praroop-20 hindi'!M222</f>
        <v>0</v>
      </c>
      <c r="AR219" s="81">
        <f t="shared" si="7"/>
        <v>471</v>
      </c>
    </row>
    <row r="220" spans="1:44" ht="25.5">
      <c r="A220" s="81">
        <v>64</v>
      </c>
      <c r="B220" s="41">
        <v>214</v>
      </c>
      <c r="C220" s="113" t="s">
        <v>339</v>
      </c>
      <c r="D220" s="117">
        <v>568</v>
      </c>
      <c r="E220" s="110">
        <v>257</v>
      </c>
      <c r="F220" s="110">
        <v>219</v>
      </c>
      <c r="G220" s="110">
        <v>0</v>
      </c>
      <c r="H220" s="111">
        <f t="shared" si="6"/>
        <v>476</v>
      </c>
      <c r="I220" s="112">
        <v>470</v>
      </c>
      <c r="J220" s="110">
        <v>0</v>
      </c>
      <c r="K220" s="110">
        <v>1</v>
      </c>
      <c r="L220" s="81"/>
      <c r="M220" s="81">
        <f>'Praroop-20 hindi'!C223</f>
        <v>354</v>
      </c>
      <c r="N220" s="81">
        <v>2</v>
      </c>
      <c r="O220" s="81"/>
      <c r="P220" s="81">
        <f>'Praroop-20 hindi'!D223</f>
        <v>10</v>
      </c>
      <c r="Q220" s="81">
        <v>3</v>
      </c>
      <c r="R220" s="81"/>
      <c r="S220" s="81">
        <f>'Praroop-20 hindi'!E223</f>
        <v>60</v>
      </c>
      <c r="T220" s="81">
        <v>4</v>
      </c>
      <c r="U220" s="81"/>
      <c r="V220" s="81">
        <f>'Praroop-20 hindi'!F223</f>
        <v>0</v>
      </c>
      <c r="W220" s="81">
        <v>5</v>
      </c>
      <c r="X220" s="81"/>
      <c r="Y220" s="81">
        <f>'Praroop-20 hindi'!G223</f>
        <v>48</v>
      </c>
      <c r="Z220" s="81">
        <v>6</v>
      </c>
      <c r="AA220" s="81"/>
      <c r="AB220" s="81">
        <f>'Praroop-20 hindi'!H223</f>
        <v>0</v>
      </c>
      <c r="AC220" s="81">
        <v>7</v>
      </c>
      <c r="AD220" s="81"/>
      <c r="AE220" s="81">
        <f>'Praroop-20 hindi'!I223</f>
        <v>0</v>
      </c>
      <c r="AF220" s="81">
        <v>8</v>
      </c>
      <c r="AG220" s="81"/>
      <c r="AH220" s="81">
        <f>'Praroop-20 hindi'!J223</f>
        <v>2</v>
      </c>
      <c r="AI220" s="81">
        <v>9</v>
      </c>
      <c r="AJ220" s="81"/>
      <c r="AK220" s="81">
        <f>'Praroop-20 hindi'!K223</f>
        <v>0</v>
      </c>
      <c r="AL220" s="81">
        <v>10</v>
      </c>
      <c r="AM220" s="81"/>
      <c r="AN220" s="81">
        <f>'Praroop-20 hindi'!L223</f>
        <v>0</v>
      </c>
      <c r="AO220" s="81">
        <v>11</v>
      </c>
      <c r="AP220" s="81"/>
      <c r="AQ220" s="81">
        <f>'Praroop-20 hindi'!M223</f>
        <v>0</v>
      </c>
      <c r="AR220" s="81">
        <f t="shared" si="7"/>
        <v>474</v>
      </c>
    </row>
    <row r="221" spans="1:44" ht="38.25">
      <c r="A221" s="81">
        <v>64</v>
      </c>
      <c r="B221" s="41">
        <v>215</v>
      </c>
      <c r="C221" s="113" t="s">
        <v>340</v>
      </c>
      <c r="D221" s="117">
        <v>973</v>
      </c>
      <c r="E221" s="110">
        <v>382</v>
      </c>
      <c r="F221" s="110">
        <v>340</v>
      </c>
      <c r="G221" s="110">
        <v>0</v>
      </c>
      <c r="H221" s="111">
        <f t="shared" si="6"/>
        <v>722</v>
      </c>
      <c r="I221" s="112">
        <v>681</v>
      </c>
      <c r="J221" s="110">
        <v>0</v>
      </c>
      <c r="K221" s="110">
        <v>1</v>
      </c>
      <c r="L221" s="81"/>
      <c r="M221" s="81">
        <f>'Praroop-20 hindi'!C224</f>
        <v>386</v>
      </c>
      <c r="N221" s="81">
        <v>2</v>
      </c>
      <c r="O221" s="81"/>
      <c r="P221" s="81">
        <f>'Praroop-20 hindi'!D224</f>
        <v>37</v>
      </c>
      <c r="Q221" s="81">
        <v>3</v>
      </c>
      <c r="R221" s="81"/>
      <c r="S221" s="81">
        <f>'Praroop-20 hindi'!E224</f>
        <v>268</v>
      </c>
      <c r="T221" s="81">
        <v>4</v>
      </c>
      <c r="U221" s="81"/>
      <c r="V221" s="81">
        <f>'Praroop-20 hindi'!F224</f>
        <v>5</v>
      </c>
      <c r="W221" s="81">
        <v>5</v>
      </c>
      <c r="X221" s="81"/>
      <c r="Y221" s="81">
        <f>'Praroop-20 hindi'!G224</f>
        <v>6</v>
      </c>
      <c r="Z221" s="81">
        <v>6</v>
      </c>
      <c r="AA221" s="81"/>
      <c r="AB221" s="81">
        <f>'Praroop-20 hindi'!H224</f>
        <v>1</v>
      </c>
      <c r="AC221" s="81">
        <v>7</v>
      </c>
      <c r="AD221" s="81"/>
      <c r="AE221" s="81">
        <f>'Praroop-20 hindi'!I224</f>
        <v>3</v>
      </c>
      <c r="AF221" s="81">
        <v>8</v>
      </c>
      <c r="AG221" s="81"/>
      <c r="AH221" s="81">
        <f>'Praroop-20 hindi'!J224</f>
        <v>2</v>
      </c>
      <c r="AI221" s="81">
        <v>9</v>
      </c>
      <c r="AJ221" s="81"/>
      <c r="AK221" s="81">
        <f>'Praroop-20 hindi'!K224</f>
        <v>2</v>
      </c>
      <c r="AL221" s="81">
        <v>10</v>
      </c>
      <c r="AM221" s="81"/>
      <c r="AN221" s="81">
        <f>'Praroop-20 hindi'!L224</f>
        <v>2</v>
      </c>
      <c r="AO221" s="81">
        <v>11</v>
      </c>
      <c r="AP221" s="81"/>
      <c r="AQ221" s="81">
        <f>'Praroop-20 hindi'!M224</f>
        <v>2</v>
      </c>
      <c r="AR221" s="81">
        <f t="shared" si="7"/>
        <v>714</v>
      </c>
    </row>
    <row r="222" spans="1:44" ht="38.25">
      <c r="A222" s="81">
        <v>64</v>
      </c>
      <c r="B222" s="41">
        <v>216</v>
      </c>
      <c r="C222" s="113" t="s">
        <v>341</v>
      </c>
      <c r="D222" s="117">
        <v>874</v>
      </c>
      <c r="E222" s="110">
        <v>392</v>
      </c>
      <c r="F222" s="110">
        <v>331</v>
      </c>
      <c r="G222" s="110">
        <v>0</v>
      </c>
      <c r="H222" s="111">
        <f t="shared" si="6"/>
        <v>723</v>
      </c>
      <c r="I222" s="112">
        <v>698</v>
      </c>
      <c r="J222" s="110">
        <v>0</v>
      </c>
      <c r="K222" s="110">
        <v>1</v>
      </c>
      <c r="L222" s="81"/>
      <c r="M222" s="81">
        <f>'Praroop-20 hindi'!C225</f>
        <v>228</v>
      </c>
      <c r="N222" s="81">
        <v>2</v>
      </c>
      <c r="O222" s="81"/>
      <c r="P222" s="81">
        <f>'Praroop-20 hindi'!D225</f>
        <v>16</v>
      </c>
      <c r="Q222" s="81">
        <v>3</v>
      </c>
      <c r="R222" s="81"/>
      <c r="S222" s="81">
        <f>'Praroop-20 hindi'!E225</f>
        <v>460</v>
      </c>
      <c r="T222" s="81">
        <v>4</v>
      </c>
      <c r="U222" s="81"/>
      <c r="V222" s="81">
        <f>'Praroop-20 hindi'!F225</f>
        <v>6</v>
      </c>
      <c r="W222" s="81">
        <v>5</v>
      </c>
      <c r="X222" s="81"/>
      <c r="Y222" s="81">
        <f>'Praroop-20 hindi'!G225</f>
        <v>2</v>
      </c>
      <c r="Z222" s="81">
        <v>6</v>
      </c>
      <c r="AA222" s="81"/>
      <c r="AB222" s="81">
        <f>'Praroop-20 hindi'!H225</f>
        <v>0</v>
      </c>
      <c r="AC222" s="81">
        <v>7</v>
      </c>
      <c r="AD222" s="81"/>
      <c r="AE222" s="81">
        <f>'Praroop-20 hindi'!I225</f>
        <v>1</v>
      </c>
      <c r="AF222" s="81">
        <v>8</v>
      </c>
      <c r="AG222" s="81"/>
      <c r="AH222" s="81">
        <f>'Praroop-20 hindi'!J225</f>
        <v>1</v>
      </c>
      <c r="AI222" s="81">
        <v>9</v>
      </c>
      <c r="AJ222" s="81"/>
      <c r="AK222" s="81">
        <f>'Praroop-20 hindi'!K225</f>
        <v>0</v>
      </c>
      <c r="AL222" s="81">
        <v>10</v>
      </c>
      <c r="AM222" s="81"/>
      <c r="AN222" s="81">
        <f>'Praroop-20 hindi'!L225</f>
        <v>3</v>
      </c>
      <c r="AO222" s="81">
        <v>11</v>
      </c>
      <c r="AP222" s="81"/>
      <c r="AQ222" s="81">
        <f>'Praroop-20 hindi'!M225</f>
        <v>0</v>
      </c>
      <c r="AR222" s="81">
        <f t="shared" si="7"/>
        <v>717</v>
      </c>
    </row>
    <row r="223" spans="1:44" ht="25.5">
      <c r="A223" s="81">
        <v>64</v>
      </c>
      <c r="B223" s="41">
        <v>217</v>
      </c>
      <c r="C223" s="113" t="s">
        <v>342</v>
      </c>
      <c r="D223" s="117">
        <v>689</v>
      </c>
      <c r="E223" s="110">
        <v>292</v>
      </c>
      <c r="F223" s="110">
        <v>257</v>
      </c>
      <c r="G223" s="110">
        <v>0</v>
      </c>
      <c r="H223" s="111">
        <f t="shared" si="6"/>
        <v>549</v>
      </c>
      <c r="I223" s="112">
        <v>523</v>
      </c>
      <c r="J223" s="110">
        <v>0</v>
      </c>
      <c r="K223" s="110">
        <v>1</v>
      </c>
      <c r="L223" s="81"/>
      <c r="M223" s="81">
        <f>'Praroop-20 hindi'!C226</f>
        <v>90</v>
      </c>
      <c r="N223" s="81">
        <v>2</v>
      </c>
      <c r="O223" s="81"/>
      <c r="P223" s="81">
        <f>'Praroop-20 hindi'!D226</f>
        <v>267</v>
      </c>
      <c r="Q223" s="81">
        <v>3</v>
      </c>
      <c r="R223" s="81"/>
      <c r="S223" s="81">
        <f>'Praroop-20 hindi'!E226</f>
        <v>178</v>
      </c>
      <c r="T223" s="81">
        <v>4</v>
      </c>
      <c r="U223" s="81"/>
      <c r="V223" s="81">
        <f>'Praroop-20 hindi'!F226</f>
        <v>2</v>
      </c>
      <c r="W223" s="81">
        <v>5</v>
      </c>
      <c r="X223" s="81"/>
      <c r="Y223" s="81">
        <f>'Praroop-20 hindi'!G226</f>
        <v>1</v>
      </c>
      <c r="Z223" s="81">
        <v>6</v>
      </c>
      <c r="AA223" s="81"/>
      <c r="AB223" s="81">
        <f>'Praroop-20 hindi'!H226</f>
        <v>0</v>
      </c>
      <c r="AC223" s="81">
        <v>7</v>
      </c>
      <c r="AD223" s="81"/>
      <c r="AE223" s="81">
        <f>'Praroop-20 hindi'!I226</f>
        <v>0</v>
      </c>
      <c r="AF223" s="81">
        <v>8</v>
      </c>
      <c r="AG223" s="81"/>
      <c r="AH223" s="81">
        <f>'Praroop-20 hindi'!J226</f>
        <v>1</v>
      </c>
      <c r="AI223" s="81">
        <v>9</v>
      </c>
      <c r="AJ223" s="81"/>
      <c r="AK223" s="81">
        <f>'Praroop-20 hindi'!K226</f>
        <v>7</v>
      </c>
      <c r="AL223" s="81">
        <v>10</v>
      </c>
      <c r="AM223" s="81"/>
      <c r="AN223" s="81">
        <f>'Praroop-20 hindi'!L226</f>
        <v>1</v>
      </c>
      <c r="AO223" s="81">
        <v>11</v>
      </c>
      <c r="AP223" s="81"/>
      <c r="AQ223" s="81">
        <f>'Praroop-20 hindi'!M226</f>
        <v>2</v>
      </c>
      <c r="AR223" s="81">
        <f t="shared" si="7"/>
        <v>549</v>
      </c>
    </row>
    <row r="224" spans="1:44" ht="25.5">
      <c r="A224" s="81">
        <v>64</v>
      </c>
      <c r="B224" s="41">
        <v>218</v>
      </c>
      <c r="C224" s="113" t="s">
        <v>343</v>
      </c>
      <c r="D224" s="117">
        <v>633</v>
      </c>
      <c r="E224" s="110">
        <v>275</v>
      </c>
      <c r="F224" s="110">
        <v>251</v>
      </c>
      <c r="G224" s="110">
        <v>0</v>
      </c>
      <c r="H224" s="111">
        <f t="shared" si="6"/>
        <v>526</v>
      </c>
      <c r="I224" s="112">
        <v>477</v>
      </c>
      <c r="J224" s="110">
        <v>0</v>
      </c>
      <c r="K224" s="110">
        <v>1</v>
      </c>
      <c r="L224" s="81"/>
      <c r="M224" s="81">
        <f>'Praroop-20 hindi'!C227</f>
        <v>250</v>
      </c>
      <c r="N224" s="81">
        <v>2</v>
      </c>
      <c r="O224" s="81"/>
      <c r="P224" s="81">
        <f>'Praroop-20 hindi'!D227</f>
        <v>28</v>
      </c>
      <c r="Q224" s="81">
        <v>3</v>
      </c>
      <c r="R224" s="81"/>
      <c r="S224" s="81">
        <f>'Praroop-20 hindi'!E227</f>
        <v>228</v>
      </c>
      <c r="T224" s="81">
        <v>4</v>
      </c>
      <c r="U224" s="81"/>
      <c r="V224" s="81">
        <f>'Praroop-20 hindi'!F227</f>
        <v>8</v>
      </c>
      <c r="W224" s="81">
        <v>5</v>
      </c>
      <c r="X224" s="81"/>
      <c r="Y224" s="81">
        <f>'Praroop-20 hindi'!G227</f>
        <v>5</v>
      </c>
      <c r="Z224" s="81">
        <v>6</v>
      </c>
      <c r="AA224" s="81"/>
      <c r="AB224" s="81">
        <f>'Praroop-20 hindi'!H227</f>
        <v>0</v>
      </c>
      <c r="AC224" s="81">
        <v>7</v>
      </c>
      <c r="AD224" s="81"/>
      <c r="AE224" s="81">
        <f>'Praroop-20 hindi'!I227</f>
        <v>0</v>
      </c>
      <c r="AF224" s="81">
        <v>8</v>
      </c>
      <c r="AG224" s="81"/>
      <c r="AH224" s="81">
        <f>'Praroop-20 hindi'!J227</f>
        <v>2</v>
      </c>
      <c r="AI224" s="81">
        <v>9</v>
      </c>
      <c r="AJ224" s="81"/>
      <c r="AK224" s="81">
        <f>'Praroop-20 hindi'!K227</f>
        <v>1</v>
      </c>
      <c r="AL224" s="81">
        <v>10</v>
      </c>
      <c r="AM224" s="81"/>
      <c r="AN224" s="81">
        <f>'Praroop-20 hindi'!L227</f>
        <v>3</v>
      </c>
      <c r="AO224" s="81">
        <v>11</v>
      </c>
      <c r="AP224" s="81"/>
      <c r="AQ224" s="81">
        <f>'Praroop-20 hindi'!M227</f>
        <v>1</v>
      </c>
      <c r="AR224" s="81">
        <f t="shared" si="7"/>
        <v>526</v>
      </c>
    </row>
    <row r="225" spans="1:44" ht="38.25">
      <c r="A225" s="81">
        <v>64</v>
      </c>
      <c r="B225" s="41">
        <v>219</v>
      </c>
      <c r="C225" s="113" t="s">
        <v>344</v>
      </c>
      <c r="D225" s="117">
        <v>891</v>
      </c>
      <c r="E225" s="110">
        <v>385</v>
      </c>
      <c r="F225" s="110">
        <v>334</v>
      </c>
      <c r="G225" s="110">
        <v>0</v>
      </c>
      <c r="H225" s="111">
        <f t="shared" si="6"/>
        <v>719</v>
      </c>
      <c r="I225" s="112">
        <v>666</v>
      </c>
      <c r="J225" s="110">
        <v>0</v>
      </c>
      <c r="K225" s="110">
        <v>1</v>
      </c>
      <c r="L225" s="81"/>
      <c r="M225" s="81">
        <f>'Praroop-20 hindi'!C228</f>
        <v>23</v>
      </c>
      <c r="N225" s="81">
        <v>2</v>
      </c>
      <c r="O225" s="81"/>
      <c r="P225" s="81">
        <f>'Praroop-20 hindi'!D228</f>
        <v>60</v>
      </c>
      <c r="Q225" s="81">
        <v>3</v>
      </c>
      <c r="R225" s="81"/>
      <c r="S225" s="81">
        <f>'Praroop-20 hindi'!E228</f>
        <v>618</v>
      </c>
      <c r="T225" s="81">
        <v>4</v>
      </c>
      <c r="U225" s="81"/>
      <c r="V225" s="81">
        <f>'Praroop-20 hindi'!F228</f>
        <v>8</v>
      </c>
      <c r="W225" s="81">
        <v>5</v>
      </c>
      <c r="X225" s="81"/>
      <c r="Y225" s="81">
        <f>'Praroop-20 hindi'!G228</f>
        <v>0</v>
      </c>
      <c r="Z225" s="81">
        <v>6</v>
      </c>
      <c r="AA225" s="81"/>
      <c r="AB225" s="81">
        <f>'Praroop-20 hindi'!H228</f>
        <v>0</v>
      </c>
      <c r="AC225" s="81">
        <v>7</v>
      </c>
      <c r="AD225" s="81"/>
      <c r="AE225" s="81">
        <f>'Praroop-20 hindi'!I228</f>
        <v>0</v>
      </c>
      <c r="AF225" s="81">
        <v>8</v>
      </c>
      <c r="AG225" s="81"/>
      <c r="AH225" s="81">
        <f>'Praroop-20 hindi'!J228</f>
        <v>1</v>
      </c>
      <c r="AI225" s="81">
        <v>9</v>
      </c>
      <c r="AJ225" s="81"/>
      <c r="AK225" s="81">
        <f>'Praroop-20 hindi'!K228</f>
        <v>0</v>
      </c>
      <c r="AL225" s="81">
        <v>10</v>
      </c>
      <c r="AM225" s="81"/>
      <c r="AN225" s="81">
        <f>'Praroop-20 hindi'!L228</f>
        <v>6</v>
      </c>
      <c r="AO225" s="81">
        <v>11</v>
      </c>
      <c r="AP225" s="81"/>
      <c r="AQ225" s="81">
        <f>'Praroop-20 hindi'!M228</f>
        <v>3</v>
      </c>
      <c r="AR225" s="81">
        <f t="shared" si="7"/>
        <v>719</v>
      </c>
    </row>
    <row r="226" spans="1:44" ht="38.25">
      <c r="A226" s="81">
        <v>64</v>
      </c>
      <c r="B226" s="41">
        <v>220</v>
      </c>
      <c r="C226" s="113" t="s">
        <v>345</v>
      </c>
      <c r="D226" s="117">
        <v>876</v>
      </c>
      <c r="E226" s="110">
        <v>335</v>
      </c>
      <c r="F226" s="110">
        <v>321</v>
      </c>
      <c r="G226" s="110">
        <v>0</v>
      </c>
      <c r="H226" s="111">
        <f t="shared" si="6"/>
        <v>656</v>
      </c>
      <c r="I226" s="112">
        <v>590</v>
      </c>
      <c r="J226" s="110">
        <v>0</v>
      </c>
      <c r="K226" s="110">
        <v>1</v>
      </c>
      <c r="L226" s="81"/>
      <c r="M226" s="81">
        <f>'Praroop-20 hindi'!C229</f>
        <v>386</v>
      </c>
      <c r="N226" s="81">
        <v>2</v>
      </c>
      <c r="O226" s="81"/>
      <c r="P226" s="81">
        <f>'Praroop-20 hindi'!D229</f>
        <v>58</v>
      </c>
      <c r="Q226" s="81">
        <v>3</v>
      </c>
      <c r="R226" s="81"/>
      <c r="S226" s="81">
        <f>'Praroop-20 hindi'!E229</f>
        <v>194</v>
      </c>
      <c r="T226" s="81">
        <v>4</v>
      </c>
      <c r="U226" s="81"/>
      <c r="V226" s="81">
        <f>'Praroop-20 hindi'!F229</f>
        <v>4</v>
      </c>
      <c r="W226" s="81">
        <v>5</v>
      </c>
      <c r="X226" s="81"/>
      <c r="Y226" s="81">
        <f>'Praroop-20 hindi'!G229</f>
        <v>1</v>
      </c>
      <c r="Z226" s="81">
        <v>6</v>
      </c>
      <c r="AA226" s="81"/>
      <c r="AB226" s="81">
        <f>'Praroop-20 hindi'!H229</f>
        <v>0</v>
      </c>
      <c r="AC226" s="81">
        <v>7</v>
      </c>
      <c r="AD226" s="81"/>
      <c r="AE226" s="81">
        <f>'Praroop-20 hindi'!I229</f>
        <v>0</v>
      </c>
      <c r="AF226" s="81">
        <v>8</v>
      </c>
      <c r="AG226" s="81"/>
      <c r="AH226" s="81">
        <f>'Praroop-20 hindi'!J229</f>
        <v>4</v>
      </c>
      <c r="AI226" s="81">
        <v>9</v>
      </c>
      <c r="AJ226" s="81"/>
      <c r="AK226" s="81">
        <f>'Praroop-20 hindi'!K229</f>
        <v>1</v>
      </c>
      <c r="AL226" s="81">
        <v>10</v>
      </c>
      <c r="AM226" s="81"/>
      <c r="AN226" s="81">
        <f>'Praroop-20 hindi'!L229</f>
        <v>0</v>
      </c>
      <c r="AO226" s="81">
        <v>11</v>
      </c>
      <c r="AP226" s="81"/>
      <c r="AQ226" s="81">
        <f>'Praroop-20 hindi'!M229</f>
        <v>0</v>
      </c>
      <c r="AR226" s="81">
        <f t="shared" si="7"/>
        <v>648</v>
      </c>
    </row>
    <row r="227" spans="1:44" ht="25.5">
      <c r="A227" s="81">
        <v>64</v>
      </c>
      <c r="B227" s="41">
        <v>221</v>
      </c>
      <c r="C227" s="113" t="s">
        <v>346</v>
      </c>
      <c r="D227" s="117">
        <v>456</v>
      </c>
      <c r="E227" s="110">
        <v>200</v>
      </c>
      <c r="F227" s="110">
        <v>171</v>
      </c>
      <c r="G227" s="110">
        <v>0</v>
      </c>
      <c r="H227" s="111">
        <f t="shared" si="6"/>
        <v>371</v>
      </c>
      <c r="I227" s="112">
        <v>357</v>
      </c>
      <c r="J227" s="110">
        <v>0</v>
      </c>
      <c r="K227" s="110">
        <v>1</v>
      </c>
      <c r="L227" s="81"/>
      <c r="M227" s="81">
        <f>'Praroop-20 hindi'!C230</f>
        <v>65</v>
      </c>
      <c r="N227" s="81">
        <v>2</v>
      </c>
      <c r="O227" s="81"/>
      <c r="P227" s="81">
        <f>'Praroop-20 hindi'!D230</f>
        <v>18</v>
      </c>
      <c r="Q227" s="81">
        <v>3</v>
      </c>
      <c r="R227" s="81"/>
      <c r="S227" s="81">
        <f>'Praroop-20 hindi'!E230</f>
        <v>275</v>
      </c>
      <c r="T227" s="81">
        <v>4</v>
      </c>
      <c r="U227" s="81"/>
      <c r="V227" s="81">
        <f>'Praroop-20 hindi'!F230</f>
        <v>1</v>
      </c>
      <c r="W227" s="81">
        <v>5</v>
      </c>
      <c r="X227" s="81"/>
      <c r="Y227" s="81">
        <f>'Praroop-20 hindi'!G230</f>
        <v>7</v>
      </c>
      <c r="Z227" s="81">
        <v>6</v>
      </c>
      <c r="AA227" s="81"/>
      <c r="AB227" s="81">
        <f>'Praroop-20 hindi'!H230</f>
        <v>0</v>
      </c>
      <c r="AC227" s="81">
        <v>7</v>
      </c>
      <c r="AD227" s="81"/>
      <c r="AE227" s="81">
        <f>'Praroop-20 hindi'!I230</f>
        <v>0</v>
      </c>
      <c r="AF227" s="81">
        <v>8</v>
      </c>
      <c r="AG227" s="81"/>
      <c r="AH227" s="81">
        <f>'Praroop-20 hindi'!J230</f>
        <v>0</v>
      </c>
      <c r="AI227" s="81">
        <v>9</v>
      </c>
      <c r="AJ227" s="81"/>
      <c r="AK227" s="81">
        <f>'Praroop-20 hindi'!K230</f>
        <v>2</v>
      </c>
      <c r="AL227" s="81">
        <v>10</v>
      </c>
      <c r="AM227" s="81"/>
      <c r="AN227" s="81">
        <f>'Praroop-20 hindi'!L230</f>
        <v>1</v>
      </c>
      <c r="AO227" s="81">
        <v>11</v>
      </c>
      <c r="AP227" s="81"/>
      <c r="AQ227" s="81">
        <f>'Praroop-20 hindi'!M230</f>
        <v>0</v>
      </c>
      <c r="AR227" s="81">
        <f t="shared" si="7"/>
        <v>369</v>
      </c>
    </row>
    <row r="228" spans="1:44" ht="25.5">
      <c r="A228" s="81">
        <v>64</v>
      </c>
      <c r="B228" s="41">
        <v>222</v>
      </c>
      <c r="C228" s="113" t="s">
        <v>347</v>
      </c>
      <c r="D228" s="117">
        <v>624</v>
      </c>
      <c r="E228" s="110">
        <v>261</v>
      </c>
      <c r="F228" s="110">
        <v>187</v>
      </c>
      <c r="G228" s="110">
        <v>0</v>
      </c>
      <c r="H228" s="111">
        <f t="shared" si="6"/>
        <v>448</v>
      </c>
      <c r="I228" s="112">
        <v>384</v>
      </c>
      <c r="J228" s="110">
        <v>0</v>
      </c>
      <c r="K228" s="110">
        <v>1</v>
      </c>
      <c r="L228" s="81"/>
      <c r="M228" s="81">
        <f>'Praroop-20 hindi'!C231</f>
        <v>155</v>
      </c>
      <c r="N228" s="81">
        <v>2</v>
      </c>
      <c r="O228" s="81"/>
      <c r="P228" s="81">
        <f>'Praroop-20 hindi'!D231</f>
        <v>37</v>
      </c>
      <c r="Q228" s="81">
        <v>3</v>
      </c>
      <c r="R228" s="81"/>
      <c r="S228" s="81">
        <f>'Praroop-20 hindi'!E231</f>
        <v>240</v>
      </c>
      <c r="T228" s="81">
        <v>4</v>
      </c>
      <c r="U228" s="81"/>
      <c r="V228" s="81">
        <f>'Praroop-20 hindi'!F231</f>
        <v>2</v>
      </c>
      <c r="W228" s="81">
        <v>5</v>
      </c>
      <c r="X228" s="81"/>
      <c r="Y228" s="81">
        <f>'Praroop-20 hindi'!G231</f>
        <v>4</v>
      </c>
      <c r="Z228" s="81">
        <v>6</v>
      </c>
      <c r="AA228" s="81"/>
      <c r="AB228" s="81">
        <f>'Praroop-20 hindi'!H231</f>
        <v>2</v>
      </c>
      <c r="AC228" s="81">
        <v>7</v>
      </c>
      <c r="AD228" s="81"/>
      <c r="AE228" s="81">
        <f>'Praroop-20 hindi'!I231</f>
        <v>0</v>
      </c>
      <c r="AF228" s="81">
        <v>8</v>
      </c>
      <c r="AG228" s="81"/>
      <c r="AH228" s="81">
        <f>'Praroop-20 hindi'!J231</f>
        <v>3</v>
      </c>
      <c r="AI228" s="81">
        <v>9</v>
      </c>
      <c r="AJ228" s="81"/>
      <c r="AK228" s="81">
        <f>'Praroop-20 hindi'!K231</f>
        <v>1</v>
      </c>
      <c r="AL228" s="81">
        <v>10</v>
      </c>
      <c r="AM228" s="81"/>
      <c r="AN228" s="81">
        <f>'Praroop-20 hindi'!L231</f>
        <v>3</v>
      </c>
      <c r="AO228" s="81">
        <v>11</v>
      </c>
      <c r="AP228" s="81"/>
      <c r="AQ228" s="81">
        <f>'Praroop-20 hindi'!M231</f>
        <v>1</v>
      </c>
      <c r="AR228" s="81">
        <f t="shared" si="7"/>
        <v>448</v>
      </c>
    </row>
    <row r="229" spans="1:44" ht="25.5">
      <c r="A229" s="81">
        <v>64</v>
      </c>
      <c r="B229" s="41">
        <v>223</v>
      </c>
      <c r="C229" s="113" t="s">
        <v>348</v>
      </c>
      <c r="D229" s="117">
        <v>950</v>
      </c>
      <c r="E229" s="110">
        <v>384</v>
      </c>
      <c r="F229" s="110">
        <v>297</v>
      </c>
      <c r="G229" s="110">
        <v>0</v>
      </c>
      <c r="H229" s="111">
        <f t="shared" si="6"/>
        <v>681</v>
      </c>
      <c r="I229" s="112">
        <v>603</v>
      </c>
      <c r="J229" s="110">
        <v>0</v>
      </c>
      <c r="K229" s="110">
        <v>1</v>
      </c>
      <c r="L229" s="81"/>
      <c r="M229" s="81">
        <f>'Praroop-20 hindi'!C232</f>
        <v>330</v>
      </c>
      <c r="N229" s="81">
        <v>2</v>
      </c>
      <c r="O229" s="81"/>
      <c r="P229" s="81">
        <f>'Praroop-20 hindi'!D232</f>
        <v>38</v>
      </c>
      <c r="Q229" s="81">
        <v>3</v>
      </c>
      <c r="R229" s="81"/>
      <c r="S229" s="81">
        <f>'Praroop-20 hindi'!E232</f>
        <v>259</v>
      </c>
      <c r="T229" s="81">
        <v>4</v>
      </c>
      <c r="U229" s="81"/>
      <c r="V229" s="81">
        <f>'Praroop-20 hindi'!F232</f>
        <v>1</v>
      </c>
      <c r="W229" s="81">
        <v>5</v>
      </c>
      <c r="X229" s="81"/>
      <c r="Y229" s="81">
        <f>'Praroop-20 hindi'!G232</f>
        <v>39</v>
      </c>
      <c r="Z229" s="81">
        <v>6</v>
      </c>
      <c r="AA229" s="81"/>
      <c r="AB229" s="81">
        <f>'Praroop-20 hindi'!H232</f>
        <v>2</v>
      </c>
      <c r="AC229" s="81">
        <v>7</v>
      </c>
      <c r="AD229" s="81"/>
      <c r="AE229" s="81">
        <f>'Praroop-20 hindi'!I232</f>
        <v>0</v>
      </c>
      <c r="AF229" s="81">
        <v>8</v>
      </c>
      <c r="AG229" s="81"/>
      <c r="AH229" s="81">
        <f>'Praroop-20 hindi'!J232</f>
        <v>1</v>
      </c>
      <c r="AI229" s="81">
        <v>9</v>
      </c>
      <c r="AJ229" s="81"/>
      <c r="AK229" s="81">
        <f>'Praroop-20 hindi'!K232</f>
        <v>0</v>
      </c>
      <c r="AL229" s="81">
        <v>10</v>
      </c>
      <c r="AM229" s="81"/>
      <c r="AN229" s="81">
        <f>'Praroop-20 hindi'!L232</f>
        <v>3</v>
      </c>
      <c r="AO229" s="81">
        <v>11</v>
      </c>
      <c r="AP229" s="81"/>
      <c r="AQ229" s="81">
        <f>'Praroop-20 hindi'!M232</f>
        <v>0</v>
      </c>
      <c r="AR229" s="81">
        <f t="shared" si="7"/>
        <v>673</v>
      </c>
    </row>
    <row r="230" spans="1:44" ht="25.5">
      <c r="A230" s="81">
        <v>64</v>
      </c>
      <c r="B230" s="41">
        <v>224</v>
      </c>
      <c r="C230" s="113" t="s">
        <v>349</v>
      </c>
      <c r="D230" s="117">
        <v>1126</v>
      </c>
      <c r="E230" s="110">
        <v>452</v>
      </c>
      <c r="F230" s="110">
        <v>309</v>
      </c>
      <c r="G230" s="110">
        <v>0</v>
      </c>
      <c r="H230" s="111">
        <f t="shared" si="6"/>
        <v>761</v>
      </c>
      <c r="I230" s="112">
        <v>683</v>
      </c>
      <c r="J230" s="110">
        <v>0</v>
      </c>
      <c r="K230" s="110">
        <v>1</v>
      </c>
      <c r="L230" s="81"/>
      <c r="M230" s="81">
        <f>'Praroop-20 hindi'!C233</f>
        <v>225</v>
      </c>
      <c r="N230" s="81">
        <v>2</v>
      </c>
      <c r="O230" s="81"/>
      <c r="P230" s="81">
        <f>'Praroop-20 hindi'!D233</f>
        <v>65</v>
      </c>
      <c r="Q230" s="81">
        <v>3</v>
      </c>
      <c r="R230" s="81"/>
      <c r="S230" s="81">
        <f>'Praroop-20 hindi'!E233</f>
        <v>427</v>
      </c>
      <c r="T230" s="81">
        <v>4</v>
      </c>
      <c r="U230" s="81"/>
      <c r="V230" s="81">
        <f>'Praroop-20 hindi'!F233</f>
        <v>6</v>
      </c>
      <c r="W230" s="81">
        <v>5</v>
      </c>
      <c r="X230" s="81"/>
      <c r="Y230" s="81">
        <f>'Praroop-20 hindi'!G233</f>
        <v>25</v>
      </c>
      <c r="Z230" s="81">
        <v>6</v>
      </c>
      <c r="AA230" s="81"/>
      <c r="AB230" s="81">
        <f>'Praroop-20 hindi'!H233</f>
        <v>0</v>
      </c>
      <c r="AC230" s="81">
        <v>7</v>
      </c>
      <c r="AD230" s="81"/>
      <c r="AE230" s="81">
        <f>'Praroop-20 hindi'!I233</f>
        <v>2</v>
      </c>
      <c r="AF230" s="81">
        <v>8</v>
      </c>
      <c r="AG230" s="81"/>
      <c r="AH230" s="81">
        <f>'Praroop-20 hindi'!J233</f>
        <v>1</v>
      </c>
      <c r="AI230" s="81">
        <v>9</v>
      </c>
      <c r="AJ230" s="81"/>
      <c r="AK230" s="81">
        <f>'Praroop-20 hindi'!K233</f>
        <v>1</v>
      </c>
      <c r="AL230" s="81">
        <v>10</v>
      </c>
      <c r="AM230" s="81"/>
      <c r="AN230" s="81">
        <f>'Praroop-20 hindi'!L233</f>
        <v>2</v>
      </c>
      <c r="AO230" s="81">
        <v>11</v>
      </c>
      <c r="AP230" s="81"/>
      <c r="AQ230" s="81">
        <f>'Praroop-20 hindi'!M233</f>
        <v>2</v>
      </c>
      <c r="AR230" s="81">
        <f t="shared" si="7"/>
        <v>756</v>
      </c>
    </row>
    <row r="231" spans="1:44" ht="25.5">
      <c r="A231" s="81">
        <v>64</v>
      </c>
      <c r="B231" s="41">
        <v>225</v>
      </c>
      <c r="C231" s="113" t="s">
        <v>350</v>
      </c>
      <c r="D231" s="117">
        <v>745</v>
      </c>
      <c r="E231" s="110">
        <v>287</v>
      </c>
      <c r="F231" s="110">
        <v>251</v>
      </c>
      <c r="G231" s="110">
        <v>0</v>
      </c>
      <c r="H231" s="111">
        <f t="shared" si="6"/>
        <v>538</v>
      </c>
      <c r="I231" s="112">
        <v>506</v>
      </c>
      <c r="J231" s="110">
        <v>0</v>
      </c>
      <c r="K231" s="110">
        <v>1</v>
      </c>
      <c r="L231" s="81"/>
      <c r="M231" s="81">
        <f>'Praroop-20 hindi'!C234</f>
        <v>353</v>
      </c>
      <c r="N231" s="81">
        <v>2</v>
      </c>
      <c r="O231" s="81"/>
      <c r="P231" s="81">
        <f>'Praroop-20 hindi'!D234</f>
        <v>32</v>
      </c>
      <c r="Q231" s="81">
        <v>3</v>
      </c>
      <c r="R231" s="81"/>
      <c r="S231" s="81">
        <f>'Praroop-20 hindi'!E234</f>
        <v>138</v>
      </c>
      <c r="T231" s="81">
        <v>4</v>
      </c>
      <c r="U231" s="81"/>
      <c r="V231" s="81">
        <f>'Praroop-20 hindi'!F234</f>
        <v>2</v>
      </c>
      <c r="W231" s="81">
        <v>5</v>
      </c>
      <c r="X231" s="81"/>
      <c r="Y231" s="81">
        <f>'Praroop-20 hindi'!G234</f>
        <v>5</v>
      </c>
      <c r="Z231" s="81">
        <v>6</v>
      </c>
      <c r="AA231" s="81"/>
      <c r="AB231" s="81">
        <f>'Praroop-20 hindi'!H234</f>
        <v>0</v>
      </c>
      <c r="AC231" s="81">
        <v>7</v>
      </c>
      <c r="AD231" s="81"/>
      <c r="AE231" s="81">
        <f>'Praroop-20 hindi'!I234</f>
        <v>0</v>
      </c>
      <c r="AF231" s="81">
        <v>8</v>
      </c>
      <c r="AG231" s="81"/>
      <c r="AH231" s="81">
        <f>'Praroop-20 hindi'!J234</f>
        <v>1</v>
      </c>
      <c r="AI231" s="81">
        <v>9</v>
      </c>
      <c r="AJ231" s="81"/>
      <c r="AK231" s="81">
        <f>'Praroop-20 hindi'!K234</f>
        <v>0</v>
      </c>
      <c r="AL231" s="81">
        <v>10</v>
      </c>
      <c r="AM231" s="81"/>
      <c r="AN231" s="81">
        <f>'Praroop-20 hindi'!L234</f>
        <v>2</v>
      </c>
      <c r="AO231" s="81">
        <v>11</v>
      </c>
      <c r="AP231" s="81"/>
      <c r="AQ231" s="81">
        <f>'Praroop-20 hindi'!M234</f>
        <v>1</v>
      </c>
      <c r="AR231" s="81">
        <f t="shared" si="7"/>
        <v>534</v>
      </c>
    </row>
    <row r="232" spans="1:44" ht="25.5">
      <c r="A232" s="81">
        <v>64</v>
      </c>
      <c r="B232" s="41">
        <v>226</v>
      </c>
      <c r="C232" s="113" t="s">
        <v>351</v>
      </c>
      <c r="D232" s="117">
        <v>732</v>
      </c>
      <c r="E232" s="110">
        <v>264</v>
      </c>
      <c r="F232" s="110">
        <v>218</v>
      </c>
      <c r="G232" s="110">
        <v>0</v>
      </c>
      <c r="H232" s="111">
        <f t="shared" si="6"/>
        <v>482</v>
      </c>
      <c r="I232" s="112">
        <v>405</v>
      </c>
      <c r="J232" s="110">
        <v>0</v>
      </c>
      <c r="K232" s="110">
        <v>1</v>
      </c>
      <c r="L232" s="81"/>
      <c r="M232" s="81">
        <f>'Praroop-20 hindi'!C235</f>
        <v>106</v>
      </c>
      <c r="N232" s="81">
        <v>2</v>
      </c>
      <c r="O232" s="81"/>
      <c r="P232" s="81">
        <f>'Praroop-20 hindi'!D235</f>
        <v>26</v>
      </c>
      <c r="Q232" s="81">
        <v>3</v>
      </c>
      <c r="R232" s="81"/>
      <c r="S232" s="81">
        <f>'Praroop-20 hindi'!E235</f>
        <v>324</v>
      </c>
      <c r="T232" s="81">
        <v>4</v>
      </c>
      <c r="U232" s="81"/>
      <c r="V232" s="81">
        <f>'Praroop-20 hindi'!F235</f>
        <v>4</v>
      </c>
      <c r="W232" s="81">
        <v>5</v>
      </c>
      <c r="X232" s="81"/>
      <c r="Y232" s="81">
        <f>'Praroop-20 hindi'!G235</f>
        <v>16</v>
      </c>
      <c r="Z232" s="81">
        <v>6</v>
      </c>
      <c r="AA232" s="81"/>
      <c r="AB232" s="81">
        <f>'Praroop-20 hindi'!H235</f>
        <v>0</v>
      </c>
      <c r="AC232" s="81">
        <v>7</v>
      </c>
      <c r="AD232" s="81"/>
      <c r="AE232" s="81">
        <f>'Praroop-20 hindi'!I235</f>
        <v>0</v>
      </c>
      <c r="AF232" s="81">
        <v>8</v>
      </c>
      <c r="AG232" s="81"/>
      <c r="AH232" s="81">
        <f>'Praroop-20 hindi'!J235</f>
        <v>1</v>
      </c>
      <c r="AI232" s="81">
        <v>9</v>
      </c>
      <c r="AJ232" s="81"/>
      <c r="AK232" s="81">
        <f>'Praroop-20 hindi'!K235</f>
        <v>0</v>
      </c>
      <c r="AL232" s="81">
        <v>10</v>
      </c>
      <c r="AM232" s="81"/>
      <c r="AN232" s="81">
        <f>'Praroop-20 hindi'!L235</f>
        <v>0</v>
      </c>
      <c r="AO232" s="81">
        <v>11</v>
      </c>
      <c r="AP232" s="81"/>
      <c r="AQ232" s="81">
        <f>'Praroop-20 hindi'!M235</f>
        <v>1</v>
      </c>
      <c r="AR232" s="81">
        <f t="shared" si="7"/>
        <v>478</v>
      </c>
    </row>
    <row r="233" spans="1:44" ht="38.25">
      <c r="A233" s="81">
        <v>64</v>
      </c>
      <c r="B233" s="41">
        <v>227</v>
      </c>
      <c r="C233" s="113" t="s">
        <v>352</v>
      </c>
      <c r="D233" s="117">
        <v>665</v>
      </c>
      <c r="E233" s="110">
        <v>246</v>
      </c>
      <c r="F233" s="110">
        <v>202</v>
      </c>
      <c r="G233" s="110">
        <v>0</v>
      </c>
      <c r="H233" s="111">
        <f t="shared" si="6"/>
        <v>448</v>
      </c>
      <c r="I233" s="112">
        <v>409</v>
      </c>
      <c r="J233" s="110">
        <v>0</v>
      </c>
      <c r="K233" s="110">
        <v>1</v>
      </c>
      <c r="L233" s="81"/>
      <c r="M233" s="81">
        <f>'Praroop-20 hindi'!C236</f>
        <v>7</v>
      </c>
      <c r="N233" s="81">
        <v>2</v>
      </c>
      <c r="O233" s="81"/>
      <c r="P233" s="81">
        <f>'Praroop-20 hindi'!D236</f>
        <v>182</v>
      </c>
      <c r="Q233" s="81">
        <v>3</v>
      </c>
      <c r="R233" s="81"/>
      <c r="S233" s="81">
        <f>'Praroop-20 hindi'!E236</f>
        <v>252</v>
      </c>
      <c r="T233" s="81">
        <v>4</v>
      </c>
      <c r="U233" s="81"/>
      <c r="V233" s="81">
        <f>'Praroop-20 hindi'!F236</f>
        <v>4</v>
      </c>
      <c r="W233" s="81">
        <v>5</v>
      </c>
      <c r="X233" s="81"/>
      <c r="Y233" s="81">
        <f>'Praroop-20 hindi'!G236</f>
        <v>0</v>
      </c>
      <c r="Z233" s="81">
        <v>6</v>
      </c>
      <c r="AA233" s="81"/>
      <c r="AB233" s="81">
        <f>'Praroop-20 hindi'!H236</f>
        <v>0</v>
      </c>
      <c r="AC233" s="81">
        <v>7</v>
      </c>
      <c r="AD233" s="81"/>
      <c r="AE233" s="81">
        <f>'Praroop-20 hindi'!I236</f>
        <v>0</v>
      </c>
      <c r="AF233" s="81">
        <v>8</v>
      </c>
      <c r="AG233" s="81"/>
      <c r="AH233" s="81">
        <f>'Praroop-20 hindi'!J236</f>
        <v>0</v>
      </c>
      <c r="AI233" s="81">
        <v>9</v>
      </c>
      <c r="AJ233" s="81"/>
      <c r="AK233" s="81">
        <f>'Praroop-20 hindi'!K236</f>
        <v>0</v>
      </c>
      <c r="AL233" s="81">
        <v>10</v>
      </c>
      <c r="AM233" s="81"/>
      <c r="AN233" s="81">
        <f>'Praroop-20 hindi'!L236</f>
        <v>1</v>
      </c>
      <c r="AO233" s="81">
        <v>11</v>
      </c>
      <c r="AP233" s="81"/>
      <c r="AQ233" s="81">
        <f>'Praroop-20 hindi'!M236</f>
        <v>0</v>
      </c>
      <c r="AR233" s="81">
        <f t="shared" si="7"/>
        <v>446</v>
      </c>
    </row>
    <row r="234" spans="1:44" ht="38.25">
      <c r="A234" s="81">
        <v>64</v>
      </c>
      <c r="B234" s="41">
        <v>228</v>
      </c>
      <c r="C234" s="113" t="s">
        <v>353</v>
      </c>
      <c r="D234" s="117">
        <v>936</v>
      </c>
      <c r="E234" s="110">
        <v>303</v>
      </c>
      <c r="F234" s="110">
        <v>336</v>
      </c>
      <c r="G234" s="110">
        <v>0</v>
      </c>
      <c r="H234" s="111">
        <f t="shared" si="6"/>
        <v>639</v>
      </c>
      <c r="I234" s="112">
        <v>550</v>
      </c>
      <c r="J234" s="110">
        <v>0</v>
      </c>
      <c r="K234" s="110">
        <v>1</v>
      </c>
      <c r="L234" s="81"/>
      <c r="M234" s="81">
        <f>'Praroop-20 hindi'!C237</f>
        <v>14</v>
      </c>
      <c r="N234" s="81">
        <v>2</v>
      </c>
      <c r="O234" s="81"/>
      <c r="P234" s="81">
        <f>'Praroop-20 hindi'!D237</f>
        <v>20</v>
      </c>
      <c r="Q234" s="81">
        <v>3</v>
      </c>
      <c r="R234" s="81"/>
      <c r="S234" s="81">
        <f>'Praroop-20 hindi'!E237</f>
        <v>586</v>
      </c>
      <c r="T234" s="81">
        <v>4</v>
      </c>
      <c r="U234" s="81"/>
      <c r="V234" s="81">
        <f>'Praroop-20 hindi'!F237</f>
        <v>7</v>
      </c>
      <c r="W234" s="81">
        <v>5</v>
      </c>
      <c r="X234" s="81"/>
      <c r="Y234" s="81">
        <f>'Praroop-20 hindi'!G237</f>
        <v>1</v>
      </c>
      <c r="Z234" s="81">
        <v>6</v>
      </c>
      <c r="AA234" s="81"/>
      <c r="AB234" s="81">
        <f>'Praroop-20 hindi'!H237</f>
        <v>0</v>
      </c>
      <c r="AC234" s="81">
        <v>7</v>
      </c>
      <c r="AD234" s="81"/>
      <c r="AE234" s="81">
        <f>'Praroop-20 hindi'!I237</f>
        <v>1</v>
      </c>
      <c r="AF234" s="81">
        <v>8</v>
      </c>
      <c r="AG234" s="81"/>
      <c r="AH234" s="81">
        <f>'Praroop-20 hindi'!J237</f>
        <v>0</v>
      </c>
      <c r="AI234" s="81">
        <v>9</v>
      </c>
      <c r="AJ234" s="81"/>
      <c r="AK234" s="81">
        <f>'Praroop-20 hindi'!K237</f>
        <v>0</v>
      </c>
      <c r="AL234" s="81">
        <v>10</v>
      </c>
      <c r="AM234" s="81"/>
      <c r="AN234" s="81">
        <f>'Praroop-20 hindi'!L237</f>
        <v>6</v>
      </c>
      <c r="AO234" s="81">
        <v>11</v>
      </c>
      <c r="AP234" s="81"/>
      <c r="AQ234" s="81">
        <f>'Praroop-20 hindi'!M237</f>
        <v>0</v>
      </c>
      <c r="AR234" s="81">
        <f t="shared" si="7"/>
        <v>635</v>
      </c>
    </row>
    <row r="235" spans="1:44" ht="38.25">
      <c r="A235" s="81">
        <v>64</v>
      </c>
      <c r="B235" s="41">
        <v>229</v>
      </c>
      <c r="C235" s="113" t="s">
        <v>354</v>
      </c>
      <c r="D235" s="117">
        <v>999</v>
      </c>
      <c r="E235" s="110">
        <v>395</v>
      </c>
      <c r="F235" s="110">
        <v>329</v>
      </c>
      <c r="G235" s="110">
        <v>0</v>
      </c>
      <c r="H235" s="111">
        <f t="shared" si="6"/>
        <v>724</v>
      </c>
      <c r="I235" s="112">
        <v>663</v>
      </c>
      <c r="J235" s="110">
        <v>0</v>
      </c>
      <c r="K235" s="110">
        <v>1</v>
      </c>
      <c r="L235" s="81"/>
      <c r="M235" s="81">
        <f>'Praroop-20 hindi'!C238</f>
        <v>43</v>
      </c>
      <c r="N235" s="81">
        <v>2</v>
      </c>
      <c r="O235" s="81"/>
      <c r="P235" s="81">
        <f>'Praroop-20 hindi'!D238</f>
        <v>33</v>
      </c>
      <c r="Q235" s="81">
        <v>3</v>
      </c>
      <c r="R235" s="81"/>
      <c r="S235" s="81">
        <f>'Praroop-20 hindi'!E238</f>
        <v>622</v>
      </c>
      <c r="T235" s="81">
        <v>4</v>
      </c>
      <c r="U235" s="81"/>
      <c r="V235" s="81">
        <f>'Praroop-20 hindi'!F238</f>
        <v>6</v>
      </c>
      <c r="W235" s="81">
        <v>5</v>
      </c>
      <c r="X235" s="81"/>
      <c r="Y235" s="81">
        <f>'Praroop-20 hindi'!G238</f>
        <v>2</v>
      </c>
      <c r="Z235" s="81">
        <v>6</v>
      </c>
      <c r="AA235" s="81"/>
      <c r="AB235" s="81">
        <f>'Praroop-20 hindi'!H238</f>
        <v>1</v>
      </c>
      <c r="AC235" s="81">
        <v>7</v>
      </c>
      <c r="AD235" s="81"/>
      <c r="AE235" s="81">
        <f>'Praroop-20 hindi'!I238</f>
        <v>1</v>
      </c>
      <c r="AF235" s="81">
        <v>8</v>
      </c>
      <c r="AG235" s="81"/>
      <c r="AH235" s="81">
        <f>'Praroop-20 hindi'!J238</f>
        <v>1</v>
      </c>
      <c r="AI235" s="81">
        <v>9</v>
      </c>
      <c r="AJ235" s="81"/>
      <c r="AK235" s="81">
        <f>'Praroop-20 hindi'!K238</f>
        <v>2</v>
      </c>
      <c r="AL235" s="81">
        <v>10</v>
      </c>
      <c r="AM235" s="81"/>
      <c r="AN235" s="81">
        <f>'Praroop-20 hindi'!L238</f>
        <v>7</v>
      </c>
      <c r="AO235" s="81">
        <v>11</v>
      </c>
      <c r="AP235" s="81"/>
      <c r="AQ235" s="81">
        <f>'Praroop-20 hindi'!M238</f>
        <v>2</v>
      </c>
      <c r="AR235" s="81">
        <f t="shared" si="7"/>
        <v>720</v>
      </c>
    </row>
    <row r="236" spans="1:44" ht="38.25">
      <c r="A236" s="81">
        <v>64</v>
      </c>
      <c r="B236" s="41">
        <v>230</v>
      </c>
      <c r="C236" s="113" t="s">
        <v>355</v>
      </c>
      <c r="D236" s="117">
        <v>815</v>
      </c>
      <c r="E236" s="110">
        <v>308</v>
      </c>
      <c r="F236" s="110">
        <v>244</v>
      </c>
      <c r="G236" s="110">
        <v>0</v>
      </c>
      <c r="H236" s="111">
        <f t="shared" si="6"/>
        <v>552</v>
      </c>
      <c r="I236" s="112">
        <v>482</v>
      </c>
      <c r="J236" s="110">
        <v>0</v>
      </c>
      <c r="K236" s="110">
        <v>1</v>
      </c>
      <c r="L236" s="81"/>
      <c r="M236" s="81">
        <f>'Praroop-20 hindi'!C239</f>
        <v>18</v>
      </c>
      <c r="N236" s="81">
        <v>2</v>
      </c>
      <c r="O236" s="81"/>
      <c r="P236" s="81">
        <f>'Praroop-20 hindi'!D239</f>
        <v>29</v>
      </c>
      <c r="Q236" s="81">
        <v>3</v>
      </c>
      <c r="R236" s="81"/>
      <c r="S236" s="81">
        <f>'Praroop-20 hindi'!E239</f>
        <v>488</v>
      </c>
      <c r="T236" s="81">
        <v>4</v>
      </c>
      <c r="U236" s="81"/>
      <c r="V236" s="81">
        <f>'Praroop-20 hindi'!F239</f>
        <v>9</v>
      </c>
      <c r="W236" s="81">
        <v>5</v>
      </c>
      <c r="X236" s="81"/>
      <c r="Y236" s="81">
        <f>'Praroop-20 hindi'!G239</f>
        <v>0</v>
      </c>
      <c r="Z236" s="81">
        <v>6</v>
      </c>
      <c r="AA236" s="81"/>
      <c r="AB236" s="81">
        <f>'Praroop-20 hindi'!H239</f>
        <v>0</v>
      </c>
      <c r="AC236" s="81">
        <v>7</v>
      </c>
      <c r="AD236" s="81"/>
      <c r="AE236" s="81">
        <f>'Praroop-20 hindi'!I239</f>
        <v>0</v>
      </c>
      <c r="AF236" s="81">
        <v>8</v>
      </c>
      <c r="AG236" s="81"/>
      <c r="AH236" s="81">
        <f>'Praroop-20 hindi'!J239</f>
        <v>0</v>
      </c>
      <c r="AI236" s="81">
        <v>9</v>
      </c>
      <c r="AJ236" s="81"/>
      <c r="AK236" s="81">
        <f>'Praroop-20 hindi'!K239</f>
        <v>2</v>
      </c>
      <c r="AL236" s="81">
        <v>10</v>
      </c>
      <c r="AM236" s="81"/>
      <c r="AN236" s="81">
        <f>'Praroop-20 hindi'!L239</f>
        <v>4</v>
      </c>
      <c r="AO236" s="81">
        <v>11</v>
      </c>
      <c r="AP236" s="81"/>
      <c r="AQ236" s="81">
        <f>'Praroop-20 hindi'!M239</f>
        <v>0</v>
      </c>
      <c r="AR236" s="81">
        <f t="shared" si="7"/>
        <v>550</v>
      </c>
    </row>
    <row r="237" spans="1:44" ht="38.25">
      <c r="A237" s="81">
        <v>64</v>
      </c>
      <c r="B237" s="41">
        <v>231</v>
      </c>
      <c r="C237" s="113" t="s">
        <v>356</v>
      </c>
      <c r="D237" s="117">
        <v>1081</v>
      </c>
      <c r="E237" s="110">
        <v>437</v>
      </c>
      <c r="F237" s="110">
        <v>410</v>
      </c>
      <c r="G237" s="110">
        <v>0</v>
      </c>
      <c r="H237" s="111">
        <f t="shared" si="6"/>
        <v>847</v>
      </c>
      <c r="I237" s="112">
        <v>748</v>
      </c>
      <c r="J237" s="110">
        <v>0</v>
      </c>
      <c r="K237" s="110">
        <v>1</v>
      </c>
      <c r="L237" s="81"/>
      <c r="M237" s="81">
        <f>'Praroop-20 hindi'!C240</f>
        <v>115</v>
      </c>
      <c r="N237" s="81">
        <v>2</v>
      </c>
      <c r="O237" s="81"/>
      <c r="P237" s="81">
        <f>'Praroop-20 hindi'!D240</f>
        <v>104</v>
      </c>
      <c r="Q237" s="81">
        <v>3</v>
      </c>
      <c r="R237" s="81"/>
      <c r="S237" s="81">
        <f>'Praroop-20 hindi'!E240</f>
        <v>588</v>
      </c>
      <c r="T237" s="81">
        <v>4</v>
      </c>
      <c r="U237" s="81"/>
      <c r="V237" s="81">
        <f>'Praroop-20 hindi'!F240</f>
        <v>12</v>
      </c>
      <c r="W237" s="81">
        <v>5</v>
      </c>
      <c r="X237" s="81"/>
      <c r="Y237" s="81">
        <f>'Praroop-20 hindi'!G240</f>
        <v>8</v>
      </c>
      <c r="Z237" s="81">
        <v>6</v>
      </c>
      <c r="AA237" s="81"/>
      <c r="AB237" s="81">
        <f>'Praroop-20 hindi'!H240</f>
        <v>1</v>
      </c>
      <c r="AC237" s="81">
        <v>7</v>
      </c>
      <c r="AD237" s="81"/>
      <c r="AE237" s="81">
        <f>'Praroop-20 hindi'!I240</f>
        <v>0</v>
      </c>
      <c r="AF237" s="81">
        <v>8</v>
      </c>
      <c r="AG237" s="81"/>
      <c r="AH237" s="81">
        <f>'Praroop-20 hindi'!J240</f>
        <v>7</v>
      </c>
      <c r="AI237" s="81">
        <v>9</v>
      </c>
      <c r="AJ237" s="81"/>
      <c r="AK237" s="81">
        <f>'Praroop-20 hindi'!K240</f>
        <v>1</v>
      </c>
      <c r="AL237" s="81">
        <v>10</v>
      </c>
      <c r="AM237" s="81"/>
      <c r="AN237" s="81">
        <f>'Praroop-20 hindi'!L240</f>
        <v>6</v>
      </c>
      <c r="AO237" s="81">
        <v>11</v>
      </c>
      <c r="AP237" s="81"/>
      <c r="AQ237" s="81">
        <f>'Praroop-20 hindi'!M240</f>
        <v>1</v>
      </c>
      <c r="AR237" s="81">
        <f t="shared" si="7"/>
        <v>843</v>
      </c>
    </row>
    <row r="238" spans="1:44" ht="38.25">
      <c r="A238" s="81">
        <v>64</v>
      </c>
      <c r="B238" s="41">
        <v>232</v>
      </c>
      <c r="C238" s="113" t="s">
        <v>357</v>
      </c>
      <c r="D238" s="117">
        <v>1069</v>
      </c>
      <c r="E238" s="110">
        <v>463</v>
      </c>
      <c r="F238" s="110">
        <v>353</v>
      </c>
      <c r="G238" s="110">
        <v>0</v>
      </c>
      <c r="H238" s="111">
        <f t="shared" si="6"/>
        <v>816</v>
      </c>
      <c r="I238" s="112">
        <v>700</v>
      </c>
      <c r="J238" s="110">
        <v>0</v>
      </c>
      <c r="K238" s="110">
        <v>1</v>
      </c>
      <c r="L238" s="81"/>
      <c r="M238" s="81">
        <f>'Praroop-20 hindi'!C241</f>
        <v>5</v>
      </c>
      <c r="N238" s="81">
        <v>2</v>
      </c>
      <c r="O238" s="81"/>
      <c r="P238" s="81">
        <f>'Praroop-20 hindi'!D241</f>
        <v>33</v>
      </c>
      <c r="Q238" s="81">
        <v>3</v>
      </c>
      <c r="R238" s="81"/>
      <c r="S238" s="81">
        <f>'Praroop-20 hindi'!E241</f>
        <v>769</v>
      </c>
      <c r="T238" s="81">
        <v>4</v>
      </c>
      <c r="U238" s="81"/>
      <c r="V238" s="81">
        <f>'Praroop-20 hindi'!F241</f>
        <v>4</v>
      </c>
      <c r="W238" s="81">
        <v>5</v>
      </c>
      <c r="X238" s="81"/>
      <c r="Y238" s="81">
        <f>'Praroop-20 hindi'!G241</f>
        <v>0</v>
      </c>
      <c r="Z238" s="81">
        <v>6</v>
      </c>
      <c r="AA238" s="81"/>
      <c r="AB238" s="81">
        <f>'Praroop-20 hindi'!H241</f>
        <v>0</v>
      </c>
      <c r="AC238" s="81">
        <v>7</v>
      </c>
      <c r="AD238" s="81"/>
      <c r="AE238" s="81">
        <f>'Praroop-20 hindi'!I241</f>
        <v>0</v>
      </c>
      <c r="AF238" s="81">
        <v>8</v>
      </c>
      <c r="AG238" s="81"/>
      <c r="AH238" s="81">
        <f>'Praroop-20 hindi'!J241</f>
        <v>0</v>
      </c>
      <c r="AI238" s="81">
        <v>9</v>
      </c>
      <c r="AJ238" s="81"/>
      <c r="AK238" s="81">
        <f>'Praroop-20 hindi'!K241</f>
        <v>1</v>
      </c>
      <c r="AL238" s="81">
        <v>10</v>
      </c>
      <c r="AM238" s="81"/>
      <c r="AN238" s="81">
        <f>'Praroop-20 hindi'!L241</f>
        <v>1</v>
      </c>
      <c r="AO238" s="81">
        <v>11</v>
      </c>
      <c r="AP238" s="81"/>
      <c r="AQ238" s="81">
        <f>'Praroop-20 hindi'!M241</f>
        <v>0</v>
      </c>
      <c r="AR238" s="81">
        <f t="shared" si="7"/>
        <v>813</v>
      </c>
    </row>
    <row r="239" spans="1:44" ht="38.25">
      <c r="A239" s="81">
        <v>64</v>
      </c>
      <c r="B239" s="41">
        <v>233</v>
      </c>
      <c r="C239" s="113" t="s">
        <v>358</v>
      </c>
      <c r="D239" s="117">
        <v>948</v>
      </c>
      <c r="E239" s="110">
        <v>377</v>
      </c>
      <c r="F239" s="110">
        <v>313</v>
      </c>
      <c r="G239" s="110">
        <v>0</v>
      </c>
      <c r="H239" s="111">
        <f t="shared" si="6"/>
        <v>690</v>
      </c>
      <c r="I239" s="112">
        <v>592</v>
      </c>
      <c r="J239" s="110">
        <v>0</v>
      </c>
      <c r="K239" s="110">
        <v>1</v>
      </c>
      <c r="L239" s="81"/>
      <c r="M239" s="81">
        <f>'Praroop-20 hindi'!C242</f>
        <v>602</v>
      </c>
      <c r="N239" s="81">
        <v>2</v>
      </c>
      <c r="O239" s="81"/>
      <c r="P239" s="81">
        <f>'Praroop-20 hindi'!D242</f>
        <v>10</v>
      </c>
      <c r="Q239" s="81">
        <v>3</v>
      </c>
      <c r="R239" s="81"/>
      <c r="S239" s="81">
        <f>'Praroop-20 hindi'!E242</f>
        <v>63</v>
      </c>
      <c r="T239" s="81">
        <v>4</v>
      </c>
      <c r="U239" s="81"/>
      <c r="V239" s="81">
        <f>'Praroop-20 hindi'!F242</f>
        <v>0</v>
      </c>
      <c r="W239" s="81">
        <v>5</v>
      </c>
      <c r="X239" s="81"/>
      <c r="Y239" s="81">
        <f>'Praroop-20 hindi'!G242</f>
        <v>0</v>
      </c>
      <c r="Z239" s="81">
        <v>6</v>
      </c>
      <c r="AA239" s="81"/>
      <c r="AB239" s="81">
        <f>'Praroop-20 hindi'!H242</f>
        <v>0</v>
      </c>
      <c r="AC239" s="81">
        <v>7</v>
      </c>
      <c r="AD239" s="81"/>
      <c r="AE239" s="81">
        <f>'Praroop-20 hindi'!I242</f>
        <v>0</v>
      </c>
      <c r="AF239" s="81">
        <v>8</v>
      </c>
      <c r="AG239" s="81"/>
      <c r="AH239" s="81">
        <f>'Praroop-20 hindi'!J242</f>
        <v>4</v>
      </c>
      <c r="AI239" s="81">
        <v>9</v>
      </c>
      <c r="AJ239" s="81"/>
      <c r="AK239" s="81">
        <f>'Praroop-20 hindi'!K242</f>
        <v>0</v>
      </c>
      <c r="AL239" s="81">
        <v>10</v>
      </c>
      <c r="AM239" s="81"/>
      <c r="AN239" s="81">
        <f>'Praroop-20 hindi'!L242</f>
        <v>0</v>
      </c>
      <c r="AO239" s="81">
        <v>11</v>
      </c>
      <c r="AP239" s="81"/>
      <c r="AQ239" s="81">
        <f>'Praroop-20 hindi'!M242</f>
        <v>2</v>
      </c>
      <c r="AR239" s="81">
        <f t="shared" si="7"/>
        <v>681</v>
      </c>
    </row>
    <row r="240" spans="1:44" ht="38.25">
      <c r="A240" s="81">
        <v>64</v>
      </c>
      <c r="B240" s="41">
        <v>234</v>
      </c>
      <c r="C240" s="113" t="s">
        <v>359</v>
      </c>
      <c r="D240" s="117">
        <v>1044</v>
      </c>
      <c r="E240" s="110">
        <v>390</v>
      </c>
      <c r="F240" s="110">
        <v>334</v>
      </c>
      <c r="G240" s="110">
        <v>0</v>
      </c>
      <c r="H240" s="111">
        <f t="shared" si="6"/>
        <v>724</v>
      </c>
      <c r="I240" s="112">
        <v>638</v>
      </c>
      <c r="J240" s="110">
        <v>0</v>
      </c>
      <c r="K240" s="110">
        <v>1</v>
      </c>
      <c r="L240" s="81"/>
      <c r="M240" s="81">
        <f>'Praroop-20 hindi'!C243</f>
        <v>365</v>
      </c>
      <c r="N240" s="81">
        <v>2</v>
      </c>
      <c r="O240" s="81"/>
      <c r="P240" s="81">
        <f>'Praroop-20 hindi'!D243</f>
        <v>80</v>
      </c>
      <c r="Q240" s="81">
        <v>3</v>
      </c>
      <c r="R240" s="81"/>
      <c r="S240" s="81">
        <f>'Praroop-20 hindi'!E243</f>
        <v>253</v>
      </c>
      <c r="T240" s="81">
        <v>4</v>
      </c>
      <c r="U240" s="81"/>
      <c r="V240" s="81">
        <f>'Praroop-20 hindi'!F243</f>
        <v>3</v>
      </c>
      <c r="W240" s="81">
        <v>5</v>
      </c>
      <c r="X240" s="81"/>
      <c r="Y240" s="81">
        <f>'Praroop-20 hindi'!G243</f>
        <v>1</v>
      </c>
      <c r="Z240" s="81">
        <v>6</v>
      </c>
      <c r="AA240" s="81"/>
      <c r="AB240" s="81">
        <f>'Praroop-20 hindi'!H243</f>
        <v>0</v>
      </c>
      <c r="AC240" s="81">
        <v>7</v>
      </c>
      <c r="AD240" s="81"/>
      <c r="AE240" s="81">
        <f>'Praroop-20 hindi'!I243</f>
        <v>2</v>
      </c>
      <c r="AF240" s="81">
        <v>8</v>
      </c>
      <c r="AG240" s="81"/>
      <c r="AH240" s="81">
        <f>'Praroop-20 hindi'!J243</f>
        <v>3</v>
      </c>
      <c r="AI240" s="81">
        <v>9</v>
      </c>
      <c r="AJ240" s="81"/>
      <c r="AK240" s="81">
        <f>'Praroop-20 hindi'!K243</f>
        <v>5</v>
      </c>
      <c r="AL240" s="81">
        <v>10</v>
      </c>
      <c r="AM240" s="81"/>
      <c r="AN240" s="81">
        <f>'Praroop-20 hindi'!L243</f>
        <v>7</v>
      </c>
      <c r="AO240" s="81">
        <v>11</v>
      </c>
      <c r="AP240" s="81"/>
      <c r="AQ240" s="81">
        <f>'Praroop-20 hindi'!M243</f>
        <v>1</v>
      </c>
      <c r="AR240" s="81">
        <f t="shared" si="7"/>
        <v>720</v>
      </c>
    </row>
    <row r="241" spans="1:44" ht="38.25">
      <c r="A241" s="81">
        <v>64</v>
      </c>
      <c r="B241" s="41">
        <v>235</v>
      </c>
      <c r="C241" s="113" t="s">
        <v>360</v>
      </c>
      <c r="D241" s="117">
        <v>1121</v>
      </c>
      <c r="E241" s="110">
        <v>437</v>
      </c>
      <c r="F241" s="110">
        <v>390</v>
      </c>
      <c r="G241" s="110">
        <v>0</v>
      </c>
      <c r="H241" s="111">
        <f t="shared" si="6"/>
        <v>827</v>
      </c>
      <c r="I241" s="112">
        <v>685</v>
      </c>
      <c r="J241" s="110">
        <v>0</v>
      </c>
      <c r="K241" s="110">
        <v>1</v>
      </c>
      <c r="L241" s="81"/>
      <c r="M241" s="81">
        <f>'Praroop-20 hindi'!C244</f>
        <v>53</v>
      </c>
      <c r="N241" s="81">
        <v>2</v>
      </c>
      <c r="O241" s="81"/>
      <c r="P241" s="81">
        <f>'Praroop-20 hindi'!D244</f>
        <v>692</v>
      </c>
      <c r="Q241" s="81">
        <v>3</v>
      </c>
      <c r="R241" s="81"/>
      <c r="S241" s="81">
        <f>'Praroop-20 hindi'!E244</f>
        <v>31</v>
      </c>
      <c r="T241" s="81">
        <v>4</v>
      </c>
      <c r="U241" s="81"/>
      <c r="V241" s="81">
        <f>'Praroop-20 hindi'!F244</f>
        <v>5</v>
      </c>
      <c r="W241" s="81">
        <v>5</v>
      </c>
      <c r="X241" s="81"/>
      <c r="Y241" s="81">
        <f>'Praroop-20 hindi'!G244</f>
        <v>0</v>
      </c>
      <c r="Z241" s="81">
        <v>6</v>
      </c>
      <c r="AA241" s="81"/>
      <c r="AB241" s="81">
        <f>'Praroop-20 hindi'!H244</f>
        <v>0</v>
      </c>
      <c r="AC241" s="81">
        <v>7</v>
      </c>
      <c r="AD241" s="81"/>
      <c r="AE241" s="81">
        <f>'Praroop-20 hindi'!I244</f>
        <v>0</v>
      </c>
      <c r="AF241" s="81">
        <v>8</v>
      </c>
      <c r="AG241" s="81"/>
      <c r="AH241" s="81">
        <f>'Praroop-20 hindi'!J244</f>
        <v>0</v>
      </c>
      <c r="AI241" s="81">
        <v>9</v>
      </c>
      <c r="AJ241" s="81"/>
      <c r="AK241" s="81">
        <f>'Praroop-20 hindi'!K244</f>
        <v>39</v>
      </c>
      <c r="AL241" s="81">
        <v>10</v>
      </c>
      <c r="AM241" s="81"/>
      <c r="AN241" s="81">
        <f>'Praroop-20 hindi'!L244</f>
        <v>5</v>
      </c>
      <c r="AO241" s="81">
        <v>11</v>
      </c>
      <c r="AP241" s="81"/>
      <c r="AQ241" s="81">
        <f>'Praroop-20 hindi'!M244</f>
        <v>1</v>
      </c>
      <c r="AR241" s="81">
        <f t="shared" si="7"/>
        <v>826</v>
      </c>
    </row>
    <row r="242" spans="1:44" ht="38.25">
      <c r="A242" s="81">
        <v>64</v>
      </c>
      <c r="B242" s="41">
        <v>236</v>
      </c>
      <c r="C242" s="113" t="s">
        <v>361</v>
      </c>
      <c r="D242" s="117">
        <v>922</v>
      </c>
      <c r="E242" s="110">
        <v>360</v>
      </c>
      <c r="F242" s="110">
        <v>303</v>
      </c>
      <c r="G242" s="110">
        <v>0</v>
      </c>
      <c r="H242" s="111">
        <f t="shared" si="6"/>
        <v>663</v>
      </c>
      <c r="I242" s="112">
        <v>600</v>
      </c>
      <c r="J242" s="110">
        <v>0</v>
      </c>
      <c r="K242" s="110">
        <v>1</v>
      </c>
      <c r="L242" s="81"/>
      <c r="M242" s="81">
        <f>'Praroop-20 hindi'!C245</f>
        <v>6</v>
      </c>
      <c r="N242" s="81">
        <v>2</v>
      </c>
      <c r="O242" s="81"/>
      <c r="P242" s="81">
        <f>'Praroop-20 hindi'!D245</f>
        <v>34</v>
      </c>
      <c r="Q242" s="81">
        <v>3</v>
      </c>
      <c r="R242" s="81"/>
      <c r="S242" s="81">
        <f>'Praroop-20 hindi'!E245</f>
        <v>614</v>
      </c>
      <c r="T242" s="81">
        <v>4</v>
      </c>
      <c r="U242" s="81"/>
      <c r="V242" s="81">
        <f>'Praroop-20 hindi'!F245</f>
        <v>5</v>
      </c>
      <c r="W242" s="81">
        <v>5</v>
      </c>
      <c r="X242" s="81"/>
      <c r="Y242" s="81">
        <f>'Praroop-20 hindi'!G245</f>
        <v>1</v>
      </c>
      <c r="Z242" s="81">
        <v>6</v>
      </c>
      <c r="AA242" s="81"/>
      <c r="AB242" s="81">
        <f>'Praroop-20 hindi'!H245</f>
        <v>0</v>
      </c>
      <c r="AC242" s="81">
        <v>7</v>
      </c>
      <c r="AD242" s="81"/>
      <c r="AE242" s="81">
        <f>'Praroop-20 hindi'!I245</f>
        <v>0</v>
      </c>
      <c r="AF242" s="81">
        <v>8</v>
      </c>
      <c r="AG242" s="81"/>
      <c r="AH242" s="81">
        <f>'Praroop-20 hindi'!J245</f>
        <v>0</v>
      </c>
      <c r="AI242" s="81">
        <v>9</v>
      </c>
      <c r="AJ242" s="81"/>
      <c r="AK242" s="81">
        <f>'Praroop-20 hindi'!K245</f>
        <v>0</v>
      </c>
      <c r="AL242" s="81">
        <v>10</v>
      </c>
      <c r="AM242" s="81"/>
      <c r="AN242" s="81">
        <f>'Praroop-20 hindi'!L245</f>
        <v>2</v>
      </c>
      <c r="AO242" s="81">
        <v>11</v>
      </c>
      <c r="AP242" s="81"/>
      <c r="AQ242" s="81">
        <f>'Praroop-20 hindi'!M245</f>
        <v>0</v>
      </c>
      <c r="AR242" s="81">
        <f t="shared" si="7"/>
        <v>662</v>
      </c>
    </row>
    <row r="243" spans="1:44" ht="38.25">
      <c r="A243" s="81">
        <v>64</v>
      </c>
      <c r="B243" s="41">
        <v>237</v>
      </c>
      <c r="C243" s="113" t="s">
        <v>362</v>
      </c>
      <c r="D243" s="117">
        <v>964</v>
      </c>
      <c r="E243" s="110">
        <v>428</v>
      </c>
      <c r="F243" s="110">
        <v>347</v>
      </c>
      <c r="G243" s="110">
        <v>0</v>
      </c>
      <c r="H243" s="111">
        <f t="shared" si="6"/>
        <v>775</v>
      </c>
      <c r="I243" s="112">
        <v>715</v>
      </c>
      <c r="J243" s="110">
        <v>0</v>
      </c>
      <c r="K243" s="110">
        <v>1</v>
      </c>
      <c r="L243" s="81"/>
      <c r="M243" s="81">
        <f>'Praroop-20 hindi'!C246</f>
        <v>107</v>
      </c>
      <c r="N243" s="81">
        <v>2</v>
      </c>
      <c r="O243" s="81"/>
      <c r="P243" s="81">
        <f>'Praroop-20 hindi'!D246</f>
        <v>159</v>
      </c>
      <c r="Q243" s="81">
        <v>3</v>
      </c>
      <c r="R243" s="81"/>
      <c r="S243" s="81">
        <f>'Praroop-20 hindi'!E246</f>
        <v>485</v>
      </c>
      <c r="T243" s="81">
        <v>4</v>
      </c>
      <c r="U243" s="81"/>
      <c r="V243" s="81">
        <f>'Praroop-20 hindi'!F246</f>
        <v>14</v>
      </c>
      <c r="W243" s="81">
        <v>5</v>
      </c>
      <c r="X243" s="81"/>
      <c r="Y243" s="81">
        <f>'Praroop-20 hindi'!G246</f>
        <v>0</v>
      </c>
      <c r="Z243" s="81">
        <v>6</v>
      </c>
      <c r="AA243" s="81"/>
      <c r="AB243" s="81">
        <f>'Praroop-20 hindi'!H246</f>
        <v>0</v>
      </c>
      <c r="AC243" s="81">
        <v>7</v>
      </c>
      <c r="AD243" s="81"/>
      <c r="AE243" s="81">
        <f>'Praroop-20 hindi'!I246</f>
        <v>0</v>
      </c>
      <c r="AF243" s="81">
        <v>8</v>
      </c>
      <c r="AG243" s="81"/>
      <c r="AH243" s="81">
        <f>'Praroop-20 hindi'!J246</f>
        <v>0</v>
      </c>
      <c r="AI243" s="81">
        <v>9</v>
      </c>
      <c r="AJ243" s="81"/>
      <c r="AK243" s="81">
        <f>'Praroop-20 hindi'!K246</f>
        <v>2</v>
      </c>
      <c r="AL243" s="81">
        <v>10</v>
      </c>
      <c r="AM243" s="81"/>
      <c r="AN243" s="81">
        <f>'Praroop-20 hindi'!L246</f>
        <v>4</v>
      </c>
      <c r="AO243" s="81">
        <v>11</v>
      </c>
      <c r="AP243" s="81"/>
      <c r="AQ243" s="81">
        <f>'Praroop-20 hindi'!M246</f>
        <v>1</v>
      </c>
      <c r="AR243" s="81">
        <f t="shared" si="7"/>
        <v>772</v>
      </c>
    </row>
    <row r="244" spans="1:44" ht="38.25">
      <c r="A244" s="81">
        <v>64</v>
      </c>
      <c r="B244" s="41">
        <v>238</v>
      </c>
      <c r="C244" s="113" t="s">
        <v>363</v>
      </c>
      <c r="D244" s="117">
        <v>1022</v>
      </c>
      <c r="E244" s="110">
        <v>407</v>
      </c>
      <c r="F244" s="110">
        <v>298</v>
      </c>
      <c r="G244" s="110">
        <v>0</v>
      </c>
      <c r="H244" s="111">
        <f t="shared" si="6"/>
        <v>705</v>
      </c>
      <c r="I244" s="112">
        <v>600</v>
      </c>
      <c r="J244" s="110">
        <v>0</v>
      </c>
      <c r="K244" s="110">
        <v>1</v>
      </c>
      <c r="L244" s="81"/>
      <c r="M244" s="81">
        <f>'Praroop-20 hindi'!C247</f>
        <v>59</v>
      </c>
      <c r="N244" s="81">
        <v>2</v>
      </c>
      <c r="O244" s="81"/>
      <c r="P244" s="81">
        <f>'Praroop-20 hindi'!D247</f>
        <v>613</v>
      </c>
      <c r="Q244" s="81">
        <v>3</v>
      </c>
      <c r="R244" s="81"/>
      <c r="S244" s="81">
        <f>'Praroop-20 hindi'!E247</f>
        <v>16</v>
      </c>
      <c r="T244" s="81">
        <v>4</v>
      </c>
      <c r="U244" s="81"/>
      <c r="V244" s="81">
        <f>'Praroop-20 hindi'!F247</f>
        <v>3</v>
      </c>
      <c r="W244" s="81">
        <v>5</v>
      </c>
      <c r="X244" s="81"/>
      <c r="Y244" s="81">
        <f>'Praroop-20 hindi'!G247</f>
        <v>0</v>
      </c>
      <c r="Z244" s="81">
        <v>6</v>
      </c>
      <c r="AA244" s="81"/>
      <c r="AB244" s="81">
        <f>'Praroop-20 hindi'!H247</f>
        <v>1</v>
      </c>
      <c r="AC244" s="81">
        <v>7</v>
      </c>
      <c r="AD244" s="81"/>
      <c r="AE244" s="81">
        <f>'Praroop-20 hindi'!I247</f>
        <v>0</v>
      </c>
      <c r="AF244" s="81">
        <v>8</v>
      </c>
      <c r="AG244" s="81"/>
      <c r="AH244" s="81">
        <f>'Praroop-20 hindi'!J247</f>
        <v>1</v>
      </c>
      <c r="AI244" s="81">
        <v>9</v>
      </c>
      <c r="AJ244" s="81"/>
      <c r="AK244" s="81">
        <f>'Praroop-20 hindi'!K247</f>
        <v>2</v>
      </c>
      <c r="AL244" s="81">
        <v>10</v>
      </c>
      <c r="AM244" s="81"/>
      <c r="AN244" s="81">
        <f>'Praroop-20 hindi'!L247</f>
        <v>4</v>
      </c>
      <c r="AO244" s="81">
        <v>11</v>
      </c>
      <c r="AP244" s="81"/>
      <c r="AQ244" s="81">
        <f>'Praroop-20 hindi'!M247</f>
        <v>3</v>
      </c>
      <c r="AR244" s="81">
        <f t="shared" si="7"/>
        <v>702</v>
      </c>
    </row>
    <row r="245" spans="1:44" ht="38.25">
      <c r="A245" s="81">
        <v>64</v>
      </c>
      <c r="B245" s="41">
        <v>239</v>
      </c>
      <c r="C245" s="113" t="s">
        <v>364</v>
      </c>
      <c r="D245" s="117">
        <v>992</v>
      </c>
      <c r="E245" s="110">
        <v>385</v>
      </c>
      <c r="F245" s="110">
        <v>314</v>
      </c>
      <c r="G245" s="110">
        <v>0</v>
      </c>
      <c r="H245" s="111">
        <f t="shared" si="6"/>
        <v>699</v>
      </c>
      <c r="I245" s="112">
        <v>699</v>
      </c>
      <c r="J245" s="110">
        <v>0</v>
      </c>
      <c r="K245" s="110">
        <v>1</v>
      </c>
      <c r="L245" s="81"/>
      <c r="M245" s="81">
        <f>'Praroop-20 hindi'!C248</f>
        <v>29</v>
      </c>
      <c r="N245" s="81">
        <v>2</v>
      </c>
      <c r="O245" s="81"/>
      <c r="P245" s="81">
        <f>'Praroop-20 hindi'!D248</f>
        <v>640</v>
      </c>
      <c r="Q245" s="81">
        <v>3</v>
      </c>
      <c r="R245" s="81"/>
      <c r="S245" s="81">
        <f>'Praroop-20 hindi'!E248</f>
        <v>21</v>
      </c>
      <c r="T245" s="81">
        <v>4</v>
      </c>
      <c r="U245" s="81"/>
      <c r="V245" s="81">
        <f>'Praroop-20 hindi'!F248</f>
        <v>2</v>
      </c>
      <c r="W245" s="81">
        <v>5</v>
      </c>
      <c r="X245" s="81"/>
      <c r="Y245" s="81">
        <f>'Praroop-20 hindi'!G248</f>
        <v>0</v>
      </c>
      <c r="Z245" s="81">
        <v>6</v>
      </c>
      <c r="AA245" s="81"/>
      <c r="AB245" s="81">
        <f>'Praroop-20 hindi'!H248</f>
        <v>0</v>
      </c>
      <c r="AC245" s="81">
        <v>7</v>
      </c>
      <c r="AD245" s="81"/>
      <c r="AE245" s="81">
        <f>'Praroop-20 hindi'!I248</f>
        <v>0</v>
      </c>
      <c r="AF245" s="81">
        <v>8</v>
      </c>
      <c r="AG245" s="81"/>
      <c r="AH245" s="81">
        <f>'Praroop-20 hindi'!J248</f>
        <v>0</v>
      </c>
      <c r="AI245" s="81">
        <v>9</v>
      </c>
      <c r="AJ245" s="81"/>
      <c r="AK245" s="81">
        <f>'Praroop-20 hindi'!K248</f>
        <v>3</v>
      </c>
      <c r="AL245" s="81">
        <v>10</v>
      </c>
      <c r="AM245" s="81"/>
      <c r="AN245" s="81">
        <f>'Praroop-20 hindi'!L248</f>
        <v>3</v>
      </c>
      <c r="AO245" s="81">
        <v>11</v>
      </c>
      <c r="AP245" s="81"/>
      <c r="AQ245" s="81">
        <f>'Praroop-20 hindi'!M248</f>
        <v>0</v>
      </c>
      <c r="AR245" s="81">
        <f t="shared" si="7"/>
        <v>698</v>
      </c>
    </row>
    <row r="246" spans="1:44" ht="38.25">
      <c r="A246" s="81">
        <v>64</v>
      </c>
      <c r="B246" s="41">
        <v>240</v>
      </c>
      <c r="C246" s="113" t="s">
        <v>365</v>
      </c>
      <c r="D246" s="117">
        <v>893</v>
      </c>
      <c r="E246" s="110">
        <v>339</v>
      </c>
      <c r="F246" s="110">
        <v>303</v>
      </c>
      <c r="G246" s="110">
        <v>0</v>
      </c>
      <c r="H246" s="111">
        <f t="shared" si="6"/>
        <v>642</v>
      </c>
      <c r="I246" s="112">
        <v>600</v>
      </c>
      <c r="J246" s="110">
        <v>0</v>
      </c>
      <c r="K246" s="110">
        <v>1</v>
      </c>
      <c r="L246" s="81"/>
      <c r="M246" s="81">
        <f>'Praroop-20 hindi'!C249</f>
        <v>19</v>
      </c>
      <c r="N246" s="81">
        <v>2</v>
      </c>
      <c r="O246" s="81"/>
      <c r="P246" s="81">
        <f>'Praroop-20 hindi'!D249</f>
        <v>598</v>
      </c>
      <c r="Q246" s="81">
        <v>3</v>
      </c>
      <c r="R246" s="81"/>
      <c r="S246" s="81">
        <f>'Praroop-20 hindi'!E249</f>
        <v>7</v>
      </c>
      <c r="T246" s="81">
        <v>4</v>
      </c>
      <c r="U246" s="81"/>
      <c r="V246" s="81">
        <f>'Praroop-20 hindi'!F249</f>
        <v>0</v>
      </c>
      <c r="W246" s="81">
        <v>5</v>
      </c>
      <c r="X246" s="81"/>
      <c r="Y246" s="81">
        <f>'Praroop-20 hindi'!G249</f>
        <v>0</v>
      </c>
      <c r="Z246" s="81">
        <v>6</v>
      </c>
      <c r="AA246" s="81"/>
      <c r="AB246" s="81">
        <f>'Praroop-20 hindi'!H249</f>
        <v>0</v>
      </c>
      <c r="AC246" s="81">
        <v>7</v>
      </c>
      <c r="AD246" s="81"/>
      <c r="AE246" s="81">
        <f>'Praroop-20 hindi'!I249</f>
        <v>0</v>
      </c>
      <c r="AF246" s="81">
        <v>8</v>
      </c>
      <c r="AG246" s="81"/>
      <c r="AH246" s="81">
        <f>'Praroop-20 hindi'!J249</f>
        <v>0</v>
      </c>
      <c r="AI246" s="81">
        <v>9</v>
      </c>
      <c r="AJ246" s="81"/>
      <c r="AK246" s="81">
        <f>'Praroop-20 hindi'!K249</f>
        <v>17</v>
      </c>
      <c r="AL246" s="81">
        <v>10</v>
      </c>
      <c r="AM246" s="81"/>
      <c r="AN246" s="81">
        <f>'Praroop-20 hindi'!L249</f>
        <v>1</v>
      </c>
      <c r="AO246" s="81">
        <v>11</v>
      </c>
      <c r="AP246" s="81"/>
      <c r="AQ246" s="81">
        <f>'Praroop-20 hindi'!M249</f>
        <v>0</v>
      </c>
      <c r="AR246" s="81">
        <f t="shared" si="7"/>
        <v>642</v>
      </c>
    </row>
    <row r="247" spans="1:44" ht="38.25">
      <c r="A247" s="81">
        <v>64</v>
      </c>
      <c r="B247" s="41">
        <v>241</v>
      </c>
      <c r="C247" s="113" t="s">
        <v>366</v>
      </c>
      <c r="D247" s="117">
        <v>753</v>
      </c>
      <c r="E247" s="110">
        <v>296</v>
      </c>
      <c r="F247" s="110">
        <v>247</v>
      </c>
      <c r="G247" s="110">
        <v>0</v>
      </c>
      <c r="H247" s="111">
        <f t="shared" si="6"/>
        <v>543</v>
      </c>
      <c r="I247" s="112">
        <v>461</v>
      </c>
      <c r="J247" s="110">
        <v>0</v>
      </c>
      <c r="K247" s="110">
        <v>1</v>
      </c>
      <c r="L247" s="81"/>
      <c r="M247" s="81">
        <f>'Praroop-20 hindi'!C250</f>
        <v>35</v>
      </c>
      <c r="N247" s="81">
        <v>2</v>
      </c>
      <c r="O247" s="81"/>
      <c r="P247" s="81">
        <f>'Praroop-20 hindi'!D250</f>
        <v>354</v>
      </c>
      <c r="Q247" s="81">
        <v>3</v>
      </c>
      <c r="R247" s="81"/>
      <c r="S247" s="81">
        <f>'Praroop-20 hindi'!E250</f>
        <v>127</v>
      </c>
      <c r="T247" s="81">
        <v>4</v>
      </c>
      <c r="U247" s="81"/>
      <c r="V247" s="81">
        <f>'Praroop-20 hindi'!F250</f>
        <v>13</v>
      </c>
      <c r="W247" s="81">
        <v>5</v>
      </c>
      <c r="X247" s="81"/>
      <c r="Y247" s="81">
        <f>'Praroop-20 hindi'!G250</f>
        <v>0</v>
      </c>
      <c r="Z247" s="81">
        <v>6</v>
      </c>
      <c r="AA247" s="81"/>
      <c r="AB247" s="81">
        <f>'Praroop-20 hindi'!H250</f>
        <v>0</v>
      </c>
      <c r="AC247" s="81">
        <v>7</v>
      </c>
      <c r="AD247" s="81"/>
      <c r="AE247" s="81">
        <f>'Praroop-20 hindi'!I250</f>
        <v>0</v>
      </c>
      <c r="AF247" s="81">
        <v>8</v>
      </c>
      <c r="AG247" s="81"/>
      <c r="AH247" s="81">
        <f>'Praroop-20 hindi'!J250</f>
        <v>0</v>
      </c>
      <c r="AI247" s="81">
        <v>9</v>
      </c>
      <c r="AJ247" s="81"/>
      <c r="AK247" s="81">
        <f>'Praroop-20 hindi'!K250</f>
        <v>10</v>
      </c>
      <c r="AL247" s="81">
        <v>10</v>
      </c>
      <c r="AM247" s="81"/>
      <c r="AN247" s="81">
        <f>'Praroop-20 hindi'!L250</f>
        <v>1</v>
      </c>
      <c r="AO247" s="81">
        <v>11</v>
      </c>
      <c r="AP247" s="81"/>
      <c r="AQ247" s="81">
        <f>'Praroop-20 hindi'!M250</f>
        <v>3</v>
      </c>
      <c r="AR247" s="81">
        <f t="shared" si="7"/>
        <v>543</v>
      </c>
    </row>
    <row r="248" spans="1:44" ht="38.25">
      <c r="A248" s="81">
        <v>64</v>
      </c>
      <c r="B248" s="41">
        <v>242</v>
      </c>
      <c r="C248" s="113" t="s">
        <v>367</v>
      </c>
      <c r="D248" s="117">
        <v>743</v>
      </c>
      <c r="E248" s="110">
        <v>302</v>
      </c>
      <c r="F248" s="110">
        <v>266</v>
      </c>
      <c r="G248" s="110">
        <v>0</v>
      </c>
      <c r="H248" s="111">
        <f t="shared" si="6"/>
        <v>568</v>
      </c>
      <c r="I248" s="112">
        <v>502</v>
      </c>
      <c r="J248" s="110">
        <v>0</v>
      </c>
      <c r="K248" s="110">
        <v>1</v>
      </c>
      <c r="L248" s="81"/>
      <c r="M248" s="81">
        <f>'Praroop-20 hindi'!C251</f>
        <v>39</v>
      </c>
      <c r="N248" s="81">
        <v>2</v>
      </c>
      <c r="O248" s="81"/>
      <c r="P248" s="81">
        <f>'Praroop-20 hindi'!D251</f>
        <v>374</v>
      </c>
      <c r="Q248" s="81">
        <v>3</v>
      </c>
      <c r="R248" s="81"/>
      <c r="S248" s="81">
        <f>'Praroop-20 hindi'!E251</f>
        <v>136</v>
      </c>
      <c r="T248" s="81">
        <v>4</v>
      </c>
      <c r="U248" s="81"/>
      <c r="V248" s="81">
        <f>'Praroop-20 hindi'!F251</f>
        <v>10</v>
      </c>
      <c r="W248" s="81">
        <v>5</v>
      </c>
      <c r="X248" s="81"/>
      <c r="Y248" s="81">
        <f>'Praroop-20 hindi'!G251</f>
        <v>0</v>
      </c>
      <c r="Z248" s="81">
        <v>6</v>
      </c>
      <c r="AA248" s="81"/>
      <c r="AB248" s="81">
        <f>'Praroop-20 hindi'!H251</f>
        <v>0</v>
      </c>
      <c r="AC248" s="81">
        <v>7</v>
      </c>
      <c r="AD248" s="81"/>
      <c r="AE248" s="81">
        <f>'Praroop-20 hindi'!I251</f>
        <v>0</v>
      </c>
      <c r="AF248" s="81">
        <v>8</v>
      </c>
      <c r="AG248" s="81"/>
      <c r="AH248" s="81">
        <f>'Praroop-20 hindi'!J251</f>
        <v>0</v>
      </c>
      <c r="AI248" s="81">
        <v>9</v>
      </c>
      <c r="AJ248" s="81"/>
      <c r="AK248" s="81">
        <f>'Praroop-20 hindi'!K251</f>
        <v>8</v>
      </c>
      <c r="AL248" s="81">
        <v>10</v>
      </c>
      <c r="AM248" s="81"/>
      <c r="AN248" s="81">
        <f>'Praroop-20 hindi'!L251</f>
        <v>0</v>
      </c>
      <c r="AO248" s="81">
        <v>11</v>
      </c>
      <c r="AP248" s="81"/>
      <c r="AQ248" s="81">
        <f>'Praroop-20 hindi'!M251</f>
        <v>0</v>
      </c>
      <c r="AR248" s="81">
        <f t="shared" si="7"/>
        <v>567</v>
      </c>
    </row>
    <row r="249" spans="1:44" ht="38.25">
      <c r="A249" s="81">
        <v>64</v>
      </c>
      <c r="B249" s="41">
        <v>243</v>
      </c>
      <c r="C249" s="113" t="s">
        <v>368</v>
      </c>
      <c r="D249" s="117">
        <v>1108</v>
      </c>
      <c r="E249" s="110">
        <v>454</v>
      </c>
      <c r="F249" s="110">
        <v>383</v>
      </c>
      <c r="G249" s="110">
        <v>0</v>
      </c>
      <c r="H249" s="111">
        <f t="shared" si="6"/>
        <v>837</v>
      </c>
      <c r="I249" s="112">
        <v>737</v>
      </c>
      <c r="J249" s="110">
        <v>0</v>
      </c>
      <c r="K249" s="110">
        <v>1</v>
      </c>
      <c r="L249" s="81"/>
      <c r="M249" s="81">
        <f>'Praroop-20 hindi'!C252</f>
        <v>37</v>
      </c>
      <c r="N249" s="81">
        <v>2</v>
      </c>
      <c r="O249" s="81"/>
      <c r="P249" s="81">
        <f>'Praroop-20 hindi'!D252</f>
        <v>749</v>
      </c>
      <c r="Q249" s="81">
        <v>3</v>
      </c>
      <c r="R249" s="81"/>
      <c r="S249" s="81">
        <f>'Praroop-20 hindi'!E252</f>
        <v>24</v>
      </c>
      <c r="T249" s="81">
        <v>4</v>
      </c>
      <c r="U249" s="81"/>
      <c r="V249" s="81">
        <f>'Praroop-20 hindi'!F252</f>
        <v>9</v>
      </c>
      <c r="W249" s="81">
        <v>5</v>
      </c>
      <c r="X249" s="81"/>
      <c r="Y249" s="81">
        <f>'Praroop-20 hindi'!G252</f>
        <v>0</v>
      </c>
      <c r="Z249" s="81">
        <v>6</v>
      </c>
      <c r="AA249" s="81"/>
      <c r="AB249" s="81">
        <f>'Praroop-20 hindi'!H252</f>
        <v>0</v>
      </c>
      <c r="AC249" s="81">
        <v>7</v>
      </c>
      <c r="AD249" s="81"/>
      <c r="AE249" s="81">
        <f>'Praroop-20 hindi'!I252</f>
        <v>1</v>
      </c>
      <c r="AF249" s="81">
        <v>8</v>
      </c>
      <c r="AG249" s="81"/>
      <c r="AH249" s="81">
        <f>'Praroop-20 hindi'!J252</f>
        <v>0</v>
      </c>
      <c r="AI249" s="81">
        <v>9</v>
      </c>
      <c r="AJ249" s="81"/>
      <c r="AK249" s="81">
        <f>'Praroop-20 hindi'!K252</f>
        <v>11</v>
      </c>
      <c r="AL249" s="81">
        <v>10</v>
      </c>
      <c r="AM249" s="81"/>
      <c r="AN249" s="81">
        <f>'Praroop-20 hindi'!L252</f>
        <v>5</v>
      </c>
      <c r="AO249" s="81">
        <v>11</v>
      </c>
      <c r="AP249" s="81"/>
      <c r="AQ249" s="81">
        <f>'Praroop-20 hindi'!M252</f>
        <v>1</v>
      </c>
      <c r="AR249" s="81">
        <f t="shared" si="7"/>
        <v>837</v>
      </c>
    </row>
    <row r="250" spans="1:44" ht="38.25">
      <c r="A250" s="81">
        <v>64</v>
      </c>
      <c r="B250" s="41">
        <v>244</v>
      </c>
      <c r="C250" s="113" t="s">
        <v>369</v>
      </c>
      <c r="D250" s="117">
        <v>1034</v>
      </c>
      <c r="E250" s="110">
        <v>401</v>
      </c>
      <c r="F250" s="110">
        <v>353</v>
      </c>
      <c r="G250" s="110">
        <v>0</v>
      </c>
      <c r="H250" s="111">
        <f t="shared" si="6"/>
        <v>754</v>
      </c>
      <c r="I250" s="112">
        <v>600</v>
      </c>
      <c r="J250" s="110">
        <v>0</v>
      </c>
      <c r="K250" s="110">
        <v>1</v>
      </c>
      <c r="L250" s="81"/>
      <c r="M250" s="81">
        <f>'Praroop-20 hindi'!C253</f>
        <v>24</v>
      </c>
      <c r="N250" s="81">
        <v>2</v>
      </c>
      <c r="O250" s="81"/>
      <c r="P250" s="81">
        <f>'Praroop-20 hindi'!D253</f>
        <v>515</v>
      </c>
      <c r="Q250" s="81">
        <v>3</v>
      </c>
      <c r="R250" s="81"/>
      <c r="S250" s="81">
        <f>'Praroop-20 hindi'!E253</f>
        <v>150</v>
      </c>
      <c r="T250" s="81">
        <v>4</v>
      </c>
      <c r="U250" s="81"/>
      <c r="V250" s="81">
        <f>'Praroop-20 hindi'!F253</f>
        <v>12</v>
      </c>
      <c r="W250" s="81">
        <v>5</v>
      </c>
      <c r="X250" s="81"/>
      <c r="Y250" s="81">
        <f>'Praroop-20 hindi'!G253</f>
        <v>1</v>
      </c>
      <c r="Z250" s="81">
        <v>6</v>
      </c>
      <c r="AA250" s="81"/>
      <c r="AB250" s="81">
        <f>'Praroop-20 hindi'!H253</f>
        <v>0</v>
      </c>
      <c r="AC250" s="81">
        <v>7</v>
      </c>
      <c r="AD250" s="81"/>
      <c r="AE250" s="81">
        <f>'Praroop-20 hindi'!I253</f>
        <v>0</v>
      </c>
      <c r="AF250" s="81">
        <v>8</v>
      </c>
      <c r="AG250" s="81"/>
      <c r="AH250" s="81">
        <f>'Praroop-20 hindi'!J253</f>
        <v>2</v>
      </c>
      <c r="AI250" s="81">
        <v>9</v>
      </c>
      <c r="AJ250" s="81"/>
      <c r="AK250" s="81">
        <f>'Praroop-20 hindi'!K253</f>
        <v>42</v>
      </c>
      <c r="AL250" s="81">
        <v>10</v>
      </c>
      <c r="AM250" s="81"/>
      <c r="AN250" s="81">
        <f>'Praroop-20 hindi'!L253</f>
        <v>1</v>
      </c>
      <c r="AO250" s="81">
        <v>11</v>
      </c>
      <c r="AP250" s="81"/>
      <c r="AQ250" s="81">
        <f>'Praroop-20 hindi'!M253</f>
        <v>1</v>
      </c>
      <c r="AR250" s="81">
        <f t="shared" si="7"/>
        <v>748</v>
      </c>
    </row>
    <row r="251" spans="1:44" ht="38.25">
      <c r="A251" s="81">
        <v>64</v>
      </c>
      <c r="B251" s="41">
        <v>245</v>
      </c>
      <c r="C251" s="113" t="s">
        <v>370</v>
      </c>
      <c r="D251" s="117">
        <v>966</v>
      </c>
      <c r="E251" s="110">
        <v>415</v>
      </c>
      <c r="F251" s="110">
        <v>371</v>
      </c>
      <c r="G251" s="110">
        <v>0</v>
      </c>
      <c r="H251" s="111">
        <f t="shared" si="6"/>
        <v>786</v>
      </c>
      <c r="I251" s="112">
        <v>641</v>
      </c>
      <c r="J251" s="110">
        <v>0</v>
      </c>
      <c r="K251" s="110">
        <v>1</v>
      </c>
      <c r="L251" s="81"/>
      <c r="M251" s="81">
        <f>'Praroop-20 hindi'!C254</f>
        <v>7</v>
      </c>
      <c r="N251" s="81">
        <v>2</v>
      </c>
      <c r="O251" s="81"/>
      <c r="P251" s="81">
        <f>'Praroop-20 hindi'!D254</f>
        <v>153</v>
      </c>
      <c r="Q251" s="81">
        <v>3</v>
      </c>
      <c r="R251" s="81"/>
      <c r="S251" s="81">
        <f>'Praroop-20 hindi'!E254</f>
        <v>603</v>
      </c>
      <c r="T251" s="81">
        <v>4</v>
      </c>
      <c r="U251" s="81"/>
      <c r="V251" s="81">
        <f>'Praroop-20 hindi'!F254</f>
        <v>6</v>
      </c>
      <c r="W251" s="81">
        <v>5</v>
      </c>
      <c r="X251" s="81"/>
      <c r="Y251" s="81">
        <f>'Praroop-20 hindi'!G254</f>
        <v>1</v>
      </c>
      <c r="Z251" s="81">
        <v>6</v>
      </c>
      <c r="AA251" s="81"/>
      <c r="AB251" s="81">
        <f>'Praroop-20 hindi'!H254</f>
        <v>1</v>
      </c>
      <c r="AC251" s="81">
        <v>7</v>
      </c>
      <c r="AD251" s="81"/>
      <c r="AE251" s="81">
        <f>'Praroop-20 hindi'!I254</f>
        <v>0</v>
      </c>
      <c r="AF251" s="81">
        <v>8</v>
      </c>
      <c r="AG251" s="81"/>
      <c r="AH251" s="81">
        <f>'Praroop-20 hindi'!J254</f>
        <v>1</v>
      </c>
      <c r="AI251" s="81">
        <v>9</v>
      </c>
      <c r="AJ251" s="81"/>
      <c r="AK251" s="81">
        <f>'Praroop-20 hindi'!K254</f>
        <v>2</v>
      </c>
      <c r="AL251" s="81">
        <v>10</v>
      </c>
      <c r="AM251" s="81"/>
      <c r="AN251" s="81">
        <f>'Praroop-20 hindi'!L254</f>
        <v>8</v>
      </c>
      <c r="AO251" s="81">
        <v>11</v>
      </c>
      <c r="AP251" s="81"/>
      <c r="AQ251" s="81">
        <f>'Praroop-20 hindi'!M254</f>
        <v>4</v>
      </c>
      <c r="AR251" s="81">
        <f t="shared" si="7"/>
        <v>786</v>
      </c>
    </row>
    <row r="252" spans="1:44" ht="38.25">
      <c r="A252" s="81">
        <v>64</v>
      </c>
      <c r="B252" s="41">
        <v>246</v>
      </c>
      <c r="C252" s="113" t="s">
        <v>371</v>
      </c>
      <c r="D252" s="117">
        <v>1098</v>
      </c>
      <c r="E252" s="110">
        <v>435</v>
      </c>
      <c r="F252" s="110">
        <v>384</v>
      </c>
      <c r="G252" s="110">
        <v>0</v>
      </c>
      <c r="H252" s="111">
        <f t="shared" si="6"/>
        <v>819</v>
      </c>
      <c r="I252" s="112">
        <v>670</v>
      </c>
      <c r="J252" s="110">
        <v>0</v>
      </c>
      <c r="K252" s="110">
        <v>1</v>
      </c>
      <c r="L252" s="81"/>
      <c r="M252" s="81">
        <f>'Praroop-20 hindi'!C255</f>
        <v>8</v>
      </c>
      <c r="N252" s="81">
        <v>2</v>
      </c>
      <c r="O252" s="81"/>
      <c r="P252" s="81">
        <f>'Praroop-20 hindi'!D255</f>
        <v>210</v>
      </c>
      <c r="Q252" s="81">
        <v>3</v>
      </c>
      <c r="R252" s="81"/>
      <c r="S252" s="81">
        <f>'Praroop-20 hindi'!E255</f>
        <v>576</v>
      </c>
      <c r="T252" s="81">
        <v>4</v>
      </c>
      <c r="U252" s="81"/>
      <c r="V252" s="81">
        <f>'Praroop-20 hindi'!F255</f>
        <v>6</v>
      </c>
      <c r="W252" s="81">
        <v>5</v>
      </c>
      <c r="X252" s="81"/>
      <c r="Y252" s="81">
        <f>'Praroop-20 hindi'!G255</f>
        <v>1</v>
      </c>
      <c r="Z252" s="81">
        <v>6</v>
      </c>
      <c r="AA252" s="81"/>
      <c r="AB252" s="81">
        <f>'Praroop-20 hindi'!H255</f>
        <v>0</v>
      </c>
      <c r="AC252" s="81">
        <v>7</v>
      </c>
      <c r="AD252" s="81"/>
      <c r="AE252" s="81">
        <f>'Praroop-20 hindi'!I255</f>
        <v>1</v>
      </c>
      <c r="AF252" s="81">
        <v>8</v>
      </c>
      <c r="AG252" s="81"/>
      <c r="AH252" s="81">
        <f>'Praroop-20 hindi'!J255</f>
        <v>0</v>
      </c>
      <c r="AI252" s="81">
        <v>9</v>
      </c>
      <c r="AJ252" s="81"/>
      <c r="AK252" s="81">
        <f>'Praroop-20 hindi'!K255</f>
        <v>6</v>
      </c>
      <c r="AL252" s="81">
        <v>10</v>
      </c>
      <c r="AM252" s="81"/>
      <c r="AN252" s="81">
        <f>'Praroop-20 hindi'!L255</f>
        <v>7</v>
      </c>
      <c r="AO252" s="81">
        <v>11</v>
      </c>
      <c r="AP252" s="81"/>
      <c r="AQ252" s="81">
        <f>'Praroop-20 hindi'!M255</f>
        <v>1</v>
      </c>
      <c r="AR252" s="81">
        <f t="shared" si="7"/>
        <v>816</v>
      </c>
    </row>
    <row r="253" spans="1:44" ht="38.25">
      <c r="A253" s="81">
        <v>64</v>
      </c>
      <c r="B253" s="41">
        <v>247</v>
      </c>
      <c r="C253" s="113" t="s">
        <v>372</v>
      </c>
      <c r="D253" s="117">
        <v>958</v>
      </c>
      <c r="E253" s="110">
        <v>385</v>
      </c>
      <c r="F253" s="110">
        <v>326</v>
      </c>
      <c r="G253" s="110">
        <v>0</v>
      </c>
      <c r="H253" s="111">
        <f t="shared" si="6"/>
        <v>711</v>
      </c>
      <c r="I253" s="112">
        <v>595</v>
      </c>
      <c r="J253" s="110">
        <v>0</v>
      </c>
      <c r="K253" s="110">
        <v>1</v>
      </c>
      <c r="L253" s="81"/>
      <c r="M253" s="81">
        <f>'Praroop-20 hindi'!C256</f>
        <v>28</v>
      </c>
      <c r="N253" s="81">
        <v>2</v>
      </c>
      <c r="O253" s="81"/>
      <c r="P253" s="81">
        <f>'Praroop-20 hindi'!D256</f>
        <v>435</v>
      </c>
      <c r="Q253" s="81">
        <v>3</v>
      </c>
      <c r="R253" s="81"/>
      <c r="S253" s="81">
        <f>'Praroop-20 hindi'!E256</f>
        <v>220</v>
      </c>
      <c r="T253" s="81">
        <v>4</v>
      </c>
      <c r="U253" s="81"/>
      <c r="V253" s="81">
        <f>'Praroop-20 hindi'!F256</f>
        <v>4</v>
      </c>
      <c r="W253" s="81">
        <v>5</v>
      </c>
      <c r="X253" s="81"/>
      <c r="Y253" s="81">
        <f>'Praroop-20 hindi'!G256</f>
        <v>0</v>
      </c>
      <c r="Z253" s="81">
        <v>6</v>
      </c>
      <c r="AA253" s="81"/>
      <c r="AB253" s="81">
        <f>'Praroop-20 hindi'!H256</f>
        <v>0</v>
      </c>
      <c r="AC253" s="81">
        <v>7</v>
      </c>
      <c r="AD253" s="81"/>
      <c r="AE253" s="81">
        <f>'Praroop-20 hindi'!I256</f>
        <v>0</v>
      </c>
      <c r="AF253" s="81">
        <v>8</v>
      </c>
      <c r="AG253" s="81"/>
      <c r="AH253" s="81">
        <f>'Praroop-20 hindi'!J256</f>
        <v>0</v>
      </c>
      <c r="AI253" s="81">
        <v>9</v>
      </c>
      <c r="AJ253" s="81"/>
      <c r="AK253" s="81">
        <f>'Praroop-20 hindi'!K256</f>
        <v>20</v>
      </c>
      <c r="AL253" s="81">
        <v>10</v>
      </c>
      <c r="AM253" s="81"/>
      <c r="AN253" s="81">
        <f>'Praroop-20 hindi'!L256</f>
        <v>2</v>
      </c>
      <c r="AO253" s="81">
        <v>11</v>
      </c>
      <c r="AP253" s="81"/>
      <c r="AQ253" s="81">
        <f>'Praroop-20 hindi'!M256</f>
        <v>0</v>
      </c>
      <c r="AR253" s="81">
        <f t="shared" si="7"/>
        <v>709</v>
      </c>
    </row>
    <row r="254" spans="1:44" ht="38.25">
      <c r="A254" s="81">
        <v>64</v>
      </c>
      <c r="B254" s="41">
        <v>248</v>
      </c>
      <c r="C254" s="113" t="s">
        <v>373</v>
      </c>
      <c r="D254" s="117">
        <v>1044</v>
      </c>
      <c r="E254" s="110">
        <v>385</v>
      </c>
      <c r="F254" s="110">
        <v>330</v>
      </c>
      <c r="G254" s="110">
        <v>0</v>
      </c>
      <c r="H254" s="111">
        <f>SUM(E254:G254)</f>
        <v>715</v>
      </c>
      <c r="I254" s="112">
        <v>628</v>
      </c>
      <c r="J254" s="110">
        <v>0</v>
      </c>
      <c r="K254" s="110">
        <v>1</v>
      </c>
      <c r="L254" s="81"/>
      <c r="M254" s="81">
        <f>'Praroop-20 hindi'!C257</f>
        <v>17</v>
      </c>
      <c r="N254" s="81">
        <v>2</v>
      </c>
      <c r="O254" s="81"/>
      <c r="P254" s="81">
        <f>'Praroop-20 hindi'!D257</f>
        <v>516</v>
      </c>
      <c r="Q254" s="81">
        <v>3</v>
      </c>
      <c r="R254" s="81"/>
      <c r="S254" s="81">
        <f>'Praroop-20 hindi'!E257</f>
        <v>143</v>
      </c>
      <c r="T254" s="81">
        <v>4</v>
      </c>
      <c r="U254" s="81"/>
      <c r="V254" s="81">
        <f>'Praroop-20 hindi'!F257</f>
        <v>4</v>
      </c>
      <c r="W254" s="81">
        <v>5</v>
      </c>
      <c r="X254" s="81"/>
      <c r="Y254" s="81">
        <f>'Praroop-20 hindi'!G257</f>
        <v>0</v>
      </c>
      <c r="Z254" s="81">
        <v>6</v>
      </c>
      <c r="AA254" s="81"/>
      <c r="AB254" s="81">
        <f>'Praroop-20 hindi'!H257</f>
        <v>1</v>
      </c>
      <c r="AC254" s="81">
        <v>7</v>
      </c>
      <c r="AD254" s="81"/>
      <c r="AE254" s="81">
        <f>'Praroop-20 hindi'!I257</f>
        <v>3</v>
      </c>
      <c r="AF254" s="81">
        <v>8</v>
      </c>
      <c r="AG254" s="81"/>
      <c r="AH254" s="81">
        <f>'Praroop-20 hindi'!J257</f>
        <v>0</v>
      </c>
      <c r="AI254" s="81">
        <v>9</v>
      </c>
      <c r="AJ254" s="81"/>
      <c r="AK254" s="81">
        <f>'Praroop-20 hindi'!K257</f>
        <v>15</v>
      </c>
      <c r="AL254" s="81">
        <v>10</v>
      </c>
      <c r="AM254" s="81"/>
      <c r="AN254" s="81">
        <f>'Praroop-20 hindi'!L257</f>
        <v>13</v>
      </c>
      <c r="AO254" s="81">
        <v>11</v>
      </c>
      <c r="AP254" s="81"/>
      <c r="AQ254" s="81">
        <f>'Praroop-20 hindi'!M257</f>
        <v>1</v>
      </c>
      <c r="AR254" s="81">
        <f t="shared" si="7"/>
        <v>713</v>
      </c>
    </row>
    <row r="255" spans="1:44" ht="38.25">
      <c r="A255" s="81">
        <v>64</v>
      </c>
      <c r="B255" s="41">
        <v>249</v>
      </c>
      <c r="C255" s="113" t="s">
        <v>374</v>
      </c>
      <c r="D255" s="117">
        <v>618</v>
      </c>
      <c r="E255" s="110">
        <v>241</v>
      </c>
      <c r="F255" s="110">
        <v>215</v>
      </c>
      <c r="G255" s="110">
        <v>0</v>
      </c>
      <c r="H255" s="111">
        <f t="shared" si="6"/>
        <v>456</v>
      </c>
      <c r="I255" s="112">
        <v>394</v>
      </c>
      <c r="J255" s="110">
        <v>0</v>
      </c>
      <c r="K255" s="110">
        <v>1</v>
      </c>
      <c r="L255" s="81"/>
      <c r="M255" s="81">
        <f>'Praroop-20 hindi'!C258</f>
        <v>10</v>
      </c>
      <c r="N255" s="81">
        <v>2</v>
      </c>
      <c r="O255" s="81"/>
      <c r="P255" s="81">
        <f>'Praroop-20 hindi'!D258</f>
        <v>78</v>
      </c>
      <c r="Q255" s="81">
        <v>3</v>
      </c>
      <c r="R255" s="81"/>
      <c r="S255" s="81">
        <f>'Praroop-20 hindi'!E258</f>
        <v>356</v>
      </c>
      <c r="T255" s="81">
        <v>4</v>
      </c>
      <c r="U255" s="81"/>
      <c r="V255" s="81">
        <f>'Praroop-20 hindi'!F258</f>
        <v>2</v>
      </c>
      <c r="W255" s="81">
        <v>5</v>
      </c>
      <c r="X255" s="81"/>
      <c r="Y255" s="81">
        <f>'Praroop-20 hindi'!G258</f>
        <v>0</v>
      </c>
      <c r="Z255" s="81">
        <v>6</v>
      </c>
      <c r="AA255" s="81"/>
      <c r="AB255" s="81">
        <f>'Praroop-20 hindi'!H258</f>
        <v>0</v>
      </c>
      <c r="AC255" s="81">
        <v>7</v>
      </c>
      <c r="AD255" s="81"/>
      <c r="AE255" s="81">
        <f>'Praroop-20 hindi'!I258</f>
        <v>0</v>
      </c>
      <c r="AF255" s="81">
        <v>8</v>
      </c>
      <c r="AG255" s="81"/>
      <c r="AH255" s="81">
        <f>'Praroop-20 hindi'!J258</f>
        <v>0</v>
      </c>
      <c r="AI255" s="81">
        <v>9</v>
      </c>
      <c r="AJ255" s="81"/>
      <c r="AK255" s="81">
        <f>'Praroop-20 hindi'!K258</f>
        <v>2</v>
      </c>
      <c r="AL255" s="81">
        <v>10</v>
      </c>
      <c r="AM255" s="81"/>
      <c r="AN255" s="81">
        <f>'Praroop-20 hindi'!L258</f>
        <v>2</v>
      </c>
      <c r="AO255" s="81">
        <v>11</v>
      </c>
      <c r="AP255" s="81"/>
      <c r="AQ255" s="81">
        <f>'Praroop-20 hindi'!M258</f>
        <v>2</v>
      </c>
      <c r="AR255" s="81">
        <f t="shared" si="7"/>
        <v>452</v>
      </c>
    </row>
    <row r="256" spans="1:44" ht="38.25">
      <c r="A256" s="81">
        <v>64</v>
      </c>
      <c r="B256" s="41">
        <v>250</v>
      </c>
      <c r="C256" s="113" t="s">
        <v>375</v>
      </c>
      <c r="D256" s="117">
        <v>1074</v>
      </c>
      <c r="E256" s="110">
        <v>391</v>
      </c>
      <c r="F256" s="110">
        <v>361</v>
      </c>
      <c r="G256" s="110">
        <v>0</v>
      </c>
      <c r="H256" s="111">
        <f t="shared" si="6"/>
        <v>752</v>
      </c>
      <c r="I256" s="112">
        <v>654</v>
      </c>
      <c r="J256" s="110">
        <v>0</v>
      </c>
      <c r="K256" s="110">
        <v>1</v>
      </c>
      <c r="L256" s="81"/>
      <c r="M256" s="81">
        <f>'Praroop-20 hindi'!C259</f>
        <v>74</v>
      </c>
      <c r="N256" s="81">
        <v>2</v>
      </c>
      <c r="O256" s="81"/>
      <c r="P256" s="81">
        <f>'Praroop-20 hindi'!D259</f>
        <v>259</v>
      </c>
      <c r="Q256" s="81">
        <v>3</v>
      </c>
      <c r="R256" s="81"/>
      <c r="S256" s="81">
        <f>'Praroop-20 hindi'!E259</f>
        <v>406</v>
      </c>
      <c r="T256" s="81">
        <v>4</v>
      </c>
      <c r="U256" s="81"/>
      <c r="V256" s="81">
        <f>'Praroop-20 hindi'!F259</f>
        <v>5</v>
      </c>
      <c r="W256" s="81">
        <v>5</v>
      </c>
      <c r="X256" s="81"/>
      <c r="Y256" s="81">
        <f>'Praroop-20 hindi'!G259</f>
        <v>0</v>
      </c>
      <c r="Z256" s="81">
        <v>6</v>
      </c>
      <c r="AA256" s="81"/>
      <c r="AB256" s="81">
        <f>'Praroop-20 hindi'!H259</f>
        <v>1</v>
      </c>
      <c r="AC256" s="81">
        <v>7</v>
      </c>
      <c r="AD256" s="81"/>
      <c r="AE256" s="81">
        <f>'Praroop-20 hindi'!I259</f>
        <v>0</v>
      </c>
      <c r="AF256" s="81">
        <v>8</v>
      </c>
      <c r="AG256" s="81"/>
      <c r="AH256" s="81">
        <f>'Praroop-20 hindi'!J259</f>
        <v>0</v>
      </c>
      <c r="AI256" s="81">
        <v>9</v>
      </c>
      <c r="AJ256" s="81"/>
      <c r="AK256" s="81">
        <f>'Praroop-20 hindi'!K259</f>
        <v>1</v>
      </c>
      <c r="AL256" s="81">
        <v>10</v>
      </c>
      <c r="AM256" s="81"/>
      <c r="AN256" s="81">
        <f>'Praroop-20 hindi'!L259</f>
        <v>3</v>
      </c>
      <c r="AO256" s="81">
        <v>11</v>
      </c>
      <c r="AP256" s="81"/>
      <c r="AQ256" s="81">
        <f>'Praroop-20 hindi'!M259</f>
        <v>2</v>
      </c>
      <c r="AR256" s="81">
        <f t="shared" si="7"/>
        <v>751</v>
      </c>
    </row>
    <row r="257" spans="1:44" ht="38.25">
      <c r="A257" s="81">
        <v>64</v>
      </c>
      <c r="B257" s="41">
        <v>251</v>
      </c>
      <c r="C257" s="113" t="s">
        <v>376</v>
      </c>
      <c r="D257" s="117">
        <v>1052</v>
      </c>
      <c r="E257" s="110">
        <v>360</v>
      </c>
      <c r="F257" s="110">
        <v>307</v>
      </c>
      <c r="G257" s="110">
        <v>0</v>
      </c>
      <c r="H257" s="111">
        <f t="shared" si="6"/>
        <v>667</v>
      </c>
      <c r="I257" s="112">
        <v>605</v>
      </c>
      <c r="J257" s="110">
        <v>0</v>
      </c>
      <c r="K257" s="110">
        <v>1</v>
      </c>
      <c r="L257" s="81"/>
      <c r="M257" s="81">
        <f>'Praroop-20 hindi'!C260</f>
        <v>22</v>
      </c>
      <c r="N257" s="81">
        <v>2</v>
      </c>
      <c r="O257" s="81"/>
      <c r="P257" s="81">
        <f>'Praroop-20 hindi'!D260</f>
        <v>280</v>
      </c>
      <c r="Q257" s="81">
        <v>3</v>
      </c>
      <c r="R257" s="81"/>
      <c r="S257" s="81">
        <f>'Praroop-20 hindi'!E260</f>
        <v>351</v>
      </c>
      <c r="T257" s="81">
        <v>4</v>
      </c>
      <c r="U257" s="81"/>
      <c r="V257" s="81">
        <f>'Praroop-20 hindi'!F260</f>
        <v>2</v>
      </c>
      <c r="W257" s="81">
        <v>5</v>
      </c>
      <c r="X257" s="81"/>
      <c r="Y257" s="81">
        <f>'Praroop-20 hindi'!G260</f>
        <v>0</v>
      </c>
      <c r="Z257" s="81">
        <v>6</v>
      </c>
      <c r="AA257" s="81"/>
      <c r="AB257" s="81">
        <f>'Praroop-20 hindi'!H260</f>
        <v>0</v>
      </c>
      <c r="AC257" s="81">
        <v>7</v>
      </c>
      <c r="AD257" s="81"/>
      <c r="AE257" s="81">
        <f>'Praroop-20 hindi'!I260</f>
        <v>0</v>
      </c>
      <c r="AF257" s="81">
        <v>8</v>
      </c>
      <c r="AG257" s="81"/>
      <c r="AH257" s="81">
        <f>'Praroop-20 hindi'!J260</f>
        <v>0</v>
      </c>
      <c r="AI257" s="81">
        <v>9</v>
      </c>
      <c r="AJ257" s="81"/>
      <c r="AK257" s="81">
        <f>'Praroop-20 hindi'!K260</f>
        <v>2</v>
      </c>
      <c r="AL257" s="81">
        <v>10</v>
      </c>
      <c r="AM257" s="81"/>
      <c r="AN257" s="81">
        <f>'Praroop-20 hindi'!L260</f>
        <v>6</v>
      </c>
      <c r="AO257" s="81">
        <v>11</v>
      </c>
      <c r="AP257" s="81"/>
      <c r="AQ257" s="81">
        <f>'Praroop-20 hindi'!M260</f>
        <v>0</v>
      </c>
      <c r="AR257" s="81">
        <f t="shared" si="7"/>
        <v>663</v>
      </c>
    </row>
    <row r="258" spans="1:44" ht="38.25">
      <c r="A258" s="81">
        <v>64</v>
      </c>
      <c r="B258" s="41">
        <v>252</v>
      </c>
      <c r="C258" s="113" t="s">
        <v>377</v>
      </c>
      <c r="D258" s="117">
        <v>628</v>
      </c>
      <c r="E258" s="110">
        <v>277</v>
      </c>
      <c r="F258" s="110">
        <v>231</v>
      </c>
      <c r="G258" s="110">
        <v>0</v>
      </c>
      <c r="H258" s="111">
        <f t="shared" si="6"/>
        <v>508</v>
      </c>
      <c r="I258" s="112">
        <v>412</v>
      </c>
      <c r="J258" s="110">
        <v>0</v>
      </c>
      <c r="K258" s="110">
        <v>1</v>
      </c>
      <c r="L258" s="81"/>
      <c r="M258" s="81">
        <f>'Praroop-20 hindi'!C261</f>
        <v>10</v>
      </c>
      <c r="N258" s="81">
        <v>2</v>
      </c>
      <c r="O258" s="81"/>
      <c r="P258" s="81">
        <f>'Praroop-20 hindi'!D261</f>
        <v>464</v>
      </c>
      <c r="Q258" s="81">
        <v>3</v>
      </c>
      <c r="R258" s="81"/>
      <c r="S258" s="81">
        <f>'Praroop-20 hindi'!E261</f>
        <v>11</v>
      </c>
      <c r="T258" s="81">
        <v>4</v>
      </c>
      <c r="U258" s="81"/>
      <c r="V258" s="81">
        <f>'Praroop-20 hindi'!F261</f>
        <v>1</v>
      </c>
      <c r="W258" s="81">
        <v>5</v>
      </c>
      <c r="X258" s="81"/>
      <c r="Y258" s="81">
        <f>'Praroop-20 hindi'!G261</f>
        <v>0</v>
      </c>
      <c r="Z258" s="81">
        <v>6</v>
      </c>
      <c r="AA258" s="81"/>
      <c r="AB258" s="81">
        <f>'Praroop-20 hindi'!H261</f>
        <v>0</v>
      </c>
      <c r="AC258" s="81">
        <v>7</v>
      </c>
      <c r="AD258" s="81"/>
      <c r="AE258" s="81">
        <f>'Praroop-20 hindi'!I261</f>
        <v>0</v>
      </c>
      <c r="AF258" s="81">
        <v>8</v>
      </c>
      <c r="AG258" s="81"/>
      <c r="AH258" s="81">
        <f>'Praroop-20 hindi'!J261</f>
        <v>0</v>
      </c>
      <c r="AI258" s="81">
        <v>9</v>
      </c>
      <c r="AJ258" s="81"/>
      <c r="AK258" s="81">
        <f>'Praroop-20 hindi'!K261</f>
        <v>18</v>
      </c>
      <c r="AL258" s="81">
        <v>10</v>
      </c>
      <c r="AM258" s="81"/>
      <c r="AN258" s="81">
        <f>'Praroop-20 hindi'!L261</f>
        <v>2</v>
      </c>
      <c r="AO258" s="81">
        <v>11</v>
      </c>
      <c r="AP258" s="81"/>
      <c r="AQ258" s="81">
        <f>'Praroop-20 hindi'!M261</f>
        <v>2</v>
      </c>
      <c r="AR258" s="81">
        <f t="shared" si="7"/>
        <v>508</v>
      </c>
    </row>
    <row r="259" spans="1:44" ht="38.25">
      <c r="A259" s="81">
        <v>64</v>
      </c>
      <c r="B259" s="41">
        <v>253</v>
      </c>
      <c r="C259" s="113" t="s">
        <v>378</v>
      </c>
      <c r="D259" s="117">
        <v>934</v>
      </c>
      <c r="E259" s="110">
        <v>354</v>
      </c>
      <c r="F259" s="110">
        <v>259</v>
      </c>
      <c r="G259" s="110">
        <v>0</v>
      </c>
      <c r="H259" s="111">
        <f t="shared" si="6"/>
        <v>613</v>
      </c>
      <c r="I259" s="112">
        <v>493</v>
      </c>
      <c r="J259" s="110">
        <v>0</v>
      </c>
      <c r="K259" s="110">
        <v>1</v>
      </c>
      <c r="L259" s="81"/>
      <c r="M259" s="81">
        <f>'Praroop-20 hindi'!C262</f>
        <v>25</v>
      </c>
      <c r="N259" s="81">
        <v>2</v>
      </c>
      <c r="O259" s="81"/>
      <c r="P259" s="81">
        <f>'Praroop-20 hindi'!D262</f>
        <v>521</v>
      </c>
      <c r="Q259" s="81">
        <v>3</v>
      </c>
      <c r="R259" s="81"/>
      <c r="S259" s="81">
        <f>'Praroop-20 hindi'!E262</f>
        <v>51</v>
      </c>
      <c r="T259" s="81">
        <v>4</v>
      </c>
      <c r="U259" s="81"/>
      <c r="V259" s="81">
        <f>'Praroop-20 hindi'!F262</f>
        <v>5</v>
      </c>
      <c r="W259" s="81">
        <v>5</v>
      </c>
      <c r="X259" s="81"/>
      <c r="Y259" s="81">
        <f>'Praroop-20 hindi'!G262</f>
        <v>0</v>
      </c>
      <c r="Z259" s="81">
        <v>6</v>
      </c>
      <c r="AA259" s="81"/>
      <c r="AB259" s="81">
        <f>'Praroop-20 hindi'!H262</f>
        <v>1</v>
      </c>
      <c r="AC259" s="81">
        <v>7</v>
      </c>
      <c r="AD259" s="81"/>
      <c r="AE259" s="81">
        <f>'Praroop-20 hindi'!I262</f>
        <v>1</v>
      </c>
      <c r="AF259" s="81">
        <v>8</v>
      </c>
      <c r="AG259" s="81"/>
      <c r="AH259" s="81">
        <f>'Praroop-20 hindi'!J262</f>
        <v>0</v>
      </c>
      <c r="AI259" s="81">
        <v>9</v>
      </c>
      <c r="AJ259" s="81"/>
      <c r="AK259" s="81">
        <f>'Praroop-20 hindi'!K262</f>
        <v>1</v>
      </c>
      <c r="AL259" s="81">
        <v>10</v>
      </c>
      <c r="AM259" s="81"/>
      <c r="AN259" s="81">
        <f>'Praroop-20 hindi'!L262</f>
        <v>6</v>
      </c>
      <c r="AO259" s="81">
        <v>11</v>
      </c>
      <c r="AP259" s="81"/>
      <c r="AQ259" s="81">
        <f>'Praroop-20 hindi'!M262</f>
        <v>2</v>
      </c>
      <c r="AR259" s="81">
        <f t="shared" si="7"/>
        <v>613</v>
      </c>
    </row>
    <row r="260" spans="1:44" ht="38.25">
      <c r="A260" s="81">
        <v>64</v>
      </c>
      <c r="B260" s="41">
        <v>254</v>
      </c>
      <c r="C260" s="113" t="s">
        <v>379</v>
      </c>
      <c r="D260" s="117">
        <v>693</v>
      </c>
      <c r="E260" s="110">
        <v>251</v>
      </c>
      <c r="F260" s="110">
        <v>178</v>
      </c>
      <c r="G260" s="110">
        <v>0</v>
      </c>
      <c r="H260" s="111">
        <f t="shared" si="6"/>
        <v>429</v>
      </c>
      <c r="I260" s="112">
        <v>351</v>
      </c>
      <c r="J260" s="110">
        <v>0</v>
      </c>
      <c r="K260" s="110">
        <v>1</v>
      </c>
      <c r="L260" s="81"/>
      <c r="M260" s="81">
        <f>'Praroop-20 hindi'!C263</f>
        <v>19</v>
      </c>
      <c r="N260" s="81">
        <v>2</v>
      </c>
      <c r="O260" s="81"/>
      <c r="P260" s="81">
        <f>'Praroop-20 hindi'!D263</f>
        <v>387</v>
      </c>
      <c r="Q260" s="81">
        <v>3</v>
      </c>
      <c r="R260" s="81"/>
      <c r="S260" s="81">
        <f>'Praroop-20 hindi'!E263</f>
        <v>7</v>
      </c>
      <c r="T260" s="81">
        <v>4</v>
      </c>
      <c r="U260" s="81"/>
      <c r="V260" s="81">
        <f>'Praroop-20 hindi'!F263</f>
        <v>2</v>
      </c>
      <c r="W260" s="81">
        <v>5</v>
      </c>
      <c r="X260" s="81"/>
      <c r="Y260" s="81">
        <f>'Praroop-20 hindi'!G263</f>
        <v>0</v>
      </c>
      <c r="Z260" s="81">
        <v>6</v>
      </c>
      <c r="AA260" s="81"/>
      <c r="AB260" s="81">
        <f>'Praroop-20 hindi'!H263</f>
        <v>1</v>
      </c>
      <c r="AC260" s="81">
        <v>7</v>
      </c>
      <c r="AD260" s="81"/>
      <c r="AE260" s="81">
        <f>'Praroop-20 hindi'!I263</f>
        <v>0</v>
      </c>
      <c r="AF260" s="81">
        <v>8</v>
      </c>
      <c r="AG260" s="81"/>
      <c r="AH260" s="81">
        <f>'Praroop-20 hindi'!J263</f>
        <v>0</v>
      </c>
      <c r="AI260" s="81">
        <v>9</v>
      </c>
      <c r="AJ260" s="81"/>
      <c r="AK260" s="81">
        <f>'Praroop-20 hindi'!K263</f>
        <v>8</v>
      </c>
      <c r="AL260" s="81">
        <v>10</v>
      </c>
      <c r="AM260" s="81"/>
      <c r="AN260" s="81">
        <f>'Praroop-20 hindi'!L263</f>
        <v>5</v>
      </c>
      <c r="AO260" s="81">
        <v>11</v>
      </c>
      <c r="AP260" s="81"/>
      <c r="AQ260" s="81">
        <f>'Praroop-20 hindi'!M263</f>
        <v>0</v>
      </c>
      <c r="AR260" s="81">
        <f t="shared" si="7"/>
        <v>429</v>
      </c>
    </row>
    <row r="261" spans="1:44" ht="38.25">
      <c r="A261" s="81">
        <v>64</v>
      </c>
      <c r="B261" s="41">
        <v>255</v>
      </c>
      <c r="C261" s="113" t="s">
        <v>380</v>
      </c>
      <c r="D261" s="117">
        <v>1023</v>
      </c>
      <c r="E261" s="110">
        <v>442</v>
      </c>
      <c r="F261" s="110">
        <v>343</v>
      </c>
      <c r="G261" s="110">
        <v>0</v>
      </c>
      <c r="H261" s="111">
        <f t="shared" si="6"/>
        <v>785</v>
      </c>
      <c r="I261" s="112">
        <v>678</v>
      </c>
      <c r="J261" s="110">
        <v>0</v>
      </c>
      <c r="K261" s="110">
        <v>1</v>
      </c>
      <c r="L261" s="81"/>
      <c r="M261" s="81">
        <f>'Praroop-20 hindi'!C264</f>
        <v>9</v>
      </c>
      <c r="N261" s="81">
        <v>2</v>
      </c>
      <c r="O261" s="81"/>
      <c r="P261" s="81">
        <f>'Praroop-20 hindi'!D264</f>
        <v>710</v>
      </c>
      <c r="Q261" s="81">
        <v>3</v>
      </c>
      <c r="R261" s="81"/>
      <c r="S261" s="81">
        <f>'Praroop-20 hindi'!E264</f>
        <v>40</v>
      </c>
      <c r="T261" s="81">
        <v>4</v>
      </c>
      <c r="U261" s="81"/>
      <c r="V261" s="81">
        <f>'Praroop-20 hindi'!F264</f>
        <v>1</v>
      </c>
      <c r="W261" s="81">
        <v>5</v>
      </c>
      <c r="X261" s="81"/>
      <c r="Y261" s="81">
        <f>'Praroop-20 hindi'!G264</f>
        <v>0</v>
      </c>
      <c r="Z261" s="81">
        <v>6</v>
      </c>
      <c r="AA261" s="81"/>
      <c r="AB261" s="81">
        <f>'Praroop-20 hindi'!H264</f>
        <v>0</v>
      </c>
      <c r="AC261" s="81">
        <v>7</v>
      </c>
      <c r="AD261" s="81"/>
      <c r="AE261" s="81">
        <f>'Praroop-20 hindi'!I264</f>
        <v>0</v>
      </c>
      <c r="AF261" s="81">
        <v>8</v>
      </c>
      <c r="AG261" s="81"/>
      <c r="AH261" s="81">
        <f>'Praroop-20 hindi'!J264</f>
        <v>1</v>
      </c>
      <c r="AI261" s="81">
        <v>9</v>
      </c>
      <c r="AJ261" s="81"/>
      <c r="AK261" s="81">
        <f>'Praroop-20 hindi'!K264</f>
        <v>22</v>
      </c>
      <c r="AL261" s="81">
        <v>10</v>
      </c>
      <c r="AM261" s="81"/>
      <c r="AN261" s="81">
        <f>'Praroop-20 hindi'!L264</f>
        <v>1</v>
      </c>
      <c r="AO261" s="81">
        <v>11</v>
      </c>
      <c r="AP261" s="81"/>
      <c r="AQ261" s="81">
        <f>'Praroop-20 hindi'!M264</f>
        <v>0</v>
      </c>
      <c r="AR261" s="81">
        <f t="shared" si="7"/>
        <v>784</v>
      </c>
    </row>
    <row r="262" spans="1:44" ht="38.25">
      <c r="A262" s="81">
        <v>64</v>
      </c>
      <c r="B262" s="41">
        <v>256</v>
      </c>
      <c r="C262" s="113" t="s">
        <v>381</v>
      </c>
      <c r="D262" s="117">
        <v>586</v>
      </c>
      <c r="E262" s="110">
        <v>233</v>
      </c>
      <c r="F262" s="110">
        <v>173</v>
      </c>
      <c r="G262" s="110">
        <v>0</v>
      </c>
      <c r="H262" s="111">
        <f t="shared" si="6"/>
        <v>406</v>
      </c>
      <c r="I262" s="112">
        <v>385</v>
      </c>
      <c r="J262" s="110">
        <v>0</v>
      </c>
      <c r="K262" s="110">
        <v>1</v>
      </c>
      <c r="L262" s="81"/>
      <c r="M262" s="81">
        <f>'Praroop-20 hindi'!C265</f>
        <v>13</v>
      </c>
      <c r="N262" s="81">
        <v>2</v>
      </c>
      <c r="O262" s="81"/>
      <c r="P262" s="81">
        <f>'Praroop-20 hindi'!D265</f>
        <v>326</v>
      </c>
      <c r="Q262" s="81">
        <v>3</v>
      </c>
      <c r="R262" s="81"/>
      <c r="S262" s="81">
        <f>'Praroop-20 hindi'!E265</f>
        <v>62</v>
      </c>
      <c r="T262" s="81">
        <v>4</v>
      </c>
      <c r="U262" s="81"/>
      <c r="V262" s="81">
        <f>'Praroop-20 hindi'!F265</f>
        <v>1</v>
      </c>
      <c r="W262" s="81">
        <v>5</v>
      </c>
      <c r="X262" s="81"/>
      <c r="Y262" s="81">
        <f>'Praroop-20 hindi'!G265</f>
        <v>0</v>
      </c>
      <c r="Z262" s="81">
        <v>6</v>
      </c>
      <c r="AA262" s="81"/>
      <c r="AB262" s="81">
        <f>'Praroop-20 hindi'!H265</f>
        <v>0</v>
      </c>
      <c r="AC262" s="81">
        <v>7</v>
      </c>
      <c r="AD262" s="81"/>
      <c r="AE262" s="81">
        <f>'Praroop-20 hindi'!I265</f>
        <v>0</v>
      </c>
      <c r="AF262" s="81">
        <v>8</v>
      </c>
      <c r="AG262" s="81"/>
      <c r="AH262" s="81">
        <f>'Praroop-20 hindi'!J265</f>
        <v>0</v>
      </c>
      <c r="AI262" s="81">
        <v>9</v>
      </c>
      <c r="AJ262" s="81"/>
      <c r="AK262" s="81">
        <f>'Praroop-20 hindi'!K265</f>
        <v>3</v>
      </c>
      <c r="AL262" s="81">
        <v>10</v>
      </c>
      <c r="AM262" s="81"/>
      <c r="AN262" s="81">
        <f>'Praroop-20 hindi'!L265</f>
        <v>1</v>
      </c>
      <c r="AO262" s="81">
        <v>11</v>
      </c>
      <c r="AP262" s="81"/>
      <c r="AQ262" s="81">
        <f>'Praroop-20 hindi'!M265</f>
        <v>0</v>
      </c>
      <c r="AR262" s="81">
        <f t="shared" si="7"/>
        <v>406</v>
      </c>
    </row>
    <row r="263" spans="1:44" ht="38.25">
      <c r="A263" s="81">
        <v>64</v>
      </c>
      <c r="B263" s="41">
        <v>257</v>
      </c>
      <c r="C263" s="113" t="s">
        <v>382</v>
      </c>
      <c r="D263" s="117">
        <v>582</v>
      </c>
      <c r="E263" s="110">
        <v>220</v>
      </c>
      <c r="F263" s="110">
        <v>177</v>
      </c>
      <c r="G263" s="110">
        <v>0</v>
      </c>
      <c r="H263" s="111">
        <f t="shared" ref="H263:H326" si="8">SUM(E263:G263)</f>
        <v>397</v>
      </c>
      <c r="I263" s="112">
        <v>317</v>
      </c>
      <c r="J263" s="110">
        <v>0</v>
      </c>
      <c r="K263" s="110">
        <v>1</v>
      </c>
      <c r="L263" s="81"/>
      <c r="M263" s="81">
        <f>'Praroop-20 hindi'!C266</f>
        <v>17</v>
      </c>
      <c r="N263" s="81">
        <v>2</v>
      </c>
      <c r="O263" s="81"/>
      <c r="P263" s="81">
        <f>'Praroop-20 hindi'!D266</f>
        <v>116</v>
      </c>
      <c r="Q263" s="81">
        <v>3</v>
      </c>
      <c r="R263" s="81"/>
      <c r="S263" s="81">
        <f>'Praroop-20 hindi'!E266</f>
        <v>251</v>
      </c>
      <c r="T263" s="81">
        <v>4</v>
      </c>
      <c r="U263" s="81"/>
      <c r="V263" s="81">
        <f>'Praroop-20 hindi'!F266</f>
        <v>2</v>
      </c>
      <c r="W263" s="81">
        <v>5</v>
      </c>
      <c r="X263" s="81"/>
      <c r="Y263" s="81">
        <f>'Praroop-20 hindi'!G266</f>
        <v>0</v>
      </c>
      <c r="Z263" s="81">
        <v>6</v>
      </c>
      <c r="AA263" s="81"/>
      <c r="AB263" s="81">
        <f>'Praroop-20 hindi'!H266</f>
        <v>1</v>
      </c>
      <c r="AC263" s="81">
        <v>7</v>
      </c>
      <c r="AD263" s="81"/>
      <c r="AE263" s="81">
        <f>'Praroop-20 hindi'!I266</f>
        <v>2</v>
      </c>
      <c r="AF263" s="81">
        <v>8</v>
      </c>
      <c r="AG263" s="81"/>
      <c r="AH263" s="81">
        <f>'Praroop-20 hindi'!J266</f>
        <v>0</v>
      </c>
      <c r="AI263" s="81">
        <v>9</v>
      </c>
      <c r="AJ263" s="81"/>
      <c r="AK263" s="81">
        <f>'Praroop-20 hindi'!K266</f>
        <v>2</v>
      </c>
      <c r="AL263" s="81">
        <v>10</v>
      </c>
      <c r="AM263" s="81"/>
      <c r="AN263" s="81">
        <f>'Praroop-20 hindi'!L266</f>
        <v>2</v>
      </c>
      <c r="AO263" s="81">
        <v>11</v>
      </c>
      <c r="AP263" s="81"/>
      <c r="AQ263" s="81">
        <f>'Praroop-20 hindi'!M266</f>
        <v>1</v>
      </c>
      <c r="AR263" s="81">
        <f t="shared" si="7"/>
        <v>394</v>
      </c>
    </row>
    <row r="264" spans="1:44" ht="38.25">
      <c r="A264" s="81">
        <v>64</v>
      </c>
      <c r="B264" s="41">
        <v>258</v>
      </c>
      <c r="C264" s="113" t="s">
        <v>383</v>
      </c>
      <c r="D264" s="117">
        <v>1066</v>
      </c>
      <c r="E264" s="110">
        <v>420</v>
      </c>
      <c r="F264" s="110">
        <v>373</v>
      </c>
      <c r="G264" s="110">
        <v>0</v>
      </c>
      <c r="H264" s="111">
        <f t="shared" si="8"/>
        <v>793</v>
      </c>
      <c r="I264" s="112">
        <v>636</v>
      </c>
      <c r="J264" s="110">
        <v>0</v>
      </c>
      <c r="K264" s="110">
        <v>1</v>
      </c>
      <c r="L264" s="81"/>
      <c r="M264" s="81">
        <f>'Praroop-20 hindi'!C267</f>
        <v>12</v>
      </c>
      <c r="N264" s="81">
        <v>2</v>
      </c>
      <c r="O264" s="81"/>
      <c r="P264" s="81">
        <f>'Praroop-20 hindi'!D267</f>
        <v>557</v>
      </c>
      <c r="Q264" s="81">
        <v>3</v>
      </c>
      <c r="R264" s="81"/>
      <c r="S264" s="81">
        <f>'Praroop-20 hindi'!E267</f>
        <v>211</v>
      </c>
      <c r="T264" s="81">
        <v>4</v>
      </c>
      <c r="U264" s="81"/>
      <c r="V264" s="81">
        <f>'Praroop-20 hindi'!F267</f>
        <v>2</v>
      </c>
      <c r="W264" s="81">
        <v>5</v>
      </c>
      <c r="X264" s="81"/>
      <c r="Y264" s="81">
        <f>'Praroop-20 hindi'!G267</f>
        <v>0</v>
      </c>
      <c r="Z264" s="81">
        <v>6</v>
      </c>
      <c r="AA264" s="81"/>
      <c r="AB264" s="81">
        <f>'Praroop-20 hindi'!H267</f>
        <v>1</v>
      </c>
      <c r="AC264" s="81">
        <v>7</v>
      </c>
      <c r="AD264" s="81"/>
      <c r="AE264" s="81">
        <f>'Praroop-20 hindi'!I267</f>
        <v>0</v>
      </c>
      <c r="AF264" s="81">
        <v>8</v>
      </c>
      <c r="AG264" s="81"/>
      <c r="AH264" s="81">
        <f>'Praroop-20 hindi'!J267</f>
        <v>0</v>
      </c>
      <c r="AI264" s="81">
        <v>9</v>
      </c>
      <c r="AJ264" s="81"/>
      <c r="AK264" s="81">
        <f>'Praroop-20 hindi'!K267</f>
        <v>2</v>
      </c>
      <c r="AL264" s="81">
        <v>10</v>
      </c>
      <c r="AM264" s="81"/>
      <c r="AN264" s="81">
        <f>'Praroop-20 hindi'!L267</f>
        <v>4</v>
      </c>
      <c r="AO264" s="81">
        <v>11</v>
      </c>
      <c r="AP264" s="81"/>
      <c r="AQ264" s="81">
        <f>'Praroop-20 hindi'!M267</f>
        <v>3</v>
      </c>
      <c r="AR264" s="81">
        <f t="shared" ref="AR264:AR327" si="9">M264+P264+S264+V264+Y264+AB264+AE264+AH264+AK264+AN264+AQ264</f>
        <v>792</v>
      </c>
    </row>
    <row r="265" spans="1:44" ht="38.25">
      <c r="A265" s="81">
        <v>64</v>
      </c>
      <c r="B265" s="41">
        <v>259</v>
      </c>
      <c r="C265" s="113" t="s">
        <v>384</v>
      </c>
      <c r="D265" s="117">
        <v>715</v>
      </c>
      <c r="E265" s="110">
        <v>269</v>
      </c>
      <c r="F265" s="110">
        <v>239</v>
      </c>
      <c r="G265" s="110">
        <v>0</v>
      </c>
      <c r="H265" s="111">
        <f t="shared" si="8"/>
        <v>508</v>
      </c>
      <c r="I265" s="112">
        <v>463</v>
      </c>
      <c r="J265" s="110">
        <v>0</v>
      </c>
      <c r="K265" s="110">
        <v>1</v>
      </c>
      <c r="L265" s="81"/>
      <c r="M265" s="81">
        <f>'Praroop-20 hindi'!C268</f>
        <v>1</v>
      </c>
      <c r="N265" s="81">
        <v>2</v>
      </c>
      <c r="O265" s="81"/>
      <c r="P265" s="81">
        <f>'Praroop-20 hindi'!D268</f>
        <v>16</v>
      </c>
      <c r="Q265" s="81">
        <v>3</v>
      </c>
      <c r="R265" s="81"/>
      <c r="S265" s="81">
        <f>'Praroop-20 hindi'!E268</f>
        <v>484</v>
      </c>
      <c r="T265" s="81">
        <v>4</v>
      </c>
      <c r="U265" s="81"/>
      <c r="V265" s="81">
        <f>'Praroop-20 hindi'!F268</f>
        <v>3</v>
      </c>
      <c r="W265" s="81">
        <v>5</v>
      </c>
      <c r="X265" s="81"/>
      <c r="Y265" s="81">
        <f>'Praroop-20 hindi'!G268</f>
        <v>0</v>
      </c>
      <c r="Z265" s="81">
        <v>6</v>
      </c>
      <c r="AA265" s="81"/>
      <c r="AB265" s="81">
        <f>'Praroop-20 hindi'!H268</f>
        <v>0</v>
      </c>
      <c r="AC265" s="81">
        <v>7</v>
      </c>
      <c r="AD265" s="81"/>
      <c r="AE265" s="81">
        <f>'Praroop-20 hindi'!I268</f>
        <v>0</v>
      </c>
      <c r="AF265" s="81">
        <v>8</v>
      </c>
      <c r="AG265" s="81"/>
      <c r="AH265" s="81">
        <f>'Praroop-20 hindi'!J268</f>
        <v>0</v>
      </c>
      <c r="AI265" s="81">
        <v>9</v>
      </c>
      <c r="AJ265" s="81"/>
      <c r="AK265" s="81">
        <f>'Praroop-20 hindi'!K268</f>
        <v>1</v>
      </c>
      <c r="AL265" s="81">
        <v>10</v>
      </c>
      <c r="AM265" s="81"/>
      <c r="AN265" s="81">
        <f>'Praroop-20 hindi'!L268</f>
        <v>1</v>
      </c>
      <c r="AO265" s="81">
        <v>11</v>
      </c>
      <c r="AP265" s="81"/>
      <c r="AQ265" s="81">
        <f>'Praroop-20 hindi'!M268</f>
        <v>0</v>
      </c>
      <c r="AR265" s="81">
        <f t="shared" si="9"/>
        <v>506</v>
      </c>
    </row>
    <row r="266" spans="1:44" ht="38.25">
      <c r="A266" s="81">
        <v>64</v>
      </c>
      <c r="B266" s="41">
        <v>260</v>
      </c>
      <c r="C266" s="113" t="s">
        <v>385</v>
      </c>
      <c r="D266" s="117">
        <v>626</v>
      </c>
      <c r="E266" s="110">
        <v>273</v>
      </c>
      <c r="F266" s="110">
        <v>214</v>
      </c>
      <c r="G266" s="110">
        <v>0</v>
      </c>
      <c r="H266" s="111">
        <f t="shared" si="8"/>
        <v>487</v>
      </c>
      <c r="I266" s="112">
        <v>386</v>
      </c>
      <c r="J266" s="110">
        <v>0</v>
      </c>
      <c r="K266" s="110">
        <v>1</v>
      </c>
      <c r="L266" s="81"/>
      <c r="M266" s="81">
        <f>'Praroop-20 hindi'!C269</f>
        <v>3</v>
      </c>
      <c r="N266" s="81">
        <v>2</v>
      </c>
      <c r="O266" s="81"/>
      <c r="P266" s="81">
        <f>'Praroop-20 hindi'!D269</f>
        <v>8</v>
      </c>
      <c r="Q266" s="81">
        <v>3</v>
      </c>
      <c r="R266" s="81"/>
      <c r="S266" s="81">
        <f>'Praroop-20 hindi'!E269</f>
        <v>472</v>
      </c>
      <c r="T266" s="81">
        <v>4</v>
      </c>
      <c r="U266" s="81"/>
      <c r="V266" s="81">
        <f>'Praroop-20 hindi'!F269</f>
        <v>2</v>
      </c>
      <c r="W266" s="81">
        <v>5</v>
      </c>
      <c r="X266" s="81"/>
      <c r="Y266" s="81">
        <f>'Praroop-20 hindi'!G269</f>
        <v>0</v>
      </c>
      <c r="Z266" s="81">
        <v>6</v>
      </c>
      <c r="AA266" s="81"/>
      <c r="AB266" s="81">
        <f>'Praroop-20 hindi'!H269</f>
        <v>0</v>
      </c>
      <c r="AC266" s="81">
        <v>7</v>
      </c>
      <c r="AD266" s="81"/>
      <c r="AE266" s="81">
        <f>'Praroop-20 hindi'!I269</f>
        <v>1</v>
      </c>
      <c r="AF266" s="81">
        <v>8</v>
      </c>
      <c r="AG266" s="81"/>
      <c r="AH266" s="81">
        <f>'Praroop-20 hindi'!J269</f>
        <v>0</v>
      </c>
      <c r="AI266" s="81">
        <v>9</v>
      </c>
      <c r="AJ266" s="81"/>
      <c r="AK266" s="81">
        <f>'Praroop-20 hindi'!K269</f>
        <v>1</v>
      </c>
      <c r="AL266" s="81">
        <v>10</v>
      </c>
      <c r="AM266" s="81"/>
      <c r="AN266" s="81">
        <f>'Praroop-20 hindi'!L269</f>
        <v>0</v>
      </c>
      <c r="AO266" s="81">
        <v>11</v>
      </c>
      <c r="AP266" s="81"/>
      <c r="AQ266" s="81">
        <f>'Praroop-20 hindi'!M269</f>
        <v>0</v>
      </c>
      <c r="AR266" s="81">
        <f t="shared" si="9"/>
        <v>487</v>
      </c>
    </row>
    <row r="267" spans="1:44" ht="38.25">
      <c r="A267" s="81">
        <v>64</v>
      </c>
      <c r="B267" s="41">
        <v>261</v>
      </c>
      <c r="C267" s="113" t="s">
        <v>386</v>
      </c>
      <c r="D267" s="117">
        <v>459</v>
      </c>
      <c r="E267" s="110">
        <v>190</v>
      </c>
      <c r="F267" s="110">
        <v>157</v>
      </c>
      <c r="G267" s="110">
        <v>0</v>
      </c>
      <c r="H267" s="111">
        <f t="shared" si="8"/>
        <v>347</v>
      </c>
      <c r="I267" s="112">
        <v>294</v>
      </c>
      <c r="J267" s="110">
        <v>0</v>
      </c>
      <c r="K267" s="110">
        <v>1</v>
      </c>
      <c r="L267" s="81"/>
      <c r="M267" s="81">
        <f>'Praroop-20 hindi'!C270</f>
        <v>103</v>
      </c>
      <c r="N267" s="81">
        <v>2</v>
      </c>
      <c r="O267" s="81"/>
      <c r="P267" s="81">
        <f>'Praroop-20 hindi'!D270</f>
        <v>24</v>
      </c>
      <c r="Q267" s="81">
        <v>3</v>
      </c>
      <c r="R267" s="81"/>
      <c r="S267" s="81">
        <f>'Praroop-20 hindi'!E270</f>
        <v>211</v>
      </c>
      <c r="T267" s="81">
        <v>4</v>
      </c>
      <c r="U267" s="81"/>
      <c r="V267" s="81">
        <f>'Praroop-20 hindi'!F270</f>
        <v>2</v>
      </c>
      <c r="W267" s="81">
        <v>5</v>
      </c>
      <c r="X267" s="81"/>
      <c r="Y267" s="81">
        <f>'Praroop-20 hindi'!G270</f>
        <v>0</v>
      </c>
      <c r="Z267" s="81">
        <v>6</v>
      </c>
      <c r="AA267" s="81"/>
      <c r="AB267" s="81">
        <f>'Praroop-20 hindi'!H270</f>
        <v>0</v>
      </c>
      <c r="AC267" s="81">
        <v>7</v>
      </c>
      <c r="AD267" s="81"/>
      <c r="AE267" s="81">
        <f>'Praroop-20 hindi'!I270</f>
        <v>0</v>
      </c>
      <c r="AF267" s="81">
        <v>8</v>
      </c>
      <c r="AG267" s="81"/>
      <c r="AH267" s="81">
        <f>'Praroop-20 hindi'!J270</f>
        <v>0</v>
      </c>
      <c r="AI267" s="81">
        <v>9</v>
      </c>
      <c r="AJ267" s="81"/>
      <c r="AK267" s="81">
        <f>'Praroop-20 hindi'!K270</f>
        <v>0</v>
      </c>
      <c r="AL267" s="81">
        <v>10</v>
      </c>
      <c r="AM267" s="81"/>
      <c r="AN267" s="81">
        <f>'Praroop-20 hindi'!L270</f>
        <v>4</v>
      </c>
      <c r="AO267" s="81">
        <v>11</v>
      </c>
      <c r="AP267" s="81"/>
      <c r="AQ267" s="81">
        <f>'Praroop-20 hindi'!M270</f>
        <v>0</v>
      </c>
      <c r="AR267" s="81">
        <f t="shared" si="9"/>
        <v>344</v>
      </c>
    </row>
    <row r="268" spans="1:44" ht="51">
      <c r="A268" s="81">
        <v>64</v>
      </c>
      <c r="B268" s="41">
        <v>262</v>
      </c>
      <c r="C268" s="113" t="s">
        <v>387</v>
      </c>
      <c r="D268" s="117">
        <v>1028</v>
      </c>
      <c r="E268" s="110">
        <v>447</v>
      </c>
      <c r="F268" s="110">
        <v>402</v>
      </c>
      <c r="G268" s="110">
        <v>0</v>
      </c>
      <c r="H268" s="111">
        <f t="shared" si="8"/>
        <v>849</v>
      </c>
      <c r="I268" s="112">
        <v>746</v>
      </c>
      <c r="J268" s="110">
        <v>0</v>
      </c>
      <c r="K268" s="110">
        <v>1</v>
      </c>
      <c r="L268" s="81"/>
      <c r="M268" s="81">
        <f>'Praroop-20 hindi'!C271</f>
        <v>10</v>
      </c>
      <c r="N268" s="81">
        <v>2</v>
      </c>
      <c r="O268" s="81"/>
      <c r="P268" s="81">
        <f>'Praroop-20 hindi'!D271</f>
        <v>290</v>
      </c>
      <c r="Q268" s="81">
        <v>3</v>
      </c>
      <c r="R268" s="81"/>
      <c r="S268" s="81">
        <f>'Praroop-20 hindi'!E271</f>
        <v>533</v>
      </c>
      <c r="T268" s="81">
        <v>4</v>
      </c>
      <c r="U268" s="81"/>
      <c r="V268" s="81">
        <f>'Praroop-20 hindi'!F271</f>
        <v>2</v>
      </c>
      <c r="W268" s="81">
        <v>5</v>
      </c>
      <c r="X268" s="81"/>
      <c r="Y268" s="81">
        <f>'Praroop-20 hindi'!G271</f>
        <v>2</v>
      </c>
      <c r="Z268" s="81">
        <v>6</v>
      </c>
      <c r="AA268" s="81"/>
      <c r="AB268" s="81">
        <f>'Praroop-20 hindi'!H271</f>
        <v>0</v>
      </c>
      <c r="AC268" s="81">
        <v>7</v>
      </c>
      <c r="AD268" s="81"/>
      <c r="AE268" s="81">
        <f>'Praroop-20 hindi'!I271</f>
        <v>0</v>
      </c>
      <c r="AF268" s="81">
        <v>8</v>
      </c>
      <c r="AG268" s="81"/>
      <c r="AH268" s="81">
        <f>'Praroop-20 hindi'!J271</f>
        <v>0</v>
      </c>
      <c r="AI268" s="81">
        <v>9</v>
      </c>
      <c r="AJ268" s="81"/>
      <c r="AK268" s="81">
        <f>'Praroop-20 hindi'!K271</f>
        <v>1</v>
      </c>
      <c r="AL268" s="81">
        <v>10</v>
      </c>
      <c r="AM268" s="81"/>
      <c r="AN268" s="81">
        <f>'Praroop-20 hindi'!L271</f>
        <v>8</v>
      </c>
      <c r="AO268" s="81">
        <v>11</v>
      </c>
      <c r="AP268" s="81"/>
      <c r="AQ268" s="81">
        <f>'Praroop-20 hindi'!M271</f>
        <v>2</v>
      </c>
      <c r="AR268" s="81">
        <f t="shared" si="9"/>
        <v>848</v>
      </c>
    </row>
    <row r="269" spans="1:44" ht="51">
      <c r="A269" s="81">
        <v>64</v>
      </c>
      <c r="B269" s="41">
        <v>263</v>
      </c>
      <c r="C269" s="113" t="s">
        <v>388</v>
      </c>
      <c r="D269" s="117">
        <v>1135</v>
      </c>
      <c r="E269" s="110">
        <v>380</v>
      </c>
      <c r="F269" s="110">
        <v>416</v>
      </c>
      <c r="G269" s="110">
        <v>0</v>
      </c>
      <c r="H269" s="111">
        <f t="shared" si="8"/>
        <v>796</v>
      </c>
      <c r="I269" s="112">
        <v>712</v>
      </c>
      <c r="J269" s="110">
        <v>0</v>
      </c>
      <c r="K269" s="110">
        <v>1</v>
      </c>
      <c r="L269" s="81"/>
      <c r="M269" s="81">
        <f>'Praroop-20 hindi'!C272</f>
        <v>4</v>
      </c>
      <c r="N269" s="81">
        <v>2</v>
      </c>
      <c r="O269" s="81"/>
      <c r="P269" s="81">
        <f>'Praroop-20 hindi'!D272</f>
        <v>207</v>
      </c>
      <c r="Q269" s="81">
        <v>3</v>
      </c>
      <c r="R269" s="81"/>
      <c r="S269" s="81">
        <f>'Praroop-20 hindi'!E272</f>
        <v>566</v>
      </c>
      <c r="T269" s="81">
        <v>4</v>
      </c>
      <c r="U269" s="81"/>
      <c r="V269" s="81">
        <f>'Praroop-20 hindi'!F272</f>
        <v>5</v>
      </c>
      <c r="W269" s="81">
        <v>5</v>
      </c>
      <c r="X269" s="81"/>
      <c r="Y269" s="81">
        <f>'Praroop-20 hindi'!G272</f>
        <v>0</v>
      </c>
      <c r="Z269" s="81">
        <v>6</v>
      </c>
      <c r="AA269" s="81"/>
      <c r="AB269" s="81">
        <f>'Praroop-20 hindi'!H272</f>
        <v>1</v>
      </c>
      <c r="AC269" s="81">
        <v>7</v>
      </c>
      <c r="AD269" s="81"/>
      <c r="AE269" s="81">
        <f>'Praroop-20 hindi'!I272</f>
        <v>1</v>
      </c>
      <c r="AF269" s="81">
        <v>8</v>
      </c>
      <c r="AG269" s="81"/>
      <c r="AH269" s="81">
        <f>'Praroop-20 hindi'!J272</f>
        <v>3</v>
      </c>
      <c r="AI269" s="81">
        <v>9</v>
      </c>
      <c r="AJ269" s="81"/>
      <c r="AK269" s="81">
        <f>'Praroop-20 hindi'!K272</f>
        <v>2</v>
      </c>
      <c r="AL269" s="81">
        <v>10</v>
      </c>
      <c r="AM269" s="81"/>
      <c r="AN269" s="81">
        <f>'Praroop-20 hindi'!L272</f>
        <v>3</v>
      </c>
      <c r="AO269" s="81">
        <v>11</v>
      </c>
      <c r="AP269" s="81"/>
      <c r="AQ269" s="81">
        <f>'Praroop-20 hindi'!M272</f>
        <v>0</v>
      </c>
      <c r="AR269" s="81">
        <f t="shared" si="9"/>
        <v>792</v>
      </c>
    </row>
    <row r="270" spans="1:44" ht="51">
      <c r="A270" s="81">
        <v>64</v>
      </c>
      <c r="B270" s="41">
        <v>264</v>
      </c>
      <c r="C270" s="113" t="s">
        <v>389</v>
      </c>
      <c r="D270" s="117">
        <v>720</v>
      </c>
      <c r="E270" s="110">
        <v>323</v>
      </c>
      <c r="F270" s="110">
        <v>262</v>
      </c>
      <c r="G270" s="110">
        <v>0</v>
      </c>
      <c r="H270" s="111">
        <f t="shared" si="8"/>
        <v>585</v>
      </c>
      <c r="I270" s="112">
        <v>471</v>
      </c>
      <c r="J270" s="110">
        <v>0</v>
      </c>
      <c r="K270" s="110">
        <v>1</v>
      </c>
      <c r="L270" s="81"/>
      <c r="M270" s="81">
        <f>'Praroop-20 hindi'!C273</f>
        <v>10</v>
      </c>
      <c r="N270" s="81">
        <v>2</v>
      </c>
      <c r="O270" s="81"/>
      <c r="P270" s="81">
        <f>'Praroop-20 hindi'!D273</f>
        <v>244</v>
      </c>
      <c r="Q270" s="81">
        <v>3</v>
      </c>
      <c r="R270" s="81"/>
      <c r="S270" s="81">
        <f>'Praroop-20 hindi'!E273</f>
        <v>315</v>
      </c>
      <c r="T270" s="81">
        <v>4</v>
      </c>
      <c r="U270" s="81"/>
      <c r="V270" s="81">
        <f>'Praroop-20 hindi'!F273</f>
        <v>5</v>
      </c>
      <c r="W270" s="81">
        <v>5</v>
      </c>
      <c r="X270" s="81"/>
      <c r="Y270" s="81">
        <f>'Praroop-20 hindi'!G273</f>
        <v>1</v>
      </c>
      <c r="Z270" s="81">
        <v>6</v>
      </c>
      <c r="AA270" s="81"/>
      <c r="AB270" s="81">
        <f>'Praroop-20 hindi'!H273</f>
        <v>1</v>
      </c>
      <c r="AC270" s="81">
        <v>7</v>
      </c>
      <c r="AD270" s="81"/>
      <c r="AE270" s="81">
        <f>'Praroop-20 hindi'!I273</f>
        <v>0</v>
      </c>
      <c r="AF270" s="81">
        <v>8</v>
      </c>
      <c r="AG270" s="81"/>
      <c r="AH270" s="81">
        <f>'Praroop-20 hindi'!J273</f>
        <v>0</v>
      </c>
      <c r="AI270" s="81">
        <v>9</v>
      </c>
      <c r="AJ270" s="81"/>
      <c r="AK270" s="81">
        <f>'Praroop-20 hindi'!K273</f>
        <v>2</v>
      </c>
      <c r="AL270" s="81">
        <v>10</v>
      </c>
      <c r="AM270" s="81"/>
      <c r="AN270" s="81">
        <f>'Praroop-20 hindi'!L273</f>
        <v>6</v>
      </c>
      <c r="AO270" s="81">
        <v>11</v>
      </c>
      <c r="AP270" s="81"/>
      <c r="AQ270" s="81">
        <f>'Praroop-20 hindi'!M273</f>
        <v>1</v>
      </c>
      <c r="AR270" s="81">
        <f t="shared" si="9"/>
        <v>585</v>
      </c>
    </row>
    <row r="271" spans="1:44" ht="38.25">
      <c r="A271" s="81">
        <v>64</v>
      </c>
      <c r="B271" s="41">
        <v>265</v>
      </c>
      <c r="C271" s="113" t="s">
        <v>390</v>
      </c>
      <c r="D271" s="117">
        <v>1057</v>
      </c>
      <c r="E271" s="110">
        <v>416</v>
      </c>
      <c r="F271" s="110">
        <v>381</v>
      </c>
      <c r="G271" s="110">
        <v>0</v>
      </c>
      <c r="H271" s="111">
        <f t="shared" si="8"/>
        <v>797</v>
      </c>
      <c r="I271" s="112">
        <v>691</v>
      </c>
      <c r="J271" s="110">
        <v>0</v>
      </c>
      <c r="K271" s="110">
        <v>1</v>
      </c>
      <c r="L271" s="81"/>
      <c r="M271" s="81">
        <f>'Praroop-20 hindi'!C274</f>
        <v>30</v>
      </c>
      <c r="N271" s="81">
        <v>2</v>
      </c>
      <c r="O271" s="81"/>
      <c r="P271" s="81">
        <f>'Praroop-20 hindi'!D274</f>
        <v>518</v>
      </c>
      <c r="Q271" s="81">
        <v>3</v>
      </c>
      <c r="R271" s="81"/>
      <c r="S271" s="81">
        <f>'Praroop-20 hindi'!E274</f>
        <v>223</v>
      </c>
      <c r="T271" s="81">
        <v>4</v>
      </c>
      <c r="U271" s="81"/>
      <c r="V271" s="81">
        <f>'Praroop-20 hindi'!F274</f>
        <v>7</v>
      </c>
      <c r="W271" s="81">
        <v>5</v>
      </c>
      <c r="X271" s="81"/>
      <c r="Y271" s="81">
        <f>'Praroop-20 hindi'!G274</f>
        <v>1</v>
      </c>
      <c r="Z271" s="81">
        <v>6</v>
      </c>
      <c r="AA271" s="81"/>
      <c r="AB271" s="81">
        <f>'Praroop-20 hindi'!H274</f>
        <v>0</v>
      </c>
      <c r="AC271" s="81">
        <v>7</v>
      </c>
      <c r="AD271" s="81"/>
      <c r="AE271" s="81">
        <f>'Praroop-20 hindi'!I274</f>
        <v>0</v>
      </c>
      <c r="AF271" s="81">
        <v>8</v>
      </c>
      <c r="AG271" s="81"/>
      <c r="AH271" s="81">
        <f>'Praroop-20 hindi'!J274</f>
        <v>1</v>
      </c>
      <c r="AI271" s="81">
        <v>9</v>
      </c>
      <c r="AJ271" s="81"/>
      <c r="AK271" s="81">
        <f>'Praroop-20 hindi'!K274</f>
        <v>10</v>
      </c>
      <c r="AL271" s="81">
        <v>10</v>
      </c>
      <c r="AM271" s="81"/>
      <c r="AN271" s="81">
        <f>'Praroop-20 hindi'!L274</f>
        <v>5</v>
      </c>
      <c r="AO271" s="81">
        <v>11</v>
      </c>
      <c r="AP271" s="81"/>
      <c r="AQ271" s="81">
        <f>'Praroop-20 hindi'!M274</f>
        <v>1</v>
      </c>
      <c r="AR271" s="81">
        <f t="shared" si="9"/>
        <v>796</v>
      </c>
    </row>
    <row r="272" spans="1:44" ht="38.25">
      <c r="A272" s="81">
        <v>64</v>
      </c>
      <c r="B272" s="41">
        <v>266</v>
      </c>
      <c r="C272" s="113" t="s">
        <v>391</v>
      </c>
      <c r="D272" s="117">
        <v>629</v>
      </c>
      <c r="E272" s="110">
        <v>240</v>
      </c>
      <c r="F272" s="110">
        <v>213</v>
      </c>
      <c r="G272" s="110">
        <v>0</v>
      </c>
      <c r="H272" s="111">
        <f t="shared" si="8"/>
        <v>453</v>
      </c>
      <c r="I272" s="112">
        <v>395</v>
      </c>
      <c r="J272" s="110">
        <v>0</v>
      </c>
      <c r="K272" s="110">
        <v>1</v>
      </c>
      <c r="L272" s="81"/>
      <c r="M272" s="81">
        <f>'Praroop-20 hindi'!C275</f>
        <v>36</v>
      </c>
      <c r="N272" s="81">
        <v>2</v>
      </c>
      <c r="O272" s="81"/>
      <c r="P272" s="81">
        <f>'Praroop-20 hindi'!D275</f>
        <v>359</v>
      </c>
      <c r="Q272" s="81">
        <v>3</v>
      </c>
      <c r="R272" s="81"/>
      <c r="S272" s="81">
        <f>'Praroop-20 hindi'!E275</f>
        <v>48</v>
      </c>
      <c r="T272" s="81">
        <v>4</v>
      </c>
      <c r="U272" s="81"/>
      <c r="V272" s="81">
        <f>'Praroop-20 hindi'!F275</f>
        <v>6</v>
      </c>
      <c r="W272" s="81">
        <v>5</v>
      </c>
      <c r="X272" s="81"/>
      <c r="Y272" s="81">
        <f>'Praroop-20 hindi'!G275</f>
        <v>0</v>
      </c>
      <c r="Z272" s="81">
        <v>6</v>
      </c>
      <c r="AA272" s="81"/>
      <c r="AB272" s="81">
        <f>'Praroop-20 hindi'!H275</f>
        <v>0</v>
      </c>
      <c r="AC272" s="81">
        <v>7</v>
      </c>
      <c r="AD272" s="81"/>
      <c r="AE272" s="81">
        <f>'Praroop-20 hindi'!I275</f>
        <v>0</v>
      </c>
      <c r="AF272" s="81">
        <v>8</v>
      </c>
      <c r="AG272" s="81"/>
      <c r="AH272" s="81">
        <f>'Praroop-20 hindi'!J275</f>
        <v>0</v>
      </c>
      <c r="AI272" s="81">
        <v>9</v>
      </c>
      <c r="AJ272" s="81"/>
      <c r="AK272" s="81">
        <f>'Praroop-20 hindi'!K275</f>
        <v>1</v>
      </c>
      <c r="AL272" s="81">
        <v>10</v>
      </c>
      <c r="AM272" s="81"/>
      <c r="AN272" s="81">
        <f>'Praroop-20 hindi'!L275</f>
        <v>1</v>
      </c>
      <c r="AO272" s="81">
        <v>11</v>
      </c>
      <c r="AP272" s="81"/>
      <c r="AQ272" s="81">
        <f>'Praroop-20 hindi'!M275</f>
        <v>1</v>
      </c>
      <c r="AR272" s="81">
        <f t="shared" si="9"/>
        <v>452</v>
      </c>
    </row>
    <row r="273" spans="1:44" ht="38.25">
      <c r="A273" s="81">
        <v>64</v>
      </c>
      <c r="B273" s="41">
        <v>267</v>
      </c>
      <c r="C273" s="116" t="s">
        <v>392</v>
      </c>
      <c r="D273" s="117">
        <v>771</v>
      </c>
      <c r="E273" s="110">
        <v>318</v>
      </c>
      <c r="F273" s="110">
        <v>222</v>
      </c>
      <c r="G273" s="110">
        <v>0</v>
      </c>
      <c r="H273" s="111">
        <f t="shared" si="8"/>
        <v>540</v>
      </c>
      <c r="I273" s="112">
        <v>540</v>
      </c>
      <c r="J273" s="110">
        <v>0</v>
      </c>
      <c r="K273" s="110">
        <v>1</v>
      </c>
      <c r="L273" s="81"/>
      <c r="M273" s="81">
        <f>'Praroop-20 hindi'!C276</f>
        <v>303</v>
      </c>
      <c r="N273" s="81">
        <v>2</v>
      </c>
      <c r="O273" s="81"/>
      <c r="P273" s="81">
        <f>'Praroop-20 hindi'!D276</f>
        <v>151</v>
      </c>
      <c r="Q273" s="81">
        <v>3</v>
      </c>
      <c r="R273" s="81"/>
      <c r="S273" s="81">
        <f>'Praroop-20 hindi'!E276</f>
        <v>59</v>
      </c>
      <c r="T273" s="81">
        <v>4</v>
      </c>
      <c r="U273" s="81"/>
      <c r="V273" s="81">
        <f>'Praroop-20 hindi'!F276</f>
        <v>9</v>
      </c>
      <c r="W273" s="81">
        <v>5</v>
      </c>
      <c r="X273" s="81"/>
      <c r="Y273" s="81">
        <f>'Praroop-20 hindi'!G276</f>
        <v>2</v>
      </c>
      <c r="Z273" s="81">
        <v>6</v>
      </c>
      <c r="AA273" s="81"/>
      <c r="AB273" s="81">
        <f>'Praroop-20 hindi'!H276</f>
        <v>1</v>
      </c>
      <c r="AC273" s="81">
        <v>7</v>
      </c>
      <c r="AD273" s="81"/>
      <c r="AE273" s="81">
        <f>'Praroop-20 hindi'!I276</f>
        <v>0</v>
      </c>
      <c r="AF273" s="81">
        <v>8</v>
      </c>
      <c r="AG273" s="81"/>
      <c r="AH273" s="81">
        <f>'Praroop-20 hindi'!J276</f>
        <v>0</v>
      </c>
      <c r="AI273" s="81">
        <v>9</v>
      </c>
      <c r="AJ273" s="81"/>
      <c r="AK273" s="81">
        <f>'Praroop-20 hindi'!K276</f>
        <v>11</v>
      </c>
      <c r="AL273" s="81">
        <v>10</v>
      </c>
      <c r="AM273" s="81"/>
      <c r="AN273" s="81">
        <f>'Praroop-20 hindi'!L276</f>
        <v>0</v>
      </c>
      <c r="AO273" s="81">
        <v>11</v>
      </c>
      <c r="AP273" s="81"/>
      <c r="AQ273" s="81">
        <f>'Praroop-20 hindi'!M276</f>
        <v>2</v>
      </c>
      <c r="AR273" s="81">
        <f t="shared" si="9"/>
        <v>538</v>
      </c>
    </row>
    <row r="274" spans="1:44" ht="38.25">
      <c r="A274" s="81">
        <v>64</v>
      </c>
      <c r="B274" s="41">
        <v>268</v>
      </c>
      <c r="C274" s="116" t="s">
        <v>393</v>
      </c>
      <c r="D274" s="117">
        <v>836</v>
      </c>
      <c r="E274" s="110">
        <v>272</v>
      </c>
      <c r="F274" s="110">
        <v>261</v>
      </c>
      <c r="G274" s="110">
        <v>0</v>
      </c>
      <c r="H274" s="111">
        <f t="shared" si="8"/>
        <v>533</v>
      </c>
      <c r="I274" s="112">
        <v>450</v>
      </c>
      <c r="J274" s="110">
        <v>0</v>
      </c>
      <c r="K274" s="110">
        <v>1</v>
      </c>
      <c r="L274" s="81"/>
      <c r="M274" s="81">
        <f>'Praroop-20 hindi'!C277</f>
        <v>386</v>
      </c>
      <c r="N274" s="81">
        <v>2</v>
      </c>
      <c r="O274" s="81"/>
      <c r="P274" s="81">
        <f>'Praroop-20 hindi'!D277</f>
        <v>43</v>
      </c>
      <c r="Q274" s="81">
        <v>3</v>
      </c>
      <c r="R274" s="81"/>
      <c r="S274" s="81">
        <f>'Praroop-20 hindi'!E277</f>
        <v>96</v>
      </c>
      <c r="T274" s="81">
        <v>4</v>
      </c>
      <c r="U274" s="81"/>
      <c r="V274" s="81">
        <f>'Praroop-20 hindi'!F277</f>
        <v>2</v>
      </c>
      <c r="W274" s="81">
        <v>5</v>
      </c>
      <c r="X274" s="81"/>
      <c r="Y274" s="81">
        <f>'Praroop-20 hindi'!G277</f>
        <v>0</v>
      </c>
      <c r="Z274" s="81">
        <v>6</v>
      </c>
      <c r="AA274" s="81"/>
      <c r="AB274" s="81">
        <f>'Praroop-20 hindi'!H277</f>
        <v>0</v>
      </c>
      <c r="AC274" s="81">
        <v>7</v>
      </c>
      <c r="AD274" s="81"/>
      <c r="AE274" s="81">
        <f>'Praroop-20 hindi'!I277</f>
        <v>0</v>
      </c>
      <c r="AF274" s="81">
        <v>8</v>
      </c>
      <c r="AG274" s="81"/>
      <c r="AH274" s="81">
        <f>'Praroop-20 hindi'!J277</f>
        <v>0</v>
      </c>
      <c r="AI274" s="81">
        <v>9</v>
      </c>
      <c r="AJ274" s="81"/>
      <c r="AK274" s="81">
        <f>'Praroop-20 hindi'!K277</f>
        <v>0</v>
      </c>
      <c r="AL274" s="81">
        <v>10</v>
      </c>
      <c r="AM274" s="81"/>
      <c r="AN274" s="81">
        <f>'Praroop-20 hindi'!L277</f>
        <v>2</v>
      </c>
      <c r="AO274" s="81">
        <v>11</v>
      </c>
      <c r="AP274" s="81"/>
      <c r="AQ274" s="81">
        <f>'Praroop-20 hindi'!M277</f>
        <v>0</v>
      </c>
      <c r="AR274" s="81">
        <f t="shared" si="9"/>
        <v>529</v>
      </c>
    </row>
    <row r="275" spans="1:44" ht="38.25">
      <c r="A275" s="81">
        <v>64</v>
      </c>
      <c r="B275" s="41">
        <v>269</v>
      </c>
      <c r="C275" s="116" t="s">
        <v>394</v>
      </c>
      <c r="D275" s="117">
        <v>825</v>
      </c>
      <c r="E275" s="110">
        <v>291</v>
      </c>
      <c r="F275" s="110">
        <v>245</v>
      </c>
      <c r="G275" s="110">
        <v>0</v>
      </c>
      <c r="H275" s="111">
        <f t="shared" si="8"/>
        <v>536</v>
      </c>
      <c r="I275" s="112">
        <v>467</v>
      </c>
      <c r="J275" s="110">
        <v>0</v>
      </c>
      <c r="K275" s="110">
        <v>1</v>
      </c>
      <c r="L275" s="81"/>
      <c r="M275" s="81">
        <f>'Praroop-20 hindi'!C278</f>
        <v>202</v>
      </c>
      <c r="N275" s="81">
        <v>2</v>
      </c>
      <c r="O275" s="81"/>
      <c r="P275" s="81">
        <f>'Praroop-20 hindi'!D278</f>
        <v>95</v>
      </c>
      <c r="Q275" s="81">
        <v>3</v>
      </c>
      <c r="R275" s="81"/>
      <c r="S275" s="81">
        <f>'Praroop-20 hindi'!E278</f>
        <v>221</v>
      </c>
      <c r="T275" s="81">
        <v>4</v>
      </c>
      <c r="U275" s="81"/>
      <c r="V275" s="81">
        <f>'Praroop-20 hindi'!F278</f>
        <v>8</v>
      </c>
      <c r="W275" s="81">
        <v>5</v>
      </c>
      <c r="X275" s="81"/>
      <c r="Y275" s="81">
        <f>'Praroop-20 hindi'!G278</f>
        <v>1</v>
      </c>
      <c r="Z275" s="81">
        <v>6</v>
      </c>
      <c r="AA275" s="81"/>
      <c r="AB275" s="81">
        <f>'Praroop-20 hindi'!H278</f>
        <v>0</v>
      </c>
      <c r="AC275" s="81">
        <v>7</v>
      </c>
      <c r="AD275" s="81"/>
      <c r="AE275" s="81">
        <f>'Praroop-20 hindi'!I278</f>
        <v>1</v>
      </c>
      <c r="AF275" s="81">
        <v>8</v>
      </c>
      <c r="AG275" s="81"/>
      <c r="AH275" s="81">
        <f>'Praroop-20 hindi'!J278</f>
        <v>1</v>
      </c>
      <c r="AI275" s="81">
        <v>9</v>
      </c>
      <c r="AJ275" s="81"/>
      <c r="AK275" s="81">
        <f>'Praroop-20 hindi'!K278</f>
        <v>0</v>
      </c>
      <c r="AL275" s="81">
        <v>10</v>
      </c>
      <c r="AM275" s="81"/>
      <c r="AN275" s="81">
        <f>'Praroop-20 hindi'!L278</f>
        <v>2</v>
      </c>
      <c r="AO275" s="81">
        <v>11</v>
      </c>
      <c r="AP275" s="81"/>
      <c r="AQ275" s="81">
        <f>'Praroop-20 hindi'!M278</f>
        <v>0</v>
      </c>
      <c r="AR275" s="81">
        <f t="shared" si="9"/>
        <v>531</v>
      </c>
    </row>
    <row r="276" spans="1:44" ht="38.25">
      <c r="A276" s="81">
        <v>64</v>
      </c>
      <c r="B276" s="41">
        <v>270</v>
      </c>
      <c r="C276" s="116" t="s">
        <v>395</v>
      </c>
      <c r="D276" s="117">
        <v>744</v>
      </c>
      <c r="E276" s="110">
        <v>270</v>
      </c>
      <c r="F276" s="110">
        <v>250</v>
      </c>
      <c r="G276" s="110">
        <v>0</v>
      </c>
      <c r="H276" s="111">
        <f t="shared" si="8"/>
        <v>520</v>
      </c>
      <c r="I276" s="112">
        <v>448</v>
      </c>
      <c r="J276" s="110">
        <v>0</v>
      </c>
      <c r="K276" s="110">
        <v>1</v>
      </c>
      <c r="L276" s="81"/>
      <c r="M276" s="81">
        <f>'Praroop-20 hindi'!C279</f>
        <v>415</v>
      </c>
      <c r="N276" s="81">
        <v>2</v>
      </c>
      <c r="O276" s="81"/>
      <c r="P276" s="81">
        <f>'Praroop-20 hindi'!D279</f>
        <v>12</v>
      </c>
      <c r="Q276" s="81">
        <v>3</v>
      </c>
      <c r="R276" s="81"/>
      <c r="S276" s="81">
        <f>'Praroop-20 hindi'!E279</f>
        <v>76</v>
      </c>
      <c r="T276" s="81">
        <v>4</v>
      </c>
      <c r="U276" s="81"/>
      <c r="V276" s="81">
        <f>'Praroop-20 hindi'!F279</f>
        <v>3</v>
      </c>
      <c r="W276" s="81">
        <v>5</v>
      </c>
      <c r="X276" s="81"/>
      <c r="Y276" s="81">
        <f>'Praroop-20 hindi'!G279</f>
        <v>0</v>
      </c>
      <c r="Z276" s="81">
        <v>6</v>
      </c>
      <c r="AA276" s="81"/>
      <c r="AB276" s="81">
        <f>'Praroop-20 hindi'!H279</f>
        <v>0</v>
      </c>
      <c r="AC276" s="81">
        <v>7</v>
      </c>
      <c r="AD276" s="81"/>
      <c r="AE276" s="81">
        <f>'Praroop-20 hindi'!I279</f>
        <v>0</v>
      </c>
      <c r="AF276" s="81">
        <v>8</v>
      </c>
      <c r="AG276" s="81"/>
      <c r="AH276" s="81">
        <f>'Praroop-20 hindi'!J279</f>
        <v>4</v>
      </c>
      <c r="AI276" s="81">
        <v>9</v>
      </c>
      <c r="AJ276" s="81"/>
      <c r="AK276" s="81">
        <f>'Praroop-20 hindi'!K279</f>
        <v>0</v>
      </c>
      <c r="AL276" s="81">
        <v>10</v>
      </c>
      <c r="AM276" s="81"/>
      <c r="AN276" s="81">
        <f>'Praroop-20 hindi'!L279</f>
        <v>3</v>
      </c>
      <c r="AO276" s="81">
        <v>11</v>
      </c>
      <c r="AP276" s="81"/>
      <c r="AQ276" s="81">
        <f>'Praroop-20 hindi'!M279</f>
        <v>4</v>
      </c>
      <c r="AR276" s="81">
        <f t="shared" si="9"/>
        <v>517</v>
      </c>
    </row>
    <row r="277" spans="1:44" ht="38.25">
      <c r="A277" s="81">
        <v>64</v>
      </c>
      <c r="B277" s="41">
        <v>271</v>
      </c>
      <c r="C277" s="116" t="s">
        <v>396</v>
      </c>
      <c r="D277" s="117">
        <v>714</v>
      </c>
      <c r="E277" s="110">
        <v>246</v>
      </c>
      <c r="F277" s="110">
        <v>227</v>
      </c>
      <c r="G277" s="110">
        <v>0</v>
      </c>
      <c r="H277" s="111">
        <f t="shared" si="8"/>
        <v>473</v>
      </c>
      <c r="I277" s="112">
        <v>463</v>
      </c>
      <c r="J277" s="110">
        <v>0</v>
      </c>
      <c r="K277" s="110">
        <v>1</v>
      </c>
      <c r="L277" s="81"/>
      <c r="M277" s="81">
        <f>'Praroop-20 hindi'!C280</f>
        <v>82</v>
      </c>
      <c r="N277" s="81">
        <v>2</v>
      </c>
      <c r="O277" s="81"/>
      <c r="P277" s="81">
        <f>'Praroop-20 hindi'!D280</f>
        <v>14</v>
      </c>
      <c r="Q277" s="81">
        <v>3</v>
      </c>
      <c r="R277" s="81"/>
      <c r="S277" s="81">
        <f>'Praroop-20 hindi'!E280</f>
        <v>358</v>
      </c>
      <c r="T277" s="81">
        <v>4</v>
      </c>
      <c r="U277" s="81"/>
      <c r="V277" s="81">
        <f>'Praroop-20 hindi'!F280</f>
        <v>2</v>
      </c>
      <c r="W277" s="81">
        <v>5</v>
      </c>
      <c r="X277" s="81"/>
      <c r="Y277" s="81">
        <f>'Praroop-20 hindi'!G280</f>
        <v>4</v>
      </c>
      <c r="Z277" s="81">
        <v>6</v>
      </c>
      <c r="AA277" s="81"/>
      <c r="AB277" s="81">
        <f>'Praroop-20 hindi'!H280</f>
        <v>0</v>
      </c>
      <c r="AC277" s="81">
        <v>7</v>
      </c>
      <c r="AD277" s="81"/>
      <c r="AE277" s="81">
        <f>'Praroop-20 hindi'!I280</f>
        <v>2</v>
      </c>
      <c r="AF277" s="81">
        <v>8</v>
      </c>
      <c r="AG277" s="81"/>
      <c r="AH277" s="81">
        <f>'Praroop-20 hindi'!J280</f>
        <v>0</v>
      </c>
      <c r="AI277" s="81">
        <v>9</v>
      </c>
      <c r="AJ277" s="81"/>
      <c r="AK277" s="81">
        <f>'Praroop-20 hindi'!K280</f>
        <v>1</v>
      </c>
      <c r="AL277" s="81">
        <v>10</v>
      </c>
      <c r="AM277" s="81"/>
      <c r="AN277" s="81">
        <f>'Praroop-20 hindi'!L280</f>
        <v>7</v>
      </c>
      <c r="AO277" s="81">
        <v>11</v>
      </c>
      <c r="AP277" s="81"/>
      <c r="AQ277" s="81">
        <f>'Praroop-20 hindi'!M280</f>
        <v>0</v>
      </c>
      <c r="AR277" s="81">
        <f t="shared" si="9"/>
        <v>470</v>
      </c>
    </row>
    <row r="278" spans="1:44" ht="38.25">
      <c r="A278" s="81">
        <v>64</v>
      </c>
      <c r="B278" s="41">
        <v>272</v>
      </c>
      <c r="C278" s="113" t="s">
        <v>397</v>
      </c>
      <c r="D278" s="117">
        <v>686</v>
      </c>
      <c r="E278" s="110">
        <v>282</v>
      </c>
      <c r="F278" s="110">
        <v>245</v>
      </c>
      <c r="G278" s="110">
        <v>0</v>
      </c>
      <c r="H278" s="111">
        <f t="shared" si="8"/>
        <v>527</v>
      </c>
      <c r="I278" s="112">
        <v>425</v>
      </c>
      <c r="J278" s="110">
        <v>0</v>
      </c>
      <c r="K278" s="110">
        <v>1</v>
      </c>
      <c r="L278" s="81"/>
      <c r="M278" s="81">
        <f>'Praroop-20 hindi'!C281</f>
        <v>124</v>
      </c>
      <c r="N278" s="81">
        <v>2</v>
      </c>
      <c r="O278" s="81"/>
      <c r="P278" s="81">
        <f>'Praroop-20 hindi'!D281</f>
        <v>197</v>
      </c>
      <c r="Q278" s="81">
        <v>3</v>
      </c>
      <c r="R278" s="81"/>
      <c r="S278" s="81">
        <f>'Praroop-20 hindi'!E281</f>
        <v>184</v>
      </c>
      <c r="T278" s="81">
        <v>4</v>
      </c>
      <c r="U278" s="81"/>
      <c r="V278" s="81">
        <f>'Praroop-20 hindi'!F281</f>
        <v>6</v>
      </c>
      <c r="W278" s="81">
        <v>5</v>
      </c>
      <c r="X278" s="81"/>
      <c r="Y278" s="81">
        <f>'Praroop-20 hindi'!G281</f>
        <v>1</v>
      </c>
      <c r="Z278" s="81">
        <v>6</v>
      </c>
      <c r="AA278" s="81"/>
      <c r="AB278" s="81">
        <f>'Praroop-20 hindi'!H281</f>
        <v>0</v>
      </c>
      <c r="AC278" s="81">
        <v>7</v>
      </c>
      <c r="AD278" s="81"/>
      <c r="AE278" s="81">
        <f>'Praroop-20 hindi'!I281</f>
        <v>0</v>
      </c>
      <c r="AF278" s="81">
        <v>8</v>
      </c>
      <c r="AG278" s="81"/>
      <c r="AH278" s="81">
        <f>'Praroop-20 hindi'!J281</f>
        <v>0</v>
      </c>
      <c r="AI278" s="81">
        <v>9</v>
      </c>
      <c r="AJ278" s="81"/>
      <c r="AK278" s="81">
        <f>'Praroop-20 hindi'!K281</f>
        <v>3</v>
      </c>
      <c r="AL278" s="81">
        <v>10</v>
      </c>
      <c r="AM278" s="81"/>
      <c r="AN278" s="81">
        <f>'Praroop-20 hindi'!L281</f>
        <v>3</v>
      </c>
      <c r="AO278" s="81">
        <v>11</v>
      </c>
      <c r="AP278" s="81"/>
      <c r="AQ278" s="81">
        <f>'Praroop-20 hindi'!M281</f>
        <v>4</v>
      </c>
      <c r="AR278" s="81">
        <f t="shared" si="9"/>
        <v>522</v>
      </c>
    </row>
    <row r="279" spans="1:44" ht="38.25">
      <c r="A279" s="81">
        <v>64</v>
      </c>
      <c r="B279" s="41">
        <v>273</v>
      </c>
      <c r="C279" s="113" t="s">
        <v>398</v>
      </c>
      <c r="D279" s="117">
        <v>981</v>
      </c>
      <c r="E279" s="110">
        <v>443</v>
      </c>
      <c r="F279" s="110">
        <v>377</v>
      </c>
      <c r="G279" s="110">
        <v>0</v>
      </c>
      <c r="H279" s="111">
        <f t="shared" si="8"/>
        <v>820</v>
      </c>
      <c r="I279" s="112">
        <v>756</v>
      </c>
      <c r="J279" s="110">
        <v>0</v>
      </c>
      <c r="K279" s="110">
        <v>1</v>
      </c>
      <c r="L279" s="81"/>
      <c r="M279" s="81">
        <f>'Praroop-20 hindi'!C282</f>
        <v>7</v>
      </c>
      <c r="N279" s="81">
        <v>2</v>
      </c>
      <c r="O279" s="81"/>
      <c r="P279" s="81">
        <f>'Praroop-20 hindi'!D282</f>
        <v>29</v>
      </c>
      <c r="Q279" s="81">
        <v>3</v>
      </c>
      <c r="R279" s="81"/>
      <c r="S279" s="81">
        <f>'Praroop-20 hindi'!E282</f>
        <v>766</v>
      </c>
      <c r="T279" s="81">
        <v>4</v>
      </c>
      <c r="U279" s="81"/>
      <c r="V279" s="81">
        <f>'Praroop-20 hindi'!F282</f>
        <v>8</v>
      </c>
      <c r="W279" s="81">
        <v>5</v>
      </c>
      <c r="X279" s="81"/>
      <c r="Y279" s="81">
        <f>'Praroop-20 hindi'!G282</f>
        <v>0</v>
      </c>
      <c r="Z279" s="81">
        <v>6</v>
      </c>
      <c r="AA279" s="81"/>
      <c r="AB279" s="81">
        <f>'Praroop-20 hindi'!H282</f>
        <v>0</v>
      </c>
      <c r="AC279" s="81">
        <v>7</v>
      </c>
      <c r="AD279" s="81"/>
      <c r="AE279" s="81">
        <f>'Praroop-20 hindi'!I282</f>
        <v>0</v>
      </c>
      <c r="AF279" s="81">
        <v>8</v>
      </c>
      <c r="AG279" s="81"/>
      <c r="AH279" s="81">
        <f>'Praroop-20 hindi'!J282</f>
        <v>1</v>
      </c>
      <c r="AI279" s="81">
        <v>9</v>
      </c>
      <c r="AJ279" s="81"/>
      <c r="AK279" s="81">
        <f>'Praroop-20 hindi'!K282</f>
        <v>2</v>
      </c>
      <c r="AL279" s="81">
        <v>10</v>
      </c>
      <c r="AM279" s="81"/>
      <c r="AN279" s="81">
        <f>'Praroop-20 hindi'!L282</f>
        <v>2</v>
      </c>
      <c r="AO279" s="81">
        <v>11</v>
      </c>
      <c r="AP279" s="81"/>
      <c r="AQ279" s="81">
        <f>'Praroop-20 hindi'!M282</f>
        <v>0</v>
      </c>
      <c r="AR279" s="81">
        <f t="shared" si="9"/>
        <v>815</v>
      </c>
    </row>
    <row r="280" spans="1:44" ht="38.25">
      <c r="A280" s="81">
        <v>64</v>
      </c>
      <c r="B280" s="41">
        <v>274</v>
      </c>
      <c r="C280" s="113" t="s">
        <v>399</v>
      </c>
      <c r="D280" s="117">
        <v>795</v>
      </c>
      <c r="E280" s="110">
        <v>281</v>
      </c>
      <c r="F280" s="110">
        <v>248</v>
      </c>
      <c r="G280" s="110">
        <v>0</v>
      </c>
      <c r="H280" s="111">
        <f t="shared" si="8"/>
        <v>529</v>
      </c>
      <c r="I280" s="112">
        <v>444</v>
      </c>
      <c r="J280" s="110">
        <v>0</v>
      </c>
      <c r="K280" s="110">
        <v>1</v>
      </c>
      <c r="L280" s="81"/>
      <c r="M280" s="81">
        <f>'Praroop-20 hindi'!C283</f>
        <v>6</v>
      </c>
      <c r="N280" s="81">
        <v>2</v>
      </c>
      <c r="O280" s="81"/>
      <c r="P280" s="81">
        <f>'Praroop-20 hindi'!D283</f>
        <v>9</v>
      </c>
      <c r="Q280" s="81">
        <v>3</v>
      </c>
      <c r="R280" s="81"/>
      <c r="S280" s="81">
        <f>'Praroop-20 hindi'!E283</f>
        <v>498</v>
      </c>
      <c r="T280" s="81">
        <v>4</v>
      </c>
      <c r="U280" s="81"/>
      <c r="V280" s="81">
        <f>'Praroop-20 hindi'!F283</f>
        <v>6</v>
      </c>
      <c r="W280" s="81">
        <v>5</v>
      </c>
      <c r="X280" s="81"/>
      <c r="Y280" s="81">
        <f>'Praroop-20 hindi'!G283</f>
        <v>0</v>
      </c>
      <c r="Z280" s="81">
        <v>6</v>
      </c>
      <c r="AA280" s="81"/>
      <c r="AB280" s="81">
        <f>'Praroop-20 hindi'!H283</f>
        <v>0</v>
      </c>
      <c r="AC280" s="81">
        <v>7</v>
      </c>
      <c r="AD280" s="81"/>
      <c r="AE280" s="81">
        <f>'Praroop-20 hindi'!I283</f>
        <v>2</v>
      </c>
      <c r="AF280" s="81">
        <v>8</v>
      </c>
      <c r="AG280" s="81"/>
      <c r="AH280" s="81">
        <f>'Praroop-20 hindi'!J283</f>
        <v>0</v>
      </c>
      <c r="AI280" s="81">
        <v>9</v>
      </c>
      <c r="AJ280" s="81"/>
      <c r="AK280" s="81">
        <f>'Praroop-20 hindi'!K283</f>
        <v>0</v>
      </c>
      <c r="AL280" s="81">
        <v>10</v>
      </c>
      <c r="AM280" s="81"/>
      <c r="AN280" s="81">
        <f>'Praroop-20 hindi'!L283</f>
        <v>6</v>
      </c>
      <c r="AO280" s="81">
        <v>11</v>
      </c>
      <c r="AP280" s="81"/>
      <c r="AQ280" s="81">
        <f>'Praroop-20 hindi'!M283</f>
        <v>0</v>
      </c>
      <c r="AR280" s="81">
        <f t="shared" si="9"/>
        <v>527</v>
      </c>
    </row>
    <row r="281" spans="1:44" ht="38.25">
      <c r="A281" s="81">
        <v>64</v>
      </c>
      <c r="B281" s="41">
        <v>275</v>
      </c>
      <c r="C281" s="113" t="s">
        <v>400</v>
      </c>
      <c r="D281" s="117">
        <v>777</v>
      </c>
      <c r="E281" s="110">
        <v>246</v>
      </c>
      <c r="F281" s="110">
        <v>206</v>
      </c>
      <c r="G281" s="110">
        <v>0</v>
      </c>
      <c r="H281" s="111">
        <f t="shared" si="8"/>
        <v>452</v>
      </c>
      <c r="I281" s="112">
        <v>402</v>
      </c>
      <c r="J281" s="110">
        <v>0</v>
      </c>
      <c r="K281" s="110">
        <v>1</v>
      </c>
      <c r="L281" s="81"/>
      <c r="M281" s="81">
        <f>'Praroop-20 hindi'!C284</f>
        <v>16</v>
      </c>
      <c r="N281" s="81">
        <v>2</v>
      </c>
      <c r="O281" s="81"/>
      <c r="P281" s="81">
        <f>'Praroop-20 hindi'!D284</f>
        <v>15</v>
      </c>
      <c r="Q281" s="81">
        <v>3</v>
      </c>
      <c r="R281" s="81"/>
      <c r="S281" s="81">
        <f>'Praroop-20 hindi'!E284</f>
        <v>416</v>
      </c>
      <c r="T281" s="81">
        <v>4</v>
      </c>
      <c r="U281" s="81"/>
      <c r="V281" s="81">
        <f>'Praroop-20 hindi'!F284</f>
        <v>5</v>
      </c>
      <c r="W281" s="81">
        <v>5</v>
      </c>
      <c r="X281" s="81"/>
      <c r="Y281" s="81">
        <f>'Praroop-20 hindi'!G284</f>
        <v>0</v>
      </c>
      <c r="Z281" s="81">
        <v>6</v>
      </c>
      <c r="AA281" s="81"/>
      <c r="AB281" s="81">
        <f>'Praroop-20 hindi'!H284</f>
        <v>0</v>
      </c>
      <c r="AC281" s="81">
        <v>7</v>
      </c>
      <c r="AD281" s="81"/>
      <c r="AE281" s="81">
        <f>'Praroop-20 hindi'!I284</f>
        <v>0</v>
      </c>
      <c r="AF281" s="81">
        <v>8</v>
      </c>
      <c r="AG281" s="81"/>
      <c r="AH281" s="81">
        <f>'Praroop-20 hindi'!J284</f>
        <v>0</v>
      </c>
      <c r="AI281" s="81">
        <v>9</v>
      </c>
      <c r="AJ281" s="81"/>
      <c r="AK281" s="81">
        <f>'Praroop-20 hindi'!K284</f>
        <v>0</v>
      </c>
      <c r="AL281" s="81">
        <v>10</v>
      </c>
      <c r="AM281" s="81"/>
      <c r="AN281" s="81">
        <f>'Praroop-20 hindi'!L284</f>
        <v>0</v>
      </c>
      <c r="AO281" s="81">
        <v>11</v>
      </c>
      <c r="AP281" s="81"/>
      <c r="AQ281" s="81">
        <f>'Praroop-20 hindi'!M284</f>
        <v>0</v>
      </c>
      <c r="AR281" s="81">
        <f t="shared" si="9"/>
        <v>452</v>
      </c>
    </row>
    <row r="282" spans="1:44" ht="38.25">
      <c r="A282" s="81">
        <v>64</v>
      </c>
      <c r="B282" s="41">
        <v>276</v>
      </c>
      <c r="C282" s="113" t="s">
        <v>401</v>
      </c>
      <c r="D282" s="117">
        <v>1097</v>
      </c>
      <c r="E282" s="110">
        <v>414</v>
      </c>
      <c r="F282" s="110">
        <v>338</v>
      </c>
      <c r="G282" s="110">
        <v>0</v>
      </c>
      <c r="H282" s="111">
        <f t="shared" si="8"/>
        <v>752</v>
      </c>
      <c r="I282" s="112">
        <v>646</v>
      </c>
      <c r="J282" s="110">
        <v>0</v>
      </c>
      <c r="K282" s="110">
        <v>1</v>
      </c>
      <c r="L282" s="81"/>
      <c r="M282" s="81">
        <f>'Praroop-20 hindi'!C285</f>
        <v>18</v>
      </c>
      <c r="N282" s="81">
        <v>2</v>
      </c>
      <c r="O282" s="81"/>
      <c r="P282" s="81">
        <f>'Praroop-20 hindi'!D285</f>
        <v>25</v>
      </c>
      <c r="Q282" s="81">
        <v>3</v>
      </c>
      <c r="R282" s="81"/>
      <c r="S282" s="81">
        <f>'Praroop-20 hindi'!E285</f>
        <v>699</v>
      </c>
      <c r="T282" s="81">
        <v>4</v>
      </c>
      <c r="U282" s="81"/>
      <c r="V282" s="81">
        <f>'Praroop-20 hindi'!F285</f>
        <v>4</v>
      </c>
      <c r="W282" s="81">
        <v>5</v>
      </c>
      <c r="X282" s="81"/>
      <c r="Y282" s="81">
        <f>'Praroop-20 hindi'!G285</f>
        <v>0</v>
      </c>
      <c r="Z282" s="81">
        <v>6</v>
      </c>
      <c r="AA282" s="81"/>
      <c r="AB282" s="81">
        <f>'Praroop-20 hindi'!H285</f>
        <v>0</v>
      </c>
      <c r="AC282" s="81">
        <v>7</v>
      </c>
      <c r="AD282" s="81"/>
      <c r="AE282" s="81">
        <f>'Praroop-20 hindi'!I285</f>
        <v>0</v>
      </c>
      <c r="AF282" s="81">
        <v>8</v>
      </c>
      <c r="AG282" s="81"/>
      <c r="AH282" s="81">
        <f>'Praroop-20 hindi'!J285</f>
        <v>1</v>
      </c>
      <c r="AI282" s="81">
        <v>9</v>
      </c>
      <c r="AJ282" s="81"/>
      <c r="AK282" s="81">
        <f>'Praroop-20 hindi'!K285</f>
        <v>0</v>
      </c>
      <c r="AL282" s="81">
        <v>10</v>
      </c>
      <c r="AM282" s="81"/>
      <c r="AN282" s="81">
        <f>'Praroop-20 hindi'!L285</f>
        <v>5</v>
      </c>
      <c r="AO282" s="81">
        <v>11</v>
      </c>
      <c r="AP282" s="81"/>
      <c r="AQ282" s="81">
        <f>'Praroop-20 hindi'!M285</f>
        <v>0</v>
      </c>
      <c r="AR282" s="81">
        <f t="shared" si="9"/>
        <v>752</v>
      </c>
    </row>
    <row r="283" spans="1:44" ht="38.25">
      <c r="A283" s="81">
        <v>64</v>
      </c>
      <c r="B283" s="41">
        <v>277</v>
      </c>
      <c r="C283" s="113" t="s">
        <v>402</v>
      </c>
      <c r="D283" s="117">
        <v>572</v>
      </c>
      <c r="E283" s="110">
        <v>149</v>
      </c>
      <c r="F283" s="110">
        <v>126</v>
      </c>
      <c r="G283" s="110">
        <v>0</v>
      </c>
      <c r="H283" s="111">
        <f t="shared" si="8"/>
        <v>275</v>
      </c>
      <c r="I283" s="112">
        <v>225</v>
      </c>
      <c r="J283" s="110">
        <v>0</v>
      </c>
      <c r="K283" s="110">
        <v>1</v>
      </c>
      <c r="L283" s="81"/>
      <c r="M283" s="81">
        <f>'Praroop-20 hindi'!C286</f>
        <v>68</v>
      </c>
      <c r="N283" s="81">
        <v>2</v>
      </c>
      <c r="O283" s="81"/>
      <c r="P283" s="81">
        <f>'Praroop-20 hindi'!D286</f>
        <v>9</v>
      </c>
      <c r="Q283" s="81">
        <v>3</v>
      </c>
      <c r="R283" s="81"/>
      <c r="S283" s="81">
        <f>'Praroop-20 hindi'!E286</f>
        <v>191</v>
      </c>
      <c r="T283" s="81">
        <v>4</v>
      </c>
      <c r="U283" s="81"/>
      <c r="V283" s="81">
        <f>'Praroop-20 hindi'!F286</f>
        <v>1</v>
      </c>
      <c r="W283" s="81">
        <v>5</v>
      </c>
      <c r="X283" s="81"/>
      <c r="Y283" s="81">
        <f>'Praroop-20 hindi'!G286</f>
        <v>2</v>
      </c>
      <c r="Z283" s="81">
        <v>6</v>
      </c>
      <c r="AA283" s="81"/>
      <c r="AB283" s="81">
        <f>'Praroop-20 hindi'!H286</f>
        <v>0</v>
      </c>
      <c r="AC283" s="81">
        <v>7</v>
      </c>
      <c r="AD283" s="81"/>
      <c r="AE283" s="81">
        <f>'Praroop-20 hindi'!I286</f>
        <v>0</v>
      </c>
      <c r="AF283" s="81">
        <v>8</v>
      </c>
      <c r="AG283" s="81"/>
      <c r="AH283" s="81">
        <f>'Praroop-20 hindi'!J286</f>
        <v>0</v>
      </c>
      <c r="AI283" s="81">
        <v>9</v>
      </c>
      <c r="AJ283" s="81"/>
      <c r="AK283" s="81">
        <f>'Praroop-20 hindi'!K286</f>
        <v>0</v>
      </c>
      <c r="AL283" s="81">
        <v>10</v>
      </c>
      <c r="AM283" s="81"/>
      <c r="AN283" s="81">
        <f>'Praroop-20 hindi'!L286</f>
        <v>0</v>
      </c>
      <c r="AO283" s="81">
        <v>11</v>
      </c>
      <c r="AP283" s="81"/>
      <c r="AQ283" s="81">
        <f>'Praroop-20 hindi'!M286</f>
        <v>0</v>
      </c>
      <c r="AR283" s="81">
        <f t="shared" si="9"/>
        <v>271</v>
      </c>
    </row>
    <row r="284" spans="1:44" ht="38.25">
      <c r="A284" s="81">
        <v>64</v>
      </c>
      <c r="B284" s="41">
        <v>278</v>
      </c>
      <c r="C284" s="113" t="s">
        <v>403</v>
      </c>
      <c r="D284" s="117">
        <v>828</v>
      </c>
      <c r="E284" s="110">
        <v>309</v>
      </c>
      <c r="F284" s="110">
        <v>228</v>
      </c>
      <c r="G284" s="110">
        <v>0</v>
      </c>
      <c r="H284" s="111">
        <f t="shared" si="8"/>
        <v>537</v>
      </c>
      <c r="I284" s="112">
        <v>465</v>
      </c>
      <c r="J284" s="110">
        <v>0</v>
      </c>
      <c r="K284" s="110">
        <v>1</v>
      </c>
      <c r="L284" s="81"/>
      <c r="M284" s="81">
        <f>'Praroop-20 hindi'!C287</f>
        <v>44</v>
      </c>
      <c r="N284" s="81">
        <v>2</v>
      </c>
      <c r="O284" s="81"/>
      <c r="P284" s="81">
        <f>'Praroop-20 hindi'!D287</f>
        <v>430</v>
      </c>
      <c r="Q284" s="81">
        <v>3</v>
      </c>
      <c r="R284" s="81"/>
      <c r="S284" s="81">
        <f>'Praroop-20 hindi'!E287</f>
        <v>33</v>
      </c>
      <c r="T284" s="81">
        <v>4</v>
      </c>
      <c r="U284" s="81"/>
      <c r="V284" s="81">
        <f>'Praroop-20 hindi'!F287</f>
        <v>1</v>
      </c>
      <c r="W284" s="81">
        <v>5</v>
      </c>
      <c r="X284" s="81"/>
      <c r="Y284" s="81">
        <f>'Praroop-20 hindi'!G287</f>
        <v>1</v>
      </c>
      <c r="Z284" s="81">
        <v>6</v>
      </c>
      <c r="AA284" s="81"/>
      <c r="AB284" s="81">
        <f>'Praroop-20 hindi'!H287</f>
        <v>1</v>
      </c>
      <c r="AC284" s="81">
        <v>7</v>
      </c>
      <c r="AD284" s="81"/>
      <c r="AE284" s="81">
        <f>'Praroop-20 hindi'!I287</f>
        <v>0</v>
      </c>
      <c r="AF284" s="81">
        <v>8</v>
      </c>
      <c r="AG284" s="81"/>
      <c r="AH284" s="81">
        <f>'Praroop-20 hindi'!J287</f>
        <v>0</v>
      </c>
      <c r="AI284" s="81">
        <v>9</v>
      </c>
      <c r="AJ284" s="81"/>
      <c r="AK284" s="81">
        <f>'Praroop-20 hindi'!K287</f>
        <v>19</v>
      </c>
      <c r="AL284" s="81">
        <v>10</v>
      </c>
      <c r="AM284" s="81"/>
      <c r="AN284" s="81">
        <f>'Praroop-20 hindi'!L287</f>
        <v>1</v>
      </c>
      <c r="AO284" s="81">
        <v>11</v>
      </c>
      <c r="AP284" s="81"/>
      <c r="AQ284" s="81">
        <f>'Praroop-20 hindi'!M287</f>
        <v>3</v>
      </c>
      <c r="AR284" s="81">
        <f t="shared" si="9"/>
        <v>533</v>
      </c>
    </row>
    <row r="285" spans="1:44" ht="38.25">
      <c r="A285" s="81">
        <v>64</v>
      </c>
      <c r="B285" s="41">
        <v>279</v>
      </c>
      <c r="C285" s="113" t="s">
        <v>404</v>
      </c>
      <c r="D285" s="117">
        <v>620</v>
      </c>
      <c r="E285" s="110">
        <v>256</v>
      </c>
      <c r="F285" s="110">
        <v>211</v>
      </c>
      <c r="G285" s="110">
        <v>0</v>
      </c>
      <c r="H285" s="111">
        <f t="shared" si="8"/>
        <v>467</v>
      </c>
      <c r="I285" s="112">
        <v>401</v>
      </c>
      <c r="J285" s="110">
        <v>0</v>
      </c>
      <c r="K285" s="110">
        <v>1</v>
      </c>
      <c r="L285" s="81"/>
      <c r="M285" s="81">
        <f>'Praroop-20 hindi'!C288</f>
        <v>4</v>
      </c>
      <c r="N285" s="81">
        <v>2</v>
      </c>
      <c r="O285" s="81"/>
      <c r="P285" s="81">
        <f>'Praroop-20 hindi'!D288</f>
        <v>63</v>
      </c>
      <c r="Q285" s="81">
        <v>3</v>
      </c>
      <c r="R285" s="81"/>
      <c r="S285" s="81">
        <f>'Praroop-20 hindi'!E288</f>
        <v>396</v>
      </c>
      <c r="T285" s="81">
        <v>4</v>
      </c>
      <c r="U285" s="81"/>
      <c r="V285" s="81">
        <f>'Praroop-20 hindi'!F288</f>
        <v>1</v>
      </c>
      <c r="W285" s="81">
        <v>5</v>
      </c>
      <c r="X285" s="81"/>
      <c r="Y285" s="81">
        <f>'Praroop-20 hindi'!G288</f>
        <v>0</v>
      </c>
      <c r="Z285" s="81">
        <v>6</v>
      </c>
      <c r="AA285" s="81"/>
      <c r="AB285" s="81">
        <f>'Praroop-20 hindi'!H288</f>
        <v>0</v>
      </c>
      <c r="AC285" s="81">
        <v>7</v>
      </c>
      <c r="AD285" s="81"/>
      <c r="AE285" s="81">
        <f>'Praroop-20 hindi'!I288</f>
        <v>1</v>
      </c>
      <c r="AF285" s="81">
        <v>8</v>
      </c>
      <c r="AG285" s="81"/>
      <c r="AH285" s="81">
        <f>'Praroop-20 hindi'!J288</f>
        <v>1</v>
      </c>
      <c r="AI285" s="81">
        <v>9</v>
      </c>
      <c r="AJ285" s="81"/>
      <c r="AK285" s="81">
        <f>'Praroop-20 hindi'!K288</f>
        <v>0</v>
      </c>
      <c r="AL285" s="81">
        <v>10</v>
      </c>
      <c r="AM285" s="81"/>
      <c r="AN285" s="81">
        <f>'Praroop-20 hindi'!L288</f>
        <v>1</v>
      </c>
      <c r="AO285" s="81">
        <v>11</v>
      </c>
      <c r="AP285" s="81"/>
      <c r="AQ285" s="81">
        <f>'Praroop-20 hindi'!M288</f>
        <v>0</v>
      </c>
      <c r="AR285" s="81">
        <f t="shared" si="9"/>
        <v>467</v>
      </c>
    </row>
    <row r="286" spans="1:44" ht="38.25">
      <c r="A286" s="81">
        <v>64</v>
      </c>
      <c r="B286" s="41">
        <v>280</v>
      </c>
      <c r="C286" s="113" t="s">
        <v>405</v>
      </c>
      <c r="D286" s="117">
        <v>899</v>
      </c>
      <c r="E286" s="110">
        <v>332</v>
      </c>
      <c r="F286" s="110">
        <v>318</v>
      </c>
      <c r="G286" s="110"/>
      <c r="H286" s="111">
        <f t="shared" si="8"/>
        <v>650</v>
      </c>
      <c r="I286" s="112">
        <v>600</v>
      </c>
      <c r="J286" s="110">
        <v>0</v>
      </c>
      <c r="K286" s="110">
        <v>1</v>
      </c>
      <c r="L286" s="81"/>
      <c r="M286" s="81">
        <f>'Praroop-20 hindi'!C289</f>
        <v>36</v>
      </c>
      <c r="N286" s="81">
        <v>2</v>
      </c>
      <c r="O286" s="81"/>
      <c r="P286" s="81">
        <f>'Praroop-20 hindi'!D289</f>
        <v>585</v>
      </c>
      <c r="Q286" s="81">
        <v>3</v>
      </c>
      <c r="R286" s="81"/>
      <c r="S286" s="81">
        <f>'Praroop-20 hindi'!E289</f>
        <v>2</v>
      </c>
      <c r="T286" s="81">
        <v>4</v>
      </c>
      <c r="U286" s="81"/>
      <c r="V286" s="81">
        <f>'Praroop-20 hindi'!F289</f>
        <v>3</v>
      </c>
      <c r="W286" s="81">
        <v>5</v>
      </c>
      <c r="X286" s="81"/>
      <c r="Y286" s="81">
        <f>'Praroop-20 hindi'!G289</f>
        <v>0</v>
      </c>
      <c r="Z286" s="81">
        <v>6</v>
      </c>
      <c r="AA286" s="81"/>
      <c r="AB286" s="81">
        <f>'Praroop-20 hindi'!H289</f>
        <v>0</v>
      </c>
      <c r="AC286" s="81">
        <v>7</v>
      </c>
      <c r="AD286" s="81"/>
      <c r="AE286" s="81">
        <f>'Praroop-20 hindi'!I289</f>
        <v>0</v>
      </c>
      <c r="AF286" s="81">
        <v>8</v>
      </c>
      <c r="AG286" s="81"/>
      <c r="AH286" s="81">
        <f>'Praroop-20 hindi'!J289</f>
        <v>0</v>
      </c>
      <c r="AI286" s="81">
        <v>9</v>
      </c>
      <c r="AJ286" s="81"/>
      <c r="AK286" s="81">
        <f>'Praroop-20 hindi'!K289</f>
        <v>20</v>
      </c>
      <c r="AL286" s="81">
        <v>10</v>
      </c>
      <c r="AM286" s="81"/>
      <c r="AN286" s="81">
        <f>'Praroop-20 hindi'!L289</f>
        <v>2</v>
      </c>
      <c r="AO286" s="81">
        <v>11</v>
      </c>
      <c r="AP286" s="81"/>
      <c r="AQ286" s="81">
        <f>'Praroop-20 hindi'!M289</f>
        <v>2</v>
      </c>
      <c r="AR286" s="81">
        <f t="shared" si="9"/>
        <v>650</v>
      </c>
    </row>
    <row r="287" spans="1:44" ht="38.25">
      <c r="A287" s="81">
        <v>64</v>
      </c>
      <c r="B287" s="41">
        <v>281</v>
      </c>
      <c r="C287" s="113" t="s">
        <v>406</v>
      </c>
      <c r="D287" s="117">
        <v>985</v>
      </c>
      <c r="E287" s="110">
        <v>410</v>
      </c>
      <c r="F287" s="110">
        <v>443</v>
      </c>
      <c r="G287" s="110">
        <v>0</v>
      </c>
      <c r="H287" s="111">
        <f t="shared" si="8"/>
        <v>853</v>
      </c>
      <c r="I287" s="112">
        <v>853</v>
      </c>
      <c r="J287" s="110">
        <v>0</v>
      </c>
      <c r="K287" s="110">
        <v>1</v>
      </c>
      <c r="L287" s="81"/>
      <c r="M287" s="81">
        <f>'Praroop-20 hindi'!C290</f>
        <v>61</v>
      </c>
      <c r="N287" s="81">
        <v>2</v>
      </c>
      <c r="O287" s="81"/>
      <c r="P287" s="81">
        <f>'Praroop-20 hindi'!D290</f>
        <v>702</v>
      </c>
      <c r="Q287" s="81">
        <v>3</v>
      </c>
      <c r="R287" s="81"/>
      <c r="S287" s="81">
        <f>'Praroop-20 hindi'!E290</f>
        <v>27</v>
      </c>
      <c r="T287" s="81">
        <v>4</v>
      </c>
      <c r="U287" s="81"/>
      <c r="V287" s="81">
        <f>'Praroop-20 hindi'!F290</f>
        <v>32</v>
      </c>
      <c r="W287" s="81">
        <v>5</v>
      </c>
      <c r="X287" s="81"/>
      <c r="Y287" s="81">
        <f>'Praroop-20 hindi'!G290</f>
        <v>0</v>
      </c>
      <c r="Z287" s="81">
        <v>6</v>
      </c>
      <c r="AA287" s="81"/>
      <c r="AB287" s="81">
        <f>'Praroop-20 hindi'!H290</f>
        <v>0</v>
      </c>
      <c r="AC287" s="81">
        <v>7</v>
      </c>
      <c r="AD287" s="81"/>
      <c r="AE287" s="81">
        <f>'Praroop-20 hindi'!I290</f>
        <v>3</v>
      </c>
      <c r="AF287" s="81">
        <v>8</v>
      </c>
      <c r="AG287" s="81"/>
      <c r="AH287" s="81">
        <f>'Praroop-20 hindi'!J290</f>
        <v>0</v>
      </c>
      <c r="AI287" s="81">
        <v>9</v>
      </c>
      <c r="AJ287" s="81"/>
      <c r="AK287" s="81">
        <f>'Praroop-20 hindi'!K290</f>
        <v>19</v>
      </c>
      <c r="AL287" s="81">
        <v>10</v>
      </c>
      <c r="AM287" s="81"/>
      <c r="AN287" s="81">
        <f>'Praroop-20 hindi'!L290</f>
        <v>5</v>
      </c>
      <c r="AO287" s="81">
        <v>11</v>
      </c>
      <c r="AP287" s="81"/>
      <c r="AQ287" s="81">
        <f>'Praroop-20 hindi'!M290</f>
        <v>1</v>
      </c>
      <c r="AR287" s="81">
        <f t="shared" si="9"/>
        <v>850</v>
      </c>
    </row>
    <row r="288" spans="1:44" ht="38.25">
      <c r="A288" s="81">
        <v>64</v>
      </c>
      <c r="B288" s="41">
        <v>282</v>
      </c>
      <c r="C288" s="113" t="s">
        <v>407</v>
      </c>
      <c r="D288" s="117">
        <v>752</v>
      </c>
      <c r="E288" s="110">
        <v>323</v>
      </c>
      <c r="F288" s="110">
        <v>259</v>
      </c>
      <c r="G288" s="110">
        <v>0</v>
      </c>
      <c r="H288" s="111">
        <f t="shared" si="8"/>
        <v>582</v>
      </c>
      <c r="I288" s="112">
        <v>485</v>
      </c>
      <c r="J288" s="110">
        <v>0</v>
      </c>
      <c r="K288" s="110">
        <v>1</v>
      </c>
      <c r="L288" s="81"/>
      <c r="M288" s="81">
        <f>'Praroop-20 hindi'!C291</f>
        <v>7</v>
      </c>
      <c r="N288" s="81">
        <v>2</v>
      </c>
      <c r="O288" s="81"/>
      <c r="P288" s="81">
        <f>'Praroop-20 hindi'!D291</f>
        <v>532</v>
      </c>
      <c r="Q288" s="81">
        <v>3</v>
      </c>
      <c r="R288" s="81"/>
      <c r="S288" s="81">
        <f>'Praroop-20 hindi'!E291</f>
        <v>3</v>
      </c>
      <c r="T288" s="81">
        <v>4</v>
      </c>
      <c r="U288" s="81"/>
      <c r="V288" s="81">
        <f>'Praroop-20 hindi'!F291</f>
        <v>4</v>
      </c>
      <c r="W288" s="81">
        <v>5</v>
      </c>
      <c r="X288" s="81"/>
      <c r="Y288" s="81">
        <f>'Praroop-20 hindi'!G291</f>
        <v>0</v>
      </c>
      <c r="Z288" s="81">
        <v>6</v>
      </c>
      <c r="AA288" s="81"/>
      <c r="AB288" s="81">
        <f>'Praroop-20 hindi'!H291</f>
        <v>0</v>
      </c>
      <c r="AC288" s="81">
        <v>7</v>
      </c>
      <c r="AD288" s="81"/>
      <c r="AE288" s="81">
        <f>'Praroop-20 hindi'!I291</f>
        <v>0</v>
      </c>
      <c r="AF288" s="81">
        <v>8</v>
      </c>
      <c r="AG288" s="81"/>
      <c r="AH288" s="81">
        <f>'Praroop-20 hindi'!J291</f>
        <v>0</v>
      </c>
      <c r="AI288" s="81">
        <v>9</v>
      </c>
      <c r="AJ288" s="81"/>
      <c r="AK288" s="81">
        <f>'Praroop-20 hindi'!K291</f>
        <v>34</v>
      </c>
      <c r="AL288" s="81">
        <v>10</v>
      </c>
      <c r="AM288" s="81"/>
      <c r="AN288" s="81">
        <f>'Praroop-20 hindi'!L291</f>
        <v>1</v>
      </c>
      <c r="AO288" s="81">
        <v>11</v>
      </c>
      <c r="AP288" s="81"/>
      <c r="AQ288" s="81">
        <f>'Praroop-20 hindi'!M291</f>
        <v>0</v>
      </c>
      <c r="AR288" s="81">
        <f t="shared" si="9"/>
        <v>581</v>
      </c>
    </row>
    <row r="289" spans="1:44" ht="38.25">
      <c r="A289" s="81">
        <v>64</v>
      </c>
      <c r="B289" s="41">
        <v>283</v>
      </c>
      <c r="C289" s="113" t="s">
        <v>408</v>
      </c>
      <c r="D289" s="117">
        <v>969</v>
      </c>
      <c r="E289" s="110">
        <v>364</v>
      </c>
      <c r="F289" s="110">
        <v>273</v>
      </c>
      <c r="G289" s="110">
        <v>0</v>
      </c>
      <c r="H289" s="111">
        <f t="shared" si="8"/>
        <v>637</v>
      </c>
      <c r="I289" s="112">
        <v>600</v>
      </c>
      <c r="J289" s="110">
        <v>0</v>
      </c>
      <c r="K289" s="110">
        <v>1</v>
      </c>
      <c r="L289" s="81"/>
      <c r="M289" s="81">
        <f>'Praroop-20 hindi'!C292</f>
        <v>11</v>
      </c>
      <c r="N289" s="81">
        <v>2</v>
      </c>
      <c r="O289" s="81"/>
      <c r="P289" s="81">
        <f>'Praroop-20 hindi'!D292</f>
        <v>587</v>
      </c>
      <c r="Q289" s="81">
        <v>3</v>
      </c>
      <c r="R289" s="81"/>
      <c r="S289" s="81">
        <f>'Praroop-20 hindi'!E292</f>
        <v>12</v>
      </c>
      <c r="T289" s="81">
        <v>4</v>
      </c>
      <c r="U289" s="81"/>
      <c r="V289" s="81">
        <f>'Praroop-20 hindi'!F292</f>
        <v>9</v>
      </c>
      <c r="W289" s="81">
        <v>5</v>
      </c>
      <c r="X289" s="81"/>
      <c r="Y289" s="81">
        <f>'Praroop-20 hindi'!G292</f>
        <v>0</v>
      </c>
      <c r="Z289" s="81">
        <v>6</v>
      </c>
      <c r="AA289" s="81"/>
      <c r="AB289" s="81">
        <f>'Praroop-20 hindi'!H292</f>
        <v>0</v>
      </c>
      <c r="AC289" s="81">
        <v>7</v>
      </c>
      <c r="AD289" s="81"/>
      <c r="AE289" s="81">
        <f>'Praroop-20 hindi'!I292</f>
        <v>1</v>
      </c>
      <c r="AF289" s="81">
        <v>8</v>
      </c>
      <c r="AG289" s="81"/>
      <c r="AH289" s="81">
        <f>'Praroop-20 hindi'!J292</f>
        <v>0</v>
      </c>
      <c r="AI289" s="81">
        <v>9</v>
      </c>
      <c r="AJ289" s="81"/>
      <c r="AK289" s="81">
        <f>'Praroop-20 hindi'!K292</f>
        <v>13</v>
      </c>
      <c r="AL289" s="81">
        <v>10</v>
      </c>
      <c r="AM289" s="81"/>
      <c r="AN289" s="81">
        <f>'Praroop-20 hindi'!L292</f>
        <v>2</v>
      </c>
      <c r="AO289" s="81">
        <v>11</v>
      </c>
      <c r="AP289" s="81"/>
      <c r="AQ289" s="81">
        <f>'Praroop-20 hindi'!M292</f>
        <v>0</v>
      </c>
      <c r="AR289" s="81">
        <f t="shared" si="9"/>
        <v>635</v>
      </c>
    </row>
    <row r="290" spans="1:44" ht="38.25">
      <c r="A290" s="81">
        <v>64</v>
      </c>
      <c r="B290" s="41">
        <v>284</v>
      </c>
      <c r="C290" s="113" t="s">
        <v>409</v>
      </c>
      <c r="D290" s="117">
        <v>918</v>
      </c>
      <c r="E290" s="110">
        <v>340</v>
      </c>
      <c r="F290" s="110">
        <v>294</v>
      </c>
      <c r="G290" s="110">
        <v>0</v>
      </c>
      <c r="H290" s="111">
        <f t="shared" si="8"/>
        <v>634</v>
      </c>
      <c r="I290" s="112">
        <v>550</v>
      </c>
      <c r="J290" s="110">
        <v>0</v>
      </c>
      <c r="K290" s="110">
        <v>1</v>
      </c>
      <c r="L290" s="81"/>
      <c r="M290" s="81">
        <f>'Praroop-20 hindi'!C293</f>
        <v>7</v>
      </c>
      <c r="N290" s="81">
        <v>2</v>
      </c>
      <c r="O290" s="81"/>
      <c r="P290" s="81">
        <f>'Praroop-20 hindi'!D293</f>
        <v>135</v>
      </c>
      <c r="Q290" s="81">
        <v>3</v>
      </c>
      <c r="R290" s="81"/>
      <c r="S290" s="81">
        <f>'Praroop-20 hindi'!E293</f>
        <v>484</v>
      </c>
      <c r="T290" s="81">
        <v>4</v>
      </c>
      <c r="U290" s="81"/>
      <c r="V290" s="81">
        <f>'Praroop-20 hindi'!F293</f>
        <v>2</v>
      </c>
      <c r="W290" s="81">
        <v>5</v>
      </c>
      <c r="X290" s="81"/>
      <c r="Y290" s="81">
        <f>'Praroop-20 hindi'!G293</f>
        <v>0</v>
      </c>
      <c r="Z290" s="81">
        <v>6</v>
      </c>
      <c r="AA290" s="81"/>
      <c r="AB290" s="81">
        <f>'Praroop-20 hindi'!H293</f>
        <v>0</v>
      </c>
      <c r="AC290" s="81">
        <v>7</v>
      </c>
      <c r="AD290" s="81"/>
      <c r="AE290" s="81">
        <f>'Praroop-20 hindi'!I293</f>
        <v>0</v>
      </c>
      <c r="AF290" s="81">
        <v>8</v>
      </c>
      <c r="AG290" s="81"/>
      <c r="AH290" s="81">
        <f>'Praroop-20 hindi'!J293</f>
        <v>0</v>
      </c>
      <c r="AI290" s="81">
        <v>9</v>
      </c>
      <c r="AJ290" s="81"/>
      <c r="AK290" s="81">
        <f>'Praroop-20 hindi'!K293</f>
        <v>2</v>
      </c>
      <c r="AL290" s="81">
        <v>10</v>
      </c>
      <c r="AM290" s="81"/>
      <c r="AN290" s="81">
        <f>'Praroop-20 hindi'!L293</f>
        <v>2</v>
      </c>
      <c r="AO290" s="81">
        <v>11</v>
      </c>
      <c r="AP290" s="81"/>
      <c r="AQ290" s="81">
        <f>'Praroop-20 hindi'!M293</f>
        <v>1</v>
      </c>
      <c r="AR290" s="81">
        <f t="shared" si="9"/>
        <v>633</v>
      </c>
    </row>
    <row r="291" spans="1:44" ht="38.25">
      <c r="A291" s="81">
        <v>64</v>
      </c>
      <c r="B291" s="41">
        <v>285</v>
      </c>
      <c r="C291" s="113" t="s">
        <v>410</v>
      </c>
      <c r="D291" s="117">
        <v>759</v>
      </c>
      <c r="E291" s="110">
        <v>290</v>
      </c>
      <c r="F291" s="110">
        <v>245</v>
      </c>
      <c r="G291" s="110">
        <v>0</v>
      </c>
      <c r="H291" s="111">
        <f t="shared" si="8"/>
        <v>535</v>
      </c>
      <c r="I291" s="112">
        <v>435</v>
      </c>
      <c r="J291" s="110">
        <v>0</v>
      </c>
      <c r="K291" s="110">
        <v>1</v>
      </c>
      <c r="L291" s="81"/>
      <c r="M291" s="81">
        <f>'Praroop-20 hindi'!C294</f>
        <v>12</v>
      </c>
      <c r="N291" s="81">
        <v>2</v>
      </c>
      <c r="O291" s="81"/>
      <c r="P291" s="81">
        <f>'Praroop-20 hindi'!D294</f>
        <v>478</v>
      </c>
      <c r="Q291" s="81">
        <v>3</v>
      </c>
      <c r="R291" s="81"/>
      <c r="S291" s="81">
        <f>'Praroop-20 hindi'!E294</f>
        <v>27</v>
      </c>
      <c r="T291" s="81">
        <v>4</v>
      </c>
      <c r="U291" s="81"/>
      <c r="V291" s="81">
        <f>'Praroop-20 hindi'!F294</f>
        <v>7</v>
      </c>
      <c r="W291" s="81">
        <v>5</v>
      </c>
      <c r="X291" s="81"/>
      <c r="Y291" s="81">
        <f>'Praroop-20 hindi'!G294</f>
        <v>0</v>
      </c>
      <c r="Z291" s="81">
        <v>6</v>
      </c>
      <c r="AA291" s="81"/>
      <c r="AB291" s="81">
        <f>'Praroop-20 hindi'!H294</f>
        <v>0</v>
      </c>
      <c r="AC291" s="81">
        <v>7</v>
      </c>
      <c r="AD291" s="81"/>
      <c r="AE291" s="81">
        <f>'Praroop-20 hindi'!I294</f>
        <v>0</v>
      </c>
      <c r="AF291" s="81">
        <v>8</v>
      </c>
      <c r="AG291" s="81"/>
      <c r="AH291" s="81">
        <f>'Praroop-20 hindi'!J294</f>
        <v>0</v>
      </c>
      <c r="AI291" s="81">
        <v>9</v>
      </c>
      <c r="AJ291" s="81"/>
      <c r="AK291" s="81">
        <f>'Praroop-20 hindi'!K294</f>
        <v>3</v>
      </c>
      <c r="AL291" s="81">
        <v>10</v>
      </c>
      <c r="AM291" s="81"/>
      <c r="AN291" s="81">
        <f>'Praroop-20 hindi'!L294</f>
        <v>3</v>
      </c>
      <c r="AO291" s="81">
        <v>11</v>
      </c>
      <c r="AP291" s="81"/>
      <c r="AQ291" s="81">
        <f>'Praroop-20 hindi'!M294</f>
        <v>1</v>
      </c>
      <c r="AR291" s="81">
        <f t="shared" si="9"/>
        <v>531</v>
      </c>
    </row>
    <row r="292" spans="1:44" ht="38.25">
      <c r="A292" s="81">
        <v>64</v>
      </c>
      <c r="B292" s="41">
        <v>286</v>
      </c>
      <c r="C292" s="113" t="s">
        <v>411</v>
      </c>
      <c r="D292" s="117">
        <v>834</v>
      </c>
      <c r="E292" s="110">
        <v>314</v>
      </c>
      <c r="F292" s="110">
        <v>261</v>
      </c>
      <c r="G292" s="110">
        <v>0</v>
      </c>
      <c r="H292" s="111">
        <f t="shared" si="8"/>
        <v>575</v>
      </c>
      <c r="I292" s="112">
        <v>532</v>
      </c>
      <c r="J292" s="110">
        <v>0</v>
      </c>
      <c r="K292" s="110">
        <v>1</v>
      </c>
      <c r="L292" s="81"/>
      <c r="M292" s="81">
        <f>'Praroop-20 hindi'!C295</f>
        <v>24</v>
      </c>
      <c r="N292" s="81">
        <v>2</v>
      </c>
      <c r="O292" s="81"/>
      <c r="P292" s="81">
        <f>'Praroop-20 hindi'!D295</f>
        <v>377</v>
      </c>
      <c r="Q292" s="81">
        <v>3</v>
      </c>
      <c r="R292" s="81"/>
      <c r="S292" s="81">
        <f>'Praroop-20 hindi'!E295</f>
        <v>159</v>
      </c>
      <c r="T292" s="81">
        <v>4</v>
      </c>
      <c r="U292" s="81"/>
      <c r="V292" s="81">
        <f>'Praroop-20 hindi'!F295</f>
        <v>6</v>
      </c>
      <c r="W292" s="81">
        <v>5</v>
      </c>
      <c r="X292" s="81"/>
      <c r="Y292" s="81">
        <f>'Praroop-20 hindi'!G295</f>
        <v>0</v>
      </c>
      <c r="Z292" s="81">
        <v>6</v>
      </c>
      <c r="AA292" s="81"/>
      <c r="AB292" s="81">
        <f>'Praroop-20 hindi'!H295</f>
        <v>0</v>
      </c>
      <c r="AC292" s="81">
        <v>7</v>
      </c>
      <c r="AD292" s="81"/>
      <c r="AE292" s="81">
        <f>'Praroop-20 hindi'!I295</f>
        <v>0</v>
      </c>
      <c r="AF292" s="81">
        <v>8</v>
      </c>
      <c r="AG292" s="81"/>
      <c r="AH292" s="81">
        <f>'Praroop-20 hindi'!J295</f>
        <v>3</v>
      </c>
      <c r="AI292" s="81">
        <v>9</v>
      </c>
      <c r="AJ292" s="81"/>
      <c r="AK292" s="81">
        <f>'Praroop-20 hindi'!K295</f>
        <v>3</v>
      </c>
      <c r="AL292" s="81">
        <v>10</v>
      </c>
      <c r="AM292" s="81"/>
      <c r="AN292" s="81">
        <f>'Praroop-20 hindi'!L295</f>
        <v>1</v>
      </c>
      <c r="AO292" s="81">
        <v>11</v>
      </c>
      <c r="AP292" s="81"/>
      <c r="AQ292" s="81">
        <f>'Praroop-20 hindi'!M295</f>
        <v>2</v>
      </c>
      <c r="AR292" s="81">
        <f t="shared" si="9"/>
        <v>575</v>
      </c>
    </row>
    <row r="293" spans="1:44" ht="38.25">
      <c r="A293" s="81">
        <v>64</v>
      </c>
      <c r="B293" s="41">
        <v>287</v>
      </c>
      <c r="C293" s="113" t="s">
        <v>412</v>
      </c>
      <c r="D293" s="117">
        <v>958</v>
      </c>
      <c r="E293" s="110">
        <v>393</v>
      </c>
      <c r="F293" s="110">
        <v>323</v>
      </c>
      <c r="G293" s="110">
        <v>0</v>
      </c>
      <c r="H293" s="111">
        <f t="shared" si="8"/>
        <v>716</v>
      </c>
      <c r="I293" s="112">
        <v>622</v>
      </c>
      <c r="J293" s="110">
        <v>0</v>
      </c>
      <c r="K293" s="110">
        <v>1</v>
      </c>
      <c r="L293" s="81"/>
      <c r="M293" s="81">
        <f>'Praroop-20 hindi'!C296</f>
        <v>34</v>
      </c>
      <c r="N293" s="81">
        <v>2</v>
      </c>
      <c r="O293" s="81"/>
      <c r="P293" s="81">
        <f>'Praroop-20 hindi'!D296</f>
        <v>84</v>
      </c>
      <c r="Q293" s="81">
        <v>3</v>
      </c>
      <c r="R293" s="81"/>
      <c r="S293" s="81">
        <f>'Praroop-20 hindi'!E296</f>
        <v>582</v>
      </c>
      <c r="T293" s="81">
        <v>4</v>
      </c>
      <c r="U293" s="81"/>
      <c r="V293" s="81">
        <f>'Praroop-20 hindi'!F296</f>
        <v>2</v>
      </c>
      <c r="W293" s="81">
        <v>5</v>
      </c>
      <c r="X293" s="81"/>
      <c r="Y293" s="81">
        <f>'Praroop-20 hindi'!G296</f>
        <v>3</v>
      </c>
      <c r="Z293" s="81">
        <v>6</v>
      </c>
      <c r="AA293" s="81"/>
      <c r="AB293" s="81">
        <f>'Praroop-20 hindi'!H296</f>
        <v>0</v>
      </c>
      <c r="AC293" s="81">
        <v>7</v>
      </c>
      <c r="AD293" s="81"/>
      <c r="AE293" s="81">
        <f>'Praroop-20 hindi'!I296</f>
        <v>0</v>
      </c>
      <c r="AF293" s="81">
        <v>8</v>
      </c>
      <c r="AG293" s="81"/>
      <c r="AH293" s="81">
        <f>'Praroop-20 hindi'!J296</f>
        <v>1</v>
      </c>
      <c r="AI293" s="81">
        <v>9</v>
      </c>
      <c r="AJ293" s="81"/>
      <c r="AK293" s="81">
        <f>'Praroop-20 hindi'!K296</f>
        <v>3</v>
      </c>
      <c r="AL293" s="81">
        <v>10</v>
      </c>
      <c r="AM293" s="81"/>
      <c r="AN293" s="81">
        <f>'Praroop-20 hindi'!L296</f>
        <v>5</v>
      </c>
      <c r="AO293" s="81">
        <v>11</v>
      </c>
      <c r="AP293" s="81"/>
      <c r="AQ293" s="81">
        <f>'Praroop-20 hindi'!M296</f>
        <v>0</v>
      </c>
      <c r="AR293" s="81">
        <f t="shared" si="9"/>
        <v>714</v>
      </c>
    </row>
    <row r="294" spans="1:44" ht="38.25">
      <c r="A294" s="81">
        <v>64</v>
      </c>
      <c r="B294" s="41">
        <v>288</v>
      </c>
      <c r="C294" s="113" t="s">
        <v>413</v>
      </c>
      <c r="D294" s="117">
        <v>693</v>
      </c>
      <c r="E294" s="110">
        <v>255</v>
      </c>
      <c r="F294" s="110">
        <v>227</v>
      </c>
      <c r="G294" s="110">
        <v>0</v>
      </c>
      <c r="H294" s="111">
        <f t="shared" si="8"/>
        <v>482</v>
      </c>
      <c r="I294" s="112">
        <v>413</v>
      </c>
      <c r="J294" s="110">
        <v>0</v>
      </c>
      <c r="K294" s="110">
        <v>1</v>
      </c>
      <c r="L294" s="81"/>
      <c r="M294" s="81">
        <f>'Praroop-20 hindi'!C297</f>
        <v>9</v>
      </c>
      <c r="N294" s="81">
        <v>2</v>
      </c>
      <c r="O294" s="81"/>
      <c r="P294" s="81">
        <f>'Praroop-20 hindi'!D297</f>
        <v>430</v>
      </c>
      <c r="Q294" s="81">
        <v>3</v>
      </c>
      <c r="R294" s="81"/>
      <c r="S294" s="81">
        <f>'Praroop-20 hindi'!E297</f>
        <v>34</v>
      </c>
      <c r="T294" s="81">
        <v>4</v>
      </c>
      <c r="U294" s="81"/>
      <c r="V294" s="81">
        <f>'Praroop-20 hindi'!F297</f>
        <v>1</v>
      </c>
      <c r="W294" s="81">
        <v>5</v>
      </c>
      <c r="X294" s="81"/>
      <c r="Y294" s="81">
        <f>'Praroop-20 hindi'!G297</f>
        <v>0</v>
      </c>
      <c r="Z294" s="81">
        <v>6</v>
      </c>
      <c r="AA294" s="81"/>
      <c r="AB294" s="81">
        <f>'Praroop-20 hindi'!H297</f>
        <v>0</v>
      </c>
      <c r="AC294" s="81">
        <v>7</v>
      </c>
      <c r="AD294" s="81"/>
      <c r="AE294" s="81">
        <f>'Praroop-20 hindi'!I297</f>
        <v>1</v>
      </c>
      <c r="AF294" s="81">
        <v>8</v>
      </c>
      <c r="AG294" s="81"/>
      <c r="AH294" s="81">
        <f>'Praroop-20 hindi'!J297</f>
        <v>0</v>
      </c>
      <c r="AI294" s="81">
        <v>9</v>
      </c>
      <c r="AJ294" s="81"/>
      <c r="AK294" s="81">
        <f>'Praroop-20 hindi'!K297</f>
        <v>2</v>
      </c>
      <c r="AL294" s="81">
        <v>10</v>
      </c>
      <c r="AM294" s="81"/>
      <c r="AN294" s="81">
        <f>'Praroop-20 hindi'!L297</f>
        <v>1</v>
      </c>
      <c r="AO294" s="81">
        <v>11</v>
      </c>
      <c r="AP294" s="81"/>
      <c r="AQ294" s="81">
        <f>'Praroop-20 hindi'!M297</f>
        <v>2</v>
      </c>
      <c r="AR294" s="81">
        <f t="shared" si="9"/>
        <v>480</v>
      </c>
    </row>
    <row r="295" spans="1:44" ht="38.25">
      <c r="A295" s="81">
        <v>64</v>
      </c>
      <c r="B295" s="41">
        <v>289</v>
      </c>
      <c r="C295" s="116" t="s">
        <v>414</v>
      </c>
      <c r="D295" s="117">
        <v>1109</v>
      </c>
      <c r="E295" s="110">
        <v>445</v>
      </c>
      <c r="F295" s="110">
        <v>353</v>
      </c>
      <c r="G295" s="110">
        <v>0</v>
      </c>
      <c r="H295" s="111">
        <f t="shared" si="8"/>
        <v>798</v>
      </c>
      <c r="I295" s="112">
        <v>748</v>
      </c>
      <c r="J295" s="110">
        <v>0</v>
      </c>
      <c r="K295" s="110">
        <v>1</v>
      </c>
      <c r="L295" s="81"/>
      <c r="M295" s="81">
        <f>'Praroop-20 hindi'!C298</f>
        <v>12</v>
      </c>
      <c r="N295" s="81">
        <v>2</v>
      </c>
      <c r="O295" s="81"/>
      <c r="P295" s="81">
        <f>'Praroop-20 hindi'!D298</f>
        <v>39</v>
      </c>
      <c r="Q295" s="81">
        <v>3</v>
      </c>
      <c r="R295" s="81"/>
      <c r="S295" s="81">
        <f>'Praroop-20 hindi'!E298</f>
        <v>742</v>
      </c>
      <c r="T295" s="81">
        <v>4</v>
      </c>
      <c r="U295" s="81"/>
      <c r="V295" s="81">
        <f>'Praroop-20 hindi'!F298</f>
        <v>1</v>
      </c>
      <c r="W295" s="81">
        <v>5</v>
      </c>
      <c r="X295" s="81"/>
      <c r="Y295" s="81">
        <f>'Praroop-20 hindi'!G298</f>
        <v>1</v>
      </c>
      <c r="Z295" s="81">
        <v>6</v>
      </c>
      <c r="AA295" s="81"/>
      <c r="AB295" s="81">
        <f>'Praroop-20 hindi'!H298</f>
        <v>0</v>
      </c>
      <c r="AC295" s="81">
        <v>7</v>
      </c>
      <c r="AD295" s="81"/>
      <c r="AE295" s="81">
        <f>'Praroop-20 hindi'!I298</f>
        <v>0</v>
      </c>
      <c r="AF295" s="81">
        <v>8</v>
      </c>
      <c r="AG295" s="81"/>
      <c r="AH295" s="81">
        <f>'Praroop-20 hindi'!J298</f>
        <v>0</v>
      </c>
      <c r="AI295" s="81">
        <v>9</v>
      </c>
      <c r="AJ295" s="81"/>
      <c r="AK295" s="81">
        <f>'Praroop-20 hindi'!K298</f>
        <v>0</v>
      </c>
      <c r="AL295" s="81">
        <v>10</v>
      </c>
      <c r="AM295" s="81"/>
      <c r="AN295" s="81">
        <f>'Praroop-20 hindi'!L298</f>
        <v>2</v>
      </c>
      <c r="AO295" s="81">
        <v>11</v>
      </c>
      <c r="AP295" s="81"/>
      <c r="AQ295" s="81">
        <f>'Praroop-20 hindi'!M298</f>
        <v>0</v>
      </c>
      <c r="AR295" s="81">
        <f t="shared" si="9"/>
        <v>797</v>
      </c>
    </row>
    <row r="296" spans="1:44" ht="38.25">
      <c r="A296" s="81">
        <v>64</v>
      </c>
      <c r="B296" s="41">
        <v>290</v>
      </c>
      <c r="C296" s="116" t="s">
        <v>415</v>
      </c>
      <c r="D296" s="117">
        <v>1117</v>
      </c>
      <c r="E296" s="110">
        <v>357</v>
      </c>
      <c r="F296" s="110">
        <v>319</v>
      </c>
      <c r="G296" s="110">
        <v>0</v>
      </c>
      <c r="H296" s="111">
        <f t="shared" si="8"/>
        <v>676</v>
      </c>
      <c r="I296" s="112">
        <v>676</v>
      </c>
      <c r="J296" s="110">
        <v>0</v>
      </c>
      <c r="K296" s="110">
        <v>1</v>
      </c>
      <c r="L296" s="81"/>
      <c r="M296" s="81">
        <f>'Praroop-20 hindi'!C299</f>
        <v>12</v>
      </c>
      <c r="N296" s="81">
        <v>2</v>
      </c>
      <c r="O296" s="81"/>
      <c r="P296" s="81">
        <f>'Praroop-20 hindi'!D299</f>
        <v>46</v>
      </c>
      <c r="Q296" s="81">
        <v>3</v>
      </c>
      <c r="R296" s="81"/>
      <c r="S296" s="81">
        <f>'Praroop-20 hindi'!E299</f>
        <v>603</v>
      </c>
      <c r="T296" s="81">
        <v>4</v>
      </c>
      <c r="U296" s="81"/>
      <c r="V296" s="81">
        <f>'Praroop-20 hindi'!F299</f>
        <v>3</v>
      </c>
      <c r="W296" s="81">
        <v>5</v>
      </c>
      <c r="X296" s="81"/>
      <c r="Y296" s="81">
        <f>'Praroop-20 hindi'!G299</f>
        <v>0</v>
      </c>
      <c r="Z296" s="81">
        <v>6</v>
      </c>
      <c r="AA296" s="81"/>
      <c r="AB296" s="81">
        <f>'Praroop-20 hindi'!H299</f>
        <v>0</v>
      </c>
      <c r="AC296" s="81">
        <v>7</v>
      </c>
      <c r="AD296" s="81"/>
      <c r="AE296" s="81">
        <f>'Praroop-20 hindi'!I299</f>
        <v>0</v>
      </c>
      <c r="AF296" s="81">
        <v>8</v>
      </c>
      <c r="AG296" s="81"/>
      <c r="AH296" s="81">
        <f>'Praroop-20 hindi'!J299</f>
        <v>0</v>
      </c>
      <c r="AI296" s="81">
        <v>9</v>
      </c>
      <c r="AJ296" s="81"/>
      <c r="AK296" s="81">
        <f>'Praroop-20 hindi'!K299</f>
        <v>1</v>
      </c>
      <c r="AL296" s="81">
        <v>10</v>
      </c>
      <c r="AM296" s="81"/>
      <c r="AN296" s="81">
        <f>'Praroop-20 hindi'!L299</f>
        <v>5</v>
      </c>
      <c r="AO296" s="81">
        <v>11</v>
      </c>
      <c r="AP296" s="81"/>
      <c r="AQ296" s="81">
        <f>'Praroop-20 hindi'!M299</f>
        <v>0</v>
      </c>
      <c r="AR296" s="81">
        <f t="shared" si="9"/>
        <v>670</v>
      </c>
    </row>
    <row r="297" spans="1:44" ht="38.25">
      <c r="A297" s="81">
        <v>64</v>
      </c>
      <c r="B297" s="41">
        <v>291</v>
      </c>
      <c r="C297" s="116" t="s">
        <v>416</v>
      </c>
      <c r="D297" s="117">
        <v>1114</v>
      </c>
      <c r="E297" s="110">
        <v>300</v>
      </c>
      <c r="F297" s="110">
        <v>269</v>
      </c>
      <c r="G297" s="110">
        <v>0</v>
      </c>
      <c r="H297" s="111">
        <f t="shared" si="8"/>
        <v>569</v>
      </c>
      <c r="I297" s="112">
        <v>569</v>
      </c>
      <c r="J297" s="110">
        <v>0</v>
      </c>
      <c r="K297" s="110">
        <v>1</v>
      </c>
      <c r="L297" s="81"/>
      <c r="M297" s="81">
        <f>'Praroop-20 hindi'!C300</f>
        <v>17</v>
      </c>
      <c r="N297" s="81">
        <v>2</v>
      </c>
      <c r="O297" s="81"/>
      <c r="P297" s="81">
        <f>'Praroop-20 hindi'!D300</f>
        <v>23</v>
      </c>
      <c r="Q297" s="81">
        <v>3</v>
      </c>
      <c r="R297" s="81"/>
      <c r="S297" s="81">
        <f>'Praroop-20 hindi'!E300</f>
        <v>523</v>
      </c>
      <c r="T297" s="81">
        <v>4</v>
      </c>
      <c r="U297" s="81"/>
      <c r="V297" s="81">
        <f>'Praroop-20 hindi'!F300</f>
        <v>1</v>
      </c>
      <c r="W297" s="81">
        <v>5</v>
      </c>
      <c r="X297" s="81"/>
      <c r="Y297" s="81">
        <f>'Praroop-20 hindi'!G300</f>
        <v>0</v>
      </c>
      <c r="Z297" s="81">
        <v>6</v>
      </c>
      <c r="AA297" s="81"/>
      <c r="AB297" s="81">
        <f>'Praroop-20 hindi'!H300</f>
        <v>0</v>
      </c>
      <c r="AC297" s="81">
        <v>7</v>
      </c>
      <c r="AD297" s="81"/>
      <c r="AE297" s="81">
        <f>'Praroop-20 hindi'!I300</f>
        <v>1</v>
      </c>
      <c r="AF297" s="81">
        <v>8</v>
      </c>
      <c r="AG297" s="81"/>
      <c r="AH297" s="81">
        <f>'Praroop-20 hindi'!J300</f>
        <v>0</v>
      </c>
      <c r="AI297" s="81">
        <v>9</v>
      </c>
      <c r="AJ297" s="81"/>
      <c r="AK297" s="81">
        <f>'Praroop-20 hindi'!K300</f>
        <v>0</v>
      </c>
      <c r="AL297" s="81">
        <v>10</v>
      </c>
      <c r="AM297" s="81"/>
      <c r="AN297" s="81">
        <f>'Praroop-20 hindi'!L300</f>
        <v>2</v>
      </c>
      <c r="AO297" s="81">
        <v>11</v>
      </c>
      <c r="AP297" s="81"/>
      <c r="AQ297" s="81">
        <f>'Praroop-20 hindi'!M300</f>
        <v>0</v>
      </c>
      <c r="AR297" s="81">
        <f t="shared" si="9"/>
        <v>567</v>
      </c>
    </row>
    <row r="298" spans="1:44" ht="38.25">
      <c r="A298" s="81">
        <v>64</v>
      </c>
      <c r="B298" s="41">
        <v>292</v>
      </c>
      <c r="C298" s="116" t="s">
        <v>417</v>
      </c>
      <c r="D298" s="117">
        <v>827</v>
      </c>
      <c r="E298" s="110">
        <v>312</v>
      </c>
      <c r="F298" s="110">
        <v>253</v>
      </c>
      <c r="G298" s="110">
        <v>2</v>
      </c>
      <c r="H298" s="111">
        <f t="shared" si="8"/>
        <v>567</v>
      </c>
      <c r="I298" s="112">
        <v>531</v>
      </c>
      <c r="J298" s="110">
        <v>0</v>
      </c>
      <c r="K298" s="110">
        <v>1</v>
      </c>
      <c r="L298" s="81"/>
      <c r="M298" s="81">
        <f>'Praroop-20 hindi'!C301</f>
        <v>33</v>
      </c>
      <c r="N298" s="81">
        <v>2</v>
      </c>
      <c r="O298" s="81"/>
      <c r="P298" s="81">
        <f>'Praroop-20 hindi'!D301</f>
        <v>25</v>
      </c>
      <c r="Q298" s="81">
        <v>3</v>
      </c>
      <c r="R298" s="81"/>
      <c r="S298" s="81">
        <f>'Praroop-20 hindi'!E301</f>
        <v>483</v>
      </c>
      <c r="T298" s="81">
        <v>4</v>
      </c>
      <c r="U298" s="81"/>
      <c r="V298" s="81">
        <f>'Praroop-20 hindi'!F301</f>
        <v>7</v>
      </c>
      <c r="W298" s="81">
        <v>5</v>
      </c>
      <c r="X298" s="81"/>
      <c r="Y298" s="81">
        <f>'Praroop-20 hindi'!G301</f>
        <v>3</v>
      </c>
      <c r="Z298" s="81">
        <v>6</v>
      </c>
      <c r="AA298" s="81"/>
      <c r="AB298" s="81">
        <f>'Praroop-20 hindi'!H301</f>
        <v>2</v>
      </c>
      <c r="AC298" s="81">
        <v>7</v>
      </c>
      <c r="AD298" s="81"/>
      <c r="AE298" s="81">
        <f>'Praroop-20 hindi'!I301</f>
        <v>1</v>
      </c>
      <c r="AF298" s="81">
        <v>8</v>
      </c>
      <c r="AG298" s="81"/>
      <c r="AH298" s="81">
        <f>'Praroop-20 hindi'!J301</f>
        <v>4</v>
      </c>
      <c r="AI298" s="81">
        <v>9</v>
      </c>
      <c r="AJ298" s="81"/>
      <c r="AK298" s="81">
        <f>'Praroop-20 hindi'!K301</f>
        <v>2</v>
      </c>
      <c r="AL298" s="81">
        <v>10</v>
      </c>
      <c r="AM298" s="81"/>
      <c r="AN298" s="81">
        <f>'Praroop-20 hindi'!L301</f>
        <v>5</v>
      </c>
      <c r="AO298" s="81">
        <v>11</v>
      </c>
      <c r="AP298" s="81"/>
      <c r="AQ298" s="81">
        <f>'Praroop-20 hindi'!M301</f>
        <v>0</v>
      </c>
      <c r="AR298" s="81">
        <f t="shared" si="9"/>
        <v>565</v>
      </c>
    </row>
    <row r="299" spans="1:44" ht="38.25">
      <c r="A299" s="81">
        <v>64</v>
      </c>
      <c r="B299" s="41">
        <v>293</v>
      </c>
      <c r="C299" s="116" t="s">
        <v>418</v>
      </c>
      <c r="D299" s="117">
        <v>687</v>
      </c>
      <c r="E299" s="110">
        <v>218</v>
      </c>
      <c r="F299" s="110">
        <v>183</v>
      </c>
      <c r="G299" s="110">
        <v>0</v>
      </c>
      <c r="H299" s="111">
        <f t="shared" si="8"/>
        <v>401</v>
      </c>
      <c r="I299" s="112">
        <v>401</v>
      </c>
      <c r="J299" s="110">
        <v>0</v>
      </c>
      <c r="K299" s="110">
        <v>1</v>
      </c>
      <c r="L299" s="81"/>
      <c r="M299" s="81">
        <f>'Praroop-20 hindi'!C302</f>
        <v>64</v>
      </c>
      <c r="N299" s="81">
        <v>2</v>
      </c>
      <c r="O299" s="81"/>
      <c r="P299" s="81">
        <f>'Praroop-20 hindi'!D302</f>
        <v>15</v>
      </c>
      <c r="Q299" s="81">
        <v>3</v>
      </c>
      <c r="R299" s="81"/>
      <c r="S299" s="81">
        <f>'Praroop-20 hindi'!E302</f>
        <v>317</v>
      </c>
      <c r="T299" s="81">
        <v>4</v>
      </c>
      <c r="U299" s="81"/>
      <c r="V299" s="81">
        <f>'Praroop-20 hindi'!F302</f>
        <v>1</v>
      </c>
      <c r="W299" s="81">
        <v>5</v>
      </c>
      <c r="X299" s="81"/>
      <c r="Y299" s="81">
        <f>'Praroop-20 hindi'!G302</f>
        <v>0</v>
      </c>
      <c r="Z299" s="81">
        <v>6</v>
      </c>
      <c r="AA299" s="81"/>
      <c r="AB299" s="81">
        <f>'Praroop-20 hindi'!H302</f>
        <v>1</v>
      </c>
      <c r="AC299" s="81">
        <v>7</v>
      </c>
      <c r="AD299" s="81"/>
      <c r="AE299" s="81">
        <f>'Praroop-20 hindi'!I302</f>
        <v>1</v>
      </c>
      <c r="AF299" s="81">
        <v>8</v>
      </c>
      <c r="AG299" s="81"/>
      <c r="AH299" s="81">
        <f>'Praroop-20 hindi'!J302</f>
        <v>0</v>
      </c>
      <c r="AI299" s="81">
        <v>9</v>
      </c>
      <c r="AJ299" s="81"/>
      <c r="AK299" s="81">
        <f>'Praroop-20 hindi'!K302</f>
        <v>0</v>
      </c>
      <c r="AL299" s="81">
        <v>10</v>
      </c>
      <c r="AM299" s="81"/>
      <c r="AN299" s="81">
        <f>'Praroop-20 hindi'!L302</f>
        <v>2</v>
      </c>
      <c r="AO299" s="81">
        <v>11</v>
      </c>
      <c r="AP299" s="81"/>
      <c r="AQ299" s="81">
        <f>'Praroop-20 hindi'!M302</f>
        <v>0</v>
      </c>
      <c r="AR299" s="81">
        <f t="shared" si="9"/>
        <v>401</v>
      </c>
    </row>
    <row r="300" spans="1:44" ht="25.5">
      <c r="A300" s="81">
        <v>64</v>
      </c>
      <c r="B300" s="41">
        <v>294</v>
      </c>
      <c r="C300" s="113" t="s">
        <v>419</v>
      </c>
      <c r="D300" s="117">
        <v>1102</v>
      </c>
      <c r="E300" s="110">
        <v>356</v>
      </c>
      <c r="F300" s="110">
        <v>334</v>
      </c>
      <c r="G300" s="110">
        <v>0</v>
      </c>
      <c r="H300" s="111">
        <f t="shared" si="8"/>
        <v>690</v>
      </c>
      <c r="I300" s="112">
        <v>622</v>
      </c>
      <c r="J300" s="110">
        <v>0</v>
      </c>
      <c r="K300" s="110">
        <v>1</v>
      </c>
      <c r="L300" s="81"/>
      <c r="M300" s="81">
        <f>'Praroop-20 hindi'!C303</f>
        <v>453</v>
      </c>
      <c r="N300" s="81">
        <v>2</v>
      </c>
      <c r="O300" s="81"/>
      <c r="P300" s="81">
        <f>'Praroop-20 hindi'!D303</f>
        <v>101</v>
      </c>
      <c r="Q300" s="81">
        <v>3</v>
      </c>
      <c r="R300" s="81"/>
      <c r="S300" s="81">
        <f>'Praroop-20 hindi'!E303</f>
        <v>119</v>
      </c>
      <c r="T300" s="81">
        <v>4</v>
      </c>
      <c r="U300" s="81"/>
      <c r="V300" s="81">
        <f>'Praroop-20 hindi'!F303</f>
        <v>2</v>
      </c>
      <c r="W300" s="81">
        <v>5</v>
      </c>
      <c r="X300" s="81"/>
      <c r="Y300" s="81">
        <f>'Praroop-20 hindi'!G303</f>
        <v>4</v>
      </c>
      <c r="Z300" s="81">
        <v>6</v>
      </c>
      <c r="AA300" s="81"/>
      <c r="AB300" s="81">
        <f>'Praroop-20 hindi'!H303</f>
        <v>1</v>
      </c>
      <c r="AC300" s="81">
        <v>7</v>
      </c>
      <c r="AD300" s="81"/>
      <c r="AE300" s="81">
        <f>'Praroop-20 hindi'!I303</f>
        <v>1</v>
      </c>
      <c r="AF300" s="81">
        <v>8</v>
      </c>
      <c r="AG300" s="81"/>
      <c r="AH300" s="81">
        <f>'Praroop-20 hindi'!J303</f>
        <v>2</v>
      </c>
      <c r="AI300" s="81">
        <v>9</v>
      </c>
      <c r="AJ300" s="81"/>
      <c r="AK300" s="81">
        <f>'Praroop-20 hindi'!K303</f>
        <v>0</v>
      </c>
      <c r="AL300" s="81">
        <v>10</v>
      </c>
      <c r="AM300" s="81"/>
      <c r="AN300" s="81">
        <f>'Praroop-20 hindi'!L303</f>
        <v>3</v>
      </c>
      <c r="AO300" s="81">
        <v>11</v>
      </c>
      <c r="AP300" s="81"/>
      <c r="AQ300" s="81">
        <f>'Praroop-20 hindi'!M303</f>
        <v>0</v>
      </c>
      <c r="AR300" s="81">
        <f t="shared" si="9"/>
        <v>686</v>
      </c>
    </row>
    <row r="301" spans="1:44" ht="25.5">
      <c r="A301" s="81">
        <v>64</v>
      </c>
      <c r="B301" s="41">
        <v>295</v>
      </c>
      <c r="C301" s="113" t="s">
        <v>420</v>
      </c>
      <c r="D301" s="117">
        <v>1026</v>
      </c>
      <c r="E301" s="110">
        <v>323</v>
      </c>
      <c r="F301" s="110">
        <v>299</v>
      </c>
      <c r="G301" s="110">
        <v>0</v>
      </c>
      <c r="H301" s="111">
        <f t="shared" si="8"/>
        <v>622</v>
      </c>
      <c r="I301" s="112">
        <v>563</v>
      </c>
      <c r="J301" s="110">
        <v>0</v>
      </c>
      <c r="K301" s="110">
        <v>1</v>
      </c>
      <c r="L301" s="81"/>
      <c r="M301" s="81">
        <f>'Praroop-20 hindi'!C304</f>
        <v>238</v>
      </c>
      <c r="N301" s="81">
        <v>2</v>
      </c>
      <c r="O301" s="81"/>
      <c r="P301" s="81">
        <f>'Praroop-20 hindi'!D304</f>
        <v>297</v>
      </c>
      <c r="Q301" s="81">
        <v>3</v>
      </c>
      <c r="R301" s="81"/>
      <c r="S301" s="81">
        <f>'Praroop-20 hindi'!E304</f>
        <v>80</v>
      </c>
      <c r="T301" s="81">
        <v>4</v>
      </c>
      <c r="U301" s="81"/>
      <c r="V301" s="81">
        <f>'Praroop-20 hindi'!F304</f>
        <v>1</v>
      </c>
      <c r="W301" s="81">
        <v>5</v>
      </c>
      <c r="X301" s="81"/>
      <c r="Y301" s="81">
        <f>'Praroop-20 hindi'!G304</f>
        <v>2</v>
      </c>
      <c r="Z301" s="81">
        <v>6</v>
      </c>
      <c r="AA301" s="81"/>
      <c r="AB301" s="81">
        <f>'Praroop-20 hindi'!H304</f>
        <v>0</v>
      </c>
      <c r="AC301" s="81">
        <v>7</v>
      </c>
      <c r="AD301" s="81"/>
      <c r="AE301" s="81">
        <f>'Praroop-20 hindi'!I304</f>
        <v>0</v>
      </c>
      <c r="AF301" s="81">
        <v>8</v>
      </c>
      <c r="AG301" s="81"/>
      <c r="AH301" s="81">
        <f>'Praroop-20 hindi'!J304</f>
        <v>0</v>
      </c>
      <c r="AI301" s="81">
        <v>9</v>
      </c>
      <c r="AJ301" s="81"/>
      <c r="AK301" s="81">
        <f>'Praroop-20 hindi'!K304</f>
        <v>0</v>
      </c>
      <c r="AL301" s="81">
        <v>10</v>
      </c>
      <c r="AM301" s="81"/>
      <c r="AN301" s="81">
        <f>'Praroop-20 hindi'!L304</f>
        <v>1</v>
      </c>
      <c r="AO301" s="81">
        <v>11</v>
      </c>
      <c r="AP301" s="81"/>
      <c r="AQ301" s="81">
        <f>'Praroop-20 hindi'!M304</f>
        <v>0</v>
      </c>
      <c r="AR301" s="81">
        <f t="shared" si="9"/>
        <v>619</v>
      </c>
    </row>
    <row r="302" spans="1:44" ht="25.5">
      <c r="A302" s="81">
        <v>64</v>
      </c>
      <c r="B302" s="41">
        <v>296</v>
      </c>
      <c r="C302" s="113" t="s">
        <v>421</v>
      </c>
      <c r="D302" s="117">
        <v>555</v>
      </c>
      <c r="E302" s="110">
        <v>232</v>
      </c>
      <c r="F302" s="110">
        <v>204</v>
      </c>
      <c r="G302" s="110">
        <v>0</v>
      </c>
      <c r="H302" s="111">
        <f t="shared" si="8"/>
        <v>436</v>
      </c>
      <c r="I302" s="112">
        <v>436</v>
      </c>
      <c r="J302" s="110">
        <v>0</v>
      </c>
      <c r="K302" s="110">
        <v>1</v>
      </c>
      <c r="L302" s="81"/>
      <c r="M302" s="81">
        <f>'Praroop-20 hindi'!C305</f>
        <v>8</v>
      </c>
      <c r="N302" s="81">
        <v>2</v>
      </c>
      <c r="O302" s="81"/>
      <c r="P302" s="81">
        <f>'Praroop-20 hindi'!D305</f>
        <v>134</v>
      </c>
      <c r="Q302" s="81">
        <v>3</v>
      </c>
      <c r="R302" s="81"/>
      <c r="S302" s="81">
        <f>'Praroop-20 hindi'!E305</f>
        <v>289</v>
      </c>
      <c r="T302" s="81">
        <v>4</v>
      </c>
      <c r="U302" s="81"/>
      <c r="V302" s="81">
        <f>'Praroop-20 hindi'!F305</f>
        <v>1</v>
      </c>
      <c r="W302" s="81">
        <v>5</v>
      </c>
      <c r="X302" s="81"/>
      <c r="Y302" s="81">
        <f>'Praroop-20 hindi'!G305</f>
        <v>1</v>
      </c>
      <c r="Z302" s="81">
        <v>6</v>
      </c>
      <c r="AA302" s="81"/>
      <c r="AB302" s="81">
        <f>'Praroop-20 hindi'!H305</f>
        <v>0</v>
      </c>
      <c r="AC302" s="81">
        <v>7</v>
      </c>
      <c r="AD302" s="81"/>
      <c r="AE302" s="81">
        <f>'Praroop-20 hindi'!I305</f>
        <v>0</v>
      </c>
      <c r="AF302" s="81">
        <v>8</v>
      </c>
      <c r="AG302" s="81"/>
      <c r="AH302" s="81">
        <f>'Praroop-20 hindi'!J305</f>
        <v>1</v>
      </c>
      <c r="AI302" s="81">
        <v>9</v>
      </c>
      <c r="AJ302" s="81"/>
      <c r="AK302" s="81">
        <f>'Praroop-20 hindi'!K305</f>
        <v>0</v>
      </c>
      <c r="AL302" s="81">
        <v>10</v>
      </c>
      <c r="AM302" s="81"/>
      <c r="AN302" s="81">
        <f>'Praroop-20 hindi'!L305</f>
        <v>1</v>
      </c>
      <c r="AO302" s="81">
        <v>11</v>
      </c>
      <c r="AP302" s="81"/>
      <c r="AQ302" s="81">
        <f>'Praroop-20 hindi'!M305</f>
        <v>0</v>
      </c>
      <c r="AR302" s="81">
        <f t="shared" si="9"/>
        <v>435</v>
      </c>
    </row>
    <row r="303" spans="1:44" ht="25.5">
      <c r="A303" s="81">
        <v>64</v>
      </c>
      <c r="B303" s="41">
        <v>297</v>
      </c>
      <c r="C303" s="113" t="s">
        <v>422</v>
      </c>
      <c r="D303" s="117">
        <v>1101</v>
      </c>
      <c r="E303" s="110">
        <v>374</v>
      </c>
      <c r="F303" s="110">
        <v>332</v>
      </c>
      <c r="G303" s="110">
        <v>0</v>
      </c>
      <c r="H303" s="111">
        <f t="shared" si="8"/>
        <v>706</v>
      </c>
      <c r="I303" s="112">
        <v>627</v>
      </c>
      <c r="J303" s="110">
        <v>0</v>
      </c>
      <c r="K303" s="110">
        <v>1</v>
      </c>
      <c r="L303" s="81"/>
      <c r="M303" s="81">
        <f>'Praroop-20 hindi'!C306</f>
        <v>529</v>
      </c>
      <c r="N303" s="81">
        <v>2</v>
      </c>
      <c r="O303" s="81"/>
      <c r="P303" s="81">
        <f>'Praroop-20 hindi'!D306</f>
        <v>24</v>
      </c>
      <c r="Q303" s="81">
        <v>3</v>
      </c>
      <c r="R303" s="81"/>
      <c r="S303" s="81">
        <f>'Praroop-20 hindi'!E306</f>
        <v>120</v>
      </c>
      <c r="T303" s="81">
        <v>4</v>
      </c>
      <c r="U303" s="81"/>
      <c r="V303" s="81">
        <f>'Praroop-20 hindi'!F306</f>
        <v>2</v>
      </c>
      <c r="W303" s="81">
        <v>5</v>
      </c>
      <c r="X303" s="81"/>
      <c r="Y303" s="81">
        <f>'Praroop-20 hindi'!G306</f>
        <v>3</v>
      </c>
      <c r="Z303" s="81">
        <v>6</v>
      </c>
      <c r="AA303" s="81"/>
      <c r="AB303" s="81">
        <f>'Praroop-20 hindi'!H306</f>
        <v>2</v>
      </c>
      <c r="AC303" s="81">
        <v>7</v>
      </c>
      <c r="AD303" s="81"/>
      <c r="AE303" s="81">
        <f>'Praroop-20 hindi'!I306</f>
        <v>1</v>
      </c>
      <c r="AF303" s="81">
        <v>8</v>
      </c>
      <c r="AG303" s="81"/>
      <c r="AH303" s="81">
        <f>'Praroop-20 hindi'!J306</f>
        <v>4</v>
      </c>
      <c r="AI303" s="81">
        <v>9</v>
      </c>
      <c r="AJ303" s="81"/>
      <c r="AK303" s="81">
        <f>'Praroop-20 hindi'!K306</f>
        <v>1</v>
      </c>
      <c r="AL303" s="81">
        <v>10</v>
      </c>
      <c r="AM303" s="81"/>
      <c r="AN303" s="81">
        <f>'Praroop-20 hindi'!L306</f>
        <v>4</v>
      </c>
      <c r="AO303" s="81">
        <v>11</v>
      </c>
      <c r="AP303" s="81"/>
      <c r="AQ303" s="81">
        <f>'Praroop-20 hindi'!M306</f>
        <v>3</v>
      </c>
      <c r="AR303" s="81">
        <f t="shared" si="9"/>
        <v>693</v>
      </c>
    </row>
    <row r="304" spans="1:44" ht="25.5">
      <c r="A304" s="81">
        <v>64</v>
      </c>
      <c r="B304" s="41">
        <v>298</v>
      </c>
      <c r="C304" s="113" t="s">
        <v>423</v>
      </c>
      <c r="D304" s="117">
        <v>324</v>
      </c>
      <c r="E304" s="110">
        <v>138</v>
      </c>
      <c r="F304" s="110">
        <v>126</v>
      </c>
      <c r="G304" s="110">
        <v>0</v>
      </c>
      <c r="H304" s="111">
        <f t="shared" si="8"/>
        <v>264</v>
      </c>
      <c r="I304" s="112">
        <v>224</v>
      </c>
      <c r="J304" s="110">
        <v>0</v>
      </c>
      <c r="K304" s="110">
        <v>1</v>
      </c>
      <c r="L304" s="81"/>
      <c r="M304" s="81">
        <f>'Praroop-20 hindi'!C307</f>
        <v>221</v>
      </c>
      <c r="N304" s="81">
        <v>2</v>
      </c>
      <c r="O304" s="81"/>
      <c r="P304" s="81">
        <f>'Praroop-20 hindi'!D307</f>
        <v>3</v>
      </c>
      <c r="Q304" s="81">
        <v>3</v>
      </c>
      <c r="R304" s="81"/>
      <c r="S304" s="81">
        <f>'Praroop-20 hindi'!E307</f>
        <v>35</v>
      </c>
      <c r="T304" s="81">
        <v>4</v>
      </c>
      <c r="U304" s="81"/>
      <c r="V304" s="81">
        <f>'Praroop-20 hindi'!F307</f>
        <v>1</v>
      </c>
      <c r="W304" s="81">
        <v>5</v>
      </c>
      <c r="X304" s="81"/>
      <c r="Y304" s="81">
        <f>'Praroop-20 hindi'!G307</f>
        <v>0</v>
      </c>
      <c r="Z304" s="81">
        <v>6</v>
      </c>
      <c r="AA304" s="81"/>
      <c r="AB304" s="81">
        <f>'Praroop-20 hindi'!H307</f>
        <v>0</v>
      </c>
      <c r="AC304" s="81">
        <v>7</v>
      </c>
      <c r="AD304" s="81"/>
      <c r="AE304" s="81">
        <f>'Praroop-20 hindi'!I307</f>
        <v>0</v>
      </c>
      <c r="AF304" s="81">
        <v>8</v>
      </c>
      <c r="AG304" s="81"/>
      <c r="AH304" s="81">
        <f>'Praroop-20 hindi'!J307</f>
        <v>2</v>
      </c>
      <c r="AI304" s="81">
        <v>9</v>
      </c>
      <c r="AJ304" s="81"/>
      <c r="AK304" s="81">
        <f>'Praroop-20 hindi'!K307</f>
        <v>0</v>
      </c>
      <c r="AL304" s="81">
        <v>10</v>
      </c>
      <c r="AM304" s="81"/>
      <c r="AN304" s="81">
        <f>'Praroop-20 hindi'!L307</f>
        <v>0</v>
      </c>
      <c r="AO304" s="81">
        <v>11</v>
      </c>
      <c r="AP304" s="81"/>
      <c r="AQ304" s="81">
        <f>'Praroop-20 hindi'!M307</f>
        <v>0</v>
      </c>
      <c r="AR304" s="81">
        <f t="shared" si="9"/>
        <v>262</v>
      </c>
    </row>
    <row r="305" spans="1:44" ht="38.25">
      <c r="A305" s="81">
        <v>64</v>
      </c>
      <c r="B305" s="41">
        <v>299</v>
      </c>
      <c r="C305" s="113" t="s">
        <v>424</v>
      </c>
      <c r="D305" s="117">
        <v>770</v>
      </c>
      <c r="E305" s="110">
        <v>278</v>
      </c>
      <c r="F305" s="110">
        <v>227</v>
      </c>
      <c r="G305" s="110">
        <v>0</v>
      </c>
      <c r="H305" s="111">
        <f t="shared" si="8"/>
        <v>505</v>
      </c>
      <c r="I305" s="112">
        <v>443</v>
      </c>
      <c r="J305" s="110">
        <v>0</v>
      </c>
      <c r="K305" s="110">
        <v>1</v>
      </c>
      <c r="L305" s="81"/>
      <c r="M305" s="81">
        <f>'Praroop-20 hindi'!C308</f>
        <v>18</v>
      </c>
      <c r="N305" s="81">
        <v>2</v>
      </c>
      <c r="O305" s="81"/>
      <c r="P305" s="81">
        <f>'Praroop-20 hindi'!D308</f>
        <v>30</v>
      </c>
      <c r="Q305" s="81">
        <v>3</v>
      </c>
      <c r="R305" s="81"/>
      <c r="S305" s="81">
        <f>'Praroop-20 hindi'!E308</f>
        <v>454</v>
      </c>
      <c r="T305" s="81">
        <v>4</v>
      </c>
      <c r="U305" s="81"/>
      <c r="V305" s="81">
        <f>'Praroop-20 hindi'!F308</f>
        <v>2</v>
      </c>
      <c r="W305" s="81">
        <v>5</v>
      </c>
      <c r="X305" s="81"/>
      <c r="Y305" s="81">
        <f>'Praroop-20 hindi'!G308</f>
        <v>0</v>
      </c>
      <c r="Z305" s="81">
        <v>6</v>
      </c>
      <c r="AA305" s="81"/>
      <c r="AB305" s="81">
        <f>'Praroop-20 hindi'!H308</f>
        <v>0</v>
      </c>
      <c r="AC305" s="81">
        <v>7</v>
      </c>
      <c r="AD305" s="81"/>
      <c r="AE305" s="81">
        <f>'Praroop-20 hindi'!I308</f>
        <v>0</v>
      </c>
      <c r="AF305" s="81">
        <v>8</v>
      </c>
      <c r="AG305" s="81"/>
      <c r="AH305" s="81">
        <f>'Praroop-20 hindi'!J308</f>
        <v>0</v>
      </c>
      <c r="AI305" s="81">
        <v>9</v>
      </c>
      <c r="AJ305" s="81"/>
      <c r="AK305" s="81">
        <f>'Praroop-20 hindi'!K308</f>
        <v>0</v>
      </c>
      <c r="AL305" s="81">
        <v>10</v>
      </c>
      <c r="AM305" s="81"/>
      <c r="AN305" s="81">
        <f>'Praroop-20 hindi'!L308</f>
        <v>0</v>
      </c>
      <c r="AO305" s="81">
        <v>11</v>
      </c>
      <c r="AP305" s="81"/>
      <c r="AQ305" s="81">
        <f>'Praroop-20 hindi'!M308</f>
        <v>1</v>
      </c>
      <c r="AR305" s="81">
        <f t="shared" si="9"/>
        <v>505</v>
      </c>
    </row>
    <row r="306" spans="1:44" ht="38.25">
      <c r="A306" s="81">
        <v>64</v>
      </c>
      <c r="B306" s="41">
        <v>300</v>
      </c>
      <c r="C306" s="113" t="s">
        <v>425</v>
      </c>
      <c r="D306" s="117">
        <v>796</v>
      </c>
      <c r="E306" s="110">
        <v>301</v>
      </c>
      <c r="F306" s="110">
        <v>257</v>
      </c>
      <c r="G306" s="110">
        <v>0</v>
      </c>
      <c r="H306" s="111">
        <f t="shared" si="8"/>
        <v>558</v>
      </c>
      <c r="I306" s="112">
        <v>480</v>
      </c>
      <c r="J306" s="110">
        <v>0</v>
      </c>
      <c r="K306" s="110">
        <v>1</v>
      </c>
      <c r="L306" s="81"/>
      <c r="M306" s="81">
        <f>'Praroop-20 hindi'!C309</f>
        <v>14</v>
      </c>
      <c r="N306" s="81">
        <v>2</v>
      </c>
      <c r="O306" s="81"/>
      <c r="P306" s="81">
        <f>'Praroop-20 hindi'!D309</f>
        <v>40</v>
      </c>
      <c r="Q306" s="81">
        <v>3</v>
      </c>
      <c r="R306" s="81"/>
      <c r="S306" s="81">
        <f>'Praroop-20 hindi'!E309</f>
        <v>489</v>
      </c>
      <c r="T306" s="81">
        <v>4</v>
      </c>
      <c r="U306" s="81"/>
      <c r="V306" s="81">
        <f>'Praroop-20 hindi'!F309</f>
        <v>5</v>
      </c>
      <c r="W306" s="81">
        <v>5</v>
      </c>
      <c r="X306" s="81"/>
      <c r="Y306" s="81">
        <f>'Praroop-20 hindi'!G309</f>
        <v>2</v>
      </c>
      <c r="Z306" s="81">
        <v>6</v>
      </c>
      <c r="AA306" s="81"/>
      <c r="AB306" s="81">
        <f>'Praroop-20 hindi'!H309</f>
        <v>0</v>
      </c>
      <c r="AC306" s="81">
        <v>7</v>
      </c>
      <c r="AD306" s="81"/>
      <c r="AE306" s="81">
        <f>'Praroop-20 hindi'!I309</f>
        <v>0</v>
      </c>
      <c r="AF306" s="81">
        <v>8</v>
      </c>
      <c r="AG306" s="81"/>
      <c r="AH306" s="81">
        <f>'Praroop-20 hindi'!J309</f>
        <v>2</v>
      </c>
      <c r="AI306" s="81">
        <v>9</v>
      </c>
      <c r="AJ306" s="81"/>
      <c r="AK306" s="81">
        <f>'Praroop-20 hindi'!K309</f>
        <v>1</v>
      </c>
      <c r="AL306" s="81">
        <v>10</v>
      </c>
      <c r="AM306" s="81"/>
      <c r="AN306" s="81">
        <f>'Praroop-20 hindi'!L309</f>
        <v>2</v>
      </c>
      <c r="AO306" s="81">
        <v>11</v>
      </c>
      <c r="AP306" s="81"/>
      <c r="AQ306" s="81">
        <f>'Praroop-20 hindi'!M309</f>
        <v>1</v>
      </c>
      <c r="AR306" s="81">
        <f t="shared" si="9"/>
        <v>556</v>
      </c>
    </row>
    <row r="307" spans="1:44" ht="38.25">
      <c r="A307" s="81">
        <v>64</v>
      </c>
      <c r="B307" s="41">
        <v>301</v>
      </c>
      <c r="C307" s="113" t="s">
        <v>426</v>
      </c>
      <c r="D307" s="117">
        <v>864</v>
      </c>
      <c r="E307" s="110">
        <v>309</v>
      </c>
      <c r="F307" s="110">
        <v>354</v>
      </c>
      <c r="G307" s="110">
        <v>0</v>
      </c>
      <c r="H307" s="111">
        <f t="shared" si="8"/>
        <v>663</v>
      </c>
      <c r="I307" s="112">
        <v>600</v>
      </c>
      <c r="J307" s="110">
        <v>0</v>
      </c>
      <c r="K307" s="110">
        <v>1</v>
      </c>
      <c r="L307" s="81"/>
      <c r="M307" s="81">
        <f>'Praroop-20 hindi'!C310</f>
        <v>13</v>
      </c>
      <c r="N307" s="81">
        <v>2</v>
      </c>
      <c r="O307" s="81"/>
      <c r="P307" s="81">
        <f>'Praroop-20 hindi'!D310</f>
        <v>376</v>
      </c>
      <c r="Q307" s="81">
        <v>3</v>
      </c>
      <c r="R307" s="81"/>
      <c r="S307" s="81">
        <f>'Praroop-20 hindi'!E310</f>
        <v>261</v>
      </c>
      <c r="T307" s="81">
        <v>4</v>
      </c>
      <c r="U307" s="81"/>
      <c r="V307" s="81">
        <f>'Praroop-20 hindi'!F310</f>
        <v>3</v>
      </c>
      <c r="W307" s="81">
        <v>5</v>
      </c>
      <c r="X307" s="81"/>
      <c r="Y307" s="81">
        <f>'Praroop-20 hindi'!G310</f>
        <v>0</v>
      </c>
      <c r="Z307" s="81">
        <v>6</v>
      </c>
      <c r="AA307" s="81"/>
      <c r="AB307" s="81">
        <f>'Praroop-20 hindi'!H310</f>
        <v>0</v>
      </c>
      <c r="AC307" s="81">
        <v>7</v>
      </c>
      <c r="AD307" s="81"/>
      <c r="AE307" s="81">
        <f>'Praroop-20 hindi'!I310</f>
        <v>0</v>
      </c>
      <c r="AF307" s="81">
        <v>8</v>
      </c>
      <c r="AG307" s="81"/>
      <c r="AH307" s="81">
        <f>'Praroop-20 hindi'!J310</f>
        <v>0</v>
      </c>
      <c r="AI307" s="81">
        <v>9</v>
      </c>
      <c r="AJ307" s="81"/>
      <c r="AK307" s="81">
        <f>'Praroop-20 hindi'!K310</f>
        <v>10</v>
      </c>
      <c r="AL307" s="81">
        <v>10</v>
      </c>
      <c r="AM307" s="81"/>
      <c r="AN307" s="81">
        <f>'Praroop-20 hindi'!L310</f>
        <v>0</v>
      </c>
      <c r="AO307" s="81">
        <v>11</v>
      </c>
      <c r="AP307" s="81"/>
      <c r="AQ307" s="81">
        <f>'Praroop-20 hindi'!M310</f>
        <v>0</v>
      </c>
      <c r="AR307" s="81">
        <f t="shared" si="9"/>
        <v>663</v>
      </c>
    </row>
    <row r="308" spans="1:44" ht="38.25">
      <c r="A308" s="81">
        <v>64</v>
      </c>
      <c r="B308" s="41">
        <v>302</v>
      </c>
      <c r="C308" s="113" t="s">
        <v>427</v>
      </c>
      <c r="D308" s="117">
        <v>983</v>
      </c>
      <c r="E308" s="110">
        <v>398</v>
      </c>
      <c r="F308" s="110">
        <v>300</v>
      </c>
      <c r="G308" s="110">
        <v>0</v>
      </c>
      <c r="H308" s="111">
        <f t="shared" si="8"/>
        <v>698</v>
      </c>
      <c r="I308" s="112">
        <v>600</v>
      </c>
      <c r="J308" s="110">
        <v>0</v>
      </c>
      <c r="K308" s="110">
        <v>1</v>
      </c>
      <c r="L308" s="81"/>
      <c r="M308" s="81">
        <f>'Praroop-20 hindi'!C311</f>
        <v>14</v>
      </c>
      <c r="N308" s="81">
        <v>2</v>
      </c>
      <c r="O308" s="81"/>
      <c r="P308" s="81">
        <f>'Praroop-20 hindi'!D311</f>
        <v>643</v>
      </c>
      <c r="Q308" s="81">
        <v>3</v>
      </c>
      <c r="R308" s="81"/>
      <c r="S308" s="81">
        <f>'Praroop-20 hindi'!E311</f>
        <v>12</v>
      </c>
      <c r="T308" s="81">
        <v>4</v>
      </c>
      <c r="U308" s="81"/>
      <c r="V308" s="81">
        <f>'Praroop-20 hindi'!F311</f>
        <v>11</v>
      </c>
      <c r="W308" s="81">
        <v>5</v>
      </c>
      <c r="X308" s="81"/>
      <c r="Y308" s="81">
        <f>'Praroop-20 hindi'!G311</f>
        <v>0</v>
      </c>
      <c r="Z308" s="81">
        <v>6</v>
      </c>
      <c r="AA308" s="81"/>
      <c r="AB308" s="81">
        <f>'Praroop-20 hindi'!H311</f>
        <v>0</v>
      </c>
      <c r="AC308" s="81">
        <v>7</v>
      </c>
      <c r="AD308" s="81"/>
      <c r="AE308" s="81">
        <f>'Praroop-20 hindi'!I311</f>
        <v>0</v>
      </c>
      <c r="AF308" s="81">
        <v>8</v>
      </c>
      <c r="AG308" s="81"/>
      <c r="AH308" s="81">
        <f>'Praroop-20 hindi'!J311</f>
        <v>0</v>
      </c>
      <c r="AI308" s="81">
        <v>9</v>
      </c>
      <c r="AJ308" s="81"/>
      <c r="AK308" s="81">
        <f>'Praroop-20 hindi'!K311</f>
        <v>15</v>
      </c>
      <c r="AL308" s="81">
        <v>10</v>
      </c>
      <c r="AM308" s="81"/>
      <c r="AN308" s="81">
        <f>'Praroop-20 hindi'!L311</f>
        <v>0</v>
      </c>
      <c r="AO308" s="81">
        <v>11</v>
      </c>
      <c r="AP308" s="81"/>
      <c r="AQ308" s="81">
        <f>'Praroop-20 hindi'!M311</f>
        <v>1</v>
      </c>
      <c r="AR308" s="81">
        <f t="shared" si="9"/>
        <v>696</v>
      </c>
    </row>
    <row r="309" spans="1:44" ht="38.25">
      <c r="A309" s="81">
        <v>64</v>
      </c>
      <c r="B309" s="41">
        <v>303</v>
      </c>
      <c r="C309" s="113" t="s">
        <v>428</v>
      </c>
      <c r="D309" s="117">
        <v>744</v>
      </c>
      <c r="E309" s="110">
        <v>289</v>
      </c>
      <c r="F309" s="110">
        <v>252</v>
      </c>
      <c r="G309" s="110">
        <v>0</v>
      </c>
      <c r="H309" s="111">
        <f t="shared" si="8"/>
        <v>541</v>
      </c>
      <c r="I309" s="112">
        <v>487</v>
      </c>
      <c r="J309" s="110">
        <v>0</v>
      </c>
      <c r="K309" s="110">
        <v>1</v>
      </c>
      <c r="L309" s="81"/>
      <c r="M309" s="81">
        <f>'Praroop-20 hindi'!C312</f>
        <v>28</v>
      </c>
      <c r="N309" s="81">
        <v>2</v>
      </c>
      <c r="O309" s="81"/>
      <c r="P309" s="81">
        <f>'Praroop-20 hindi'!D312</f>
        <v>482</v>
      </c>
      <c r="Q309" s="81">
        <v>3</v>
      </c>
      <c r="R309" s="81"/>
      <c r="S309" s="81">
        <f>'Praroop-20 hindi'!E312</f>
        <v>10</v>
      </c>
      <c r="T309" s="81">
        <v>4</v>
      </c>
      <c r="U309" s="81"/>
      <c r="V309" s="81">
        <f>'Praroop-20 hindi'!F312</f>
        <v>5</v>
      </c>
      <c r="W309" s="81">
        <v>5</v>
      </c>
      <c r="X309" s="81"/>
      <c r="Y309" s="81">
        <f>'Praroop-20 hindi'!G312</f>
        <v>0</v>
      </c>
      <c r="Z309" s="81">
        <v>6</v>
      </c>
      <c r="AA309" s="81"/>
      <c r="AB309" s="81">
        <f>'Praroop-20 hindi'!H312</f>
        <v>1</v>
      </c>
      <c r="AC309" s="81">
        <v>7</v>
      </c>
      <c r="AD309" s="81"/>
      <c r="AE309" s="81">
        <f>'Praroop-20 hindi'!I312</f>
        <v>0</v>
      </c>
      <c r="AF309" s="81">
        <v>8</v>
      </c>
      <c r="AG309" s="81"/>
      <c r="AH309" s="81">
        <f>'Praroop-20 hindi'!J312</f>
        <v>1</v>
      </c>
      <c r="AI309" s="81">
        <v>9</v>
      </c>
      <c r="AJ309" s="81"/>
      <c r="AK309" s="81">
        <f>'Praroop-20 hindi'!K312</f>
        <v>10</v>
      </c>
      <c r="AL309" s="81">
        <v>10</v>
      </c>
      <c r="AM309" s="81"/>
      <c r="AN309" s="81">
        <f>'Praroop-20 hindi'!L312</f>
        <v>1</v>
      </c>
      <c r="AO309" s="81">
        <v>11</v>
      </c>
      <c r="AP309" s="81"/>
      <c r="AQ309" s="81">
        <f>'Praroop-20 hindi'!M312</f>
        <v>0</v>
      </c>
      <c r="AR309" s="81">
        <f t="shared" si="9"/>
        <v>538</v>
      </c>
    </row>
    <row r="310" spans="1:44" ht="38.25">
      <c r="A310" s="81">
        <v>64</v>
      </c>
      <c r="B310" s="41">
        <v>304</v>
      </c>
      <c r="C310" s="113" t="s">
        <v>429</v>
      </c>
      <c r="D310" s="117">
        <v>882</v>
      </c>
      <c r="E310" s="110">
        <v>289</v>
      </c>
      <c r="F310" s="110">
        <v>255</v>
      </c>
      <c r="G310" s="110">
        <v>0</v>
      </c>
      <c r="H310" s="111">
        <f t="shared" si="8"/>
        <v>544</v>
      </c>
      <c r="I310" s="112">
        <v>496</v>
      </c>
      <c r="J310" s="110">
        <v>0</v>
      </c>
      <c r="K310" s="110">
        <v>1</v>
      </c>
      <c r="L310" s="81"/>
      <c r="M310" s="81">
        <f>'Praroop-20 hindi'!C313</f>
        <v>11</v>
      </c>
      <c r="N310" s="81">
        <v>2</v>
      </c>
      <c r="O310" s="81"/>
      <c r="P310" s="81">
        <f>'Praroop-20 hindi'!D313</f>
        <v>482</v>
      </c>
      <c r="Q310" s="81">
        <v>3</v>
      </c>
      <c r="R310" s="81"/>
      <c r="S310" s="81">
        <f>'Praroop-20 hindi'!E313</f>
        <v>23</v>
      </c>
      <c r="T310" s="81">
        <v>4</v>
      </c>
      <c r="U310" s="81"/>
      <c r="V310" s="81">
        <f>'Praroop-20 hindi'!F313</f>
        <v>10</v>
      </c>
      <c r="W310" s="81">
        <v>5</v>
      </c>
      <c r="X310" s="81"/>
      <c r="Y310" s="81">
        <f>'Praroop-20 hindi'!G313</f>
        <v>1</v>
      </c>
      <c r="Z310" s="81">
        <v>6</v>
      </c>
      <c r="AA310" s="81"/>
      <c r="AB310" s="81">
        <f>'Praroop-20 hindi'!H313</f>
        <v>0</v>
      </c>
      <c r="AC310" s="81">
        <v>7</v>
      </c>
      <c r="AD310" s="81"/>
      <c r="AE310" s="81">
        <f>'Praroop-20 hindi'!I313</f>
        <v>1</v>
      </c>
      <c r="AF310" s="81">
        <v>8</v>
      </c>
      <c r="AG310" s="81"/>
      <c r="AH310" s="81">
        <f>'Praroop-20 hindi'!J313</f>
        <v>0</v>
      </c>
      <c r="AI310" s="81">
        <v>9</v>
      </c>
      <c r="AJ310" s="81"/>
      <c r="AK310" s="81">
        <f>'Praroop-20 hindi'!K313</f>
        <v>7</v>
      </c>
      <c r="AL310" s="81">
        <v>10</v>
      </c>
      <c r="AM310" s="81"/>
      <c r="AN310" s="81">
        <f>'Praroop-20 hindi'!L313</f>
        <v>3</v>
      </c>
      <c r="AO310" s="81">
        <v>11</v>
      </c>
      <c r="AP310" s="81"/>
      <c r="AQ310" s="81">
        <f>'Praroop-20 hindi'!M313</f>
        <v>2</v>
      </c>
      <c r="AR310" s="81">
        <f t="shared" si="9"/>
        <v>540</v>
      </c>
    </row>
    <row r="311" spans="1:44" ht="38.25">
      <c r="A311" s="81">
        <v>64</v>
      </c>
      <c r="B311" s="41">
        <v>305</v>
      </c>
      <c r="C311" s="113" t="s">
        <v>430</v>
      </c>
      <c r="D311" s="117">
        <v>879</v>
      </c>
      <c r="E311" s="110">
        <v>320</v>
      </c>
      <c r="F311" s="110">
        <v>259</v>
      </c>
      <c r="G311" s="110">
        <v>0</v>
      </c>
      <c r="H311" s="111">
        <f t="shared" si="8"/>
        <v>579</v>
      </c>
      <c r="I311" s="112">
        <v>511</v>
      </c>
      <c r="J311" s="110">
        <v>0</v>
      </c>
      <c r="K311" s="110">
        <v>1</v>
      </c>
      <c r="L311" s="81"/>
      <c r="M311" s="81">
        <f>'Praroop-20 hindi'!C314</f>
        <v>27</v>
      </c>
      <c r="N311" s="81">
        <v>2</v>
      </c>
      <c r="O311" s="81"/>
      <c r="P311" s="81">
        <f>'Praroop-20 hindi'!D314</f>
        <v>399</v>
      </c>
      <c r="Q311" s="81">
        <v>3</v>
      </c>
      <c r="R311" s="81"/>
      <c r="S311" s="81">
        <f>'Praroop-20 hindi'!E314</f>
        <v>135</v>
      </c>
      <c r="T311" s="81">
        <v>4</v>
      </c>
      <c r="U311" s="81"/>
      <c r="V311" s="81">
        <f>'Praroop-20 hindi'!F314</f>
        <v>4</v>
      </c>
      <c r="W311" s="81">
        <v>5</v>
      </c>
      <c r="X311" s="81"/>
      <c r="Y311" s="81">
        <f>'Praroop-20 hindi'!G314</f>
        <v>1</v>
      </c>
      <c r="Z311" s="81">
        <v>6</v>
      </c>
      <c r="AA311" s="81"/>
      <c r="AB311" s="81">
        <f>'Praroop-20 hindi'!H314</f>
        <v>2</v>
      </c>
      <c r="AC311" s="81">
        <v>7</v>
      </c>
      <c r="AD311" s="81"/>
      <c r="AE311" s="81">
        <f>'Praroop-20 hindi'!I314</f>
        <v>0</v>
      </c>
      <c r="AF311" s="81">
        <v>8</v>
      </c>
      <c r="AG311" s="81"/>
      <c r="AH311" s="81">
        <f>'Praroop-20 hindi'!J314</f>
        <v>0</v>
      </c>
      <c r="AI311" s="81">
        <v>9</v>
      </c>
      <c r="AJ311" s="81"/>
      <c r="AK311" s="81">
        <f>'Praroop-20 hindi'!K314</f>
        <v>7</v>
      </c>
      <c r="AL311" s="81">
        <v>10</v>
      </c>
      <c r="AM311" s="81"/>
      <c r="AN311" s="81">
        <f>'Praroop-20 hindi'!L314</f>
        <v>4</v>
      </c>
      <c r="AO311" s="81">
        <v>11</v>
      </c>
      <c r="AP311" s="81"/>
      <c r="AQ311" s="81">
        <f>'Praroop-20 hindi'!M314</f>
        <v>0</v>
      </c>
      <c r="AR311" s="81">
        <f t="shared" si="9"/>
        <v>579</v>
      </c>
    </row>
    <row r="312" spans="1:44" ht="51">
      <c r="A312" s="81">
        <v>64</v>
      </c>
      <c r="B312" s="41">
        <v>306</v>
      </c>
      <c r="C312" s="113" t="s">
        <v>431</v>
      </c>
      <c r="D312" s="117">
        <v>807</v>
      </c>
      <c r="E312" s="110">
        <v>261</v>
      </c>
      <c r="F312" s="110">
        <v>213</v>
      </c>
      <c r="G312" s="110">
        <v>0</v>
      </c>
      <c r="H312" s="111">
        <f t="shared" si="8"/>
        <v>474</v>
      </c>
      <c r="I312" s="112">
        <v>400</v>
      </c>
      <c r="J312" s="110">
        <v>0</v>
      </c>
      <c r="K312" s="110">
        <v>1</v>
      </c>
      <c r="L312" s="81"/>
      <c r="M312" s="81">
        <f>'Praroop-20 hindi'!C315</f>
        <v>12</v>
      </c>
      <c r="N312" s="81">
        <v>2</v>
      </c>
      <c r="O312" s="81"/>
      <c r="P312" s="81">
        <f>'Praroop-20 hindi'!D315</f>
        <v>405</v>
      </c>
      <c r="Q312" s="81">
        <v>3</v>
      </c>
      <c r="R312" s="81"/>
      <c r="S312" s="81">
        <f>'Praroop-20 hindi'!E315</f>
        <v>7</v>
      </c>
      <c r="T312" s="81">
        <v>4</v>
      </c>
      <c r="U312" s="81"/>
      <c r="V312" s="81">
        <f>'Praroop-20 hindi'!F315</f>
        <v>31</v>
      </c>
      <c r="W312" s="81">
        <v>5</v>
      </c>
      <c r="X312" s="81"/>
      <c r="Y312" s="81">
        <f>'Praroop-20 hindi'!G315</f>
        <v>0</v>
      </c>
      <c r="Z312" s="81">
        <v>6</v>
      </c>
      <c r="AA312" s="81"/>
      <c r="AB312" s="81">
        <f>'Praroop-20 hindi'!H315</f>
        <v>0</v>
      </c>
      <c r="AC312" s="81">
        <v>7</v>
      </c>
      <c r="AD312" s="81"/>
      <c r="AE312" s="81">
        <f>'Praroop-20 hindi'!I315</f>
        <v>1</v>
      </c>
      <c r="AF312" s="81">
        <v>8</v>
      </c>
      <c r="AG312" s="81"/>
      <c r="AH312" s="81">
        <f>'Praroop-20 hindi'!J315</f>
        <v>2</v>
      </c>
      <c r="AI312" s="81">
        <v>9</v>
      </c>
      <c r="AJ312" s="81"/>
      <c r="AK312" s="81">
        <f>'Praroop-20 hindi'!K315</f>
        <v>11</v>
      </c>
      <c r="AL312" s="81">
        <v>10</v>
      </c>
      <c r="AM312" s="81"/>
      <c r="AN312" s="81">
        <f>'Praroop-20 hindi'!L315</f>
        <v>0</v>
      </c>
      <c r="AO312" s="81">
        <v>11</v>
      </c>
      <c r="AP312" s="81"/>
      <c r="AQ312" s="81">
        <f>'Praroop-20 hindi'!M315</f>
        <v>3</v>
      </c>
      <c r="AR312" s="81">
        <f t="shared" si="9"/>
        <v>472</v>
      </c>
    </row>
    <row r="313" spans="1:44" ht="51">
      <c r="A313" s="81">
        <v>64</v>
      </c>
      <c r="B313" s="41">
        <v>307</v>
      </c>
      <c r="C313" s="113" t="s">
        <v>432</v>
      </c>
      <c r="D313" s="117">
        <v>893</v>
      </c>
      <c r="E313" s="110">
        <v>292</v>
      </c>
      <c r="F313" s="110">
        <v>270</v>
      </c>
      <c r="G313" s="110">
        <v>0</v>
      </c>
      <c r="H313" s="111">
        <f t="shared" si="8"/>
        <v>562</v>
      </c>
      <c r="I313" s="112">
        <v>490</v>
      </c>
      <c r="J313" s="110">
        <v>0</v>
      </c>
      <c r="K313" s="110">
        <v>1</v>
      </c>
      <c r="L313" s="81"/>
      <c r="M313" s="81">
        <f>'Praroop-20 hindi'!C316</f>
        <v>26</v>
      </c>
      <c r="N313" s="81">
        <v>2</v>
      </c>
      <c r="O313" s="81"/>
      <c r="P313" s="81">
        <f>'Praroop-20 hindi'!D316</f>
        <v>473</v>
      </c>
      <c r="Q313" s="81">
        <v>3</v>
      </c>
      <c r="R313" s="81"/>
      <c r="S313" s="81">
        <f>'Praroop-20 hindi'!E316</f>
        <v>12</v>
      </c>
      <c r="T313" s="81">
        <v>4</v>
      </c>
      <c r="U313" s="81"/>
      <c r="V313" s="81">
        <f>'Praroop-20 hindi'!F316</f>
        <v>19</v>
      </c>
      <c r="W313" s="81">
        <v>5</v>
      </c>
      <c r="X313" s="81"/>
      <c r="Y313" s="81">
        <f>'Praroop-20 hindi'!G316</f>
        <v>1</v>
      </c>
      <c r="Z313" s="81">
        <v>6</v>
      </c>
      <c r="AA313" s="81"/>
      <c r="AB313" s="81">
        <f>'Praroop-20 hindi'!H316</f>
        <v>0</v>
      </c>
      <c r="AC313" s="81">
        <v>7</v>
      </c>
      <c r="AD313" s="81"/>
      <c r="AE313" s="81">
        <f>'Praroop-20 hindi'!I316</f>
        <v>0</v>
      </c>
      <c r="AF313" s="81">
        <v>8</v>
      </c>
      <c r="AG313" s="81"/>
      <c r="AH313" s="81">
        <f>'Praroop-20 hindi'!J316</f>
        <v>0</v>
      </c>
      <c r="AI313" s="81">
        <v>9</v>
      </c>
      <c r="AJ313" s="81"/>
      <c r="AK313" s="81">
        <f>'Praroop-20 hindi'!K316</f>
        <v>27</v>
      </c>
      <c r="AL313" s="81">
        <v>10</v>
      </c>
      <c r="AM313" s="81"/>
      <c r="AN313" s="81">
        <f>'Praroop-20 hindi'!L316</f>
        <v>2</v>
      </c>
      <c r="AO313" s="81">
        <v>11</v>
      </c>
      <c r="AP313" s="81"/>
      <c r="AQ313" s="81">
        <f>'Praroop-20 hindi'!M316</f>
        <v>0</v>
      </c>
      <c r="AR313" s="81">
        <f t="shared" si="9"/>
        <v>560</v>
      </c>
    </row>
    <row r="314" spans="1:44" ht="51">
      <c r="A314" s="81">
        <v>64</v>
      </c>
      <c r="B314" s="41">
        <v>308</v>
      </c>
      <c r="C314" s="113" t="s">
        <v>433</v>
      </c>
      <c r="D314" s="117">
        <v>980</v>
      </c>
      <c r="E314" s="110">
        <v>327</v>
      </c>
      <c r="F314" s="110">
        <v>279</v>
      </c>
      <c r="G314" s="110">
        <v>0</v>
      </c>
      <c r="H314" s="111">
        <f t="shared" si="8"/>
        <v>606</v>
      </c>
      <c r="I314" s="112">
        <v>546</v>
      </c>
      <c r="J314" s="110">
        <v>0</v>
      </c>
      <c r="K314" s="110">
        <v>1</v>
      </c>
      <c r="L314" s="81"/>
      <c r="M314" s="81">
        <f>'Praroop-20 hindi'!C317</f>
        <v>18</v>
      </c>
      <c r="N314" s="81">
        <v>2</v>
      </c>
      <c r="O314" s="81"/>
      <c r="P314" s="81">
        <f>'Praroop-20 hindi'!D317</f>
        <v>550</v>
      </c>
      <c r="Q314" s="81">
        <v>3</v>
      </c>
      <c r="R314" s="81"/>
      <c r="S314" s="81">
        <f>'Praroop-20 hindi'!E317</f>
        <v>11</v>
      </c>
      <c r="T314" s="81">
        <v>4</v>
      </c>
      <c r="U314" s="81"/>
      <c r="V314" s="81">
        <f>'Praroop-20 hindi'!F317</f>
        <v>11</v>
      </c>
      <c r="W314" s="81">
        <v>5</v>
      </c>
      <c r="X314" s="81"/>
      <c r="Y314" s="81">
        <f>'Praroop-20 hindi'!G317</f>
        <v>0</v>
      </c>
      <c r="Z314" s="81">
        <v>6</v>
      </c>
      <c r="AA314" s="81"/>
      <c r="AB314" s="81">
        <f>'Praroop-20 hindi'!H317</f>
        <v>0</v>
      </c>
      <c r="AC314" s="81">
        <v>7</v>
      </c>
      <c r="AD314" s="81"/>
      <c r="AE314" s="81">
        <f>'Praroop-20 hindi'!I317</f>
        <v>0</v>
      </c>
      <c r="AF314" s="81">
        <v>8</v>
      </c>
      <c r="AG314" s="81"/>
      <c r="AH314" s="81">
        <f>'Praroop-20 hindi'!J317</f>
        <v>1</v>
      </c>
      <c r="AI314" s="81">
        <v>9</v>
      </c>
      <c r="AJ314" s="81"/>
      <c r="AK314" s="81">
        <f>'Praroop-20 hindi'!K317</f>
        <v>7</v>
      </c>
      <c r="AL314" s="81">
        <v>10</v>
      </c>
      <c r="AM314" s="81"/>
      <c r="AN314" s="81">
        <f>'Praroop-20 hindi'!L317</f>
        <v>7</v>
      </c>
      <c r="AO314" s="81">
        <v>11</v>
      </c>
      <c r="AP314" s="81"/>
      <c r="AQ314" s="81">
        <f>'Praroop-20 hindi'!M317</f>
        <v>1</v>
      </c>
      <c r="AR314" s="81">
        <f t="shared" si="9"/>
        <v>606</v>
      </c>
    </row>
    <row r="315" spans="1:44" ht="51">
      <c r="A315" s="81">
        <v>64</v>
      </c>
      <c r="B315" s="41">
        <v>309</v>
      </c>
      <c r="C315" s="113" t="s">
        <v>434</v>
      </c>
      <c r="D315" s="117">
        <v>963</v>
      </c>
      <c r="E315" s="110">
        <v>315</v>
      </c>
      <c r="F315" s="110">
        <v>289</v>
      </c>
      <c r="G315" s="110">
        <v>0</v>
      </c>
      <c r="H315" s="111">
        <f t="shared" si="8"/>
        <v>604</v>
      </c>
      <c r="I315" s="112">
        <v>545</v>
      </c>
      <c r="J315" s="110">
        <v>0</v>
      </c>
      <c r="K315" s="110">
        <v>1</v>
      </c>
      <c r="L315" s="81"/>
      <c r="M315" s="81">
        <f>'Praroop-20 hindi'!C318</f>
        <v>23</v>
      </c>
      <c r="N315" s="81">
        <v>2</v>
      </c>
      <c r="O315" s="81"/>
      <c r="P315" s="81">
        <f>'Praroop-20 hindi'!D318</f>
        <v>520</v>
      </c>
      <c r="Q315" s="81">
        <v>3</v>
      </c>
      <c r="R315" s="81"/>
      <c r="S315" s="81">
        <f>'Praroop-20 hindi'!E318</f>
        <v>1</v>
      </c>
      <c r="T315" s="81">
        <v>4</v>
      </c>
      <c r="U315" s="81"/>
      <c r="V315" s="81">
        <f>'Praroop-20 hindi'!F318</f>
        <v>21</v>
      </c>
      <c r="W315" s="81">
        <v>5</v>
      </c>
      <c r="X315" s="81"/>
      <c r="Y315" s="81">
        <f>'Praroop-20 hindi'!G318</f>
        <v>1</v>
      </c>
      <c r="Z315" s="81">
        <v>6</v>
      </c>
      <c r="AA315" s="81"/>
      <c r="AB315" s="81">
        <f>'Praroop-20 hindi'!H318</f>
        <v>0</v>
      </c>
      <c r="AC315" s="81">
        <v>7</v>
      </c>
      <c r="AD315" s="81"/>
      <c r="AE315" s="81">
        <f>'Praroop-20 hindi'!I318</f>
        <v>1</v>
      </c>
      <c r="AF315" s="81">
        <v>8</v>
      </c>
      <c r="AG315" s="81"/>
      <c r="AH315" s="81">
        <f>'Praroop-20 hindi'!J318</f>
        <v>0</v>
      </c>
      <c r="AI315" s="81">
        <v>9</v>
      </c>
      <c r="AJ315" s="81"/>
      <c r="AK315" s="81">
        <f>'Praroop-20 hindi'!K318</f>
        <v>24</v>
      </c>
      <c r="AL315" s="81">
        <v>10</v>
      </c>
      <c r="AM315" s="81"/>
      <c r="AN315" s="81">
        <f>'Praroop-20 hindi'!L318</f>
        <v>5</v>
      </c>
      <c r="AO315" s="81">
        <v>11</v>
      </c>
      <c r="AP315" s="81"/>
      <c r="AQ315" s="81">
        <f>'Praroop-20 hindi'!M318</f>
        <v>5</v>
      </c>
      <c r="AR315" s="81">
        <f t="shared" si="9"/>
        <v>601</v>
      </c>
    </row>
    <row r="316" spans="1:44" ht="38.25">
      <c r="A316" s="81">
        <v>64</v>
      </c>
      <c r="B316" s="41">
        <v>310</v>
      </c>
      <c r="C316" s="113" t="s">
        <v>435</v>
      </c>
      <c r="D316" s="117">
        <v>1187</v>
      </c>
      <c r="E316" s="110">
        <v>386</v>
      </c>
      <c r="F316" s="110">
        <v>296</v>
      </c>
      <c r="G316" s="110">
        <v>0</v>
      </c>
      <c r="H316" s="111">
        <f t="shared" si="8"/>
        <v>682</v>
      </c>
      <c r="I316" s="112">
        <v>614</v>
      </c>
      <c r="J316" s="110">
        <v>0</v>
      </c>
      <c r="K316" s="110">
        <v>1</v>
      </c>
      <c r="L316" s="81"/>
      <c r="M316" s="81">
        <f>'Praroop-20 hindi'!C319</f>
        <v>26</v>
      </c>
      <c r="N316" s="81">
        <v>2</v>
      </c>
      <c r="O316" s="81"/>
      <c r="P316" s="81">
        <f>'Praroop-20 hindi'!D319</f>
        <v>94</v>
      </c>
      <c r="Q316" s="81">
        <v>3</v>
      </c>
      <c r="R316" s="81"/>
      <c r="S316" s="81">
        <f>'Praroop-20 hindi'!E319</f>
        <v>549</v>
      </c>
      <c r="T316" s="81">
        <v>4</v>
      </c>
      <c r="U316" s="81"/>
      <c r="V316" s="81">
        <f>'Praroop-20 hindi'!F319</f>
        <v>3</v>
      </c>
      <c r="W316" s="81">
        <v>5</v>
      </c>
      <c r="X316" s="81"/>
      <c r="Y316" s="81">
        <f>'Praroop-20 hindi'!G319</f>
        <v>1</v>
      </c>
      <c r="Z316" s="81">
        <v>6</v>
      </c>
      <c r="AA316" s="81"/>
      <c r="AB316" s="81">
        <f>'Praroop-20 hindi'!H319</f>
        <v>0</v>
      </c>
      <c r="AC316" s="81">
        <v>7</v>
      </c>
      <c r="AD316" s="81"/>
      <c r="AE316" s="81">
        <f>'Praroop-20 hindi'!I319</f>
        <v>1</v>
      </c>
      <c r="AF316" s="81">
        <v>8</v>
      </c>
      <c r="AG316" s="81"/>
      <c r="AH316" s="81">
        <f>'Praroop-20 hindi'!J319</f>
        <v>1</v>
      </c>
      <c r="AI316" s="81">
        <v>9</v>
      </c>
      <c r="AJ316" s="81"/>
      <c r="AK316" s="81">
        <f>'Praroop-20 hindi'!K319</f>
        <v>1</v>
      </c>
      <c r="AL316" s="81">
        <v>10</v>
      </c>
      <c r="AM316" s="81"/>
      <c r="AN316" s="81">
        <f>'Praroop-20 hindi'!L319</f>
        <v>1</v>
      </c>
      <c r="AO316" s="81">
        <v>11</v>
      </c>
      <c r="AP316" s="81"/>
      <c r="AQ316" s="81">
        <f>'Praroop-20 hindi'!M319</f>
        <v>1</v>
      </c>
      <c r="AR316" s="81">
        <f t="shared" si="9"/>
        <v>678</v>
      </c>
    </row>
    <row r="317" spans="1:44" ht="38.25">
      <c r="A317" s="81">
        <v>64</v>
      </c>
      <c r="B317" s="41">
        <v>311</v>
      </c>
      <c r="C317" s="113" t="s">
        <v>436</v>
      </c>
      <c r="D317" s="117">
        <v>1227</v>
      </c>
      <c r="E317" s="110">
        <v>442</v>
      </c>
      <c r="F317" s="110">
        <v>350</v>
      </c>
      <c r="G317" s="110">
        <v>0</v>
      </c>
      <c r="H317" s="111">
        <f t="shared" si="8"/>
        <v>792</v>
      </c>
      <c r="I317" s="112">
        <v>702</v>
      </c>
      <c r="J317" s="110">
        <v>0</v>
      </c>
      <c r="K317" s="110">
        <v>1</v>
      </c>
      <c r="L317" s="81"/>
      <c r="M317" s="81">
        <f>'Praroop-20 hindi'!C320</f>
        <v>23</v>
      </c>
      <c r="N317" s="81">
        <v>2</v>
      </c>
      <c r="O317" s="81"/>
      <c r="P317" s="81">
        <f>'Praroop-20 hindi'!D320</f>
        <v>102</v>
      </c>
      <c r="Q317" s="81">
        <v>3</v>
      </c>
      <c r="R317" s="81"/>
      <c r="S317" s="81">
        <f>'Praroop-20 hindi'!E320</f>
        <v>658</v>
      </c>
      <c r="T317" s="81">
        <v>4</v>
      </c>
      <c r="U317" s="81"/>
      <c r="V317" s="81">
        <f>'Praroop-20 hindi'!F320</f>
        <v>4</v>
      </c>
      <c r="W317" s="81">
        <v>5</v>
      </c>
      <c r="X317" s="81"/>
      <c r="Y317" s="81">
        <f>'Praroop-20 hindi'!G320</f>
        <v>1</v>
      </c>
      <c r="Z317" s="81">
        <v>6</v>
      </c>
      <c r="AA317" s="81"/>
      <c r="AB317" s="81">
        <f>'Praroop-20 hindi'!H320</f>
        <v>0</v>
      </c>
      <c r="AC317" s="81">
        <v>7</v>
      </c>
      <c r="AD317" s="81"/>
      <c r="AE317" s="81">
        <f>'Praroop-20 hindi'!I320</f>
        <v>0</v>
      </c>
      <c r="AF317" s="81">
        <v>8</v>
      </c>
      <c r="AG317" s="81"/>
      <c r="AH317" s="81">
        <f>'Praroop-20 hindi'!J320</f>
        <v>2</v>
      </c>
      <c r="AI317" s="81">
        <v>9</v>
      </c>
      <c r="AJ317" s="81"/>
      <c r="AK317" s="81">
        <f>'Praroop-20 hindi'!K320</f>
        <v>0</v>
      </c>
      <c r="AL317" s="81">
        <v>10</v>
      </c>
      <c r="AM317" s="81"/>
      <c r="AN317" s="81">
        <f>'Praroop-20 hindi'!L320</f>
        <v>0</v>
      </c>
      <c r="AO317" s="81">
        <v>11</v>
      </c>
      <c r="AP317" s="81"/>
      <c r="AQ317" s="81">
        <f>'Praroop-20 hindi'!M320</f>
        <v>1</v>
      </c>
      <c r="AR317" s="81">
        <f t="shared" si="9"/>
        <v>791</v>
      </c>
    </row>
    <row r="318" spans="1:44" ht="38.25">
      <c r="A318" s="81">
        <v>64</v>
      </c>
      <c r="B318" s="41">
        <v>312</v>
      </c>
      <c r="C318" s="113" t="s">
        <v>437</v>
      </c>
      <c r="D318" s="117">
        <v>699</v>
      </c>
      <c r="E318" s="110">
        <v>215</v>
      </c>
      <c r="F318" s="110">
        <v>209</v>
      </c>
      <c r="G318" s="110">
        <v>0</v>
      </c>
      <c r="H318" s="111">
        <f t="shared" si="8"/>
        <v>424</v>
      </c>
      <c r="I318" s="112">
        <v>335</v>
      </c>
      <c r="J318" s="110">
        <v>0</v>
      </c>
      <c r="K318" s="110">
        <v>1</v>
      </c>
      <c r="L318" s="81"/>
      <c r="M318" s="81">
        <f>'Praroop-20 hindi'!C321</f>
        <v>19</v>
      </c>
      <c r="N318" s="81">
        <v>2</v>
      </c>
      <c r="O318" s="81"/>
      <c r="P318" s="81">
        <f>'Praroop-20 hindi'!D321</f>
        <v>17</v>
      </c>
      <c r="Q318" s="81">
        <v>3</v>
      </c>
      <c r="R318" s="81"/>
      <c r="S318" s="81">
        <f>'Praroop-20 hindi'!E321</f>
        <v>369</v>
      </c>
      <c r="T318" s="81">
        <v>4</v>
      </c>
      <c r="U318" s="81"/>
      <c r="V318" s="81">
        <f>'Praroop-20 hindi'!F321</f>
        <v>12</v>
      </c>
      <c r="W318" s="81">
        <v>5</v>
      </c>
      <c r="X318" s="81"/>
      <c r="Y318" s="81">
        <f>'Praroop-20 hindi'!G321</f>
        <v>0</v>
      </c>
      <c r="Z318" s="81">
        <v>6</v>
      </c>
      <c r="AA318" s="81"/>
      <c r="AB318" s="81">
        <f>'Praroop-20 hindi'!H321</f>
        <v>0</v>
      </c>
      <c r="AC318" s="81">
        <v>7</v>
      </c>
      <c r="AD318" s="81"/>
      <c r="AE318" s="81">
        <f>'Praroop-20 hindi'!I321</f>
        <v>0</v>
      </c>
      <c r="AF318" s="81">
        <v>8</v>
      </c>
      <c r="AG318" s="81"/>
      <c r="AH318" s="81">
        <f>'Praroop-20 hindi'!J321</f>
        <v>0</v>
      </c>
      <c r="AI318" s="81">
        <v>9</v>
      </c>
      <c r="AJ318" s="81"/>
      <c r="AK318" s="81">
        <f>'Praroop-20 hindi'!K321</f>
        <v>1</v>
      </c>
      <c r="AL318" s="81">
        <v>10</v>
      </c>
      <c r="AM318" s="81"/>
      <c r="AN318" s="81">
        <f>'Praroop-20 hindi'!L321</f>
        <v>3</v>
      </c>
      <c r="AO318" s="81">
        <v>11</v>
      </c>
      <c r="AP318" s="81"/>
      <c r="AQ318" s="81">
        <f>'Praroop-20 hindi'!M321</f>
        <v>1</v>
      </c>
      <c r="AR318" s="81">
        <f t="shared" si="9"/>
        <v>422</v>
      </c>
    </row>
    <row r="319" spans="1:44" ht="38.25">
      <c r="A319" s="81">
        <v>64</v>
      </c>
      <c r="B319" s="41">
        <v>313</v>
      </c>
      <c r="C319" s="113" t="s">
        <v>438</v>
      </c>
      <c r="D319" s="117">
        <v>815</v>
      </c>
      <c r="E319" s="110">
        <v>251</v>
      </c>
      <c r="F319" s="110">
        <v>256</v>
      </c>
      <c r="G319" s="110">
        <v>0</v>
      </c>
      <c r="H319" s="111">
        <f t="shared" si="8"/>
        <v>507</v>
      </c>
      <c r="I319" s="112">
        <v>457</v>
      </c>
      <c r="J319" s="110">
        <v>0</v>
      </c>
      <c r="K319" s="110">
        <v>1</v>
      </c>
      <c r="L319" s="81"/>
      <c r="M319" s="81">
        <f>'Praroop-20 hindi'!C322</f>
        <v>57</v>
      </c>
      <c r="N319" s="81">
        <v>2</v>
      </c>
      <c r="O319" s="81"/>
      <c r="P319" s="81">
        <f>'Praroop-20 hindi'!D322</f>
        <v>20</v>
      </c>
      <c r="Q319" s="81">
        <v>3</v>
      </c>
      <c r="R319" s="81"/>
      <c r="S319" s="81">
        <f>'Praroop-20 hindi'!E322</f>
        <v>422</v>
      </c>
      <c r="T319" s="81">
        <v>4</v>
      </c>
      <c r="U319" s="81"/>
      <c r="V319" s="81">
        <f>'Praroop-20 hindi'!F322</f>
        <v>2</v>
      </c>
      <c r="W319" s="81">
        <v>5</v>
      </c>
      <c r="X319" s="81"/>
      <c r="Y319" s="81">
        <f>'Praroop-20 hindi'!G322</f>
        <v>0</v>
      </c>
      <c r="Z319" s="81">
        <v>6</v>
      </c>
      <c r="AA319" s="81"/>
      <c r="AB319" s="81">
        <f>'Praroop-20 hindi'!H322</f>
        <v>1</v>
      </c>
      <c r="AC319" s="81">
        <v>7</v>
      </c>
      <c r="AD319" s="81"/>
      <c r="AE319" s="81">
        <f>'Praroop-20 hindi'!I322</f>
        <v>0</v>
      </c>
      <c r="AF319" s="81">
        <v>8</v>
      </c>
      <c r="AG319" s="81"/>
      <c r="AH319" s="81">
        <f>'Praroop-20 hindi'!J322</f>
        <v>1</v>
      </c>
      <c r="AI319" s="81">
        <v>9</v>
      </c>
      <c r="AJ319" s="81"/>
      <c r="AK319" s="81">
        <f>'Praroop-20 hindi'!K322</f>
        <v>1</v>
      </c>
      <c r="AL319" s="81">
        <v>10</v>
      </c>
      <c r="AM319" s="81"/>
      <c r="AN319" s="81">
        <f>'Praroop-20 hindi'!L322</f>
        <v>2</v>
      </c>
      <c r="AO319" s="81">
        <v>11</v>
      </c>
      <c r="AP319" s="81"/>
      <c r="AQ319" s="81">
        <f>'Praroop-20 hindi'!M322</f>
        <v>0</v>
      </c>
      <c r="AR319" s="81">
        <f t="shared" si="9"/>
        <v>506</v>
      </c>
    </row>
    <row r="320" spans="1:44" ht="38.25">
      <c r="A320" s="81">
        <v>64</v>
      </c>
      <c r="B320" s="41">
        <v>314</v>
      </c>
      <c r="C320" s="116" t="s">
        <v>439</v>
      </c>
      <c r="D320" s="117">
        <v>1083</v>
      </c>
      <c r="E320" s="110">
        <v>416</v>
      </c>
      <c r="F320" s="110">
        <v>358</v>
      </c>
      <c r="G320" s="110">
        <v>0</v>
      </c>
      <c r="H320" s="111">
        <f t="shared" si="8"/>
        <v>774</v>
      </c>
      <c r="I320" s="112">
        <v>645</v>
      </c>
      <c r="J320" s="110">
        <v>0</v>
      </c>
      <c r="K320" s="110">
        <v>1</v>
      </c>
      <c r="L320" s="81"/>
      <c r="M320" s="81">
        <f>'Praroop-20 hindi'!C323</f>
        <v>17</v>
      </c>
      <c r="N320" s="81">
        <v>2</v>
      </c>
      <c r="O320" s="81"/>
      <c r="P320" s="81">
        <f>'Praroop-20 hindi'!D323</f>
        <v>134</v>
      </c>
      <c r="Q320" s="81">
        <v>3</v>
      </c>
      <c r="R320" s="81"/>
      <c r="S320" s="81">
        <f>'Praroop-20 hindi'!E323</f>
        <v>610</v>
      </c>
      <c r="T320" s="81">
        <v>4</v>
      </c>
      <c r="U320" s="81"/>
      <c r="V320" s="81">
        <f>'Praroop-20 hindi'!F323</f>
        <v>5</v>
      </c>
      <c r="W320" s="81">
        <v>5</v>
      </c>
      <c r="X320" s="81"/>
      <c r="Y320" s="81">
        <f>'Praroop-20 hindi'!G323</f>
        <v>0</v>
      </c>
      <c r="Z320" s="81">
        <v>6</v>
      </c>
      <c r="AA320" s="81"/>
      <c r="AB320" s="81">
        <f>'Praroop-20 hindi'!H323</f>
        <v>0</v>
      </c>
      <c r="AC320" s="81">
        <v>7</v>
      </c>
      <c r="AD320" s="81"/>
      <c r="AE320" s="81">
        <f>'Praroop-20 hindi'!I323</f>
        <v>0</v>
      </c>
      <c r="AF320" s="81">
        <v>8</v>
      </c>
      <c r="AG320" s="81"/>
      <c r="AH320" s="81">
        <f>'Praroop-20 hindi'!J323</f>
        <v>1</v>
      </c>
      <c r="AI320" s="81">
        <v>9</v>
      </c>
      <c r="AJ320" s="81"/>
      <c r="AK320" s="81">
        <f>'Praroop-20 hindi'!K323</f>
        <v>0</v>
      </c>
      <c r="AL320" s="81">
        <v>10</v>
      </c>
      <c r="AM320" s="81"/>
      <c r="AN320" s="81">
        <f>'Praroop-20 hindi'!L323</f>
        <v>1</v>
      </c>
      <c r="AO320" s="81">
        <v>11</v>
      </c>
      <c r="AP320" s="81"/>
      <c r="AQ320" s="81">
        <f>'Praroop-20 hindi'!M323</f>
        <v>1</v>
      </c>
      <c r="AR320" s="81">
        <f t="shared" si="9"/>
        <v>769</v>
      </c>
    </row>
    <row r="321" spans="1:44" ht="38.25">
      <c r="A321" s="81">
        <v>64</v>
      </c>
      <c r="B321" s="41">
        <v>315</v>
      </c>
      <c r="C321" s="116" t="s">
        <v>440</v>
      </c>
      <c r="D321" s="117">
        <v>1019</v>
      </c>
      <c r="E321" s="110">
        <v>383</v>
      </c>
      <c r="F321" s="110">
        <v>336</v>
      </c>
      <c r="G321" s="110">
        <v>0</v>
      </c>
      <c r="H321" s="111">
        <f t="shared" si="8"/>
        <v>719</v>
      </c>
      <c r="I321" s="112">
        <v>619</v>
      </c>
      <c r="J321" s="110">
        <v>0</v>
      </c>
      <c r="K321" s="110">
        <v>1</v>
      </c>
      <c r="L321" s="81"/>
      <c r="M321" s="81">
        <f>'Praroop-20 hindi'!C324</f>
        <v>19</v>
      </c>
      <c r="N321" s="81">
        <v>2</v>
      </c>
      <c r="O321" s="81"/>
      <c r="P321" s="81">
        <f>'Praroop-20 hindi'!D324</f>
        <v>68</v>
      </c>
      <c r="Q321" s="81">
        <v>3</v>
      </c>
      <c r="R321" s="81"/>
      <c r="S321" s="81">
        <f>'Praroop-20 hindi'!E324</f>
        <v>610</v>
      </c>
      <c r="T321" s="81">
        <v>4</v>
      </c>
      <c r="U321" s="81"/>
      <c r="V321" s="81">
        <f>'Praroop-20 hindi'!F324</f>
        <v>7</v>
      </c>
      <c r="W321" s="81">
        <v>5</v>
      </c>
      <c r="X321" s="81"/>
      <c r="Y321" s="81">
        <f>'Praroop-20 hindi'!G324</f>
        <v>0</v>
      </c>
      <c r="Z321" s="81">
        <v>6</v>
      </c>
      <c r="AA321" s="81"/>
      <c r="AB321" s="81">
        <f>'Praroop-20 hindi'!H324</f>
        <v>0</v>
      </c>
      <c r="AC321" s="81">
        <v>7</v>
      </c>
      <c r="AD321" s="81"/>
      <c r="AE321" s="81">
        <f>'Praroop-20 hindi'!I324</f>
        <v>0</v>
      </c>
      <c r="AF321" s="81">
        <v>8</v>
      </c>
      <c r="AG321" s="81"/>
      <c r="AH321" s="81">
        <f>'Praroop-20 hindi'!J324</f>
        <v>1</v>
      </c>
      <c r="AI321" s="81">
        <v>9</v>
      </c>
      <c r="AJ321" s="81"/>
      <c r="AK321" s="81">
        <f>'Praroop-20 hindi'!K324</f>
        <v>0</v>
      </c>
      <c r="AL321" s="81">
        <v>10</v>
      </c>
      <c r="AM321" s="81"/>
      <c r="AN321" s="81">
        <f>'Praroop-20 hindi'!L324</f>
        <v>9</v>
      </c>
      <c r="AO321" s="81">
        <v>11</v>
      </c>
      <c r="AP321" s="81"/>
      <c r="AQ321" s="81">
        <f>'Praroop-20 hindi'!M324</f>
        <v>3</v>
      </c>
      <c r="AR321" s="81">
        <f t="shared" si="9"/>
        <v>717</v>
      </c>
    </row>
    <row r="322" spans="1:44" ht="25.5">
      <c r="A322" s="81">
        <v>64</v>
      </c>
      <c r="B322" s="41">
        <v>316</v>
      </c>
      <c r="C322" s="113" t="s">
        <v>441</v>
      </c>
      <c r="D322" s="117">
        <v>938</v>
      </c>
      <c r="E322" s="110">
        <v>340</v>
      </c>
      <c r="F322" s="110">
        <v>296</v>
      </c>
      <c r="G322" s="110">
        <v>0</v>
      </c>
      <c r="H322" s="111">
        <f t="shared" si="8"/>
        <v>636</v>
      </c>
      <c r="I322" s="112">
        <v>549</v>
      </c>
      <c r="J322" s="110">
        <v>0</v>
      </c>
      <c r="K322" s="110">
        <v>1</v>
      </c>
      <c r="L322" s="81"/>
      <c r="M322" s="81">
        <f>'Praroop-20 hindi'!C325</f>
        <v>31</v>
      </c>
      <c r="N322" s="81">
        <v>2</v>
      </c>
      <c r="O322" s="81"/>
      <c r="P322" s="81">
        <f>'Praroop-20 hindi'!D325</f>
        <v>185</v>
      </c>
      <c r="Q322" s="81">
        <v>3</v>
      </c>
      <c r="R322" s="81"/>
      <c r="S322" s="81">
        <f>'Praroop-20 hindi'!E325</f>
        <v>397</v>
      </c>
      <c r="T322" s="81">
        <v>4</v>
      </c>
      <c r="U322" s="81"/>
      <c r="V322" s="81">
        <f>'Praroop-20 hindi'!F325</f>
        <v>6</v>
      </c>
      <c r="W322" s="81">
        <v>5</v>
      </c>
      <c r="X322" s="81"/>
      <c r="Y322" s="81">
        <f>'Praroop-20 hindi'!G325</f>
        <v>1</v>
      </c>
      <c r="Z322" s="81">
        <v>6</v>
      </c>
      <c r="AA322" s="81"/>
      <c r="AB322" s="81">
        <f>'Praroop-20 hindi'!H325</f>
        <v>0</v>
      </c>
      <c r="AC322" s="81">
        <v>7</v>
      </c>
      <c r="AD322" s="81"/>
      <c r="AE322" s="81">
        <f>'Praroop-20 hindi'!I325</f>
        <v>1</v>
      </c>
      <c r="AF322" s="81">
        <v>8</v>
      </c>
      <c r="AG322" s="81"/>
      <c r="AH322" s="81">
        <f>'Praroop-20 hindi'!J325</f>
        <v>3</v>
      </c>
      <c r="AI322" s="81">
        <v>9</v>
      </c>
      <c r="AJ322" s="81"/>
      <c r="AK322" s="81">
        <f>'Praroop-20 hindi'!K325</f>
        <v>4</v>
      </c>
      <c r="AL322" s="81">
        <v>10</v>
      </c>
      <c r="AM322" s="81"/>
      <c r="AN322" s="81">
        <f>'Praroop-20 hindi'!L325</f>
        <v>3</v>
      </c>
      <c r="AO322" s="81">
        <v>11</v>
      </c>
      <c r="AP322" s="81"/>
      <c r="AQ322" s="81">
        <f>'Praroop-20 hindi'!M325</f>
        <v>1</v>
      </c>
      <c r="AR322" s="81">
        <f t="shared" si="9"/>
        <v>632</v>
      </c>
    </row>
    <row r="323" spans="1:44" ht="25.5">
      <c r="A323" s="81">
        <v>64</v>
      </c>
      <c r="B323" s="41">
        <v>317</v>
      </c>
      <c r="C323" s="113" t="s">
        <v>442</v>
      </c>
      <c r="D323" s="117">
        <v>930</v>
      </c>
      <c r="E323" s="110">
        <v>310</v>
      </c>
      <c r="F323" s="110">
        <v>284</v>
      </c>
      <c r="G323" s="110">
        <v>0</v>
      </c>
      <c r="H323" s="111">
        <f t="shared" si="8"/>
        <v>594</v>
      </c>
      <c r="I323" s="112">
        <v>526</v>
      </c>
      <c r="J323" s="110">
        <v>0</v>
      </c>
      <c r="K323" s="110">
        <v>1</v>
      </c>
      <c r="L323" s="81"/>
      <c r="M323" s="81">
        <f>'Praroop-20 hindi'!C326</f>
        <v>271</v>
      </c>
      <c r="N323" s="81">
        <v>2</v>
      </c>
      <c r="O323" s="81"/>
      <c r="P323" s="81">
        <f>'Praroop-20 hindi'!D326</f>
        <v>32</v>
      </c>
      <c r="Q323" s="81">
        <v>3</v>
      </c>
      <c r="R323" s="81"/>
      <c r="S323" s="81">
        <f>'Praroop-20 hindi'!E326</f>
        <v>264</v>
      </c>
      <c r="T323" s="81">
        <v>4</v>
      </c>
      <c r="U323" s="81"/>
      <c r="V323" s="81">
        <f>'Praroop-20 hindi'!F326</f>
        <v>3</v>
      </c>
      <c r="W323" s="81">
        <v>5</v>
      </c>
      <c r="X323" s="81"/>
      <c r="Y323" s="81">
        <f>'Praroop-20 hindi'!G326</f>
        <v>4</v>
      </c>
      <c r="Z323" s="81">
        <v>6</v>
      </c>
      <c r="AA323" s="81"/>
      <c r="AB323" s="81">
        <f>'Praroop-20 hindi'!H326</f>
        <v>0</v>
      </c>
      <c r="AC323" s="81">
        <v>7</v>
      </c>
      <c r="AD323" s="81"/>
      <c r="AE323" s="81">
        <f>'Praroop-20 hindi'!I326</f>
        <v>2</v>
      </c>
      <c r="AF323" s="81">
        <v>8</v>
      </c>
      <c r="AG323" s="81"/>
      <c r="AH323" s="81">
        <f>'Praroop-20 hindi'!J326</f>
        <v>1</v>
      </c>
      <c r="AI323" s="81">
        <v>9</v>
      </c>
      <c r="AJ323" s="81"/>
      <c r="AK323" s="81">
        <f>'Praroop-20 hindi'!K326</f>
        <v>1</v>
      </c>
      <c r="AL323" s="81">
        <v>10</v>
      </c>
      <c r="AM323" s="81"/>
      <c r="AN323" s="81">
        <f>'Praroop-20 hindi'!L326</f>
        <v>3</v>
      </c>
      <c r="AO323" s="81">
        <v>11</v>
      </c>
      <c r="AP323" s="81"/>
      <c r="AQ323" s="81">
        <f>'Praroop-20 hindi'!M326</f>
        <v>2</v>
      </c>
      <c r="AR323" s="81">
        <f t="shared" si="9"/>
        <v>583</v>
      </c>
    </row>
    <row r="324" spans="1:44" ht="25.5">
      <c r="A324" s="81">
        <v>64</v>
      </c>
      <c r="B324" s="41">
        <v>318</v>
      </c>
      <c r="C324" s="113" t="s">
        <v>443</v>
      </c>
      <c r="D324" s="117">
        <v>699</v>
      </c>
      <c r="E324" s="110">
        <v>275</v>
      </c>
      <c r="F324" s="110">
        <v>232</v>
      </c>
      <c r="G324" s="110">
        <v>0</v>
      </c>
      <c r="H324" s="111">
        <f t="shared" si="8"/>
        <v>507</v>
      </c>
      <c r="I324" s="112">
        <v>434</v>
      </c>
      <c r="J324" s="110">
        <v>0</v>
      </c>
      <c r="K324" s="110">
        <v>1</v>
      </c>
      <c r="L324" s="81"/>
      <c r="M324" s="81">
        <f>'Praroop-20 hindi'!C327</f>
        <v>109</v>
      </c>
      <c r="N324" s="81">
        <v>2</v>
      </c>
      <c r="O324" s="81"/>
      <c r="P324" s="81">
        <f>'Praroop-20 hindi'!D327</f>
        <v>42</v>
      </c>
      <c r="Q324" s="81">
        <v>3</v>
      </c>
      <c r="R324" s="81"/>
      <c r="S324" s="81">
        <f>'Praroop-20 hindi'!E327</f>
        <v>342</v>
      </c>
      <c r="T324" s="81">
        <v>4</v>
      </c>
      <c r="U324" s="81"/>
      <c r="V324" s="81">
        <f>'Praroop-20 hindi'!F327</f>
        <v>3</v>
      </c>
      <c r="W324" s="81">
        <v>5</v>
      </c>
      <c r="X324" s="81"/>
      <c r="Y324" s="81">
        <f>'Praroop-20 hindi'!G327</f>
        <v>5</v>
      </c>
      <c r="Z324" s="81">
        <v>6</v>
      </c>
      <c r="AA324" s="81"/>
      <c r="AB324" s="81">
        <f>'Praroop-20 hindi'!H327</f>
        <v>0</v>
      </c>
      <c r="AC324" s="81">
        <v>7</v>
      </c>
      <c r="AD324" s="81"/>
      <c r="AE324" s="81">
        <f>'Praroop-20 hindi'!I327</f>
        <v>0</v>
      </c>
      <c r="AF324" s="81">
        <v>8</v>
      </c>
      <c r="AG324" s="81"/>
      <c r="AH324" s="81">
        <f>'Praroop-20 hindi'!J327</f>
        <v>0</v>
      </c>
      <c r="AI324" s="81">
        <v>9</v>
      </c>
      <c r="AJ324" s="81"/>
      <c r="AK324" s="81">
        <f>'Praroop-20 hindi'!K327</f>
        <v>2</v>
      </c>
      <c r="AL324" s="81">
        <v>10</v>
      </c>
      <c r="AM324" s="81"/>
      <c r="AN324" s="81">
        <f>'Praroop-20 hindi'!L327</f>
        <v>2</v>
      </c>
      <c r="AO324" s="81">
        <v>11</v>
      </c>
      <c r="AP324" s="81"/>
      <c r="AQ324" s="81">
        <f>'Praroop-20 hindi'!M327</f>
        <v>2</v>
      </c>
      <c r="AR324" s="81">
        <f t="shared" si="9"/>
        <v>507</v>
      </c>
    </row>
    <row r="325" spans="1:44" ht="25.5">
      <c r="A325" s="81">
        <v>64</v>
      </c>
      <c r="B325" s="41">
        <v>319</v>
      </c>
      <c r="C325" s="113" t="s">
        <v>444</v>
      </c>
      <c r="D325" s="117">
        <v>732</v>
      </c>
      <c r="E325" s="110">
        <v>248</v>
      </c>
      <c r="F325" s="110">
        <v>212</v>
      </c>
      <c r="G325" s="110">
        <v>0</v>
      </c>
      <c r="H325" s="111">
        <f t="shared" si="8"/>
        <v>460</v>
      </c>
      <c r="I325" s="112">
        <v>399</v>
      </c>
      <c r="J325" s="110">
        <v>0</v>
      </c>
      <c r="K325" s="110">
        <v>1</v>
      </c>
      <c r="L325" s="81"/>
      <c r="M325" s="81">
        <f>'Praroop-20 hindi'!C328</f>
        <v>55</v>
      </c>
      <c r="N325" s="81">
        <v>2</v>
      </c>
      <c r="O325" s="81"/>
      <c r="P325" s="81">
        <f>'Praroop-20 hindi'!D328</f>
        <v>41</v>
      </c>
      <c r="Q325" s="81">
        <v>3</v>
      </c>
      <c r="R325" s="81"/>
      <c r="S325" s="81">
        <f>'Praroop-20 hindi'!E328</f>
        <v>346</v>
      </c>
      <c r="T325" s="81">
        <v>4</v>
      </c>
      <c r="U325" s="81"/>
      <c r="V325" s="81">
        <f>'Praroop-20 hindi'!F328</f>
        <v>2</v>
      </c>
      <c r="W325" s="81">
        <v>5</v>
      </c>
      <c r="X325" s="81"/>
      <c r="Y325" s="81">
        <f>'Praroop-20 hindi'!G328</f>
        <v>1</v>
      </c>
      <c r="Z325" s="81">
        <v>6</v>
      </c>
      <c r="AA325" s="81"/>
      <c r="AB325" s="81">
        <f>'Praroop-20 hindi'!H328</f>
        <v>0</v>
      </c>
      <c r="AC325" s="81">
        <v>7</v>
      </c>
      <c r="AD325" s="81"/>
      <c r="AE325" s="81">
        <f>'Praroop-20 hindi'!I328</f>
        <v>1</v>
      </c>
      <c r="AF325" s="81">
        <v>8</v>
      </c>
      <c r="AG325" s="81"/>
      <c r="AH325" s="81">
        <f>'Praroop-20 hindi'!J328</f>
        <v>1</v>
      </c>
      <c r="AI325" s="81">
        <v>9</v>
      </c>
      <c r="AJ325" s="81"/>
      <c r="AK325" s="81">
        <f>'Praroop-20 hindi'!K328</f>
        <v>1</v>
      </c>
      <c r="AL325" s="81">
        <v>10</v>
      </c>
      <c r="AM325" s="81"/>
      <c r="AN325" s="81">
        <f>'Praroop-20 hindi'!L328</f>
        <v>7</v>
      </c>
      <c r="AO325" s="81">
        <v>11</v>
      </c>
      <c r="AP325" s="81"/>
      <c r="AQ325" s="81">
        <f>'Praroop-20 hindi'!M328</f>
        <v>1</v>
      </c>
      <c r="AR325" s="81">
        <f t="shared" si="9"/>
        <v>456</v>
      </c>
    </row>
    <row r="326" spans="1:44" ht="25.5">
      <c r="A326" s="81">
        <v>64</v>
      </c>
      <c r="B326" s="41">
        <v>320</v>
      </c>
      <c r="C326" s="113" t="s">
        <v>445</v>
      </c>
      <c r="D326" s="117">
        <v>776</v>
      </c>
      <c r="E326" s="110">
        <v>272</v>
      </c>
      <c r="F326" s="110">
        <v>231</v>
      </c>
      <c r="G326" s="110">
        <v>0</v>
      </c>
      <c r="H326" s="111">
        <f t="shared" si="8"/>
        <v>503</v>
      </c>
      <c r="I326" s="112">
        <v>497</v>
      </c>
      <c r="J326" s="110">
        <v>0</v>
      </c>
      <c r="K326" s="110">
        <v>1</v>
      </c>
      <c r="L326" s="81"/>
      <c r="M326" s="81">
        <f>'Praroop-20 hindi'!C329</f>
        <v>296</v>
      </c>
      <c r="N326" s="81">
        <v>2</v>
      </c>
      <c r="O326" s="81"/>
      <c r="P326" s="81">
        <f>'Praroop-20 hindi'!D329</f>
        <v>34</v>
      </c>
      <c r="Q326" s="81">
        <v>3</v>
      </c>
      <c r="R326" s="81"/>
      <c r="S326" s="81">
        <f>'Praroop-20 hindi'!E329</f>
        <v>159</v>
      </c>
      <c r="T326" s="81">
        <v>4</v>
      </c>
      <c r="U326" s="81"/>
      <c r="V326" s="81">
        <f>'Praroop-20 hindi'!F329</f>
        <v>6</v>
      </c>
      <c r="W326" s="81">
        <v>5</v>
      </c>
      <c r="X326" s="81"/>
      <c r="Y326" s="81">
        <f>'Praroop-20 hindi'!G329</f>
        <v>0</v>
      </c>
      <c r="Z326" s="81">
        <v>6</v>
      </c>
      <c r="AA326" s="81"/>
      <c r="AB326" s="81">
        <f>'Praroop-20 hindi'!H329</f>
        <v>1</v>
      </c>
      <c r="AC326" s="81">
        <v>7</v>
      </c>
      <c r="AD326" s="81"/>
      <c r="AE326" s="81">
        <f>'Praroop-20 hindi'!I329</f>
        <v>0</v>
      </c>
      <c r="AF326" s="81">
        <v>8</v>
      </c>
      <c r="AG326" s="81"/>
      <c r="AH326" s="81">
        <f>'Praroop-20 hindi'!J329</f>
        <v>0</v>
      </c>
      <c r="AI326" s="81">
        <v>9</v>
      </c>
      <c r="AJ326" s="81"/>
      <c r="AK326" s="81">
        <f>'Praroop-20 hindi'!K329</f>
        <v>0</v>
      </c>
      <c r="AL326" s="81">
        <v>10</v>
      </c>
      <c r="AM326" s="81"/>
      <c r="AN326" s="81">
        <f>'Praroop-20 hindi'!L329</f>
        <v>1</v>
      </c>
      <c r="AO326" s="81">
        <v>11</v>
      </c>
      <c r="AP326" s="81"/>
      <c r="AQ326" s="81">
        <f>'Praroop-20 hindi'!M329</f>
        <v>0</v>
      </c>
      <c r="AR326" s="81">
        <f t="shared" si="9"/>
        <v>497</v>
      </c>
    </row>
    <row r="327" spans="1:44" ht="25.5">
      <c r="A327" s="81">
        <v>64</v>
      </c>
      <c r="B327" s="41">
        <v>321</v>
      </c>
      <c r="C327" s="113" t="s">
        <v>446</v>
      </c>
      <c r="D327" s="117">
        <v>650</v>
      </c>
      <c r="E327" s="110">
        <v>236</v>
      </c>
      <c r="F327" s="110">
        <v>216</v>
      </c>
      <c r="G327" s="110">
        <v>0</v>
      </c>
      <c r="H327" s="111">
        <f t="shared" ref="H327:H390" si="10">SUM(E327:G327)</f>
        <v>452</v>
      </c>
      <c r="I327" s="112">
        <v>452</v>
      </c>
      <c r="J327" s="110">
        <v>0</v>
      </c>
      <c r="K327" s="110">
        <v>1</v>
      </c>
      <c r="L327" s="81"/>
      <c r="M327" s="81">
        <f>'Praroop-20 hindi'!C330</f>
        <v>23</v>
      </c>
      <c r="N327" s="81">
        <v>2</v>
      </c>
      <c r="O327" s="81"/>
      <c r="P327" s="81">
        <f>'Praroop-20 hindi'!D330</f>
        <v>28</v>
      </c>
      <c r="Q327" s="81">
        <v>3</v>
      </c>
      <c r="R327" s="81"/>
      <c r="S327" s="81">
        <f>'Praroop-20 hindi'!E330</f>
        <v>383</v>
      </c>
      <c r="T327" s="81">
        <v>4</v>
      </c>
      <c r="U327" s="81"/>
      <c r="V327" s="81">
        <f>'Praroop-20 hindi'!F330</f>
        <v>6</v>
      </c>
      <c r="W327" s="81">
        <v>5</v>
      </c>
      <c r="X327" s="81"/>
      <c r="Y327" s="81">
        <f>'Praroop-20 hindi'!G330</f>
        <v>0</v>
      </c>
      <c r="Z327" s="81">
        <v>6</v>
      </c>
      <c r="AA327" s="81"/>
      <c r="AB327" s="81">
        <f>'Praroop-20 hindi'!H330</f>
        <v>0</v>
      </c>
      <c r="AC327" s="81">
        <v>7</v>
      </c>
      <c r="AD327" s="81"/>
      <c r="AE327" s="81">
        <f>'Praroop-20 hindi'!I330</f>
        <v>0</v>
      </c>
      <c r="AF327" s="81">
        <v>8</v>
      </c>
      <c r="AG327" s="81"/>
      <c r="AH327" s="81">
        <f>'Praroop-20 hindi'!J330</f>
        <v>3</v>
      </c>
      <c r="AI327" s="81">
        <v>9</v>
      </c>
      <c r="AJ327" s="81"/>
      <c r="AK327" s="81">
        <f>'Praroop-20 hindi'!K330</f>
        <v>0</v>
      </c>
      <c r="AL327" s="81">
        <v>10</v>
      </c>
      <c r="AM327" s="81"/>
      <c r="AN327" s="81">
        <f>'Praroop-20 hindi'!L330</f>
        <v>6</v>
      </c>
      <c r="AO327" s="81">
        <v>11</v>
      </c>
      <c r="AP327" s="81"/>
      <c r="AQ327" s="81">
        <f>'Praroop-20 hindi'!M330</f>
        <v>0</v>
      </c>
      <c r="AR327" s="81">
        <f t="shared" si="9"/>
        <v>449</v>
      </c>
    </row>
    <row r="328" spans="1:44" ht="25.5">
      <c r="A328" s="81">
        <v>64</v>
      </c>
      <c r="B328" s="41">
        <v>322</v>
      </c>
      <c r="C328" s="113" t="s">
        <v>447</v>
      </c>
      <c r="D328" s="117">
        <v>612</v>
      </c>
      <c r="E328" s="110">
        <v>244</v>
      </c>
      <c r="F328" s="110">
        <v>202</v>
      </c>
      <c r="G328" s="110">
        <v>0</v>
      </c>
      <c r="H328" s="111">
        <f t="shared" si="10"/>
        <v>446</v>
      </c>
      <c r="I328" s="112">
        <v>398</v>
      </c>
      <c r="J328" s="110">
        <v>0</v>
      </c>
      <c r="K328" s="110">
        <v>1</v>
      </c>
      <c r="L328" s="81"/>
      <c r="M328" s="81">
        <f>'Praroop-20 hindi'!C331</f>
        <v>0</v>
      </c>
      <c r="N328" s="81">
        <v>2</v>
      </c>
      <c r="O328" s="81"/>
      <c r="P328" s="81">
        <f>'Praroop-20 hindi'!D331</f>
        <v>8</v>
      </c>
      <c r="Q328" s="81">
        <v>3</v>
      </c>
      <c r="R328" s="81"/>
      <c r="S328" s="81">
        <f>'Praroop-20 hindi'!E331</f>
        <v>433</v>
      </c>
      <c r="T328" s="81">
        <v>4</v>
      </c>
      <c r="U328" s="81"/>
      <c r="V328" s="81">
        <f>'Praroop-20 hindi'!F331</f>
        <v>0</v>
      </c>
      <c r="W328" s="81">
        <v>5</v>
      </c>
      <c r="X328" s="81"/>
      <c r="Y328" s="81">
        <f>'Praroop-20 hindi'!G331</f>
        <v>1</v>
      </c>
      <c r="Z328" s="81">
        <v>6</v>
      </c>
      <c r="AA328" s="81"/>
      <c r="AB328" s="81">
        <f>'Praroop-20 hindi'!H331</f>
        <v>1</v>
      </c>
      <c r="AC328" s="81">
        <v>7</v>
      </c>
      <c r="AD328" s="81"/>
      <c r="AE328" s="81">
        <f>'Praroop-20 hindi'!I331</f>
        <v>1</v>
      </c>
      <c r="AF328" s="81">
        <v>8</v>
      </c>
      <c r="AG328" s="81"/>
      <c r="AH328" s="81">
        <f>'Praroop-20 hindi'!J331</f>
        <v>0</v>
      </c>
      <c r="AI328" s="81">
        <v>9</v>
      </c>
      <c r="AJ328" s="81"/>
      <c r="AK328" s="81">
        <f>'Praroop-20 hindi'!K331</f>
        <v>0</v>
      </c>
      <c r="AL328" s="81">
        <v>10</v>
      </c>
      <c r="AM328" s="81"/>
      <c r="AN328" s="81">
        <f>'Praroop-20 hindi'!L331</f>
        <v>1</v>
      </c>
      <c r="AO328" s="81">
        <v>11</v>
      </c>
      <c r="AP328" s="81"/>
      <c r="AQ328" s="81">
        <f>'Praroop-20 hindi'!M331</f>
        <v>0</v>
      </c>
      <c r="AR328" s="81">
        <f t="shared" ref="AR328:AR391" si="11">M328+P328+S328+V328+Y328+AB328+AE328+AH328+AK328+AN328+AQ328</f>
        <v>445</v>
      </c>
    </row>
    <row r="329" spans="1:44" ht="25.5">
      <c r="A329" s="81">
        <v>64</v>
      </c>
      <c r="B329" s="41">
        <v>323</v>
      </c>
      <c r="C329" s="113" t="s">
        <v>448</v>
      </c>
      <c r="D329" s="117">
        <v>1171</v>
      </c>
      <c r="E329" s="110">
        <v>380</v>
      </c>
      <c r="F329" s="110">
        <v>312</v>
      </c>
      <c r="G329" s="110">
        <v>0</v>
      </c>
      <c r="H329" s="111">
        <f t="shared" si="10"/>
        <v>692</v>
      </c>
      <c r="I329" s="112">
        <v>590</v>
      </c>
      <c r="J329" s="110">
        <v>0</v>
      </c>
      <c r="K329" s="110">
        <v>1</v>
      </c>
      <c r="L329" s="81"/>
      <c r="M329" s="81">
        <f>'Praroop-20 hindi'!C332</f>
        <v>169</v>
      </c>
      <c r="N329" s="81">
        <v>2</v>
      </c>
      <c r="O329" s="81"/>
      <c r="P329" s="81">
        <f>'Praroop-20 hindi'!D332</f>
        <v>25</v>
      </c>
      <c r="Q329" s="81">
        <v>3</v>
      </c>
      <c r="R329" s="81"/>
      <c r="S329" s="81">
        <f>'Praroop-20 hindi'!E332</f>
        <v>483</v>
      </c>
      <c r="T329" s="81">
        <v>4</v>
      </c>
      <c r="U329" s="81"/>
      <c r="V329" s="81">
        <f>'Praroop-20 hindi'!F332</f>
        <v>3</v>
      </c>
      <c r="W329" s="81">
        <v>5</v>
      </c>
      <c r="X329" s="81"/>
      <c r="Y329" s="81">
        <f>'Praroop-20 hindi'!G332</f>
        <v>1</v>
      </c>
      <c r="Z329" s="81">
        <v>6</v>
      </c>
      <c r="AA329" s="81"/>
      <c r="AB329" s="81">
        <f>'Praroop-20 hindi'!H332</f>
        <v>0</v>
      </c>
      <c r="AC329" s="81">
        <v>7</v>
      </c>
      <c r="AD329" s="81"/>
      <c r="AE329" s="81">
        <f>'Praroop-20 hindi'!I332</f>
        <v>0</v>
      </c>
      <c r="AF329" s="81">
        <v>8</v>
      </c>
      <c r="AG329" s="81"/>
      <c r="AH329" s="81">
        <f>'Praroop-20 hindi'!J332</f>
        <v>2</v>
      </c>
      <c r="AI329" s="81">
        <v>9</v>
      </c>
      <c r="AJ329" s="81"/>
      <c r="AK329" s="81">
        <f>'Praroop-20 hindi'!K332</f>
        <v>0</v>
      </c>
      <c r="AL329" s="81">
        <v>10</v>
      </c>
      <c r="AM329" s="81"/>
      <c r="AN329" s="81">
        <f>'Praroop-20 hindi'!L332</f>
        <v>5</v>
      </c>
      <c r="AO329" s="81">
        <v>11</v>
      </c>
      <c r="AP329" s="81"/>
      <c r="AQ329" s="81">
        <f>'Praroop-20 hindi'!M332</f>
        <v>2</v>
      </c>
      <c r="AR329" s="81">
        <f t="shared" si="11"/>
        <v>690</v>
      </c>
    </row>
    <row r="330" spans="1:44">
      <c r="A330" s="81">
        <v>64</v>
      </c>
      <c r="B330" s="41">
        <v>324</v>
      </c>
      <c r="C330" s="113" t="s">
        <v>449</v>
      </c>
      <c r="D330" s="117">
        <v>770</v>
      </c>
      <c r="E330" s="110">
        <v>323</v>
      </c>
      <c r="F330" s="110">
        <v>273</v>
      </c>
      <c r="G330" s="110">
        <v>0</v>
      </c>
      <c r="H330" s="111">
        <f t="shared" si="10"/>
        <v>596</v>
      </c>
      <c r="I330" s="112">
        <v>530</v>
      </c>
      <c r="J330" s="110">
        <v>0</v>
      </c>
      <c r="K330" s="110">
        <v>1</v>
      </c>
      <c r="L330" s="81"/>
      <c r="M330" s="81">
        <f>'Praroop-20 hindi'!C333</f>
        <v>201</v>
      </c>
      <c r="N330" s="81">
        <v>2</v>
      </c>
      <c r="O330" s="81"/>
      <c r="P330" s="81">
        <f>'Praroop-20 hindi'!D333</f>
        <v>74</v>
      </c>
      <c r="Q330" s="81">
        <v>3</v>
      </c>
      <c r="R330" s="81"/>
      <c r="S330" s="81">
        <f>'Praroop-20 hindi'!E333</f>
        <v>285</v>
      </c>
      <c r="T330" s="81">
        <v>4</v>
      </c>
      <c r="U330" s="81"/>
      <c r="V330" s="81">
        <f>'Praroop-20 hindi'!F333</f>
        <v>5</v>
      </c>
      <c r="W330" s="81">
        <v>5</v>
      </c>
      <c r="X330" s="81"/>
      <c r="Y330" s="81">
        <f>'Praroop-20 hindi'!G333</f>
        <v>12</v>
      </c>
      <c r="Z330" s="81">
        <v>6</v>
      </c>
      <c r="AA330" s="81"/>
      <c r="AB330" s="81">
        <f>'Praroop-20 hindi'!H333</f>
        <v>3</v>
      </c>
      <c r="AC330" s="81">
        <v>7</v>
      </c>
      <c r="AD330" s="81"/>
      <c r="AE330" s="81">
        <f>'Praroop-20 hindi'!I333</f>
        <v>0</v>
      </c>
      <c r="AF330" s="81">
        <v>8</v>
      </c>
      <c r="AG330" s="81"/>
      <c r="AH330" s="81">
        <f>'Praroop-20 hindi'!J333</f>
        <v>1</v>
      </c>
      <c r="AI330" s="81">
        <v>9</v>
      </c>
      <c r="AJ330" s="81"/>
      <c r="AK330" s="81">
        <f>'Praroop-20 hindi'!K333</f>
        <v>0</v>
      </c>
      <c r="AL330" s="81">
        <v>10</v>
      </c>
      <c r="AM330" s="81"/>
      <c r="AN330" s="81">
        <f>'Praroop-20 hindi'!L333</f>
        <v>8</v>
      </c>
      <c r="AO330" s="81">
        <v>11</v>
      </c>
      <c r="AP330" s="81"/>
      <c r="AQ330" s="81">
        <f>'Praroop-20 hindi'!M333</f>
        <v>2</v>
      </c>
      <c r="AR330" s="81">
        <f t="shared" si="11"/>
        <v>591</v>
      </c>
    </row>
    <row r="331" spans="1:44">
      <c r="A331" s="81">
        <v>64</v>
      </c>
      <c r="B331" s="41">
        <v>325</v>
      </c>
      <c r="C331" s="113" t="s">
        <v>450</v>
      </c>
      <c r="D331" s="117">
        <v>449</v>
      </c>
      <c r="E331" s="110">
        <v>175</v>
      </c>
      <c r="F331" s="110">
        <v>170</v>
      </c>
      <c r="G331" s="110">
        <v>0</v>
      </c>
      <c r="H331" s="111">
        <f t="shared" si="10"/>
        <v>345</v>
      </c>
      <c r="I331" s="112">
        <v>345</v>
      </c>
      <c r="J331" s="110">
        <v>0</v>
      </c>
      <c r="K331" s="110">
        <v>1</v>
      </c>
      <c r="L331" s="81"/>
      <c r="M331" s="81">
        <f>'Praroop-20 hindi'!C334</f>
        <v>118</v>
      </c>
      <c r="N331" s="81">
        <v>2</v>
      </c>
      <c r="O331" s="81"/>
      <c r="P331" s="81">
        <f>'Praroop-20 hindi'!D334</f>
        <v>30</v>
      </c>
      <c r="Q331" s="81">
        <v>3</v>
      </c>
      <c r="R331" s="81"/>
      <c r="S331" s="81">
        <f>'Praroop-20 hindi'!E334</f>
        <v>181</v>
      </c>
      <c r="T331" s="81">
        <v>4</v>
      </c>
      <c r="U331" s="81"/>
      <c r="V331" s="81">
        <f>'Praroop-20 hindi'!F334</f>
        <v>1</v>
      </c>
      <c r="W331" s="81">
        <v>5</v>
      </c>
      <c r="X331" s="81"/>
      <c r="Y331" s="81">
        <f>'Praroop-20 hindi'!G334</f>
        <v>11</v>
      </c>
      <c r="Z331" s="81">
        <v>6</v>
      </c>
      <c r="AA331" s="81"/>
      <c r="AB331" s="81">
        <f>'Praroop-20 hindi'!H334</f>
        <v>0</v>
      </c>
      <c r="AC331" s="81">
        <v>7</v>
      </c>
      <c r="AD331" s="81"/>
      <c r="AE331" s="81">
        <f>'Praroop-20 hindi'!I334</f>
        <v>0</v>
      </c>
      <c r="AF331" s="81">
        <v>8</v>
      </c>
      <c r="AG331" s="81"/>
      <c r="AH331" s="81">
        <f>'Praroop-20 hindi'!J334</f>
        <v>0</v>
      </c>
      <c r="AI331" s="81">
        <v>9</v>
      </c>
      <c r="AJ331" s="81"/>
      <c r="AK331" s="81">
        <f>'Praroop-20 hindi'!K334</f>
        <v>0</v>
      </c>
      <c r="AL331" s="81">
        <v>10</v>
      </c>
      <c r="AM331" s="81"/>
      <c r="AN331" s="81">
        <f>'Praroop-20 hindi'!L334</f>
        <v>2</v>
      </c>
      <c r="AO331" s="81">
        <v>11</v>
      </c>
      <c r="AP331" s="81"/>
      <c r="AQ331" s="81">
        <f>'Praroop-20 hindi'!M334</f>
        <v>1</v>
      </c>
      <c r="AR331" s="81">
        <f t="shared" si="11"/>
        <v>344</v>
      </c>
    </row>
    <row r="332" spans="1:44" ht="25.5">
      <c r="A332" s="81">
        <v>64</v>
      </c>
      <c r="B332" s="41">
        <v>326</v>
      </c>
      <c r="C332" s="113" t="s">
        <v>451</v>
      </c>
      <c r="D332" s="117">
        <v>961</v>
      </c>
      <c r="E332" s="110">
        <v>373</v>
      </c>
      <c r="F332" s="110">
        <v>286</v>
      </c>
      <c r="G332" s="110">
        <v>0</v>
      </c>
      <c r="H332" s="111">
        <f t="shared" si="10"/>
        <v>659</v>
      </c>
      <c r="I332" s="112">
        <v>659</v>
      </c>
      <c r="J332" s="110">
        <v>0</v>
      </c>
      <c r="K332" s="110">
        <v>1</v>
      </c>
      <c r="L332" s="81"/>
      <c r="M332" s="81">
        <f>'Praroop-20 hindi'!C335</f>
        <v>119</v>
      </c>
      <c r="N332" s="81">
        <v>2</v>
      </c>
      <c r="O332" s="81"/>
      <c r="P332" s="81">
        <f>'Praroop-20 hindi'!D335</f>
        <v>27</v>
      </c>
      <c r="Q332" s="81">
        <v>3</v>
      </c>
      <c r="R332" s="81"/>
      <c r="S332" s="81">
        <f>'Praroop-20 hindi'!E335</f>
        <v>490</v>
      </c>
      <c r="T332" s="81">
        <v>4</v>
      </c>
      <c r="U332" s="81"/>
      <c r="V332" s="81">
        <f>'Praroop-20 hindi'!F335</f>
        <v>3</v>
      </c>
      <c r="W332" s="81">
        <v>5</v>
      </c>
      <c r="X332" s="81"/>
      <c r="Y332" s="81">
        <f>'Praroop-20 hindi'!G335</f>
        <v>10</v>
      </c>
      <c r="Z332" s="81">
        <v>6</v>
      </c>
      <c r="AA332" s="81"/>
      <c r="AB332" s="81">
        <f>'Praroop-20 hindi'!H335</f>
        <v>0</v>
      </c>
      <c r="AC332" s="81">
        <v>7</v>
      </c>
      <c r="AD332" s="81"/>
      <c r="AE332" s="81">
        <f>'Praroop-20 hindi'!I335</f>
        <v>1</v>
      </c>
      <c r="AF332" s="81">
        <v>8</v>
      </c>
      <c r="AG332" s="81"/>
      <c r="AH332" s="81">
        <f>'Praroop-20 hindi'!J335</f>
        <v>0</v>
      </c>
      <c r="AI332" s="81">
        <v>9</v>
      </c>
      <c r="AJ332" s="81"/>
      <c r="AK332" s="81">
        <f>'Praroop-20 hindi'!K335</f>
        <v>1</v>
      </c>
      <c r="AL332" s="81">
        <v>10</v>
      </c>
      <c r="AM332" s="81"/>
      <c r="AN332" s="81">
        <f>'Praroop-20 hindi'!L335</f>
        <v>3</v>
      </c>
      <c r="AO332" s="81">
        <v>11</v>
      </c>
      <c r="AP332" s="81"/>
      <c r="AQ332" s="81">
        <f>'Praroop-20 hindi'!M335</f>
        <v>2</v>
      </c>
      <c r="AR332" s="81">
        <f t="shared" si="11"/>
        <v>656</v>
      </c>
    </row>
    <row r="333" spans="1:44" ht="25.5">
      <c r="A333" s="81">
        <v>64</v>
      </c>
      <c r="B333" s="41">
        <v>327</v>
      </c>
      <c r="C333" s="113" t="s">
        <v>452</v>
      </c>
      <c r="D333" s="117">
        <v>908</v>
      </c>
      <c r="E333" s="110">
        <v>346</v>
      </c>
      <c r="F333" s="110">
        <v>251</v>
      </c>
      <c r="G333" s="110">
        <v>0</v>
      </c>
      <c r="H333" s="111">
        <f t="shared" si="10"/>
        <v>597</v>
      </c>
      <c r="I333" s="112">
        <v>535</v>
      </c>
      <c r="J333" s="110">
        <v>0</v>
      </c>
      <c r="K333" s="110">
        <v>1</v>
      </c>
      <c r="L333" s="81"/>
      <c r="M333" s="81">
        <f>'Praroop-20 hindi'!C336</f>
        <v>168</v>
      </c>
      <c r="N333" s="81">
        <v>2</v>
      </c>
      <c r="O333" s="81"/>
      <c r="P333" s="81">
        <f>'Praroop-20 hindi'!D336</f>
        <v>34</v>
      </c>
      <c r="Q333" s="81">
        <v>3</v>
      </c>
      <c r="R333" s="81"/>
      <c r="S333" s="81">
        <f>'Praroop-20 hindi'!E336</f>
        <v>385</v>
      </c>
      <c r="T333" s="81">
        <v>4</v>
      </c>
      <c r="U333" s="81"/>
      <c r="V333" s="81">
        <f>'Praroop-20 hindi'!F336</f>
        <v>1</v>
      </c>
      <c r="W333" s="81">
        <v>5</v>
      </c>
      <c r="X333" s="81"/>
      <c r="Y333" s="81">
        <f>'Praroop-20 hindi'!G336</f>
        <v>5</v>
      </c>
      <c r="Z333" s="81">
        <v>6</v>
      </c>
      <c r="AA333" s="81"/>
      <c r="AB333" s="81">
        <f>'Praroop-20 hindi'!H336</f>
        <v>0</v>
      </c>
      <c r="AC333" s="81">
        <v>7</v>
      </c>
      <c r="AD333" s="81"/>
      <c r="AE333" s="81">
        <f>'Praroop-20 hindi'!I336</f>
        <v>0</v>
      </c>
      <c r="AF333" s="81">
        <v>8</v>
      </c>
      <c r="AG333" s="81"/>
      <c r="AH333" s="81">
        <f>'Praroop-20 hindi'!J336</f>
        <v>1</v>
      </c>
      <c r="AI333" s="81">
        <v>9</v>
      </c>
      <c r="AJ333" s="81"/>
      <c r="AK333" s="81">
        <f>'Praroop-20 hindi'!K336</f>
        <v>0</v>
      </c>
      <c r="AL333" s="81">
        <v>10</v>
      </c>
      <c r="AM333" s="81"/>
      <c r="AN333" s="81">
        <f>'Praroop-20 hindi'!L336</f>
        <v>1</v>
      </c>
      <c r="AO333" s="81">
        <v>11</v>
      </c>
      <c r="AP333" s="81"/>
      <c r="AQ333" s="81">
        <f>'Praroop-20 hindi'!M336</f>
        <v>1</v>
      </c>
      <c r="AR333" s="81">
        <f t="shared" si="11"/>
        <v>596</v>
      </c>
    </row>
    <row r="334" spans="1:44" ht="25.5">
      <c r="A334" s="81">
        <v>64</v>
      </c>
      <c r="B334" s="41">
        <v>328</v>
      </c>
      <c r="C334" s="113" t="s">
        <v>453</v>
      </c>
      <c r="D334" s="117">
        <v>549</v>
      </c>
      <c r="E334" s="110">
        <v>199</v>
      </c>
      <c r="F334" s="110">
        <v>179</v>
      </c>
      <c r="G334" s="110">
        <v>0</v>
      </c>
      <c r="H334" s="111">
        <f t="shared" si="10"/>
        <v>378</v>
      </c>
      <c r="I334" s="112">
        <v>378</v>
      </c>
      <c r="J334" s="110">
        <v>0</v>
      </c>
      <c r="K334" s="110">
        <v>1</v>
      </c>
      <c r="L334" s="81"/>
      <c r="M334" s="81">
        <f>'Praroop-20 hindi'!C337</f>
        <v>12</v>
      </c>
      <c r="N334" s="81">
        <v>2</v>
      </c>
      <c r="O334" s="81"/>
      <c r="P334" s="81">
        <f>'Praroop-20 hindi'!D337</f>
        <v>97</v>
      </c>
      <c r="Q334" s="81">
        <v>3</v>
      </c>
      <c r="R334" s="81"/>
      <c r="S334" s="81">
        <f>'Praroop-20 hindi'!E337</f>
        <v>264</v>
      </c>
      <c r="T334" s="81">
        <v>4</v>
      </c>
      <c r="U334" s="81"/>
      <c r="V334" s="81">
        <f>'Praroop-20 hindi'!F337</f>
        <v>2</v>
      </c>
      <c r="W334" s="81">
        <v>5</v>
      </c>
      <c r="X334" s="81"/>
      <c r="Y334" s="81">
        <f>'Praroop-20 hindi'!G337</f>
        <v>0</v>
      </c>
      <c r="Z334" s="81">
        <v>6</v>
      </c>
      <c r="AA334" s="81"/>
      <c r="AB334" s="81">
        <f>'Praroop-20 hindi'!H337</f>
        <v>0</v>
      </c>
      <c r="AC334" s="81">
        <v>7</v>
      </c>
      <c r="AD334" s="81"/>
      <c r="AE334" s="81">
        <f>'Praroop-20 hindi'!I337</f>
        <v>0</v>
      </c>
      <c r="AF334" s="81">
        <v>8</v>
      </c>
      <c r="AG334" s="81"/>
      <c r="AH334" s="81">
        <f>'Praroop-20 hindi'!J337</f>
        <v>1</v>
      </c>
      <c r="AI334" s="81">
        <v>9</v>
      </c>
      <c r="AJ334" s="81"/>
      <c r="AK334" s="81">
        <f>'Praroop-20 hindi'!K337</f>
        <v>0</v>
      </c>
      <c r="AL334" s="81">
        <v>10</v>
      </c>
      <c r="AM334" s="81"/>
      <c r="AN334" s="81">
        <f>'Praroop-20 hindi'!L337</f>
        <v>1</v>
      </c>
      <c r="AO334" s="81">
        <v>11</v>
      </c>
      <c r="AP334" s="81"/>
      <c r="AQ334" s="81">
        <f>'Praroop-20 hindi'!M337</f>
        <v>0</v>
      </c>
      <c r="AR334" s="81">
        <f t="shared" si="11"/>
        <v>377</v>
      </c>
    </row>
    <row r="335" spans="1:44" ht="25.5">
      <c r="A335" s="81">
        <v>64</v>
      </c>
      <c r="B335" s="41">
        <v>329</v>
      </c>
      <c r="C335" s="113" t="s">
        <v>454</v>
      </c>
      <c r="D335" s="117">
        <v>641</v>
      </c>
      <c r="E335" s="110">
        <v>214</v>
      </c>
      <c r="F335" s="110">
        <v>191</v>
      </c>
      <c r="G335" s="110">
        <v>0</v>
      </c>
      <c r="H335" s="111">
        <f t="shared" si="10"/>
        <v>405</v>
      </c>
      <c r="I335" s="112">
        <v>337</v>
      </c>
      <c r="J335" s="110">
        <v>0</v>
      </c>
      <c r="K335" s="110">
        <v>1</v>
      </c>
      <c r="L335" s="81"/>
      <c r="M335" s="81">
        <f>'Praroop-20 hindi'!C338</f>
        <v>5</v>
      </c>
      <c r="N335" s="81">
        <v>2</v>
      </c>
      <c r="O335" s="81"/>
      <c r="P335" s="81">
        <f>'Praroop-20 hindi'!D338</f>
        <v>140</v>
      </c>
      <c r="Q335" s="81">
        <v>3</v>
      </c>
      <c r="R335" s="81"/>
      <c r="S335" s="81">
        <f>'Praroop-20 hindi'!E338</f>
        <v>256</v>
      </c>
      <c r="T335" s="81">
        <v>4</v>
      </c>
      <c r="U335" s="81"/>
      <c r="V335" s="81">
        <f>'Praroop-20 hindi'!F338</f>
        <v>3</v>
      </c>
      <c r="W335" s="81">
        <v>5</v>
      </c>
      <c r="X335" s="81"/>
      <c r="Y335" s="81">
        <f>'Praroop-20 hindi'!G338</f>
        <v>0</v>
      </c>
      <c r="Z335" s="81">
        <v>6</v>
      </c>
      <c r="AA335" s="81"/>
      <c r="AB335" s="81">
        <f>'Praroop-20 hindi'!H338</f>
        <v>0</v>
      </c>
      <c r="AC335" s="81">
        <v>7</v>
      </c>
      <c r="AD335" s="81"/>
      <c r="AE335" s="81">
        <f>'Praroop-20 hindi'!I338</f>
        <v>0</v>
      </c>
      <c r="AF335" s="81">
        <v>8</v>
      </c>
      <c r="AG335" s="81"/>
      <c r="AH335" s="81">
        <f>'Praroop-20 hindi'!J338</f>
        <v>0</v>
      </c>
      <c r="AI335" s="81">
        <v>9</v>
      </c>
      <c r="AJ335" s="81"/>
      <c r="AK335" s="81">
        <f>'Praroop-20 hindi'!K338</f>
        <v>0</v>
      </c>
      <c r="AL335" s="81">
        <v>10</v>
      </c>
      <c r="AM335" s="81"/>
      <c r="AN335" s="81">
        <f>'Praroop-20 hindi'!L338</f>
        <v>0</v>
      </c>
      <c r="AO335" s="81">
        <v>11</v>
      </c>
      <c r="AP335" s="81"/>
      <c r="AQ335" s="81">
        <f>'Praroop-20 hindi'!M338</f>
        <v>0</v>
      </c>
      <c r="AR335" s="81">
        <f t="shared" si="11"/>
        <v>404</v>
      </c>
    </row>
    <row r="336" spans="1:44" ht="25.5">
      <c r="A336" s="81">
        <v>64</v>
      </c>
      <c r="B336" s="41">
        <v>330</v>
      </c>
      <c r="C336" s="113" t="s">
        <v>455</v>
      </c>
      <c r="D336" s="117">
        <v>606</v>
      </c>
      <c r="E336" s="110">
        <v>207</v>
      </c>
      <c r="F336" s="110">
        <v>189</v>
      </c>
      <c r="G336" s="110">
        <v>0</v>
      </c>
      <c r="H336" s="111">
        <f t="shared" si="10"/>
        <v>396</v>
      </c>
      <c r="I336" s="112">
        <v>352</v>
      </c>
      <c r="J336" s="110">
        <v>0</v>
      </c>
      <c r="K336" s="110">
        <v>1</v>
      </c>
      <c r="L336" s="81"/>
      <c r="M336" s="81">
        <f>'Praroop-20 hindi'!C339</f>
        <v>1</v>
      </c>
      <c r="N336" s="81">
        <v>2</v>
      </c>
      <c r="O336" s="81"/>
      <c r="P336" s="81">
        <f>'Praroop-20 hindi'!D339</f>
        <v>69</v>
      </c>
      <c r="Q336" s="81">
        <v>3</v>
      </c>
      <c r="R336" s="81"/>
      <c r="S336" s="81">
        <f>'Praroop-20 hindi'!E339</f>
        <v>321</v>
      </c>
      <c r="T336" s="81">
        <v>4</v>
      </c>
      <c r="U336" s="81"/>
      <c r="V336" s="81">
        <f>'Praroop-20 hindi'!F339</f>
        <v>1</v>
      </c>
      <c r="W336" s="81">
        <v>5</v>
      </c>
      <c r="X336" s="81"/>
      <c r="Y336" s="81">
        <f>'Praroop-20 hindi'!G339</f>
        <v>0</v>
      </c>
      <c r="Z336" s="81">
        <v>6</v>
      </c>
      <c r="AA336" s="81"/>
      <c r="AB336" s="81">
        <f>'Praroop-20 hindi'!H339</f>
        <v>0</v>
      </c>
      <c r="AC336" s="81">
        <v>7</v>
      </c>
      <c r="AD336" s="81"/>
      <c r="AE336" s="81">
        <f>'Praroop-20 hindi'!I339</f>
        <v>0</v>
      </c>
      <c r="AF336" s="81">
        <v>8</v>
      </c>
      <c r="AG336" s="81"/>
      <c r="AH336" s="81">
        <f>'Praroop-20 hindi'!J339</f>
        <v>0</v>
      </c>
      <c r="AI336" s="81">
        <v>9</v>
      </c>
      <c r="AJ336" s="81"/>
      <c r="AK336" s="81">
        <f>'Praroop-20 hindi'!K339</f>
        <v>0</v>
      </c>
      <c r="AL336" s="81">
        <v>10</v>
      </c>
      <c r="AM336" s="81"/>
      <c r="AN336" s="81">
        <f>'Praroop-20 hindi'!L339</f>
        <v>2</v>
      </c>
      <c r="AO336" s="81">
        <v>11</v>
      </c>
      <c r="AP336" s="81"/>
      <c r="AQ336" s="81">
        <f>'Praroop-20 hindi'!M339</f>
        <v>0</v>
      </c>
      <c r="AR336" s="81">
        <f t="shared" si="11"/>
        <v>394</v>
      </c>
    </row>
    <row r="337" spans="1:44" ht="25.5">
      <c r="A337" s="81">
        <v>64</v>
      </c>
      <c r="B337" s="41">
        <v>331</v>
      </c>
      <c r="C337" s="113" t="s">
        <v>456</v>
      </c>
      <c r="D337" s="117">
        <v>822</v>
      </c>
      <c r="E337" s="110">
        <v>290</v>
      </c>
      <c r="F337" s="110">
        <v>257</v>
      </c>
      <c r="G337" s="110">
        <v>0</v>
      </c>
      <c r="H337" s="111">
        <f t="shared" si="10"/>
        <v>547</v>
      </c>
      <c r="I337" s="112">
        <v>500</v>
      </c>
      <c r="J337" s="110">
        <v>0</v>
      </c>
      <c r="K337" s="110">
        <v>1</v>
      </c>
      <c r="L337" s="81"/>
      <c r="M337" s="81">
        <f>'Praroop-20 hindi'!C340</f>
        <v>162</v>
      </c>
      <c r="N337" s="81">
        <v>2</v>
      </c>
      <c r="O337" s="81"/>
      <c r="P337" s="81">
        <f>'Praroop-20 hindi'!D340</f>
        <v>62</v>
      </c>
      <c r="Q337" s="81">
        <v>3</v>
      </c>
      <c r="R337" s="81"/>
      <c r="S337" s="81">
        <f>'Praroop-20 hindi'!E340</f>
        <v>298</v>
      </c>
      <c r="T337" s="81">
        <v>4</v>
      </c>
      <c r="U337" s="81"/>
      <c r="V337" s="81">
        <f>'Praroop-20 hindi'!F340</f>
        <v>5</v>
      </c>
      <c r="W337" s="81">
        <v>5</v>
      </c>
      <c r="X337" s="81"/>
      <c r="Y337" s="81">
        <f>'Praroop-20 hindi'!G340</f>
        <v>2</v>
      </c>
      <c r="Z337" s="81">
        <v>6</v>
      </c>
      <c r="AA337" s="81"/>
      <c r="AB337" s="81">
        <f>'Praroop-20 hindi'!H340</f>
        <v>1</v>
      </c>
      <c r="AC337" s="81">
        <v>7</v>
      </c>
      <c r="AD337" s="81"/>
      <c r="AE337" s="81">
        <f>'Praroop-20 hindi'!I340</f>
        <v>0</v>
      </c>
      <c r="AF337" s="81">
        <v>8</v>
      </c>
      <c r="AG337" s="81"/>
      <c r="AH337" s="81">
        <f>'Praroop-20 hindi'!J340</f>
        <v>3</v>
      </c>
      <c r="AI337" s="81">
        <v>9</v>
      </c>
      <c r="AJ337" s="81"/>
      <c r="AK337" s="81">
        <f>'Praroop-20 hindi'!K340</f>
        <v>1</v>
      </c>
      <c r="AL337" s="81">
        <v>10</v>
      </c>
      <c r="AM337" s="81"/>
      <c r="AN337" s="81">
        <f>'Praroop-20 hindi'!L340</f>
        <v>2</v>
      </c>
      <c r="AO337" s="81">
        <v>11</v>
      </c>
      <c r="AP337" s="81"/>
      <c r="AQ337" s="81">
        <f>'Praroop-20 hindi'!M340</f>
        <v>2</v>
      </c>
      <c r="AR337" s="81">
        <f t="shared" si="11"/>
        <v>538</v>
      </c>
    </row>
    <row r="338" spans="1:44" ht="25.5">
      <c r="A338" s="81">
        <v>64</v>
      </c>
      <c r="B338" s="41">
        <v>332</v>
      </c>
      <c r="C338" s="113" t="s">
        <v>457</v>
      </c>
      <c r="D338" s="117">
        <v>627</v>
      </c>
      <c r="E338" s="110">
        <v>200</v>
      </c>
      <c r="F338" s="110">
        <v>170</v>
      </c>
      <c r="G338" s="110">
        <v>0</v>
      </c>
      <c r="H338" s="111">
        <f t="shared" si="10"/>
        <v>370</v>
      </c>
      <c r="I338" s="112">
        <v>370</v>
      </c>
      <c r="J338" s="110">
        <v>0</v>
      </c>
      <c r="K338" s="110">
        <v>1</v>
      </c>
      <c r="L338" s="81"/>
      <c r="M338" s="81">
        <f>'Praroop-20 hindi'!C341</f>
        <v>181</v>
      </c>
      <c r="N338" s="81">
        <v>2</v>
      </c>
      <c r="O338" s="81"/>
      <c r="P338" s="81">
        <f>'Praroop-20 hindi'!D341</f>
        <v>35</v>
      </c>
      <c r="Q338" s="81">
        <v>3</v>
      </c>
      <c r="R338" s="81"/>
      <c r="S338" s="81">
        <f>'Praroop-20 hindi'!E341</f>
        <v>142</v>
      </c>
      <c r="T338" s="81">
        <v>4</v>
      </c>
      <c r="U338" s="81"/>
      <c r="V338" s="81">
        <f>'Praroop-20 hindi'!F341</f>
        <v>3</v>
      </c>
      <c r="W338" s="81">
        <v>5</v>
      </c>
      <c r="X338" s="81"/>
      <c r="Y338" s="81">
        <f>'Praroop-20 hindi'!G341</f>
        <v>1</v>
      </c>
      <c r="Z338" s="81">
        <v>6</v>
      </c>
      <c r="AA338" s="81"/>
      <c r="AB338" s="81">
        <f>'Praroop-20 hindi'!H341</f>
        <v>0</v>
      </c>
      <c r="AC338" s="81">
        <v>7</v>
      </c>
      <c r="AD338" s="81"/>
      <c r="AE338" s="81">
        <f>'Praroop-20 hindi'!I341</f>
        <v>0</v>
      </c>
      <c r="AF338" s="81">
        <v>8</v>
      </c>
      <c r="AG338" s="81"/>
      <c r="AH338" s="81">
        <f>'Praroop-20 hindi'!J341</f>
        <v>0</v>
      </c>
      <c r="AI338" s="81">
        <v>9</v>
      </c>
      <c r="AJ338" s="81"/>
      <c r="AK338" s="81">
        <f>'Praroop-20 hindi'!K341</f>
        <v>2</v>
      </c>
      <c r="AL338" s="81">
        <v>10</v>
      </c>
      <c r="AM338" s="81"/>
      <c r="AN338" s="81">
        <f>'Praroop-20 hindi'!L341</f>
        <v>1</v>
      </c>
      <c r="AO338" s="81">
        <v>11</v>
      </c>
      <c r="AP338" s="81"/>
      <c r="AQ338" s="81">
        <f>'Praroop-20 hindi'!M341</f>
        <v>0</v>
      </c>
      <c r="AR338" s="81">
        <f t="shared" si="11"/>
        <v>365</v>
      </c>
    </row>
    <row r="339" spans="1:44" ht="25.5">
      <c r="A339" s="81">
        <v>64</v>
      </c>
      <c r="B339" s="41">
        <v>333</v>
      </c>
      <c r="C339" s="113" t="s">
        <v>458</v>
      </c>
      <c r="D339" s="117">
        <v>843</v>
      </c>
      <c r="E339" s="110">
        <v>325</v>
      </c>
      <c r="F339" s="110">
        <v>285</v>
      </c>
      <c r="G339" s="110">
        <v>0</v>
      </c>
      <c r="H339" s="111">
        <f t="shared" si="10"/>
        <v>610</v>
      </c>
      <c r="I339" s="112">
        <v>520</v>
      </c>
      <c r="J339" s="110">
        <v>0</v>
      </c>
      <c r="K339" s="110">
        <v>1</v>
      </c>
      <c r="L339" s="81"/>
      <c r="M339" s="81">
        <f>'Praroop-20 hindi'!C342</f>
        <v>492</v>
      </c>
      <c r="N339" s="81">
        <v>2</v>
      </c>
      <c r="O339" s="81"/>
      <c r="P339" s="81">
        <f>'Praroop-20 hindi'!D342</f>
        <v>15</v>
      </c>
      <c r="Q339" s="81">
        <v>3</v>
      </c>
      <c r="R339" s="81"/>
      <c r="S339" s="81">
        <f>'Praroop-20 hindi'!E342</f>
        <v>85</v>
      </c>
      <c r="T339" s="81">
        <v>4</v>
      </c>
      <c r="U339" s="81"/>
      <c r="V339" s="81">
        <f>'Praroop-20 hindi'!F342</f>
        <v>2</v>
      </c>
      <c r="W339" s="81">
        <v>5</v>
      </c>
      <c r="X339" s="81"/>
      <c r="Y339" s="81">
        <f>'Praroop-20 hindi'!G342</f>
        <v>0</v>
      </c>
      <c r="Z339" s="81">
        <v>6</v>
      </c>
      <c r="AA339" s="81"/>
      <c r="AB339" s="81">
        <f>'Praroop-20 hindi'!H342</f>
        <v>0</v>
      </c>
      <c r="AC339" s="81">
        <v>7</v>
      </c>
      <c r="AD339" s="81"/>
      <c r="AE339" s="81">
        <f>'Praroop-20 hindi'!I342</f>
        <v>0</v>
      </c>
      <c r="AF339" s="81">
        <v>8</v>
      </c>
      <c r="AG339" s="81"/>
      <c r="AH339" s="81">
        <f>'Praroop-20 hindi'!J342</f>
        <v>1</v>
      </c>
      <c r="AI339" s="81">
        <v>9</v>
      </c>
      <c r="AJ339" s="81"/>
      <c r="AK339" s="81">
        <f>'Praroop-20 hindi'!K342</f>
        <v>1</v>
      </c>
      <c r="AL339" s="81">
        <v>10</v>
      </c>
      <c r="AM339" s="81"/>
      <c r="AN339" s="81">
        <f>'Praroop-20 hindi'!L342</f>
        <v>0</v>
      </c>
      <c r="AO339" s="81">
        <v>11</v>
      </c>
      <c r="AP339" s="81"/>
      <c r="AQ339" s="81">
        <f>'Praroop-20 hindi'!M342</f>
        <v>2</v>
      </c>
      <c r="AR339" s="81">
        <f t="shared" si="11"/>
        <v>598</v>
      </c>
    </row>
    <row r="340" spans="1:44" ht="25.5">
      <c r="A340" s="81">
        <v>64</v>
      </c>
      <c r="B340" s="41">
        <v>334</v>
      </c>
      <c r="C340" s="113" t="s">
        <v>459</v>
      </c>
      <c r="D340" s="117">
        <v>625</v>
      </c>
      <c r="E340" s="110">
        <v>266</v>
      </c>
      <c r="F340" s="110">
        <v>213</v>
      </c>
      <c r="G340" s="110">
        <v>0</v>
      </c>
      <c r="H340" s="111">
        <f t="shared" si="10"/>
        <v>479</v>
      </c>
      <c r="I340" s="112">
        <v>451</v>
      </c>
      <c r="J340" s="110">
        <v>0</v>
      </c>
      <c r="K340" s="110">
        <v>1</v>
      </c>
      <c r="L340" s="81"/>
      <c r="M340" s="81">
        <f>'Praroop-20 hindi'!C343</f>
        <v>69</v>
      </c>
      <c r="N340" s="81">
        <v>2</v>
      </c>
      <c r="O340" s="81"/>
      <c r="P340" s="81">
        <f>'Praroop-20 hindi'!D343</f>
        <v>320</v>
      </c>
      <c r="Q340" s="81">
        <v>3</v>
      </c>
      <c r="R340" s="81"/>
      <c r="S340" s="81">
        <f>'Praroop-20 hindi'!E343</f>
        <v>79</v>
      </c>
      <c r="T340" s="81">
        <v>4</v>
      </c>
      <c r="U340" s="81"/>
      <c r="V340" s="81">
        <f>'Praroop-20 hindi'!F343</f>
        <v>1</v>
      </c>
      <c r="W340" s="81">
        <v>5</v>
      </c>
      <c r="X340" s="81"/>
      <c r="Y340" s="81">
        <f>'Praroop-20 hindi'!G343</f>
        <v>0</v>
      </c>
      <c r="Z340" s="81">
        <v>6</v>
      </c>
      <c r="AA340" s="81"/>
      <c r="AB340" s="81">
        <f>'Praroop-20 hindi'!H343</f>
        <v>0</v>
      </c>
      <c r="AC340" s="81">
        <v>7</v>
      </c>
      <c r="AD340" s="81"/>
      <c r="AE340" s="81">
        <f>'Praroop-20 hindi'!I343</f>
        <v>0</v>
      </c>
      <c r="AF340" s="81">
        <v>8</v>
      </c>
      <c r="AG340" s="81"/>
      <c r="AH340" s="81">
        <f>'Praroop-20 hindi'!J343</f>
        <v>1</v>
      </c>
      <c r="AI340" s="81">
        <v>9</v>
      </c>
      <c r="AJ340" s="81"/>
      <c r="AK340" s="81">
        <f>'Praroop-20 hindi'!K343</f>
        <v>2</v>
      </c>
      <c r="AL340" s="81">
        <v>10</v>
      </c>
      <c r="AM340" s="81"/>
      <c r="AN340" s="81">
        <f>'Praroop-20 hindi'!L343</f>
        <v>2</v>
      </c>
      <c r="AO340" s="81">
        <v>11</v>
      </c>
      <c r="AP340" s="81"/>
      <c r="AQ340" s="81">
        <f>'Praroop-20 hindi'!M343</f>
        <v>3</v>
      </c>
      <c r="AR340" s="81">
        <f t="shared" si="11"/>
        <v>477</v>
      </c>
    </row>
    <row r="341" spans="1:44" ht="25.5">
      <c r="A341" s="81">
        <v>64</v>
      </c>
      <c r="B341" s="41">
        <v>335</v>
      </c>
      <c r="C341" s="113" t="s">
        <v>460</v>
      </c>
      <c r="D341" s="117">
        <v>633</v>
      </c>
      <c r="E341" s="110">
        <v>258</v>
      </c>
      <c r="F341" s="110">
        <v>244</v>
      </c>
      <c r="G341" s="110">
        <v>1</v>
      </c>
      <c r="H341" s="111">
        <f t="shared" si="10"/>
        <v>503</v>
      </c>
      <c r="I341" s="112">
        <v>400</v>
      </c>
      <c r="J341" s="110">
        <v>0</v>
      </c>
      <c r="K341" s="110">
        <v>1</v>
      </c>
      <c r="L341" s="81"/>
      <c r="M341" s="81">
        <f>'Praroop-20 hindi'!C344</f>
        <v>320</v>
      </c>
      <c r="N341" s="81">
        <v>2</v>
      </c>
      <c r="O341" s="81"/>
      <c r="P341" s="81">
        <f>'Praroop-20 hindi'!D344</f>
        <v>115</v>
      </c>
      <c r="Q341" s="81">
        <v>3</v>
      </c>
      <c r="R341" s="81"/>
      <c r="S341" s="81">
        <f>'Praroop-20 hindi'!E344</f>
        <v>53</v>
      </c>
      <c r="T341" s="81">
        <v>4</v>
      </c>
      <c r="U341" s="81"/>
      <c r="V341" s="81">
        <f>'Praroop-20 hindi'!F344</f>
        <v>3</v>
      </c>
      <c r="W341" s="81">
        <v>5</v>
      </c>
      <c r="X341" s="81"/>
      <c r="Y341" s="81">
        <f>'Praroop-20 hindi'!G344</f>
        <v>0</v>
      </c>
      <c r="Z341" s="81">
        <v>6</v>
      </c>
      <c r="AA341" s="81"/>
      <c r="AB341" s="81">
        <f>'Praroop-20 hindi'!H344</f>
        <v>0</v>
      </c>
      <c r="AC341" s="81">
        <v>7</v>
      </c>
      <c r="AD341" s="81"/>
      <c r="AE341" s="81">
        <f>'Praroop-20 hindi'!I344</f>
        <v>0</v>
      </c>
      <c r="AF341" s="81">
        <v>8</v>
      </c>
      <c r="AG341" s="81"/>
      <c r="AH341" s="81">
        <f>'Praroop-20 hindi'!J344</f>
        <v>1</v>
      </c>
      <c r="AI341" s="81">
        <v>9</v>
      </c>
      <c r="AJ341" s="81"/>
      <c r="AK341" s="81">
        <f>'Praroop-20 hindi'!K344</f>
        <v>2</v>
      </c>
      <c r="AL341" s="81">
        <v>10</v>
      </c>
      <c r="AM341" s="81"/>
      <c r="AN341" s="81">
        <f>'Praroop-20 hindi'!L344</f>
        <v>1</v>
      </c>
      <c r="AO341" s="81">
        <v>11</v>
      </c>
      <c r="AP341" s="81"/>
      <c r="AQ341" s="81">
        <f>'Praroop-20 hindi'!M344</f>
        <v>0</v>
      </c>
      <c r="AR341" s="81">
        <f t="shared" si="11"/>
        <v>495</v>
      </c>
    </row>
    <row r="342" spans="1:44" ht="25.5">
      <c r="A342" s="81">
        <v>64</v>
      </c>
      <c r="B342" s="41">
        <v>336</v>
      </c>
      <c r="C342" s="113" t="s">
        <v>461</v>
      </c>
      <c r="D342" s="117">
        <v>1114</v>
      </c>
      <c r="E342" s="110">
        <v>383</v>
      </c>
      <c r="F342" s="110">
        <v>348</v>
      </c>
      <c r="G342" s="110">
        <v>0</v>
      </c>
      <c r="H342" s="111">
        <f t="shared" si="10"/>
        <v>731</v>
      </c>
      <c r="I342" s="112">
        <v>642</v>
      </c>
      <c r="J342" s="110">
        <v>0</v>
      </c>
      <c r="K342" s="110">
        <v>1</v>
      </c>
      <c r="L342" s="81"/>
      <c r="M342" s="81">
        <f>'Praroop-20 hindi'!C345</f>
        <v>80</v>
      </c>
      <c r="N342" s="81">
        <v>2</v>
      </c>
      <c r="O342" s="81"/>
      <c r="P342" s="81">
        <f>'Praroop-20 hindi'!D345</f>
        <v>236</v>
      </c>
      <c r="Q342" s="81">
        <v>3</v>
      </c>
      <c r="R342" s="81"/>
      <c r="S342" s="81">
        <f>'Praroop-20 hindi'!E345</f>
        <v>392</v>
      </c>
      <c r="T342" s="81">
        <v>4</v>
      </c>
      <c r="U342" s="81"/>
      <c r="V342" s="81">
        <f>'Praroop-20 hindi'!F345</f>
        <v>3</v>
      </c>
      <c r="W342" s="81">
        <v>5</v>
      </c>
      <c r="X342" s="81"/>
      <c r="Y342" s="81">
        <f>'Praroop-20 hindi'!G345</f>
        <v>1</v>
      </c>
      <c r="Z342" s="81">
        <v>6</v>
      </c>
      <c r="AA342" s="81"/>
      <c r="AB342" s="81">
        <f>'Praroop-20 hindi'!H345</f>
        <v>2</v>
      </c>
      <c r="AC342" s="81">
        <v>7</v>
      </c>
      <c r="AD342" s="81"/>
      <c r="AE342" s="81">
        <f>'Praroop-20 hindi'!I345</f>
        <v>2</v>
      </c>
      <c r="AF342" s="81">
        <v>8</v>
      </c>
      <c r="AG342" s="81"/>
      <c r="AH342" s="81">
        <f>'Praroop-20 hindi'!J345</f>
        <v>2</v>
      </c>
      <c r="AI342" s="81">
        <v>9</v>
      </c>
      <c r="AJ342" s="81"/>
      <c r="AK342" s="81">
        <f>'Praroop-20 hindi'!K345</f>
        <v>1</v>
      </c>
      <c r="AL342" s="81">
        <v>10</v>
      </c>
      <c r="AM342" s="81"/>
      <c r="AN342" s="81">
        <f>'Praroop-20 hindi'!L345</f>
        <v>7</v>
      </c>
      <c r="AO342" s="81">
        <v>11</v>
      </c>
      <c r="AP342" s="81"/>
      <c r="AQ342" s="81">
        <f>'Praroop-20 hindi'!M345</f>
        <v>2</v>
      </c>
      <c r="AR342" s="81">
        <f t="shared" si="11"/>
        <v>728</v>
      </c>
    </row>
    <row r="343" spans="1:44" ht="25.5">
      <c r="A343" s="81">
        <v>64</v>
      </c>
      <c r="B343" s="41">
        <v>337</v>
      </c>
      <c r="C343" s="113" t="s">
        <v>462</v>
      </c>
      <c r="D343" s="117">
        <v>693</v>
      </c>
      <c r="E343" s="110">
        <v>246</v>
      </c>
      <c r="F343" s="110">
        <v>229</v>
      </c>
      <c r="G343" s="110">
        <v>0</v>
      </c>
      <c r="H343" s="111">
        <f t="shared" si="10"/>
        <v>475</v>
      </c>
      <c r="I343" s="112">
        <v>475</v>
      </c>
      <c r="J343" s="110">
        <v>0</v>
      </c>
      <c r="K343" s="110">
        <v>1</v>
      </c>
      <c r="L343" s="81"/>
      <c r="M343" s="81">
        <f>'Praroop-20 hindi'!C346</f>
        <v>63</v>
      </c>
      <c r="N343" s="81">
        <v>2</v>
      </c>
      <c r="O343" s="81"/>
      <c r="P343" s="81">
        <f>'Praroop-20 hindi'!D346</f>
        <v>118</v>
      </c>
      <c r="Q343" s="81">
        <v>3</v>
      </c>
      <c r="R343" s="81"/>
      <c r="S343" s="81">
        <f>'Praroop-20 hindi'!E346</f>
        <v>286</v>
      </c>
      <c r="T343" s="81">
        <v>4</v>
      </c>
      <c r="U343" s="81"/>
      <c r="V343" s="81">
        <f>'Praroop-20 hindi'!F346</f>
        <v>5</v>
      </c>
      <c r="W343" s="81">
        <v>5</v>
      </c>
      <c r="X343" s="81"/>
      <c r="Y343" s="81">
        <f>'Praroop-20 hindi'!G346</f>
        <v>0</v>
      </c>
      <c r="Z343" s="81">
        <v>6</v>
      </c>
      <c r="AA343" s="81"/>
      <c r="AB343" s="81">
        <f>'Praroop-20 hindi'!H346</f>
        <v>0</v>
      </c>
      <c r="AC343" s="81">
        <v>7</v>
      </c>
      <c r="AD343" s="81"/>
      <c r="AE343" s="81">
        <f>'Praroop-20 hindi'!I346</f>
        <v>0</v>
      </c>
      <c r="AF343" s="81">
        <v>8</v>
      </c>
      <c r="AG343" s="81"/>
      <c r="AH343" s="81">
        <f>'Praroop-20 hindi'!J346</f>
        <v>0</v>
      </c>
      <c r="AI343" s="81">
        <v>9</v>
      </c>
      <c r="AJ343" s="81"/>
      <c r="AK343" s="81">
        <f>'Praroop-20 hindi'!K346</f>
        <v>0</v>
      </c>
      <c r="AL343" s="81">
        <v>10</v>
      </c>
      <c r="AM343" s="81"/>
      <c r="AN343" s="81">
        <f>'Praroop-20 hindi'!L346</f>
        <v>2</v>
      </c>
      <c r="AO343" s="81">
        <v>11</v>
      </c>
      <c r="AP343" s="81"/>
      <c r="AQ343" s="81">
        <f>'Praroop-20 hindi'!M346</f>
        <v>1</v>
      </c>
      <c r="AR343" s="81">
        <f t="shared" si="11"/>
        <v>475</v>
      </c>
    </row>
    <row r="344" spans="1:44" ht="25.5">
      <c r="A344" s="81">
        <v>64</v>
      </c>
      <c r="B344" s="41">
        <v>338</v>
      </c>
      <c r="C344" s="113" t="s">
        <v>463</v>
      </c>
      <c r="D344" s="117">
        <v>989</v>
      </c>
      <c r="E344" s="110">
        <v>344</v>
      </c>
      <c r="F344" s="110">
        <v>306</v>
      </c>
      <c r="G344" s="110">
        <v>0</v>
      </c>
      <c r="H344" s="111">
        <f t="shared" si="10"/>
        <v>650</v>
      </c>
      <c r="I344" s="112">
        <v>650</v>
      </c>
      <c r="J344" s="110">
        <v>0</v>
      </c>
      <c r="K344" s="110">
        <v>1</v>
      </c>
      <c r="L344" s="81"/>
      <c r="M344" s="81">
        <f>'Praroop-20 hindi'!C347</f>
        <v>27</v>
      </c>
      <c r="N344" s="81">
        <v>2</v>
      </c>
      <c r="O344" s="81"/>
      <c r="P344" s="81">
        <f>'Praroop-20 hindi'!D347</f>
        <v>279</v>
      </c>
      <c r="Q344" s="81">
        <v>3</v>
      </c>
      <c r="R344" s="81"/>
      <c r="S344" s="81">
        <f>'Praroop-20 hindi'!E347</f>
        <v>313</v>
      </c>
      <c r="T344" s="81">
        <v>4</v>
      </c>
      <c r="U344" s="81"/>
      <c r="V344" s="81">
        <f>'Praroop-20 hindi'!F347</f>
        <v>12</v>
      </c>
      <c r="W344" s="81">
        <v>5</v>
      </c>
      <c r="X344" s="81"/>
      <c r="Y344" s="81">
        <f>'Praroop-20 hindi'!G347</f>
        <v>1</v>
      </c>
      <c r="Z344" s="81">
        <v>6</v>
      </c>
      <c r="AA344" s="81"/>
      <c r="AB344" s="81">
        <f>'Praroop-20 hindi'!H347</f>
        <v>1</v>
      </c>
      <c r="AC344" s="81">
        <v>7</v>
      </c>
      <c r="AD344" s="81"/>
      <c r="AE344" s="81">
        <f>'Praroop-20 hindi'!I347</f>
        <v>2</v>
      </c>
      <c r="AF344" s="81">
        <v>8</v>
      </c>
      <c r="AG344" s="81"/>
      <c r="AH344" s="81">
        <f>'Praroop-20 hindi'!J347</f>
        <v>0</v>
      </c>
      <c r="AI344" s="81">
        <v>9</v>
      </c>
      <c r="AJ344" s="81"/>
      <c r="AK344" s="81">
        <f>'Praroop-20 hindi'!K347</f>
        <v>0</v>
      </c>
      <c r="AL344" s="81">
        <v>10</v>
      </c>
      <c r="AM344" s="81"/>
      <c r="AN344" s="81">
        <f>'Praroop-20 hindi'!L347</f>
        <v>4</v>
      </c>
      <c r="AO344" s="81">
        <v>11</v>
      </c>
      <c r="AP344" s="81"/>
      <c r="AQ344" s="81">
        <f>'Praroop-20 hindi'!M347</f>
        <v>5</v>
      </c>
      <c r="AR344" s="81">
        <f t="shared" si="11"/>
        <v>644</v>
      </c>
    </row>
    <row r="345" spans="1:44" ht="25.5">
      <c r="A345" s="81">
        <v>64</v>
      </c>
      <c r="B345" s="41">
        <v>339</v>
      </c>
      <c r="C345" s="113" t="s">
        <v>464</v>
      </c>
      <c r="D345" s="117">
        <v>1157</v>
      </c>
      <c r="E345" s="110">
        <v>391</v>
      </c>
      <c r="F345" s="110">
        <v>307</v>
      </c>
      <c r="G345" s="110">
        <v>0</v>
      </c>
      <c r="H345" s="111">
        <f t="shared" si="10"/>
        <v>698</v>
      </c>
      <c r="I345" s="112">
        <v>698</v>
      </c>
      <c r="J345" s="110">
        <v>0</v>
      </c>
      <c r="K345" s="110">
        <v>1</v>
      </c>
      <c r="L345" s="81"/>
      <c r="M345" s="81">
        <f>'Praroop-20 hindi'!C348</f>
        <v>118</v>
      </c>
      <c r="N345" s="81">
        <v>2</v>
      </c>
      <c r="O345" s="81"/>
      <c r="P345" s="81">
        <f>'Praroop-20 hindi'!D348</f>
        <v>385</v>
      </c>
      <c r="Q345" s="81">
        <v>3</v>
      </c>
      <c r="R345" s="81"/>
      <c r="S345" s="81">
        <f>'Praroop-20 hindi'!E348</f>
        <v>172</v>
      </c>
      <c r="T345" s="81">
        <v>4</v>
      </c>
      <c r="U345" s="81"/>
      <c r="V345" s="81">
        <f>'Praroop-20 hindi'!F348</f>
        <v>1</v>
      </c>
      <c r="W345" s="81">
        <v>5</v>
      </c>
      <c r="X345" s="81"/>
      <c r="Y345" s="81">
        <f>'Praroop-20 hindi'!G348</f>
        <v>3</v>
      </c>
      <c r="Z345" s="81">
        <v>6</v>
      </c>
      <c r="AA345" s="81"/>
      <c r="AB345" s="81">
        <f>'Praroop-20 hindi'!H348</f>
        <v>0</v>
      </c>
      <c r="AC345" s="81">
        <v>7</v>
      </c>
      <c r="AD345" s="81"/>
      <c r="AE345" s="81">
        <f>'Praroop-20 hindi'!I348</f>
        <v>0</v>
      </c>
      <c r="AF345" s="81">
        <v>8</v>
      </c>
      <c r="AG345" s="81"/>
      <c r="AH345" s="81">
        <f>'Praroop-20 hindi'!J348</f>
        <v>1</v>
      </c>
      <c r="AI345" s="81">
        <v>9</v>
      </c>
      <c r="AJ345" s="81"/>
      <c r="AK345" s="81">
        <f>'Praroop-20 hindi'!K348</f>
        <v>4</v>
      </c>
      <c r="AL345" s="81">
        <v>10</v>
      </c>
      <c r="AM345" s="81"/>
      <c r="AN345" s="81">
        <f>'Praroop-20 hindi'!L348</f>
        <v>5</v>
      </c>
      <c r="AO345" s="81">
        <v>11</v>
      </c>
      <c r="AP345" s="81"/>
      <c r="AQ345" s="81">
        <f>'Praroop-20 hindi'!M348</f>
        <v>7</v>
      </c>
      <c r="AR345" s="81">
        <f t="shared" si="11"/>
        <v>696</v>
      </c>
    </row>
    <row r="346" spans="1:44" ht="25.5">
      <c r="A346" s="81">
        <v>64</v>
      </c>
      <c r="B346" s="41">
        <v>340</v>
      </c>
      <c r="C346" s="113" t="s">
        <v>465</v>
      </c>
      <c r="D346" s="117">
        <v>1098</v>
      </c>
      <c r="E346" s="110">
        <v>419</v>
      </c>
      <c r="F346" s="110">
        <v>321</v>
      </c>
      <c r="G346" s="110">
        <v>0</v>
      </c>
      <c r="H346" s="111">
        <f t="shared" si="10"/>
        <v>740</v>
      </c>
      <c r="I346" s="112">
        <v>677</v>
      </c>
      <c r="J346" s="110">
        <v>0</v>
      </c>
      <c r="K346" s="110">
        <v>1</v>
      </c>
      <c r="L346" s="81"/>
      <c r="M346" s="81">
        <f>'Praroop-20 hindi'!C349</f>
        <v>183</v>
      </c>
      <c r="N346" s="81">
        <v>2</v>
      </c>
      <c r="O346" s="81"/>
      <c r="P346" s="81">
        <f>'Praroop-20 hindi'!D349</f>
        <v>500</v>
      </c>
      <c r="Q346" s="81">
        <v>3</v>
      </c>
      <c r="R346" s="81"/>
      <c r="S346" s="81">
        <f>'Praroop-20 hindi'!E349</f>
        <v>30</v>
      </c>
      <c r="T346" s="81">
        <v>4</v>
      </c>
      <c r="U346" s="81"/>
      <c r="V346" s="81">
        <f>'Praroop-20 hindi'!F349</f>
        <v>6</v>
      </c>
      <c r="W346" s="81">
        <v>5</v>
      </c>
      <c r="X346" s="81"/>
      <c r="Y346" s="81">
        <f>'Praroop-20 hindi'!G349</f>
        <v>2</v>
      </c>
      <c r="Z346" s="81">
        <v>6</v>
      </c>
      <c r="AA346" s="81"/>
      <c r="AB346" s="81">
        <f>'Praroop-20 hindi'!H349</f>
        <v>1</v>
      </c>
      <c r="AC346" s="81">
        <v>7</v>
      </c>
      <c r="AD346" s="81"/>
      <c r="AE346" s="81">
        <f>'Praroop-20 hindi'!I349</f>
        <v>2</v>
      </c>
      <c r="AF346" s="81">
        <v>8</v>
      </c>
      <c r="AG346" s="81"/>
      <c r="AH346" s="81">
        <f>'Praroop-20 hindi'!J349</f>
        <v>0</v>
      </c>
      <c r="AI346" s="81">
        <v>9</v>
      </c>
      <c r="AJ346" s="81"/>
      <c r="AK346" s="81">
        <f>'Praroop-20 hindi'!K349</f>
        <v>3</v>
      </c>
      <c r="AL346" s="81">
        <v>10</v>
      </c>
      <c r="AM346" s="81"/>
      <c r="AN346" s="81">
        <f>'Praroop-20 hindi'!L349</f>
        <v>6</v>
      </c>
      <c r="AO346" s="81">
        <v>11</v>
      </c>
      <c r="AP346" s="81"/>
      <c r="AQ346" s="81">
        <f>'Praroop-20 hindi'!M349</f>
        <v>1</v>
      </c>
      <c r="AR346" s="81">
        <f t="shared" si="11"/>
        <v>734</v>
      </c>
    </row>
    <row r="347" spans="1:44" ht="25.5">
      <c r="A347" s="81">
        <v>64</v>
      </c>
      <c r="B347" s="41">
        <v>341</v>
      </c>
      <c r="C347" s="113" t="s">
        <v>466</v>
      </c>
      <c r="D347" s="117">
        <v>1059</v>
      </c>
      <c r="E347" s="110">
        <v>357</v>
      </c>
      <c r="F347" s="110">
        <v>324</v>
      </c>
      <c r="G347" s="110">
        <v>0</v>
      </c>
      <c r="H347" s="111">
        <f t="shared" si="10"/>
        <v>681</v>
      </c>
      <c r="I347" s="112">
        <v>570</v>
      </c>
      <c r="J347" s="110">
        <v>0</v>
      </c>
      <c r="K347" s="110">
        <v>1</v>
      </c>
      <c r="L347" s="81"/>
      <c r="M347" s="81">
        <f>'Praroop-20 hindi'!C350</f>
        <v>170</v>
      </c>
      <c r="N347" s="81">
        <v>2</v>
      </c>
      <c r="O347" s="81"/>
      <c r="P347" s="81">
        <f>'Praroop-20 hindi'!D350</f>
        <v>445</v>
      </c>
      <c r="Q347" s="81">
        <v>3</v>
      </c>
      <c r="R347" s="81"/>
      <c r="S347" s="81">
        <f>'Praroop-20 hindi'!E350</f>
        <v>51</v>
      </c>
      <c r="T347" s="81">
        <v>4</v>
      </c>
      <c r="U347" s="81"/>
      <c r="V347" s="81">
        <f>'Praroop-20 hindi'!F350</f>
        <v>4</v>
      </c>
      <c r="W347" s="81">
        <v>5</v>
      </c>
      <c r="X347" s="81"/>
      <c r="Y347" s="81">
        <f>'Praroop-20 hindi'!G350</f>
        <v>1</v>
      </c>
      <c r="Z347" s="81">
        <v>6</v>
      </c>
      <c r="AA347" s="81"/>
      <c r="AB347" s="81">
        <f>'Praroop-20 hindi'!H350</f>
        <v>1</v>
      </c>
      <c r="AC347" s="81">
        <v>7</v>
      </c>
      <c r="AD347" s="81"/>
      <c r="AE347" s="81">
        <f>'Praroop-20 hindi'!I350</f>
        <v>0</v>
      </c>
      <c r="AF347" s="81">
        <v>8</v>
      </c>
      <c r="AG347" s="81"/>
      <c r="AH347" s="81">
        <f>'Praroop-20 hindi'!J350</f>
        <v>0</v>
      </c>
      <c r="AI347" s="81">
        <v>9</v>
      </c>
      <c r="AJ347" s="81"/>
      <c r="AK347" s="81">
        <f>'Praroop-20 hindi'!K350</f>
        <v>2</v>
      </c>
      <c r="AL347" s="81">
        <v>10</v>
      </c>
      <c r="AM347" s="81"/>
      <c r="AN347" s="81">
        <f>'Praroop-20 hindi'!L350</f>
        <v>1</v>
      </c>
      <c r="AO347" s="81">
        <v>11</v>
      </c>
      <c r="AP347" s="81"/>
      <c r="AQ347" s="81">
        <f>'Praroop-20 hindi'!M350</f>
        <v>0</v>
      </c>
      <c r="AR347" s="81">
        <f t="shared" si="11"/>
        <v>675</v>
      </c>
    </row>
    <row r="348" spans="1:44" ht="25.5">
      <c r="A348" s="81">
        <v>64</v>
      </c>
      <c r="B348" s="41">
        <v>342</v>
      </c>
      <c r="C348" s="113" t="s">
        <v>467</v>
      </c>
      <c r="D348" s="117">
        <v>442</v>
      </c>
      <c r="E348" s="110">
        <v>169</v>
      </c>
      <c r="F348" s="110">
        <v>141</v>
      </c>
      <c r="G348" s="110">
        <v>0</v>
      </c>
      <c r="H348" s="111">
        <f t="shared" si="10"/>
        <v>310</v>
      </c>
      <c r="I348" s="112">
        <v>280</v>
      </c>
      <c r="J348" s="110">
        <v>0</v>
      </c>
      <c r="K348" s="110">
        <v>1</v>
      </c>
      <c r="L348" s="81"/>
      <c r="M348" s="81">
        <f>'Praroop-20 hindi'!C351</f>
        <v>23</v>
      </c>
      <c r="N348" s="81">
        <v>2</v>
      </c>
      <c r="O348" s="81"/>
      <c r="P348" s="81">
        <f>'Praroop-20 hindi'!D351</f>
        <v>206</v>
      </c>
      <c r="Q348" s="81">
        <v>3</v>
      </c>
      <c r="R348" s="81"/>
      <c r="S348" s="81">
        <f>'Praroop-20 hindi'!E351</f>
        <v>73</v>
      </c>
      <c r="T348" s="81">
        <v>4</v>
      </c>
      <c r="U348" s="81"/>
      <c r="V348" s="81">
        <f>'Praroop-20 hindi'!F351</f>
        <v>2</v>
      </c>
      <c r="W348" s="81">
        <v>5</v>
      </c>
      <c r="X348" s="81"/>
      <c r="Y348" s="81">
        <f>'Praroop-20 hindi'!G351</f>
        <v>2</v>
      </c>
      <c r="Z348" s="81">
        <v>6</v>
      </c>
      <c r="AA348" s="81"/>
      <c r="AB348" s="81">
        <f>'Praroop-20 hindi'!H351</f>
        <v>0</v>
      </c>
      <c r="AC348" s="81">
        <v>7</v>
      </c>
      <c r="AD348" s="81"/>
      <c r="AE348" s="81">
        <f>'Praroop-20 hindi'!I351</f>
        <v>0</v>
      </c>
      <c r="AF348" s="81">
        <v>8</v>
      </c>
      <c r="AG348" s="81"/>
      <c r="AH348" s="81">
        <f>'Praroop-20 hindi'!J351</f>
        <v>1</v>
      </c>
      <c r="AI348" s="81">
        <v>9</v>
      </c>
      <c r="AJ348" s="81"/>
      <c r="AK348" s="81">
        <f>'Praroop-20 hindi'!K351</f>
        <v>0</v>
      </c>
      <c r="AL348" s="81">
        <v>10</v>
      </c>
      <c r="AM348" s="81"/>
      <c r="AN348" s="81">
        <f>'Praroop-20 hindi'!L351</f>
        <v>2</v>
      </c>
      <c r="AO348" s="81">
        <v>11</v>
      </c>
      <c r="AP348" s="81"/>
      <c r="AQ348" s="81">
        <f>'Praroop-20 hindi'!M351</f>
        <v>0</v>
      </c>
      <c r="AR348" s="81">
        <f t="shared" si="11"/>
        <v>309</v>
      </c>
    </row>
    <row r="349" spans="1:44">
      <c r="A349" s="81">
        <v>64</v>
      </c>
      <c r="B349" s="41">
        <v>343</v>
      </c>
      <c r="C349" s="116" t="s">
        <v>468</v>
      </c>
      <c r="D349" s="117">
        <v>792</v>
      </c>
      <c r="E349" s="110">
        <v>279</v>
      </c>
      <c r="F349" s="110">
        <v>245</v>
      </c>
      <c r="G349" s="110">
        <v>0</v>
      </c>
      <c r="H349" s="111">
        <f t="shared" si="10"/>
        <v>524</v>
      </c>
      <c r="I349" s="112">
        <v>524</v>
      </c>
      <c r="J349" s="110">
        <v>0</v>
      </c>
      <c r="K349" s="110">
        <v>1</v>
      </c>
      <c r="L349" s="81"/>
      <c r="M349" s="81">
        <f>'Praroop-20 hindi'!C352</f>
        <v>157</v>
      </c>
      <c r="N349" s="81">
        <v>2</v>
      </c>
      <c r="O349" s="81"/>
      <c r="P349" s="81">
        <f>'Praroop-20 hindi'!D352</f>
        <v>44</v>
      </c>
      <c r="Q349" s="81">
        <v>3</v>
      </c>
      <c r="R349" s="81"/>
      <c r="S349" s="81">
        <f>'Praroop-20 hindi'!E352</f>
        <v>313</v>
      </c>
      <c r="T349" s="81">
        <v>4</v>
      </c>
      <c r="U349" s="81"/>
      <c r="V349" s="81">
        <f>'Praroop-20 hindi'!F352</f>
        <v>1</v>
      </c>
      <c r="W349" s="81">
        <v>5</v>
      </c>
      <c r="X349" s="81"/>
      <c r="Y349" s="81">
        <f>'Praroop-20 hindi'!G352</f>
        <v>0</v>
      </c>
      <c r="Z349" s="81">
        <v>6</v>
      </c>
      <c r="AA349" s="81"/>
      <c r="AB349" s="81">
        <f>'Praroop-20 hindi'!H352</f>
        <v>0</v>
      </c>
      <c r="AC349" s="81">
        <v>7</v>
      </c>
      <c r="AD349" s="81"/>
      <c r="AE349" s="81">
        <f>'Praroop-20 hindi'!I352</f>
        <v>0</v>
      </c>
      <c r="AF349" s="81">
        <v>8</v>
      </c>
      <c r="AG349" s="81"/>
      <c r="AH349" s="81">
        <f>'Praroop-20 hindi'!J352</f>
        <v>0</v>
      </c>
      <c r="AI349" s="81">
        <v>9</v>
      </c>
      <c r="AJ349" s="81"/>
      <c r="AK349" s="81">
        <f>'Praroop-20 hindi'!K352</f>
        <v>0</v>
      </c>
      <c r="AL349" s="81">
        <v>10</v>
      </c>
      <c r="AM349" s="81"/>
      <c r="AN349" s="81">
        <f>'Praroop-20 hindi'!L352</f>
        <v>0</v>
      </c>
      <c r="AO349" s="81">
        <v>11</v>
      </c>
      <c r="AP349" s="81"/>
      <c r="AQ349" s="81">
        <f>'Praroop-20 hindi'!M352</f>
        <v>2</v>
      </c>
      <c r="AR349" s="81">
        <f t="shared" si="11"/>
        <v>517</v>
      </c>
    </row>
    <row r="350" spans="1:44" ht="25.5">
      <c r="A350" s="81">
        <v>64</v>
      </c>
      <c r="B350" s="41">
        <v>344</v>
      </c>
      <c r="C350" s="113" t="s">
        <v>469</v>
      </c>
      <c r="D350" s="117">
        <v>715</v>
      </c>
      <c r="E350" s="110">
        <v>291</v>
      </c>
      <c r="F350" s="110">
        <v>248</v>
      </c>
      <c r="G350" s="110">
        <v>0</v>
      </c>
      <c r="H350" s="111">
        <f t="shared" si="10"/>
        <v>539</v>
      </c>
      <c r="I350" s="112">
        <v>539</v>
      </c>
      <c r="J350" s="110">
        <v>0</v>
      </c>
      <c r="K350" s="110">
        <v>1</v>
      </c>
      <c r="L350" s="81"/>
      <c r="M350" s="81">
        <f>'Praroop-20 hindi'!C353</f>
        <v>272</v>
      </c>
      <c r="N350" s="81">
        <v>2</v>
      </c>
      <c r="O350" s="81"/>
      <c r="P350" s="81">
        <f>'Praroop-20 hindi'!D353</f>
        <v>196</v>
      </c>
      <c r="Q350" s="81">
        <v>3</v>
      </c>
      <c r="R350" s="81"/>
      <c r="S350" s="81">
        <f>'Praroop-20 hindi'!E353</f>
        <v>64</v>
      </c>
      <c r="T350" s="81">
        <v>4</v>
      </c>
      <c r="U350" s="81"/>
      <c r="V350" s="81">
        <f>'Praroop-20 hindi'!F353</f>
        <v>2</v>
      </c>
      <c r="W350" s="81">
        <v>5</v>
      </c>
      <c r="X350" s="81"/>
      <c r="Y350" s="81">
        <f>'Praroop-20 hindi'!G353</f>
        <v>0</v>
      </c>
      <c r="Z350" s="81">
        <v>6</v>
      </c>
      <c r="AA350" s="81"/>
      <c r="AB350" s="81">
        <f>'Praroop-20 hindi'!H353</f>
        <v>0</v>
      </c>
      <c r="AC350" s="81">
        <v>7</v>
      </c>
      <c r="AD350" s="81"/>
      <c r="AE350" s="81">
        <f>'Praroop-20 hindi'!I353</f>
        <v>1</v>
      </c>
      <c r="AF350" s="81">
        <v>8</v>
      </c>
      <c r="AG350" s="81"/>
      <c r="AH350" s="81">
        <f>'Praroop-20 hindi'!J353</f>
        <v>0</v>
      </c>
      <c r="AI350" s="81">
        <v>9</v>
      </c>
      <c r="AJ350" s="81"/>
      <c r="AK350" s="81">
        <f>'Praroop-20 hindi'!K353</f>
        <v>0</v>
      </c>
      <c r="AL350" s="81">
        <v>10</v>
      </c>
      <c r="AM350" s="81"/>
      <c r="AN350" s="81">
        <f>'Praroop-20 hindi'!L353</f>
        <v>0</v>
      </c>
      <c r="AO350" s="81">
        <v>11</v>
      </c>
      <c r="AP350" s="81"/>
      <c r="AQ350" s="81">
        <f>'Praroop-20 hindi'!M353</f>
        <v>2</v>
      </c>
      <c r="AR350" s="81">
        <f t="shared" si="11"/>
        <v>537</v>
      </c>
    </row>
    <row r="351" spans="1:44" ht="38.25">
      <c r="A351" s="81">
        <v>64</v>
      </c>
      <c r="B351" s="41">
        <v>345</v>
      </c>
      <c r="C351" s="113" t="s">
        <v>470</v>
      </c>
      <c r="D351" s="117">
        <v>808</v>
      </c>
      <c r="E351" s="110">
        <v>299</v>
      </c>
      <c r="F351" s="110">
        <v>244</v>
      </c>
      <c r="G351" s="110">
        <v>0</v>
      </c>
      <c r="H351" s="111">
        <f t="shared" si="10"/>
        <v>543</v>
      </c>
      <c r="I351" s="112">
        <v>543</v>
      </c>
      <c r="J351" s="110">
        <v>0</v>
      </c>
      <c r="K351" s="110">
        <v>1</v>
      </c>
      <c r="L351" s="81"/>
      <c r="M351" s="81">
        <f>'Praroop-20 hindi'!C354</f>
        <v>5</v>
      </c>
      <c r="N351" s="81">
        <v>2</v>
      </c>
      <c r="O351" s="81"/>
      <c r="P351" s="81">
        <f>'Praroop-20 hindi'!D354</f>
        <v>97</v>
      </c>
      <c r="Q351" s="81">
        <v>3</v>
      </c>
      <c r="R351" s="81"/>
      <c r="S351" s="81">
        <f>'Praroop-20 hindi'!E354</f>
        <v>414</v>
      </c>
      <c r="T351" s="81">
        <v>4</v>
      </c>
      <c r="U351" s="81"/>
      <c r="V351" s="81">
        <f>'Praroop-20 hindi'!F354</f>
        <v>9</v>
      </c>
      <c r="W351" s="81">
        <v>5</v>
      </c>
      <c r="X351" s="81"/>
      <c r="Y351" s="81">
        <f>'Praroop-20 hindi'!G354</f>
        <v>0</v>
      </c>
      <c r="Z351" s="81">
        <v>6</v>
      </c>
      <c r="AA351" s="81"/>
      <c r="AB351" s="81">
        <f>'Praroop-20 hindi'!H354</f>
        <v>1</v>
      </c>
      <c r="AC351" s="81">
        <v>7</v>
      </c>
      <c r="AD351" s="81"/>
      <c r="AE351" s="81">
        <f>'Praroop-20 hindi'!I354</f>
        <v>1</v>
      </c>
      <c r="AF351" s="81">
        <v>8</v>
      </c>
      <c r="AG351" s="81"/>
      <c r="AH351" s="81">
        <f>'Praroop-20 hindi'!J354</f>
        <v>1</v>
      </c>
      <c r="AI351" s="81">
        <v>9</v>
      </c>
      <c r="AJ351" s="81"/>
      <c r="AK351" s="81">
        <f>'Praroop-20 hindi'!K354</f>
        <v>2</v>
      </c>
      <c r="AL351" s="81">
        <v>10</v>
      </c>
      <c r="AM351" s="81"/>
      <c r="AN351" s="81">
        <f>'Praroop-20 hindi'!L354</f>
        <v>1</v>
      </c>
      <c r="AO351" s="81">
        <v>11</v>
      </c>
      <c r="AP351" s="81"/>
      <c r="AQ351" s="81">
        <f>'Praroop-20 hindi'!M354</f>
        <v>3</v>
      </c>
      <c r="AR351" s="81">
        <f t="shared" si="11"/>
        <v>534</v>
      </c>
    </row>
    <row r="352" spans="1:44" ht="38.25">
      <c r="A352" s="81">
        <v>64</v>
      </c>
      <c r="B352" s="41">
        <v>346</v>
      </c>
      <c r="C352" s="113" t="s">
        <v>471</v>
      </c>
      <c r="D352" s="117">
        <v>930</v>
      </c>
      <c r="E352" s="110">
        <v>325</v>
      </c>
      <c r="F352" s="110">
        <v>301</v>
      </c>
      <c r="G352" s="110">
        <v>0</v>
      </c>
      <c r="H352" s="111">
        <f t="shared" si="10"/>
        <v>626</v>
      </c>
      <c r="I352" s="112">
        <v>626</v>
      </c>
      <c r="J352" s="110">
        <v>0</v>
      </c>
      <c r="K352" s="110">
        <v>1</v>
      </c>
      <c r="L352" s="81"/>
      <c r="M352" s="81">
        <f>'Praroop-20 hindi'!C355</f>
        <v>177</v>
      </c>
      <c r="N352" s="81">
        <v>2</v>
      </c>
      <c r="O352" s="81"/>
      <c r="P352" s="81">
        <f>'Praroop-20 hindi'!D355</f>
        <v>293</v>
      </c>
      <c r="Q352" s="81">
        <v>3</v>
      </c>
      <c r="R352" s="81"/>
      <c r="S352" s="81">
        <f>'Praroop-20 hindi'!E355</f>
        <v>137</v>
      </c>
      <c r="T352" s="81">
        <v>4</v>
      </c>
      <c r="U352" s="81"/>
      <c r="V352" s="81">
        <f>'Praroop-20 hindi'!F355</f>
        <v>1</v>
      </c>
      <c r="W352" s="81">
        <v>5</v>
      </c>
      <c r="X352" s="81"/>
      <c r="Y352" s="81">
        <f>'Praroop-20 hindi'!G355</f>
        <v>1</v>
      </c>
      <c r="Z352" s="81">
        <v>6</v>
      </c>
      <c r="AA352" s="81"/>
      <c r="AB352" s="81">
        <f>'Praroop-20 hindi'!H355</f>
        <v>0</v>
      </c>
      <c r="AC352" s="81">
        <v>7</v>
      </c>
      <c r="AD352" s="81"/>
      <c r="AE352" s="81">
        <f>'Praroop-20 hindi'!I355</f>
        <v>2</v>
      </c>
      <c r="AF352" s="81">
        <v>8</v>
      </c>
      <c r="AG352" s="81"/>
      <c r="AH352" s="81">
        <f>'Praroop-20 hindi'!J355</f>
        <v>0</v>
      </c>
      <c r="AI352" s="81">
        <v>9</v>
      </c>
      <c r="AJ352" s="81"/>
      <c r="AK352" s="81">
        <f>'Praroop-20 hindi'!K355</f>
        <v>1</v>
      </c>
      <c r="AL352" s="81">
        <v>10</v>
      </c>
      <c r="AM352" s="81"/>
      <c r="AN352" s="81">
        <f>'Praroop-20 hindi'!L355</f>
        <v>3</v>
      </c>
      <c r="AO352" s="81">
        <v>11</v>
      </c>
      <c r="AP352" s="81"/>
      <c r="AQ352" s="81">
        <f>'Praroop-20 hindi'!M355</f>
        <v>4</v>
      </c>
      <c r="AR352" s="81">
        <f t="shared" si="11"/>
        <v>619</v>
      </c>
    </row>
    <row r="353" spans="1:44" ht="38.25">
      <c r="A353" s="81">
        <v>64</v>
      </c>
      <c r="B353" s="41">
        <v>347</v>
      </c>
      <c r="C353" s="113" t="s">
        <v>472</v>
      </c>
      <c r="D353" s="117">
        <v>873</v>
      </c>
      <c r="E353" s="110">
        <v>288</v>
      </c>
      <c r="F353" s="110">
        <v>226</v>
      </c>
      <c r="G353" s="110">
        <v>0</v>
      </c>
      <c r="H353" s="111">
        <f t="shared" si="10"/>
        <v>514</v>
      </c>
      <c r="I353" s="112">
        <v>510</v>
      </c>
      <c r="J353" s="110">
        <v>0</v>
      </c>
      <c r="K353" s="110">
        <v>1</v>
      </c>
      <c r="L353" s="81"/>
      <c r="M353" s="81">
        <f>'Praroop-20 hindi'!C356</f>
        <v>132</v>
      </c>
      <c r="N353" s="81">
        <v>2</v>
      </c>
      <c r="O353" s="81"/>
      <c r="P353" s="81">
        <f>'Praroop-20 hindi'!D356</f>
        <v>241</v>
      </c>
      <c r="Q353" s="81">
        <v>3</v>
      </c>
      <c r="R353" s="81"/>
      <c r="S353" s="81">
        <f>'Praroop-20 hindi'!E356</f>
        <v>129</v>
      </c>
      <c r="T353" s="81">
        <v>4</v>
      </c>
      <c r="U353" s="81"/>
      <c r="V353" s="81">
        <f>'Praroop-20 hindi'!F356</f>
        <v>3</v>
      </c>
      <c r="W353" s="81">
        <v>5</v>
      </c>
      <c r="X353" s="81"/>
      <c r="Y353" s="81">
        <f>'Praroop-20 hindi'!G356</f>
        <v>0</v>
      </c>
      <c r="Z353" s="81">
        <v>6</v>
      </c>
      <c r="AA353" s="81"/>
      <c r="AB353" s="81">
        <f>'Praroop-20 hindi'!H356</f>
        <v>0</v>
      </c>
      <c r="AC353" s="81">
        <v>7</v>
      </c>
      <c r="AD353" s="81"/>
      <c r="AE353" s="81">
        <f>'Praroop-20 hindi'!I356</f>
        <v>1</v>
      </c>
      <c r="AF353" s="81">
        <v>8</v>
      </c>
      <c r="AG353" s="81"/>
      <c r="AH353" s="81">
        <f>'Praroop-20 hindi'!J356</f>
        <v>0</v>
      </c>
      <c r="AI353" s="81">
        <v>9</v>
      </c>
      <c r="AJ353" s="81"/>
      <c r="AK353" s="81">
        <f>'Praroop-20 hindi'!K356</f>
        <v>1</v>
      </c>
      <c r="AL353" s="81">
        <v>10</v>
      </c>
      <c r="AM353" s="81"/>
      <c r="AN353" s="81">
        <f>'Praroop-20 hindi'!L356</f>
        <v>3</v>
      </c>
      <c r="AO353" s="81">
        <v>11</v>
      </c>
      <c r="AP353" s="81"/>
      <c r="AQ353" s="81">
        <f>'Praroop-20 hindi'!M356</f>
        <v>0</v>
      </c>
      <c r="AR353" s="81">
        <f t="shared" si="11"/>
        <v>510</v>
      </c>
    </row>
    <row r="354" spans="1:44" ht="25.5">
      <c r="A354" s="81">
        <v>64</v>
      </c>
      <c r="B354" s="41">
        <v>348</v>
      </c>
      <c r="C354" s="113" t="s">
        <v>473</v>
      </c>
      <c r="D354" s="117">
        <v>1000</v>
      </c>
      <c r="E354" s="110">
        <v>357</v>
      </c>
      <c r="F354" s="110">
        <v>300</v>
      </c>
      <c r="G354" s="110">
        <v>0</v>
      </c>
      <c r="H354" s="111">
        <f t="shared" si="10"/>
        <v>657</v>
      </c>
      <c r="I354" s="112">
        <v>657</v>
      </c>
      <c r="J354" s="110">
        <v>0</v>
      </c>
      <c r="K354" s="110">
        <v>1</v>
      </c>
      <c r="L354" s="81"/>
      <c r="M354" s="81">
        <f>'Praroop-20 hindi'!C357</f>
        <v>6</v>
      </c>
      <c r="N354" s="81">
        <v>2</v>
      </c>
      <c r="O354" s="81"/>
      <c r="P354" s="81">
        <f>'Praroop-20 hindi'!D357</f>
        <v>543</v>
      </c>
      <c r="Q354" s="81">
        <v>3</v>
      </c>
      <c r="R354" s="81"/>
      <c r="S354" s="81">
        <f>'Praroop-20 hindi'!E357</f>
        <v>87</v>
      </c>
      <c r="T354" s="81">
        <v>4</v>
      </c>
      <c r="U354" s="81"/>
      <c r="V354" s="81">
        <f>'Praroop-20 hindi'!F357</f>
        <v>5</v>
      </c>
      <c r="W354" s="81">
        <v>5</v>
      </c>
      <c r="X354" s="81"/>
      <c r="Y354" s="81">
        <f>'Praroop-20 hindi'!G357</f>
        <v>0</v>
      </c>
      <c r="Z354" s="81">
        <v>6</v>
      </c>
      <c r="AA354" s="81"/>
      <c r="AB354" s="81">
        <f>'Praroop-20 hindi'!H357</f>
        <v>0</v>
      </c>
      <c r="AC354" s="81">
        <v>7</v>
      </c>
      <c r="AD354" s="81"/>
      <c r="AE354" s="81">
        <f>'Praroop-20 hindi'!I357</f>
        <v>0</v>
      </c>
      <c r="AF354" s="81">
        <v>8</v>
      </c>
      <c r="AG354" s="81"/>
      <c r="AH354" s="81">
        <f>'Praroop-20 hindi'!J357</f>
        <v>1</v>
      </c>
      <c r="AI354" s="81">
        <v>9</v>
      </c>
      <c r="AJ354" s="81"/>
      <c r="AK354" s="81">
        <f>'Praroop-20 hindi'!K357</f>
        <v>6</v>
      </c>
      <c r="AL354" s="81">
        <v>10</v>
      </c>
      <c r="AM354" s="81"/>
      <c r="AN354" s="81">
        <f>'Praroop-20 hindi'!L357</f>
        <v>1</v>
      </c>
      <c r="AO354" s="81">
        <v>11</v>
      </c>
      <c r="AP354" s="81"/>
      <c r="AQ354" s="81">
        <f>'Praroop-20 hindi'!M357</f>
        <v>5</v>
      </c>
      <c r="AR354" s="81">
        <f t="shared" si="11"/>
        <v>654</v>
      </c>
    </row>
    <row r="355" spans="1:44" ht="25.5">
      <c r="A355" s="81">
        <v>64</v>
      </c>
      <c r="B355" s="41">
        <v>349</v>
      </c>
      <c r="C355" s="113" t="s">
        <v>474</v>
      </c>
      <c r="D355" s="117">
        <v>831</v>
      </c>
      <c r="E355" s="110">
        <v>319</v>
      </c>
      <c r="F355" s="110">
        <v>266</v>
      </c>
      <c r="G355" s="110">
        <v>0</v>
      </c>
      <c r="H355" s="111">
        <f t="shared" si="10"/>
        <v>585</v>
      </c>
      <c r="I355" s="112">
        <v>585</v>
      </c>
      <c r="J355" s="110">
        <v>0</v>
      </c>
      <c r="K355" s="110">
        <v>1</v>
      </c>
      <c r="L355" s="81"/>
      <c r="M355" s="81">
        <f>'Praroop-20 hindi'!C358</f>
        <v>20</v>
      </c>
      <c r="N355" s="81">
        <v>2</v>
      </c>
      <c r="O355" s="81"/>
      <c r="P355" s="81">
        <f>'Praroop-20 hindi'!D358</f>
        <v>417</v>
      </c>
      <c r="Q355" s="81">
        <v>3</v>
      </c>
      <c r="R355" s="81"/>
      <c r="S355" s="81">
        <f>'Praroop-20 hindi'!E358</f>
        <v>141</v>
      </c>
      <c r="T355" s="81">
        <v>4</v>
      </c>
      <c r="U355" s="81"/>
      <c r="V355" s="81">
        <f>'Praroop-20 hindi'!F358</f>
        <v>1</v>
      </c>
      <c r="W355" s="81">
        <v>5</v>
      </c>
      <c r="X355" s="81"/>
      <c r="Y355" s="81">
        <f>'Praroop-20 hindi'!G358</f>
        <v>0</v>
      </c>
      <c r="Z355" s="81">
        <v>6</v>
      </c>
      <c r="AA355" s="81"/>
      <c r="AB355" s="81">
        <f>'Praroop-20 hindi'!H358</f>
        <v>0</v>
      </c>
      <c r="AC355" s="81">
        <v>7</v>
      </c>
      <c r="AD355" s="81"/>
      <c r="AE355" s="81">
        <f>'Praroop-20 hindi'!I358</f>
        <v>0</v>
      </c>
      <c r="AF355" s="81">
        <v>8</v>
      </c>
      <c r="AG355" s="81"/>
      <c r="AH355" s="81">
        <f>'Praroop-20 hindi'!J358</f>
        <v>0</v>
      </c>
      <c r="AI355" s="81">
        <v>9</v>
      </c>
      <c r="AJ355" s="81"/>
      <c r="AK355" s="81">
        <f>'Praroop-20 hindi'!K358</f>
        <v>0</v>
      </c>
      <c r="AL355" s="81">
        <v>10</v>
      </c>
      <c r="AM355" s="81"/>
      <c r="AN355" s="81">
        <f>'Praroop-20 hindi'!L358</f>
        <v>1</v>
      </c>
      <c r="AO355" s="81">
        <v>11</v>
      </c>
      <c r="AP355" s="81"/>
      <c r="AQ355" s="81">
        <f>'Praroop-20 hindi'!M358</f>
        <v>3</v>
      </c>
      <c r="AR355" s="81">
        <f t="shared" si="11"/>
        <v>583</v>
      </c>
    </row>
    <row r="356" spans="1:44">
      <c r="A356" s="81">
        <v>64</v>
      </c>
      <c r="B356" s="41">
        <v>350</v>
      </c>
      <c r="C356" s="113" t="s">
        <v>475</v>
      </c>
      <c r="D356" s="117">
        <v>953</v>
      </c>
      <c r="E356" s="110">
        <v>340</v>
      </c>
      <c r="F356" s="110">
        <v>303</v>
      </c>
      <c r="G356" s="110">
        <v>0</v>
      </c>
      <c r="H356" s="111">
        <f t="shared" si="10"/>
        <v>643</v>
      </c>
      <c r="I356" s="112">
        <v>643</v>
      </c>
      <c r="J356" s="110">
        <v>0</v>
      </c>
      <c r="K356" s="110">
        <v>1</v>
      </c>
      <c r="L356" s="81"/>
      <c r="M356" s="81">
        <f>'Praroop-20 hindi'!C359</f>
        <v>76</v>
      </c>
      <c r="N356" s="81">
        <v>2</v>
      </c>
      <c r="O356" s="81"/>
      <c r="P356" s="81">
        <f>'Praroop-20 hindi'!D359</f>
        <v>137</v>
      </c>
      <c r="Q356" s="81">
        <v>3</v>
      </c>
      <c r="R356" s="81"/>
      <c r="S356" s="81">
        <f>'Praroop-20 hindi'!E359</f>
        <v>417</v>
      </c>
      <c r="T356" s="81">
        <v>4</v>
      </c>
      <c r="U356" s="81"/>
      <c r="V356" s="81">
        <f>'Praroop-20 hindi'!F359</f>
        <v>4</v>
      </c>
      <c r="W356" s="81">
        <v>5</v>
      </c>
      <c r="X356" s="81"/>
      <c r="Y356" s="81">
        <f>'Praroop-20 hindi'!G359</f>
        <v>0</v>
      </c>
      <c r="Z356" s="81">
        <v>6</v>
      </c>
      <c r="AA356" s="81"/>
      <c r="AB356" s="81">
        <f>'Praroop-20 hindi'!H359</f>
        <v>0</v>
      </c>
      <c r="AC356" s="81">
        <v>7</v>
      </c>
      <c r="AD356" s="81"/>
      <c r="AE356" s="81">
        <f>'Praroop-20 hindi'!I359</f>
        <v>1</v>
      </c>
      <c r="AF356" s="81">
        <v>8</v>
      </c>
      <c r="AG356" s="81"/>
      <c r="AH356" s="81">
        <f>'Praroop-20 hindi'!J359</f>
        <v>0</v>
      </c>
      <c r="AI356" s="81">
        <v>9</v>
      </c>
      <c r="AJ356" s="81"/>
      <c r="AK356" s="81">
        <f>'Praroop-20 hindi'!K359</f>
        <v>1</v>
      </c>
      <c r="AL356" s="81">
        <v>10</v>
      </c>
      <c r="AM356" s="81"/>
      <c r="AN356" s="81">
        <f>'Praroop-20 hindi'!L359</f>
        <v>3</v>
      </c>
      <c r="AO356" s="81">
        <v>11</v>
      </c>
      <c r="AP356" s="81"/>
      <c r="AQ356" s="81">
        <f>'Praroop-20 hindi'!M359</f>
        <v>4</v>
      </c>
      <c r="AR356" s="81">
        <f t="shared" si="11"/>
        <v>643</v>
      </c>
    </row>
    <row r="357" spans="1:44">
      <c r="A357" s="81">
        <v>64</v>
      </c>
      <c r="B357" s="41">
        <v>351</v>
      </c>
      <c r="C357" s="113" t="s">
        <v>476</v>
      </c>
      <c r="D357" s="117">
        <v>1085</v>
      </c>
      <c r="E357" s="110">
        <v>438</v>
      </c>
      <c r="F357" s="110">
        <v>378</v>
      </c>
      <c r="G357" s="110">
        <v>0</v>
      </c>
      <c r="H357" s="111">
        <f t="shared" si="10"/>
        <v>816</v>
      </c>
      <c r="I357" s="112">
        <v>816</v>
      </c>
      <c r="J357" s="110">
        <v>0</v>
      </c>
      <c r="K357" s="110">
        <v>1</v>
      </c>
      <c r="L357" s="81"/>
      <c r="M357" s="81">
        <f>'Praroop-20 hindi'!C360</f>
        <v>118</v>
      </c>
      <c r="N357" s="81">
        <v>2</v>
      </c>
      <c r="O357" s="81"/>
      <c r="P357" s="81">
        <f>'Praroop-20 hindi'!D360</f>
        <v>334</v>
      </c>
      <c r="Q357" s="81">
        <v>3</v>
      </c>
      <c r="R357" s="81"/>
      <c r="S357" s="81">
        <f>'Praroop-20 hindi'!E360</f>
        <v>331</v>
      </c>
      <c r="T357" s="81">
        <v>4</v>
      </c>
      <c r="U357" s="81"/>
      <c r="V357" s="81">
        <f>'Praroop-20 hindi'!F360</f>
        <v>8</v>
      </c>
      <c r="W357" s="81">
        <v>5</v>
      </c>
      <c r="X357" s="81"/>
      <c r="Y357" s="81">
        <f>'Praroop-20 hindi'!G360</f>
        <v>2</v>
      </c>
      <c r="Z357" s="81">
        <v>6</v>
      </c>
      <c r="AA357" s="81"/>
      <c r="AB357" s="81">
        <f>'Praroop-20 hindi'!H360</f>
        <v>1</v>
      </c>
      <c r="AC357" s="81">
        <v>7</v>
      </c>
      <c r="AD357" s="81"/>
      <c r="AE357" s="81">
        <f>'Praroop-20 hindi'!I360</f>
        <v>1</v>
      </c>
      <c r="AF357" s="81">
        <v>8</v>
      </c>
      <c r="AG357" s="81"/>
      <c r="AH357" s="81">
        <f>'Praroop-20 hindi'!J360</f>
        <v>6</v>
      </c>
      <c r="AI357" s="81">
        <v>9</v>
      </c>
      <c r="AJ357" s="81"/>
      <c r="AK357" s="81">
        <f>'Praroop-20 hindi'!K360</f>
        <v>2</v>
      </c>
      <c r="AL357" s="81">
        <v>10</v>
      </c>
      <c r="AM357" s="81"/>
      <c r="AN357" s="81">
        <f>'Praroop-20 hindi'!L360</f>
        <v>6</v>
      </c>
      <c r="AO357" s="81">
        <v>11</v>
      </c>
      <c r="AP357" s="81"/>
      <c r="AQ357" s="81">
        <f>'Praroop-20 hindi'!M360</f>
        <v>3</v>
      </c>
      <c r="AR357" s="81">
        <f t="shared" si="11"/>
        <v>812</v>
      </c>
    </row>
    <row r="358" spans="1:44" ht="38.25">
      <c r="A358" s="81">
        <v>64</v>
      </c>
      <c r="B358" s="41">
        <v>352</v>
      </c>
      <c r="C358" s="113" t="s">
        <v>477</v>
      </c>
      <c r="D358" s="117">
        <v>783</v>
      </c>
      <c r="E358" s="110">
        <v>321</v>
      </c>
      <c r="F358" s="110">
        <v>307</v>
      </c>
      <c r="G358" s="110">
        <v>0</v>
      </c>
      <c r="H358" s="111">
        <f t="shared" si="10"/>
        <v>628</v>
      </c>
      <c r="I358" s="112">
        <v>628</v>
      </c>
      <c r="J358" s="110">
        <v>0</v>
      </c>
      <c r="K358" s="110">
        <v>1</v>
      </c>
      <c r="L358" s="81"/>
      <c r="M358" s="81">
        <f>'Praroop-20 hindi'!C361</f>
        <v>66</v>
      </c>
      <c r="N358" s="81">
        <v>2</v>
      </c>
      <c r="O358" s="81"/>
      <c r="P358" s="81">
        <f>'Praroop-20 hindi'!D361</f>
        <v>75</v>
      </c>
      <c r="Q358" s="81">
        <v>3</v>
      </c>
      <c r="R358" s="81"/>
      <c r="S358" s="81">
        <f>'Praroop-20 hindi'!E361</f>
        <v>478</v>
      </c>
      <c r="T358" s="81">
        <v>4</v>
      </c>
      <c r="U358" s="81"/>
      <c r="V358" s="81">
        <f>'Praroop-20 hindi'!F361</f>
        <v>4</v>
      </c>
      <c r="W358" s="81">
        <v>5</v>
      </c>
      <c r="X358" s="81"/>
      <c r="Y358" s="81">
        <f>'Praroop-20 hindi'!G361</f>
        <v>0</v>
      </c>
      <c r="Z358" s="81">
        <v>6</v>
      </c>
      <c r="AA358" s="81"/>
      <c r="AB358" s="81">
        <f>'Praroop-20 hindi'!H361</f>
        <v>0</v>
      </c>
      <c r="AC358" s="81">
        <v>7</v>
      </c>
      <c r="AD358" s="81"/>
      <c r="AE358" s="81">
        <f>'Praroop-20 hindi'!I361</f>
        <v>1</v>
      </c>
      <c r="AF358" s="81">
        <v>8</v>
      </c>
      <c r="AG358" s="81"/>
      <c r="AH358" s="81">
        <f>'Praroop-20 hindi'!J361</f>
        <v>0</v>
      </c>
      <c r="AI358" s="81">
        <v>9</v>
      </c>
      <c r="AJ358" s="81"/>
      <c r="AK358" s="81">
        <f>'Praroop-20 hindi'!K361</f>
        <v>0</v>
      </c>
      <c r="AL358" s="81">
        <v>10</v>
      </c>
      <c r="AM358" s="81"/>
      <c r="AN358" s="81">
        <f>'Praroop-20 hindi'!L361</f>
        <v>1</v>
      </c>
      <c r="AO358" s="81">
        <v>11</v>
      </c>
      <c r="AP358" s="81"/>
      <c r="AQ358" s="81">
        <f>'Praroop-20 hindi'!M361</f>
        <v>1</v>
      </c>
      <c r="AR358" s="81">
        <f t="shared" si="11"/>
        <v>626</v>
      </c>
    </row>
    <row r="359" spans="1:44" ht="38.25">
      <c r="A359" s="81">
        <v>64</v>
      </c>
      <c r="B359" s="41">
        <v>353</v>
      </c>
      <c r="C359" s="113" t="s">
        <v>478</v>
      </c>
      <c r="D359" s="117">
        <v>717</v>
      </c>
      <c r="E359" s="110">
        <v>339</v>
      </c>
      <c r="F359" s="110">
        <v>261</v>
      </c>
      <c r="G359" s="110">
        <v>0</v>
      </c>
      <c r="H359" s="111">
        <f t="shared" si="10"/>
        <v>600</v>
      </c>
      <c r="I359" s="112">
        <v>600</v>
      </c>
      <c r="J359" s="110">
        <v>0</v>
      </c>
      <c r="K359" s="110">
        <v>1</v>
      </c>
      <c r="L359" s="81"/>
      <c r="M359" s="81">
        <f>'Praroop-20 hindi'!C362</f>
        <v>197</v>
      </c>
      <c r="N359" s="81">
        <v>2</v>
      </c>
      <c r="O359" s="81"/>
      <c r="P359" s="81">
        <f>'Praroop-20 hindi'!D362</f>
        <v>32</v>
      </c>
      <c r="Q359" s="81">
        <v>3</v>
      </c>
      <c r="R359" s="81"/>
      <c r="S359" s="81">
        <f>'Praroop-20 hindi'!E362</f>
        <v>349</v>
      </c>
      <c r="T359" s="81">
        <v>4</v>
      </c>
      <c r="U359" s="81"/>
      <c r="V359" s="81">
        <f>'Praroop-20 hindi'!F362</f>
        <v>4</v>
      </c>
      <c r="W359" s="81">
        <v>5</v>
      </c>
      <c r="X359" s="81"/>
      <c r="Y359" s="81">
        <f>'Praroop-20 hindi'!G362</f>
        <v>0</v>
      </c>
      <c r="Z359" s="81">
        <v>6</v>
      </c>
      <c r="AA359" s="81"/>
      <c r="AB359" s="81">
        <f>'Praroop-20 hindi'!H362</f>
        <v>1</v>
      </c>
      <c r="AC359" s="81">
        <v>7</v>
      </c>
      <c r="AD359" s="81"/>
      <c r="AE359" s="81">
        <f>'Praroop-20 hindi'!I362</f>
        <v>0</v>
      </c>
      <c r="AF359" s="81">
        <v>8</v>
      </c>
      <c r="AG359" s="81"/>
      <c r="AH359" s="81">
        <f>'Praroop-20 hindi'!J362</f>
        <v>0</v>
      </c>
      <c r="AI359" s="81">
        <v>9</v>
      </c>
      <c r="AJ359" s="81"/>
      <c r="AK359" s="81">
        <f>'Praroop-20 hindi'!K362</f>
        <v>3</v>
      </c>
      <c r="AL359" s="81">
        <v>10</v>
      </c>
      <c r="AM359" s="81"/>
      <c r="AN359" s="81">
        <f>'Praroop-20 hindi'!L362</f>
        <v>2</v>
      </c>
      <c r="AO359" s="81">
        <v>11</v>
      </c>
      <c r="AP359" s="81"/>
      <c r="AQ359" s="81">
        <f>'Praroop-20 hindi'!M362</f>
        <v>5</v>
      </c>
      <c r="AR359" s="81">
        <f t="shared" si="11"/>
        <v>593</v>
      </c>
    </row>
    <row r="360" spans="1:44" ht="25.5">
      <c r="A360" s="81">
        <v>64</v>
      </c>
      <c r="B360" s="41">
        <v>354</v>
      </c>
      <c r="C360" s="113" t="s">
        <v>479</v>
      </c>
      <c r="D360" s="117">
        <v>524</v>
      </c>
      <c r="E360" s="110">
        <v>205</v>
      </c>
      <c r="F360" s="110">
        <v>176</v>
      </c>
      <c r="G360" s="110">
        <v>0</v>
      </c>
      <c r="H360" s="111">
        <f t="shared" si="10"/>
        <v>381</v>
      </c>
      <c r="I360" s="112">
        <v>381</v>
      </c>
      <c r="J360" s="110">
        <v>0</v>
      </c>
      <c r="K360" s="110">
        <v>1</v>
      </c>
      <c r="L360" s="81"/>
      <c r="M360" s="81">
        <f>'Praroop-20 hindi'!C363</f>
        <v>61</v>
      </c>
      <c r="N360" s="81">
        <v>2</v>
      </c>
      <c r="O360" s="81"/>
      <c r="P360" s="81">
        <f>'Praroop-20 hindi'!D363</f>
        <v>45</v>
      </c>
      <c r="Q360" s="81">
        <v>3</v>
      </c>
      <c r="R360" s="81"/>
      <c r="S360" s="81">
        <f>'Praroop-20 hindi'!E363</f>
        <v>267</v>
      </c>
      <c r="T360" s="81">
        <v>4</v>
      </c>
      <c r="U360" s="81"/>
      <c r="V360" s="81">
        <f>'Praroop-20 hindi'!F363</f>
        <v>0</v>
      </c>
      <c r="W360" s="81">
        <v>5</v>
      </c>
      <c r="X360" s="81"/>
      <c r="Y360" s="81">
        <f>'Praroop-20 hindi'!G363</f>
        <v>0</v>
      </c>
      <c r="Z360" s="81">
        <v>6</v>
      </c>
      <c r="AA360" s="81"/>
      <c r="AB360" s="81">
        <f>'Praroop-20 hindi'!H363</f>
        <v>0</v>
      </c>
      <c r="AC360" s="81">
        <v>7</v>
      </c>
      <c r="AD360" s="81"/>
      <c r="AE360" s="81">
        <f>'Praroop-20 hindi'!I363</f>
        <v>0</v>
      </c>
      <c r="AF360" s="81">
        <v>8</v>
      </c>
      <c r="AG360" s="81"/>
      <c r="AH360" s="81">
        <f>'Praroop-20 hindi'!J363</f>
        <v>2</v>
      </c>
      <c r="AI360" s="81">
        <v>9</v>
      </c>
      <c r="AJ360" s="81"/>
      <c r="AK360" s="81">
        <f>'Praroop-20 hindi'!K363</f>
        <v>0</v>
      </c>
      <c r="AL360" s="81">
        <v>10</v>
      </c>
      <c r="AM360" s="81"/>
      <c r="AN360" s="81">
        <f>'Praroop-20 hindi'!L363</f>
        <v>4</v>
      </c>
      <c r="AO360" s="81">
        <v>11</v>
      </c>
      <c r="AP360" s="81"/>
      <c r="AQ360" s="81">
        <f>'Praroop-20 hindi'!M363</f>
        <v>2</v>
      </c>
      <c r="AR360" s="81">
        <f t="shared" si="11"/>
        <v>381</v>
      </c>
    </row>
    <row r="361" spans="1:44" ht="25.5">
      <c r="A361" s="81">
        <v>64</v>
      </c>
      <c r="B361" s="41">
        <v>355</v>
      </c>
      <c r="C361" s="113" t="s">
        <v>480</v>
      </c>
      <c r="D361" s="117">
        <v>677</v>
      </c>
      <c r="E361" s="110">
        <v>322</v>
      </c>
      <c r="F361" s="110">
        <v>255</v>
      </c>
      <c r="G361" s="110">
        <v>0</v>
      </c>
      <c r="H361" s="111">
        <f t="shared" si="10"/>
        <v>577</v>
      </c>
      <c r="I361" s="112">
        <v>526</v>
      </c>
      <c r="J361" s="110">
        <v>0</v>
      </c>
      <c r="K361" s="110">
        <v>1</v>
      </c>
      <c r="L361" s="81"/>
      <c r="M361" s="81">
        <f>'Praroop-20 hindi'!C364</f>
        <v>123</v>
      </c>
      <c r="N361" s="81">
        <v>2</v>
      </c>
      <c r="O361" s="81"/>
      <c r="P361" s="81">
        <f>'Praroop-20 hindi'!D364</f>
        <v>9</v>
      </c>
      <c r="Q361" s="81">
        <v>3</v>
      </c>
      <c r="R361" s="81"/>
      <c r="S361" s="81">
        <f>'Praroop-20 hindi'!E364</f>
        <v>437</v>
      </c>
      <c r="T361" s="81">
        <v>4</v>
      </c>
      <c r="U361" s="81"/>
      <c r="V361" s="81">
        <f>'Praroop-20 hindi'!F364</f>
        <v>0</v>
      </c>
      <c r="W361" s="81">
        <v>5</v>
      </c>
      <c r="X361" s="81"/>
      <c r="Y361" s="81">
        <f>'Praroop-20 hindi'!G364</f>
        <v>0</v>
      </c>
      <c r="Z361" s="81">
        <v>6</v>
      </c>
      <c r="AA361" s="81"/>
      <c r="AB361" s="81">
        <f>'Praroop-20 hindi'!H364</f>
        <v>0</v>
      </c>
      <c r="AC361" s="81">
        <v>7</v>
      </c>
      <c r="AD361" s="81"/>
      <c r="AE361" s="81">
        <f>'Praroop-20 hindi'!I364</f>
        <v>0</v>
      </c>
      <c r="AF361" s="81">
        <v>8</v>
      </c>
      <c r="AG361" s="81"/>
      <c r="AH361" s="81">
        <f>'Praroop-20 hindi'!J364</f>
        <v>0</v>
      </c>
      <c r="AI361" s="81">
        <v>9</v>
      </c>
      <c r="AJ361" s="81"/>
      <c r="AK361" s="81">
        <f>'Praroop-20 hindi'!K364</f>
        <v>0</v>
      </c>
      <c r="AL361" s="81">
        <v>10</v>
      </c>
      <c r="AM361" s="81"/>
      <c r="AN361" s="81">
        <f>'Praroop-20 hindi'!L364</f>
        <v>7</v>
      </c>
      <c r="AO361" s="81">
        <v>11</v>
      </c>
      <c r="AP361" s="81"/>
      <c r="AQ361" s="81">
        <f>'Praroop-20 hindi'!M364</f>
        <v>0</v>
      </c>
      <c r="AR361" s="81">
        <f t="shared" si="11"/>
        <v>576</v>
      </c>
    </row>
    <row r="362" spans="1:44" ht="38.25">
      <c r="A362" s="81">
        <v>64</v>
      </c>
      <c r="B362" s="41">
        <v>356</v>
      </c>
      <c r="C362" s="113" t="s">
        <v>481</v>
      </c>
      <c r="D362" s="117">
        <v>930</v>
      </c>
      <c r="E362" s="110">
        <v>403</v>
      </c>
      <c r="F362" s="110">
        <v>319</v>
      </c>
      <c r="G362" s="110">
        <v>0</v>
      </c>
      <c r="H362" s="111">
        <f t="shared" si="10"/>
        <v>722</v>
      </c>
      <c r="I362" s="112">
        <v>670</v>
      </c>
      <c r="J362" s="110">
        <v>0</v>
      </c>
      <c r="K362" s="110">
        <v>1</v>
      </c>
      <c r="L362" s="81"/>
      <c r="M362" s="81">
        <f>'Praroop-20 hindi'!C365</f>
        <v>15</v>
      </c>
      <c r="N362" s="81">
        <v>2</v>
      </c>
      <c r="O362" s="81"/>
      <c r="P362" s="81">
        <f>'Praroop-20 hindi'!D365</f>
        <v>237</v>
      </c>
      <c r="Q362" s="81">
        <v>3</v>
      </c>
      <c r="R362" s="81"/>
      <c r="S362" s="81">
        <f>'Praroop-20 hindi'!E365</f>
        <v>456</v>
      </c>
      <c r="T362" s="81">
        <v>4</v>
      </c>
      <c r="U362" s="81"/>
      <c r="V362" s="81">
        <f>'Praroop-20 hindi'!F365</f>
        <v>1</v>
      </c>
      <c r="W362" s="81">
        <v>5</v>
      </c>
      <c r="X362" s="81"/>
      <c r="Y362" s="81">
        <f>'Praroop-20 hindi'!G365</f>
        <v>0</v>
      </c>
      <c r="Z362" s="81">
        <v>6</v>
      </c>
      <c r="AA362" s="81"/>
      <c r="AB362" s="81">
        <f>'Praroop-20 hindi'!H365</f>
        <v>1</v>
      </c>
      <c r="AC362" s="81">
        <v>7</v>
      </c>
      <c r="AD362" s="81"/>
      <c r="AE362" s="81">
        <f>'Praroop-20 hindi'!I365</f>
        <v>2</v>
      </c>
      <c r="AF362" s="81">
        <v>8</v>
      </c>
      <c r="AG362" s="81"/>
      <c r="AH362" s="81">
        <f>'Praroop-20 hindi'!J365</f>
        <v>1</v>
      </c>
      <c r="AI362" s="81">
        <v>9</v>
      </c>
      <c r="AJ362" s="81"/>
      <c r="AK362" s="81">
        <f>'Praroop-20 hindi'!K365</f>
        <v>1</v>
      </c>
      <c r="AL362" s="81">
        <v>10</v>
      </c>
      <c r="AM362" s="81"/>
      <c r="AN362" s="81">
        <f>'Praroop-20 hindi'!L365</f>
        <v>6</v>
      </c>
      <c r="AO362" s="81">
        <v>11</v>
      </c>
      <c r="AP362" s="81"/>
      <c r="AQ362" s="81">
        <f>'Praroop-20 hindi'!M365</f>
        <v>1</v>
      </c>
      <c r="AR362" s="81">
        <f t="shared" si="11"/>
        <v>721</v>
      </c>
    </row>
    <row r="363" spans="1:44" ht="38.25">
      <c r="A363" s="81">
        <v>64</v>
      </c>
      <c r="B363" s="41">
        <v>357</v>
      </c>
      <c r="C363" s="113" t="s">
        <v>482</v>
      </c>
      <c r="D363" s="117">
        <v>1020</v>
      </c>
      <c r="E363" s="110">
        <v>425</v>
      </c>
      <c r="F363" s="110">
        <v>369</v>
      </c>
      <c r="G363" s="110">
        <v>0</v>
      </c>
      <c r="H363" s="111">
        <f t="shared" si="10"/>
        <v>794</v>
      </c>
      <c r="I363" s="112">
        <v>694</v>
      </c>
      <c r="J363" s="110">
        <v>0</v>
      </c>
      <c r="K363" s="110">
        <v>1</v>
      </c>
      <c r="L363" s="81"/>
      <c r="M363" s="81">
        <f>'Praroop-20 hindi'!C366</f>
        <v>389</v>
      </c>
      <c r="N363" s="81">
        <v>2</v>
      </c>
      <c r="O363" s="81"/>
      <c r="P363" s="81">
        <f>'Praroop-20 hindi'!D366</f>
        <v>85</v>
      </c>
      <c r="Q363" s="81">
        <v>3</v>
      </c>
      <c r="R363" s="81"/>
      <c r="S363" s="81">
        <f>'Praroop-20 hindi'!E366</f>
        <v>304</v>
      </c>
      <c r="T363" s="81">
        <v>4</v>
      </c>
      <c r="U363" s="81"/>
      <c r="V363" s="81">
        <f>'Praroop-20 hindi'!F366</f>
        <v>3</v>
      </c>
      <c r="W363" s="81">
        <v>5</v>
      </c>
      <c r="X363" s="81"/>
      <c r="Y363" s="81">
        <f>'Praroop-20 hindi'!G366</f>
        <v>0</v>
      </c>
      <c r="Z363" s="81">
        <v>6</v>
      </c>
      <c r="AA363" s="81"/>
      <c r="AB363" s="81">
        <f>'Praroop-20 hindi'!H366</f>
        <v>0</v>
      </c>
      <c r="AC363" s="81">
        <v>7</v>
      </c>
      <c r="AD363" s="81"/>
      <c r="AE363" s="81">
        <f>'Praroop-20 hindi'!I366</f>
        <v>1</v>
      </c>
      <c r="AF363" s="81">
        <v>8</v>
      </c>
      <c r="AG363" s="81"/>
      <c r="AH363" s="81">
        <f>'Praroop-20 hindi'!J366</f>
        <v>0</v>
      </c>
      <c r="AI363" s="81">
        <v>9</v>
      </c>
      <c r="AJ363" s="81"/>
      <c r="AK363" s="81">
        <f>'Praroop-20 hindi'!K366</f>
        <v>3</v>
      </c>
      <c r="AL363" s="81">
        <v>10</v>
      </c>
      <c r="AM363" s="81"/>
      <c r="AN363" s="81">
        <f>'Praroop-20 hindi'!L366</f>
        <v>2</v>
      </c>
      <c r="AO363" s="81">
        <v>11</v>
      </c>
      <c r="AP363" s="81"/>
      <c r="AQ363" s="81">
        <f>'Praroop-20 hindi'!M366</f>
        <v>1</v>
      </c>
      <c r="AR363" s="81">
        <f t="shared" si="11"/>
        <v>788</v>
      </c>
    </row>
    <row r="364" spans="1:44" ht="25.5">
      <c r="A364" s="81">
        <v>64</v>
      </c>
      <c r="B364" s="41">
        <v>358</v>
      </c>
      <c r="C364" s="113" t="s">
        <v>483</v>
      </c>
      <c r="D364" s="117">
        <v>397</v>
      </c>
      <c r="E364" s="110">
        <v>181</v>
      </c>
      <c r="F364" s="110">
        <v>168</v>
      </c>
      <c r="G364" s="110">
        <v>0</v>
      </c>
      <c r="H364" s="111">
        <f t="shared" si="10"/>
        <v>349</v>
      </c>
      <c r="I364" s="112">
        <v>332</v>
      </c>
      <c r="J364" s="110">
        <v>0</v>
      </c>
      <c r="K364" s="110">
        <v>1</v>
      </c>
      <c r="L364" s="81"/>
      <c r="M364" s="81">
        <f>'Praroop-20 hindi'!C367</f>
        <v>3</v>
      </c>
      <c r="N364" s="81">
        <v>2</v>
      </c>
      <c r="O364" s="81"/>
      <c r="P364" s="81">
        <f>'Praroop-20 hindi'!D367</f>
        <v>4</v>
      </c>
      <c r="Q364" s="81">
        <v>3</v>
      </c>
      <c r="R364" s="81"/>
      <c r="S364" s="81">
        <f>'Praroop-20 hindi'!E367</f>
        <v>338</v>
      </c>
      <c r="T364" s="81">
        <v>4</v>
      </c>
      <c r="U364" s="81"/>
      <c r="V364" s="81">
        <f>'Praroop-20 hindi'!F367</f>
        <v>2</v>
      </c>
      <c r="W364" s="81">
        <v>5</v>
      </c>
      <c r="X364" s="81"/>
      <c r="Y364" s="81">
        <f>'Praroop-20 hindi'!G367</f>
        <v>0</v>
      </c>
      <c r="Z364" s="81">
        <v>6</v>
      </c>
      <c r="AA364" s="81"/>
      <c r="AB364" s="81">
        <f>'Praroop-20 hindi'!H367</f>
        <v>1</v>
      </c>
      <c r="AC364" s="81">
        <v>7</v>
      </c>
      <c r="AD364" s="81"/>
      <c r="AE364" s="81">
        <f>'Praroop-20 hindi'!I367</f>
        <v>0</v>
      </c>
      <c r="AF364" s="81">
        <v>8</v>
      </c>
      <c r="AG364" s="81"/>
      <c r="AH364" s="81">
        <f>'Praroop-20 hindi'!J367</f>
        <v>0</v>
      </c>
      <c r="AI364" s="81">
        <v>9</v>
      </c>
      <c r="AJ364" s="81"/>
      <c r="AK364" s="81">
        <f>'Praroop-20 hindi'!K367</f>
        <v>0</v>
      </c>
      <c r="AL364" s="81">
        <v>10</v>
      </c>
      <c r="AM364" s="81"/>
      <c r="AN364" s="81">
        <f>'Praroop-20 hindi'!L367</f>
        <v>0</v>
      </c>
      <c r="AO364" s="81">
        <v>11</v>
      </c>
      <c r="AP364" s="81"/>
      <c r="AQ364" s="81">
        <f>'Praroop-20 hindi'!M367</f>
        <v>0</v>
      </c>
      <c r="AR364" s="81">
        <f t="shared" si="11"/>
        <v>348</v>
      </c>
    </row>
    <row r="365" spans="1:44" ht="25.5">
      <c r="A365" s="81">
        <v>64</v>
      </c>
      <c r="B365" s="41">
        <v>359</v>
      </c>
      <c r="C365" s="113" t="s">
        <v>484</v>
      </c>
      <c r="D365" s="117">
        <v>850</v>
      </c>
      <c r="E365" s="110">
        <v>345</v>
      </c>
      <c r="F365" s="110">
        <v>328</v>
      </c>
      <c r="G365" s="110">
        <v>0</v>
      </c>
      <c r="H365" s="111">
        <f t="shared" si="10"/>
        <v>673</v>
      </c>
      <c r="I365" s="112">
        <v>553</v>
      </c>
      <c r="J365" s="110">
        <v>0</v>
      </c>
      <c r="K365" s="110">
        <v>1</v>
      </c>
      <c r="L365" s="81"/>
      <c r="M365" s="81">
        <f>'Praroop-20 hindi'!C368</f>
        <v>219</v>
      </c>
      <c r="N365" s="81">
        <v>2</v>
      </c>
      <c r="O365" s="81"/>
      <c r="P365" s="81">
        <f>'Praroop-20 hindi'!D368</f>
        <v>64</v>
      </c>
      <c r="Q365" s="81">
        <v>3</v>
      </c>
      <c r="R365" s="81"/>
      <c r="S365" s="81">
        <f>'Praroop-20 hindi'!E368</f>
        <v>382</v>
      </c>
      <c r="T365" s="81">
        <v>4</v>
      </c>
      <c r="U365" s="81"/>
      <c r="V365" s="81">
        <f>'Praroop-20 hindi'!F368</f>
        <v>1</v>
      </c>
      <c r="W365" s="81">
        <v>5</v>
      </c>
      <c r="X365" s="81"/>
      <c r="Y365" s="81">
        <f>'Praroop-20 hindi'!G368</f>
        <v>0</v>
      </c>
      <c r="Z365" s="81">
        <v>6</v>
      </c>
      <c r="AA365" s="81"/>
      <c r="AB365" s="81">
        <f>'Praroop-20 hindi'!H368</f>
        <v>0</v>
      </c>
      <c r="AC365" s="81">
        <v>7</v>
      </c>
      <c r="AD365" s="81"/>
      <c r="AE365" s="81">
        <f>'Praroop-20 hindi'!I368</f>
        <v>0</v>
      </c>
      <c r="AF365" s="81">
        <v>8</v>
      </c>
      <c r="AG365" s="81"/>
      <c r="AH365" s="81">
        <f>'Praroop-20 hindi'!J368</f>
        <v>3</v>
      </c>
      <c r="AI365" s="81">
        <v>9</v>
      </c>
      <c r="AJ365" s="81"/>
      <c r="AK365" s="81">
        <f>'Praroop-20 hindi'!K368</f>
        <v>0</v>
      </c>
      <c r="AL365" s="81">
        <v>10</v>
      </c>
      <c r="AM365" s="81"/>
      <c r="AN365" s="81">
        <f>'Praroop-20 hindi'!L368</f>
        <v>0</v>
      </c>
      <c r="AO365" s="81">
        <v>11</v>
      </c>
      <c r="AP365" s="81"/>
      <c r="AQ365" s="81">
        <f>'Praroop-20 hindi'!M368</f>
        <v>0</v>
      </c>
      <c r="AR365" s="81">
        <f t="shared" si="11"/>
        <v>669</v>
      </c>
    </row>
    <row r="366" spans="1:44" ht="25.5">
      <c r="A366" s="81">
        <v>64</v>
      </c>
      <c r="B366" s="41">
        <v>360</v>
      </c>
      <c r="C366" s="113" t="s">
        <v>485</v>
      </c>
      <c r="D366" s="117">
        <v>986</v>
      </c>
      <c r="E366" s="110">
        <v>440</v>
      </c>
      <c r="F366" s="110">
        <v>373</v>
      </c>
      <c r="G366" s="110">
        <v>0</v>
      </c>
      <c r="H366" s="111">
        <f t="shared" si="10"/>
        <v>813</v>
      </c>
      <c r="I366" s="112">
        <v>714</v>
      </c>
      <c r="J366" s="110">
        <v>0</v>
      </c>
      <c r="K366" s="110">
        <v>1</v>
      </c>
      <c r="L366" s="81"/>
      <c r="M366" s="81">
        <f>'Praroop-20 hindi'!C369</f>
        <v>11</v>
      </c>
      <c r="N366" s="81">
        <v>2</v>
      </c>
      <c r="O366" s="81"/>
      <c r="P366" s="81">
        <f>'Praroop-20 hindi'!D369</f>
        <v>121</v>
      </c>
      <c r="Q366" s="81">
        <v>3</v>
      </c>
      <c r="R366" s="81"/>
      <c r="S366" s="81">
        <f>'Praroop-20 hindi'!E369</f>
        <v>660</v>
      </c>
      <c r="T366" s="81">
        <v>4</v>
      </c>
      <c r="U366" s="81"/>
      <c r="V366" s="81">
        <f>'Praroop-20 hindi'!F369</f>
        <v>4</v>
      </c>
      <c r="W366" s="81">
        <v>5</v>
      </c>
      <c r="X366" s="81"/>
      <c r="Y366" s="81">
        <f>'Praroop-20 hindi'!G369</f>
        <v>1</v>
      </c>
      <c r="Z366" s="81">
        <v>6</v>
      </c>
      <c r="AA366" s="81"/>
      <c r="AB366" s="81">
        <f>'Praroop-20 hindi'!H369</f>
        <v>0</v>
      </c>
      <c r="AC366" s="81">
        <v>7</v>
      </c>
      <c r="AD366" s="81"/>
      <c r="AE366" s="81">
        <f>'Praroop-20 hindi'!I369</f>
        <v>0</v>
      </c>
      <c r="AF366" s="81">
        <v>8</v>
      </c>
      <c r="AG366" s="81"/>
      <c r="AH366" s="81">
        <f>'Praroop-20 hindi'!J369</f>
        <v>0</v>
      </c>
      <c r="AI366" s="81">
        <v>9</v>
      </c>
      <c r="AJ366" s="81"/>
      <c r="AK366" s="81">
        <f>'Praroop-20 hindi'!K369</f>
        <v>2</v>
      </c>
      <c r="AL366" s="81">
        <v>10</v>
      </c>
      <c r="AM366" s="81"/>
      <c r="AN366" s="81">
        <f>'Praroop-20 hindi'!L369</f>
        <v>7</v>
      </c>
      <c r="AO366" s="81">
        <v>11</v>
      </c>
      <c r="AP366" s="81"/>
      <c r="AQ366" s="81">
        <f>'Praroop-20 hindi'!M369</f>
        <v>3</v>
      </c>
      <c r="AR366" s="81">
        <f t="shared" si="11"/>
        <v>809</v>
      </c>
    </row>
    <row r="367" spans="1:44" ht="25.5">
      <c r="A367" s="81">
        <v>64</v>
      </c>
      <c r="B367" s="41">
        <v>361</v>
      </c>
      <c r="C367" s="113" t="s">
        <v>486</v>
      </c>
      <c r="D367" s="117">
        <v>1008</v>
      </c>
      <c r="E367" s="110">
        <v>390</v>
      </c>
      <c r="F367" s="110">
        <v>357</v>
      </c>
      <c r="G367" s="110">
        <v>0</v>
      </c>
      <c r="H367" s="111">
        <f t="shared" si="10"/>
        <v>747</v>
      </c>
      <c r="I367" s="112">
        <v>747</v>
      </c>
      <c r="J367" s="110">
        <v>0</v>
      </c>
      <c r="K367" s="110">
        <v>1</v>
      </c>
      <c r="L367" s="81"/>
      <c r="M367" s="81">
        <f>'Praroop-20 hindi'!C370</f>
        <v>49</v>
      </c>
      <c r="N367" s="81">
        <v>2</v>
      </c>
      <c r="O367" s="81"/>
      <c r="P367" s="81">
        <f>'Praroop-20 hindi'!D370</f>
        <v>115</v>
      </c>
      <c r="Q367" s="81">
        <v>3</v>
      </c>
      <c r="R367" s="81"/>
      <c r="S367" s="81">
        <f>'Praroop-20 hindi'!E370</f>
        <v>566</v>
      </c>
      <c r="T367" s="81">
        <v>4</v>
      </c>
      <c r="U367" s="81"/>
      <c r="V367" s="81">
        <f>'Praroop-20 hindi'!F370</f>
        <v>6</v>
      </c>
      <c r="W367" s="81">
        <v>5</v>
      </c>
      <c r="X367" s="81"/>
      <c r="Y367" s="81">
        <f>'Praroop-20 hindi'!G370</f>
        <v>2</v>
      </c>
      <c r="Z367" s="81">
        <v>6</v>
      </c>
      <c r="AA367" s="81"/>
      <c r="AB367" s="81">
        <f>'Praroop-20 hindi'!H370</f>
        <v>0</v>
      </c>
      <c r="AC367" s="81">
        <v>7</v>
      </c>
      <c r="AD367" s="81"/>
      <c r="AE367" s="81">
        <f>'Praroop-20 hindi'!I370</f>
        <v>1</v>
      </c>
      <c r="AF367" s="81">
        <v>8</v>
      </c>
      <c r="AG367" s="81"/>
      <c r="AH367" s="81">
        <f>'Praroop-20 hindi'!J370</f>
        <v>0</v>
      </c>
      <c r="AI367" s="81">
        <v>9</v>
      </c>
      <c r="AJ367" s="81"/>
      <c r="AK367" s="81">
        <f>'Praroop-20 hindi'!K370</f>
        <v>1</v>
      </c>
      <c r="AL367" s="81">
        <v>10</v>
      </c>
      <c r="AM367" s="81"/>
      <c r="AN367" s="81">
        <f>'Praroop-20 hindi'!L370</f>
        <v>3</v>
      </c>
      <c r="AO367" s="81">
        <v>11</v>
      </c>
      <c r="AP367" s="81"/>
      <c r="AQ367" s="81">
        <f>'Praroop-20 hindi'!M370</f>
        <v>1</v>
      </c>
      <c r="AR367" s="81">
        <f t="shared" si="11"/>
        <v>744</v>
      </c>
    </row>
    <row r="368" spans="1:44">
      <c r="A368" s="81">
        <v>64</v>
      </c>
      <c r="B368" s="41">
        <v>362</v>
      </c>
      <c r="C368" s="113" t="s">
        <v>487</v>
      </c>
      <c r="D368" s="117">
        <v>951</v>
      </c>
      <c r="E368" s="110">
        <v>395</v>
      </c>
      <c r="F368" s="110">
        <v>350</v>
      </c>
      <c r="G368" s="110">
        <v>0</v>
      </c>
      <c r="H368" s="111">
        <f t="shared" si="10"/>
        <v>745</v>
      </c>
      <c r="I368" s="112">
        <v>745</v>
      </c>
      <c r="J368" s="110">
        <v>0</v>
      </c>
      <c r="K368" s="110">
        <v>1</v>
      </c>
      <c r="L368" s="81"/>
      <c r="M368" s="81">
        <f>'Praroop-20 hindi'!C371</f>
        <v>74</v>
      </c>
      <c r="N368" s="81">
        <v>2</v>
      </c>
      <c r="O368" s="81"/>
      <c r="P368" s="81">
        <f>'Praroop-20 hindi'!D371</f>
        <v>164</v>
      </c>
      <c r="Q368" s="81">
        <v>3</v>
      </c>
      <c r="R368" s="81"/>
      <c r="S368" s="81">
        <f>'Praroop-20 hindi'!E371</f>
        <v>499</v>
      </c>
      <c r="T368" s="81">
        <v>4</v>
      </c>
      <c r="U368" s="81"/>
      <c r="V368" s="81">
        <f>'Praroop-20 hindi'!F371</f>
        <v>3</v>
      </c>
      <c r="W368" s="81">
        <v>5</v>
      </c>
      <c r="X368" s="81"/>
      <c r="Y368" s="81">
        <f>'Praroop-20 hindi'!G371</f>
        <v>0</v>
      </c>
      <c r="Z368" s="81">
        <v>6</v>
      </c>
      <c r="AA368" s="81"/>
      <c r="AB368" s="81">
        <f>'Praroop-20 hindi'!H371</f>
        <v>0</v>
      </c>
      <c r="AC368" s="81">
        <v>7</v>
      </c>
      <c r="AD368" s="81"/>
      <c r="AE368" s="81">
        <f>'Praroop-20 hindi'!I371</f>
        <v>0</v>
      </c>
      <c r="AF368" s="81">
        <v>8</v>
      </c>
      <c r="AG368" s="81"/>
      <c r="AH368" s="81">
        <f>'Praroop-20 hindi'!J371</f>
        <v>2</v>
      </c>
      <c r="AI368" s="81">
        <v>9</v>
      </c>
      <c r="AJ368" s="81"/>
      <c r="AK368" s="81">
        <f>'Praroop-20 hindi'!K371</f>
        <v>0</v>
      </c>
      <c r="AL368" s="81">
        <v>10</v>
      </c>
      <c r="AM368" s="81"/>
      <c r="AN368" s="81">
        <f>'Praroop-20 hindi'!L371</f>
        <v>2</v>
      </c>
      <c r="AO368" s="81">
        <v>11</v>
      </c>
      <c r="AP368" s="81"/>
      <c r="AQ368" s="81">
        <f>'Praroop-20 hindi'!M371</f>
        <v>1</v>
      </c>
      <c r="AR368" s="81">
        <f t="shared" si="11"/>
        <v>745</v>
      </c>
    </row>
    <row r="369" spans="1:44" ht="25.5">
      <c r="A369" s="81">
        <v>64</v>
      </c>
      <c r="B369" s="41">
        <v>363</v>
      </c>
      <c r="C369" s="113" t="s">
        <v>488</v>
      </c>
      <c r="D369" s="117">
        <v>463</v>
      </c>
      <c r="E369" s="110">
        <v>191</v>
      </c>
      <c r="F369" s="110">
        <v>198</v>
      </c>
      <c r="G369" s="110">
        <v>0</v>
      </c>
      <c r="H369" s="111">
        <f t="shared" si="10"/>
        <v>389</v>
      </c>
      <c r="I369" s="112">
        <v>389</v>
      </c>
      <c r="J369" s="110">
        <v>0</v>
      </c>
      <c r="K369" s="110">
        <v>1</v>
      </c>
      <c r="L369" s="81"/>
      <c r="M369" s="81">
        <f>'Praroop-20 hindi'!C372</f>
        <v>50</v>
      </c>
      <c r="N369" s="81">
        <v>2</v>
      </c>
      <c r="O369" s="81"/>
      <c r="P369" s="81">
        <f>'Praroop-20 hindi'!D372</f>
        <v>33</v>
      </c>
      <c r="Q369" s="81">
        <v>3</v>
      </c>
      <c r="R369" s="81"/>
      <c r="S369" s="81">
        <f>'Praroop-20 hindi'!E372</f>
        <v>296</v>
      </c>
      <c r="T369" s="81">
        <v>4</v>
      </c>
      <c r="U369" s="81"/>
      <c r="V369" s="81">
        <f>'Praroop-20 hindi'!F372</f>
        <v>1</v>
      </c>
      <c r="W369" s="81">
        <v>5</v>
      </c>
      <c r="X369" s="81"/>
      <c r="Y369" s="81">
        <f>'Praroop-20 hindi'!G372</f>
        <v>0</v>
      </c>
      <c r="Z369" s="81">
        <v>6</v>
      </c>
      <c r="AA369" s="81"/>
      <c r="AB369" s="81">
        <f>'Praroop-20 hindi'!H372</f>
        <v>0</v>
      </c>
      <c r="AC369" s="81">
        <v>7</v>
      </c>
      <c r="AD369" s="81"/>
      <c r="AE369" s="81">
        <f>'Praroop-20 hindi'!I372</f>
        <v>1</v>
      </c>
      <c r="AF369" s="81">
        <v>8</v>
      </c>
      <c r="AG369" s="81"/>
      <c r="AH369" s="81">
        <f>'Praroop-20 hindi'!J372</f>
        <v>2</v>
      </c>
      <c r="AI369" s="81">
        <v>9</v>
      </c>
      <c r="AJ369" s="81"/>
      <c r="AK369" s="81">
        <f>'Praroop-20 hindi'!K372</f>
        <v>0</v>
      </c>
      <c r="AL369" s="81">
        <v>10</v>
      </c>
      <c r="AM369" s="81"/>
      <c r="AN369" s="81">
        <f>'Praroop-20 hindi'!L372</f>
        <v>4</v>
      </c>
      <c r="AO369" s="81">
        <v>11</v>
      </c>
      <c r="AP369" s="81"/>
      <c r="AQ369" s="81">
        <f>'Praroop-20 hindi'!M372</f>
        <v>2</v>
      </c>
      <c r="AR369" s="81">
        <f t="shared" si="11"/>
        <v>389</v>
      </c>
    </row>
    <row r="370" spans="1:44" ht="38.25">
      <c r="A370" s="81">
        <v>64</v>
      </c>
      <c r="B370" s="41">
        <v>364</v>
      </c>
      <c r="C370" s="113" t="s">
        <v>489</v>
      </c>
      <c r="D370" s="117">
        <v>698</v>
      </c>
      <c r="E370" s="110">
        <v>298</v>
      </c>
      <c r="F370" s="110">
        <v>250</v>
      </c>
      <c r="G370" s="110">
        <v>0</v>
      </c>
      <c r="H370" s="111">
        <f t="shared" si="10"/>
        <v>548</v>
      </c>
      <c r="I370" s="112">
        <v>548</v>
      </c>
      <c r="J370" s="110">
        <v>0</v>
      </c>
      <c r="K370" s="110">
        <v>1</v>
      </c>
      <c r="L370" s="81"/>
      <c r="M370" s="81">
        <f>'Praroop-20 hindi'!C373</f>
        <v>4</v>
      </c>
      <c r="N370" s="81">
        <v>2</v>
      </c>
      <c r="O370" s="81"/>
      <c r="P370" s="81">
        <f>'Praroop-20 hindi'!D373</f>
        <v>113</v>
      </c>
      <c r="Q370" s="81">
        <v>3</v>
      </c>
      <c r="R370" s="81"/>
      <c r="S370" s="81">
        <f>'Praroop-20 hindi'!E373</f>
        <v>419</v>
      </c>
      <c r="T370" s="81">
        <v>4</v>
      </c>
      <c r="U370" s="81"/>
      <c r="V370" s="81">
        <f>'Praroop-20 hindi'!F373</f>
        <v>3</v>
      </c>
      <c r="W370" s="81">
        <v>5</v>
      </c>
      <c r="X370" s="81"/>
      <c r="Y370" s="81">
        <f>'Praroop-20 hindi'!G373</f>
        <v>1</v>
      </c>
      <c r="Z370" s="81">
        <v>6</v>
      </c>
      <c r="AA370" s="81"/>
      <c r="AB370" s="81">
        <f>'Praroop-20 hindi'!H373</f>
        <v>0</v>
      </c>
      <c r="AC370" s="81">
        <v>7</v>
      </c>
      <c r="AD370" s="81"/>
      <c r="AE370" s="81">
        <f>'Praroop-20 hindi'!I373</f>
        <v>0</v>
      </c>
      <c r="AF370" s="81">
        <v>8</v>
      </c>
      <c r="AG370" s="81"/>
      <c r="AH370" s="81">
        <f>'Praroop-20 hindi'!J373</f>
        <v>0</v>
      </c>
      <c r="AI370" s="81">
        <v>9</v>
      </c>
      <c r="AJ370" s="81"/>
      <c r="AK370" s="81">
        <f>'Praroop-20 hindi'!K373</f>
        <v>1</v>
      </c>
      <c r="AL370" s="81">
        <v>10</v>
      </c>
      <c r="AM370" s="81"/>
      <c r="AN370" s="81">
        <f>'Praroop-20 hindi'!L373</f>
        <v>5</v>
      </c>
      <c r="AO370" s="81">
        <v>11</v>
      </c>
      <c r="AP370" s="81"/>
      <c r="AQ370" s="81">
        <f>'Praroop-20 hindi'!M373</f>
        <v>0</v>
      </c>
      <c r="AR370" s="81">
        <f t="shared" si="11"/>
        <v>546</v>
      </c>
    </row>
    <row r="371" spans="1:44" ht="38.25">
      <c r="A371" s="81">
        <v>64</v>
      </c>
      <c r="B371" s="41">
        <v>365</v>
      </c>
      <c r="C371" s="113" t="s">
        <v>490</v>
      </c>
      <c r="D371" s="117">
        <v>745</v>
      </c>
      <c r="E371" s="110">
        <v>297</v>
      </c>
      <c r="F371" s="110">
        <v>263</v>
      </c>
      <c r="G371" s="110">
        <v>0</v>
      </c>
      <c r="H371" s="111">
        <f t="shared" si="10"/>
        <v>560</v>
      </c>
      <c r="I371" s="112">
        <v>560</v>
      </c>
      <c r="J371" s="110">
        <v>0</v>
      </c>
      <c r="K371" s="110">
        <v>1</v>
      </c>
      <c r="L371" s="81"/>
      <c r="M371" s="81">
        <f>'Praroop-20 hindi'!C374</f>
        <v>98</v>
      </c>
      <c r="N371" s="81">
        <v>2</v>
      </c>
      <c r="O371" s="81"/>
      <c r="P371" s="81">
        <f>'Praroop-20 hindi'!D374</f>
        <v>297</v>
      </c>
      <c r="Q371" s="81">
        <v>3</v>
      </c>
      <c r="R371" s="81"/>
      <c r="S371" s="81">
        <f>'Praroop-20 hindi'!E374</f>
        <v>137</v>
      </c>
      <c r="T371" s="81">
        <v>4</v>
      </c>
      <c r="U371" s="81"/>
      <c r="V371" s="81">
        <f>'Praroop-20 hindi'!F374</f>
        <v>1</v>
      </c>
      <c r="W371" s="81">
        <v>5</v>
      </c>
      <c r="X371" s="81"/>
      <c r="Y371" s="81">
        <f>'Praroop-20 hindi'!G374</f>
        <v>1</v>
      </c>
      <c r="Z371" s="81">
        <v>6</v>
      </c>
      <c r="AA371" s="81"/>
      <c r="AB371" s="81">
        <f>'Praroop-20 hindi'!H374</f>
        <v>0</v>
      </c>
      <c r="AC371" s="81">
        <v>7</v>
      </c>
      <c r="AD371" s="81"/>
      <c r="AE371" s="81">
        <f>'Praroop-20 hindi'!I374</f>
        <v>0</v>
      </c>
      <c r="AF371" s="81">
        <v>8</v>
      </c>
      <c r="AG371" s="81"/>
      <c r="AH371" s="81">
        <f>'Praroop-20 hindi'!J374</f>
        <v>0</v>
      </c>
      <c r="AI371" s="81">
        <v>9</v>
      </c>
      <c r="AJ371" s="81"/>
      <c r="AK371" s="81">
        <f>'Praroop-20 hindi'!K374</f>
        <v>17</v>
      </c>
      <c r="AL371" s="81">
        <v>10</v>
      </c>
      <c r="AM371" s="81"/>
      <c r="AN371" s="81">
        <f>'Praroop-20 hindi'!L374</f>
        <v>2</v>
      </c>
      <c r="AO371" s="81">
        <v>11</v>
      </c>
      <c r="AP371" s="81"/>
      <c r="AQ371" s="81">
        <f>'Praroop-20 hindi'!M374</f>
        <v>3</v>
      </c>
      <c r="AR371" s="81">
        <f t="shared" si="11"/>
        <v>556</v>
      </c>
    </row>
    <row r="372" spans="1:44" ht="38.25">
      <c r="A372" s="81">
        <v>64</v>
      </c>
      <c r="B372" s="41">
        <v>366</v>
      </c>
      <c r="C372" s="113" t="s">
        <v>491</v>
      </c>
      <c r="D372" s="117">
        <v>863</v>
      </c>
      <c r="E372" s="110">
        <v>349</v>
      </c>
      <c r="F372" s="110">
        <v>302</v>
      </c>
      <c r="G372" s="110">
        <v>0</v>
      </c>
      <c r="H372" s="111">
        <f t="shared" si="10"/>
        <v>651</v>
      </c>
      <c r="I372" s="112">
        <v>651</v>
      </c>
      <c r="J372" s="110">
        <v>0</v>
      </c>
      <c r="K372" s="110">
        <v>1</v>
      </c>
      <c r="L372" s="81"/>
      <c r="M372" s="81">
        <f>'Praroop-20 hindi'!C375</f>
        <v>13</v>
      </c>
      <c r="N372" s="81">
        <v>2</v>
      </c>
      <c r="O372" s="81"/>
      <c r="P372" s="81">
        <f>'Praroop-20 hindi'!D375</f>
        <v>315</v>
      </c>
      <c r="Q372" s="81">
        <v>3</v>
      </c>
      <c r="R372" s="81"/>
      <c r="S372" s="81">
        <f>'Praroop-20 hindi'!E375</f>
        <v>302</v>
      </c>
      <c r="T372" s="81">
        <v>4</v>
      </c>
      <c r="U372" s="81"/>
      <c r="V372" s="81">
        <f>'Praroop-20 hindi'!F375</f>
        <v>5</v>
      </c>
      <c r="W372" s="81">
        <v>5</v>
      </c>
      <c r="X372" s="81"/>
      <c r="Y372" s="81">
        <f>'Praroop-20 hindi'!G375</f>
        <v>0</v>
      </c>
      <c r="Z372" s="81">
        <v>6</v>
      </c>
      <c r="AA372" s="81"/>
      <c r="AB372" s="81">
        <f>'Praroop-20 hindi'!H375</f>
        <v>2</v>
      </c>
      <c r="AC372" s="81">
        <v>7</v>
      </c>
      <c r="AD372" s="81"/>
      <c r="AE372" s="81">
        <f>'Praroop-20 hindi'!I375</f>
        <v>1</v>
      </c>
      <c r="AF372" s="81">
        <v>8</v>
      </c>
      <c r="AG372" s="81"/>
      <c r="AH372" s="81">
        <f>'Praroop-20 hindi'!J375</f>
        <v>1</v>
      </c>
      <c r="AI372" s="81">
        <v>9</v>
      </c>
      <c r="AJ372" s="81"/>
      <c r="AK372" s="81">
        <f>'Praroop-20 hindi'!K375</f>
        <v>5</v>
      </c>
      <c r="AL372" s="81">
        <v>10</v>
      </c>
      <c r="AM372" s="81"/>
      <c r="AN372" s="81">
        <f>'Praroop-20 hindi'!L375</f>
        <v>1</v>
      </c>
      <c r="AO372" s="81">
        <v>11</v>
      </c>
      <c r="AP372" s="81"/>
      <c r="AQ372" s="81">
        <f>'Praroop-20 hindi'!M375</f>
        <v>3</v>
      </c>
      <c r="AR372" s="81">
        <f t="shared" si="11"/>
        <v>648</v>
      </c>
    </row>
    <row r="373" spans="1:44" ht="38.25">
      <c r="A373" s="81">
        <v>64</v>
      </c>
      <c r="B373" s="41">
        <v>367</v>
      </c>
      <c r="C373" s="113" t="s">
        <v>492</v>
      </c>
      <c r="D373" s="117">
        <v>999</v>
      </c>
      <c r="E373" s="110">
        <v>377</v>
      </c>
      <c r="F373" s="110">
        <v>286</v>
      </c>
      <c r="G373" s="110">
        <v>0</v>
      </c>
      <c r="H373" s="111">
        <f t="shared" si="10"/>
        <v>663</v>
      </c>
      <c r="I373" s="112">
        <v>663</v>
      </c>
      <c r="J373" s="110">
        <v>0</v>
      </c>
      <c r="K373" s="110">
        <v>1</v>
      </c>
      <c r="L373" s="81"/>
      <c r="M373" s="81">
        <f>'Praroop-20 hindi'!C376</f>
        <v>8</v>
      </c>
      <c r="N373" s="81">
        <v>2</v>
      </c>
      <c r="O373" s="81"/>
      <c r="P373" s="81">
        <f>'Praroop-20 hindi'!D376</f>
        <v>224</v>
      </c>
      <c r="Q373" s="81">
        <v>3</v>
      </c>
      <c r="R373" s="81"/>
      <c r="S373" s="81">
        <f>'Praroop-20 hindi'!E376</f>
        <v>411</v>
      </c>
      <c r="T373" s="81">
        <v>4</v>
      </c>
      <c r="U373" s="81"/>
      <c r="V373" s="81">
        <f>'Praroop-20 hindi'!F376</f>
        <v>7</v>
      </c>
      <c r="W373" s="81">
        <v>5</v>
      </c>
      <c r="X373" s="81"/>
      <c r="Y373" s="81">
        <f>'Praroop-20 hindi'!G376</f>
        <v>2</v>
      </c>
      <c r="Z373" s="81">
        <v>6</v>
      </c>
      <c r="AA373" s="81"/>
      <c r="AB373" s="81">
        <f>'Praroop-20 hindi'!H376</f>
        <v>1</v>
      </c>
      <c r="AC373" s="81">
        <v>7</v>
      </c>
      <c r="AD373" s="81"/>
      <c r="AE373" s="81">
        <f>'Praroop-20 hindi'!I376</f>
        <v>0</v>
      </c>
      <c r="AF373" s="81">
        <v>8</v>
      </c>
      <c r="AG373" s="81"/>
      <c r="AH373" s="81">
        <f>'Praroop-20 hindi'!J376</f>
        <v>1</v>
      </c>
      <c r="AI373" s="81">
        <v>9</v>
      </c>
      <c r="AJ373" s="81"/>
      <c r="AK373" s="81">
        <f>'Praroop-20 hindi'!K376</f>
        <v>0</v>
      </c>
      <c r="AL373" s="81">
        <v>10</v>
      </c>
      <c r="AM373" s="81"/>
      <c r="AN373" s="81">
        <f>'Praroop-20 hindi'!L376</f>
        <v>3</v>
      </c>
      <c r="AO373" s="81">
        <v>11</v>
      </c>
      <c r="AP373" s="81"/>
      <c r="AQ373" s="81">
        <f>'Praroop-20 hindi'!M376</f>
        <v>2</v>
      </c>
      <c r="AR373" s="81">
        <f t="shared" si="11"/>
        <v>659</v>
      </c>
    </row>
    <row r="374" spans="1:44" ht="38.25">
      <c r="A374" s="81">
        <v>64</v>
      </c>
      <c r="B374" s="41">
        <v>368</v>
      </c>
      <c r="C374" s="113" t="s">
        <v>493</v>
      </c>
      <c r="D374" s="117">
        <v>896</v>
      </c>
      <c r="E374" s="110">
        <v>328</v>
      </c>
      <c r="F374" s="110">
        <v>240</v>
      </c>
      <c r="G374" s="110">
        <v>0</v>
      </c>
      <c r="H374" s="111">
        <f t="shared" si="10"/>
        <v>568</v>
      </c>
      <c r="I374" s="112">
        <v>568</v>
      </c>
      <c r="J374" s="110">
        <v>0</v>
      </c>
      <c r="K374" s="110">
        <v>1</v>
      </c>
      <c r="L374" s="81"/>
      <c r="M374" s="81">
        <f>'Praroop-20 hindi'!C377</f>
        <v>254</v>
      </c>
      <c r="N374" s="81">
        <v>2</v>
      </c>
      <c r="O374" s="81"/>
      <c r="P374" s="81">
        <f>'Praroop-20 hindi'!D377</f>
        <v>207</v>
      </c>
      <c r="Q374" s="81">
        <v>3</v>
      </c>
      <c r="R374" s="81"/>
      <c r="S374" s="81">
        <f>'Praroop-20 hindi'!E377</f>
        <v>97</v>
      </c>
      <c r="T374" s="81">
        <v>4</v>
      </c>
      <c r="U374" s="81"/>
      <c r="V374" s="81">
        <f>'Praroop-20 hindi'!F377</f>
        <v>1</v>
      </c>
      <c r="W374" s="81">
        <v>5</v>
      </c>
      <c r="X374" s="81"/>
      <c r="Y374" s="81">
        <f>'Praroop-20 hindi'!G377</f>
        <v>0</v>
      </c>
      <c r="Z374" s="81">
        <v>6</v>
      </c>
      <c r="AA374" s="81"/>
      <c r="AB374" s="81">
        <f>'Praroop-20 hindi'!H377</f>
        <v>0</v>
      </c>
      <c r="AC374" s="81">
        <v>7</v>
      </c>
      <c r="AD374" s="81"/>
      <c r="AE374" s="81">
        <f>'Praroop-20 hindi'!I377</f>
        <v>1</v>
      </c>
      <c r="AF374" s="81">
        <v>8</v>
      </c>
      <c r="AG374" s="81"/>
      <c r="AH374" s="81">
        <f>'Praroop-20 hindi'!J377</f>
        <v>0</v>
      </c>
      <c r="AI374" s="81">
        <v>9</v>
      </c>
      <c r="AJ374" s="81"/>
      <c r="AK374" s="81">
        <f>'Praroop-20 hindi'!K377</f>
        <v>0</v>
      </c>
      <c r="AL374" s="81">
        <v>10</v>
      </c>
      <c r="AM374" s="81"/>
      <c r="AN374" s="81">
        <f>'Praroop-20 hindi'!L377</f>
        <v>2</v>
      </c>
      <c r="AO374" s="81">
        <v>11</v>
      </c>
      <c r="AP374" s="81"/>
      <c r="AQ374" s="81">
        <f>'Praroop-20 hindi'!M377</f>
        <v>2</v>
      </c>
      <c r="AR374" s="81">
        <f t="shared" si="11"/>
        <v>564</v>
      </c>
    </row>
    <row r="375" spans="1:44" ht="25.5">
      <c r="A375" s="81">
        <v>64</v>
      </c>
      <c r="B375" s="41">
        <v>369</v>
      </c>
      <c r="C375" s="113" t="s">
        <v>494</v>
      </c>
      <c r="D375" s="117">
        <v>827</v>
      </c>
      <c r="E375" s="110">
        <v>340</v>
      </c>
      <c r="F375" s="110">
        <v>263</v>
      </c>
      <c r="G375" s="110">
        <v>0</v>
      </c>
      <c r="H375" s="111">
        <f t="shared" si="10"/>
        <v>603</v>
      </c>
      <c r="I375" s="112">
        <v>603</v>
      </c>
      <c r="J375" s="110">
        <v>0</v>
      </c>
      <c r="K375" s="110">
        <v>1</v>
      </c>
      <c r="L375" s="81"/>
      <c r="M375" s="81">
        <f>'Praroop-20 hindi'!C378</f>
        <v>203</v>
      </c>
      <c r="N375" s="81">
        <v>2</v>
      </c>
      <c r="O375" s="81"/>
      <c r="P375" s="81">
        <f>'Praroop-20 hindi'!D378</f>
        <v>39</v>
      </c>
      <c r="Q375" s="81">
        <v>3</v>
      </c>
      <c r="R375" s="81"/>
      <c r="S375" s="81">
        <f>'Praroop-20 hindi'!E378</f>
        <v>349</v>
      </c>
      <c r="T375" s="81">
        <v>4</v>
      </c>
      <c r="U375" s="81"/>
      <c r="V375" s="81">
        <f>'Praroop-20 hindi'!F378</f>
        <v>1</v>
      </c>
      <c r="W375" s="81">
        <v>5</v>
      </c>
      <c r="X375" s="81"/>
      <c r="Y375" s="81">
        <f>'Praroop-20 hindi'!G378</f>
        <v>0</v>
      </c>
      <c r="Z375" s="81">
        <v>6</v>
      </c>
      <c r="AA375" s="81"/>
      <c r="AB375" s="81">
        <f>'Praroop-20 hindi'!H378</f>
        <v>0</v>
      </c>
      <c r="AC375" s="81">
        <v>7</v>
      </c>
      <c r="AD375" s="81"/>
      <c r="AE375" s="81">
        <f>'Praroop-20 hindi'!I378</f>
        <v>0</v>
      </c>
      <c r="AF375" s="81">
        <v>8</v>
      </c>
      <c r="AG375" s="81"/>
      <c r="AH375" s="81">
        <f>'Praroop-20 hindi'!J378</f>
        <v>2</v>
      </c>
      <c r="AI375" s="81">
        <v>9</v>
      </c>
      <c r="AJ375" s="81"/>
      <c r="AK375" s="81">
        <f>'Praroop-20 hindi'!K378</f>
        <v>1</v>
      </c>
      <c r="AL375" s="81">
        <v>10</v>
      </c>
      <c r="AM375" s="81"/>
      <c r="AN375" s="81">
        <f>'Praroop-20 hindi'!L378</f>
        <v>6</v>
      </c>
      <c r="AO375" s="81">
        <v>11</v>
      </c>
      <c r="AP375" s="81"/>
      <c r="AQ375" s="81">
        <f>'Praroop-20 hindi'!M378</f>
        <v>0</v>
      </c>
      <c r="AR375" s="81">
        <f t="shared" si="11"/>
        <v>601</v>
      </c>
    </row>
    <row r="376" spans="1:44" ht="51">
      <c r="A376" s="81">
        <v>64</v>
      </c>
      <c r="B376" s="41">
        <v>370</v>
      </c>
      <c r="C376" s="116" t="s">
        <v>495</v>
      </c>
      <c r="D376" s="117">
        <v>844</v>
      </c>
      <c r="E376" s="110">
        <v>413</v>
      </c>
      <c r="F376" s="110">
        <v>240</v>
      </c>
      <c r="G376" s="110">
        <v>0</v>
      </c>
      <c r="H376" s="111">
        <f t="shared" si="10"/>
        <v>653</v>
      </c>
      <c r="I376" s="112">
        <v>653</v>
      </c>
      <c r="J376" s="110">
        <v>0</v>
      </c>
      <c r="K376" s="110">
        <v>1</v>
      </c>
      <c r="L376" s="81"/>
      <c r="M376" s="81">
        <f>'Praroop-20 hindi'!C379</f>
        <v>156</v>
      </c>
      <c r="N376" s="81">
        <v>2</v>
      </c>
      <c r="O376" s="81"/>
      <c r="P376" s="81">
        <f>'Praroop-20 hindi'!D379</f>
        <v>37</v>
      </c>
      <c r="Q376" s="81">
        <v>3</v>
      </c>
      <c r="R376" s="81"/>
      <c r="S376" s="81">
        <f>'Praroop-20 hindi'!E379</f>
        <v>449</v>
      </c>
      <c r="T376" s="81">
        <v>4</v>
      </c>
      <c r="U376" s="81"/>
      <c r="V376" s="81">
        <f>'Praroop-20 hindi'!F379</f>
        <v>1</v>
      </c>
      <c r="W376" s="81">
        <v>5</v>
      </c>
      <c r="X376" s="81"/>
      <c r="Y376" s="81">
        <f>'Praroop-20 hindi'!G379</f>
        <v>1</v>
      </c>
      <c r="Z376" s="81">
        <v>6</v>
      </c>
      <c r="AA376" s="81"/>
      <c r="AB376" s="81">
        <f>'Praroop-20 hindi'!H379</f>
        <v>0</v>
      </c>
      <c r="AC376" s="81">
        <v>7</v>
      </c>
      <c r="AD376" s="81"/>
      <c r="AE376" s="81">
        <f>'Praroop-20 hindi'!I379</f>
        <v>1</v>
      </c>
      <c r="AF376" s="81">
        <v>8</v>
      </c>
      <c r="AG376" s="81"/>
      <c r="AH376" s="81">
        <f>'Praroop-20 hindi'!J379</f>
        <v>1</v>
      </c>
      <c r="AI376" s="81">
        <v>9</v>
      </c>
      <c r="AJ376" s="81"/>
      <c r="AK376" s="81">
        <f>'Praroop-20 hindi'!K379</f>
        <v>0</v>
      </c>
      <c r="AL376" s="81">
        <v>10</v>
      </c>
      <c r="AM376" s="81"/>
      <c r="AN376" s="81">
        <f>'Praroop-20 hindi'!L379</f>
        <v>1</v>
      </c>
      <c r="AO376" s="81">
        <v>11</v>
      </c>
      <c r="AP376" s="81"/>
      <c r="AQ376" s="81">
        <f>'Praroop-20 hindi'!M379</f>
        <v>6</v>
      </c>
      <c r="AR376" s="81">
        <f t="shared" si="11"/>
        <v>653</v>
      </c>
    </row>
    <row r="377" spans="1:44" ht="51">
      <c r="A377" s="81">
        <v>64</v>
      </c>
      <c r="B377" s="41">
        <v>371</v>
      </c>
      <c r="C377" s="116" t="s">
        <v>496</v>
      </c>
      <c r="D377" s="117">
        <v>913</v>
      </c>
      <c r="E377" s="110">
        <v>388</v>
      </c>
      <c r="F377" s="110">
        <v>331</v>
      </c>
      <c r="G377" s="110">
        <v>0</v>
      </c>
      <c r="H377" s="111">
        <f t="shared" si="10"/>
        <v>719</v>
      </c>
      <c r="I377" s="112">
        <v>719</v>
      </c>
      <c r="J377" s="110">
        <v>0</v>
      </c>
      <c r="K377" s="110">
        <v>1</v>
      </c>
      <c r="L377" s="81"/>
      <c r="M377" s="81">
        <f>'Praroop-20 hindi'!C380</f>
        <v>54</v>
      </c>
      <c r="N377" s="81">
        <v>2</v>
      </c>
      <c r="O377" s="81"/>
      <c r="P377" s="81">
        <f>'Praroop-20 hindi'!D380</f>
        <v>169</v>
      </c>
      <c r="Q377" s="81">
        <v>3</v>
      </c>
      <c r="R377" s="81"/>
      <c r="S377" s="81">
        <f>'Praroop-20 hindi'!E380</f>
        <v>479</v>
      </c>
      <c r="T377" s="81">
        <v>4</v>
      </c>
      <c r="U377" s="81"/>
      <c r="V377" s="81">
        <f>'Praroop-20 hindi'!F380</f>
        <v>6</v>
      </c>
      <c r="W377" s="81">
        <v>5</v>
      </c>
      <c r="X377" s="81"/>
      <c r="Y377" s="81">
        <f>'Praroop-20 hindi'!G380</f>
        <v>0</v>
      </c>
      <c r="Z377" s="81">
        <v>6</v>
      </c>
      <c r="AA377" s="81"/>
      <c r="AB377" s="81">
        <f>'Praroop-20 hindi'!H380</f>
        <v>1</v>
      </c>
      <c r="AC377" s="81">
        <v>7</v>
      </c>
      <c r="AD377" s="81"/>
      <c r="AE377" s="81">
        <f>'Praroop-20 hindi'!I380</f>
        <v>1</v>
      </c>
      <c r="AF377" s="81">
        <v>8</v>
      </c>
      <c r="AG377" s="81"/>
      <c r="AH377" s="81">
        <f>'Praroop-20 hindi'!J380</f>
        <v>1</v>
      </c>
      <c r="AI377" s="81">
        <v>9</v>
      </c>
      <c r="AJ377" s="81"/>
      <c r="AK377" s="81">
        <f>'Praroop-20 hindi'!K380</f>
        <v>2</v>
      </c>
      <c r="AL377" s="81">
        <v>10</v>
      </c>
      <c r="AM377" s="81"/>
      <c r="AN377" s="81">
        <f>'Praroop-20 hindi'!L380</f>
        <v>5</v>
      </c>
      <c r="AO377" s="81">
        <v>11</v>
      </c>
      <c r="AP377" s="81"/>
      <c r="AQ377" s="81">
        <f>'Praroop-20 hindi'!M380</f>
        <v>0</v>
      </c>
      <c r="AR377" s="81">
        <f t="shared" si="11"/>
        <v>718</v>
      </c>
    </row>
    <row r="378" spans="1:44" ht="51">
      <c r="A378" s="81">
        <v>64</v>
      </c>
      <c r="B378" s="41">
        <v>372</v>
      </c>
      <c r="C378" s="116" t="s">
        <v>497</v>
      </c>
      <c r="D378" s="117">
        <v>824</v>
      </c>
      <c r="E378" s="110">
        <v>347</v>
      </c>
      <c r="F378" s="110">
        <v>266</v>
      </c>
      <c r="G378" s="110">
        <v>0</v>
      </c>
      <c r="H378" s="111">
        <f t="shared" si="10"/>
        <v>613</v>
      </c>
      <c r="I378" s="112">
        <v>613</v>
      </c>
      <c r="J378" s="110">
        <v>0</v>
      </c>
      <c r="K378" s="110">
        <v>1</v>
      </c>
      <c r="L378" s="81"/>
      <c r="M378" s="81">
        <f>'Praroop-20 hindi'!C381</f>
        <v>238</v>
      </c>
      <c r="N378" s="81">
        <v>2</v>
      </c>
      <c r="O378" s="81"/>
      <c r="P378" s="81">
        <f>'Praroop-20 hindi'!D381</f>
        <v>27</v>
      </c>
      <c r="Q378" s="81">
        <v>3</v>
      </c>
      <c r="R378" s="81"/>
      <c r="S378" s="81">
        <f>'Praroop-20 hindi'!E381</f>
        <v>339</v>
      </c>
      <c r="T378" s="81">
        <v>4</v>
      </c>
      <c r="U378" s="81"/>
      <c r="V378" s="81">
        <f>'Praroop-20 hindi'!F381</f>
        <v>3</v>
      </c>
      <c r="W378" s="81">
        <v>5</v>
      </c>
      <c r="X378" s="81"/>
      <c r="Y378" s="81">
        <f>'Praroop-20 hindi'!G381</f>
        <v>0</v>
      </c>
      <c r="Z378" s="81">
        <v>6</v>
      </c>
      <c r="AA378" s="81"/>
      <c r="AB378" s="81">
        <f>'Praroop-20 hindi'!H381</f>
        <v>0</v>
      </c>
      <c r="AC378" s="81">
        <v>7</v>
      </c>
      <c r="AD378" s="81"/>
      <c r="AE378" s="81">
        <f>'Praroop-20 hindi'!I381</f>
        <v>0</v>
      </c>
      <c r="AF378" s="81">
        <v>8</v>
      </c>
      <c r="AG378" s="81"/>
      <c r="AH378" s="81">
        <f>'Praroop-20 hindi'!J381</f>
        <v>1</v>
      </c>
      <c r="AI378" s="81">
        <v>9</v>
      </c>
      <c r="AJ378" s="81"/>
      <c r="AK378" s="81">
        <f>'Praroop-20 hindi'!K381</f>
        <v>0</v>
      </c>
      <c r="AL378" s="81">
        <v>10</v>
      </c>
      <c r="AM378" s="81"/>
      <c r="AN378" s="81">
        <f>'Praroop-20 hindi'!L381</f>
        <v>1</v>
      </c>
      <c r="AO378" s="81">
        <v>11</v>
      </c>
      <c r="AP378" s="81"/>
      <c r="AQ378" s="81">
        <f>'Praroop-20 hindi'!M381</f>
        <v>0</v>
      </c>
      <c r="AR378" s="81">
        <f t="shared" si="11"/>
        <v>609</v>
      </c>
    </row>
    <row r="379" spans="1:44" ht="25.5">
      <c r="A379" s="81">
        <v>64</v>
      </c>
      <c r="B379" s="41">
        <v>373</v>
      </c>
      <c r="C379" s="113" t="s">
        <v>498</v>
      </c>
      <c r="D379" s="117">
        <v>1154</v>
      </c>
      <c r="E379" s="110">
        <v>383</v>
      </c>
      <c r="F379" s="110">
        <v>336</v>
      </c>
      <c r="G379" s="110">
        <v>0</v>
      </c>
      <c r="H379" s="111">
        <f t="shared" si="10"/>
        <v>719</v>
      </c>
      <c r="I379" s="112">
        <v>719</v>
      </c>
      <c r="J379" s="110">
        <v>0</v>
      </c>
      <c r="K379" s="110">
        <v>1</v>
      </c>
      <c r="L379" s="81"/>
      <c r="M379" s="81">
        <f>'Praroop-20 hindi'!C382</f>
        <v>66</v>
      </c>
      <c r="N379" s="81">
        <v>2</v>
      </c>
      <c r="O379" s="81"/>
      <c r="P379" s="81">
        <f>'Praroop-20 hindi'!D382</f>
        <v>134</v>
      </c>
      <c r="Q379" s="81">
        <v>3</v>
      </c>
      <c r="R379" s="81"/>
      <c r="S379" s="81">
        <f>'Praroop-20 hindi'!E382</f>
        <v>504</v>
      </c>
      <c r="T379" s="81">
        <v>4</v>
      </c>
      <c r="U379" s="81"/>
      <c r="V379" s="81">
        <f>'Praroop-20 hindi'!F382</f>
        <v>7</v>
      </c>
      <c r="W379" s="81">
        <v>5</v>
      </c>
      <c r="X379" s="81"/>
      <c r="Y379" s="81">
        <f>'Praroop-20 hindi'!G382</f>
        <v>0</v>
      </c>
      <c r="Z379" s="81">
        <v>6</v>
      </c>
      <c r="AA379" s="81"/>
      <c r="AB379" s="81">
        <f>'Praroop-20 hindi'!H382</f>
        <v>0</v>
      </c>
      <c r="AC379" s="81">
        <v>7</v>
      </c>
      <c r="AD379" s="81"/>
      <c r="AE379" s="81">
        <f>'Praroop-20 hindi'!I382</f>
        <v>0</v>
      </c>
      <c r="AF379" s="81">
        <v>8</v>
      </c>
      <c r="AG379" s="81"/>
      <c r="AH379" s="81">
        <f>'Praroop-20 hindi'!J382</f>
        <v>2</v>
      </c>
      <c r="AI379" s="81">
        <v>9</v>
      </c>
      <c r="AJ379" s="81"/>
      <c r="AK379" s="81">
        <f>'Praroop-20 hindi'!K382</f>
        <v>0</v>
      </c>
      <c r="AL379" s="81">
        <v>10</v>
      </c>
      <c r="AM379" s="81"/>
      <c r="AN379" s="81">
        <f>'Praroop-20 hindi'!L382</f>
        <v>2</v>
      </c>
      <c r="AO379" s="81">
        <v>11</v>
      </c>
      <c r="AP379" s="81"/>
      <c r="AQ379" s="81">
        <f>'Praroop-20 hindi'!M382</f>
        <v>1</v>
      </c>
      <c r="AR379" s="81">
        <f t="shared" si="11"/>
        <v>716</v>
      </c>
    </row>
    <row r="380" spans="1:44" ht="38.25">
      <c r="A380" s="81">
        <v>64</v>
      </c>
      <c r="B380" s="41">
        <v>374</v>
      </c>
      <c r="C380" s="113" t="s">
        <v>499</v>
      </c>
      <c r="D380" s="117">
        <v>874</v>
      </c>
      <c r="E380" s="110">
        <v>394</v>
      </c>
      <c r="F380" s="110">
        <v>312</v>
      </c>
      <c r="G380" s="110">
        <v>0</v>
      </c>
      <c r="H380" s="111">
        <f t="shared" si="10"/>
        <v>706</v>
      </c>
      <c r="I380" s="112">
        <v>706</v>
      </c>
      <c r="J380" s="110">
        <v>0</v>
      </c>
      <c r="K380" s="110">
        <v>1</v>
      </c>
      <c r="L380" s="81"/>
      <c r="M380" s="81">
        <f>'Praroop-20 hindi'!C383</f>
        <v>41</v>
      </c>
      <c r="N380" s="81">
        <v>2</v>
      </c>
      <c r="O380" s="81"/>
      <c r="P380" s="81">
        <f>'Praroop-20 hindi'!D383</f>
        <v>126</v>
      </c>
      <c r="Q380" s="81">
        <v>3</v>
      </c>
      <c r="R380" s="81"/>
      <c r="S380" s="81">
        <f>'Praroop-20 hindi'!E383</f>
        <v>531</v>
      </c>
      <c r="T380" s="81">
        <v>4</v>
      </c>
      <c r="U380" s="81"/>
      <c r="V380" s="81">
        <f>'Praroop-20 hindi'!F383</f>
        <v>3</v>
      </c>
      <c r="W380" s="81">
        <v>5</v>
      </c>
      <c r="X380" s="81"/>
      <c r="Y380" s="81">
        <f>'Praroop-20 hindi'!G383</f>
        <v>0</v>
      </c>
      <c r="Z380" s="81">
        <v>6</v>
      </c>
      <c r="AA380" s="81"/>
      <c r="AB380" s="81">
        <f>'Praroop-20 hindi'!H383</f>
        <v>0</v>
      </c>
      <c r="AC380" s="81">
        <v>7</v>
      </c>
      <c r="AD380" s="81"/>
      <c r="AE380" s="81">
        <f>'Praroop-20 hindi'!I383</f>
        <v>0</v>
      </c>
      <c r="AF380" s="81">
        <v>8</v>
      </c>
      <c r="AG380" s="81"/>
      <c r="AH380" s="81">
        <f>'Praroop-20 hindi'!J383</f>
        <v>2</v>
      </c>
      <c r="AI380" s="81">
        <v>9</v>
      </c>
      <c r="AJ380" s="81"/>
      <c r="AK380" s="81">
        <f>'Praroop-20 hindi'!K383</f>
        <v>0</v>
      </c>
      <c r="AL380" s="81">
        <v>10</v>
      </c>
      <c r="AM380" s="81"/>
      <c r="AN380" s="81">
        <f>'Praroop-20 hindi'!L383</f>
        <v>1</v>
      </c>
      <c r="AO380" s="81">
        <v>11</v>
      </c>
      <c r="AP380" s="81"/>
      <c r="AQ380" s="81">
        <f>'Praroop-20 hindi'!M383</f>
        <v>2</v>
      </c>
      <c r="AR380" s="81">
        <f t="shared" si="11"/>
        <v>706</v>
      </c>
    </row>
    <row r="381" spans="1:44" ht="25.5">
      <c r="A381" s="81">
        <v>64</v>
      </c>
      <c r="B381" s="41">
        <v>375</v>
      </c>
      <c r="C381" s="113" t="s">
        <v>500</v>
      </c>
      <c r="D381" s="117">
        <v>789</v>
      </c>
      <c r="E381" s="110">
        <v>291</v>
      </c>
      <c r="F381" s="110">
        <v>241</v>
      </c>
      <c r="G381" s="110">
        <v>0</v>
      </c>
      <c r="H381" s="111">
        <f t="shared" si="10"/>
        <v>532</v>
      </c>
      <c r="I381" s="112">
        <v>532</v>
      </c>
      <c r="J381" s="110">
        <v>0</v>
      </c>
      <c r="K381" s="110">
        <v>1</v>
      </c>
      <c r="L381" s="81"/>
      <c r="M381" s="81">
        <f>'Praroop-20 hindi'!C384</f>
        <v>43</v>
      </c>
      <c r="N381" s="81">
        <v>2</v>
      </c>
      <c r="O381" s="81"/>
      <c r="P381" s="81">
        <f>'Praroop-20 hindi'!D384</f>
        <v>144</v>
      </c>
      <c r="Q381" s="81">
        <v>3</v>
      </c>
      <c r="R381" s="81"/>
      <c r="S381" s="81">
        <f>'Praroop-20 hindi'!E384</f>
        <v>312</v>
      </c>
      <c r="T381" s="81">
        <v>4</v>
      </c>
      <c r="U381" s="81"/>
      <c r="V381" s="81">
        <f>'Praroop-20 hindi'!F384</f>
        <v>7</v>
      </c>
      <c r="W381" s="81">
        <v>5</v>
      </c>
      <c r="X381" s="81"/>
      <c r="Y381" s="81">
        <f>'Praroop-20 hindi'!G384</f>
        <v>3</v>
      </c>
      <c r="Z381" s="81">
        <v>6</v>
      </c>
      <c r="AA381" s="81"/>
      <c r="AB381" s="81">
        <f>'Praroop-20 hindi'!H384</f>
        <v>1</v>
      </c>
      <c r="AC381" s="81">
        <v>7</v>
      </c>
      <c r="AD381" s="81"/>
      <c r="AE381" s="81">
        <f>'Praroop-20 hindi'!I384</f>
        <v>0</v>
      </c>
      <c r="AF381" s="81">
        <v>8</v>
      </c>
      <c r="AG381" s="81"/>
      <c r="AH381" s="81">
        <f>'Praroop-20 hindi'!J384</f>
        <v>2</v>
      </c>
      <c r="AI381" s="81">
        <v>9</v>
      </c>
      <c r="AJ381" s="81"/>
      <c r="AK381" s="81">
        <f>'Praroop-20 hindi'!K384</f>
        <v>8</v>
      </c>
      <c r="AL381" s="81">
        <v>10</v>
      </c>
      <c r="AM381" s="81"/>
      <c r="AN381" s="81">
        <f>'Praroop-20 hindi'!L384</f>
        <v>6</v>
      </c>
      <c r="AO381" s="81">
        <v>11</v>
      </c>
      <c r="AP381" s="81"/>
      <c r="AQ381" s="81">
        <f>'Praroop-20 hindi'!M384</f>
        <v>2</v>
      </c>
      <c r="AR381" s="81">
        <f t="shared" si="11"/>
        <v>528</v>
      </c>
    </row>
    <row r="382" spans="1:44" ht="25.5">
      <c r="A382" s="81">
        <v>64</v>
      </c>
      <c r="B382" s="41">
        <v>376</v>
      </c>
      <c r="C382" s="113" t="s">
        <v>501</v>
      </c>
      <c r="D382" s="117">
        <v>828</v>
      </c>
      <c r="E382" s="110">
        <v>308</v>
      </c>
      <c r="F382" s="110">
        <v>242</v>
      </c>
      <c r="G382" s="110">
        <v>0</v>
      </c>
      <c r="H382" s="111">
        <f t="shared" si="10"/>
        <v>550</v>
      </c>
      <c r="I382" s="112">
        <v>550</v>
      </c>
      <c r="J382" s="110">
        <v>0</v>
      </c>
      <c r="K382" s="110">
        <v>1</v>
      </c>
      <c r="L382" s="81"/>
      <c r="M382" s="81">
        <f>'Praroop-20 hindi'!C385</f>
        <v>58</v>
      </c>
      <c r="N382" s="81">
        <v>2</v>
      </c>
      <c r="O382" s="81"/>
      <c r="P382" s="81">
        <f>'Praroop-20 hindi'!D385</f>
        <v>99</v>
      </c>
      <c r="Q382" s="81">
        <v>3</v>
      </c>
      <c r="R382" s="81"/>
      <c r="S382" s="81">
        <f>'Praroop-20 hindi'!E385</f>
        <v>376</v>
      </c>
      <c r="T382" s="81">
        <v>4</v>
      </c>
      <c r="U382" s="81"/>
      <c r="V382" s="81">
        <f>'Praroop-20 hindi'!F385</f>
        <v>1</v>
      </c>
      <c r="W382" s="81">
        <v>5</v>
      </c>
      <c r="X382" s="81"/>
      <c r="Y382" s="81">
        <f>'Praroop-20 hindi'!G385</f>
        <v>1</v>
      </c>
      <c r="Z382" s="81">
        <v>6</v>
      </c>
      <c r="AA382" s="81"/>
      <c r="AB382" s="81">
        <f>'Praroop-20 hindi'!H385</f>
        <v>1</v>
      </c>
      <c r="AC382" s="81">
        <v>7</v>
      </c>
      <c r="AD382" s="81"/>
      <c r="AE382" s="81">
        <f>'Praroop-20 hindi'!I385</f>
        <v>1</v>
      </c>
      <c r="AF382" s="81">
        <v>8</v>
      </c>
      <c r="AG382" s="81"/>
      <c r="AH382" s="81">
        <f>'Praroop-20 hindi'!J385</f>
        <v>10</v>
      </c>
      <c r="AI382" s="81">
        <v>9</v>
      </c>
      <c r="AJ382" s="81"/>
      <c r="AK382" s="81">
        <f>'Praroop-20 hindi'!K385</f>
        <v>0</v>
      </c>
      <c r="AL382" s="81">
        <v>10</v>
      </c>
      <c r="AM382" s="81"/>
      <c r="AN382" s="81">
        <f>'Praroop-20 hindi'!L385</f>
        <v>0</v>
      </c>
      <c r="AO382" s="81">
        <v>11</v>
      </c>
      <c r="AP382" s="81"/>
      <c r="AQ382" s="81">
        <f>'Praroop-20 hindi'!M385</f>
        <v>1</v>
      </c>
      <c r="AR382" s="81">
        <f t="shared" si="11"/>
        <v>548</v>
      </c>
    </row>
    <row r="383" spans="1:44" ht="38.25">
      <c r="A383" s="81">
        <v>64</v>
      </c>
      <c r="B383" s="41">
        <v>377</v>
      </c>
      <c r="C383" s="113" t="s">
        <v>502</v>
      </c>
      <c r="D383" s="117">
        <v>744</v>
      </c>
      <c r="E383" s="110">
        <v>329</v>
      </c>
      <c r="F383" s="110">
        <v>235</v>
      </c>
      <c r="G383" s="110">
        <v>0</v>
      </c>
      <c r="H383" s="111">
        <f t="shared" si="10"/>
        <v>564</v>
      </c>
      <c r="I383" s="112">
        <v>516</v>
      </c>
      <c r="J383" s="110">
        <v>0</v>
      </c>
      <c r="K383" s="110">
        <v>1</v>
      </c>
      <c r="L383" s="81"/>
      <c r="M383" s="81">
        <f>'Praroop-20 hindi'!C386</f>
        <v>353</v>
      </c>
      <c r="N383" s="81">
        <v>2</v>
      </c>
      <c r="O383" s="81"/>
      <c r="P383" s="81">
        <f>'Praroop-20 hindi'!D386</f>
        <v>75</v>
      </c>
      <c r="Q383" s="81">
        <v>3</v>
      </c>
      <c r="R383" s="81"/>
      <c r="S383" s="81">
        <f>'Praroop-20 hindi'!E386</f>
        <v>126</v>
      </c>
      <c r="T383" s="81">
        <v>4</v>
      </c>
      <c r="U383" s="81"/>
      <c r="V383" s="81">
        <f>'Praroop-20 hindi'!F386</f>
        <v>4</v>
      </c>
      <c r="W383" s="81">
        <v>5</v>
      </c>
      <c r="X383" s="81"/>
      <c r="Y383" s="81">
        <f>'Praroop-20 hindi'!G386</f>
        <v>1</v>
      </c>
      <c r="Z383" s="81">
        <v>6</v>
      </c>
      <c r="AA383" s="81"/>
      <c r="AB383" s="81">
        <f>'Praroop-20 hindi'!H386</f>
        <v>1</v>
      </c>
      <c r="AC383" s="81">
        <v>7</v>
      </c>
      <c r="AD383" s="81"/>
      <c r="AE383" s="81">
        <f>'Praroop-20 hindi'!I386</f>
        <v>1</v>
      </c>
      <c r="AF383" s="81">
        <v>8</v>
      </c>
      <c r="AG383" s="81"/>
      <c r="AH383" s="81">
        <f>'Praroop-20 hindi'!J386</f>
        <v>0</v>
      </c>
      <c r="AI383" s="81">
        <v>9</v>
      </c>
      <c r="AJ383" s="81"/>
      <c r="AK383" s="81">
        <f>'Praroop-20 hindi'!K386</f>
        <v>1</v>
      </c>
      <c r="AL383" s="81">
        <v>10</v>
      </c>
      <c r="AM383" s="81"/>
      <c r="AN383" s="81">
        <f>'Praroop-20 hindi'!L386</f>
        <v>1</v>
      </c>
      <c r="AO383" s="81">
        <v>11</v>
      </c>
      <c r="AP383" s="81"/>
      <c r="AQ383" s="81">
        <f>'Praroop-20 hindi'!M386</f>
        <v>0</v>
      </c>
      <c r="AR383" s="81">
        <f t="shared" si="11"/>
        <v>563</v>
      </c>
    </row>
    <row r="384" spans="1:44" ht="38.25">
      <c r="A384" s="81">
        <v>64</v>
      </c>
      <c r="B384" s="41">
        <v>378</v>
      </c>
      <c r="C384" s="113" t="s">
        <v>503</v>
      </c>
      <c r="D384" s="117">
        <v>732</v>
      </c>
      <c r="E384" s="110">
        <v>305</v>
      </c>
      <c r="F384" s="110">
        <v>252</v>
      </c>
      <c r="G384" s="110">
        <v>0</v>
      </c>
      <c r="H384" s="111">
        <f t="shared" si="10"/>
        <v>557</v>
      </c>
      <c r="I384" s="112">
        <v>557</v>
      </c>
      <c r="J384" s="110">
        <v>0</v>
      </c>
      <c r="K384" s="110">
        <v>1</v>
      </c>
      <c r="L384" s="81"/>
      <c r="M384" s="81">
        <f>'Praroop-20 hindi'!C387</f>
        <v>11</v>
      </c>
      <c r="N384" s="81">
        <v>2</v>
      </c>
      <c r="O384" s="81"/>
      <c r="P384" s="81">
        <f>'Praroop-20 hindi'!D387</f>
        <v>69</v>
      </c>
      <c r="Q384" s="81">
        <v>3</v>
      </c>
      <c r="R384" s="81"/>
      <c r="S384" s="81">
        <f>'Praroop-20 hindi'!E387</f>
        <v>461</v>
      </c>
      <c r="T384" s="81">
        <v>4</v>
      </c>
      <c r="U384" s="81"/>
      <c r="V384" s="81">
        <f>'Praroop-20 hindi'!F387</f>
        <v>10</v>
      </c>
      <c r="W384" s="81">
        <v>5</v>
      </c>
      <c r="X384" s="81"/>
      <c r="Y384" s="81">
        <f>'Praroop-20 hindi'!G387</f>
        <v>0</v>
      </c>
      <c r="Z384" s="81">
        <v>6</v>
      </c>
      <c r="AA384" s="81"/>
      <c r="AB384" s="81">
        <f>'Praroop-20 hindi'!H387</f>
        <v>1</v>
      </c>
      <c r="AC384" s="81">
        <v>7</v>
      </c>
      <c r="AD384" s="81"/>
      <c r="AE384" s="81">
        <f>'Praroop-20 hindi'!I387</f>
        <v>1</v>
      </c>
      <c r="AF384" s="81">
        <v>8</v>
      </c>
      <c r="AG384" s="81"/>
      <c r="AH384" s="81">
        <f>'Praroop-20 hindi'!J387</f>
        <v>1</v>
      </c>
      <c r="AI384" s="81">
        <v>9</v>
      </c>
      <c r="AJ384" s="81"/>
      <c r="AK384" s="81">
        <f>'Praroop-20 hindi'!K387</f>
        <v>1</v>
      </c>
      <c r="AL384" s="81">
        <v>10</v>
      </c>
      <c r="AM384" s="81"/>
      <c r="AN384" s="81">
        <f>'Praroop-20 hindi'!L387</f>
        <v>0</v>
      </c>
      <c r="AO384" s="81">
        <v>11</v>
      </c>
      <c r="AP384" s="81"/>
      <c r="AQ384" s="81">
        <f>'Praroop-20 hindi'!M387</f>
        <v>0</v>
      </c>
      <c r="AR384" s="81">
        <f t="shared" si="11"/>
        <v>555</v>
      </c>
    </row>
    <row r="385" spans="1:44" ht="25.5">
      <c r="A385" s="81">
        <v>64</v>
      </c>
      <c r="B385" s="41">
        <v>379</v>
      </c>
      <c r="C385" s="113" t="s">
        <v>504</v>
      </c>
      <c r="D385" s="117">
        <v>982</v>
      </c>
      <c r="E385" s="110">
        <v>392</v>
      </c>
      <c r="F385" s="110">
        <v>325</v>
      </c>
      <c r="G385" s="110">
        <v>0</v>
      </c>
      <c r="H385" s="111">
        <f t="shared" si="10"/>
        <v>717</v>
      </c>
      <c r="I385" s="112">
        <v>717</v>
      </c>
      <c r="J385" s="110">
        <v>0</v>
      </c>
      <c r="K385" s="110">
        <v>1</v>
      </c>
      <c r="L385" s="81"/>
      <c r="M385" s="81">
        <f>'Praroop-20 hindi'!C388</f>
        <v>246</v>
      </c>
      <c r="N385" s="81">
        <v>2</v>
      </c>
      <c r="O385" s="81"/>
      <c r="P385" s="81">
        <f>'Praroop-20 hindi'!D388</f>
        <v>32</v>
      </c>
      <c r="Q385" s="81">
        <v>3</v>
      </c>
      <c r="R385" s="81"/>
      <c r="S385" s="81">
        <f>'Praroop-20 hindi'!E388</f>
        <v>419</v>
      </c>
      <c r="T385" s="81">
        <v>4</v>
      </c>
      <c r="U385" s="81"/>
      <c r="V385" s="81">
        <f>'Praroop-20 hindi'!F388</f>
        <v>7</v>
      </c>
      <c r="W385" s="81">
        <v>5</v>
      </c>
      <c r="X385" s="81"/>
      <c r="Y385" s="81">
        <f>'Praroop-20 hindi'!G388</f>
        <v>1</v>
      </c>
      <c r="Z385" s="81">
        <v>6</v>
      </c>
      <c r="AA385" s="81"/>
      <c r="AB385" s="81">
        <f>'Praroop-20 hindi'!H388</f>
        <v>0</v>
      </c>
      <c r="AC385" s="81">
        <v>7</v>
      </c>
      <c r="AD385" s="81"/>
      <c r="AE385" s="81">
        <f>'Praroop-20 hindi'!I388</f>
        <v>0</v>
      </c>
      <c r="AF385" s="81">
        <v>8</v>
      </c>
      <c r="AG385" s="81"/>
      <c r="AH385" s="81">
        <f>'Praroop-20 hindi'!J388</f>
        <v>4</v>
      </c>
      <c r="AI385" s="81">
        <v>9</v>
      </c>
      <c r="AJ385" s="81"/>
      <c r="AK385" s="81">
        <f>'Praroop-20 hindi'!K388</f>
        <v>2</v>
      </c>
      <c r="AL385" s="81">
        <v>10</v>
      </c>
      <c r="AM385" s="81"/>
      <c r="AN385" s="81">
        <f>'Praroop-20 hindi'!L388</f>
        <v>0</v>
      </c>
      <c r="AO385" s="81">
        <v>11</v>
      </c>
      <c r="AP385" s="81"/>
      <c r="AQ385" s="81">
        <f>'Praroop-20 hindi'!M388</f>
        <v>1</v>
      </c>
      <c r="AR385" s="81">
        <f t="shared" si="11"/>
        <v>712</v>
      </c>
    </row>
    <row r="386" spans="1:44" ht="25.5">
      <c r="A386" s="81">
        <v>64</v>
      </c>
      <c r="B386" s="41">
        <v>380</v>
      </c>
      <c r="C386" s="113" t="s">
        <v>505</v>
      </c>
      <c r="D386" s="117">
        <v>514</v>
      </c>
      <c r="E386" s="110">
        <v>226</v>
      </c>
      <c r="F386" s="110">
        <v>201</v>
      </c>
      <c r="G386" s="110">
        <v>0</v>
      </c>
      <c r="H386" s="111">
        <f t="shared" si="10"/>
        <v>427</v>
      </c>
      <c r="I386" s="112">
        <v>427</v>
      </c>
      <c r="J386" s="110">
        <v>0</v>
      </c>
      <c r="K386" s="110">
        <v>1</v>
      </c>
      <c r="L386" s="81"/>
      <c r="M386" s="81">
        <f>'Praroop-20 hindi'!C389</f>
        <v>3</v>
      </c>
      <c r="N386" s="81">
        <v>2</v>
      </c>
      <c r="O386" s="81"/>
      <c r="P386" s="81">
        <f>'Praroop-20 hindi'!D389</f>
        <v>14</v>
      </c>
      <c r="Q386" s="81">
        <v>3</v>
      </c>
      <c r="R386" s="81"/>
      <c r="S386" s="81">
        <f>'Praroop-20 hindi'!E389</f>
        <v>406</v>
      </c>
      <c r="T386" s="81">
        <v>4</v>
      </c>
      <c r="U386" s="81"/>
      <c r="V386" s="81">
        <f>'Praroop-20 hindi'!F389</f>
        <v>2</v>
      </c>
      <c r="W386" s="81">
        <v>5</v>
      </c>
      <c r="X386" s="81"/>
      <c r="Y386" s="81">
        <f>'Praroop-20 hindi'!G389</f>
        <v>0</v>
      </c>
      <c r="Z386" s="81">
        <v>6</v>
      </c>
      <c r="AA386" s="81"/>
      <c r="AB386" s="81">
        <f>'Praroop-20 hindi'!H389</f>
        <v>0</v>
      </c>
      <c r="AC386" s="81">
        <v>7</v>
      </c>
      <c r="AD386" s="81"/>
      <c r="AE386" s="81">
        <f>'Praroop-20 hindi'!I389</f>
        <v>0</v>
      </c>
      <c r="AF386" s="81">
        <v>8</v>
      </c>
      <c r="AG386" s="81"/>
      <c r="AH386" s="81">
        <f>'Praroop-20 hindi'!J389</f>
        <v>0</v>
      </c>
      <c r="AI386" s="81">
        <v>9</v>
      </c>
      <c r="AJ386" s="81"/>
      <c r="AK386" s="81">
        <f>'Praroop-20 hindi'!K389</f>
        <v>0</v>
      </c>
      <c r="AL386" s="81">
        <v>10</v>
      </c>
      <c r="AM386" s="81"/>
      <c r="AN386" s="81">
        <f>'Praroop-20 hindi'!L389</f>
        <v>2</v>
      </c>
      <c r="AO386" s="81">
        <v>11</v>
      </c>
      <c r="AP386" s="81"/>
      <c r="AQ386" s="81">
        <f>'Praroop-20 hindi'!M389</f>
        <v>0</v>
      </c>
      <c r="AR386" s="81">
        <f t="shared" si="11"/>
        <v>427</v>
      </c>
    </row>
    <row r="387" spans="1:44" ht="25.5">
      <c r="A387" s="81">
        <v>64</v>
      </c>
      <c r="B387" s="41">
        <v>381</v>
      </c>
      <c r="C387" s="113" t="s">
        <v>506</v>
      </c>
      <c r="D387" s="117">
        <v>582</v>
      </c>
      <c r="E387" s="110">
        <v>277</v>
      </c>
      <c r="F387" s="110">
        <v>243</v>
      </c>
      <c r="G387" s="110">
        <v>0</v>
      </c>
      <c r="H387" s="111">
        <f t="shared" si="10"/>
        <v>520</v>
      </c>
      <c r="I387" s="112">
        <v>520</v>
      </c>
      <c r="J387" s="110">
        <v>0</v>
      </c>
      <c r="K387" s="110">
        <v>1</v>
      </c>
      <c r="L387" s="81"/>
      <c r="M387" s="81">
        <f>'Praroop-20 hindi'!C390</f>
        <v>40</v>
      </c>
      <c r="N387" s="81">
        <v>2</v>
      </c>
      <c r="O387" s="81"/>
      <c r="P387" s="81">
        <f>'Praroop-20 hindi'!D390</f>
        <v>45</v>
      </c>
      <c r="Q387" s="81">
        <v>3</v>
      </c>
      <c r="R387" s="81"/>
      <c r="S387" s="81">
        <f>'Praroop-20 hindi'!E390</f>
        <v>426</v>
      </c>
      <c r="T387" s="81">
        <v>4</v>
      </c>
      <c r="U387" s="81"/>
      <c r="V387" s="81">
        <f>'Praroop-20 hindi'!F390</f>
        <v>5</v>
      </c>
      <c r="W387" s="81">
        <v>5</v>
      </c>
      <c r="X387" s="81"/>
      <c r="Y387" s="81">
        <f>'Praroop-20 hindi'!G390</f>
        <v>0</v>
      </c>
      <c r="Z387" s="81">
        <v>6</v>
      </c>
      <c r="AA387" s="81"/>
      <c r="AB387" s="81">
        <f>'Praroop-20 hindi'!H390</f>
        <v>0</v>
      </c>
      <c r="AC387" s="81">
        <v>7</v>
      </c>
      <c r="AD387" s="81"/>
      <c r="AE387" s="81">
        <f>'Praroop-20 hindi'!I390</f>
        <v>0</v>
      </c>
      <c r="AF387" s="81">
        <v>8</v>
      </c>
      <c r="AG387" s="81"/>
      <c r="AH387" s="81">
        <f>'Praroop-20 hindi'!J390</f>
        <v>0</v>
      </c>
      <c r="AI387" s="81">
        <v>9</v>
      </c>
      <c r="AJ387" s="81"/>
      <c r="AK387" s="81">
        <f>'Praroop-20 hindi'!K390</f>
        <v>1</v>
      </c>
      <c r="AL387" s="81">
        <v>10</v>
      </c>
      <c r="AM387" s="81"/>
      <c r="AN387" s="81">
        <f>'Praroop-20 hindi'!L390</f>
        <v>2</v>
      </c>
      <c r="AO387" s="81">
        <v>11</v>
      </c>
      <c r="AP387" s="81"/>
      <c r="AQ387" s="81">
        <f>'Praroop-20 hindi'!M390</f>
        <v>0</v>
      </c>
      <c r="AR387" s="81">
        <f t="shared" si="11"/>
        <v>519</v>
      </c>
    </row>
    <row r="388" spans="1:44" ht="25.5">
      <c r="A388" s="81">
        <v>64</v>
      </c>
      <c r="B388" s="41">
        <v>382</v>
      </c>
      <c r="C388" s="113" t="s">
        <v>507</v>
      </c>
      <c r="D388" s="117">
        <v>1010</v>
      </c>
      <c r="E388" s="110">
        <v>391</v>
      </c>
      <c r="F388" s="110">
        <v>307</v>
      </c>
      <c r="G388" s="110">
        <v>0</v>
      </c>
      <c r="H388" s="111">
        <f t="shared" si="10"/>
        <v>698</v>
      </c>
      <c r="I388" s="112">
        <v>692</v>
      </c>
      <c r="J388" s="110">
        <v>0</v>
      </c>
      <c r="K388" s="110">
        <v>1</v>
      </c>
      <c r="L388" s="81"/>
      <c r="M388" s="81">
        <f>'Praroop-20 hindi'!C391</f>
        <v>78</v>
      </c>
      <c r="N388" s="81">
        <v>2</v>
      </c>
      <c r="O388" s="81"/>
      <c r="P388" s="81">
        <f>'Praroop-20 hindi'!D391</f>
        <v>115</v>
      </c>
      <c r="Q388" s="81">
        <v>3</v>
      </c>
      <c r="R388" s="81"/>
      <c r="S388" s="81">
        <f>'Praroop-20 hindi'!E391</f>
        <v>487</v>
      </c>
      <c r="T388" s="81">
        <v>4</v>
      </c>
      <c r="U388" s="81"/>
      <c r="V388" s="81">
        <f>'Praroop-20 hindi'!F391</f>
        <v>4</v>
      </c>
      <c r="W388" s="81">
        <v>5</v>
      </c>
      <c r="X388" s="81"/>
      <c r="Y388" s="81">
        <f>'Praroop-20 hindi'!G391</f>
        <v>0</v>
      </c>
      <c r="Z388" s="81">
        <v>6</v>
      </c>
      <c r="AA388" s="81"/>
      <c r="AB388" s="81">
        <f>'Praroop-20 hindi'!H391</f>
        <v>1</v>
      </c>
      <c r="AC388" s="81">
        <v>7</v>
      </c>
      <c r="AD388" s="81"/>
      <c r="AE388" s="81">
        <f>'Praroop-20 hindi'!I391</f>
        <v>1</v>
      </c>
      <c r="AF388" s="81">
        <v>8</v>
      </c>
      <c r="AG388" s="81"/>
      <c r="AH388" s="81">
        <f>'Praroop-20 hindi'!J391</f>
        <v>3</v>
      </c>
      <c r="AI388" s="81">
        <v>9</v>
      </c>
      <c r="AJ388" s="81"/>
      <c r="AK388" s="81">
        <f>'Praroop-20 hindi'!K391</f>
        <v>0</v>
      </c>
      <c r="AL388" s="81">
        <v>10</v>
      </c>
      <c r="AM388" s="81"/>
      <c r="AN388" s="81">
        <f>'Praroop-20 hindi'!L391</f>
        <v>6</v>
      </c>
      <c r="AO388" s="81">
        <v>11</v>
      </c>
      <c r="AP388" s="81"/>
      <c r="AQ388" s="81">
        <f>'Praroop-20 hindi'!M391</f>
        <v>2</v>
      </c>
      <c r="AR388" s="81">
        <f t="shared" si="11"/>
        <v>697</v>
      </c>
    </row>
    <row r="389" spans="1:44" ht="25.5">
      <c r="A389" s="81">
        <v>64</v>
      </c>
      <c r="B389" s="41">
        <v>383</v>
      </c>
      <c r="C389" s="113" t="s">
        <v>508</v>
      </c>
      <c r="D389" s="117">
        <v>1041</v>
      </c>
      <c r="E389" s="110">
        <v>425</v>
      </c>
      <c r="F389" s="110">
        <v>375</v>
      </c>
      <c r="G389" s="110">
        <v>0</v>
      </c>
      <c r="H389" s="111">
        <f t="shared" si="10"/>
        <v>800</v>
      </c>
      <c r="I389" s="112">
        <v>800</v>
      </c>
      <c r="J389" s="110">
        <v>0</v>
      </c>
      <c r="K389" s="110">
        <v>1</v>
      </c>
      <c r="L389" s="81"/>
      <c r="M389" s="81">
        <f>'Praroop-20 hindi'!C392</f>
        <v>8</v>
      </c>
      <c r="N389" s="81">
        <v>2</v>
      </c>
      <c r="O389" s="81"/>
      <c r="P389" s="81">
        <f>'Praroop-20 hindi'!D392</f>
        <v>93</v>
      </c>
      <c r="Q389" s="81">
        <v>3</v>
      </c>
      <c r="R389" s="81"/>
      <c r="S389" s="81">
        <f>'Praroop-20 hindi'!E392</f>
        <v>682</v>
      </c>
      <c r="T389" s="81">
        <v>4</v>
      </c>
      <c r="U389" s="81"/>
      <c r="V389" s="81">
        <f>'Praroop-20 hindi'!F392</f>
        <v>11</v>
      </c>
      <c r="W389" s="81">
        <v>5</v>
      </c>
      <c r="X389" s="81"/>
      <c r="Y389" s="81">
        <f>'Praroop-20 hindi'!G392</f>
        <v>0</v>
      </c>
      <c r="Z389" s="81">
        <v>6</v>
      </c>
      <c r="AA389" s="81"/>
      <c r="AB389" s="81">
        <f>'Praroop-20 hindi'!H392</f>
        <v>1</v>
      </c>
      <c r="AC389" s="81">
        <v>7</v>
      </c>
      <c r="AD389" s="81"/>
      <c r="AE389" s="81">
        <f>'Praroop-20 hindi'!I392</f>
        <v>1</v>
      </c>
      <c r="AF389" s="81">
        <v>8</v>
      </c>
      <c r="AG389" s="81"/>
      <c r="AH389" s="81">
        <f>'Praroop-20 hindi'!J392</f>
        <v>0</v>
      </c>
      <c r="AI389" s="81">
        <v>9</v>
      </c>
      <c r="AJ389" s="81"/>
      <c r="AK389" s="81">
        <f>'Praroop-20 hindi'!K392</f>
        <v>0</v>
      </c>
      <c r="AL389" s="81">
        <v>10</v>
      </c>
      <c r="AM389" s="81"/>
      <c r="AN389" s="81">
        <f>'Praroop-20 hindi'!L392</f>
        <v>3</v>
      </c>
      <c r="AO389" s="81">
        <v>11</v>
      </c>
      <c r="AP389" s="81"/>
      <c r="AQ389" s="81">
        <f>'Praroop-20 hindi'!M392</f>
        <v>0</v>
      </c>
      <c r="AR389" s="81">
        <f t="shared" si="11"/>
        <v>799</v>
      </c>
    </row>
    <row r="390" spans="1:44" ht="25.5">
      <c r="A390" s="81">
        <v>64</v>
      </c>
      <c r="B390" s="41">
        <v>384</v>
      </c>
      <c r="C390" s="113" t="s">
        <v>509</v>
      </c>
      <c r="D390" s="117">
        <v>1044</v>
      </c>
      <c r="E390" s="110">
        <v>419</v>
      </c>
      <c r="F390" s="110">
        <v>349</v>
      </c>
      <c r="G390" s="110">
        <v>0</v>
      </c>
      <c r="H390" s="111">
        <f t="shared" si="10"/>
        <v>768</v>
      </c>
      <c r="I390" s="112">
        <v>768</v>
      </c>
      <c r="J390" s="110">
        <v>0</v>
      </c>
      <c r="K390" s="110">
        <v>1</v>
      </c>
      <c r="L390" s="81"/>
      <c r="M390" s="81">
        <f>'Praroop-20 hindi'!C393</f>
        <v>193</v>
      </c>
      <c r="N390" s="81">
        <v>2</v>
      </c>
      <c r="O390" s="81"/>
      <c r="P390" s="81">
        <f>'Praroop-20 hindi'!D393</f>
        <v>194</v>
      </c>
      <c r="Q390" s="81">
        <v>3</v>
      </c>
      <c r="R390" s="81"/>
      <c r="S390" s="81">
        <f>'Praroop-20 hindi'!E393</f>
        <v>367</v>
      </c>
      <c r="T390" s="81">
        <v>4</v>
      </c>
      <c r="U390" s="81"/>
      <c r="V390" s="81">
        <f>'Praroop-20 hindi'!F393</f>
        <v>6</v>
      </c>
      <c r="W390" s="81">
        <v>5</v>
      </c>
      <c r="X390" s="81"/>
      <c r="Y390" s="81">
        <f>'Praroop-20 hindi'!G393</f>
        <v>1</v>
      </c>
      <c r="Z390" s="81">
        <v>6</v>
      </c>
      <c r="AA390" s="81"/>
      <c r="AB390" s="81">
        <f>'Praroop-20 hindi'!H393</f>
        <v>1</v>
      </c>
      <c r="AC390" s="81">
        <v>7</v>
      </c>
      <c r="AD390" s="81"/>
      <c r="AE390" s="81">
        <f>'Praroop-20 hindi'!I393</f>
        <v>0</v>
      </c>
      <c r="AF390" s="81">
        <v>8</v>
      </c>
      <c r="AG390" s="81"/>
      <c r="AH390" s="81">
        <f>'Praroop-20 hindi'!J393</f>
        <v>1</v>
      </c>
      <c r="AI390" s="81">
        <v>9</v>
      </c>
      <c r="AJ390" s="81"/>
      <c r="AK390" s="81">
        <f>'Praroop-20 hindi'!K393</f>
        <v>0</v>
      </c>
      <c r="AL390" s="81">
        <v>10</v>
      </c>
      <c r="AM390" s="81"/>
      <c r="AN390" s="81">
        <f>'Praroop-20 hindi'!L393</f>
        <v>1</v>
      </c>
      <c r="AO390" s="81">
        <v>11</v>
      </c>
      <c r="AP390" s="81"/>
      <c r="AQ390" s="81">
        <f>'Praroop-20 hindi'!M393</f>
        <v>1</v>
      </c>
      <c r="AR390" s="81">
        <f t="shared" si="11"/>
        <v>765</v>
      </c>
    </row>
    <row r="391" spans="1:44" ht="25.5">
      <c r="A391" s="81">
        <v>64</v>
      </c>
      <c r="B391" s="41">
        <v>385</v>
      </c>
      <c r="C391" s="113" t="s">
        <v>510</v>
      </c>
      <c r="D391" s="117">
        <v>1083</v>
      </c>
      <c r="E391" s="110">
        <v>482</v>
      </c>
      <c r="F391" s="110">
        <v>375</v>
      </c>
      <c r="G391" s="110">
        <v>0</v>
      </c>
      <c r="H391" s="111">
        <f t="shared" ref="H391:H454" si="12">SUM(E391:G391)</f>
        <v>857</v>
      </c>
      <c r="I391" s="112">
        <v>851</v>
      </c>
      <c r="J391" s="110">
        <v>0</v>
      </c>
      <c r="K391" s="110">
        <v>1</v>
      </c>
      <c r="L391" s="81"/>
      <c r="M391" s="81">
        <f>'Praroop-20 hindi'!C394</f>
        <v>57</v>
      </c>
      <c r="N391" s="81">
        <v>2</v>
      </c>
      <c r="O391" s="81"/>
      <c r="P391" s="81">
        <f>'Praroop-20 hindi'!D394</f>
        <v>42</v>
      </c>
      <c r="Q391" s="81">
        <v>3</v>
      </c>
      <c r="R391" s="81"/>
      <c r="S391" s="81">
        <f>'Praroop-20 hindi'!E394</f>
        <v>743</v>
      </c>
      <c r="T391" s="81">
        <v>4</v>
      </c>
      <c r="U391" s="81"/>
      <c r="V391" s="81">
        <f>'Praroop-20 hindi'!F394</f>
        <v>7</v>
      </c>
      <c r="W391" s="81">
        <v>5</v>
      </c>
      <c r="X391" s="81"/>
      <c r="Y391" s="81">
        <f>'Praroop-20 hindi'!G394</f>
        <v>0</v>
      </c>
      <c r="Z391" s="81">
        <v>6</v>
      </c>
      <c r="AA391" s="81"/>
      <c r="AB391" s="81">
        <f>'Praroop-20 hindi'!H394</f>
        <v>0</v>
      </c>
      <c r="AC391" s="81">
        <v>7</v>
      </c>
      <c r="AD391" s="81"/>
      <c r="AE391" s="81">
        <f>'Praroop-20 hindi'!I394</f>
        <v>0</v>
      </c>
      <c r="AF391" s="81">
        <v>8</v>
      </c>
      <c r="AG391" s="81"/>
      <c r="AH391" s="81">
        <f>'Praroop-20 hindi'!J394</f>
        <v>1</v>
      </c>
      <c r="AI391" s="81">
        <v>9</v>
      </c>
      <c r="AJ391" s="81"/>
      <c r="AK391" s="81">
        <f>'Praroop-20 hindi'!K394</f>
        <v>0</v>
      </c>
      <c r="AL391" s="81">
        <v>10</v>
      </c>
      <c r="AM391" s="81"/>
      <c r="AN391" s="81">
        <f>'Praroop-20 hindi'!L394</f>
        <v>7</v>
      </c>
      <c r="AO391" s="81">
        <v>11</v>
      </c>
      <c r="AP391" s="81"/>
      <c r="AQ391" s="81">
        <f>'Praroop-20 hindi'!M394</f>
        <v>0</v>
      </c>
      <c r="AR391" s="81">
        <f t="shared" si="11"/>
        <v>857</v>
      </c>
    </row>
    <row r="392" spans="1:44" ht="25.5">
      <c r="A392" s="81">
        <v>64</v>
      </c>
      <c r="B392" s="41">
        <v>386</v>
      </c>
      <c r="C392" s="113" t="s">
        <v>511</v>
      </c>
      <c r="D392" s="117">
        <v>628</v>
      </c>
      <c r="E392" s="110">
        <v>230</v>
      </c>
      <c r="F392" s="110">
        <v>201</v>
      </c>
      <c r="G392" s="110">
        <v>0</v>
      </c>
      <c r="H392" s="111">
        <f t="shared" si="12"/>
        <v>431</v>
      </c>
      <c r="I392" s="112">
        <v>431</v>
      </c>
      <c r="J392" s="110">
        <v>0</v>
      </c>
      <c r="K392" s="110">
        <v>1</v>
      </c>
      <c r="L392" s="81"/>
      <c r="M392" s="81">
        <f>'Praroop-20 hindi'!C395</f>
        <v>58</v>
      </c>
      <c r="N392" s="81">
        <v>2</v>
      </c>
      <c r="O392" s="81"/>
      <c r="P392" s="81">
        <f>'Praroop-20 hindi'!D395</f>
        <v>70</v>
      </c>
      <c r="Q392" s="81">
        <v>3</v>
      </c>
      <c r="R392" s="81"/>
      <c r="S392" s="81">
        <f>'Praroop-20 hindi'!E395</f>
        <v>294</v>
      </c>
      <c r="T392" s="81">
        <v>4</v>
      </c>
      <c r="U392" s="81"/>
      <c r="V392" s="81">
        <f>'Praroop-20 hindi'!F395</f>
        <v>1</v>
      </c>
      <c r="W392" s="81">
        <v>5</v>
      </c>
      <c r="X392" s="81"/>
      <c r="Y392" s="81">
        <f>'Praroop-20 hindi'!G395</f>
        <v>0</v>
      </c>
      <c r="Z392" s="81">
        <v>6</v>
      </c>
      <c r="AA392" s="81"/>
      <c r="AB392" s="81">
        <f>'Praroop-20 hindi'!H395</f>
        <v>2</v>
      </c>
      <c r="AC392" s="81">
        <v>7</v>
      </c>
      <c r="AD392" s="81"/>
      <c r="AE392" s="81">
        <f>'Praroop-20 hindi'!I395</f>
        <v>0</v>
      </c>
      <c r="AF392" s="81">
        <v>8</v>
      </c>
      <c r="AG392" s="81"/>
      <c r="AH392" s="81">
        <f>'Praroop-20 hindi'!J395</f>
        <v>0</v>
      </c>
      <c r="AI392" s="81">
        <v>9</v>
      </c>
      <c r="AJ392" s="81"/>
      <c r="AK392" s="81">
        <f>'Praroop-20 hindi'!K395</f>
        <v>1</v>
      </c>
      <c r="AL392" s="81">
        <v>10</v>
      </c>
      <c r="AM392" s="81"/>
      <c r="AN392" s="81">
        <f>'Praroop-20 hindi'!L395</f>
        <v>3</v>
      </c>
      <c r="AO392" s="81">
        <v>11</v>
      </c>
      <c r="AP392" s="81"/>
      <c r="AQ392" s="81">
        <f>'Praroop-20 hindi'!M395</f>
        <v>0</v>
      </c>
      <c r="AR392" s="81">
        <f t="shared" ref="AR392:AR455" si="13">M392+P392+S392+V392+Y392+AB392+AE392+AH392+AK392+AN392+AQ392</f>
        <v>429</v>
      </c>
    </row>
    <row r="393" spans="1:44" ht="25.5">
      <c r="A393" s="81">
        <v>64</v>
      </c>
      <c r="B393" s="41">
        <v>387</v>
      </c>
      <c r="C393" s="113" t="s">
        <v>512</v>
      </c>
      <c r="D393" s="117">
        <v>918</v>
      </c>
      <c r="E393" s="110">
        <v>377</v>
      </c>
      <c r="F393" s="110">
        <v>351</v>
      </c>
      <c r="G393" s="110">
        <v>0</v>
      </c>
      <c r="H393" s="111">
        <f t="shared" si="12"/>
        <v>728</v>
      </c>
      <c r="I393" s="112">
        <v>728</v>
      </c>
      <c r="J393" s="110">
        <v>0</v>
      </c>
      <c r="K393" s="110">
        <v>1</v>
      </c>
      <c r="L393" s="81"/>
      <c r="M393" s="81">
        <f>'Praroop-20 hindi'!C396</f>
        <v>465</v>
      </c>
      <c r="N393" s="81">
        <v>2</v>
      </c>
      <c r="O393" s="81"/>
      <c r="P393" s="81">
        <f>'Praroop-20 hindi'!D396</f>
        <v>14</v>
      </c>
      <c r="Q393" s="81">
        <v>3</v>
      </c>
      <c r="R393" s="81"/>
      <c r="S393" s="81">
        <f>'Praroop-20 hindi'!E396</f>
        <v>235</v>
      </c>
      <c r="T393" s="81">
        <v>4</v>
      </c>
      <c r="U393" s="81"/>
      <c r="V393" s="81">
        <f>'Praroop-20 hindi'!F396</f>
        <v>3</v>
      </c>
      <c r="W393" s="81">
        <v>5</v>
      </c>
      <c r="X393" s="81"/>
      <c r="Y393" s="81">
        <f>'Praroop-20 hindi'!G396</f>
        <v>1</v>
      </c>
      <c r="Z393" s="81">
        <v>6</v>
      </c>
      <c r="AA393" s="81"/>
      <c r="AB393" s="81">
        <f>'Praroop-20 hindi'!H396</f>
        <v>0</v>
      </c>
      <c r="AC393" s="81">
        <v>7</v>
      </c>
      <c r="AD393" s="81"/>
      <c r="AE393" s="81">
        <f>'Praroop-20 hindi'!I396</f>
        <v>1</v>
      </c>
      <c r="AF393" s="81">
        <v>8</v>
      </c>
      <c r="AG393" s="81"/>
      <c r="AH393" s="81">
        <f>'Praroop-20 hindi'!J396</f>
        <v>0</v>
      </c>
      <c r="AI393" s="81">
        <v>9</v>
      </c>
      <c r="AJ393" s="81"/>
      <c r="AK393" s="81">
        <f>'Praroop-20 hindi'!K396</f>
        <v>1</v>
      </c>
      <c r="AL393" s="81">
        <v>10</v>
      </c>
      <c r="AM393" s="81"/>
      <c r="AN393" s="81">
        <f>'Praroop-20 hindi'!L396</f>
        <v>1</v>
      </c>
      <c r="AO393" s="81">
        <v>11</v>
      </c>
      <c r="AP393" s="81"/>
      <c r="AQ393" s="81">
        <f>'Praroop-20 hindi'!M396</f>
        <v>3</v>
      </c>
      <c r="AR393" s="81">
        <f t="shared" si="13"/>
        <v>724</v>
      </c>
    </row>
    <row r="394" spans="1:44" ht="25.5">
      <c r="A394" s="81">
        <v>64</v>
      </c>
      <c r="B394" s="41">
        <v>388</v>
      </c>
      <c r="C394" s="113" t="s">
        <v>513</v>
      </c>
      <c r="D394" s="117">
        <v>1142</v>
      </c>
      <c r="E394" s="110">
        <v>457</v>
      </c>
      <c r="F394" s="110">
        <v>401</v>
      </c>
      <c r="G394" s="110">
        <v>0</v>
      </c>
      <c r="H394" s="111">
        <f t="shared" si="12"/>
        <v>858</v>
      </c>
      <c r="I394" s="112">
        <v>700</v>
      </c>
      <c r="J394" s="110">
        <v>0</v>
      </c>
      <c r="K394" s="110">
        <v>1</v>
      </c>
      <c r="L394" s="81"/>
      <c r="M394" s="81">
        <f>'Praroop-20 hindi'!C397</f>
        <v>171</v>
      </c>
      <c r="N394" s="81">
        <v>2</v>
      </c>
      <c r="O394" s="81"/>
      <c r="P394" s="81">
        <f>'Praroop-20 hindi'!D397</f>
        <v>101</v>
      </c>
      <c r="Q394" s="81">
        <v>3</v>
      </c>
      <c r="R394" s="81"/>
      <c r="S394" s="81">
        <f>'Praroop-20 hindi'!E397</f>
        <v>574</v>
      </c>
      <c r="T394" s="81">
        <v>4</v>
      </c>
      <c r="U394" s="81"/>
      <c r="V394" s="81">
        <f>'Praroop-20 hindi'!F397</f>
        <v>5</v>
      </c>
      <c r="W394" s="81">
        <v>5</v>
      </c>
      <c r="X394" s="81"/>
      <c r="Y394" s="81">
        <f>'Praroop-20 hindi'!G397</f>
        <v>0</v>
      </c>
      <c r="Z394" s="81">
        <v>6</v>
      </c>
      <c r="AA394" s="81"/>
      <c r="AB394" s="81">
        <f>'Praroop-20 hindi'!H397</f>
        <v>1</v>
      </c>
      <c r="AC394" s="81">
        <v>7</v>
      </c>
      <c r="AD394" s="81"/>
      <c r="AE394" s="81">
        <f>'Praroop-20 hindi'!I397</f>
        <v>0</v>
      </c>
      <c r="AF394" s="81">
        <v>8</v>
      </c>
      <c r="AG394" s="81"/>
      <c r="AH394" s="81">
        <f>'Praroop-20 hindi'!J397</f>
        <v>0</v>
      </c>
      <c r="AI394" s="81">
        <v>9</v>
      </c>
      <c r="AJ394" s="81"/>
      <c r="AK394" s="81">
        <f>'Praroop-20 hindi'!K397</f>
        <v>0</v>
      </c>
      <c r="AL394" s="81">
        <v>10</v>
      </c>
      <c r="AM394" s="81"/>
      <c r="AN394" s="81">
        <f>'Praroop-20 hindi'!L397</f>
        <v>1</v>
      </c>
      <c r="AO394" s="81">
        <v>11</v>
      </c>
      <c r="AP394" s="81"/>
      <c r="AQ394" s="81">
        <f>'Praroop-20 hindi'!M397</f>
        <v>1</v>
      </c>
      <c r="AR394" s="81">
        <f t="shared" si="13"/>
        <v>854</v>
      </c>
    </row>
    <row r="395" spans="1:44" ht="25.5">
      <c r="A395" s="81">
        <v>64</v>
      </c>
      <c r="B395" s="41">
        <v>389</v>
      </c>
      <c r="C395" s="113" t="s">
        <v>514</v>
      </c>
      <c r="D395" s="117">
        <v>1083</v>
      </c>
      <c r="E395" s="110">
        <v>414</v>
      </c>
      <c r="F395" s="110">
        <v>363</v>
      </c>
      <c r="G395" s="110">
        <v>0</v>
      </c>
      <c r="H395" s="111">
        <f t="shared" si="12"/>
        <v>777</v>
      </c>
      <c r="I395" s="112">
        <v>777</v>
      </c>
      <c r="J395" s="110">
        <v>0</v>
      </c>
      <c r="K395" s="110">
        <v>1</v>
      </c>
      <c r="L395" s="81"/>
      <c r="M395" s="81">
        <f>'Praroop-20 hindi'!C398</f>
        <v>35</v>
      </c>
      <c r="N395" s="81">
        <v>2</v>
      </c>
      <c r="O395" s="81"/>
      <c r="P395" s="81">
        <f>'Praroop-20 hindi'!D398</f>
        <v>166</v>
      </c>
      <c r="Q395" s="81">
        <v>3</v>
      </c>
      <c r="R395" s="81"/>
      <c r="S395" s="81">
        <f>'Praroop-20 hindi'!E398</f>
        <v>539</v>
      </c>
      <c r="T395" s="81">
        <v>4</v>
      </c>
      <c r="U395" s="81"/>
      <c r="V395" s="81">
        <f>'Praroop-20 hindi'!F398</f>
        <v>12</v>
      </c>
      <c r="W395" s="81">
        <v>5</v>
      </c>
      <c r="X395" s="81"/>
      <c r="Y395" s="81">
        <f>'Praroop-20 hindi'!G398</f>
        <v>1</v>
      </c>
      <c r="Z395" s="81">
        <v>6</v>
      </c>
      <c r="AA395" s="81"/>
      <c r="AB395" s="81">
        <f>'Praroop-20 hindi'!H398</f>
        <v>1</v>
      </c>
      <c r="AC395" s="81">
        <v>7</v>
      </c>
      <c r="AD395" s="81"/>
      <c r="AE395" s="81">
        <f>'Praroop-20 hindi'!I398</f>
        <v>2</v>
      </c>
      <c r="AF395" s="81">
        <v>8</v>
      </c>
      <c r="AG395" s="81"/>
      <c r="AH395" s="81">
        <f>'Praroop-20 hindi'!J398</f>
        <v>1</v>
      </c>
      <c r="AI395" s="81">
        <v>9</v>
      </c>
      <c r="AJ395" s="81"/>
      <c r="AK395" s="81">
        <f>'Praroop-20 hindi'!K398</f>
        <v>0</v>
      </c>
      <c r="AL395" s="81">
        <v>10</v>
      </c>
      <c r="AM395" s="81"/>
      <c r="AN395" s="81">
        <f>'Praroop-20 hindi'!L398</f>
        <v>10</v>
      </c>
      <c r="AO395" s="81">
        <v>11</v>
      </c>
      <c r="AP395" s="81"/>
      <c r="AQ395" s="81">
        <f>'Praroop-20 hindi'!M398</f>
        <v>5</v>
      </c>
      <c r="AR395" s="81">
        <f t="shared" si="13"/>
        <v>772</v>
      </c>
    </row>
    <row r="396" spans="1:44" ht="25.5">
      <c r="A396" s="81">
        <v>64</v>
      </c>
      <c r="B396" s="41">
        <v>390</v>
      </c>
      <c r="C396" s="113" t="s">
        <v>515</v>
      </c>
      <c r="D396" s="117">
        <v>640</v>
      </c>
      <c r="E396" s="110">
        <v>252</v>
      </c>
      <c r="F396" s="110">
        <v>228</v>
      </c>
      <c r="G396" s="110">
        <v>0</v>
      </c>
      <c r="H396" s="111">
        <f t="shared" si="12"/>
        <v>480</v>
      </c>
      <c r="I396" s="112">
        <v>480</v>
      </c>
      <c r="J396" s="110">
        <v>0</v>
      </c>
      <c r="K396" s="110">
        <v>1</v>
      </c>
      <c r="L396" s="81"/>
      <c r="M396" s="81">
        <f>'Praroop-20 hindi'!C399</f>
        <v>8</v>
      </c>
      <c r="N396" s="81">
        <v>2</v>
      </c>
      <c r="O396" s="81"/>
      <c r="P396" s="81">
        <f>'Praroop-20 hindi'!D399</f>
        <v>81</v>
      </c>
      <c r="Q396" s="81">
        <v>3</v>
      </c>
      <c r="R396" s="81"/>
      <c r="S396" s="81">
        <f>'Praroop-20 hindi'!E399</f>
        <v>382</v>
      </c>
      <c r="T396" s="81">
        <v>4</v>
      </c>
      <c r="U396" s="81"/>
      <c r="V396" s="81">
        <f>'Praroop-20 hindi'!F399</f>
        <v>3</v>
      </c>
      <c r="W396" s="81">
        <v>5</v>
      </c>
      <c r="X396" s="81"/>
      <c r="Y396" s="81">
        <f>'Praroop-20 hindi'!G399</f>
        <v>0</v>
      </c>
      <c r="Z396" s="81">
        <v>6</v>
      </c>
      <c r="AA396" s="81"/>
      <c r="AB396" s="81">
        <f>'Praroop-20 hindi'!H399</f>
        <v>0</v>
      </c>
      <c r="AC396" s="81">
        <v>7</v>
      </c>
      <c r="AD396" s="81"/>
      <c r="AE396" s="81">
        <f>'Praroop-20 hindi'!I399</f>
        <v>0</v>
      </c>
      <c r="AF396" s="81">
        <v>8</v>
      </c>
      <c r="AG396" s="81"/>
      <c r="AH396" s="81">
        <f>'Praroop-20 hindi'!J399</f>
        <v>1</v>
      </c>
      <c r="AI396" s="81">
        <v>9</v>
      </c>
      <c r="AJ396" s="81"/>
      <c r="AK396" s="81">
        <f>'Praroop-20 hindi'!K399</f>
        <v>0</v>
      </c>
      <c r="AL396" s="81">
        <v>10</v>
      </c>
      <c r="AM396" s="81"/>
      <c r="AN396" s="81">
        <f>'Praroop-20 hindi'!L399</f>
        <v>4</v>
      </c>
      <c r="AO396" s="81">
        <v>11</v>
      </c>
      <c r="AP396" s="81"/>
      <c r="AQ396" s="81">
        <f>'Praroop-20 hindi'!M399</f>
        <v>0</v>
      </c>
      <c r="AR396" s="81">
        <f t="shared" si="13"/>
        <v>479</v>
      </c>
    </row>
    <row r="397" spans="1:44">
      <c r="A397" s="81">
        <v>64</v>
      </c>
      <c r="B397" s="41">
        <v>391</v>
      </c>
      <c r="C397" s="113" t="s">
        <v>516</v>
      </c>
      <c r="D397" s="117">
        <v>914</v>
      </c>
      <c r="E397" s="110">
        <v>322</v>
      </c>
      <c r="F397" s="110">
        <v>278</v>
      </c>
      <c r="G397" s="110">
        <v>0</v>
      </c>
      <c r="H397" s="111">
        <f t="shared" si="12"/>
        <v>600</v>
      </c>
      <c r="I397" s="112">
        <v>600</v>
      </c>
      <c r="J397" s="110">
        <v>0</v>
      </c>
      <c r="K397" s="110">
        <v>1</v>
      </c>
      <c r="L397" s="81"/>
      <c r="M397" s="81">
        <f>'Praroop-20 hindi'!C400</f>
        <v>54</v>
      </c>
      <c r="N397" s="81">
        <v>2</v>
      </c>
      <c r="O397" s="81"/>
      <c r="P397" s="81">
        <f>'Praroop-20 hindi'!D400</f>
        <v>79</v>
      </c>
      <c r="Q397" s="81">
        <v>3</v>
      </c>
      <c r="R397" s="81"/>
      <c r="S397" s="81">
        <f>'Praroop-20 hindi'!E400</f>
        <v>455</v>
      </c>
      <c r="T397" s="81">
        <v>4</v>
      </c>
      <c r="U397" s="81"/>
      <c r="V397" s="81">
        <f>'Praroop-20 hindi'!F400</f>
        <v>1</v>
      </c>
      <c r="W397" s="81">
        <v>5</v>
      </c>
      <c r="X397" s="81"/>
      <c r="Y397" s="81">
        <f>'Praroop-20 hindi'!G400</f>
        <v>1</v>
      </c>
      <c r="Z397" s="81">
        <v>6</v>
      </c>
      <c r="AA397" s="81"/>
      <c r="AB397" s="81">
        <f>'Praroop-20 hindi'!H400</f>
        <v>0</v>
      </c>
      <c r="AC397" s="81">
        <v>7</v>
      </c>
      <c r="AD397" s="81"/>
      <c r="AE397" s="81">
        <f>'Praroop-20 hindi'!I400</f>
        <v>0</v>
      </c>
      <c r="AF397" s="81">
        <v>8</v>
      </c>
      <c r="AG397" s="81"/>
      <c r="AH397" s="81">
        <f>'Praroop-20 hindi'!J400</f>
        <v>2</v>
      </c>
      <c r="AI397" s="81">
        <v>9</v>
      </c>
      <c r="AJ397" s="81"/>
      <c r="AK397" s="81">
        <f>'Praroop-20 hindi'!K400</f>
        <v>0</v>
      </c>
      <c r="AL397" s="81">
        <v>10</v>
      </c>
      <c r="AM397" s="81"/>
      <c r="AN397" s="81">
        <f>'Praroop-20 hindi'!L400</f>
        <v>4</v>
      </c>
      <c r="AO397" s="81">
        <v>11</v>
      </c>
      <c r="AP397" s="81"/>
      <c r="AQ397" s="81">
        <f>'Praroop-20 hindi'!M400</f>
        <v>1</v>
      </c>
      <c r="AR397" s="81">
        <f t="shared" si="13"/>
        <v>597</v>
      </c>
    </row>
    <row r="398" spans="1:44" ht="38.25">
      <c r="A398" s="81">
        <v>64</v>
      </c>
      <c r="B398" s="41">
        <v>392</v>
      </c>
      <c r="C398" s="113" t="s">
        <v>517</v>
      </c>
      <c r="D398" s="117">
        <v>653</v>
      </c>
      <c r="E398" s="110">
        <v>215</v>
      </c>
      <c r="F398" s="110">
        <v>188</v>
      </c>
      <c r="G398" s="110">
        <v>0</v>
      </c>
      <c r="H398" s="111">
        <f t="shared" si="12"/>
        <v>403</v>
      </c>
      <c r="I398" s="112">
        <v>403</v>
      </c>
      <c r="J398" s="110">
        <v>0</v>
      </c>
      <c r="K398" s="110">
        <v>1</v>
      </c>
      <c r="L398" s="81"/>
      <c r="M398" s="81">
        <f>'Praroop-20 hindi'!C401</f>
        <v>160</v>
      </c>
      <c r="N398" s="81">
        <v>2</v>
      </c>
      <c r="O398" s="81"/>
      <c r="P398" s="81">
        <f>'Praroop-20 hindi'!D401</f>
        <v>11</v>
      </c>
      <c r="Q398" s="81">
        <v>3</v>
      </c>
      <c r="R398" s="81"/>
      <c r="S398" s="81">
        <f>'Praroop-20 hindi'!E401</f>
        <v>223</v>
      </c>
      <c r="T398" s="81">
        <v>4</v>
      </c>
      <c r="U398" s="81"/>
      <c r="V398" s="81">
        <f>'Praroop-20 hindi'!F401</f>
        <v>3</v>
      </c>
      <c r="W398" s="81">
        <v>5</v>
      </c>
      <c r="X398" s="81"/>
      <c r="Y398" s="81">
        <f>'Praroop-20 hindi'!G401</f>
        <v>0</v>
      </c>
      <c r="Z398" s="81">
        <v>6</v>
      </c>
      <c r="AA398" s="81"/>
      <c r="AB398" s="81">
        <f>'Praroop-20 hindi'!H401</f>
        <v>0</v>
      </c>
      <c r="AC398" s="81">
        <v>7</v>
      </c>
      <c r="AD398" s="81"/>
      <c r="AE398" s="81">
        <f>'Praroop-20 hindi'!I401</f>
        <v>0</v>
      </c>
      <c r="AF398" s="81">
        <v>8</v>
      </c>
      <c r="AG398" s="81"/>
      <c r="AH398" s="81">
        <f>'Praroop-20 hindi'!J401</f>
        <v>0</v>
      </c>
      <c r="AI398" s="81">
        <v>9</v>
      </c>
      <c r="AJ398" s="81"/>
      <c r="AK398" s="81">
        <f>'Praroop-20 hindi'!K401</f>
        <v>0</v>
      </c>
      <c r="AL398" s="81">
        <v>10</v>
      </c>
      <c r="AM398" s="81"/>
      <c r="AN398" s="81">
        <f>'Praroop-20 hindi'!L401</f>
        <v>2</v>
      </c>
      <c r="AO398" s="81">
        <v>11</v>
      </c>
      <c r="AP398" s="81"/>
      <c r="AQ398" s="81">
        <f>'Praroop-20 hindi'!M401</f>
        <v>0</v>
      </c>
      <c r="AR398" s="81">
        <f t="shared" si="13"/>
        <v>399</v>
      </c>
    </row>
    <row r="399" spans="1:44" ht="25.5">
      <c r="A399" s="81">
        <v>64</v>
      </c>
      <c r="B399" s="41">
        <v>393</v>
      </c>
      <c r="C399" s="113" t="s">
        <v>518</v>
      </c>
      <c r="D399" s="117">
        <v>668</v>
      </c>
      <c r="E399" s="110">
        <v>286</v>
      </c>
      <c r="F399" s="110">
        <v>265</v>
      </c>
      <c r="G399" s="110">
        <v>0</v>
      </c>
      <c r="H399" s="111">
        <f t="shared" si="12"/>
        <v>551</v>
      </c>
      <c r="I399" s="112">
        <v>551</v>
      </c>
      <c r="J399" s="110">
        <v>0</v>
      </c>
      <c r="K399" s="110">
        <v>1</v>
      </c>
      <c r="L399" s="81"/>
      <c r="M399" s="81">
        <f>'Praroop-20 hindi'!C402</f>
        <v>215</v>
      </c>
      <c r="N399" s="81">
        <v>2</v>
      </c>
      <c r="O399" s="81"/>
      <c r="P399" s="81">
        <f>'Praroop-20 hindi'!D402</f>
        <v>81</v>
      </c>
      <c r="Q399" s="81">
        <v>3</v>
      </c>
      <c r="R399" s="81"/>
      <c r="S399" s="81">
        <f>'Praroop-20 hindi'!E402</f>
        <v>241</v>
      </c>
      <c r="T399" s="81">
        <v>4</v>
      </c>
      <c r="U399" s="81"/>
      <c r="V399" s="81">
        <f>'Praroop-20 hindi'!F402</f>
        <v>2</v>
      </c>
      <c r="W399" s="81">
        <v>5</v>
      </c>
      <c r="X399" s="81"/>
      <c r="Y399" s="81">
        <f>'Praroop-20 hindi'!G402</f>
        <v>0</v>
      </c>
      <c r="Z399" s="81">
        <v>6</v>
      </c>
      <c r="AA399" s="81"/>
      <c r="AB399" s="81">
        <f>'Praroop-20 hindi'!H402</f>
        <v>0</v>
      </c>
      <c r="AC399" s="81">
        <v>7</v>
      </c>
      <c r="AD399" s="81"/>
      <c r="AE399" s="81">
        <f>'Praroop-20 hindi'!I402</f>
        <v>0</v>
      </c>
      <c r="AF399" s="81">
        <v>8</v>
      </c>
      <c r="AG399" s="81"/>
      <c r="AH399" s="81">
        <f>'Praroop-20 hindi'!J402</f>
        <v>1</v>
      </c>
      <c r="AI399" s="81">
        <v>9</v>
      </c>
      <c r="AJ399" s="81"/>
      <c r="AK399" s="81">
        <f>'Praroop-20 hindi'!K402</f>
        <v>0</v>
      </c>
      <c r="AL399" s="81">
        <v>10</v>
      </c>
      <c r="AM399" s="81"/>
      <c r="AN399" s="81">
        <f>'Praroop-20 hindi'!L402</f>
        <v>8</v>
      </c>
      <c r="AO399" s="81">
        <v>11</v>
      </c>
      <c r="AP399" s="81"/>
      <c r="AQ399" s="81">
        <f>'Praroop-20 hindi'!M402</f>
        <v>1</v>
      </c>
      <c r="AR399" s="81">
        <f t="shared" si="13"/>
        <v>549</v>
      </c>
    </row>
    <row r="400" spans="1:44" ht="38.25">
      <c r="A400" s="81">
        <v>64</v>
      </c>
      <c r="B400" s="41">
        <v>394</v>
      </c>
      <c r="C400" s="113" t="s">
        <v>519</v>
      </c>
      <c r="D400" s="117">
        <v>1043</v>
      </c>
      <c r="E400" s="110">
        <v>344</v>
      </c>
      <c r="F400" s="110">
        <v>358</v>
      </c>
      <c r="G400" s="110">
        <v>0</v>
      </c>
      <c r="H400" s="111">
        <f t="shared" si="12"/>
        <v>702</v>
      </c>
      <c r="I400" s="112">
        <v>702</v>
      </c>
      <c r="J400" s="110">
        <v>0</v>
      </c>
      <c r="K400" s="110">
        <v>1</v>
      </c>
      <c r="L400" s="81"/>
      <c r="M400" s="81">
        <f>'Praroop-20 hindi'!C403</f>
        <v>89</v>
      </c>
      <c r="N400" s="81">
        <v>2</v>
      </c>
      <c r="O400" s="81"/>
      <c r="P400" s="81">
        <f>'Praroop-20 hindi'!D403</f>
        <v>131</v>
      </c>
      <c r="Q400" s="81">
        <v>3</v>
      </c>
      <c r="R400" s="81"/>
      <c r="S400" s="81">
        <f>'Praroop-20 hindi'!E403</f>
        <v>464</v>
      </c>
      <c r="T400" s="81">
        <v>4</v>
      </c>
      <c r="U400" s="81"/>
      <c r="V400" s="81">
        <f>'Praroop-20 hindi'!F403</f>
        <v>5</v>
      </c>
      <c r="W400" s="81">
        <v>5</v>
      </c>
      <c r="X400" s="81"/>
      <c r="Y400" s="81">
        <f>'Praroop-20 hindi'!G403</f>
        <v>2</v>
      </c>
      <c r="Z400" s="81">
        <v>6</v>
      </c>
      <c r="AA400" s="81"/>
      <c r="AB400" s="81">
        <f>'Praroop-20 hindi'!H403</f>
        <v>0</v>
      </c>
      <c r="AC400" s="81">
        <v>7</v>
      </c>
      <c r="AD400" s="81"/>
      <c r="AE400" s="81">
        <f>'Praroop-20 hindi'!I403</f>
        <v>0</v>
      </c>
      <c r="AF400" s="81">
        <v>8</v>
      </c>
      <c r="AG400" s="81"/>
      <c r="AH400" s="81">
        <f>'Praroop-20 hindi'!J403</f>
        <v>4</v>
      </c>
      <c r="AI400" s="81">
        <v>9</v>
      </c>
      <c r="AJ400" s="81"/>
      <c r="AK400" s="81">
        <f>'Praroop-20 hindi'!K403</f>
        <v>0</v>
      </c>
      <c r="AL400" s="81">
        <v>10</v>
      </c>
      <c r="AM400" s="81"/>
      <c r="AN400" s="81">
        <f>'Praroop-20 hindi'!L403</f>
        <v>2</v>
      </c>
      <c r="AO400" s="81">
        <v>11</v>
      </c>
      <c r="AP400" s="81"/>
      <c r="AQ400" s="81">
        <f>'Praroop-20 hindi'!M403</f>
        <v>1</v>
      </c>
      <c r="AR400" s="81">
        <f t="shared" si="13"/>
        <v>698</v>
      </c>
    </row>
    <row r="401" spans="1:44" ht="38.25">
      <c r="A401" s="81">
        <v>64</v>
      </c>
      <c r="B401" s="41">
        <v>395</v>
      </c>
      <c r="C401" s="113" t="s">
        <v>520</v>
      </c>
      <c r="D401" s="117">
        <v>934</v>
      </c>
      <c r="E401" s="110">
        <v>344</v>
      </c>
      <c r="F401" s="110">
        <v>315</v>
      </c>
      <c r="G401" s="110">
        <v>0</v>
      </c>
      <c r="H401" s="111">
        <f t="shared" si="12"/>
        <v>659</v>
      </c>
      <c r="I401" s="112">
        <v>659</v>
      </c>
      <c r="J401" s="110">
        <v>0</v>
      </c>
      <c r="K401" s="110">
        <v>1</v>
      </c>
      <c r="L401" s="81"/>
      <c r="M401" s="81">
        <f>'Praroop-20 hindi'!C404</f>
        <v>71</v>
      </c>
      <c r="N401" s="81">
        <v>2</v>
      </c>
      <c r="O401" s="81"/>
      <c r="P401" s="81">
        <f>'Praroop-20 hindi'!D404</f>
        <v>280</v>
      </c>
      <c r="Q401" s="81">
        <v>3</v>
      </c>
      <c r="R401" s="81"/>
      <c r="S401" s="81">
        <f>'Praroop-20 hindi'!E404</f>
        <v>280</v>
      </c>
      <c r="T401" s="81">
        <v>4</v>
      </c>
      <c r="U401" s="81"/>
      <c r="V401" s="81">
        <f>'Praroop-20 hindi'!F404</f>
        <v>5</v>
      </c>
      <c r="W401" s="81">
        <v>5</v>
      </c>
      <c r="X401" s="81"/>
      <c r="Y401" s="81">
        <f>'Praroop-20 hindi'!G404</f>
        <v>1</v>
      </c>
      <c r="Z401" s="81">
        <v>6</v>
      </c>
      <c r="AA401" s="81"/>
      <c r="AB401" s="81">
        <f>'Praroop-20 hindi'!H404</f>
        <v>1</v>
      </c>
      <c r="AC401" s="81">
        <v>7</v>
      </c>
      <c r="AD401" s="81"/>
      <c r="AE401" s="81">
        <f>'Praroop-20 hindi'!I404</f>
        <v>1</v>
      </c>
      <c r="AF401" s="81">
        <v>8</v>
      </c>
      <c r="AG401" s="81"/>
      <c r="AH401" s="81">
        <f>'Praroop-20 hindi'!J404</f>
        <v>2</v>
      </c>
      <c r="AI401" s="81">
        <v>9</v>
      </c>
      <c r="AJ401" s="81"/>
      <c r="AK401" s="81">
        <f>'Praroop-20 hindi'!K404</f>
        <v>9</v>
      </c>
      <c r="AL401" s="81">
        <v>10</v>
      </c>
      <c r="AM401" s="81"/>
      <c r="AN401" s="81">
        <f>'Praroop-20 hindi'!L404</f>
        <v>2</v>
      </c>
      <c r="AO401" s="81">
        <v>11</v>
      </c>
      <c r="AP401" s="81"/>
      <c r="AQ401" s="81">
        <f>'Praroop-20 hindi'!M404</f>
        <v>2</v>
      </c>
      <c r="AR401" s="81">
        <f t="shared" si="13"/>
        <v>654</v>
      </c>
    </row>
    <row r="402" spans="1:44" ht="38.25">
      <c r="A402" s="81">
        <v>64</v>
      </c>
      <c r="B402" s="41">
        <v>396</v>
      </c>
      <c r="C402" s="113" t="s">
        <v>521</v>
      </c>
      <c r="D402" s="117">
        <v>677</v>
      </c>
      <c r="E402" s="110">
        <v>258</v>
      </c>
      <c r="F402" s="110">
        <v>207</v>
      </c>
      <c r="G402" s="110">
        <v>0</v>
      </c>
      <c r="H402" s="111">
        <f t="shared" si="12"/>
        <v>465</v>
      </c>
      <c r="I402" s="112">
        <v>465</v>
      </c>
      <c r="J402" s="110">
        <v>0</v>
      </c>
      <c r="K402" s="110">
        <v>1</v>
      </c>
      <c r="L402" s="81"/>
      <c r="M402" s="81">
        <f>'Praroop-20 hindi'!C405</f>
        <v>47</v>
      </c>
      <c r="N402" s="81">
        <v>2</v>
      </c>
      <c r="O402" s="81"/>
      <c r="P402" s="81">
        <f>'Praroop-20 hindi'!D405</f>
        <v>59</v>
      </c>
      <c r="Q402" s="81">
        <v>3</v>
      </c>
      <c r="R402" s="81"/>
      <c r="S402" s="81">
        <f>'Praroop-20 hindi'!E405</f>
        <v>344</v>
      </c>
      <c r="T402" s="81">
        <v>4</v>
      </c>
      <c r="U402" s="81"/>
      <c r="V402" s="81">
        <f>'Praroop-20 hindi'!F405</f>
        <v>3</v>
      </c>
      <c r="W402" s="81">
        <v>5</v>
      </c>
      <c r="X402" s="81"/>
      <c r="Y402" s="81">
        <f>'Praroop-20 hindi'!G405</f>
        <v>0</v>
      </c>
      <c r="Z402" s="81">
        <v>6</v>
      </c>
      <c r="AA402" s="81"/>
      <c r="AB402" s="81">
        <f>'Praroop-20 hindi'!H405</f>
        <v>0</v>
      </c>
      <c r="AC402" s="81">
        <v>7</v>
      </c>
      <c r="AD402" s="81"/>
      <c r="AE402" s="81">
        <f>'Praroop-20 hindi'!I405</f>
        <v>1</v>
      </c>
      <c r="AF402" s="81">
        <v>8</v>
      </c>
      <c r="AG402" s="81"/>
      <c r="AH402" s="81">
        <f>'Praroop-20 hindi'!J405</f>
        <v>0</v>
      </c>
      <c r="AI402" s="81">
        <v>9</v>
      </c>
      <c r="AJ402" s="81"/>
      <c r="AK402" s="81">
        <f>'Praroop-20 hindi'!K405</f>
        <v>0</v>
      </c>
      <c r="AL402" s="81">
        <v>10</v>
      </c>
      <c r="AM402" s="81"/>
      <c r="AN402" s="81">
        <f>'Praroop-20 hindi'!L405</f>
        <v>8</v>
      </c>
      <c r="AO402" s="81">
        <v>11</v>
      </c>
      <c r="AP402" s="81"/>
      <c r="AQ402" s="81">
        <f>'Praroop-20 hindi'!M405</f>
        <v>0</v>
      </c>
      <c r="AR402" s="81">
        <f t="shared" si="13"/>
        <v>462</v>
      </c>
    </row>
    <row r="403" spans="1:44" ht="38.25">
      <c r="A403" s="81">
        <v>64</v>
      </c>
      <c r="B403" s="41">
        <v>397</v>
      </c>
      <c r="C403" s="113" t="s">
        <v>522</v>
      </c>
      <c r="D403" s="117">
        <v>693</v>
      </c>
      <c r="E403" s="110">
        <v>308</v>
      </c>
      <c r="F403" s="110">
        <v>266</v>
      </c>
      <c r="G403" s="110">
        <v>0</v>
      </c>
      <c r="H403" s="111">
        <f t="shared" si="12"/>
        <v>574</v>
      </c>
      <c r="I403" s="112">
        <v>574</v>
      </c>
      <c r="J403" s="110">
        <v>0</v>
      </c>
      <c r="K403" s="110">
        <v>1</v>
      </c>
      <c r="L403" s="81"/>
      <c r="M403" s="81">
        <f>'Praroop-20 hindi'!C406</f>
        <v>1</v>
      </c>
      <c r="N403" s="81">
        <v>2</v>
      </c>
      <c r="O403" s="81"/>
      <c r="P403" s="81">
        <f>'Praroop-20 hindi'!D406</f>
        <v>3</v>
      </c>
      <c r="Q403" s="81">
        <v>3</v>
      </c>
      <c r="R403" s="81"/>
      <c r="S403" s="81">
        <f>'Praroop-20 hindi'!E406</f>
        <v>558</v>
      </c>
      <c r="T403" s="81">
        <v>4</v>
      </c>
      <c r="U403" s="81"/>
      <c r="V403" s="81">
        <f>'Praroop-20 hindi'!F406</f>
        <v>1</v>
      </c>
      <c r="W403" s="81">
        <v>5</v>
      </c>
      <c r="X403" s="81"/>
      <c r="Y403" s="81">
        <f>'Praroop-20 hindi'!G406</f>
        <v>1</v>
      </c>
      <c r="Z403" s="81">
        <v>6</v>
      </c>
      <c r="AA403" s="81"/>
      <c r="AB403" s="81">
        <f>'Praroop-20 hindi'!H406</f>
        <v>0</v>
      </c>
      <c r="AC403" s="81">
        <v>7</v>
      </c>
      <c r="AD403" s="81"/>
      <c r="AE403" s="81">
        <f>'Praroop-20 hindi'!I406</f>
        <v>0</v>
      </c>
      <c r="AF403" s="81">
        <v>8</v>
      </c>
      <c r="AG403" s="81"/>
      <c r="AH403" s="81">
        <f>'Praroop-20 hindi'!J406</f>
        <v>0</v>
      </c>
      <c r="AI403" s="81">
        <v>9</v>
      </c>
      <c r="AJ403" s="81"/>
      <c r="AK403" s="81">
        <f>'Praroop-20 hindi'!K406</f>
        <v>1</v>
      </c>
      <c r="AL403" s="81">
        <v>10</v>
      </c>
      <c r="AM403" s="81"/>
      <c r="AN403" s="81">
        <f>'Praroop-20 hindi'!L406</f>
        <v>6</v>
      </c>
      <c r="AO403" s="81">
        <v>11</v>
      </c>
      <c r="AP403" s="81"/>
      <c r="AQ403" s="81">
        <f>'Praroop-20 hindi'!M406</f>
        <v>2</v>
      </c>
      <c r="AR403" s="81">
        <f t="shared" si="13"/>
        <v>573</v>
      </c>
    </row>
    <row r="404" spans="1:44" ht="38.25">
      <c r="A404" s="81">
        <v>64</v>
      </c>
      <c r="B404" s="41">
        <v>398</v>
      </c>
      <c r="C404" s="113" t="s">
        <v>523</v>
      </c>
      <c r="D404" s="117">
        <v>696</v>
      </c>
      <c r="E404" s="110">
        <v>275</v>
      </c>
      <c r="F404" s="110">
        <v>261</v>
      </c>
      <c r="G404" s="110">
        <v>0</v>
      </c>
      <c r="H404" s="111">
        <f t="shared" si="12"/>
        <v>536</v>
      </c>
      <c r="I404" s="112">
        <v>472</v>
      </c>
      <c r="J404" s="110">
        <v>0</v>
      </c>
      <c r="K404" s="110">
        <v>1</v>
      </c>
      <c r="L404" s="81"/>
      <c r="M404" s="81">
        <f>'Praroop-20 hindi'!C407</f>
        <v>5</v>
      </c>
      <c r="N404" s="81">
        <v>2</v>
      </c>
      <c r="O404" s="81"/>
      <c r="P404" s="81">
        <f>'Praroop-20 hindi'!D407</f>
        <v>34</v>
      </c>
      <c r="Q404" s="81">
        <v>3</v>
      </c>
      <c r="R404" s="81"/>
      <c r="S404" s="81">
        <f>'Praroop-20 hindi'!E407</f>
        <v>466</v>
      </c>
      <c r="T404" s="81">
        <v>4</v>
      </c>
      <c r="U404" s="81"/>
      <c r="V404" s="81">
        <f>'Praroop-20 hindi'!F407</f>
        <v>6</v>
      </c>
      <c r="W404" s="81">
        <v>5</v>
      </c>
      <c r="X404" s="81"/>
      <c r="Y404" s="81">
        <f>'Praroop-20 hindi'!G407</f>
        <v>0</v>
      </c>
      <c r="Z404" s="81">
        <v>6</v>
      </c>
      <c r="AA404" s="81"/>
      <c r="AB404" s="81">
        <f>'Praroop-20 hindi'!H407</f>
        <v>0</v>
      </c>
      <c r="AC404" s="81">
        <v>7</v>
      </c>
      <c r="AD404" s="81"/>
      <c r="AE404" s="81">
        <f>'Praroop-20 hindi'!I407</f>
        <v>1</v>
      </c>
      <c r="AF404" s="81">
        <v>8</v>
      </c>
      <c r="AG404" s="81"/>
      <c r="AH404" s="81">
        <f>'Praroop-20 hindi'!J407</f>
        <v>0</v>
      </c>
      <c r="AI404" s="81">
        <v>9</v>
      </c>
      <c r="AJ404" s="81"/>
      <c r="AK404" s="81">
        <f>'Praroop-20 hindi'!K407</f>
        <v>1</v>
      </c>
      <c r="AL404" s="81">
        <v>10</v>
      </c>
      <c r="AM404" s="81"/>
      <c r="AN404" s="81">
        <f>'Praroop-20 hindi'!L407</f>
        <v>20</v>
      </c>
      <c r="AO404" s="81">
        <v>11</v>
      </c>
      <c r="AP404" s="81"/>
      <c r="AQ404" s="81">
        <f>'Praroop-20 hindi'!M407</f>
        <v>0</v>
      </c>
      <c r="AR404" s="81">
        <f t="shared" si="13"/>
        <v>533</v>
      </c>
    </row>
    <row r="405" spans="1:44" ht="38.25">
      <c r="A405" s="81">
        <v>64</v>
      </c>
      <c r="B405" s="41">
        <v>399</v>
      </c>
      <c r="C405" s="113" t="s">
        <v>524</v>
      </c>
      <c r="D405" s="117">
        <v>773</v>
      </c>
      <c r="E405" s="110">
        <v>250</v>
      </c>
      <c r="F405" s="110">
        <v>231</v>
      </c>
      <c r="G405" s="110">
        <v>0</v>
      </c>
      <c r="H405" s="111">
        <f t="shared" si="12"/>
        <v>481</v>
      </c>
      <c r="I405" s="112">
        <v>481</v>
      </c>
      <c r="J405" s="110">
        <v>0</v>
      </c>
      <c r="K405" s="110">
        <v>1</v>
      </c>
      <c r="L405" s="81"/>
      <c r="M405" s="81">
        <f>'Praroop-20 hindi'!C408</f>
        <v>6</v>
      </c>
      <c r="N405" s="81">
        <v>2</v>
      </c>
      <c r="O405" s="81"/>
      <c r="P405" s="81">
        <f>'Praroop-20 hindi'!D408</f>
        <v>226</v>
      </c>
      <c r="Q405" s="81">
        <v>3</v>
      </c>
      <c r="R405" s="81"/>
      <c r="S405" s="81">
        <f>'Praroop-20 hindi'!E408</f>
        <v>232</v>
      </c>
      <c r="T405" s="81">
        <v>4</v>
      </c>
      <c r="U405" s="81"/>
      <c r="V405" s="81">
        <f>'Praroop-20 hindi'!F408</f>
        <v>6</v>
      </c>
      <c r="W405" s="81">
        <v>5</v>
      </c>
      <c r="X405" s="81"/>
      <c r="Y405" s="81">
        <f>'Praroop-20 hindi'!G408</f>
        <v>0</v>
      </c>
      <c r="Z405" s="81">
        <v>6</v>
      </c>
      <c r="AA405" s="81"/>
      <c r="AB405" s="81">
        <f>'Praroop-20 hindi'!H408</f>
        <v>0</v>
      </c>
      <c r="AC405" s="81">
        <v>7</v>
      </c>
      <c r="AD405" s="81"/>
      <c r="AE405" s="81">
        <f>'Praroop-20 hindi'!I408</f>
        <v>0</v>
      </c>
      <c r="AF405" s="81">
        <v>8</v>
      </c>
      <c r="AG405" s="81"/>
      <c r="AH405" s="81">
        <f>'Praroop-20 hindi'!J408</f>
        <v>0</v>
      </c>
      <c r="AI405" s="81">
        <v>9</v>
      </c>
      <c r="AJ405" s="81"/>
      <c r="AK405" s="81">
        <f>'Praroop-20 hindi'!K408</f>
        <v>3</v>
      </c>
      <c r="AL405" s="81">
        <v>10</v>
      </c>
      <c r="AM405" s="81"/>
      <c r="AN405" s="81">
        <f>'Praroop-20 hindi'!L408</f>
        <v>4</v>
      </c>
      <c r="AO405" s="81">
        <v>11</v>
      </c>
      <c r="AP405" s="81"/>
      <c r="AQ405" s="81">
        <f>'Praroop-20 hindi'!M408</f>
        <v>0</v>
      </c>
      <c r="AR405" s="81">
        <f t="shared" si="13"/>
        <v>477</v>
      </c>
    </row>
    <row r="406" spans="1:44" ht="25.5">
      <c r="A406" s="81">
        <v>64</v>
      </c>
      <c r="B406" s="41">
        <v>400</v>
      </c>
      <c r="C406" s="113" t="s">
        <v>525</v>
      </c>
      <c r="D406" s="117">
        <v>823</v>
      </c>
      <c r="E406" s="110">
        <v>308</v>
      </c>
      <c r="F406" s="110">
        <v>222</v>
      </c>
      <c r="G406" s="110">
        <v>0</v>
      </c>
      <c r="H406" s="111">
        <f t="shared" si="12"/>
        <v>530</v>
      </c>
      <c r="I406" s="112">
        <v>530</v>
      </c>
      <c r="J406" s="110">
        <v>0</v>
      </c>
      <c r="K406" s="110">
        <v>1</v>
      </c>
      <c r="L406" s="81"/>
      <c r="M406" s="81">
        <f>'Praroop-20 hindi'!C409</f>
        <v>8</v>
      </c>
      <c r="N406" s="81">
        <v>2</v>
      </c>
      <c r="O406" s="81"/>
      <c r="P406" s="81">
        <f>'Praroop-20 hindi'!D409</f>
        <v>353</v>
      </c>
      <c r="Q406" s="81">
        <v>3</v>
      </c>
      <c r="R406" s="81"/>
      <c r="S406" s="81">
        <f>'Praroop-20 hindi'!E409</f>
        <v>156</v>
      </c>
      <c r="T406" s="81">
        <v>4</v>
      </c>
      <c r="U406" s="81"/>
      <c r="V406" s="81">
        <f>'Praroop-20 hindi'!F409</f>
        <v>6</v>
      </c>
      <c r="W406" s="81">
        <v>5</v>
      </c>
      <c r="X406" s="81"/>
      <c r="Y406" s="81">
        <f>'Praroop-20 hindi'!G409</f>
        <v>1</v>
      </c>
      <c r="Z406" s="81">
        <v>6</v>
      </c>
      <c r="AA406" s="81"/>
      <c r="AB406" s="81">
        <f>'Praroop-20 hindi'!H409</f>
        <v>0</v>
      </c>
      <c r="AC406" s="81">
        <v>7</v>
      </c>
      <c r="AD406" s="81"/>
      <c r="AE406" s="81">
        <f>'Praroop-20 hindi'!I409</f>
        <v>0</v>
      </c>
      <c r="AF406" s="81">
        <v>8</v>
      </c>
      <c r="AG406" s="81"/>
      <c r="AH406" s="81">
        <f>'Praroop-20 hindi'!J409</f>
        <v>0</v>
      </c>
      <c r="AI406" s="81">
        <v>9</v>
      </c>
      <c r="AJ406" s="81"/>
      <c r="AK406" s="81">
        <f>'Praroop-20 hindi'!K409</f>
        <v>3</v>
      </c>
      <c r="AL406" s="81">
        <v>10</v>
      </c>
      <c r="AM406" s="81"/>
      <c r="AN406" s="81">
        <f>'Praroop-20 hindi'!L409</f>
        <v>1</v>
      </c>
      <c r="AO406" s="81">
        <v>11</v>
      </c>
      <c r="AP406" s="81"/>
      <c r="AQ406" s="81">
        <f>'Praroop-20 hindi'!M409</f>
        <v>0</v>
      </c>
      <c r="AR406" s="81">
        <f t="shared" si="13"/>
        <v>528</v>
      </c>
    </row>
    <row r="407" spans="1:44" ht="25.5">
      <c r="A407" s="81">
        <v>64</v>
      </c>
      <c r="B407" s="41">
        <v>401</v>
      </c>
      <c r="C407" s="113" t="s">
        <v>526</v>
      </c>
      <c r="D407" s="117">
        <v>822</v>
      </c>
      <c r="E407" s="110">
        <v>278</v>
      </c>
      <c r="F407" s="110">
        <v>261</v>
      </c>
      <c r="G407" s="110">
        <v>0</v>
      </c>
      <c r="H407" s="111">
        <f t="shared" si="12"/>
        <v>539</v>
      </c>
      <c r="I407" s="112">
        <v>500</v>
      </c>
      <c r="J407" s="110">
        <v>0</v>
      </c>
      <c r="K407" s="110">
        <v>1</v>
      </c>
      <c r="L407" s="81"/>
      <c r="M407" s="81">
        <f>'Praroop-20 hindi'!C410</f>
        <v>6</v>
      </c>
      <c r="N407" s="81">
        <v>2</v>
      </c>
      <c r="O407" s="81"/>
      <c r="P407" s="81">
        <f>'Praroop-20 hindi'!D410</f>
        <v>511</v>
      </c>
      <c r="Q407" s="81">
        <v>3</v>
      </c>
      <c r="R407" s="81"/>
      <c r="S407" s="81">
        <f>'Praroop-20 hindi'!E410</f>
        <v>6</v>
      </c>
      <c r="T407" s="81">
        <v>4</v>
      </c>
      <c r="U407" s="81"/>
      <c r="V407" s="81">
        <f>'Praroop-20 hindi'!F410</f>
        <v>1</v>
      </c>
      <c r="W407" s="81">
        <v>5</v>
      </c>
      <c r="X407" s="81"/>
      <c r="Y407" s="81">
        <f>'Praroop-20 hindi'!G410</f>
        <v>0</v>
      </c>
      <c r="Z407" s="81">
        <v>6</v>
      </c>
      <c r="AA407" s="81"/>
      <c r="AB407" s="81">
        <f>'Praroop-20 hindi'!H410</f>
        <v>0</v>
      </c>
      <c r="AC407" s="81">
        <v>7</v>
      </c>
      <c r="AD407" s="81"/>
      <c r="AE407" s="81">
        <f>'Praroop-20 hindi'!I410</f>
        <v>1</v>
      </c>
      <c r="AF407" s="81">
        <v>8</v>
      </c>
      <c r="AG407" s="81"/>
      <c r="AH407" s="81">
        <f>'Praroop-20 hindi'!J410</f>
        <v>0</v>
      </c>
      <c r="AI407" s="81">
        <v>9</v>
      </c>
      <c r="AJ407" s="81"/>
      <c r="AK407" s="81">
        <f>'Praroop-20 hindi'!K410</f>
        <v>11</v>
      </c>
      <c r="AL407" s="81">
        <v>10</v>
      </c>
      <c r="AM407" s="81"/>
      <c r="AN407" s="81">
        <f>'Praroop-20 hindi'!L410</f>
        <v>1</v>
      </c>
      <c r="AO407" s="81">
        <v>11</v>
      </c>
      <c r="AP407" s="81"/>
      <c r="AQ407" s="81">
        <f>'Praroop-20 hindi'!M410</f>
        <v>0</v>
      </c>
      <c r="AR407" s="81">
        <f t="shared" si="13"/>
        <v>537</v>
      </c>
    </row>
    <row r="408" spans="1:44" ht="25.5">
      <c r="A408" s="81">
        <v>64</v>
      </c>
      <c r="B408" s="41">
        <v>402</v>
      </c>
      <c r="C408" s="113" t="s">
        <v>527</v>
      </c>
      <c r="D408" s="117">
        <v>642</v>
      </c>
      <c r="E408" s="110">
        <v>236</v>
      </c>
      <c r="F408" s="110">
        <v>216</v>
      </c>
      <c r="G408" s="110">
        <v>0</v>
      </c>
      <c r="H408" s="111">
        <f t="shared" si="12"/>
        <v>452</v>
      </c>
      <c r="I408" s="112">
        <v>452</v>
      </c>
      <c r="J408" s="110">
        <v>0</v>
      </c>
      <c r="K408" s="110">
        <v>1</v>
      </c>
      <c r="L408" s="81"/>
      <c r="M408" s="81">
        <f>'Praroop-20 hindi'!C411</f>
        <v>7</v>
      </c>
      <c r="N408" s="81">
        <v>2</v>
      </c>
      <c r="O408" s="81"/>
      <c r="P408" s="81">
        <f>'Praroop-20 hindi'!D411</f>
        <v>226</v>
      </c>
      <c r="Q408" s="81">
        <v>3</v>
      </c>
      <c r="R408" s="81"/>
      <c r="S408" s="81">
        <f>'Praroop-20 hindi'!E411</f>
        <v>204</v>
      </c>
      <c r="T408" s="81">
        <v>4</v>
      </c>
      <c r="U408" s="81"/>
      <c r="V408" s="81">
        <f>'Praroop-20 hindi'!F411</f>
        <v>2</v>
      </c>
      <c r="W408" s="81">
        <v>5</v>
      </c>
      <c r="X408" s="81"/>
      <c r="Y408" s="81">
        <f>'Praroop-20 hindi'!G411</f>
        <v>1</v>
      </c>
      <c r="Z408" s="81">
        <v>6</v>
      </c>
      <c r="AA408" s="81"/>
      <c r="AB408" s="81">
        <f>'Praroop-20 hindi'!H411</f>
        <v>0</v>
      </c>
      <c r="AC408" s="81">
        <v>7</v>
      </c>
      <c r="AD408" s="81"/>
      <c r="AE408" s="81">
        <f>'Praroop-20 hindi'!I411</f>
        <v>0</v>
      </c>
      <c r="AF408" s="81">
        <v>8</v>
      </c>
      <c r="AG408" s="81"/>
      <c r="AH408" s="81">
        <f>'Praroop-20 hindi'!J411</f>
        <v>0</v>
      </c>
      <c r="AI408" s="81">
        <v>9</v>
      </c>
      <c r="AJ408" s="81"/>
      <c r="AK408" s="81">
        <f>'Praroop-20 hindi'!K411</f>
        <v>2</v>
      </c>
      <c r="AL408" s="81">
        <v>10</v>
      </c>
      <c r="AM408" s="81"/>
      <c r="AN408" s="81">
        <f>'Praroop-20 hindi'!L411</f>
        <v>2</v>
      </c>
      <c r="AO408" s="81">
        <v>11</v>
      </c>
      <c r="AP408" s="81"/>
      <c r="AQ408" s="81">
        <f>'Praroop-20 hindi'!M411</f>
        <v>3</v>
      </c>
      <c r="AR408" s="81">
        <f t="shared" si="13"/>
        <v>447</v>
      </c>
    </row>
    <row r="409" spans="1:44" ht="38.25">
      <c r="A409" s="81">
        <v>64</v>
      </c>
      <c r="B409" s="41">
        <v>403</v>
      </c>
      <c r="C409" s="113" t="s">
        <v>528</v>
      </c>
      <c r="D409" s="117">
        <v>620</v>
      </c>
      <c r="E409" s="110">
        <v>223</v>
      </c>
      <c r="F409" s="110">
        <v>207</v>
      </c>
      <c r="G409" s="110">
        <v>0</v>
      </c>
      <c r="H409" s="111">
        <f t="shared" si="12"/>
        <v>430</v>
      </c>
      <c r="I409" s="112">
        <v>372</v>
      </c>
      <c r="J409" s="110">
        <v>0</v>
      </c>
      <c r="K409" s="110">
        <v>1</v>
      </c>
      <c r="L409" s="81"/>
      <c r="M409" s="81">
        <f>'Praroop-20 hindi'!C412</f>
        <v>200</v>
      </c>
      <c r="N409" s="81">
        <v>2</v>
      </c>
      <c r="O409" s="81"/>
      <c r="P409" s="81">
        <f>'Praroop-20 hindi'!D412</f>
        <v>81</v>
      </c>
      <c r="Q409" s="81">
        <v>3</v>
      </c>
      <c r="R409" s="81"/>
      <c r="S409" s="81">
        <f>'Praroop-20 hindi'!E412</f>
        <v>139</v>
      </c>
      <c r="T409" s="81">
        <v>4</v>
      </c>
      <c r="U409" s="81"/>
      <c r="V409" s="81">
        <f>'Praroop-20 hindi'!F412</f>
        <v>3</v>
      </c>
      <c r="W409" s="81">
        <v>5</v>
      </c>
      <c r="X409" s="81"/>
      <c r="Y409" s="81">
        <f>'Praroop-20 hindi'!G412</f>
        <v>0</v>
      </c>
      <c r="Z409" s="81">
        <v>6</v>
      </c>
      <c r="AA409" s="81"/>
      <c r="AB409" s="81">
        <f>'Praroop-20 hindi'!H412</f>
        <v>1</v>
      </c>
      <c r="AC409" s="81">
        <v>7</v>
      </c>
      <c r="AD409" s="81"/>
      <c r="AE409" s="81">
        <f>'Praroop-20 hindi'!I412</f>
        <v>0</v>
      </c>
      <c r="AF409" s="81">
        <v>8</v>
      </c>
      <c r="AG409" s="81"/>
      <c r="AH409" s="81">
        <f>'Praroop-20 hindi'!J412</f>
        <v>1</v>
      </c>
      <c r="AI409" s="81">
        <v>9</v>
      </c>
      <c r="AJ409" s="81"/>
      <c r="AK409" s="81">
        <f>'Praroop-20 hindi'!K412</f>
        <v>1</v>
      </c>
      <c r="AL409" s="81">
        <v>10</v>
      </c>
      <c r="AM409" s="81"/>
      <c r="AN409" s="81">
        <f>'Praroop-20 hindi'!L412</f>
        <v>1</v>
      </c>
      <c r="AO409" s="81">
        <v>11</v>
      </c>
      <c r="AP409" s="81"/>
      <c r="AQ409" s="81">
        <f>'Praroop-20 hindi'!M412</f>
        <v>0</v>
      </c>
      <c r="AR409" s="81">
        <f t="shared" si="13"/>
        <v>427</v>
      </c>
    </row>
    <row r="410" spans="1:44" ht="38.25">
      <c r="A410" s="81">
        <v>64</v>
      </c>
      <c r="B410" s="41">
        <v>404</v>
      </c>
      <c r="C410" s="113" t="s">
        <v>529</v>
      </c>
      <c r="D410" s="117">
        <v>612</v>
      </c>
      <c r="E410" s="110">
        <v>282</v>
      </c>
      <c r="F410" s="110">
        <v>237</v>
      </c>
      <c r="G410" s="110">
        <v>0</v>
      </c>
      <c r="H410" s="111">
        <f t="shared" si="12"/>
        <v>519</v>
      </c>
      <c r="I410" s="112">
        <v>519</v>
      </c>
      <c r="J410" s="110">
        <v>0</v>
      </c>
      <c r="K410" s="110">
        <v>1</v>
      </c>
      <c r="L410" s="81"/>
      <c r="M410" s="81">
        <f>'Praroop-20 hindi'!C413</f>
        <v>2</v>
      </c>
      <c r="N410" s="81">
        <v>2</v>
      </c>
      <c r="O410" s="81"/>
      <c r="P410" s="81">
        <f>'Praroop-20 hindi'!D413</f>
        <v>22</v>
      </c>
      <c r="Q410" s="81">
        <v>3</v>
      </c>
      <c r="R410" s="81"/>
      <c r="S410" s="81">
        <f>'Praroop-20 hindi'!E413</f>
        <v>487</v>
      </c>
      <c r="T410" s="81">
        <v>4</v>
      </c>
      <c r="U410" s="81"/>
      <c r="V410" s="81">
        <f>'Praroop-20 hindi'!F413</f>
        <v>6</v>
      </c>
      <c r="W410" s="81">
        <v>5</v>
      </c>
      <c r="X410" s="81"/>
      <c r="Y410" s="81">
        <f>'Praroop-20 hindi'!G413</f>
        <v>0</v>
      </c>
      <c r="Z410" s="81">
        <v>6</v>
      </c>
      <c r="AA410" s="81"/>
      <c r="AB410" s="81">
        <f>'Praroop-20 hindi'!H413</f>
        <v>0</v>
      </c>
      <c r="AC410" s="81">
        <v>7</v>
      </c>
      <c r="AD410" s="81"/>
      <c r="AE410" s="81">
        <f>'Praroop-20 hindi'!I413</f>
        <v>0</v>
      </c>
      <c r="AF410" s="81">
        <v>8</v>
      </c>
      <c r="AG410" s="81"/>
      <c r="AH410" s="81">
        <f>'Praroop-20 hindi'!J413</f>
        <v>0</v>
      </c>
      <c r="AI410" s="81">
        <v>9</v>
      </c>
      <c r="AJ410" s="81"/>
      <c r="AK410" s="81">
        <f>'Praroop-20 hindi'!K413</f>
        <v>0</v>
      </c>
      <c r="AL410" s="81">
        <v>10</v>
      </c>
      <c r="AM410" s="81"/>
      <c r="AN410" s="81">
        <f>'Praroop-20 hindi'!L413</f>
        <v>1</v>
      </c>
      <c r="AO410" s="81">
        <v>11</v>
      </c>
      <c r="AP410" s="81"/>
      <c r="AQ410" s="81">
        <f>'Praroop-20 hindi'!M413</f>
        <v>0</v>
      </c>
      <c r="AR410" s="81">
        <f t="shared" si="13"/>
        <v>518</v>
      </c>
    </row>
    <row r="411" spans="1:44" ht="25.5">
      <c r="A411" s="81">
        <v>64</v>
      </c>
      <c r="B411" s="41">
        <v>405</v>
      </c>
      <c r="C411" s="113" t="s">
        <v>530</v>
      </c>
      <c r="D411" s="117">
        <v>459</v>
      </c>
      <c r="E411" s="110">
        <v>181</v>
      </c>
      <c r="F411" s="110">
        <v>150</v>
      </c>
      <c r="G411" s="110">
        <v>0</v>
      </c>
      <c r="H411" s="111">
        <f t="shared" si="12"/>
        <v>331</v>
      </c>
      <c r="I411" s="112">
        <v>305</v>
      </c>
      <c r="J411" s="110">
        <v>0</v>
      </c>
      <c r="K411" s="110">
        <v>1</v>
      </c>
      <c r="L411" s="81"/>
      <c r="M411" s="81">
        <f>'Praroop-20 hindi'!C414</f>
        <v>0</v>
      </c>
      <c r="N411" s="81">
        <v>2</v>
      </c>
      <c r="O411" s="81"/>
      <c r="P411" s="81">
        <f>'Praroop-20 hindi'!D414</f>
        <v>69</v>
      </c>
      <c r="Q411" s="81">
        <v>3</v>
      </c>
      <c r="R411" s="81"/>
      <c r="S411" s="81">
        <f>'Praroop-20 hindi'!E414</f>
        <v>258</v>
      </c>
      <c r="T411" s="81">
        <v>4</v>
      </c>
      <c r="U411" s="81"/>
      <c r="V411" s="81">
        <f>'Praroop-20 hindi'!F414</f>
        <v>2</v>
      </c>
      <c r="W411" s="81">
        <v>5</v>
      </c>
      <c r="X411" s="81"/>
      <c r="Y411" s="81">
        <f>'Praroop-20 hindi'!G414</f>
        <v>0</v>
      </c>
      <c r="Z411" s="81">
        <v>6</v>
      </c>
      <c r="AA411" s="81"/>
      <c r="AB411" s="81">
        <f>'Praroop-20 hindi'!H414</f>
        <v>0</v>
      </c>
      <c r="AC411" s="81">
        <v>7</v>
      </c>
      <c r="AD411" s="81"/>
      <c r="AE411" s="81">
        <f>'Praroop-20 hindi'!I414</f>
        <v>0</v>
      </c>
      <c r="AF411" s="81">
        <v>8</v>
      </c>
      <c r="AG411" s="81"/>
      <c r="AH411" s="81">
        <f>'Praroop-20 hindi'!J414</f>
        <v>0</v>
      </c>
      <c r="AI411" s="81">
        <v>9</v>
      </c>
      <c r="AJ411" s="81"/>
      <c r="AK411" s="81">
        <f>'Praroop-20 hindi'!K414</f>
        <v>0</v>
      </c>
      <c r="AL411" s="81">
        <v>10</v>
      </c>
      <c r="AM411" s="81"/>
      <c r="AN411" s="81">
        <f>'Praroop-20 hindi'!L414</f>
        <v>1</v>
      </c>
      <c r="AO411" s="81">
        <v>11</v>
      </c>
      <c r="AP411" s="81"/>
      <c r="AQ411" s="81">
        <f>'Praroop-20 hindi'!M414</f>
        <v>0</v>
      </c>
      <c r="AR411" s="81">
        <f t="shared" si="13"/>
        <v>330</v>
      </c>
    </row>
    <row r="412" spans="1:44">
      <c r="A412" s="81">
        <v>64</v>
      </c>
      <c r="B412" s="41">
        <v>406</v>
      </c>
      <c r="C412" s="113" t="s">
        <v>531</v>
      </c>
      <c r="D412" s="117">
        <v>837</v>
      </c>
      <c r="E412" s="110">
        <v>366</v>
      </c>
      <c r="F412" s="110">
        <v>339</v>
      </c>
      <c r="G412" s="110">
        <v>0</v>
      </c>
      <c r="H412" s="111">
        <f t="shared" si="12"/>
        <v>705</v>
      </c>
      <c r="I412" s="112">
        <v>705</v>
      </c>
      <c r="J412" s="110">
        <v>0</v>
      </c>
      <c r="K412" s="110">
        <v>1</v>
      </c>
      <c r="L412" s="81"/>
      <c r="M412" s="81">
        <f>'Praroop-20 hindi'!C415</f>
        <v>36</v>
      </c>
      <c r="N412" s="81">
        <v>2</v>
      </c>
      <c r="O412" s="81"/>
      <c r="P412" s="81">
        <f>'Praroop-20 hindi'!D415</f>
        <v>13</v>
      </c>
      <c r="Q412" s="81">
        <v>3</v>
      </c>
      <c r="R412" s="81"/>
      <c r="S412" s="81">
        <f>'Praroop-20 hindi'!E415</f>
        <v>648</v>
      </c>
      <c r="T412" s="81">
        <v>4</v>
      </c>
      <c r="U412" s="81"/>
      <c r="V412" s="81">
        <f>'Praroop-20 hindi'!F415</f>
        <v>3</v>
      </c>
      <c r="W412" s="81">
        <v>5</v>
      </c>
      <c r="X412" s="81"/>
      <c r="Y412" s="81">
        <f>'Praroop-20 hindi'!G415</f>
        <v>0</v>
      </c>
      <c r="Z412" s="81">
        <v>6</v>
      </c>
      <c r="AA412" s="81"/>
      <c r="AB412" s="81">
        <f>'Praroop-20 hindi'!H415</f>
        <v>0</v>
      </c>
      <c r="AC412" s="81">
        <v>7</v>
      </c>
      <c r="AD412" s="81"/>
      <c r="AE412" s="81">
        <f>'Praroop-20 hindi'!I415</f>
        <v>0</v>
      </c>
      <c r="AF412" s="81">
        <v>8</v>
      </c>
      <c r="AG412" s="81"/>
      <c r="AH412" s="81">
        <f>'Praroop-20 hindi'!J415</f>
        <v>1</v>
      </c>
      <c r="AI412" s="81">
        <v>9</v>
      </c>
      <c r="AJ412" s="81"/>
      <c r="AK412" s="81">
        <f>'Praroop-20 hindi'!K415</f>
        <v>0</v>
      </c>
      <c r="AL412" s="81">
        <v>10</v>
      </c>
      <c r="AM412" s="81"/>
      <c r="AN412" s="81">
        <f>'Praroop-20 hindi'!L415</f>
        <v>1</v>
      </c>
      <c r="AO412" s="81">
        <v>11</v>
      </c>
      <c r="AP412" s="81"/>
      <c r="AQ412" s="81">
        <f>'Praroop-20 hindi'!M415</f>
        <v>0</v>
      </c>
      <c r="AR412" s="81">
        <f t="shared" si="13"/>
        <v>702</v>
      </c>
    </row>
    <row r="413" spans="1:44" ht="38.25">
      <c r="A413" s="81">
        <v>64</v>
      </c>
      <c r="B413" s="41">
        <v>407</v>
      </c>
      <c r="C413" s="113" t="s">
        <v>532</v>
      </c>
      <c r="D413" s="117">
        <v>754</v>
      </c>
      <c r="E413" s="110">
        <v>340</v>
      </c>
      <c r="F413" s="110">
        <v>258</v>
      </c>
      <c r="G413" s="110">
        <v>0</v>
      </c>
      <c r="H413" s="111">
        <f t="shared" si="12"/>
        <v>598</v>
      </c>
      <c r="I413" s="112">
        <v>598</v>
      </c>
      <c r="J413" s="110">
        <v>0</v>
      </c>
      <c r="K413" s="110">
        <v>1</v>
      </c>
      <c r="L413" s="81"/>
      <c r="M413" s="81">
        <f>'Praroop-20 hindi'!C416</f>
        <v>8</v>
      </c>
      <c r="N413" s="81">
        <v>2</v>
      </c>
      <c r="O413" s="81"/>
      <c r="P413" s="81">
        <f>'Praroop-20 hindi'!D416</f>
        <v>42</v>
      </c>
      <c r="Q413" s="81">
        <v>3</v>
      </c>
      <c r="R413" s="81"/>
      <c r="S413" s="81">
        <f>'Praroop-20 hindi'!E416</f>
        <v>533</v>
      </c>
      <c r="T413" s="81">
        <v>4</v>
      </c>
      <c r="U413" s="81"/>
      <c r="V413" s="81">
        <f>'Praroop-20 hindi'!F416</f>
        <v>6</v>
      </c>
      <c r="W413" s="81">
        <v>5</v>
      </c>
      <c r="X413" s="81"/>
      <c r="Y413" s="81">
        <f>'Praroop-20 hindi'!G416</f>
        <v>1</v>
      </c>
      <c r="Z413" s="81">
        <v>6</v>
      </c>
      <c r="AA413" s="81"/>
      <c r="AB413" s="81">
        <f>'Praroop-20 hindi'!H416</f>
        <v>0</v>
      </c>
      <c r="AC413" s="81">
        <v>7</v>
      </c>
      <c r="AD413" s="81"/>
      <c r="AE413" s="81">
        <f>'Praroop-20 hindi'!I416</f>
        <v>0</v>
      </c>
      <c r="AF413" s="81">
        <v>8</v>
      </c>
      <c r="AG413" s="81"/>
      <c r="AH413" s="81">
        <f>'Praroop-20 hindi'!J416</f>
        <v>2</v>
      </c>
      <c r="AI413" s="81">
        <v>9</v>
      </c>
      <c r="AJ413" s="81"/>
      <c r="AK413" s="81">
        <f>'Praroop-20 hindi'!K416</f>
        <v>0</v>
      </c>
      <c r="AL413" s="81">
        <v>10</v>
      </c>
      <c r="AM413" s="81"/>
      <c r="AN413" s="81">
        <f>'Praroop-20 hindi'!L416</f>
        <v>3</v>
      </c>
      <c r="AO413" s="81">
        <v>11</v>
      </c>
      <c r="AP413" s="81"/>
      <c r="AQ413" s="81">
        <f>'Praroop-20 hindi'!M416</f>
        <v>0</v>
      </c>
      <c r="AR413" s="81">
        <f t="shared" si="13"/>
        <v>595</v>
      </c>
    </row>
    <row r="414" spans="1:44" ht="25.5">
      <c r="A414" s="81">
        <v>64</v>
      </c>
      <c r="B414" s="41">
        <v>408</v>
      </c>
      <c r="C414" s="113" t="s">
        <v>533</v>
      </c>
      <c r="D414" s="117">
        <v>922</v>
      </c>
      <c r="E414" s="110">
        <v>372</v>
      </c>
      <c r="F414" s="110">
        <v>325</v>
      </c>
      <c r="G414" s="110">
        <v>0</v>
      </c>
      <c r="H414" s="111">
        <f t="shared" si="12"/>
        <v>697</v>
      </c>
      <c r="I414" s="112">
        <v>697</v>
      </c>
      <c r="J414" s="110">
        <v>0</v>
      </c>
      <c r="K414" s="110">
        <v>1</v>
      </c>
      <c r="L414" s="81"/>
      <c r="M414" s="81">
        <f>'Praroop-20 hindi'!C417</f>
        <v>1</v>
      </c>
      <c r="N414" s="81">
        <v>2</v>
      </c>
      <c r="O414" s="81"/>
      <c r="P414" s="81">
        <f>'Praroop-20 hindi'!D417</f>
        <v>150</v>
      </c>
      <c r="Q414" s="81">
        <v>3</v>
      </c>
      <c r="R414" s="81"/>
      <c r="S414" s="81">
        <f>'Praroop-20 hindi'!E417</f>
        <v>529</v>
      </c>
      <c r="T414" s="81">
        <v>4</v>
      </c>
      <c r="U414" s="81"/>
      <c r="V414" s="81">
        <f>'Praroop-20 hindi'!F417</f>
        <v>12</v>
      </c>
      <c r="W414" s="81">
        <v>5</v>
      </c>
      <c r="X414" s="81"/>
      <c r="Y414" s="81">
        <f>'Praroop-20 hindi'!G417</f>
        <v>0</v>
      </c>
      <c r="Z414" s="81">
        <v>6</v>
      </c>
      <c r="AA414" s="81"/>
      <c r="AB414" s="81">
        <f>'Praroop-20 hindi'!H417</f>
        <v>0</v>
      </c>
      <c r="AC414" s="81">
        <v>7</v>
      </c>
      <c r="AD414" s="81"/>
      <c r="AE414" s="81">
        <f>'Praroop-20 hindi'!I417</f>
        <v>0</v>
      </c>
      <c r="AF414" s="81">
        <v>8</v>
      </c>
      <c r="AG414" s="81"/>
      <c r="AH414" s="81">
        <f>'Praroop-20 hindi'!J417</f>
        <v>0</v>
      </c>
      <c r="AI414" s="81">
        <v>9</v>
      </c>
      <c r="AJ414" s="81"/>
      <c r="AK414" s="81">
        <f>'Praroop-20 hindi'!K417</f>
        <v>0</v>
      </c>
      <c r="AL414" s="81">
        <v>10</v>
      </c>
      <c r="AM414" s="81"/>
      <c r="AN414" s="81">
        <f>'Praroop-20 hindi'!L417</f>
        <v>2</v>
      </c>
      <c r="AO414" s="81">
        <v>11</v>
      </c>
      <c r="AP414" s="81"/>
      <c r="AQ414" s="81">
        <f>'Praroop-20 hindi'!M417</f>
        <v>0</v>
      </c>
      <c r="AR414" s="81">
        <f t="shared" si="13"/>
        <v>694</v>
      </c>
    </row>
    <row r="415" spans="1:44" ht="25.5">
      <c r="A415" s="81">
        <v>64</v>
      </c>
      <c r="B415" s="41">
        <v>409</v>
      </c>
      <c r="C415" s="113" t="s">
        <v>534</v>
      </c>
      <c r="D415" s="117">
        <v>701</v>
      </c>
      <c r="E415" s="110">
        <v>298</v>
      </c>
      <c r="F415" s="110">
        <v>247</v>
      </c>
      <c r="G415" s="110">
        <v>0</v>
      </c>
      <c r="H415" s="111">
        <f t="shared" si="12"/>
        <v>545</v>
      </c>
      <c r="I415" s="112">
        <v>545</v>
      </c>
      <c r="J415" s="110">
        <v>0</v>
      </c>
      <c r="K415" s="110">
        <v>1</v>
      </c>
      <c r="L415" s="81"/>
      <c r="M415" s="81">
        <f>'Praroop-20 hindi'!C418</f>
        <v>2</v>
      </c>
      <c r="N415" s="81">
        <v>2</v>
      </c>
      <c r="O415" s="81"/>
      <c r="P415" s="81">
        <f>'Praroop-20 hindi'!D418</f>
        <v>139</v>
      </c>
      <c r="Q415" s="81">
        <v>3</v>
      </c>
      <c r="R415" s="81"/>
      <c r="S415" s="81">
        <f>'Praroop-20 hindi'!E418</f>
        <v>392</v>
      </c>
      <c r="T415" s="81">
        <v>4</v>
      </c>
      <c r="U415" s="81"/>
      <c r="V415" s="81">
        <f>'Praroop-20 hindi'!F418</f>
        <v>3</v>
      </c>
      <c r="W415" s="81">
        <v>5</v>
      </c>
      <c r="X415" s="81"/>
      <c r="Y415" s="81">
        <f>'Praroop-20 hindi'!G418</f>
        <v>0</v>
      </c>
      <c r="Z415" s="81">
        <v>6</v>
      </c>
      <c r="AA415" s="81"/>
      <c r="AB415" s="81">
        <f>'Praroop-20 hindi'!H418</f>
        <v>0</v>
      </c>
      <c r="AC415" s="81">
        <v>7</v>
      </c>
      <c r="AD415" s="81"/>
      <c r="AE415" s="81">
        <f>'Praroop-20 hindi'!I418</f>
        <v>0</v>
      </c>
      <c r="AF415" s="81">
        <v>8</v>
      </c>
      <c r="AG415" s="81"/>
      <c r="AH415" s="81">
        <f>'Praroop-20 hindi'!J418</f>
        <v>0</v>
      </c>
      <c r="AI415" s="81">
        <v>9</v>
      </c>
      <c r="AJ415" s="81"/>
      <c r="AK415" s="81">
        <f>'Praroop-20 hindi'!K418</f>
        <v>1</v>
      </c>
      <c r="AL415" s="81">
        <v>10</v>
      </c>
      <c r="AM415" s="81"/>
      <c r="AN415" s="81">
        <f>'Praroop-20 hindi'!L418</f>
        <v>8</v>
      </c>
      <c r="AO415" s="81">
        <v>11</v>
      </c>
      <c r="AP415" s="81"/>
      <c r="AQ415" s="81">
        <f>'Praroop-20 hindi'!M418</f>
        <v>0</v>
      </c>
      <c r="AR415" s="81">
        <f t="shared" si="13"/>
        <v>545</v>
      </c>
    </row>
    <row r="416" spans="1:44" ht="25.5">
      <c r="A416" s="81">
        <v>64</v>
      </c>
      <c r="B416" s="41">
        <v>410</v>
      </c>
      <c r="C416" s="113" t="s">
        <v>535</v>
      </c>
      <c r="D416" s="117">
        <v>604</v>
      </c>
      <c r="E416" s="110">
        <v>252</v>
      </c>
      <c r="F416" s="110">
        <v>237</v>
      </c>
      <c r="G416" s="110">
        <v>0</v>
      </c>
      <c r="H416" s="111">
        <f t="shared" si="12"/>
        <v>489</v>
      </c>
      <c r="I416" s="112">
        <v>489</v>
      </c>
      <c r="J416" s="110">
        <v>0</v>
      </c>
      <c r="K416" s="110">
        <v>1</v>
      </c>
      <c r="L416" s="81"/>
      <c r="M416" s="81">
        <f>'Praroop-20 hindi'!C419</f>
        <v>6</v>
      </c>
      <c r="N416" s="81">
        <v>2</v>
      </c>
      <c r="O416" s="81"/>
      <c r="P416" s="81">
        <f>'Praroop-20 hindi'!D419</f>
        <v>54</v>
      </c>
      <c r="Q416" s="81">
        <v>3</v>
      </c>
      <c r="R416" s="81"/>
      <c r="S416" s="81">
        <f>'Praroop-20 hindi'!E419</f>
        <v>415</v>
      </c>
      <c r="T416" s="81">
        <v>4</v>
      </c>
      <c r="U416" s="81"/>
      <c r="V416" s="81">
        <f>'Praroop-20 hindi'!F419</f>
        <v>6</v>
      </c>
      <c r="W416" s="81">
        <v>5</v>
      </c>
      <c r="X416" s="81"/>
      <c r="Y416" s="81">
        <f>'Praroop-20 hindi'!G419</f>
        <v>0</v>
      </c>
      <c r="Z416" s="81">
        <v>6</v>
      </c>
      <c r="AA416" s="81"/>
      <c r="AB416" s="81">
        <f>'Praroop-20 hindi'!H419</f>
        <v>0</v>
      </c>
      <c r="AC416" s="81">
        <v>7</v>
      </c>
      <c r="AD416" s="81"/>
      <c r="AE416" s="81">
        <f>'Praroop-20 hindi'!I419</f>
        <v>0</v>
      </c>
      <c r="AF416" s="81">
        <v>8</v>
      </c>
      <c r="AG416" s="81"/>
      <c r="AH416" s="81">
        <f>'Praroop-20 hindi'!J419</f>
        <v>0</v>
      </c>
      <c r="AI416" s="81">
        <v>9</v>
      </c>
      <c r="AJ416" s="81"/>
      <c r="AK416" s="81">
        <f>'Praroop-20 hindi'!K419</f>
        <v>0</v>
      </c>
      <c r="AL416" s="81">
        <v>10</v>
      </c>
      <c r="AM416" s="81"/>
      <c r="AN416" s="81">
        <f>'Praroop-20 hindi'!L419</f>
        <v>6</v>
      </c>
      <c r="AO416" s="81">
        <v>11</v>
      </c>
      <c r="AP416" s="81"/>
      <c r="AQ416" s="81">
        <f>'Praroop-20 hindi'!M419</f>
        <v>1</v>
      </c>
      <c r="AR416" s="81">
        <f t="shared" si="13"/>
        <v>488</v>
      </c>
    </row>
    <row r="417" spans="1:44" ht="25.5">
      <c r="A417" s="81">
        <v>64</v>
      </c>
      <c r="B417" s="41">
        <v>411</v>
      </c>
      <c r="C417" s="113" t="s">
        <v>536</v>
      </c>
      <c r="D417" s="117">
        <v>846</v>
      </c>
      <c r="E417" s="110">
        <v>349</v>
      </c>
      <c r="F417" s="110">
        <v>305</v>
      </c>
      <c r="G417" s="110">
        <v>0</v>
      </c>
      <c r="H417" s="111">
        <f t="shared" si="12"/>
        <v>654</v>
      </c>
      <c r="I417" s="112">
        <v>654</v>
      </c>
      <c r="J417" s="110">
        <v>0</v>
      </c>
      <c r="K417" s="110">
        <v>1</v>
      </c>
      <c r="L417" s="81"/>
      <c r="M417" s="81">
        <f>'Praroop-20 hindi'!C420</f>
        <v>14</v>
      </c>
      <c r="N417" s="81">
        <v>2</v>
      </c>
      <c r="O417" s="81"/>
      <c r="P417" s="81">
        <f>'Praroop-20 hindi'!D420</f>
        <v>459</v>
      </c>
      <c r="Q417" s="81">
        <v>3</v>
      </c>
      <c r="R417" s="81"/>
      <c r="S417" s="81">
        <f>'Praroop-20 hindi'!E420</f>
        <v>163</v>
      </c>
      <c r="T417" s="81">
        <v>4</v>
      </c>
      <c r="U417" s="81"/>
      <c r="V417" s="81">
        <f>'Praroop-20 hindi'!F420</f>
        <v>7</v>
      </c>
      <c r="W417" s="81">
        <v>5</v>
      </c>
      <c r="X417" s="81"/>
      <c r="Y417" s="81">
        <f>'Praroop-20 hindi'!G420</f>
        <v>1</v>
      </c>
      <c r="Z417" s="81">
        <v>6</v>
      </c>
      <c r="AA417" s="81"/>
      <c r="AB417" s="81">
        <f>'Praroop-20 hindi'!H420</f>
        <v>0</v>
      </c>
      <c r="AC417" s="81">
        <v>7</v>
      </c>
      <c r="AD417" s="81"/>
      <c r="AE417" s="81">
        <f>'Praroop-20 hindi'!I420</f>
        <v>1</v>
      </c>
      <c r="AF417" s="81">
        <v>8</v>
      </c>
      <c r="AG417" s="81"/>
      <c r="AH417" s="81">
        <f>'Praroop-20 hindi'!J420</f>
        <v>0</v>
      </c>
      <c r="AI417" s="81">
        <v>9</v>
      </c>
      <c r="AJ417" s="81"/>
      <c r="AK417" s="81">
        <f>'Praroop-20 hindi'!K420</f>
        <v>5</v>
      </c>
      <c r="AL417" s="81">
        <v>10</v>
      </c>
      <c r="AM417" s="81"/>
      <c r="AN417" s="81">
        <f>'Praroop-20 hindi'!L420</f>
        <v>2</v>
      </c>
      <c r="AO417" s="81">
        <v>11</v>
      </c>
      <c r="AP417" s="81"/>
      <c r="AQ417" s="81">
        <f>'Praroop-20 hindi'!M420</f>
        <v>1</v>
      </c>
      <c r="AR417" s="81">
        <f t="shared" si="13"/>
        <v>653</v>
      </c>
    </row>
    <row r="418" spans="1:44" ht="25.5">
      <c r="A418" s="81">
        <v>64</v>
      </c>
      <c r="B418" s="41">
        <v>412</v>
      </c>
      <c r="C418" s="113" t="s">
        <v>537</v>
      </c>
      <c r="D418" s="117">
        <v>747</v>
      </c>
      <c r="E418" s="110">
        <v>287</v>
      </c>
      <c r="F418" s="110">
        <v>251</v>
      </c>
      <c r="G418" s="110">
        <v>0</v>
      </c>
      <c r="H418" s="111">
        <f t="shared" si="12"/>
        <v>538</v>
      </c>
      <c r="I418" s="112">
        <v>437</v>
      </c>
      <c r="J418" s="110">
        <v>0</v>
      </c>
      <c r="K418" s="110">
        <v>1</v>
      </c>
      <c r="L418" s="81"/>
      <c r="M418" s="81">
        <f>'Praroop-20 hindi'!C421</f>
        <v>1</v>
      </c>
      <c r="N418" s="81">
        <v>2</v>
      </c>
      <c r="O418" s="81"/>
      <c r="P418" s="81">
        <f>'Praroop-20 hindi'!D421</f>
        <v>391</v>
      </c>
      <c r="Q418" s="81">
        <v>3</v>
      </c>
      <c r="R418" s="81"/>
      <c r="S418" s="81">
        <f>'Praroop-20 hindi'!E421</f>
        <v>109</v>
      </c>
      <c r="T418" s="81">
        <v>4</v>
      </c>
      <c r="U418" s="81"/>
      <c r="V418" s="81">
        <f>'Praroop-20 hindi'!F421</f>
        <v>19</v>
      </c>
      <c r="W418" s="81">
        <v>5</v>
      </c>
      <c r="X418" s="81"/>
      <c r="Y418" s="81">
        <f>'Praroop-20 hindi'!G421</f>
        <v>0</v>
      </c>
      <c r="Z418" s="81">
        <v>6</v>
      </c>
      <c r="AA418" s="81"/>
      <c r="AB418" s="81">
        <f>'Praroop-20 hindi'!H421</f>
        <v>0</v>
      </c>
      <c r="AC418" s="81">
        <v>7</v>
      </c>
      <c r="AD418" s="81"/>
      <c r="AE418" s="81">
        <f>'Praroop-20 hindi'!I421</f>
        <v>0</v>
      </c>
      <c r="AF418" s="81">
        <v>8</v>
      </c>
      <c r="AG418" s="81"/>
      <c r="AH418" s="81">
        <f>'Praroop-20 hindi'!J421</f>
        <v>0</v>
      </c>
      <c r="AI418" s="81">
        <v>9</v>
      </c>
      <c r="AJ418" s="81"/>
      <c r="AK418" s="81">
        <f>'Praroop-20 hindi'!K421</f>
        <v>13</v>
      </c>
      <c r="AL418" s="81">
        <v>10</v>
      </c>
      <c r="AM418" s="81"/>
      <c r="AN418" s="81">
        <f>'Praroop-20 hindi'!L421</f>
        <v>2</v>
      </c>
      <c r="AO418" s="81">
        <v>11</v>
      </c>
      <c r="AP418" s="81"/>
      <c r="AQ418" s="81">
        <f>'Praroop-20 hindi'!M421</f>
        <v>2</v>
      </c>
      <c r="AR418" s="81">
        <f t="shared" si="13"/>
        <v>537</v>
      </c>
    </row>
    <row r="419" spans="1:44" ht="25.5">
      <c r="A419" s="81">
        <v>64</v>
      </c>
      <c r="B419" s="41">
        <v>413</v>
      </c>
      <c r="C419" s="113" t="s">
        <v>538</v>
      </c>
      <c r="D419" s="117">
        <v>930</v>
      </c>
      <c r="E419" s="110">
        <v>356</v>
      </c>
      <c r="F419" s="110">
        <v>283</v>
      </c>
      <c r="G419" s="110">
        <v>0</v>
      </c>
      <c r="H419" s="111">
        <f t="shared" si="12"/>
        <v>639</v>
      </c>
      <c r="I419" s="112">
        <v>639</v>
      </c>
      <c r="J419" s="110">
        <v>0</v>
      </c>
      <c r="K419" s="110">
        <v>1</v>
      </c>
      <c r="L419" s="81"/>
      <c r="M419" s="81">
        <f>'Praroop-20 hindi'!C422</f>
        <v>7</v>
      </c>
      <c r="N419" s="81">
        <v>2</v>
      </c>
      <c r="O419" s="81"/>
      <c r="P419" s="81">
        <f>'Praroop-20 hindi'!D422</f>
        <v>557</v>
      </c>
      <c r="Q419" s="81">
        <v>3</v>
      </c>
      <c r="R419" s="81"/>
      <c r="S419" s="81">
        <f>'Praroop-20 hindi'!E422</f>
        <v>19</v>
      </c>
      <c r="T419" s="81">
        <v>4</v>
      </c>
      <c r="U419" s="81"/>
      <c r="V419" s="81">
        <f>'Praroop-20 hindi'!F422</f>
        <v>4</v>
      </c>
      <c r="W419" s="81">
        <v>5</v>
      </c>
      <c r="X419" s="81"/>
      <c r="Y419" s="81">
        <f>'Praroop-20 hindi'!G422</f>
        <v>0</v>
      </c>
      <c r="Z419" s="81">
        <v>6</v>
      </c>
      <c r="AA419" s="81"/>
      <c r="AB419" s="81">
        <f>'Praroop-20 hindi'!H422</f>
        <v>0</v>
      </c>
      <c r="AC419" s="81">
        <v>7</v>
      </c>
      <c r="AD419" s="81"/>
      <c r="AE419" s="81">
        <f>'Praroop-20 hindi'!I422</f>
        <v>0</v>
      </c>
      <c r="AF419" s="81">
        <v>8</v>
      </c>
      <c r="AG419" s="81"/>
      <c r="AH419" s="81">
        <f>'Praroop-20 hindi'!J422</f>
        <v>0</v>
      </c>
      <c r="AI419" s="81">
        <v>9</v>
      </c>
      <c r="AJ419" s="81"/>
      <c r="AK419" s="81">
        <f>'Praroop-20 hindi'!K422</f>
        <v>44</v>
      </c>
      <c r="AL419" s="81">
        <v>10</v>
      </c>
      <c r="AM419" s="81"/>
      <c r="AN419" s="81">
        <f>'Praroop-20 hindi'!L422</f>
        <v>3</v>
      </c>
      <c r="AO419" s="81">
        <v>11</v>
      </c>
      <c r="AP419" s="81"/>
      <c r="AQ419" s="81">
        <f>'Praroop-20 hindi'!M422</f>
        <v>1</v>
      </c>
      <c r="AR419" s="81">
        <f t="shared" si="13"/>
        <v>635</v>
      </c>
    </row>
    <row r="420" spans="1:44" ht="25.5">
      <c r="A420" s="81">
        <v>64</v>
      </c>
      <c r="B420" s="41">
        <v>414</v>
      </c>
      <c r="C420" s="113" t="s">
        <v>539</v>
      </c>
      <c r="D420" s="117">
        <v>698</v>
      </c>
      <c r="E420" s="110">
        <v>269</v>
      </c>
      <c r="F420" s="110">
        <v>233</v>
      </c>
      <c r="G420" s="110">
        <v>0</v>
      </c>
      <c r="H420" s="111">
        <f t="shared" si="12"/>
        <v>502</v>
      </c>
      <c r="I420" s="112">
        <v>502</v>
      </c>
      <c r="J420" s="110">
        <v>0</v>
      </c>
      <c r="K420" s="110">
        <v>1</v>
      </c>
      <c r="L420" s="81"/>
      <c r="M420" s="81">
        <f>'Praroop-20 hindi'!C423</f>
        <v>72</v>
      </c>
      <c r="N420" s="81">
        <v>2</v>
      </c>
      <c r="O420" s="81"/>
      <c r="P420" s="81">
        <f>'Praroop-20 hindi'!D423</f>
        <v>150</v>
      </c>
      <c r="Q420" s="81">
        <v>3</v>
      </c>
      <c r="R420" s="81"/>
      <c r="S420" s="81">
        <f>'Praroop-20 hindi'!E423</f>
        <v>267</v>
      </c>
      <c r="T420" s="81">
        <v>4</v>
      </c>
      <c r="U420" s="81"/>
      <c r="V420" s="81">
        <f>'Praroop-20 hindi'!F423</f>
        <v>2</v>
      </c>
      <c r="W420" s="81">
        <v>5</v>
      </c>
      <c r="X420" s="81"/>
      <c r="Y420" s="81">
        <f>'Praroop-20 hindi'!G423</f>
        <v>0</v>
      </c>
      <c r="Z420" s="81">
        <v>6</v>
      </c>
      <c r="AA420" s="81"/>
      <c r="AB420" s="81">
        <f>'Praroop-20 hindi'!H423</f>
        <v>1</v>
      </c>
      <c r="AC420" s="81">
        <v>7</v>
      </c>
      <c r="AD420" s="81"/>
      <c r="AE420" s="81">
        <f>'Praroop-20 hindi'!I423</f>
        <v>1</v>
      </c>
      <c r="AF420" s="81">
        <v>8</v>
      </c>
      <c r="AG420" s="81"/>
      <c r="AH420" s="81">
        <f>'Praroop-20 hindi'!J423</f>
        <v>0</v>
      </c>
      <c r="AI420" s="81">
        <v>9</v>
      </c>
      <c r="AJ420" s="81"/>
      <c r="AK420" s="81">
        <f>'Praroop-20 hindi'!K423</f>
        <v>2</v>
      </c>
      <c r="AL420" s="81">
        <v>10</v>
      </c>
      <c r="AM420" s="81"/>
      <c r="AN420" s="81">
        <f>'Praroop-20 hindi'!L423</f>
        <v>5</v>
      </c>
      <c r="AO420" s="81">
        <v>11</v>
      </c>
      <c r="AP420" s="81"/>
      <c r="AQ420" s="81">
        <f>'Praroop-20 hindi'!M423</f>
        <v>1</v>
      </c>
      <c r="AR420" s="81">
        <f t="shared" si="13"/>
        <v>501</v>
      </c>
    </row>
    <row r="421" spans="1:44" ht="25.5">
      <c r="A421" s="81">
        <v>64</v>
      </c>
      <c r="B421" s="41">
        <v>415</v>
      </c>
      <c r="C421" s="113" t="s">
        <v>540</v>
      </c>
      <c r="D421" s="117">
        <v>716</v>
      </c>
      <c r="E421" s="110">
        <v>268</v>
      </c>
      <c r="F421" s="110">
        <v>246</v>
      </c>
      <c r="G421" s="110">
        <v>0</v>
      </c>
      <c r="H421" s="111">
        <f t="shared" si="12"/>
        <v>514</v>
      </c>
      <c r="I421" s="112">
        <v>514</v>
      </c>
      <c r="J421" s="110">
        <v>0</v>
      </c>
      <c r="K421" s="110">
        <v>1</v>
      </c>
      <c r="L421" s="81"/>
      <c r="M421" s="81">
        <f>'Praroop-20 hindi'!C424</f>
        <v>4</v>
      </c>
      <c r="N421" s="81">
        <v>2</v>
      </c>
      <c r="O421" s="81"/>
      <c r="P421" s="81">
        <f>'Praroop-20 hindi'!D424</f>
        <v>239</v>
      </c>
      <c r="Q421" s="81">
        <v>3</v>
      </c>
      <c r="R421" s="81"/>
      <c r="S421" s="81">
        <f>'Praroop-20 hindi'!E424</f>
        <v>259</v>
      </c>
      <c r="T421" s="81">
        <v>4</v>
      </c>
      <c r="U421" s="81"/>
      <c r="V421" s="81">
        <f>'Praroop-20 hindi'!F424</f>
        <v>5</v>
      </c>
      <c r="W421" s="81">
        <v>5</v>
      </c>
      <c r="X421" s="81"/>
      <c r="Y421" s="81">
        <f>'Praroop-20 hindi'!G424</f>
        <v>0</v>
      </c>
      <c r="Z421" s="81">
        <v>6</v>
      </c>
      <c r="AA421" s="81"/>
      <c r="AB421" s="81">
        <f>'Praroop-20 hindi'!H424</f>
        <v>0</v>
      </c>
      <c r="AC421" s="81">
        <v>7</v>
      </c>
      <c r="AD421" s="81"/>
      <c r="AE421" s="81">
        <f>'Praroop-20 hindi'!I424</f>
        <v>1</v>
      </c>
      <c r="AF421" s="81">
        <v>8</v>
      </c>
      <c r="AG421" s="81"/>
      <c r="AH421" s="81">
        <f>'Praroop-20 hindi'!J424</f>
        <v>1</v>
      </c>
      <c r="AI421" s="81">
        <v>9</v>
      </c>
      <c r="AJ421" s="81"/>
      <c r="AK421" s="81">
        <f>'Praroop-20 hindi'!K424</f>
        <v>1</v>
      </c>
      <c r="AL421" s="81">
        <v>10</v>
      </c>
      <c r="AM421" s="81"/>
      <c r="AN421" s="81">
        <f>'Praroop-20 hindi'!L424</f>
        <v>4</v>
      </c>
      <c r="AO421" s="81">
        <v>11</v>
      </c>
      <c r="AP421" s="81"/>
      <c r="AQ421" s="81">
        <f>'Praroop-20 hindi'!M424</f>
        <v>0</v>
      </c>
      <c r="AR421" s="81">
        <f t="shared" si="13"/>
        <v>514</v>
      </c>
    </row>
    <row r="422" spans="1:44" ht="25.5">
      <c r="A422" s="81">
        <v>64</v>
      </c>
      <c r="B422" s="41">
        <v>416</v>
      </c>
      <c r="C422" s="113" t="s">
        <v>541</v>
      </c>
      <c r="D422" s="117">
        <v>589</v>
      </c>
      <c r="E422" s="110">
        <v>222</v>
      </c>
      <c r="F422" s="110">
        <v>187</v>
      </c>
      <c r="G422" s="110">
        <v>0</v>
      </c>
      <c r="H422" s="111">
        <f t="shared" si="12"/>
        <v>409</v>
      </c>
      <c r="I422" s="112">
        <v>409</v>
      </c>
      <c r="J422" s="110">
        <v>0</v>
      </c>
      <c r="K422" s="110">
        <v>1</v>
      </c>
      <c r="L422" s="81"/>
      <c r="M422" s="81">
        <f>'Praroop-20 hindi'!C425</f>
        <v>167</v>
      </c>
      <c r="N422" s="81">
        <v>2</v>
      </c>
      <c r="O422" s="81"/>
      <c r="P422" s="81">
        <f>'Praroop-20 hindi'!D425</f>
        <v>49</v>
      </c>
      <c r="Q422" s="81">
        <v>3</v>
      </c>
      <c r="R422" s="81"/>
      <c r="S422" s="81">
        <f>'Praroop-20 hindi'!E425</f>
        <v>186</v>
      </c>
      <c r="T422" s="81">
        <v>4</v>
      </c>
      <c r="U422" s="81"/>
      <c r="V422" s="81">
        <f>'Praroop-20 hindi'!F425</f>
        <v>2</v>
      </c>
      <c r="W422" s="81">
        <v>5</v>
      </c>
      <c r="X422" s="81"/>
      <c r="Y422" s="81">
        <f>'Praroop-20 hindi'!G425</f>
        <v>2</v>
      </c>
      <c r="Z422" s="81">
        <v>6</v>
      </c>
      <c r="AA422" s="81"/>
      <c r="AB422" s="81">
        <f>'Praroop-20 hindi'!H425</f>
        <v>0</v>
      </c>
      <c r="AC422" s="81">
        <v>7</v>
      </c>
      <c r="AD422" s="81"/>
      <c r="AE422" s="81">
        <f>'Praroop-20 hindi'!I425</f>
        <v>0</v>
      </c>
      <c r="AF422" s="81">
        <v>8</v>
      </c>
      <c r="AG422" s="81"/>
      <c r="AH422" s="81">
        <f>'Praroop-20 hindi'!J425</f>
        <v>1</v>
      </c>
      <c r="AI422" s="81">
        <v>9</v>
      </c>
      <c r="AJ422" s="81"/>
      <c r="AK422" s="81">
        <f>'Praroop-20 hindi'!K425</f>
        <v>1</v>
      </c>
      <c r="AL422" s="81">
        <v>10</v>
      </c>
      <c r="AM422" s="81"/>
      <c r="AN422" s="81">
        <f>'Praroop-20 hindi'!L425</f>
        <v>0</v>
      </c>
      <c r="AO422" s="81">
        <v>11</v>
      </c>
      <c r="AP422" s="81"/>
      <c r="AQ422" s="81">
        <f>'Praroop-20 hindi'!M425</f>
        <v>0</v>
      </c>
      <c r="AR422" s="81">
        <f t="shared" si="13"/>
        <v>408</v>
      </c>
    </row>
    <row r="423" spans="1:44" ht="25.5">
      <c r="A423" s="81">
        <v>64</v>
      </c>
      <c r="B423" s="41">
        <v>417</v>
      </c>
      <c r="C423" s="113" t="s">
        <v>542</v>
      </c>
      <c r="D423" s="117">
        <v>1046</v>
      </c>
      <c r="E423" s="110">
        <v>404</v>
      </c>
      <c r="F423" s="110">
        <v>374</v>
      </c>
      <c r="G423" s="110">
        <v>0</v>
      </c>
      <c r="H423" s="111">
        <f t="shared" si="12"/>
        <v>778</v>
      </c>
      <c r="I423" s="112">
        <v>778</v>
      </c>
      <c r="J423" s="110">
        <v>0</v>
      </c>
      <c r="K423" s="110">
        <v>1</v>
      </c>
      <c r="L423" s="81"/>
      <c r="M423" s="81">
        <f>'Praroop-20 hindi'!C426</f>
        <v>53</v>
      </c>
      <c r="N423" s="81">
        <v>2</v>
      </c>
      <c r="O423" s="81"/>
      <c r="P423" s="81">
        <f>'Praroop-20 hindi'!D426</f>
        <v>177</v>
      </c>
      <c r="Q423" s="81">
        <v>3</v>
      </c>
      <c r="R423" s="81"/>
      <c r="S423" s="81">
        <f>'Praroop-20 hindi'!E426</f>
        <v>514</v>
      </c>
      <c r="T423" s="81">
        <v>4</v>
      </c>
      <c r="U423" s="81"/>
      <c r="V423" s="81">
        <f>'Praroop-20 hindi'!F426</f>
        <v>12</v>
      </c>
      <c r="W423" s="81">
        <v>5</v>
      </c>
      <c r="X423" s="81"/>
      <c r="Y423" s="81">
        <f>'Praroop-20 hindi'!G426</f>
        <v>2</v>
      </c>
      <c r="Z423" s="81">
        <v>6</v>
      </c>
      <c r="AA423" s="81"/>
      <c r="AB423" s="81">
        <f>'Praroop-20 hindi'!H426</f>
        <v>0</v>
      </c>
      <c r="AC423" s="81">
        <v>7</v>
      </c>
      <c r="AD423" s="81"/>
      <c r="AE423" s="81">
        <f>'Praroop-20 hindi'!I426</f>
        <v>2</v>
      </c>
      <c r="AF423" s="81">
        <v>8</v>
      </c>
      <c r="AG423" s="81"/>
      <c r="AH423" s="81">
        <f>'Praroop-20 hindi'!J426</f>
        <v>5</v>
      </c>
      <c r="AI423" s="81">
        <v>9</v>
      </c>
      <c r="AJ423" s="81"/>
      <c r="AK423" s="81">
        <f>'Praroop-20 hindi'!K426</f>
        <v>3</v>
      </c>
      <c r="AL423" s="81">
        <v>10</v>
      </c>
      <c r="AM423" s="81"/>
      <c r="AN423" s="81">
        <f>'Praroop-20 hindi'!L426</f>
        <v>7</v>
      </c>
      <c r="AO423" s="81">
        <v>11</v>
      </c>
      <c r="AP423" s="81"/>
      <c r="AQ423" s="81">
        <f>'Praroop-20 hindi'!M426</f>
        <v>0</v>
      </c>
      <c r="AR423" s="81">
        <f t="shared" si="13"/>
        <v>775</v>
      </c>
    </row>
    <row r="424" spans="1:44" ht="25.5">
      <c r="A424" s="81">
        <v>64</v>
      </c>
      <c r="B424" s="41">
        <v>418</v>
      </c>
      <c r="C424" s="113" t="s">
        <v>543</v>
      </c>
      <c r="D424" s="117">
        <v>978</v>
      </c>
      <c r="E424" s="110">
        <v>370</v>
      </c>
      <c r="F424" s="110">
        <v>312</v>
      </c>
      <c r="G424" s="110">
        <v>0</v>
      </c>
      <c r="H424" s="111">
        <f t="shared" si="12"/>
        <v>682</v>
      </c>
      <c r="I424" s="112">
        <v>682</v>
      </c>
      <c r="J424" s="110">
        <v>0</v>
      </c>
      <c r="K424" s="110">
        <v>1</v>
      </c>
      <c r="L424" s="81"/>
      <c r="M424" s="81">
        <f>'Praroop-20 hindi'!C427</f>
        <v>168</v>
      </c>
      <c r="N424" s="81">
        <v>2</v>
      </c>
      <c r="O424" s="81"/>
      <c r="P424" s="81">
        <f>'Praroop-20 hindi'!D427</f>
        <v>167</v>
      </c>
      <c r="Q424" s="81">
        <v>3</v>
      </c>
      <c r="R424" s="81"/>
      <c r="S424" s="81">
        <f>'Praroop-20 hindi'!E427</f>
        <v>339</v>
      </c>
      <c r="T424" s="81">
        <v>4</v>
      </c>
      <c r="U424" s="81"/>
      <c r="V424" s="81">
        <f>'Praroop-20 hindi'!F427</f>
        <v>3</v>
      </c>
      <c r="W424" s="81">
        <v>5</v>
      </c>
      <c r="X424" s="81"/>
      <c r="Y424" s="81">
        <f>'Praroop-20 hindi'!G427</f>
        <v>0</v>
      </c>
      <c r="Z424" s="81">
        <v>6</v>
      </c>
      <c r="AA424" s="81"/>
      <c r="AB424" s="81">
        <f>'Praroop-20 hindi'!H427</f>
        <v>0</v>
      </c>
      <c r="AC424" s="81">
        <v>7</v>
      </c>
      <c r="AD424" s="81"/>
      <c r="AE424" s="81">
        <f>'Praroop-20 hindi'!I427</f>
        <v>0</v>
      </c>
      <c r="AF424" s="81">
        <v>8</v>
      </c>
      <c r="AG424" s="81"/>
      <c r="AH424" s="81">
        <f>'Praroop-20 hindi'!J427</f>
        <v>0</v>
      </c>
      <c r="AI424" s="81">
        <v>9</v>
      </c>
      <c r="AJ424" s="81"/>
      <c r="AK424" s="81">
        <f>'Praroop-20 hindi'!K427</f>
        <v>0</v>
      </c>
      <c r="AL424" s="81">
        <v>10</v>
      </c>
      <c r="AM424" s="81"/>
      <c r="AN424" s="81">
        <f>'Praroop-20 hindi'!L427</f>
        <v>1</v>
      </c>
      <c r="AO424" s="81">
        <v>11</v>
      </c>
      <c r="AP424" s="81"/>
      <c r="AQ424" s="81">
        <f>'Praroop-20 hindi'!M427</f>
        <v>2</v>
      </c>
      <c r="AR424" s="81">
        <f t="shared" si="13"/>
        <v>680</v>
      </c>
    </row>
    <row r="425" spans="1:44" ht="25.5">
      <c r="A425" s="81">
        <v>64</v>
      </c>
      <c r="B425" s="41">
        <v>419</v>
      </c>
      <c r="C425" s="113" t="s">
        <v>544</v>
      </c>
      <c r="D425" s="117">
        <v>732</v>
      </c>
      <c r="E425" s="110">
        <v>320</v>
      </c>
      <c r="F425" s="110">
        <v>291</v>
      </c>
      <c r="G425" s="110">
        <v>0</v>
      </c>
      <c r="H425" s="111">
        <f t="shared" si="12"/>
        <v>611</v>
      </c>
      <c r="I425" s="112">
        <v>611</v>
      </c>
      <c r="J425" s="110">
        <v>0</v>
      </c>
      <c r="K425" s="110">
        <v>1</v>
      </c>
      <c r="L425" s="81"/>
      <c r="M425" s="81">
        <f>'Praroop-20 hindi'!C428</f>
        <v>42</v>
      </c>
      <c r="N425" s="81">
        <v>2</v>
      </c>
      <c r="O425" s="81"/>
      <c r="P425" s="81">
        <f>'Praroop-20 hindi'!D428</f>
        <v>7</v>
      </c>
      <c r="Q425" s="81">
        <v>3</v>
      </c>
      <c r="R425" s="81"/>
      <c r="S425" s="81">
        <f>'Praroop-20 hindi'!E428</f>
        <v>554</v>
      </c>
      <c r="T425" s="81">
        <v>4</v>
      </c>
      <c r="U425" s="81"/>
      <c r="V425" s="81">
        <f>'Praroop-20 hindi'!F428</f>
        <v>2</v>
      </c>
      <c r="W425" s="81">
        <v>5</v>
      </c>
      <c r="X425" s="81"/>
      <c r="Y425" s="81">
        <f>'Praroop-20 hindi'!G428</f>
        <v>0</v>
      </c>
      <c r="Z425" s="81">
        <v>6</v>
      </c>
      <c r="AA425" s="81"/>
      <c r="AB425" s="81">
        <f>'Praroop-20 hindi'!H428</f>
        <v>0</v>
      </c>
      <c r="AC425" s="81">
        <v>7</v>
      </c>
      <c r="AD425" s="81"/>
      <c r="AE425" s="81">
        <f>'Praroop-20 hindi'!I428</f>
        <v>0</v>
      </c>
      <c r="AF425" s="81">
        <v>8</v>
      </c>
      <c r="AG425" s="81"/>
      <c r="AH425" s="81">
        <f>'Praroop-20 hindi'!J428</f>
        <v>0</v>
      </c>
      <c r="AI425" s="81">
        <v>9</v>
      </c>
      <c r="AJ425" s="81"/>
      <c r="AK425" s="81">
        <f>'Praroop-20 hindi'!K428</f>
        <v>0</v>
      </c>
      <c r="AL425" s="81">
        <v>10</v>
      </c>
      <c r="AM425" s="81"/>
      <c r="AN425" s="81">
        <f>'Praroop-20 hindi'!L428</f>
        <v>2</v>
      </c>
      <c r="AO425" s="81">
        <v>11</v>
      </c>
      <c r="AP425" s="81"/>
      <c r="AQ425" s="81">
        <f>'Praroop-20 hindi'!M428</f>
        <v>2</v>
      </c>
      <c r="AR425" s="81">
        <f t="shared" si="13"/>
        <v>609</v>
      </c>
    </row>
    <row r="426" spans="1:44" ht="25.5">
      <c r="A426" s="81">
        <v>64</v>
      </c>
      <c r="B426" s="41">
        <v>420</v>
      </c>
      <c r="C426" s="113" t="s">
        <v>545</v>
      </c>
      <c r="D426" s="117">
        <v>1062</v>
      </c>
      <c r="E426" s="110">
        <v>327</v>
      </c>
      <c r="F426" s="110">
        <v>440</v>
      </c>
      <c r="G426" s="110">
        <v>0</v>
      </c>
      <c r="H426" s="111">
        <f t="shared" si="12"/>
        <v>767</v>
      </c>
      <c r="I426" s="112">
        <v>767</v>
      </c>
      <c r="J426" s="110">
        <v>0</v>
      </c>
      <c r="K426" s="110">
        <v>1</v>
      </c>
      <c r="L426" s="81"/>
      <c r="M426" s="81">
        <f>'Praroop-20 hindi'!C429</f>
        <v>714</v>
      </c>
      <c r="N426" s="81">
        <v>2</v>
      </c>
      <c r="O426" s="81"/>
      <c r="P426" s="81">
        <f>'Praroop-20 hindi'!D429</f>
        <v>18</v>
      </c>
      <c r="Q426" s="81">
        <v>3</v>
      </c>
      <c r="R426" s="81"/>
      <c r="S426" s="81">
        <f>'Praroop-20 hindi'!E429</f>
        <v>30</v>
      </c>
      <c r="T426" s="81">
        <v>4</v>
      </c>
      <c r="U426" s="81"/>
      <c r="V426" s="81">
        <f>'Praroop-20 hindi'!F429</f>
        <v>0</v>
      </c>
      <c r="W426" s="81">
        <v>5</v>
      </c>
      <c r="X426" s="81"/>
      <c r="Y426" s="81">
        <f>'Praroop-20 hindi'!G429</f>
        <v>0</v>
      </c>
      <c r="Z426" s="81">
        <v>6</v>
      </c>
      <c r="AA426" s="81"/>
      <c r="AB426" s="81">
        <f>'Praroop-20 hindi'!H429</f>
        <v>0</v>
      </c>
      <c r="AC426" s="81">
        <v>7</v>
      </c>
      <c r="AD426" s="81"/>
      <c r="AE426" s="81">
        <f>'Praroop-20 hindi'!I429</f>
        <v>0</v>
      </c>
      <c r="AF426" s="81">
        <v>8</v>
      </c>
      <c r="AG426" s="81"/>
      <c r="AH426" s="81">
        <f>'Praroop-20 hindi'!J429</f>
        <v>0</v>
      </c>
      <c r="AI426" s="81">
        <v>9</v>
      </c>
      <c r="AJ426" s="81"/>
      <c r="AK426" s="81">
        <f>'Praroop-20 hindi'!K429</f>
        <v>0</v>
      </c>
      <c r="AL426" s="81">
        <v>10</v>
      </c>
      <c r="AM426" s="81"/>
      <c r="AN426" s="81">
        <f>'Praroop-20 hindi'!L429</f>
        <v>0</v>
      </c>
      <c r="AO426" s="81">
        <v>11</v>
      </c>
      <c r="AP426" s="81"/>
      <c r="AQ426" s="81">
        <f>'Praroop-20 hindi'!M429</f>
        <v>0</v>
      </c>
      <c r="AR426" s="81">
        <f t="shared" si="13"/>
        <v>762</v>
      </c>
    </row>
    <row r="427" spans="1:44" ht="38.25">
      <c r="A427" s="81">
        <v>64</v>
      </c>
      <c r="B427" s="41">
        <v>421</v>
      </c>
      <c r="C427" s="113" t="s">
        <v>546</v>
      </c>
      <c r="D427" s="117">
        <v>593</v>
      </c>
      <c r="E427" s="110">
        <v>223</v>
      </c>
      <c r="F427" s="110">
        <v>181</v>
      </c>
      <c r="G427" s="110">
        <v>0</v>
      </c>
      <c r="H427" s="111">
        <f t="shared" si="12"/>
        <v>404</v>
      </c>
      <c r="I427" s="112">
        <v>352</v>
      </c>
      <c r="J427" s="110">
        <v>0</v>
      </c>
      <c r="K427" s="110">
        <v>1</v>
      </c>
      <c r="L427" s="81"/>
      <c r="M427" s="81">
        <f>'Praroop-20 hindi'!C430</f>
        <v>200</v>
      </c>
      <c r="N427" s="81">
        <v>2</v>
      </c>
      <c r="O427" s="81"/>
      <c r="P427" s="81">
        <f>'Praroop-20 hindi'!D430</f>
        <v>48</v>
      </c>
      <c r="Q427" s="81">
        <v>3</v>
      </c>
      <c r="R427" s="81"/>
      <c r="S427" s="81">
        <f>'Praroop-20 hindi'!E430</f>
        <v>142</v>
      </c>
      <c r="T427" s="81">
        <v>4</v>
      </c>
      <c r="U427" s="81"/>
      <c r="V427" s="81">
        <f>'Praroop-20 hindi'!F430</f>
        <v>5</v>
      </c>
      <c r="W427" s="81">
        <v>5</v>
      </c>
      <c r="X427" s="81"/>
      <c r="Y427" s="81">
        <f>'Praroop-20 hindi'!G430</f>
        <v>0</v>
      </c>
      <c r="Z427" s="81">
        <v>6</v>
      </c>
      <c r="AA427" s="81"/>
      <c r="AB427" s="81">
        <f>'Praroop-20 hindi'!H430</f>
        <v>0</v>
      </c>
      <c r="AC427" s="81">
        <v>7</v>
      </c>
      <c r="AD427" s="81"/>
      <c r="AE427" s="81">
        <f>'Praroop-20 hindi'!I430</f>
        <v>0</v>
      </c>
      <c r="AF427" s="81">
        <v>8</v>
      </c>
      <c r="AG427" s="81"/>
      <c r="AH427" s="81">
        <f>'Praroop-20 hindi'!J430</f>
        <v>1</v>
      </c>
      <c r="AI427" s="81">
        <v>9</v>
      </c>
      <c r="AJ427" s="81"/>
      <c r="AK427" s="81">
        <f>'Praroop-20 hindi'!K430</f>
        <v>1</v>
      </c>
      <c r="AL427" s="81">
        <v>10</v>
      </c>
      <c r="AM427" s="81"/>
      <c r="AN427" s="81">
        <f>'Praroop-20 hindi'!L430</f>
        <v>4</v>
      </c>
      <c r="AO427" s="81">
        <v>11</v>
      </c>
      <c r="AP427" s="81"/>
      <c r="AQ427" s="81">
        <f>'Praroop-20 hindi'!M430</f>
        <v>0</v>
      </c>
      <c r="AR427" s="81">
        <f t="shared" si="13"/>
        <v>401</v>
      </c>
    </row>
    <row r="428" spans="1:44" ht="25.5">
      <c r="A428" s="81">
        <v>64</v>
      </c>
      <c r="B428" s="41">
        <v>422</v>
      </c>
      <c r="C428" s="113" t="s">
        <v>547</v>
      </c>
      <c r="D428" s="117">
        <v>759</v>
      </c>
      <c r="E428" s="110">
        <v>300</v>
      </c>
      <c r="F428" s="110">
        <v>247</v>
      </c>
      <c r="G428" s="110">
        <v>0</v>
      </c>
      <c r="H428" s="111">
        <f t="shared" si="12"/>
        <v>547</v>
      </c>
      <c r="I428" s="112">
        <v>517</v>
      </c>
      <c r="J428" s="110">
        <v>0</v>
      </c>
      <c r="K428" s="110">
        <v>1</v>
      </c>
      <c r="L428" s="81"/>
      <c r="M428" s="81">
        <f>'Praroop-20 hindi'!C431</f>
        <v>46</v>
      </c>
      <c r="N428" s="81">
        <v>2</v>
      </c>
      <c r="O428" s="81"/>
      <c r="P428" s="81">
        <f>'Praroop-20 hindi'!D431</f>
        <v>155</v>
      </c>
      <c r="Q428" s="81">
        <v>3</v>
      </c>
      <c r="R428" s="81"/>
      <c r="S428" s="81">
        <f>'Praroop-20 hindi'!E431</f>
        <v>336</v>
      </c>
      <c r="T428" s="81">
        <v>4</v>
      </c>
      <c r="U428" s="81"/>
      <c r="V428" s="81">
        <f>'Praroop-20 hindi'!F431</f>
        <v>3</v>
      </c>
      <c r="W428" s="81">
        <v>5</v>
      </c>
      <c r="X428" s="81"/>
      <c r="Y428" s="81">
        <f>'Praroop-20 hindi'!G431</f>
        <v>0</v>
      </c>
      <c r="Z428" s="81">
        <v>6</v>
      </c>
      <c r="AA428" s="81"/>
      <c r="AB428" s="81">
        <f>'Praroop-20 hindi'!H431</f>
        <v>0</v>
      </c>
      <c r="AC428" s="81">
        <v>7</v>
      </c>
      <c r="AD428" s="81"/>
      <c r="AE428" s="81">
        <f>'Praroop-20 hindi'!I431</f>
        <v>0</v>
      </c>
      <c r="AF428" s="81">
        <v>8</v>
      </c>
      <c r="AG428" s="81"/>
      <c r="AH428" s="81">
        <f>'Praroop-20 hindi'!J431</f>
        <v>0</v>
      </c>
      <c r="AI428" s="81">
        <v>9</v>
      </c>
      <c r="AJ428" s="81"/>
      <c r="AK428" s="81">
        <f>'Praroop-20 hindi'!K431</f>
        <v>0</v>
      </c>
      <c r="AL428" s="81">
        <v>10</v>
      </c>
      <c r="AM428" s="81"/>
      <c r="AN428" s="81">
        <f>'Praroop-20 hindi'!L431</f>
        <v>4</v>
      </c>
      <c r="AO428" s="81">
        <v>11</v>
      </c>
      <c r="AP428" s="81"/>
      <c r="AQ428" s="81">
        <f>'Praroop-20 hindi'!M431</f>
        <v>1</v>
      </c>
      <c r="AR428" s="81">
        <f t="shared" si="13"/>
        <v>545</v>
      </c>
    </row>
    <row r="429" spans="1:44" ht="25.5">
      <c r="A429" s="81">
        <v>64</v>
      </c>
      <c r="B429" s="41">
        <v>423</v>
      </c>
      <c r="C429" s="113" t="s">
        <v>548</v>
      </c>
      <c r="D429" s="117">
        <v>698</v>
      </c>
      <c r="E429" s="110">
        <v>273</v>
      </c>
      <c r="F429" s="110">
        <v>210</v>
      </c>
      <c r="G429" s="110">
        <v>0</v>
      </c>
      <c r="H429" s="111">
        <f t="shared" si="12"/>
        <v>483</v>
      </c>
      <c r="I429" s="112">
        <v>443</v>
      </c>
      <c r="J429" s="110">
        <v>0</v>
      </c>
      <c r="K429" s="110">
        <v>1</v>
      </c>
      <c r="L429" s="81"/>
      <c r="M429" s="81">
        <f>'Praroop-20 hindi'!C432</f>
        <v>18</v>
      </c>
      <c r="N429" s="81">
        <v>2</v>
      </c>
      <c r="O429" s="81"/>
      <c r="P429" s="81">
        <f>'Praroop-20 hindi'!D432</f>
        <v>114</v>
      </c>
      <c r="Q429" s="81">
        <v>3</v>
      </c>
      <c r="R429" s="81"/>
      <c r="S429" s="81">
        <f>'Praroop-20 hindi'!E432</f>
        <v>341</v>
      </c>
      <c r="T429" s="81">
        <v>4</v>
      </c>
      <c r="U429" s="81"/>
      <c r="V429" s="81">
        <f>'Praroop-20 hindi'!F432</f>
        <v>2</v>
      </c>
      <c r="W429" s="81">
        <v>5</v>
      </c>
      <c r="X429" s="81"/>
      <c r="Y429" s="81">
        <f>'Praroop-20 hindi'!G432</f>
        <v>1</v>
      </c>
      <c r="Z429" s="81">
        <v>6</v>
      </c>
      <c r="AA429" s="81"/>
      <c r="AB429" s="81">
        <f>'Praroop-20 hindi'!H432</f>
        <v>1</v>
      </c>
      <c r="AC429" s="81">
        <v>7</v>
      </c>
      <c r="AD429" s="81"/>
      <c r="AE429" s="81">
        <f>'Praroop-20 hindi'!I432</f>
        <v>0</v>
      </c>
      <c r="AF429" s="81">
        <v>8</v>
      </c>
      <c r="AG429" s="81"/>
      <c r="AH429" s="81">
        <f>'Praroop-20 hindi'!J432</f>
        <v>0</v>
      </c>
      <c r="AI429" s="81">
        <v>9</v>
      </c>
      <c r="AJ429" s="81"/>
      <c r="AK429" s="81">
        <f>'Praroop-20 hindi'!K432</f>
        <v>0</v>
      </c>
      <c r="AL429" s="81">
        <v>10</v>
      </c>
      <c r="AM429" s="81"/>
      <c r="AN429" s="81">
        <f>'Praroop-20 hindi'!L432</f>
        <v>2</v>
      </c>
      <c r="AO429" s="81">
        <v>11</v>
      </c>
      <c r="AP429" s="81"/>
      <c r="AQ429" s="81">
        <f>'Praroop-20 hindi'!M432</f>
        <v>1</v>
      </c>
      <c r="AR429" s="81">
        <f t="shared" si="13"/>
        <v>480</v>
      </c>
    </row>
    <row r="430" spans="1:44" ht="25.5">
      <c r="A430" s="81">
        <v>64</v>
      </c>
      <c r="B430" s="41">
        <v>424</v>
      </c>
      <c r="C430" s="113" t="s">
        <v>549</v>
      </c>
      <c r="D430" s="117">
        <v>1167</v>
      </c>
      <c r="E430" s="110">
        <v>513</v>
      </c>
      <c r="F430" s="110">
        <v>416</v>
      </c>
      <c r="G430" s="110">
        <v>0</v>
      </c>
      <c r="H430" s="111">
        <f t="shared" si="12"/>
        <v>929</v>
      </c>
      <c r="I430" s="112">
        <v>875</v>
      </c>
      <c r="J430" s="110">
        <v>0</v>
      </c>
      <c r="K430" s="110">
        <v>1</v>
      </c>
      <c r="L430" s="81"/>
      <c r="M430" s="81">
        <f>'Praroop-20 hindi'!C433</f>
        <v>32</v>
      </c>
      <c r="N430" s="81">
        <v>2</v>
      </c>
      <c r="O430" s="81"/>
      <c r="P430" s="81">
        <f>'Praroop-20 hindi'!D433</f>
        <v>672</v>
      </c>
      <c r="Q430" s="81">
        <v>3</v>
      </c>
      <c r="R430" s="81"/>
      <c r="S430" s="81">
        <f>'Praroop-20 hindi'!E433</f>
        <v>98</v>
      </c>
      <c r="T430" s="81">
        <v>4</v>
      </c>
      <c r="U430" s="81"/>
      <c r="V430" s="81">
        <f>'Praroop-20 hindi'!F433</f>
        <v>49</v>
      </c>
      <c r="W430" s="81">
        <v>5</v>
      </c>
      <c r="X430" s="81"/>
      <c r="Y430" s="81">
        <f>'Praroop-20 hindi'!G433</f>
        <v>1</v>
      </c>
      <c r="Z430" s="81">
        <v>6</v>
      </c>
      <c r="AA430" s="81"/>
      <c r="AB430" s="81">
        <f>'Praroop-20 hindi'!H433</f>
        <v>4</v>
      </c>
      <c r="AC430" s="81">
        <v>7</v>
      </c>
      <c r="AD430" s="81"/>
      <c r="AE430" s="81">
        <f>'Praroop-20 hindi'!I433</f>
        <v>1</v>
      </c>
      <c r="AF430" s="81">
        <v>8</v>
      </c>
      <c r="AG430" s="81"/>
      <c r="AH430" s="81">
        <f>'Praroop-20 hindi'!J433</f>
        <v>0</v>
      </c>
      <c r="AI430" s="81">
        <v>9</v>
      </c>
      <c r="AJ430" s="81"/>
      <c r="AK430" s="81">
        <f>'Praroop-20 hindi'!K433</f>
        <v>55</v>
      </c>
      <c r="AL430" s="81">
        <v>10</v>
      </c>
      <c r="AM430" s="81"/>
      <c r="AN430" s="81">
        <f>'Praroop-20 hindi'!L433</f>
        <v>5</v>
      </c>
      <c r="AO430" s="81">
        <v>11</v>
      </c>
      <c r="AP430" s="81"/>
      <c r="AQ430" s="81">
        <f>'Praroop-20 hindi'!M433</f>
        <v>7</v>
      </c>
      <c r="AR430" s="81">
        <f t="shared" si="13"/>
        <v>924</v>
      </c>
    </row>
    <row r="431" spans="1:44" ht="25.5">
      <c r="A431" s="81">
        <v>64</v>
      </c>
      <c r="B431" s="41">
        <v>425</v>
      </c>
      <c r="C431" s="113" t="s">
        <v>550</v>
      </c>
      <c r="D431" s="117">
        <v>569</v>
      </c>
      <c r="E431" s="110">
        <v>249</v>
      </c>
      <c r="F431" s="110">
        <v>202</v>
      </c>
      <c r="G431" s="110">
        <v>0</v>
      </c>
      <c r="H431" s="111">
        <f t="shared" si="12"/>
        <v>451</v>
      </c>
      <c r="I431" s="112">
        <v>451</v>
      </c>
      <c r="J431" s="110">
        <v>0</v>
      </c>
      <c r="K431" s="110">
        <v>1</v>
      </c>
      <c r="L431" s="81"/>
      <c r="M431" s="81">
        <f>'Praroop-20 hindi'!C434</f>
        <v>5</v>
      </c>
      <c r="N431" s="81">
        <v>2</v>
      </c>
      <c r="O431" s="81"/>
      <c r="P431" s="81">
        <f>'Praroop-20 hindi'!D434</f>
        <v>73</v>
      </c>
      <c r="Q431" s="81">
        <v>3</v>
      </c>
      <c r="R431" s="81"/>
      <c r="S431" s="81">
        <f>'Praroop-20 hindi'!E434</f>
        <v>364</v>
      </c>
      <c r="T431" s="81">
        <v>4</v>
      </c>
      <c r="U431" s="81"/>
      <c r="V431" s="81">
        <f>'Praroop-20 hindi'!F434</f>
        <v>4</v>
      </c>
      <c r="W431" s="81">
        <v>5</v>
      </c>
      <c r="X431" s="81"/>
      <c r="Y431" s="81">
        <f>'Praroop-20 hindi'!G434</f>
        <v>0</v>
      </c>
      <c r="Z431" s="81">
        <v>6</v>
      </c>
      <c r="AA431" s="81"/>
      <c r="AB431" s="81">
        <f>'Praroop-20 hindi'!H434</f>
        <v>0</v>
      </c>
      <c r="AC431" s="81">
        <v>7</v>
      </c>
      <c r="AD431" s="81"/>
      <c r="AE431" s="81">
        <f>'Praroop-20 hindi'!I434</f>
        <v>0</v>
      </c>
      <c r="AF431" s="81">
        <v>8</v>
      </c>
      <c r="AG431" s="81"/>
      <c r="AH431" s="81">
        <f>'Praroop-20 hindi'!J434</f>
        <v>1</v>
      </c>
      <c r="AI431" s="81">
        <v>9</v>
      </c>
      <c r="AJ431" s="81"/>
      <c r="AK431" s="81">
        <f>'Praroop-20 hindi'!K434</f>
        <v>0</v>
      </c>
      <c r="AL431" s="81">
        <v>10</v>
      </c>
      <c r="AM431" s="81"/>
      <c r="AN431" s="81">
        <f>'Praroop-20 hindi'!L434</f>
        <v>4</v>
      </c>
      <c r="AO431" s="81">
        <v>11</v>
      </c>
      <c r="AP431" s="81"/>
      <c r="AQ431" s="81">
        <f>'Praroop-20 hindi'!M434</f>
        <v>0</v>
      </c>
      <c r="AR431" s="81">
        <f t="shared" si="13"/>
        <v>451</v>
      </c>
    </row>
    <row r="432" spans="1:44" ht="25.5">
      <c r="A432" s="81">
        <v>64</v>
      </c>
      <c r="B432" s="41">
        <v>426</v>
      </c>
      <c r="C432" s="113" t="s">
        <v>551</v>
      </c>
      <c r="D432" s="117">
        <v>647</v>
      </c>
      <c r="E432" s="110">
        <v>280</v>
      </c>
      <c r="F432" s="110">
        <v>228</v>
      </c>
      <c r="G432" s="110">
        <v>0</v>
      </c>
      <c r="H432" s="111">
        <f t="shared" si="12"/>
        <v>508</v>
      </c>
      <c r="I432" s="112">
        <v>456</v>
      </c>
      <c r="J432" s="110">
        <v>0</v>
      </c>
      <c r="K432" s="110">
        <v>1</v>
      </c>
      <c r="L432" s="81"/>
      <c r="M432" s="81">
        <f>'Praroop-20 hindi'!C435</f>
        <v>159</v>
      </c>
      <c r="N432" s="81">
        <v>2</v>
      </c>
      <c r="O432" s="81"/>
      <c r="P432" s="81">
        <f>'Praroop-20 hindi'!D435</f>
        <v>137</v>
      </c>
      <c r="Q432" s="81">
        <v>3</v>
      </c>
      <c r="R432" s="81"/>
      <c r="S432" s="81">
        <f>'Praroop-20 hindi'!E435</f>
        <v>207</v>
      </c>
      <c r="T432" s="81">
        <v>4</v>
      </c>
      <c r="U432" s="81"/>
      <c r="V432" s="81">
        <f>'Praroop-20 hindi'!F435</f>
        <v>0</v>
      </c>
      <c r="W432" s="81">
        <v>5</v>
      </c>
      <c r="X432" s="81"/>
      <c r="Y432" s="81">
        <f>'Praroop-20 hindi'!G435</f>
        <v>0</v>
      </c>
      <c r="Z432" s="81">
        <v>6</v>
      </c>
      <c r="AA432" s="81"/>
      <c r="AB432" s="81">
        <f>'Praroop-20 hindi'!H435</f>
        <v>0</v>
      </c>
      <c r="AC432" s="81">
        <v>7</v>
      </c>
      <c r="AD432" s="81"/>
      <c r="AE432" s="81">
        <f>'Praroop-20 hindi'!I435</f>
        <v>0</v>
      </c>
      <c r="AF432" s="81">
        <v>8</v>
      </c>
      <c r="AG432" s="81"/>
      <c r="AH432" s="81">
        <f>'Praroop-20 hindi'!J435</f>
        <v>1</v>
      </c>
      <c r="AI432" s="81">
        <v>9</v>
      </c>
      <c r="AJ432" s="81"/>
      <c r="AK432" s="81">
        <f>'Praroop-20 hindi'!K435</f>
        <v>0</v>
      </c>
      <c r="AL432" s="81">
        <v>10</v>
      </c>
      <c r="AM432" s="81"/>
      <c r="AN432" s="81">
        <f>'Praroop-20 hindi'!L435</f>
        <v>1</v>
      </c>
      <c r="AO432" s="81">
        <v>11</v>
      </c>
      <c r="AP432" s="81"/>
      <c r="AQ432" s="81">
        <f>'Praroop-20 hindi'!M435</f>
        <v>0</v>
      </c>
      <c r="AR432" s="81">
        <f t="shared" si="13"/>
        <v>505</v>
      </c>
    </row>
    <row r="433" spans="1:44" ht="25.5">
      <c r="A433" s="81">
        <v>64</v>
      </c>
      <c r="B433" s="41">
        <v>427</v>
      </c>
      <c r="C433" s="113" t="s">
        <v>552</v>
      </c>
      <c r="D433" s="117">
        <v>839</v>
      </c>
      <c r="E433" s="110">
        <v>276</v>
      </c>
      <c r="F433" s="110">
        <v>262</v>
      </c>
      <c r="G433" s="110">
        <v>0</v>
      </c>
      <c r="H433" s="111">
        <f t="shared" si="12"/>
        <v>538</v>
      </c>
      <c r="I433" s="112">
        <v>538</v>
      </c>
      <c r="J433" s="110">
        <v>0</v>
      </c>
      <c r="K433" s="110">
        <v>1</v>
      </c>
      <c r="L433" s="81"/>
      <c r="M433" s="81">
        <f>'Praroop-20 hindi'!C436</f>
        <v>2</v>
      </c>
      <c r="N433" s="81">
        <v>2</v>
      </c>
      <c r="O433" s="81"/>
      <c r="P433" s="81">
        <f>'Praroop-20 hindi'!D436</f>
        <v>195</v>
      </c>
      <c r="Q433" s="81">
        <v>3</v>
      </c>
      <c r="R433" s="81"/>
      <c r="S433" s="81">
        <f>'Praroop-20 hindi'!E436</f>
        <v>325</v>
      </c>
      <c r="T433" s="81">
        <v>4</v>
      </c>
      <c r="U433" s="81"/>
      <c r="V433" s="81">
        <f>'Praroop-20 hindi'!F436</f>
        <v>9</v>
      </c>
      <c r="W433" s="81">
        <v>5</v>
      </c>
      <c r="X433" s="81"/>
      <c r="Y433" s="81">
        <f>'Praroop-20 hindi'!G436</f>
        <v>0</v>
      </c>
      <c r="Z433" s="81">
        <v>6</v>
      </c>
      <c r="AA433" s="81"/>
      <c r="AB433" s="81">
        <f>'Praroop-20 hindi'!H436</f>
        <v>1</v>
      </c>
      <c r="AC433" s="81">
        <v>7</v>
      </c>
      <c r="AD433" s="81"/>
      <c r="AE433" s="81">
        <f>'Praroop-20 hindi'!I436</f>
        <v>0</v>
      </c>
      <c r="AF433" s="81">
        <v>8</v>
      </c>
      <c r="AG433" s="81"/>
      <c r="AH433" s="81">
        <f>'Praroop-20 hindi'!J436</f>
        <v>1</v>
      </c>
      <c r="AI433" s="81">
        <v>9</v>
      </c>
      <c r="AJ433" s="81"/>
      <c r="AK433" s="81">
        <f>'Praroop-20 hindi'!K436</f>
        <v>0</v>
      </c>
      <c r="AL433" s="81">
        <v>10</v>
      </c>
      <c r="AM433" s="81"/>
      <c r="AN433" s="81">
        <f>'Praroop-20 hindi'!L436</f>
        <v>2</v>
      </c>
      <c r="AO433" s="81">
        <v>11</v>
      </c>
      <c r="AP433" s="81"/>
      <c r="AQ433" s="81">
        <f>'Praroop-20 hindi'!M436</f>
        <v>1</v>
      </c>
      <c r="AR433" s="81">
        <f t="shared" si="13"/>
        <v>536</v>
      </c>
    </row>
    <row r="434" spans="1:44" ht="25.5">
      <c r="A434" s="81">
        <v>64</v>
      </c>
      <c r="B434" s="41">
        <v>428</v>
      </c>
      <c r="C434" s="113" t="s">
        <v>553</v>
      </c>
      <c r="D434" s="117">
        <v>746</v>
      </c>
      <c r="E434" s="110">
        <v>288</v>
      </c>
      <c r="F434" s="110">
        <v>222</v>
      </c>
      <c r="G434" s="110">
        <v>0</v>
      </c>
      <c r="H434" s="111">
        <f t="shared" si="12"/>
        <v>510</v>
      </c>
      <c r="I434" s="112">
        <v>510</v>
      </c>
      <c r="J434" s="110">
        <v>0</v>
      </c>
      <c r="K434" s="110">
        <v>1</v>
      </c>
      <c r="L434" s="81"/>
      <c r="M434" s="81">
        <f>'Praroop-20 hindi'!C437</f>
        <v>2</v>
      </c>
      <c r="N434" s="81">
        <v>2</v>
      </c>
      <c r="O434" s="81"/>
      <c r="P434" s="81">
        <f>'Praroop-20 hindi'!D437</f>
        <v>197</v>
      </c>
      <c r="Q434" s="81">
        <v>3</v>
      </c>
      <c r="R434" s="81"/>
      <c r="S434" s="81">
        <f>'Praroop-20 hindi'!E437</f>
        <v>297</v>
      </c>
      <c r="T434" s="81">
        <v>4</v>
      </c>
      <c r="U434" s="81"/>
      <c r="V434" s="81">
        <f>'Praroop-20 hindi'!F437</f>
        <v>10</v>
      </c>
      <c r="W434" s="81">
        <v>5</v>
      </c>
      <c r="X434" s="81"/>
      <c r="Y434" s="81">
        <f>'Praroop-20 hindi'!G437</f>
        <v>0</v>
      </c>
      <c r="Z434" s="81">
        <v>6</v>
      </c>
      <c r="AA434" s="81"/>
      <c r="AB434" s="81">
        <f>'Praroop-20 hindi'!H437</f>
        <v>0</v>
      </c>
      <c r="AC434" s="81">
        <v>7</v>
      </c>
      <c r="AD434" s="81"/>
      <c r="AE434" s="81">
        <f>'Praroop-20 hindi'!I437</f>
        <v>0</v>
      </c>
      <c r="AF434" s="81">
        <v>8</v>
      </c>
      <c r="AG434" s="81"/>
      <c r="AH434" s="81">
        <f>'Praroop-20 hindi'!J437</f>
        <v>0</v>
      </c>
      <c r="AI434" s="81">
        <v>9</v>
      </c>
      <c r="AJ434" s="81"/>
      <c r="AK434" s="81">
        <f>'Praroop-20 hindi'!K437</f>
        <v>1</v>
      </c>
      <c r="AL434" s="81">
        <v>10</v>
      </c>
      <c r="AM434" s="81"/>
      <c r="AN434" s="81">
        <f>'Praroop-20 hindi'!L437</f>
        <v>1</v>
      </c>
      <c r="AO434" s="81">
        <v>11</v>
      </c>
      <c r="AP434" s="81"/>
      <c r="AQ434" s="81">
        <f>'Praroop-20 hindi'!M437</f>
        <v>2</v>
      </c>
      <c r="AR434" s="81">
        <f t="shared" si="13"/>
        <v>510</v>
      </c>
    </row>
    <row r="435" spans="1:44" ht="25.5">
      <c r="A435" s="81">
        <v>64</v>
      </c>
      <c r="B435" s="41">
        <v>429</v>
      </c>
      <c r="C435" s="113" t="s">
        <v>554</v>
      </c>
      <c r="D435" s="117">
        <v>831</v>
      </c>
      <c r="E435" s="110">
        <v>310</v>
      </c>
      <c r="F435" s="110">
        <v>247</v>
      </c>
      <c r="G435" s="110">
        <v>0</v>
      </c>
      <c r="H435" s="111">
        <f t="shared" si="12"/>
        <v>557</v>
      </c>
      <c r="I435" s="112">
        <v>481</v>
      </c>
      <c r="J435" s="110">
        <v>0</v>
      </c>
      <c r="K435" s="110">
        <v>1</v>
      </c>
      <c r="L435" s="81"/>
      <c r="M435" s="81">
        <f>'Praroop-20 hindi'!C438</f>
        <v>4</v>
      </c>
      <c r="N435" s="81">
        <v>2</v>
      </c>
      <c r="O435" s="81"/>
      <c r="P435" s="81">
        <f>'Praroop-20 hindi'!D438</f>
        <v>132</v>
      </c>
      <c r="Q435" s="81">
        <v>3</v>
      </c>
      <c r="R435" s="81"/>
      <c r="S435" s="81">
        <f>'Praroop-20 hindi'!E438</f>
        <v>409</v>
      </c>
      <c r="T435" s="81">
        <v>4</v>
      </c>
      <c r="U435" s="81"/>
      <c r="V435" s="81">
        <f>'Praroop-20 hindi'!F438</f>
        <v>6</v>
      </c>
      <c r="W435" s="81">
        <v>5</v>
      </c>
      <c r="X435" s="81"/>
      <c r="Y435" s="81">
        <f>'Praroop-20 hindi'!G438</f>
        <v>1</v>
      </c>
      <c r="Z435" s="81">
        <v>6</v>
      </c>
      <c r="AA435" s="81"/>
      <c r="AB435" s="81">
        <f>'Praroop-20 hindi'!H438</f>
        <v>0</v>
      </c>
      <c r="AC435" s="81">
        <v>7</v>
      </c>
      <c r="AD435" s="81"/>
      <c r="AE435" s="81">
        <f>'Praroop-20 hindi'!I438</f>
        <v>0</v>
      </c>
      <c r="AF435" s="81">
        <v>8</v>
      </c>
      <c r="AG435" s="81"/>
      <c r="AH435" s="81">
        <f>'Praroop-20 hindi'!J438</f>
        <v>0</v>
      </c>
      <c r="AI435" s="81">
        <v>9</v>
      </c>
      <c r="AJ435" s="81"/>
      <c r="AK435" s="81">
        <f>'Praroop-20 hindi'!K438</f>
        <v>0</v>
      </c>
      <c r="AL435" s="81">
        <v>10</v>
      </c>
      <c r="AM435" s="81"/>
      <c r="AN435" s="81">
        <f>'Praroop-20 hindi'!L438</f>
        <v>0</v>
      </c>
      <c r="AO435" s="81">
        <v>11</v>
      </c>
      <c r="AP435" s="81"/>
      <c r="AQ435" s="81">
        <f>'Praroop-20 hindi'!M438</f>
        <v>2</v>
      </c>
      <c r="AR435" s="81">
        <f t="shared" si="13"/>
        <v>554</v>
      </c>
    </row>
    <row r="436" spans="1:44" ht="25.5">
      <c r="A436" s="81">
        <v>64</v>
      </c>
      <c r="B436" s="41">
        <v>430</v>
      </c>
      <c r="C436" s="113" t="s">
        <v>555</v>
      </c>
      <c r="D436" s="117">
        <v>693</v>
      </c>
      <c r="E436" s="110">
        <v>223</v>
      </c>
      <c r="F436" s="110">
        <v>206</v>
      </c>
      <c r="G436" s="110">
        <v>0</v>
      </c>
      <c r="H436" s="111">
        <f t="shared" si="12"/>
        <v>429</v>
      </c>
      <c r="I436" s="112">
        <v>429</v>
      </c>
      <c r="J436" s="110">
        <v>0</v>
      </c>
      <c r="K436" s="110">
        <v>1</v>
      </c>
      <c r="L436" s="81"/>
      <c r="M436" s="81">
        <f>'Praroop-20 hindi'!C439</f>
        <v>2</v>
      </c>
      <c r="N436" s="81">
        <v>2</v>
      </c>
      <c r="O436" s="81"/>
      <c r="P436" s="81">
        <f>'Praroop-20 hindi'!D439</f>
        <v>114</v>
      </c>
      <c r="Q436" s="81">
        <v>3</v>
      </c>
      <c r="R436" s="81"/>
      <c r="S436" s="81">
        <f>'Praroop-20 hindi'!E439</f>
        <v>290</v>
      </c>
      <c r="T436" s="81">
        <v>4</v>
      </c>
      <c r="U436" s="81"/>
      <c r="V436" s="81">
        <f>'Praroop-20 hindi'!F439</f>
        <v>18</v>
      </c>
      <c r="W436" s="81">
        <v>5</v>
      </c>
      <c r="X436" s="81"/>
      <c r="Y436" s="81">
        <f>'Praroop-20 hindi'!G439</f>
        <v>1</v>
      </c>
      <c r="Z436" s="81">
        <v>6</v>
      </c>
      <c r="AA436" s="81"/>
      <c r="AB436" s="81">
        <f>'Praroop-20 hindi'!H439</f>
        <v>0</v>
      </c>
      <c r="AC436" s="81">
        <v>7</v>
      </c>
      <c r="AD436" s="81"/>
      <c r="AE436" s="81">
        <f>'Praroop-20 hindi'!I439</f>
        <v>2</v>
      </c>
      <c r="AF436" s="81">
        <v>8</v>
      </c>
      <c r="AG436" s="81"/>
      <c r="AH436" s="81">
        <f>'Praroop-20 hindi'!J439</f>
        <v>0</v>
      </c>
      <c r="AI436" s="81">
        <v>9</v>
      </c>
      <c r="AJ436" s="81"/>
      <c r="AK436" s="81">
        <f>'Praroop-20 hindi'!K439</f>
        <v>0</v>
      </c>
      <c r="AL436" s="81">
        <v>10</v>
      </c>
      <c r="AM436" s="81"/>
      <c r="AN436" s="81">
        <f>'Praroop-20 hindi'!L439</f>
        <v>1</v>
      </c>
      <c r="AO436" s="81">
        <v>11</v>
      </c>
      <c r="AP436" s="81"/>
      <c r="AQ436" s="81">
        <f>'Praroop-20 hindi'!M439</f>
        <v>0</v>
      </c>
      <c r="AR436" s="81">
        <f t="shared" si="13"/>
        <v>428</v>
      </c>
    </row>
    <row r="437" spans="1:44" ht="25.5">
      <c r="A437" s="81">
        <v>64</v>
      </c>
      <c r="B437" s="41">
        <v>431</v>
      </c>
      <c r="C437" s="113" t="s">
        <v>556</v>
      </c>
      <c r="D437" s="117">
        <v>1039</v>
      </c>
      <c r="E437" s="110">
        <v>360</v>
      </c>
      <c r="F437" s="110">
        <v>337</v>
      </c>
      <c r="G437" s="110">
        <v>0</v>
      </c>
      <c r="H437" s="111">
        <f t="shared" si="12"/>
        <v>697</v>
      </c>
      <c r="I437" s="112">
        <v>697</v>
      </c>
      <c r="J437" s="110">
        <v>0</v>
      </c>
      <c r="K437" s="110">
        <v>1</v>
      </c>
      <c r="L437" s="81"/>
      <c r="M437" s="81">
        <f>'Praroop-20 hindi'!C440</f>
        <v>52</v>
      </c>
      <c r="N437" s="81">
        <v>2</v>
      </c>
      <c r="O437" s="81"/>
      <c r="P437" s="81">
        <f>'Praroop-20 hindi'!D440</f>
        <v>218</v>
      </c>
      <c r="Q437" s="81">
        <v>3</v>
      </c>
      <c r="R437" s="81"/>
      <c r="S437" s="81">
        <f>'Praroop-20 hindi'!E440</f>
        <v>402</v>
      </c>
      <c r="T437" s="81">
        <v>4</v>
      </c>
      <c r="U437" s="81"/>
      <c r="V437" s="81">
        <f>'Praroop-20 hindi'!F440</f>
        <v>8</v>
      </c>
      <c r="W437" s="81">
        <v>5</v>
      </c>
      <c r="X437" s="81"/>
      <c r="Y437" s="81">
        <f>'Praroop-20 hindi'!G440</f>
        <v>0</v>
      </c>
      <c r="Z437" s="81">
        <v>6</v>
      </c>
      <c r="AA437" s="81"/>
      <c r="AB437" s="81">
        <f>'Praroop-20 hindi'!H440</f>
        <v>0</v>
      </c>
      <c r="AC437" s="81">
        <v>7</v>
      </c>
      <c r="AD437" s="81"/>
      <c r="AE437" s="81">
        <f>'Praroop-20 hindi'!I440</f>
        <v>0</v>
      </c>
      <c r="AF437" s="81">
        <v>8</v>
      </c>
      <c r="AG437" s="81"/>
      <c r="AH437" s="81">
        <f>'Praroop-20 hindi'!J440</f>
        <v>3</v>
      </c>
      <c r="AI437" s="81">
        <v>9</v>
      </c>
      <c r="AJ437" s="81"/>
      <c r="AK437" s="81">
        <f>'Praroop-20 hindi'!K440</f>
        <v>3</v>
      </c>
      <c r="AL437" s="81">
        <v>10</v>
      </c>
      <c r="AM437" s="81"/>
      <c r="AN437" s="81">
        <f>'Praroop-20 hindi'!L440</f>
        <v>9</v>
      </c>
      <c r="AO437" s="81">
        <v>11</v>
      </c>
      <c r="AP437" s="81"/>
      <c r="AQ437" s="81">
        <f>'Praroop-20 hindi'!M440</f>
        <v>1</v>
      </c>
      <c r="AR437" s="81">
        <f t="shared" si="13"/>
        <v>696</v>
      </c>
    </row>
    <row r="438" spans="1:44" ht="25.5">
      <c r="A438" s="81">
        <v>64</v>
      </c>
      <c r="B438" s="41">
        <v>432</v>
      </c>
      <c r="C438" s="113" t="s">
        <v>557</v>
      </c>
      <c r="D438" s="117">
        <v>806</v>
      </c>
      <c r="E438" s="110">
        <v>312</v>
      </c>
      <c r="F438" s="110">
        <v>277</v>
      </c>
      <c r="G438" s="110">
        <v>0</v>
      </c>
      <c r="H438" s="111">
        <f t="shared" si="12"/>
        <v>589</v>
      </c>
      <c r="I438" s="112">
        <v>589</v>
      </c>
      <c r="J438" s="110">
        <v>0</v>
      </c>
      <c r="K438" s="110">
        <v>1</v>
      </c>
      <c r="L438" s="81"/>
      <c r="M438" s="163">
        <f>'p-20 Hindi'!C441</f>
        <v>493</v>
      </c>
      <c r="N438" s="81">
        <v>2</v>
      </c>
      <c r="O438" s="81"/>
      <c r="P438" s="81">
        <f>'p-20 Hindi'!D441</f>
        <v>26</v>
      </c>
      <c r="Q438" s="81">
        <v>3</v>
      </c>
      <c r="R438" s="81"/>
      <c r="S438" s="81">
        <f>'p-20 Hindi'!E441</f>
        <v>54</v>
      </c>
      <c r="T438" s="81">
        <v>4</v>
      </c>
      <c r="U438" s="81"/>
      <c r="V438" s="81">
        <f>'p-20 Hindi'!F441</f>
        <v>2</v>
      </c>
      <c r="W438" s="81">
        <v>5</v>
      </c>
      <c r="X438" s="81"/>
      <c r="Y438" s="81">
        <f>'p-20 Hindi'!G441</f>
        <v>0</v>
      </c>
      <c r="Z438" s="81">
        <v>6</v>
      </c>
      <c r="AA438" s="81"/>
      <c r="AB438" s="81">
        <f>'p-20 Hindi'!H441</f>
        <v>2</v>
      </c>
      <c r="AC438" s="81">
        <v>7</v>
      </c>
      <c r="AD438" s="81"/>
      <c r="AE438" s="81">
        <f>'p-20 Hindi'!I441</f>
        <v>1</v>
      </c>
      <c r="AF438" s="81">
        <v>8</v>
      </c>
      <c r="AG438" s="81"/>
      <c r="AH438" s="81">
        <f>'p-20 Hindi'!J441</f>
        <v>1</v>
      </c>
      <c r="AI438" s="81">
        <v>9</v>
      </c>
      <c r="AJ438" s="81"/>
      <c r="AK438" s="81">
        <f>'p-20 Hindi'!K441</f>
        <v>2</v>
      </c>
      <c r="AL438" s="81">
        <v>10</v>
      </c>
      <c r="AM438" s="81"/>
      <c r="AN438" s="81">
        <f>'p-20 Hindi'!L441</f>
        <v>2</v>
      </c>
      <c r="AO438" s="81">
        <v>11</v>
      </c>
      <c r="AP438" s="81"/>
      <c r="AQ438" s="81">
        <f>'p-20 Hindi'!M441</f>
        <v>0</v>
      </c>
      <c r="AR438" s="81">
        <f t="shared" si="13"/>
        <v>583</v>
      </c>
    </row>
    <row r="439" spans="1:44" ht="25.5">
      <c r="A439" s="81">
        <v>64</v>
      </c>
      <c r="B439" s="41">
        <v>433</v>
      </c>
      <c r="C439" s="113" t="s">
        <v>558</v>
      </c>
      <c r="D439" s="117">
        <v>996</v>
      </c>
      <c r="E439" s="110">
        <v>428</v>
      </c>
      <c r="F439" s="110">
        <v>392</v>
      </c>
      <c r="G439" s="110">
        <v>0</v>
      </c>
      <c r="H439" s="111">
        <f t="shared" si="12"/>
        <v>820</v>
      </c>
      <c r="I439" s="112">
        <v>724</v>
      </c>
      <c r="J439" s="110">
        <v>0</v>
      </c>
      <c r="K439" s="110">
        <v>1</v>
      </c>
      <c r="L439" s="81"/>
      <c r="M439" s="163">
        <f>'Praroop-20 hindi'!C442</f>
        <v>19</v>
      </c>
      <c r="N439" s="81">
        <v>2</v>
      </c>
      <c r="O439" s="81"/>
      <c r="P439" s="81">
        <f>'Praroop-20 hindi'!D442</f>
        <v>31</v>
      </c>
      <c r="Q439" s="81">
        <v>3</v>
      </c>
      <c r="R439" s="81"/>
      <c r="S439" s="81">
        <f>'Praroop-20 hindi'!E442</f>
        <v>751</v>
      </c>
      <c r="T439" s="81">
        <v>4</v>
      </c>
      <c r="U439" s="81"/>
      <c r="V439" s="81">
        <f>'Praroop-20 hindi'!F442</f>
        <v>10</v>
      </c>
      <c r="W439" s="81">
        <v>5</v>
      </c>
      <c r="X439" s="81"/>
      <c r="Y439" s="81">
        <f>'Praroop-20 hindi'!G442</f>
        <v>1</v>
      </c>
      <c r="Z439" s="81">
        <v>6</v>
      </c>
      <c r="AA439" s="81"/>
      <c r="AB439" s="81">
        <f>'Praroop-20 hindi'!H442</f>
        <v>0</v>
      </c>
      <c r="AC439" s="81">
        <v>7</v>
      </c>
      <c r="AD439" s="81"/>
      <c r="AE439" s="81">
        <f>'Praroop-20 hindi'!I442</f>
        <v>0</v>
      </c>
      <c r="AF439" s="81">
        <v>8</v>
      </c>
      <c r="AG439" s="81"/>
      <c r="AH439" s="81">
        <f>'Praroop-20 hindi'!J442</f>
        <v>0</v>
      </c>
      <c r="AI439" s="81">
        <v>9</v>
      </c>
      <c r="AJ439" s="81"/>
      <c r="AK439" s="81">
        <f>'Praroop-20 hindi'!K442</f>
        <v>0</v>
      </c>
      <c r="AL439" s="81">
        <v>10</v>
      </c>
      <c r="AM439" s="81"/>
      <c r="AN439" s="81">
        <f>'Praroop-20 hindi'!L442</f>
        <v>8</v>
      </c>
      <c r="AO439" s="81">
        <v>11</v>
      </c>
      <c r="AP439" s="81"/>
      <c r="AQ439" s="81">
        <f>'Praroop-20 hindi'!M442</f>
        <v>0</v>
      </c>
      <c r="AR439" s="81">
        <f t="shared" si="13"/>
        <v>820</v>
      </c>
    </row>
    <row r="440" spans="1:44" ht="25.5">
      <c r="A440" s="81">
        <v>64</v>
      </c>
      <c r="B440" s="41">
        <v>434</v>
      </c>
      <c r="C440" s="113" t="s">
        <v>559</v>
      </c>
      <c r="D440" s="117">
        <v>663</v>
      </c>
      <c r="E440" s="110">
        <v>247</v>
      </c>
      <c r="F440" s="110">
        <v>234</v>
      </c>
      <c r="G440" s="110">
        <v>0</v>
      </c>
      <c r="H440" s="111">
        <f t="shared" si="12"/>
        <v>481</v>
      </c>
      <c r="I440" s="112">
        <v>395</v>
      </c>
      <c r="J440" s="110">
        <v>0</v>
      </c>
      <c r="K440" s="110">
        <v>1</v>
      </c>
      <c r="L440" s="81"/>
      <c r="M440" s="81">
        <f>'Praroop-20 hindi'!C443</f>
        <v>51</v>
      </c>
      <c r="N440" s="81">
        <v>2</v>
      </c>
      <c r="O440" s="81"/>
      <c r="P440" s="81">
        <f>'Praroop-20 hindi'!D443</f>
        <v>143</v>
      </c>
      <c r="Q440" s="81">
        <v>3</v>
      </c>
      <c r="R440" s="81"/>
      <c r="S440" s="81">
        <f>'Praroop-20 hindi'!E443</f>
        <v>283</v>
      </c>
      <c r="T440" s="81">
        <v>4</v>
      </c>
      <c r="U440" s="81"/>
      <c r="V440" s="81">
        <f>'Praroop-20 hindi'!F443</f>
        <v>2</v>
      </c>
      <c r="W440" s="81">
        <v>5</v>
      </c>
      <c r="X440" s="81"/>
      <c r="Y440" s="81">
        <f>'Praroop-20 hindi'!G443</f>
        <v>0</v>
      </c>
      <c r="Z440" s="81">
        <v>6</v>
      </c>
      <c r="AA440" s="81"/>
      <c r="AB440" s="81">
        <f>'Praroop-20 hindi'!H443</f>
        <v>0</v>
      </c>
      <c r="AC440" s="81">
        <v>7</v>
      </c>
      <c r="AD440" s="81"/>
      <c r="AE440" s="81">
        <f>'Praroop-20 hindi'!I443</f>
        <v>0</v>
      </c>
      <c r="AF440" s="81">
        <v>8</v>
      </c>
      <c r="AG440" s="81"/>
      <c r="AH440" s="81">
        <f>'Praroop-20 hindi'!J443</f>
        <v>0</v>
      </c>
      <c r="AI440" s="81">
        <v>9</v>
      </c>
      <c r="AJ440" s="81"/>
      <c r="AK440" s="81">
        <f>'Praroop-20 hindi'!K443</f>
        <v>0</v>
      </c>
      <c r="AL440" s="81">
        <v>10</v>
      </c>
      <c r="AM440" s="81"/>
      <c r="AN440" s="81">
        <f>'Praroop-20 hindi'!L443</f>
        <v>2</v>
      </c>
      <c r="AO440" s="81">
        <v>11</v>
      </c>
      <c r="AP440" s="81"/>
      <c r="AQ440" s="81">
        <f>'Praroop-20 hindi'!M443</f>
        <v>0</v>
      </c>
      <c r="AR440" s="81">
        <f t="shared" si="13"/>
        <v>481</v>
      </c>
    </row>
    <row r="441" spans="1:44" ht="25.5">
      <c r="A441" s="81">
        <v>64</v>
      </c>
      <c r="B441" s="41">
        <v>435</v>
      </c>
      <c r="C441" s="113" t="s">
        <v>560</v>
      </c>
      <c r="D441" s="117">
        <v>753</v>
      </c>
      <c r="E441" s="110">
        <v>265</v>
      </c>
      <c r="F441" s="110">
        <v>234</v>
      </c>
      <c r="G441" s="110">
        <v>0</v>
      </c>
      <c r="H441" s="111">
        <f t="shared" si="12"/>
        <v>499</v>
      </c>
      <c r="I441" s="112">
        <v>444</v>
      </c>
      <c r="J441" s="110">
        <v>0</v>
      </c>
      <c r="K441" s="110">
        <v>1</v>
      </c>
      <c r="L441" s="81"/>
      <c r="M441" s="81">
        <f>'Praroop-20 hindi'!C444</f>
        <v>96</v>
      </c>
      <c r="N441" s="81">
        <v>2</v>
      </c>
      <c r="O441" s="81"/>
      <c r="P441" s="81">
        <f>'Praroop-20 hindi'!D444</f>
        <v>217</v>
      </c>
      <c r="Q441" s="81">
        <v>3</v>
      </c>
      <c r="R441" s="81"/>
      <c r="S441" s="81">
        <f>'Praroop-20 hindi'!E444</f>
        <v>180</v>
      </c>
      <c r="T441" s="81">
        <v>4</v>
      </c>
      <c r="U441" s="81"/>
      <c r="V441" s="81">
        <f>'Praroop-20 hindi'!F444</f>
        <v>1</v>
      </c>
      <c r="W441" s="81">
        <v>5</v>
      </c>
      <c r="X441" s="81"/>
      <c r="Y441" s="81">
        <f>'Praroop-20 hindi'!G444</f>
        <v>1</v>
      </c>
      <c r="Z441" s="81">
        <v>6</v>
      </c>
      <c r="AA441" s="81"/>
      <c r="AB441" s="81">
        <f>'Praroop-20 hindi'!H444</f>
        <v>0</v>
      </c>
      <c r="AC441" s="81">
        <v>7</v>
      </c>
      <c r="AD441" s="81"/>
      <c r="AE441" s="81">
        <f>'Praroop-20 hindi'!I444</f>
        <v>0</v>
      </c>
      <c r="AF441" s="81">
        <v>8</v>
      </c>
      <c r="AG441" s="81"/>
      <c r="AH441" s="81">
        <f>'Praroop-20 hindi'!J444</f>
        <v>0</v>
      </c>
      <c r="AI441" s="81">
        <v>9</v>
      </c>
      <c r="AJ441" s="81"/>
      <c r="AK441" s="81">
        <f>'Praroop-20 hindi'!K444</f>
        <v>1</v>
      </c>
      <c r="AL441" s="81">
        <v>10</v>
      </c>
      <c r="AM441" s="81"/>
      <c r="AN441" s="81">
        <f>'Praroop-20 hindi'!L444</f>
        <v>0</v>
      </c>
      <c r="AO441" s="81">
        <v>11</v>
      </c>
      <c r="AP441" s="81"/>
      <c r="AQ441" s="81">
        <f>'Praroop-20 hindi'!M444</f>
        <v>3</v>
      </c>
      <c r="AR441" s="81">
        <f t="shared" si="13"/>
        <v>499</v>
      </c>
    </row>
    <row r="442" spans="1:44" ht="38.25">
      <c r="A442" s="81">
        <v>64</v>
      </c>
      <c r="B442" s="41">
        <v>436</v>
      </c>
      <c r="C442" s="113" t="s">
        <v>561</v>
      </c>
      <c r="D442" s="117">
        <v>1180</v>
      </c>
      <c r="E442" s="110">
        <v>494</v>
      </c>
      <c r="F442" s="110">
        <v>440</v>
      </c>
      <c r="G442" s="110">
        <v>0</v>
      </c>
      <c r="H442" s="111">
        <f t="shared" si="12"/>
        <v>934</v>
      </c>
      <c r="I442" s="112">
        <v>845</v>
      </c>
      <c r="J442" s="110">
        <v>0</v>
      </c>
      <c r="K442" s="110">
        <v>1</v>
      </c>
      <c r="L442" s="81"/>
      <c r="M442" s="81">
        <f>'Praroop-20 hindi'!C445</f>
        <v>526</v>
      </c>
      <c r="N442" s="81">
        <v>2</v>
      </c>
      <c r="O442" s="81"/>
      <c r="P442" s="81">
        <f>'Praroop-20 hindi'!D445</f>
        <v>100</v>
      </c>
      <c r="Q442" s="81">
        <v>3</v>
      </c>
      <c r="R442" s="81"/>
      <c r="S442" s="81">
        <f>'Praroop-20 hindi'!E445</f>
        <v>271</v>
      </c>
      <c r="T442" s="81">
        <v>4</v>
      </c>
      <c r="U442" s="81"/>
      <c r="V442" s="81">
        <f>'Praroop-20 hindi'!F445</f>
        <v>9</v>
      </c>
      <c r="W442" s="81">
        <v>5</v>
      </c>
      <c r="X442" s="81"/>
      <c r="Y442" s="81">
        <f>'Praroop-20 hindi'!G445</f>
        <v>2</v>
      </c>
      <c r="Z442" s="81">
        <v>6</v>
      </c>
      <c r="AA442" s="81"/>
      <c r="AB442" s="81">
        <f>'Praroop-20 hindi'!H445</f>
        <v>0</v>
      </c>
      <c r="AC442" s="81">
        <v>7</v>
      </c>
      <c r="AD442" s="81"/>
      <c r="AE442" s="81">
        <f>'Praroop-20 hindi'!I445</f>
        <v>5</v>
      </c>
      <c r="AF442" s="81">
        <v>8</v>
      </c>
      <c r="AG442" s="81"/>
      <c r="AH442" s="81">
        <f>'Praroop-20 hindi'!J445</f>
        <v>7</v>
      </c>
      <c r="AI442" s="81">
        <v>9</v>
      </c>
      <c r="AJ442" s="81"/>
      <c r="AK442" s="81">
        <f>'Praroop-20 hindi'!K445</f>
        <v>0</v>
      </c>
      <c r="AL442" s="81">
        <v>10</v>
      </c>
      <c r="AM442" s="81"/>
      <c r="AN442" s="81">
        <f>'Praroop-20 hindi'!L445</f>
        <v>9</v>
      </c>
      <c r="AO442" s="81">
        <v>11</v>
      </c>
      <c r="AP442" s="81"/>
      <c r="AQ442" s="81">
        <f>'Praroop-20 hindi'!M445</f>
        <v>1</v>
      </c>
      <c r="AR442" s="81">
        <f t="shared" si="13"/>
        <v>930</v>
      </c>
    </row>
    <row r="443" spans="1:44" ht="38.25">
      <c r="A443" s="81">
        <v>64</v>
      </c>
      <c r="B443" s="41">
        <v>437</v>
      </c>
      <c r="C443" s="113" t="s">
        <v>562</v>
      </c>
      <c r="D443" s="117">
        <v>812</v>
      </c>
      <c r="E443" s="110">
        <v>288</v>
      </c>
      <c r="F443" s="110">
        <v>270</v>
      </c>
      <c r="G443" s="110">
        <v>0</v>
      </c>
      <c r="H443" s="111">
        <f t="shared" si="12"/>
        <v>558</v>
      </c>
      <c r="I443" s="112">
        <v>510</v>
      </c>
      <c r="J443" s="110">
        <v>0</v>
      </c>
      <c r="K443" s="110">
        <v>1</v>
      </c>
      <c r="L443" s="81"/>
      <c r="M443" s="81">
        <f>'Praroop-20 hindi'!C446</f>
        <v>229</v>
      </c>
      <c r="N443" s="81">
        <v>2</v>
      </c>
      <c r="O443" s="81"/>
      <c r="P443" s="81">
        <f>'Praroop-20 hindi'!D446</f>
        <v>97</v>
      </c>
      <c r="Q443" s="81">
        <v>3</v>
      </c>
      <c r="R443" s="81"/>
      <c r="S443" s="81">
        <f>'Praroop-20 hindi'!E446</f>
        <v>217</v>
      </c>
      <c r="T443" s="81">
        <v>4</v>
      </c>
      <c r="U443" s="81"/>
      <c r="V443" s="81">
        <f>'Praroop-20 hindi'!F446</f>
        <v>5</v>
      </c>
      <c r="W443" s="81">
        <v>5</v>
      </c>
      <c r="X443" s="81"/>
      <c r="Y443" s="81">
        <f>'Praroop-20 hindi'!G446</f>
        <v>1</v>
      </c>
      <c r="Z443" s="81">
        <v>6</v>
      </c>
      <c r="AA443" s="81"/>
      <c r="AB443" s="81">
        <f>'Praroop-20 hindi'!H446</f>
        <v>0</v>
      </c>
      <c r="AC443" s="81">
        <v>7</v>
      </c>
      <c r="AD443" s="81"/>
      <c r="AE443" s="81">
        <f>'Praroop-20 hindi'!I446</f>
        <v>1</v>
      </c>
      <c r="AF443" s="81">
        <v>8</v>
      </c>
      <c r="AG443" s="81"/>
      <c r="AH443" s="81">
        <f>'Praroop-20 hindi'!J446</f>
        <v>0</v>
      </c>
      <c r="AI443" s="81">
        <v>9</v>
      </c>
      <c r="AJ443" s="81"/>
      <c r="AK443" s="81">
        <f>'Praroop-20 hindi'!K446</f>
        <v>0</v>
      </c>
      <c r="AL443" s="81">
        <v>10</v>
      </c>
      <c r="AM443" s="81"/>
      <c r="AN443" s="81">
        <f>'Praroop-20 hindi'!L446</f>
        <v>3</v>
      </c>
      <c r="AO443" s="81">
        <v>11</v>
      </c>
      <c r="AP443" s="81"/>
      <c r="AQ443" s="81">
        <f>'Praroop-20 hindi'!M446</f>
        <v>2</v>
      </c>
      <c r="AR443" s="81">
        <f t="shared" si="13"/>
        <v>555</v>
      </c>
    </row>
    <row r="444" spans="1:44" ht="38.25">
      <c r="A444" s="81">
        <v>64</v>
      </c>
      <c r="B444" s="41">
        <v>438</v>
      </c>
      <c r="C444" s="113" t="s">
        <v>563</v>
      </c>
      <c r="D444" s="117">
        <v>769</v>
      </c>
      <c r="E444" s="110">
        <v>262</v>
      </c>
      <c r="F444" s="110">
        <v>238</v>
      </c>
      <c r="G444" s="110">
        <v>0</v>
      </c>
      <c r="H444" s="111">
        <f t="shared" si="12"/>
        <v>500</v>
      </c>
      <c r="I444" s="112">
        <v>432</v>
      </c>
      <c r="J444" s="110">
        <v>0</v>
      </c>
      <c r="K444" s="110">
        <v>1</v>
      </c>
      <c r="L444" s="81"/>
      <c r="M444" s="81">
        <f>'Praroop-20 hindi'!C447</f>
        <v>26</v>
      </c>
      <c r="N444" s="81">
        <v>2</v>
      </c>
      <c r="O444" s="81"/>
      <c r="P444" s="81">
        <f>'Praroop-20 hindi'!D447</f>
        <v>70</v>
      </c>
      <c r="Q444" s="81">
        <v>3</v>
      </c>
      <c r="R444" s="81"/>
      <c r="S444" s="81">
        <f>'Praroop-20 hindi'!E447</f>
        <v>394</v>
      </c>
      <c r="T444" s="81">
        <v>4</v>
      </c>
      <c r="U444" s="81"/>
      <c r="V444" s="81">
        <f>'Praroop-20 hindi'!F447</f>
        <v>1</v>
      </c>
      <c r="W444" s="81">
        <v>5</v>
      </c>
      <c r="X444" s="81"/>
      <c r="Y444" s="81">
        <f>'Praroop-20 hindi'!G447</f>
        <v>0</v>
      </c>
      <c r="Z444" s="81">
        <v>6</v>
      </c>
      <c r="AA444" s="81"/>
      <c r="AB444" s="81">
        <f>'Praroop-20 hindi'!H447</f>
        <v>1</v>
      </c>
      <c r="AC444" s="81">
        <v>7</v>
      </c>
      <c r="AD444" s="81"/>
      <c r="AE444" s="81">
        <f>'Praroop-20 hindi'!I447</f>
        <v>1</v>
      </c>
      <c r="AF444" s="81">
        <v>8</v>
      </c>
      <c r="AG444" s="81"/>
      <c r="AH444" s="81">
        <f>'Praroop-20 hindi'!J447</f>
        <v>0</v>
      </c>
      <c r="AI444" s="81">
        <v>9</v>
      </c>
      <c r="AJ444" s="81"/>
      <c r="AK444" s="81">
        <f>'Praroop-20 hindi'!K447</f>
        <v>0</v>
      </c>
      <c r="AL444" s="81">
        <v>10</v>
      </c>
      <c r="AM444" s="81"/>
      <c r="AN444" s="81">
        <f>'Praroop-20 hindi'!L447</f>
        <v>6</v>
      </c>
      <c r="AO444" s="81">
        <v>11</v>
      </c>
      <c r="AP444" s="81"/>
      <c r="AQ444" s="81">
        <f>'Praroop-20 hindi'!M447</f>
        <v>0</v>
      </c>
      <c r="AR444" s="81">
        <f t="shared" si="13"/>
        <v>499</v>
      </c>
    </row>
    <row r="445" spans="1:44" ht="25.5">
      <c r="A445" s="81">
        <v>64</v>
      </c>
      <c r="B445" s="41">
        <v>439</v>
      </c>
      <c r="C445" s="113" t="s">
        <v>564</v>
      </c>
      <c r="D445" s="117">
        <v>759</v>
      </c>
      <c r="E445" s="110">
        <v>326</v>
      </c>
      <c r="F445" s="110">
        <v>288</v>
      </c>
      <c r="G445" s="110">
        <v>0</v>
      </c>
      <c r="H445" s="111">
        <f t="shared" si="12"/>
        <v>614</v>
      </c>
      <c r="I445" s="112">
        <v>614</v>
      </c>
      <c r="J445" s="110">
        <v>0</v>
      </c>
      <c r="K445" s="110">
        <v>1</v>
      </c>
      <c r="L445" s="81"/>
      <c r="M445" s="81">
        <f>'Praroop-20 hindi'!C448</f>
        <v>327</v>
      </c>
      <c r="N445" s="81">
        <v>2</v>
      </c>
      <c r="O445" s="81"/>
      <c r="P445" s="81">
        <f>'Praroop-20 hindi'!D448</f>
        <v>55</v>
      </c>
      <c r="Q445" s="81">
        <v>3</v>
      </c>
      <c r="R445" s="81"/>
      <c r="S445" s="81">
        <f>'Praroop-20 hindi'!E448</f>
        <v>220</v>
      </c>
      <c r="T445" s="81">
        <v>4</v>
      </c>
      <c r="U445" s="81"/>
      <c r="V445" s="81">
        <f>'Praroop-20 hindi'!F448</f>
        <v>0</v>
      </c>
      <c r="W445" s="81">
        <v>5</v>
      </c>
      <c r="X445" s="81"/>
      <c r="Y445" s="81">
        <f>'Praroop-20 hindi'!G448</f>
        <v>0</v>
      </c>
      <c r="Z445" s="81">
        <v>6</v>
      </c>
      <c r="AA445" s="81"/>
      <c r="AB445" s="81">
        <f>'Praroop-20 hindi'!H448</f>
        <v>0</v>
      </c>
      <c r="AC445" s="81">
        <v>7</v>
      </c>
      <c r="AD445" s="81"/>
      <c r="AE445" s="81">
        <f>'Praroop-20 hindi'!I448</f>
        <v>0</v>
      </c>
      <c r="AF445" s="81">
        <v>8</v>
      </c>
      <c r="AG445" s="81"/>
      <c r="AH445" s="81">
        <f>'Praroop-20 hindi'!J448</f>
        <v>1</v>
      </c>
      <c r="AI445" s="81">
        <v>9</v>
      </c>
      <c r="AJ445" s="81"/>
      <c r="AK445" s="81">
        <f>'Praroop-20 hindi'!K448</f>
        <v>1</v>
      </c>
      <c r="AL445" s="81">
        <v>10</v>
      </c>
      <c r="AM445" s="81"/>
      <c r="AN445" s="81">
        <f>'Praroop-20 hindi'!L448</f>
        <v>4</v>
      </c>
      <c r="AO445" s="81">
        <v>11</v>
      </c>
      <c r="AP445" s="81"/>
      <c r="AQ445" s="81">
        <f>'Praroop-20 hindi'!M448</f>
        <v>1</v>
      </c>
      <c r="AR445" s="81">
        <f t="shared" si="13"/>
        <v>609</v>
      </c>
    </row>
    <row r="446" spans="1:44">
      <c r="A446" s="81">
        <v>64</v>
      </c>
      <c r="B446" s="41">
        <v>440</v>
      </c>
      <c r="C446" s="113" t="s">
        <v>565</v>
      </c>
      <c r="D446" s="117">
        <v>842</v>
      </c>
      <c r="E446" s="110">
        <v>321</v>
      </c>
      <c r="F446" s="110">
        <v>284</v>
      </c>
      <c r="G446" s="110">
        <v>0</v>
      </c>
      <c r="H446" s="111">
        <f t="shared" si="12"/>
        <v>605</v>
      </c>
      <c r="I446" s="112">
        <v>523</v>
      </c>
      <c r="J446" s="110">
        <v>0</v>
      </c>
      <c r="K446" s="110">
        <v>1</v>
      </c>
      <c r="L446" s="81"/>
      <c r="M446" s="81">
        <f>'Praroop-20 hindi'!C449</f>
        <v>78</v>
      </c>
      <c r="N446" s="81">
        <v>2</v>
      </c>
      <c r="O446" s="81"/>
      <c r="P446" s="81">
        <f>'Praroop-20 hindi'!D449</f>
        <v>72</v>
      </c>
      <c r="Q446" s="81">
        <v>3</v>
      </c>
      <c r="R446" s="81"/>
      <c r="S446" s="81">
        <f>'Praroop-20 hindi'!E449</f>
        <v>447</v>
      </c>
      <c r="T446" s="81">
        <v>4</v>
      </c>
      <c r="U446" s="81"/>
      <c r="V446" s="81">
        <f>'Praroop-20 hindi'!F449</f>
        <v>4</v>
      </c>
      <c r="W446" s="81">
        <v>5</v>
      </c>
      <c r="X446" s="81"/>
      <c r="Y446" s="81">
        <f>'Praroop-20 hindi'!G449</f>
        <v>0</v>
      </c>
      <c r="Z446" s="81">
        <v>6</v>
      </c>
      <c r="AA446" s="81"/>
      <c r="AB446" s="81">
        <f>'Praroop-20 hindi'!H449</f>
        <v>0</v>
      </c>
      <c r="AC446" s="81">
        <v>7</v>
      </c>
      <c r="AD446" s="81"/>
      <c r="AE446" s="81">
        <f>'Praroop-20 hindi'!I449</f>
        <v>0</v>
      </c>
      <c r="AF446" s="81">
        <v>8</v>
      </c>
      <c r="AG446" s="81"/>
      <c r="AH446" s="81">
        <f>'Praroop-20 hindi'!J449</f>
        <v>0</v>
      </c>
      <c r="AI446" s="81">
        <v>9</v>
      </c>
      <c r="AJ446" s="81"/>
      <c r="AK446" s="81">
        <f>'Praroop-20 hindi'!K449</f>
        <v>0</v>
      </c>
      <c r="AL446" s="81">
        <v>10</v>
      </c>
      <c r="AM446" s="81"/>
      <c r="AN446" s="81">
        <f>'Praroop-20 hindi'!L449</f>
        <v>2</v>
      </c>
      <c r="AO446" s="81">
        <v>11</v>
      </c>
      <c r="AP446" s="81"/>
      <c r="AQ446" s="81">
        <f>'Praroop-20 hindi'!M449</f>
        <v>0</v>
      </c>
      <c r="AR446" s="81">
        <f t="shared" si="13"/>
        <v>603</v>
      </c>
    </row>
    <row r="447" spans="1:44">
      <c r="A447" s="81">
        <v>64</v>
      </c>
      <c r="B447" s="41">
        <v>441</v>
      </c>
      <c r="C447" s="113" t="s">
        <v>566</v>
      </c>
      <c r="D447" s="117">
        <v>827</v>
      </c>
      <c r="E447" s="110">
        <v>310</v>
      </c>
      <c r="F447" s="110">
        <v>275</v>
      </c>
      <c r="G447" s="110">
        <v>0</v>
      </c>
      <c r="H447" s="111">
        <f t="shared" si="12"/>
        <v>585</v>
      </c>
      <c r="I447" s="112">
        <v>585</v>
      </c>
      <c r="J447" s="110">
        <v>0</v>
      </c>
      <c r="K447" s="110">
        <v>1</v>
      </c>
      <c r="L447" s="81"/>
      <c r="M447" s="81">
        <f>'Praroop-20 hindi'!C450</f>
        <v>62</v>
      </c>
      <c r="N447" s="81">
        <v>2</v>
      </c>
      <c r="O447" s="81"/>
      <c r="P447" s="81">
        <f>'Praroop-20 hindi'!D450</f>
        <v>115</v>
      </c>
      <c r="Q447" s="81">
        <v>3</v>
      </c>
      <c r="R447" s="81"/>
      <c r="S447" s="81">
        <f>'Praroop-20 hindi'!E450</f>
        <v>401</v>
      </c>
      <c r="T447" s="81">
        <v>4</v>
      </c>
      <c r="U447" s="81"/>
      <c r="V447" s="81">
        <f>'Praroop-20 hindi'!F450</f>
        <v>1</v>
      </c>
      <c r="W447" s="81">
        <v>5</v>
      </c>
      <c r="X447" s="81"/>
      <c r="Y447" s="81">
        <f>'Praroop-20 hindi'!G450</f>
        <v>0</v>
      </c>
      <c r="Z447" s="81">
        <v>6</v>
      </c>
      <c r="AA447" s="81"/>
      <c r="AB447" s="81">
        <f>'Praroop-20 hindi'!H450</f>
        <v>0</v>
      </c>
      <c r="AC447" s="81">
        <v>7</v>
      </c>
      <c r="AD447" s="81"/>
      <c r="AE447" s="81">
        <f>'Praroop-20 hindi'!I450</f>
        <v>0</v>
      </c>
      <c r="AF447" s="81">
        <v>8</v>
      </c>
      <c r="AG447" s="81"/>
      <c r="AH447" s="81">
        <f>'Praroop-20 hindi'!J450</f>
        <v>0</v>
      </c>
      <c r="AI447" s="81">
        <v>9</v>
      </c>
      <c r="AJ447" s="81"/>
      <c r="AK447" s="81">
        <f>'Praroop-20 hindi'!K450</f>
        <v>0</v>
      </c>
      <c r="AL447" s="81">
        <v>10</v>
      </c>
      <c r="AM447" s="81"/>
      <c r="AN447" s="81">
        <f>'Praroop-20 hindi'!L450</f>
        <v>2</v>
      </c>
      <c r="AO447" s="81">
        <v>11</v>
      </c>
      <c r="AP447" s="81"/>
      <c r="AQ447" s="81">
        <f>'Praroop-20 hindi'!M450</f>
        <v>2</v>
      </c>
      <c r="AR447" s="81">
        <f t="shared" si="13"/>
        <v>583</v>
      </c>
    </row>
    <row r="448" spans="1:44" ht="38.25">
      <c r="A448" s="81">
        <v>64</v>
      </c>
      <c r="B448" s="41">
        <v>442</v>
      </c>
      <c r="C448" s="113" t="s">
        <v>567</v>
      </c>
      <c r="D448" s="117">
        <v>1014</v>
      </c>
      <c r="E448" s="110">
        <v>436</v>
      </c>
      <c r="F448" s="110">
        <v>354</v>
      </c>
      <c r="G448" s="110">
        <v>0</v>
      </c>
      <c r="H448" s="111">
        <f t="shared" si="12"/>
        <v>790</v>
      </c>
      <c r="I448" s="112">
        <v>722</v>
      </c>
      <c r="J448" s="110">
        <v>0</v>
      </c>
      <c r="K448" s="110">
        <v>1</v>
      </c>
      <c r="L448" s="81"/>
      <c r="M448" s="81">
        <f>'Praroop-20 hindi'!C451</f>
        <v>102</v>
      </c>
      <c r="N448" s="81">
        <v>2</v>
      </c>
      <c r="O448" s="81"/>
      <c r="P448" s="81">
        <f>'Praroop-20 hindi'!D451</f>
        <v>545</v>
      </c>
      <c r="Q448" s="81">
        <v>3</v>
      </c>
      <c r="R448" s="81"/>
      <c r="S448" s="81">
        <f>'Praroop-20 hindi'!E451</f>
        <v>126</v>
      </c>
      <c r="T448" s="81">
        <v>4</v>
      </c>
      <c r="U448" s="81"/>
      <c r="V448" s="81">
        <f>'Praroop-20 hindi'!F451</f>
        <v>4</v>
      </c>
      <c r="W448" s="81">
        <v>5</v>
      </c>
      <c r="X448" s="81"/>
      <c r="Y448" s="81">
        <f>'Praroop-20 hindi'!G451</f>
        <v>0</v>
      </c>
      <c r="Z448" s="81">
        <v>6</v>
      </c>
      <c r="AA448" s="81"/>
      <c r="AB448" s="81">
        <f>'Praroop-20 hindi'!H451</f>
        <v>0</v>
      </c>
      <c r="AC448" s="81">
        <v>7</v>
      </c>
      <c r="AD448" s="81"/>
      <c r="AE448" s="81">
        <f>'Praroop-20 hindi'!I451</f>
        <v>0</v>
      </c>
      <c r="AF448" s="81">
        <v>8</v>
      </c>
      <c r="AG448" s="81"/>
      <c r="AH448" s="81">
        <f>'Praroop-20 hindi'!J451</f>
        <v>0</v>
      </c>
      <c r="AI448" s="81">
        <v>9</v>
      </c>
      <c r="AJ448" s="81"/>
      <c r="AK448" s="81">
        <f>'Praroop-20 hindi'!K451</f>
        <v>3</v>
      </c>
      <c r="AL448" s="81">
        <v>10</v>
      </c>
      <c r="AM448" s="81"/>
      <c r="AN448" s="81">
        <f>'Praroop-20 hindi'!L451</f>
        <v>7</v>
      </c>
      <c r="AO448" s="81">
        <v>11</v>
      </c>
      <c r="AP448" s="81"/>
      <c r="AQ448" s="81">
        <f>'Praroop-20 hindi'!M451</f>
        <v>0</v>
      </c>
      <c r="AR448" s="81">
        <f t="shared" si="13"/>
        <v>787</v>
      </c>
    </row>
    <row r="449" spans="1:44" ht="38.25">
      <c r="A449" s="81">
        <v>64</v>
      </c>
      <c r="B449" s="41">
        <v>443</v>
      </c>
      <c r="C449" s="113" t="s">
        <v>568</v>
      </c>
      <c r="D449" s="117">
        <v>917</v>
      </c>
      <c r="E449" s="110">
        <v>402</v>
      </c>
      <c r="F449" s="110">
        <v>348</v>
      </c>
      <c r="G449" s="110">
        <v>0</v>
      </c>
      <c r="H449" s="111">
        <f t="shared" si="12"/>
        <v>750</v>
      </c>
      <c r="I449" s="112">
        <v>750</v>
      </c>
      <c r="J449" s="110">
        <v>0</v>
      </c>
      <c r="K449" s="110">
        <v>1</v>
      </c>
      <c r="L449" s="81"/>
      <c r="M449" s="81">
        <f>'Praroop-20 hindi'!C452</f>
        <v>7</v>
      </c>
      <c r="N449" s="81">
        <v>2</v>
      </c>
      <c r="O449" s="81"/>
      <c r="P449" s="81">
        <f>'Praroop-20 hindi'!D452</f>
        <v>404</v>
      </c>
      <c r="Q449" s="81">
        <v>3</v>
      </c>
      <c r="R449" s="81"/>
      <c r="S449" s="81">
        <f>'Praroop-20 hindi'!E452</f>
        <v>310</v>
      </c>
      <c r="T449" s="81">
        <v>4</v>
      </c>
      <c r="U449" s="81"/>
      <c r="V449" s="81">
        <f>'Praroop-20 hindi'!F452</f>
        <v>3</v>
      </c>
      <c r="W449" s="81">
        <v>5</v>
      </c>
      <c r="X449" s="81"/>
      <c r="Y449" s="81">
        <f>'Praroop-20 hindi'!G452</f>
        <v>0</v>
      </c>
      <c r="Z449" s="81">
        <v>6</v>
      </c>
      <c r="AA449" s="81"/>
      <c r="AB449" s="81">
        <f>'Praroop-20 hindi'!H452</f>
        <v>0</v>
      </c>
      <c r="AC449" s="81">
        <v>7</v>
      </c>
      <c r="AD449" s="81"/>
      <c r="AE449" s="81">
        <f>'Praroop-20 hindi'!I452</f>
        <v>0</v>
      </c>
      <c r="AF449" s="81">
        <v>8</v>
      </c>
      <c r="AG449" s="81"/>
      <c r="AH449" s="81">
        <f>'Praroop-20 hindi'!J452</f>
        <v>1</v>
      </c>
      <c r="AI449" s="81">
        <v>9</v>
      </c>
      <c r="AJ449" s="81"/>
      <c r="AK449" s="81">
        <f>'Praroop-20 hindi'!K452</f>
        <v>2</v>
      </c>
      <c r="AL449" s="81">
        <v>10</v>
      </c>
      <c r="AM449" s="81"/>
      <c r="AN449" s="81">
        <f>'Praroop-20 hindi'!L452</f>
        <v>7</v>
      </c>
      <c r="AO449" s="81">
        <v>11</v>
      </c>
      <c r="AP449" s="81"/>
      <c r="AQ449" s="81">
        <f>'Praroop-20 hindi'!M452</f>
        <v>4</v>
      </c>
      <c r="AR449" s="81">
        <f t="shared" si="13"/>
        <v>738</v>
      </c>
    </row>
    <row r="450" spans="1:44" ht="25.5">
      <c r="A450" s="81">
        <v>64</v>
      </c>
      <c r="B450" s="41">
        <v>444</v>
      </c>
      <c r="C450" s="113" t="s">
        <v>569</v>
      </c>
      <c r="D450" s="117">
        <v>1114</v>
      </c>
      <c r="E450" s="110">
        <v>440</v>
      </c>
      <c r="F450" s="110">
        <v>345</v>
      </c>
      <c r="G450" s="110">
        <v>0</v>
      </c>
      <c r="H450" s="111">
        <f t="shared" si="12"/>
        <v>785</v>
      </c>
      <c r="I450" s="112">
        <v>785</v>
      </c>
      <c r="J450" s="110">
        <v>0</v>
      </c>
      <c r="K450" s="110">
        <v>1</v>
      </c>
      <c r="L450" s="81"/>
      <c r="M450" s="81">
        <f>'Praroop-20 hindi'!C453</f>
        <v>285</v>
      </c>
      <c r="N450" s="81">
        <v>2</v>
      </c>
      <c r="O450" s="81"/>
      <c r="P450" s="81">
        <f>'Praroop-20 hindi'!D453</f>
        <v>89</v>
      </c>
      <c r="Q450" s="81">
        <v>3</v>
      </c>
      <c r="R450" s="81"/>
      <c r="S450" s="81">
        <f>'Praroop-20 hindi'!E453</f>
        <v>398</v>
      </c>
      <c r="T450" s="81">
        <v>4</v>
      </c>
      <c r="U450" s="81"/>
      <c r="V450" s="81">
        <f>'Praroop-20 hindi'!F453</f>
        <v>6</v>
      </c>
      <c r="W450" s="81">
        <v>5</v>
      </c>
      <c r="X450" s="81"/>
      <c r="Y450" s="81">
        <f>'Praroop-20 hindi'!G453</f>
        <v>1</v>
      </c>
      <c r="Z450" s="81">
        <v>6</v>
      </c>
      <c r="AA450" s="81"/>
      <c r="AB450" s="81">
        <f>'Praroop-20 hindi'!H453</f>
        <v>0</v>
      </c>
      <c r="AC450" s="81">
        <v>7</v>
      </c>
      <c r="AD450" s="81"/>
      <c r="AE450" s="81">
        <f>'Praroop-20 hindi'!I453</f>
        <v>0</v>
      </c>
      <c r="AF450" s="81">
        <v>8</v>
      </c>
      <c r="AG450" s="81"/>
      <c r="AH450" s="81">
        <f>'Praroop-20 hindi'!J453</f>
        <v>0</v>
      </c>
      <c r="AI450" s="81">
        <v>9</v>
      </c>
      <c r="AJ450" s="81"/>
      <c r="AK450" s="81">
        <f>'Praroop-20 hindi'!K453</f>
        <v>0</v>
      </c>
      <c r="AL450" s="81">
        <v>10</v>
      </c>
      <c r="AM450" s="81"/>
      <c r="AN450" s="81">
        <f>'Praroop-20 hindi'!L453</f>
        <v>3</v>
      </c>
      <c r="AO450" s="81">
        <v>11</v>
      </c>
      <c r="AP450" s="81"/>
      <c r="AQ450" s="81">
        <f>'Praroop-20 hindi'!M453</f>
        <v>1</v>
      </c>
      <c r="AR450" s="81">
        <f t="shared" si="13"/>
        <v>783</v>
      </c>
    </row>
    <row r="451" spans="1:44">
      <c r="A451" s="81">
        <v>64</v>
      </c>
      <c r="B451" s="41">
        <v>445</v>
      </c>
      <c r="C451" s="113" t="s">
        <v>570</v>
      </c>
      <c r="D451" s="117">
        <v>828</v>
      </c>
      <c r="E451" s="110">
        <v>357</v>
      </c>
      <c r="F451" s="110">
        <v>310</v>
      </c>
      <c r="G451" s="110">
        <v>0</v>
      </c>
      <c r="H451" s="111">
        <f t="shared" si="12"/>
        <v>667</v>
      </c>
      <c r="I451" s="112">
        <v>667</v>
      </c>
      <c r="J451" s="110">
        <v>0</v>
      </c>
      <c r="K451" s="110">
        <v>1</v>
      </c>
      <c r="L451" s="81"/>
      <c r="M451" s="81">
        <f>'Praroop-20 hindi'!C454</f>
        <v>180</v>
      </c>
      <c r="N451" s="81">
        <v>2</v>
      </c>
      <c r="O451" s="81"/>
      <c r="P451" s="81">
        <f>'Praroop-20 hindi'!D454</f>
        <v>38</v>
      </c>
      <c r="Q451" s="81">
        <v>3</v>
      </c>
      <c r="R451" s="81"/>
      <c r="S451" s="81">
        <f>'Praroop-20 hindi'!E454</f>
        <v>432</v>
      </c>
      <c r="T451" s="81">
        <v>4</v>
      </c>
      <c r="U451" s="81"/>
      <c r="V451" s="81">
        <f>'Praroop-20 hindi'!F454</f>
        <v>1</v>
      </c>
      <c r="W451" s="81">
        <v>5</v>
      </c>
      <c r="X451" s="81"/>
      <c r="Y451" s="81">
        <f>'Praroop-20 hindi'!G454</f>
        <v>0</v>
      </c>
      <c r="Z451" s="81">
        <v>6</v>
      </c>
      <c r="AA451" s="81"/>
      <c r="AB451" s="81">
        <f>'Praroop-20 hindi'!H454</f>
        <v>0</v>
      </c>
      <c r="AC451" s="81">
        <v>7</v>
      </c>
      <c r="AD451" s="81"/>
      <c r="AE451" s="81">
        <f>'Praroop-20 hindi'!I454</f>
        <v>0</v>
      </c>
      <c r="AF451" s="81">
        <v>8</v>
      </c>
      <c r="AG451" s="81"/>
      <c r="AH451" s="81">
        <f>'Praroop-20 hindi'!J454</f>
        <v>4</v>
      </c>
      <c r="AI451" s="81">
        <v>9</v>
      </c>
      <c r="AJ451" s="81"/>
      <c r="AK451" s="81">
        <f>'Praroop-20 hindi'!K454</f>
        <v>0</v>
      </c>
      <c r="AL451" s="81">
        <v>10</v>
      </c>
      <c r="AM451" s="81"/>
      <c r="AN451" s="81">
        <f>'Praroop-20 hindi'!L454</f>
        <v>6</v>
      </c>
      <c r="AO451" s="81">
        <v>11</v>
      </c>
      <c r="AP451" s="81"/>
      <c r="AQ451" s="81">
        <f>'Praroop-20 hindi'!M454</f>
        <v>2</v>
      </c>
      <c r="AR451" s="81">
        <f t="shared" si="13"/>
        <v>663</v>
      </c>
    </row>
    <row r="452" spans="1:44" ht="25.5">
      <c r="A452" s="81">
        <v>64</v>
      </c>
      <c r="B452" s="41">
        <v>446</v>
      </c>
      <c r="C452" s="113" t="s">
        <v>571</v>
      </c>
      <c r="D452" s="117">
        <v>1055</v>
      </c>
      <c r="E452" s="110">
        <v>365</v>
      </c>
      <c r="F452" s="110">
        <v>330</v>
      </c>
      <c r="G452" s="110">
        <v>0</v>
      </c>
      <c r="H452" s="111">
        <f t="shared" si="12"/>
        <v>695</v>
      </c>
      <c r="I452" s="112">
        <v>695</v>
      </c>
      <c r="J452" s="110">
        <v>0</v>
      </c>
      <c r="K452" s="110">
        <v>1</v>
      </c>
      <c r="L452" s="81"/>
      <c r="M452" s="81">
        <f>'Praroop-20 hindi'!C455</f>
        <v>69</v>
      </c>
      <c r="N452" s="81">
        <v>2</v>
      </c>
      <c r="O452" s="81"/>
      <c r="P452" s="81">
        <f>'Praroop-20 hindi'!D455</f>
        <v>140</v>
      </c>
      <c r="Q452" s="81">
        <v>3</v>
      </c>
      <c r="R452" s="81"/>
      <c r="S452" s="81">
        <f>'Praroop-20 hindi'!E455</f>
        <v>470</v>
      </c>
      <c r="T452" s="81">
        <v>4</v>
      </c>
      <c r="U452" s="81"/>
      <c r="V452" s="81">
        <f>'Praroop-20 hindi'!F455</f>
        <v>2</v>
      </c>
      <c r="W452" s="81">
        <v>5</v>
      </c>
      <c r="X452" s="81"/>
      <c r="Y452" s="81">
        <f>'Praroop-20 hindi'!G455</f>
        <v>1</v>
      </c>
      <c r="Z452" s="81">
        <v>6</v>
      </c>
      <c r="AA452" s="81"/>
      <c r="AB452" s="81">
        <f>'Praroop-20 hindi'!H455</f>
        <v>0</v>
      </c>
      <c r="AC452" s="81">
        <v>7</v>
      </c>
      <c r="AD452" s="81"/>
      <c r="AE452" s="81">
        <f>'Praroop-20 hindi'!I455</f>
        <v>2</v>
      </c>
      <c r="AF452" s="81">
        <v>8</v>
      </c>
      <c r="AG452" s="81"/>
      <c r="AH452" s="81">
        <f>'Praroop-20 hindi'!J455</f>
        <v>4</v>
      </c>
      <c r="AI452" s="81">
        <v>9</v>
      </c>
      <c r="AJ452" s="81"/>
      <c r="AK452" s="81">
        <f>'Praroop-20 hindi'!K455</f>
        <v>1</v>
      </c>
      <c r="AL452" s="81">
        <v>10</v>
      </c>
      <c r="AM452" s="81"/>
      <c r="AN452" s="81">
        <f>'Praroop-20 hindi'!L455</f>
        <v>5</v>
      </c>
      <c r="AO452" s="81">
        <v>11</v>
      </c>
      <c r="AP452" s="81"/>
      <c r="AQ452" s="81">
        <f>'Praroop-20 hindi'!M455</f>
        <v>0</v>
      </c>
      <c r="AR452" s="81">
        <f t="shared" si="13"/>
        <v>694</v>
      </c>
    </row>
    <row r="453" spans="1:44" ht="25.5">
      <c r="A453" s="81">
        <v>64</v>
      </c>
      <c r="B453" s="41">
        <v>447</v>
      </c>
      <c r="C453" s="113" t="s">
        <v>572</v>
      </c>
      <c r="D453" s="117">
        <v>1119</v>
      </c>
      <c r="E453" s="110">
        <v>414</v>
      </c>
      <c r="F453" s="110">
        <v>380</v>
      </c>
      <c r="G453" s="110">
        <v>0</v>
      </c>
      <c r="H453" s="111">
        <f t="shared" si="12"/>
        <v>794</v>
      </c>
      <c r="I453" s="112">
        <v>794</v>
      </c>
      <c r="J453" s="110">
        <v>0</v>
      </c>
      <c r="K453" s="110">
        <v>1</v>
      </c>
      <c r="L453" s="81"/>
      <c r="M453" s="81">
        <f>'Praroop-20 hindi'!C456</f>
        <v>284</v>
      </c>
      <c r="N453" s="81">
        <v>2</v>
      </c>
      <c r="O453" s="81"/>
      <c r="P453" s="81">
        <f>'Praroop-20 hindi'!D456</f>
        <v>49</v>
      </c>
      <c r="Q453" s="81">
        <v>3</v>
      </c>
      <c r="R453" s="81"/>
      <c r="S453" s="81">
        <f>'Praroop-20 hindi'!E456</f>
        <v>435</v>
      </c>
      <c r="T453" s="81">
        <v>4</v>
      </c>
      <c r="U453" s="81"/>
      <c r="V453" s="81">
        <f>'Praroop-20 hindi'!F456</f>
        <v>4</v>
      </c>
      <c r="W453" s="81">
        <v>5</v>
      </c>
      <c r="X453" s="81"/>
      <c r="Y453" s="81">
        <f>'Praroop-20 hindi'!G456</f>
        <v>1</v>
      </c>
      <c r="Z453" s="81">
        <v>6</v>
      </c>
      <c r="AA453" s="81"/>
      <c r="AB453" s="81">
        <f>'Praroop-20 hindi'!H456</f>
        <v>0</v>
      </c>
      <c r="AC453" s="81">
        <v>7</v>
      </c>
      <c r="AD453" s="81"/>
      <c r="AE453" s="81">
        <f>'Praroop-20 hindi'!I456</f>
        <v>2</v>
      </c>
      <c r="AF453" s="81">
        <v>8</v>
      </c>
      <c r="AG453" s="81"/>
      <c r="AH453" s="81">
        <f>'Praroop-20 hindi'!J456</f>
        <v>3</v>
      </c>
      <c r="AI453" s="81">
        <v>9</v>
      </c>
      <c r="AJ453" s="81"/>
      <c r="AK453" s="81">
        <f>'Praroop-20 hindi'!K456</f>
        <v>2</v>
      </c>
      <c r="AL453" s="81">
        <v>10</v>
      </c>
      <c r="AM453" s="81"/>
      <c r="AN453" s="81">
        <f>'Praroop-20 hindi'!L456</f>
        <v>5</v>
      </c>
      <c r="AO453" s="81">
        <v>11</v>
      </c>
      <c r="AP453" s="81"/>
      <c r="AQ453" s="81">
        <f>'Praroop-20 hindi'!M456</f>
        <v>2</v>
      </c>
      <c r="AR453" s="81">
        <f t="shared" si="13"/>
        <v>787</v>
      </c>
    </row>
    <row r="454" spans="1:44" ht="25.5">
      <c r="A454" s="81">
        <v>64</v>
      </c>
      <c r="B454" s="41">
        <v>448</v>
      </c>
      <c r="C454" s="113" t="s">
        <v>573</v>
      </c>
      <c r="D454" s="117">
        <v>688</v>
      </c>
      <c r="E454" s="110">
        <v>311</v>
      </c>
      <c r="F454" s="110">
        <v>266</v>
      </c>
      <c r="G454" s="110">
        <v>0</v>
      </c>
      <c r="H454" s="111">
        <f t="shared" si="12"/>
        <v>577</v>
      </c>
      <c r="I454" s="112">
        <v>577</v>
      </c>
      <c r="J454" s="110">
        <v>0</v>
      </c>
      <c r="K454" s="110">
        <v>1</v>
      </c>
      <c r="L454" s="81"/>
      <c r="M454" s="81">
        <f>'Praroop-20 hindi'!C457</f>
        <v>217</v>
      </c>
      <c r="N454" s="81">
        <v>2</v>
      </c>
      <c r="O454" s="81"/>
      <c r="P454" s="81">
        <f>'Praroop-20 hindi'!D457</f>
        <v>13</v>
      </c>
      <c r="Q454" s="81">
        <v>3</v>
      </c>
      <c r="R454" s="81"/>
      <c r="S454" s="81">
        <f>'Praroop-20 hindi'!E457</f>
        <v>330</v>
      </c>
      <c r="T454" s="81">
        <v>4</v>
      </c>
      <c r="U454" s="81"/>
      <c r="V454" s="81">
        <f>'Praroop-20 hindi'!F457</f>
        <v>2</v>
      </c>
      <c r="W454" s="81">
        <v>5</v>
      </c>
      <c r="X454" s="81"/>
      <c r="Y454" s="81">
        <f>'Praroop-20 hindi'!G457</f>
        <v>0</v>
      </c>
      <c r="Z454" s="81">
        <v>6</v>
      </c>
      <c r="AA454" s="81"/>
      <c r="AB454" s="81">
        <f>'Praroop-20 hindi'!H457</f>
        <v>0</v>
      </c>
      <c r="AC454" s="81">
        <v>7</v>
      </c>
      <c r="AD454" s="81"/>
      <c r="AE454" s="81">
        <f>'Praroop-20 hindi'!I457</f>
        <v>1</v>
      </c>
      <c r="AF454" s="81">
        <v>8</v>
      </c>
      <c r="AG454" s="81"/>
      <c r="AH454" s="81">
        <f>'Praroop-20 hindi'!J457</f>
        <v>0</v>
      </c>
      <c r="AI454" s="81">
        <v>9</v>
      </c>
      <c r="AJ454" s="81"/>
      <c r="AK454" s="81">
        <f>'Praroop-20 hindi'!K457</f>
        <v>0</v>
      </c>
      <c r="AL454" s="81">
        <v>10</v>
      </c>
      <c r="AM454" s="81"/>
      <c r="AN454" s="81">
        <f>'Praroop-20 hindi'!L457</f>
        <v>7</v>
      </c>
      <c r="AO454" s="81">
        <v>11</v>
      </c>
      <c r="AP454" s="81"/>
      <c r="AQ454" s="81">
        <f>'Praroop-20 hindi'!M457</f>
        <v>1</v>
      </c>
      <c r="AR454" s="81">
        <f t="shared" si="13"/>
        <v>571</v>
      </c>
    </row>
    <row r="455" spans="1:44" ht="25.5">
      <c r="A455" s="81">
        <v>64</v>
      </c>
      <c r="B455" s="41">
        <v>449</v>
      </c>
      <c r="C455" s="113" t="s">
        <v>574</v>
      </c>
      <c r="D455" s="117">
        <v>638</v>
      </c>
      <c r="E455" s="110">
        <v>272</v>
      </c>
      <c r="F455" s="110">
        <v>249</v>
      </c>
      <c r="G455" s="110">
        <v>1</v>
      </c>
      <c r="H455" s="111">
        <f t="shared" ref="H455:H478" si="14">SUM(E455:G455)</f>
        <v>522</v>
      </c>
      <c r="I455" s="112">
        <v>522</v>
      </c>
      <c r="J455" s="110">
        <v>0</v>
      </c>
      <c r="K455" s="110">
        <v>1</v>
      </c>
      <c r="L455" s="81"/>
      <c r="M455" s="81">
        <f>'Praroop-20 hindi'!C458</f>
        <v>1</v>
      </c>
      <c r="N455" s="81">
        <v>2</v>
      </c>
      <c r="O455" s="81"/>
      <c r="P455" s="81">
        <f>'Praroop-20 hindi'!D458</f>
        <v>23</v>
      </c>
      <c r="Q455" s="81">
        <v>3</v>
      </c>
      <c r="R455" s="81"/>
      <c r="S455" s="81">
        <f>'Praroop-20 hindi'!E458</f>
        <v>492</v>
      </c>
      <c r="T455" s="81">
        <v>4</v>
      </c>
      <c r="U455" s="81"/>
      <c r="V455" s="81">
        <f>'Praroop-20 hindi'!F458</f>
        <v>3</v>
      </c>
      <c r="W455" s="81">
        <v>5</v>
      </c>
      <c r="X455" s="81"/>
      <c r="Y455" s="81">
        <f>'Praroop-20 hindi'!G458</f>
        <v>0</v>
      </c>
      <c r="Z455" s="81">
        <v>6</v>
      </c>
      <c r="AA455" s="81"/>
      <c r="AB455" s="81">
        <f>'Praroop-20 hindi'!H458</f>
        <v>0</v>
      </c>
      <c r="AC455" s="81">
        <v>7</v>
      </c>
      <c r="AD455" s="81"/>
      <c r="AE455" s="81">
        <f>'Praroop-20 hindi'!I458</f>
        <v>0</v>
      </c>
      <c r="AF455" s="81">
        <v>8</v>
      </c>
      <c r="AG455" s="81"/>
      <c r="AH455" s="81">
        <f>'Praroop-20 hindi'!J458</f>
        <v>0</v>
      </c>
      <c r="AI455" s="81">
        <v>9</v>
      </c>
      <c r="AJ455" s="81"/>
      <c r="AK455" s="81">
        <f>'Praroop-20 hindi'!K458</f>
        <v>0</v>
      </c>
      <c r="AL455" s="81">
        <v>10</v>
      </c>
      <c r="AM455" s="81"/>
      <c r="AN455" s="81">
        <f>'Praroop-20 hindi'!L458</f>
        <v>1</v>
      </c>
      <c r="AO455" s="81">
        <v>11</v>
      </c>
      <c r="AP455" s="81"/>
      <c r="AQ455" s="81">
        <f>'Praroop-20 hindi'!M458</f>
        <v>1</v>
      </c>
      <c r="AR455" s="81">
        <f t="shared" si="13"/>
        <v>521</v>
      </c>
    </row>
    <row r="456" spans="1:44" ht="38.25">
      <c r="A456" s="81">
        <v>64</v>
      </c>
      <c r="B456" s="41">
        <v>450</v>
      </c>
      <c r="C456" s="113" t="s">
        <v>575</v>
      </c>
      <c r="D456" s="117">
        <v>702</v>
      </c>
      <c r="E456" s="110">
        <v>254</v>
      </c>
      <c r="F456" s="110">
        <v>233</v>
      </c>
      <c r="G456" s="110">
        <v>0</v>
      </c>
      <c r="H456" s="111">
        <f t="shared" si="14"/>
        <v>487</v>
      </c>
      <c r="I456" s="112">
        <v>487</v>
      </c>
      <c r="J456" s="110">
        <v>0</v>
      </c>
      <c r="K456" s="110">
        <v>1</v>
      </c>
      <c r="L456" s="81"/>
      <c r="M456" s="81">
        <f>'Praroop-20 hindi'!C459</f>
        <v>28</v>
      </c>
      <c r="N456" s="81">
        <v>2</v>
      </c>
      <c r="O456" s="81"/>
      <c r="P456" s="81">
        <f>'Praroop-20 hindi'!D459</f>
        <v>43</v>
      </c>
      <c r="Q456" s="81">
        <v>3</v>
      </c>
      <c r="R456" s="81"/>
      <c r="S456" s="81">
        <f>'Praroop-20 hindi'!E459</f>
        <v>406</v>
      </c>
      <c r="T456" s="81">
        <v>4</v>
      </c>
      <c r="U456" s="81"/>
      <c r="V456" s="81">
        <f>'Praroop-20 hindi'!F459</f>
        <v>3</v>
      </c>
      <c r="W456" s="81">
        <v>5</v>
      </c>
      <c r="X456" s="81"/>
      <c r="Y456" s="81">
        <f>'Praroop-20 hindi'!G459</f>
        <v>0</v>
      </c>
      <c r="Z456" s="81">
        <v>6</v>
      </c>
      <c r="AA456" s="81"/>
      <c r="AB456" s="81">
        <f>'Praroop-20 hindi'!H459</f>
        <v>0</v>
      </c>
      <c r="AC456" s="81">
        <v>7</v>
      </c>
      <c r="AD456" s="81"/>
      <c r="AE456" s="81">
        <f>'Praroop-20 hindi'!I459</f>
        <v>2</v>
      </c>
      <c r="AF456" s="81">
        <v>8</v>
      </c>
      <c r="AG456" s="81"/>
      <c r="AH456" s="81">
        <f>'Praroop-20 hindi'!J459</f>
        <v>0</v>
      </c>
      <c r="AI456" s="81">
        <v>9</v>
      </c>
      <c r="AJ456" s="81"/>
      <c r="AK456" s="81">
        <f>'Praroop-20 hindi'!K459</f>
        <v>1</v>
      </c>
      <c r="AL456" s="81">
        <v>10</v>
      </c>
      <c r="AM456" s="81"/>
      <c r="AN456" s="81">
        <f>'Praroop-20 hindi'!L459</f>
        <v>3</v>
      </c>
      <c r="AO456" s="81">
        <v>11</v>
      </c>
      <c r="AP456" s="81"/>
      <c r="AQ456" s="81">
        <f>'Praroop-20 hindi'!M459</f>
        <v>1</v>
      </c>
      <c r="AR456" s="81">
        <f t="shared" ref="AR456:AR479" si="15">M456+P456+S456+V456+Y456+AB456+AE456+AH456+AK456+AN456+AQ456</f>
        <v>487</v>
      </c>
    </row>
    <row r="457" spans="1:44" ht="38.25">
      <c r="A457" s="81">
        <v>64</v>
      </c>
      <c r="B457" s="41">
        <v>451</v>
      </c>
      <c r="C457" s="113" t="s">
        <v>576</v>
      </c>
      <c r="D457" s="117">
        <v>689</v>
      </c>
      <c r="E457" s="110">
        <v>260</v>
      </c>
      <c r="F457" s="110">
        <v>227</v>
      </c>
      <c r="G457" s="110">
        <v>0</v>
      </c>
      <c r="H457" s="111">
        <f t="shared" si="14"/>
        <v>487</v>
      </c>
      <c r="I457" s="112">
        <v>487</v>
      </c>
      <c r="J457" s="110">
        <v>0</v>
      </c>
      <c r="K457" s="110">
        <v>1</v>
      </c>
      <c r="L457" s="81"/>
      <c r="M457" s="81">
        <f>'Praroop-20 hindi'!C460</f>
        <v>149</v>
      </c>
      <c r="N457" s="81">
        <v>2</v>
      </c>
      <c r="O457" s="81"/>
      <c r="P457" s="81">
        <f>'Praroop-20 hindi'!D460</f>
        <v>18</v>
      </c>
      <c r="Q457" s="81">
        <v>3</v>
      </c>
      <c r="R457" s="81"/>
      <c r="S457" s="81">
        <f>'Praroop-20 hindi'!E460</f>
        <v>295</v>
      </c>
      <c r="T457" s="81">
        <v>4</v>
      </c>
      <c r="U457" s="81"/>
      <c r="V457" s="81">
        <f>'Praroop-20 hindi'!F460</f>
        <v>8</v>
      </c>
      <c r="W457" s="81">
        <v>5</v>
      </c>
      <c r="X457" s="81"/>
      <c r="Y457" s="81">
        <f>'Praroop-20 hindi'!G460</f>
        <v>2</v>
      </c>
      <c r="Z457" s="81">
        <v>6</v>
      </c>
      <c r="AA457" s="81"/>
      <c r="AB457" s="81">
        <f>'Praroop-20 hindi'!H460</f>
        <v>1</v>
      </c>
      <c r="AC457" s="81">
        <v>7</v>
      </c>
      <c r="AD457" s="81"/>
      <c r="AE457" s="81">
        <f>'Praroop-20 hindi'!I460</f>
        <v>0</v>
      </c>
      <c r="AF457" s="81">
        <v>8</v>
      </c>
      <c r="AG457" s="81"/>
      <c r="AH457" s="81">
        <f>'Praroop-20 hindi'!J460</f>
        <v>0</v>
      </c>
      <c r="AI457" s="81">
        <v>9</v>
      </c>
      <c r="AJ457" s="81"/>
      <c r="AK457" s="81">
        <f>'Praroop-20 hindi'!K460</f>
        <v>2</v>
      </c>
      <c r="AL457" s="81">
        <v>10</v>
      </c>
      <c r="AM457" s="81"/>
      <c r="AN457" s="81">
        <f>'Praroop-20 hindi'!L460</f>
        <v>5</v>
      </c>
      <c r="AO457" s="81">
        <v>11</v>
      </c>
      <c r="AP457" s="81"/>
      <c r="AQ457" s="81">
        <f>'Praroop-20 hindi'!M460</f>
        <v>2</v>
      </c>
      <c r="AR457" s="81">
        <f t="shared" si="15"/>
        <v>482</v>
      </c>
    </row>
    <row r="458" spans="1:44">
      <c r="A458" s="81">
        <v>64</v>
      </c>
      <c r="B458" s="41">
        <v>452</v>
      </c>
      <c r="C458" s="113" t="s">
        <v>577</v>
      </c>
      <c r="D458" s="117">
        <v>1140</v>
      </c>
      <c r="E458" s="110">
        <v>504</v>
      </c>
      <c r="F458" s="110">
        <v>413</v>
      </c>
      <c r="G458" s="110">
        <v>0</v>
      </c>
      <c r="H458" s="111">
        <f t="shared" si="14"/>
        <v>917</v>
      </c>
      <c r="I458" s="112">
        <v>917</v>
      </c>
      <c r="J458" s="110">
        <v>0</v>
      </c>
      <c r="K458" s="110">
        <v>1</v>
      </c>
      <c r="L458" s="81"/>
      <c r="M458" s="81">
        <f>'Praroop-20 hindi'!C461</f>
        <v>1</v>
      </c>
      <c r="N458" s="81">
        <v>2</v>
      </c>
      <c r="O458" s="81"/>
      <c r="P458" s="81">
        <f>'Praroop-20 hindi'!D461</f>
        <v>32</v>
      </c>
      <c r="Q458" s="81">
        <v>3</v>
      </c>
      <c r="R458" s="81"/>
      <c r="S458" s="81">
        <f>'Praroop-20 hindi'!E461</f>
        <v>865</v>
      </c>
      <c r="T458" s="81">
        <v>4</v>
      </c>
      <c r="U458" s="81"/>
      <c r="V458" s="81">
        <f>'Praroop-20 hindi'!F461</f>
        <v>3</v>
      </c>
      <c r="W458" s="81">
        <v>5</v>
      </c>
      <c r="X458" s="81"/>
      <c r="Y458" s="81">
        <f>'Praroop-20 hindi'!G461</f>
        <v>0</v>
      </c>
      <c r="Z458" s="81">
        <v>6</v>
      </c>
      <c r="AA458" s="81"/>
      <c r="AB458" s="81">
        <f>'Praroop-20 hindi'!H461</f>
        <v>0</v>
      </c>
      <c r="AC458" s="81">
        <v>7</v>
      </c>
      <c r="AD458" s="81"/>
      <c r="AE458" s="81">
        <f>'Praroop-20 hindi'!I461</f>
        <v>2</v>
      </c>
      <c r="AF458" s="81">
        <v>8</v>
      </c>
      <c r="AG458" s="81"/>
      <c r="AH458" s="81">
        <f>'Praroop-20 hindi'!J461</f>
        <v>0</v>
      </c>
      <c r="AI458" s="81">
        <v>9</v>
      </c>
      <c r="AJ458" s="81"/>
      <c r="AK458" s="81">
        <f>'Praroop-20 hindi'!K461</f>
        <v>1</v>
      </c>
      <c r="AL458" s="81">
        <v>10</v>
      </c>
      <c r="AM458" s="81"/>
      <c r="AN458" s="81">
        <f>'Praroop-20 hindi'!L461</f>
        <v>9</v>
      </c>
      <c r="AO458" s="81">
        <v>11</v>
      </c>
      <c r="AP458" s="81"/>
      <c r="AQ458" s="81">
        <f>'Praroop-20 hindi'!M461</f>
        <v>2</v>
      </c>
      <c r="AR458" s="81">
        <f t="shared" si="15"/>
        <v>915</v>
      </c>
    </row>
    <row r="459" spans="1:44" ht="25.5">
      <c r="A459" s="81">
        <v>64</v>
      </c>
      <c r="B459" s="41">
        <v>453</v>
      </c>
      <c r="C459" s="113" t="s">
        <v>578</v>
      </c>
      <c r="D459" s="117">
        <v>1091</v>
      </c>
      <c r="E459" s="110">
        <v>466</v>
      </c>
      <c r="F459" s="110">
        <v>450</v>
      </c>
      <c r="G459" s="110">
        <v>0</v>
      </c>
      <c r="H459" s="111">
        <f t="shared" si="14"/>
        <v>916</v>
      </c>
      <c r="I459" s="112">
        <v>887</v>
      </c>
      <c r="J459" s="110">
        <v>0</v>
      </c>
      <c r="K459" s="110">
        <v>1</v>
      </c>
      <c r="L459" s="81"/>
      <c r="M459" s="81">
        <f>'Praroop-20 hindi'!C462</f>
        <v>139</v>
      </c>
      <c r="N459" s="81">
        <v>2</v>
      </c>
      <c r="O459" s="81"/>
      <c r="P459" s="81">
        <f>'Praroop-20 hindi'!D462</f>
        <v>178</v>
      </c>
      <c r="Q459" s="81">
        <v>3</v>
      </c>
      <c r="R459" s="81"/>
      <c r="S459" s="81">
        <f>'Praroop-20 hindi'!E462</f>
        <v>574</v>
      </c>
      <c r="T459" s="81">
        <v>4</v>
      </c>
      <c r="U459" s="81"/>
      <c r="V459" s="81">
        <f>'Praroop-20 hindi'!F462</f>
        <v>6</v>
      </c>
      <c r="W459" s="81">
        <v>5</v>
      </c>
      <c r="X459" s="81"/>
      <c r="Y459" s="81">
        <f>'Praroop-20 hindi'!G462</f>
        <v>0</v>
      </c>
      <c r="Z459" s="81">
        <v>6</v>
      </c>
      <c r="AA459" s="81"/>
      <c r="AB459" s="81">
        <f>'Praroop-20 hindi'!H462</f>
        <v>1</v>
      </c>
      <c r="AC459" s="81">
        <v>7</v>
      </c>
      <c r="AD459" s="81"/>
      <c r="AE459" s="81">
        <f>'Praroop-20 hindi'!I462</f>
        <v>1</v>
      </c>
      <c r="AF459" s="81">
        <v>8</v>
      </c>
      <c r="AG459" s="81"/>
      <c r="AH459" s="81">
        <f>'Praroop-20 hindi'!J462</f>
        <v>0</v>
      </c>
      <c r="AI459" s="81">
        <v>9</v>
      </c>
      <c r="AJ459" s="81"/>
      <c r="AK459" s="81">
        <f>'Praroop-20 hindi'!K462</f>
        <v>0</v>
      </c>
      <c r="AL459" s="81">
        <v>10</v>
      </c>
      <c r="AM459" s="81"/>
      <c r="AN459" s="81">
        <f>'Praroop-20 hindi'!L462</f>
        <v>8</v>
      </c>
      <c r="AO459" s="81">
        <v>11</v>
      </c>
      <c r="AP459" s="81"/>
      <c r="AQ459" s="81">
        <f>'Praroop-20 hindi'!M462</f>
        <v>3</v>
      </c>
      <c r="AR459" s="81">
        <f t="shared" si="15"/>
        <v>910</v>
      </c>
    </row>
    <row r="460" spans="1:44" ht="25.5">
      <c r="A460" s="81">
        <v>64</v>
      </c>
      <c r="B460" s="41">
        <v>454</v>
      </c>
      <c r="C460" s="113" t="s">
        <v>579</v>
      </c>
      <c r="D460" s="117">
        <v>1050</v>
      </c>
      <c r="E460" s="110">
        <v>363</v>
      </c>
      <c r="F460" s="110">
        <v>346</v>
      </c>
      <c r="G460" s="110">
        <v>0</v>
      </c>
      <c r="H460" s="111">
        <f t="shared" si="14"/>
        <v>709</v>
      </c>
      <c r="I460" s="112">
        <v>709</v>
      </c>
      <c r="J460" s="110">
        <v>0</v>
      </c>
      <c r="K460" s="110">
        <v>1</v>
      </c>
      <c r="L460" s="81"/>
      <c r="M460" s="81">
        <f>'Praroop-20 hindi'!C463</f>
        <v>7</v>
      </c>
      <c r="N460" s="81">
        <v>2</v>
      </c>
      <c r="O460" s="81"/>
      <c r="P460" s="81">
        <f>'Praroop-20 hindi'!D463</f>
        <v>29</v>
      </c>
      <c r="Q460" s="81">
        <v>3</v>
      </c>
      <c r="R460" s="81"/>
      <c r="S460" s="81">
        <f>'Praroop-20 hindi'!E463</f>
        <v>659</v>
      </c>
      <c r="T460" s="81">
        <v>4</v>
      </c>
      <c r="U460" s="81"/>
      <c r="V460" s="81">
        <f>'Praroop-20 hindi'!F463</f>
        <v>1</v>
      </c>
      <c r="W460" s="81">
        <v>5</v>
      </c>
      <c r="X460" s="81"/>
      <c r="Y460" s="81">
        <f>'Praroop-20 hindi'!G463</f>
        <v>0</v>
      </c>
      <c r="Z460" s="81">
        <v>6</v>
      </c>
      <c r="AA460" s="81"/>
      <c r="AB460" s="81">
        <f>'Praroop-20 hindi'!H463</f>
        <v>0</v>
      </c>
      <c r="AC460" s="81">
        <v>7</v>
      </c>
      <c r="AD460" s="81"/>
      <c r="AE460" s="81">
        <f>'Praroop-20 hindi'!I463</f>
        <v>1</v>
      </c>
      <c r="AF460" s="81">
        <v>8</v>
      </c>
      <c r="AG460" s="81"/>
      <c r="AH460" s="81">
        <f>'Praroop-20 hindi'!J463</f>
        <v>3</v>
      </c>
      <c r="AI460" s="81">
        <v>9</v>
      </c>
      <c r="AJ460" s="81"/>
      <c r="AK460" s="81">
        <f>'Praroop-20 hindi'!K463</f>
        <v>2</v>
      </c>
      <c r="AL460" s="81">
        <v>10</v>
      </c>
      <c r="AM460" s="81"/>
      <c r="AN460" s="81">
        <f>'Praroop-20 hindi'!L463</f>
        <v>4</v>
      </c>
      <c r="AO460" s="81">
        <v>11</v>
      </c>
      <c r="AP460" s="81"/>
      <c r="AQ460" s="81">
        <f>'Praroop-20 hindi'!M463</f>
        <v>1</v>
      </c>
      <c r="AR460" s="81">
        <f t="shared" si="15"/>
        <v>707</v>
      </c>
    </row>
    <row r="461" spans="1:44" ht="25.5">
      <c r="A461" s="81">
        <v>64</v>
      </c>
      <c r="B461" s="41">
        <v>455</v>
      </c>
      <c r="C461" s="113" t="s">
        <v>580</v>
      </c>
      <c r="D461" s="117">
        <v>1081</v>
      </c>
      <c r="E461" s="110">
        <v>398</v>
      </c>
      <c r="F461" s="110">
        <v>349</v>
      </c>
      <c r="G461" s="110">
        <v>0</v>
      </c>
      <c r="H461" s="111">
        <f t="shared" si="14"/>
        <v>747</v>
      </c>
      <c r="I461" s="112">
        <v>747</v>
      </c>
      <c r="J461" s="110">
        <v>0</v>
      </c>
      <c r="K461" s="110">
        <v>1</v>
      </c>
      <c r="L461" s="81"/>
      <c r="M461" s="81">
        <f>'Praroop-20 hindi'!C464</f>
        <v>177</v>
      </c>
      <c r="N461" s="81">
        <v>2</v>
      </c>
      <c r="O461" s="81"/>
      <c r="P461" s="81">
        <f>'Praroop-20 hindi'!D464</f>
        <v>92</v>
      </c>
      <c r="Q461" s="81">
        <v>3</v>
      </c>
      <c r="R461" s="81"/>
      <c r="S461" s="81">
        <f>'Praroop-20 hindi'!E464</f>
        <v>457</v>
      </c>
      <c r="T461" s="81">
        <v>4</v>
      </c>
      <c r="U461" s="81"/>
      <c r="V461" s="81">
        <f>'Praroop-20 hindi'!F464</f>
        <v>5</v>
      </c>
      <c r="W461" s="81">
        <v>5</v>
      </c>
      <c r="X461" s="81"/>
      <c r="Y461" s="81">
        <f>'Praroop-20 hindi'!G464</f>
        <v>1</v>
      </c>
      <c r="Z461" s="81">
        <v>6</v>
      </c>
      <c r="AA461" s="81"/>
      <c r="AB461" s="81">
        <f>'Praroop-20 hindi'!H464</f>
        <v>0</v>
      </c>
      <c r="AC461" s="81">
        <v>7</v>
      </c>
      <c r="AD461" s="81"/>
      <c r="AE461" s="81">
        <f>'Praroop-20 hindi'!I464</f>
        <v>0</v>
      </c>
      <c r="AF461" s="81">
        <v>8</v>
      </c>
      <c r="AG461" s="81"/>
      <c r="AH461" s="81">
        <f>'Praroop-20 hindi'!J464</f>
        <v>2</v>
      </c>
      <c r="AI461" s="81">
        <v>9</v>
      </c>
      <c r="AJ461" s="81"/>
      <c r="AK461" s="81">
        <f>'Praroop-20 hindi'!K464</f>
        <v>2</v>
      </c>
      <c r="AL461" s="81">
        <v>10</v>
      </c>
      <c r="AM461" s="81"/>
      <c r="AN461" s="81">
        <f>'Praroop-20 hindi'!L464</f>
        <v>5</v>
      </c>
      <c r="AO461" s="81">
        <v>11</v>
      </c>
      <c r="AP461" s="81"/>
      <c r="AQ461" s="81">
        <f>'Praroop-20 hindi'!M464</f>
        <v>3</v>
      </c>
      <c r="AR461" s="81">
        <f t="shared" si="15"/>
        <v>744</v>
      </c>
    </row>
    <row r="462" spans="1:44" ht="38.25">
      <c r="A462" s="81">
        <v>64</v>
      </c>
      <c r="B462" s="41">
        <v>456</v>
      </c>
      <c r="C462" s="113" t="s">
        <v>581</v>
      </c>
      <c r="D462" s="117">
        <v>546</v>
      </c>
      <c r="E462" s="110">
        <v>159</v>
      </c>
      <c r="F462" s="110">
        <v>192</v>
      </c>
      <c r="G462" s="110">
        <v>0</v>
      </c>
      <c r="H462" s="111">
        <f t="shared" si="14"/>
        <v>351</v>
      </c>
      <c r="I462" s="112">
        <v>351</v>
      </c>
      <c r="J462" s="110">
        <v>0</v>
      </c>
      <c r="K462" s="110">
        <v>1</v>
      </c>
      <c r="L462" s="81"/>
      <c r="M462" s="81">
        <f>'Praroop-20 hindi'!C465</f>
        <v>72</v>
      </c>
      <c r="N462" s="81">
        <v>2</v>
      </c>
      <c r="O462" s="81"/>
      <c r="P462" s="81">
        <f>'Praroop-20 hindi'!D465</f>
        <v>32</v>
      </c>
      <c r="Q462" s="81">
        <v>3</v>
      </c>
      <c r="R462" s="81"/>
      <c r="S462" s="81">
        <f>'Praroop-20 hindi'!E465</f>
        <v>238</v>
      </c>
      <c r="T462" s="81">
        <v>4</v>
      </c>
      <c r="U462" s="81"/>
      <c r="V462" s="81">
        <f>'Praroop-20 hindi'!F465</f>
        <v>3</v>
      </c>
      <c r="W462" s="81">
        <v>5</v>
      </c>
      <c r="X462" s="81"/>
      <c r="Y462" s="81">
        <f>'Praroop-20 hindi'!G465</f>
        <v>0</v>
      </c>
      <c r="Z462" s="81">
        <v>6</v>
      </c>
      <c r="AA462" s="81"/>
      <c r="AB462" s="81">
        <f>'Praroop-20 hindi'!H465</f>
        <v>0</v>
      </c>
      <c r="AC462" s="81">
        <v>7</v>
      </c>
      <c r="AD462" s="81"/>
      <c r="AE462" s="81">
        <f>'Praroop-20 hindi'!I465</f>
        <v>0</v>
      </c>
      <c r="AF462" s="81">
        <v>8</v>
      </c>
      <c r="AG462" s="81"/>
      <c r="AH462" s="81">
        <f>'Praroop-20 hindi'!J465</f>
        <v>0</v>
      </c>
      <c r="AI462" s="81">
        <v>9</v>
      </c>
      <c r="AJ462" s="81"/>
      <c r="AK462" s="81">
        <f>'Praroop-20 hindi'!K465</f>
        <v>1</v>
      </c>
      <c r="AL462" s="81">
        <v>10</v>
      </c>
      <c r="AM462" s="81"/>
      <c r="AN462" s="81">
        <f>'Praroop-20 hindi'!L465</f>
        <v>2</v>
      </c>
      <c r="AO462" s="81">
        <v>11</v>
      </c>
      <c r="AP462" s="81"/>
      <c r="AQ462" s="81">
        <f>'Praroop-20 hindi'!M465</f>
        <v>1</v>
      </c>
      <c r="AR462" s="81">
        <f t="shared" si="15"/>
        <v>349</v>
      </c>
    </row>
    <row r="463" spans="1:44" ht="38.25">
      <c r="A463" s="81">
        <v>64</v>
      </c>
      <c r="B463" s="41">
        <v>457</v>
      </c>
      <c r="C463" s="113" t="s">
        <v>582</v>
      </c>
      <c r="D463" s="117">
        <v>828</v>
      </c>
      <c r="E463" s="110">
        <v>309</v>
      </c>
      <c r="F463" s="110">
        <v>288</v>
      </c>
      <c r="G463" s="110">
        <v>0</v>
      </c>
      <c r="H463" s="111">
        <f t="shared" si="14"/>
        <v>597</v>
      </c>
      <c r="I463" s="112">
        <v>597</v>
      </c>
      <c r="J463" s="110">
        <v>0</v>
      </c>
      <c r="K463" s="110">
        <v>1</v>
      </c>
      <c r="L463" s="81"/>
      <c r="M463" s="81">
        <f>'Praroop-20 hindi'!C466</f>
        <v>4</v>
      </c>
      <c r="N463" s="81">
        <v>2</v>
      </c>
      <c r="O463" s="81"/>
      <c r="P463" s="81">
        <f>'Praroop-20 hindi'!D466</f>
        <v>54</v>
      </c>
      <c r="Q463" s="81">
        <v>3</v>
      </c>
      <c r="R463" s="81"/>
      <c r="S463" s="81">
        <f>'Praroop-20 hindi'!E466</f>
        <v>523</v>
      </c>
      <c r="T463" s="81">
        <v>4</v>
      </c>
      <c r="U463" s="81"/>
      <c r="V463" s="81">
        <f>'Praroop-20 hindi'!F466</f>
        <v>6</v>
      </c>
      <c r="W463" s="81">
        <v>5</v>
      </c>
      <c r="X463" s="81"/>
      <c r="Y463" s="81">
        <f>'Praroop-20 hindi'!G466</f>
        <v>1</v>
      </c>
      <c r="Z463" s="81">
        <v>6</v>
      </c>
      <c r="AA463" s="81"/>
      <c r="AB463" s="81">
        <f>'Praroop-20 hindi'!H466</f>
        <v>0</v>
      </c>
      <c r="AC463" s="81">
        <v>7</v>
      </c>
      <c r="AD463" s="81"/>
      <c r="AE463" s="81">
        <f>'Praroop-20 hindi'!I466</f>
        <v>0</v>
      </c>
      <c r="AF463" s="81">
        <v>8</v>
      </c>
      <c r="AG463" s="81"/>
      <c r="AH463" s="81">
        <f>'Praroop-20 hindi'!J466</f>
        <v>0</v>
      </c>
      <c r="AI463" s="81">
        <v>9</v>
      </c>
      <c r="AJ463" s="81"/>
      <c r="AK463" s="81">
        <f>'Praroop-20 hindi'!K466</f>
        <v>1</v>
      </c>
      <c r="AL463" s="81">
        <v>10</v>
      </c>
      <c r="AM463" s="81"/>
      <c r="AN463" s="81">
        <f>'Praroop-20 hindi'!L466</f>
        <v>4</v>
      </c>
      <c r="AO463" s="81">
        <v>11</v>
      </c>
      <c r="AP463" s="81"/>
      <c r="AQ463" s="81">
        <f>'Praroop-20 hindi'!M466</f>
        <v>1</v>
      </c>
      <c r="AR463" s="81">
        <f t="shared" si="15"/>
        <v>594</v>
      </c>
    </row>
    <row r="464" spans="1:44" ht="38.25">
      <c r="A464" s="81">
        <v>64</v>
      </c>
      <c r="B464" s="41">
        <v>458</v>
      </c>
      <c r="C464" s="113" t="s">
        <v>583</v>
      </c>
      <c r="D464" s="117">
        <v>763</v>
      </c>
      <c r="E464" s="110">
        <v>294</v>
      </c>
      <c r="F464" s="110">
        <v>256</v>
      </c>
      <c r="G464" s="110">
        <v>0</v>
      </c>
      <c r="H464" s="111">
        <f t="shared" si="14"/>
        <v>550</v>
      </c>
      <c r="I464" s="112">
        <v>550</v>
      </c>
      <c r="J464" s="110">
        <v>0</v>
      </c>
      <c r="K464" s="110">
        <v>1</v>
      </c>
      <c r="L464" s="81"/>
      <c r="M464" s="81">
        <f>'Praroop-20 hindi'!C467</f>
        <v>71</v>
      </c>
      <c r="N464" s="81">
        <v>2</v>
      </c>
      <c r="O464" s="81"/>
      <c r="P464" s="81">
        <f>'Praroop-20 hindi'!D467</f>
        <v>61</v>
      </c>
      <c r="Q464" s="81">
        <v>3</v>
      </c>
      <c r="R464" s="81"/>
      <c r="S464" s="81">
        <f>'Praroop-20 hindi'!E467</f>
        <v>404</v>
      </c>
      <c r="T464" s="81">
        <v>4</v>
      </c>
      <c r="U464" s="81"/>
      <c r="V464" s="81">
        <f>'Praroop-20 hindi'!F467</f>
        <v>2</v>
      </c>
      <c r="W464" s="81">
        <v>5</v>
      </c>
      <c r="X464" s="81"/>
      <c r="Y464" s="81">
        <f>'Praroop-20 hindi'!G467</f>
        <v>1</v>
      </c>
      <c r="Z464" s="81">
        <v>6</v>
      </c>
      <c r="AA464" s="81"/>
      <c r="AB464" s="81">
        <f>'Praroop-20 hindi'!H467</f>
        <v>0</v>
      </c>
      <c r="AC464" s="81">
        <v>7</v>
      </c>
      <c r="AD464" s="81"/>
      <c r="AE464" s="81">
        <f>'Praroop-20 hindi'!I467</f>
        <v>0</v>
      </c>
      <c r="AF464" s="81">
        <v>8</v>
      </c>
      <c r="AG464" s="81"/>
      <c r="AH464" s="81">
        <f>'Praroop-20 hindi'!J467</f>
        <v>1</v>
      </c>
      <c r="AI464" s="81">
        <v>9</v>
      </c>
      <c r="AJ464" s="81"/>
      <c r="AK464" s="81">
        <f>'Praroop-20 hindi'!K467</f>
        <v>0</v>
      </c>
      <c r="AL464" s="81">
        <v>10</v>
      </c>
      <c r="AM464" s="81"/>
      <c r="AN464" s="81">
        <f>'Praroop-20 hindi'!L467</f>
        <v>5</v>
      </c>
      <c r="AO464" s="81">
        <v>11</v>
      </c>
      <c r="AP464" s="81"/>
      <c r="AQ464" s="81">
        <f>'Praroop-20 hindi'!M467</f>
        <v>3</v>
      </c>
      <c r="AR464" s="81">
        <f t="shared" si="15"/>
        <v>548</v>
      </c>
    </row>
    <row r="465" spans="1:44" ht="38.25">
      <c r="A465" s="81">
        <v>64</v>
      </c>
      <c r="B465" s="41">
        <v>459</v>
      </c>
      <c r="C465" s="113" t="s">
        <v>584</v>
      </c>
      <c r="D465" s="117">
        <v>1113</v>
      </c>
      <c r="E465" s="110">
        <v>427</v>
      </c>
      <c r="F465" s="110">
        <v>395</v>
      </c>
      <c r="G465" s="110">
        <v>0</v>
      </c>
      <c r="H465" s="111">
        <f t="shared" si="14"/>
        <v>822</v>
      </c>
      <c r="I465" s="112">
        <v>822</v>
      </c>
      <c r="J465" s="110">
        <v>0</v>
      </c>
      <c r="K465" s="110">
        <v>1</v>
      </c>
      <c r="L465" s="81"/>
      <c r="M465" s="81">
        <f>'Praroop-20 hindi'!C468</f>
        <v>65</v>
      </c>
      <c r="N465" s="81">
        <v>2</v>
      </c>
      <c r="O465" s="81"/>
      <c r="P465" s="81">
        <f>'Praroop-20 hindi'!D468</f>
        <v>117</v>
      </c>
      <c r="Q465" s="81">
        <v>3</v>
      </c>
      <c r="R465" s="81"/>
      <c r="S465" s="81">
        <f>'Praroop-20 hindi'!E468</f>
        <v>608</v>
      </c>
      <c r="T465" s="81">
        <v>4</v>
      </c>
      <c r="U465" s="81"/>
      <c r="V465" s="81">
        <f>'Praroop-20 hindi'!F468</f>
        <v>9</v>
      </c>
      <c r="W465" s="81">
        <v>5</v>
      </c>
      <c r="X465" s="81"/>
      <c r="Y465" s="81">
        <f>'Praroop-20 hindi'!G468</f>
        <v>1</v>
      </c>
      <c r="Z465" s="81">
        <v>6</v>
      </c>
      <c r="AA465" s="81"/>
      <c r="AB465" s="81">
        <f>'Praroop-20 hindi'!H468</f>
        <v>0</v>
      </c>
      <c r="AC465" s="81">
        <v>7</v>
      </c>
      <c r="AD465" s="81"/>
      <c r="AE465" s="81">
        <f>'Praroop-20 hindi'!I468</f>
        <v>1</v>
      </c>
      <c r="AF465" s="81">
        <v>8</v>
      </c>
      <c r="AG465" s="81"/>
      <c r="AH465" s="81">
        <f>'Praroop-20 hindi'!J468</f>
        <v>0</v>
      </c>
      <c r="AI465" s="81">
        <v>9</v>
      </c>
      <c r="AJ465" s="81"/>
      <c r="AK465" s="81">
        <f>'Praroop-20 hindi'!K468</f>
        <v>1</v>
      </c>
      <c r="AL465" s="81">
        <v>10</v>
      </c>
      <c r="AM465" s="81"/>
      <c r="AN465" s="81">
        <f>'Praroop-20 hindi'!L468</f>
        <v>11</v>
      </c>
      <c r="AO465" s="81">
        <v>11</v>
      </c>
      <c r="AP465" s="81"/>
      <c r="AQ465" s="81">
        <f>'Praroop-20 hindi'!M468</f>
        <v>3</v>
      </c>
      <c r="AR465" s="81">
        <f t="shared" si="15"/>
        <v>816</v>
      </c>
    </row>
    <row r="466" spans="1:44" ht="25.5">
      <c r="A466" s="81">
        <v>64</v>
      </c>
      <c r="B466" s="41">
        <v>460</v>
      </c>
      <c r="C466" s="113" t="s">
        <v>585</v>
      </c>
      <c r="D466" s="117">
        <v>843</v>
      </c>
      <c r="E466" s="110">
        <v>310</v>
      </c>
      <c r="F466" s="110">
        <v>271</v>
      </c>
      <c r="G466" s="110">
        <v>0</v>
      </c>
      <c r="H466" s="111">
        <f t="shared" si="14"/>
        <v>581</v>
      </c>
      <c r="I466" s="112">
        <v>581</v>
      </c>
      <c r="J466" s="110">
        <v>0</v>
      </c>
      <c r="K466" s="110">
        <v>1</v>
      </c>
      <c r="L466" s="81"/>
      <c r="M466" s="81">
        <f>'Praroop-20 hindi'!C469</f>
        <v>32</v>
      </c>
      <c r="N466" s="81">
        <v>2</v>
      </c>
      <c r="O466" s="81"/>
      <c r="P466" s="81">
        <f>'Praroop-20 hindi'!D469</f>
        <v>72</v>
      </c>
      <c r="Q466" s="81">
        <v>3</v>
      </c>
      <c r="R466" s="81"/>
      <c r="S466" s="81">
        <f>'Praroop-20 hindi'!E469</f>
        <v>458</v>
      </c>
      <c r="T466" s="81">
        <v>4</v>
      </c>
      <c r="U466" s="81"/>
      <c r="V466" s="81">
        <f>'Praroop-20 hindi'!F469</f>
        <v>6</v>
      </c>
      <c r="W466" s="81">
        <v>5</v>
      </c>
      <c r="X466" s="81"/>
      <c r="Y466" s="81">
        <f>'Praroop-20 hindi'!G469</f>
        <v>0</v>
      </c>
      <c r="Z466" s="81">
        <v>6</v>
      </c>
      <c r="AA466" s="81"/>
      <c r="AB466" s="81">
        <f>'Praroop-20 hindi'!H469</f>
        <v>0</v>
      </c>
      <c r="AC466" s="81">
        <v>7</v>
      </c>
      <c r="AD466" s="81"/>
      <c r="AE466" s="81">
        <f>'Praroop-20 hindi'!I469</f>
        <v>2</v>
      </c>
      <c r="AF466" s="81">
        <v>8</v>
      </c>
      <c r="AG466" s="81"/>
      <c r="AH466" s="81">
        <f>'Praroop-20 hindi'!J469</f>
        <v>4</v>
      </c>
      <c r="AI466" s="81">
        <v>9</v>
      </c>
      <c r="AJ466" s="81"/>
      <c r="AK466" s="81">
        <f>'Praroop-20 hindi'!K469</f>
        <v>0</v>
      </c>
      <c r="AL466" s="81">
        <v>10</v>
      </c>
      <c r="AM466" s="81"/>
      <c r="AN466" s="81">
        <f>'Praroop-20 hindi'!L469</f>
        <v>4</v>
      </c>
      <c r="AO466" s="81">
        <v>11</v>
      </c>
      <c r="AP466" s="81"/>
      <c r="AQ466" s="81">
        <f>'Praroop-20 hindi'!M469</f>
        <v>0</v>
      </c>
      <c r="AR466" s="81">
        <f t="shared" si="15"/>
        <v>578</v>
      </c>
    </row>
    <row r="467" spans="1:44" ht="25.5">
      <c r="A467" s="81">
        <v>64</v>
      </c>
      <c r="B467" s="41">
        <v>461</v>
      </c>
      <c r="C467" s="113" t="s">
        <v>586</v>
      </c>
      <c r="D467" s="117">
        <v>922</v>
      </c>
      <c r="E467" s="110">
        <v>366</v>
      </c>
      <c r="F467" s="110">
        <v>299</v>
      </c>
      <c r="G467" s="110">
        <v>0</v>
      </c>
      <c r="H467" s="111">
        <f t="shared" si="14"/>
        <v>665</v>
      </c>
      <c r="I467" s="112">
        <v>588</v>
      </c>
      <c r="J467" s="110">
        <v>0</v>
      </c>
      <c r="K467" s="110">
        <v>1</v>
      </c>
      <c r="L467" s="81"/>
      <c r="M467" s="81">
        <f>'Praroop-20 hindi'!C470</f>
        <v>218</v>
      </c>
      <c r="N467" s="81">
        <v>2</v>
      </c>
      <c r="O467" s="81"/>
      <c r="P467" s="81">
        <f>'Praroop-20 hindi'!D470</f>
        <v>47</v>
      </c>
      <c r="Q467" s="81">
        <v>3</v>
      </c>
      <c r="R467" s="81"/>
      <c r="S467" s="81">
        <f>'Praroop-20 hindi'!E470</f>
        <v>382</v>
      </c>
      <c r="T467" s="81">
        <v>4</v>
      </c>
      <c r="U467" s="81"/>
      <c r="V467" s="81">
        <f>'Praroop-20 hindi'!F470</f>
        <v>6</v>
      </c>
      <c r="W467" s="81">
        <v>5</v>
      </c>
      <c r="X467" s="81"/>
      <c r="Y467" s="81">
        <f>'Praroop-20 hindi'!G470</f>
        <v>3</v>
      </c>
      <c r="Z467" s="81">
        <v>6</v>
      </c>
      <c r="AA467" s="81"/>
      <c r="AB467" s="81">
        <f>'Praroop-20 hindi'!H470</f>
        <v>0</v>
      </c>
      <c r="AC467" s="81">
        <v>7</v>
      </c>
      <c r="AD467" s="81"/>
      <c r="AE467" s="81">
        <f>'Praroop-20 hindi'!I470</f>
        <v>0</v>
      </c>
      <c r="AF467" s="81">
        <v>8</v>
      </c>
      <c r="AG467" s="81"/>
      <c r="AH467" s="81">
        <f>'Praroop-20 hindi'!J470</f>
        <v>3</v>
      </c>
      <c r="AI467" s="81">
        <v>9</v>
      </c>
      <c r="AJ467" s="81"/>
      <c r="AK467" s="81">
        <f>'Praroop-20 hindi'!K470</f>
        <v>0</v>
      </c>
      <c r="AL467" s="81">
        <v>10</v>
      </c>
      <c r="AM467" s="81"/>
      <c r="AN467" s="81">
        <f>'Praroop-20 hindi'!L470</f>
        <v>3</v>
      </c>
      <c r="AO467" s="81">
        <v>11</v>
      </c>
      <c r="AP467" s="81"/>
      <c r="AQ467" s="81">
        <f>'Praroop-20 hindi'!M470</f>
        <v>1</v>
      </c>
      <c r="AR467" s="81">
        <f t="shared" si="15"/>
        <v>663</v>
      </c>
    </row>
    <row r="468" spans="1:44" ht="25.5">
      <c r="A468" s="81">
        <v>64</v>
      </c>
      <c r="B468" s="41">
        <v>462</v>
      </c>
      <c r="C468" s="113" t="s">
        <v>587</v>
      </c>
      <c r="D468" s="117">
        <v>829</v>
      </c>
      <c r="E468" s="110">
        <v>325</v>
      </c>
      <c r="F468" s="110">
        <v>266</v>
      </c>
      <c r="G468" s="110">
        <v>0</v>
      </c>
      <c r="H468" s="111">
        <f t="shared" si="14"/>
        <v>591</v>
      </c>
      <c r="I468" s="112">
        <v>529</v>
      </c>
      <c r="J468" s="110">
        <v>0</v>
      </c>
      <c r="K468" s="110">
        <v>1</v>
      </c>
      <c r="L468" s="81"/>
      <c r="M468" s="81">
        <f>'Praroop-20 hindi'!C471</f>
        <v>77</v>
      </c>
      <c r="N468" s="81">
        <v>2</v>
      </c>
      <c r="O468" s="81"/>
      <c r="P468" s="81">
        <f>'Praroop-20 hindi'!D471</f>
        <v>69</v>
      </c>
      <c r="Q468" s="81">
        <v>3</v>
      </c>
      <c r="R468" s="81"/>
      <c r="S468" s="81">
        <f>'Praroop-20 hindi'!E471</f>
        <v>379</v>
      </c>
      <c r="T468" s="81">
        <v>4</v>
      </c>
      <c r="U468" s="81"/>
      <c r="V468" s="81">
        <f>'Praroop-20 hindi'!F471</f>
        <v>1</v>
      </c>
      <c r="W468" s="81">
        <v>5</v>
      </c>
      <c r="X468" s="81"/>
      <c r="Y468" s="81">
        <f>'Praroop-20 hindi'!G471</f>
        <v>3</v>
      </c>
      <c r="Z468" s="81">
        <v>6</v>
      </c>
      <c r="AA468" s="81"/>
      <c r="AB468" s="81">
        <f>'Praroop-20 hindi'!H471</f>
        <v>0</v>
      </c>
      <c r="AC468" s="81">
        <v>7</v>
      </c>
      <c r="AD468" s="81"/>
      <c r="AE468" s="81">
        <f>'Praroop-20 hindi'!I471</f>
        <v>0</v>
      </c>
      <c r="AF468" s="81">
        <v>8</v>
      </c>
      <c r="AG468" s="81"/>
      <c r="AH468" s="81">
        <f>'Praroop-20 hindi'!J471</f>
        <v>57</v>
      </c>
      <c r="AI468" s="81">
        <v>9</v>
      </c>
      <c r="AJ468" s="81"/>
      <c r="AK468" s="81">
        <f>'Praroop-20 hindi'!K471</f>
        <v>1</v>
      </c>
      <c r="AL468" s="81">
        <v>10</v>
      </c>
      <c r="AM468" s="81"/>
      <c r="AN468" s="81">
        <f>'Praroop-20 hindi'!L471</f>
        <v>3</v>
      </c>
      <c r="AO468" s="81">
        <v>11</v>
      </c>
      <c r="AP468" s="81"/>
      <c r="AQ468" s="81">
        <f>'Praroop-20 hindi'!M471</f>
        <v>0</v>
      </c>
      <c r="AR468" s="81">
        <f t="shared" si="15"/>
        <v>590</v>
      </c>
    </row>
    <row r="469" spans="1:44" ht="25.5">
      <c r="A469" s="81">
        <v>64</v>
      </c>
      <c r="B469" s="41">
        <v>463</v>
      </c>
      <c r="C469" s="113" t="s">
        <v>588</v>
      </c>
      <c r="D469" s="117">
        <v>702</v>
      </c>
      <c r="E469" s="110">
        <v>297</v>
      </c>
      <c r="F469" s="110">
        <v>189</v>
      </c>
      <c r="G469" s="110">
        <v>0</v>
      </c>
      <c r="H469" s="111">
        <f t="shared" si="14"/>
        <v>486</v>
      </c>
      <c r="I469" s="112">
        <v>463</v>
      </c>
      <c r="J469" s="110">
        <v>0</v>
      </c>
      <c r="K469" s="110">
        <v>1</v>
      </c>
      <c r="L469" s="81"/>
      <c r="M469" s="81">
        <f>'Praroop-20 hindi'!C472</f>
        <v>112</v>
      </c>
      <c r="N469" s="81">
        <v>2</v>
      </c>
      <c r="O469" s="81"/>
      <c r="P469" s="81">
        <f>'Praroop-20 hindi'!D472</f>
        <v>39</v>
      </c>
      <c r="Q469" s="81">
        <v>3</v>
      </c>
      <c r="R469" s="81"/>
      <c r="S469" s="81">
        <f>'Praroop-20 hindi'!E472</f>
        <v>312</v>
      </c>
      <c r="T469" s="81">
        <v>4</v>
      </c>
      <c r="U469" s="81"/>
      <c r="V469" s="81">
        <f>'Praroop-20 hindi'!F472</f>
        <v>3</v>
      </c>
      <c r="W469" s="81">
        <v>5</v>
      </c>
      <c r="X469" s="81"/>
      <c r="Y469" s="81">
        <f>'Praroop-20 hindi'!G472</f>
        <v>0</v>
      </c>
      <c r="Z469" s="81">
        <v>6</v>
      </c>
      <c r="AA469" s="81"/>
      <c r="AB469" s="81">
        <f>'Praroop-20 hindi'!H472</f>
        <v>0</v>
      </c>
      <c r="AC469" s="81">
        <v>7</v>
      </c>
      <c r="AD469" s="81"/>
      <c r="AE469" s="81">
        <f>'Praroop-20 hindi'!I472</f>
        <v>1</v>
      </c>
      <c r="AF469" s="81">
        <v>8</v>
      </c>
      <c r="AG469" s="81"/>
      <c r="AH469" s="81">
        <f>'Praroop-20 hindi'!J472</f>
        <v>10</v>
      </c>
      <c r="AI469" s="81">
        <v>9</v>
      </c>
      <c r="AJ469" s="81"/>
      <c r="AK469" s="81">
        <f>'Praroop-20 hindi'!K472</f>
        <v>0</v>
      </c>
      <c r="AL469" s="81">
        <v>10</v>
      </c>
      <c r="AM469" s="81"/>
      <c r="AN469" s="81">
        <f>'Praroop-20 hindi'!L472</f>
        <v>5</v>
      </c>
      <c r="AO469" s="81">
        <v>11</v>
      </c>
      <c r="AP469" s="81"/>
      <c r="AQ469" s="81">
        <f>'Praroop-20 hindi'!M472</f>
        <v>0</v>
      </c>
      <c r="AR469" s="81">
        <f t="shared" si="15"/>
        <v>482</v>
      </c>
    </row>
    <row r="470" spans="1:44" ht="25.5">
      <c r="A470" s="81">
        <v>64</v>
      </c>
      <c r="B470" s="41">
        <v>464</v>
      </c>
      <c r="C470" s="113" t="s">
        <v>589</v>
      </c>
      <c r="D470" s="117">
        <v>732</v>
      </c>
      <c r="E470" s="110">
        <v>292</v>
      </c>
      <c r="F470" s="110">
        <v>272</v>
      </c>
      <c r="G470" s="110">
        <v>0</v>
      </c>
      <c r="H470" s="111">
        <f t="shared" si="14"/>
        <v>564</v>
      </c>
      <c r="I470" s="112">
        <v>501</v>
      </c>
      <c r="J470" s="110">
        <v>0</v>
      </c>
      <c r="K470" s="110">
        <v>1</v>
      </c>
      <c r="L470" s="81"/>
      <c r="M470" s="81">
        <f>'Praroop-20 hindi'!C473</f>
        <v>307</v>
      </c>
      <c r="N470" s="81">
        <v>2</v>
      </c>
      <c r="O470" s="81"/>
      <c r="P470" s="81">
        <f>'Praroop-20 hindi'!D473</f>
        <v>61</v>
      </c>
      <c r="Q470" s="81">
        <v>3</v>
      </c>
      <c r="R470" s="81"/>
      <c r="S470" s="81">
        <f>'Praroop-20 hindi'!E473</f>
        <v>177</v>
      </c>
      <c r="T470" s="81">
        <v>4</v>
      </c>
      <c r="U470" s="81"/>
      <c r="V470" s="81">
        <f>'Praroop-20 hindi'!F473</f>
        <v>3</v>
      </c>
      <c r="W470" s="81">
        <v>5</v>
      </c>
      <c r="X470" s="81"/>
      <c r="Y470" s="81">
        <f>'Praroop-20 hindi'!G473</f>
        <v>1</v>
      </c>
      <c r="Z470" s="81">
        <v>6</v>
      </c>
      <c r="AA470" s="81"/>
      <c r="AB470" s="81">
        <f>'Praroop-20 hindi'!H473</f>
        <v>0</v>
      </c>
      <c r="AC470" s="81">
        <v>7</v>
      </c>
      <c r="AD470" s="81"/>
      <c r="AE470" s="81">
        <f>'Praroop-20 hindi'!I473</f>
        <v>1</v>
      </c>
      <c r="AF470" s="81">
        <v>8</v>
      </c>
      <c r="AG470" s="81"/>
      <c r="AH470" s="81">
        <f>'Praroop-20 hindi'!J473</f>
        <v>2</v>
      </c>
      <c r="AI470" s="81">
        <v>9</v>
      </c>
      <c r="AJ470" s="81"/>
      <c r="AK470" s="81">
        <f>'Praroop-20 hindi'!K473</f>
        <v>2</v>
      </c>
      <c r="AL470" s="81">
        <v>10</v>
      </c>
      <c r="AM470" s="81"/>
      <c r="AN470" s="81">
        <f>'Praroop-20 hindi'!L473</f>
        <v>4</v>
      </c>
      <c r="AO470" s="81">
        <v>11</v>
      </c>
      <c r="AP470" s="81"/>
      <c r="AQ470" s="81">
        <f>'Praroop-20 hindi'!M473</f>
        <v>1</v>
      </c>
      <c r="AR470" s="81">
        <f t="shared" si="15"/>
        <v>559</v>
      </c>
    </row>
    <row r="471" spans="1:44" ht="25.5">
      <c r="A471" s="81">
        <v>64</v>
      </c>
      <c r="B471" s="41">
        <v>465</v>
      </c>
      <c r="C471" s="113" t="s">
        <v>590</v>
      </c>
      <c r="D471" s="117">
        <v>1087</v>
      </c>
      <c r="E471" s="110">
        <v>435</v>
      </c>
      <c r="F471" s="110">
        <v>379</v>
      </c>
      <c r="G471" s="110">
        <v>0</v>
      </c>
      <c r="H471" s="111">
        <f t="shared" si="14"/>
        <v>814</v>
      </c>
      <c r="I471" s="112">
        <v>776</v>
      </c>
      <c r="J471" s="110">
        <v>0</v>
      </c>
      <c r="K471" s="110">
        <v>1</v>
      </c>
      <c r="L471" s="81"/>
      <c r="M471" s="81">
        <f>'Praroop-20 hindi'!C474</f>
        <v>269</v>
      </c>
      <c r="N471" s="81">
        <v>2</v>
      </c>
      <c r="O471" s="81"/>
      <c r="P471" s="81">
        <f>'Praroop-20 hindi'!D474</f>
        <v>38</v>
      </c>
      <c r="Q471" s="81">
        <v>3</v>
      </c>
      <c r="R471" s="81"/>
      <c r="S471" s="81">
        <f>'Praroop-20 hindi'!E474</f>
        <v>490</v>
      </c>
      <c r="T471" s="81">
        <v>4</v>
      </c>
      <c r="U471" s="81"/>
      <c r="V471" s="81">
        <f>'Praroop-20 hindi'!F474</f>
        <v>6</v>
      </c>
      <c r="W471" s="81">
        <v>5</v>
      </c>
      <c r="X471" s="81"/>
      <c r="Y471" s="81">
        <f>'Praroop-20 hindi'!G474</f>
        <v>0</v>
      </c>
      <c r="Z471" s="81">
        <v>6</v>
      </c>
      <c r="AA471" s="81"/>
      <c r="AB471" s="81">
        <f>'Praroop-20 hindi'!H474</f>
        <v>0</v>
      </c>
      <c r="AC471" s="81">
        <v>7</v>
      </c>
      <c r="AD471" s="81"/>
      <c r="AE471" s="81">
        <f>'Praroop-20 hindi'!I474</f>
        <v>0</v>
      </c>
      <c r="AF471" s="81">
        <v>8</v>
      </c>
      <c r="AG471" s="81"/>
      <c r="AH471" s="81">
        <f>'Praroop-20 hindi'!J474</f>
        <v>0</v>
      </c>
      <c r="AI471" s="81">
        <v>9</v>
      </c>
      <c r="AJ471" s="81"/>
      <c r="AK471" s="81">
        <f>'Praroop-20 hindi'!K474</f>
        <v>0</v>
      </c>
      <c r="AL471" s="81">
        <v>10</v>
      </c>
      <c r="AM471" s="81"/>
      <c r="AN471" s="81">
        <f>'Praroop-20 hindi'!L474</f>
        <v>2</v>
      </c>
      <c r="AO471" s="81">
        <v>11</v>
      </c>
      <c r="AP471" s="81"/>
      <c r="AQ471" s="81">
        <f>'Praroop-20 hindi'!M474</f>
        <v>1</v>
      </c>
      <c r="AR471" s="81">
        <f t="shared" si="15"/>
        <v>806</v>
      </c>
    </row>
    <row r="472" spans="1:44" ht="25.5">
      <c r="A472" s="81">
        <v>64</v>
      </c>
      <c r="B472" s="41">
        <v>466</v>
      </c>
      <c r="C472" s="113" t="s">
        <v>591</v>
      </c>
      <c r="D472" s="117">
        <v>719</v>
      </c>
      <c r="E472" s="110">
        <v>288</v>
      </c>
      <c r="F472" s="110">
        <v>250</v>
      </c>
      <c r="G472" s="110">
        <v>0</v>
      </c>
      <c r="H472" s="111">
        <f t="shared" si="14"/>
        <v>538</v>
      </c>
      <c r="I472" s="112">
        <v>450</v>
      </c>
      <c r="J472" s="110">
        <v>0</v>
      </c>
      <c r="K472" s="110">
        <v>1</v>
      </c>
      <c r="L472" s="81"/>
      <c r="M472" s="81">
        <f>'Praroop-20 hindi'!C475</f>
        <v>175</v>
      </c>
      <c r="N472" s="81">
        <v>2</v>
      </c>
      <c r="O472" s="81"/>
      <c r="P472" s="81">
        <f>'Praroop-20 hindi'!D475</f>
        <v>81</v>
      </c>
      <c r="Q472" s="81">
        <v>3</v>
      </c>
      <c r="R472" s="81"/>
      <c r="S472" s="81">
        <f>'Praroop-20 hindi'!E475</f>
        <v>272</v>
      </c>
      <c r="T472" s="81">
        <v>4</v>
      </c>
      <c r="U472" s="81"/>
      <c r="V472" s="81">
        <f>'Praroop-20 hindi'!F475</f>
        <v>4</v>
      </c>
      <c r="W472" s="81">
        <v>5</v>
      </c>
      <c r="X472" s="81"/>
      <c r="Y472" s="81">
        <f>'Praroop-20 hindi'!G475</f>
        <v>0</v>
      </c>
      <c r="Z472" s="81">
        <v>6</v>
      </c>
      <c r="AA472" s="81"/>
      <c r="AB472" s="81">
        <f>'Praroop-20 hindi'!H475</f>
        <v>0</v>
      </c>
      <c r="AC472" s="81">
        <v>7</v>
      </c>
      <c r="AD472" s="81"/>
      <c r="AE472" s="81">
        <f>'Praroop-20 hindi'!I475</f>
        <v>0</v>
      </c>
      <c r="AF472" s="81">
        <v>8</v>
      </c>
      <c r="AG472" s="81"/>
      <c r="AH472" s="81">
        <f>'Praroop-20 hindi'!J475</f>
        <v>1</v>
      </c>
      <c r="AI472" s="81">
        <v>9</v>
      </c>
      <c r="AJ472" s="81"/>
      <c r="AK472" s="81">
        <f>'Praroop-20 hindi'!K475</f>
        <v>0</v>
      </c>
      <c r="AL472" s="81">
        <v>10</v>
      </c>
      <c r="AM472" s="81"/>
      <c r="AN472" s="81">
        <f>'Praroop-20 hindi'!L475</f>
        <v>3</v>
      </c>
      <c r="AO472" s="81">
        <v>11</v>
      </c>
      <c r="AP472" s="81"/>
      <c r="AQ472" s="81">
        <f>'Praroop-20 hindi'!M475</f>
        <v>0</v>
      </c>
      <c r="AR472" s="81">
        <f t="shared" si="15"/>
        <v>536</v>
      </c>
    </row>
    <row r="473" spans="1:44" ht="38.25">
      <c r="A473" s="81">
        <v>64</v>
      </c>
      <c r="B473" s="41">
        <v>467</v>
      </c>
      <c r="C473" s="113" t="s">
        <v>592</v>
      </c>
      <c r="D473" s="117">
        <v>720</v>
      </c>
      <c r="E473" s="110">
        <v>290</v>
      </c>
      <c r="F473" s="110">
        <v>224</v>
      </c>
      <c r="G473" s="110">
        <v>0</v>
      </c>
      <c r="H473" s="111">
        <f t="shared" si="14"/>
        <v>514</v>
      </c>
      <c r="I473" s="112">
        <v>430</v>
      </c>
      <c r="J473" s="110">
        <v>0</v>
      </c>
      <c r="K473" s="110">
        <v>1</v>
      </c>
      <c r="L473" s="81"/>
      <c r="M473" s="81">
        <f>'Praroop-20 hindi'!C476</f>
        <v>245</v>
      </c>
      <c r="N473" s="81">
        <v>2</v>
      </c>
      <c r="O473" s="81"/>
      <c r="P473" s="81">
        <f>'Praroop-20 hindi'!D476</f>
        <v>93</v>
      </c>
      <c r="Q473" s="81">
        <v>3</v>
      </c>
      <c r="R473" s="81"/>
      <c r="S473" s="81">
        <f>'Praroop-20 hindi'!E476</f>
        <v>164</v>
      </c>
      <c r="T473" s="81">
        <v>4</v>
      </c>
      <c r="U473" s="81"/>
      <c r="V473" s="81">
        <f>'Praroop-20 hindi'!F476</f>
        <v>3</v>
      </c>
      <c r="W473" s="81">
        <v>5</v>
      </c>
      <c r="X473" s="81"/>
      <c r="Y473" s="81">
        <f>'Praroop-20 hindi'!G476</f>
        <v>0</v>
      </c>
      <c r="Z473" s="81">
        <v>6</v>
      </c>
      <c r="AA473" s="81"/>
      <c r="AB473" s="81">
        <f>'Praroop-20 hindi'!H476</f>
        <v>0</v>
      </c>
      <c r="AC473" s="81">
        <v>7</v>
      </c>
      <c r="AD473" s="81"/>
      <c r="AE473" s="81">
        <f>'Praroop-20 hindi'!I476</f>
        <v>1</v>
      </c>
      <c r="AF473" s="81">
        <v>8</v>
      </c>
      <c r="AG473" s="81"/>
      <c r="AH473" s="81">
        <f>'Praroop-20 hindi'!J476</f>
        <v>4</v>
      </c>
      <c r="AI473" s="81">
        <v>9</v>
      </c>
      <c r="AJ473" s="81"/>
      <c r="AK473" s="81">
        <f>'Praroop-20 hindi'!K476</f>
        <v>0</v>
      </c>
      <c r="AL473" s="81">
        <v>10</v>
      </c>
      <c r="AM473" s="81"/>
      <c r="AN473" s="81">
        <f>'Praroop-20 hindi'!L476</f>
        <v>3</v>
      </c>
      <c r="AO473" s="81">
        <v>11</v>
      </c>
      <c r="AP473" s="81"/>
      <c r="AQ473" s="81">
        <f>'Praroop-20 hindi'!M476</f>
        <v>1</v>
      </c>
      <c r="AR473" s="81">
        <f t="shared" si="15"/>
        <v>514</v>
      </c>
    </row>
    <row r="474" spans="1:44" ht="25.5">
      <c r="A474" s="81">
        <v>64</v>
      </c>
      <c r="B474" s="41">
        <v>468</v>
      </c>
      <c r="C474" s="113" t="s">
        <v>593</v>
      </c>
      <c r="D474" s="117">
        <v>637</v>
      </c>
      <c r="E474" s="110">
        <v>254</v>
      </c>
      <c r="F474" s="110">
        <v>208</v>
      </c>
      <c r="G474" s="110">
        <v>0</v>
      </c>
      <c r="H474" s="111">
        <f t="shared" si="14"/>
        <v>462</v>
      </c>
      <c r="I474" s="112">
        <v>398</v>
      </c>
      <c r="J474" s="110">
        <v>0</v>
      </c>
      <c r="K474" s="110">
        <v>1</v>
      </c>
      <c r="L474" s="81"/>
      <c r="M474" s="81">
        <f>'Praroop-20 hindi'!C477</f>
        <v>4</v>
      </c>
      <c r="N474" s="81">
        <v>2</v>
      </c>
      <c r="O474" s="81"/>
      <c r="P474" s="81">
        <f>'Praroop-20 hindi'!D477</f>
        <v>50</v>
      </c>
      <c r="Q474" s="81">
        <v>3</v>
      </c>
      <c r="R474" s="81"/>
      <c r="S474" s="81">
        <f>'Praroop-20 hindi'!E477</f>
        <v>399</v>
      </c>
      <c r="T474" s="81">
        <v>4</v>
      </c>
      <c r="U474" s="81"/>
      <c r="V474" s="81">
        <f>'Praroop-20 hindi'!F477</f>
        <v>4</v>
      </c>
      <c r="W474" s="81">
        <v>5</v>
      </c>
      <c r="X474" s="81"/>
      <c r="Y474" s="81">
        <f>'Praroop-20 hindi'!G477</f>
        <v>2</v>
      </c>
      <c r="Z474" s="81">
        <v>6</v>
      </c>
      <c r="AA474" s="81"/>
      <c r="AB474" s="81">
        <f>'Praroop-20 hindi'!H477</f>
        <v>1</v>
      </c>
      <c r="AC474" s="81">
        <v>7</v>
      </c>
      <c r="AD474" s="81"/>
      <c r="AE474" s="81">
        <f>'Praroop-20 hindi'!I477</f>
        <v>0</v>
      </c>
      <c r="AF474" s="81">
        <v>8</v>
      </c>
      <c r="AG474" s="81"/>
      <c r="AH474" s="81">
        <f>'Praroop-20 hindi'!J477</f>
        <v>0</v>
      </c>
      <c r="AI474" s="81">
        <v>9</v>
      </c>
      <c r="AJ474" s="81"/>
      <c r="AK474" s="81">
        <f>'Praroop-20 hindi'!K477</f>
        <v>1</v>
      </c>
      <c r="AL474" s="81">
        <v>10</v>
      </c>
      <c r="AM474" s="81"/>
      <c r="AN474" s="81">
        <f>'Praroop-20 hindi'!L477</f>
        <v>0</v>
      </c>
      <c r="AO474" s="81">
        <v>11</v>
      </c>
      <c r="AP474" s="81"/>
      <c r="AQ474" s="81">
        <f>'Praroop-20 hindi'!M477</f>
        <v>0</v>
      </c>
      <c r="AR474" s="81">
        <f t="shared" si="15"/>
        <v>461</v>
      </c>
    </row>
    <row r="475" spans="1:44" ht="25.5">
      <c r="A475" s="81">
        <v>64</v>
      </c>
      <c r="B475" s="41">
        <v>469</v>
      </c>
      <c r="C475" s="113" t="s">
        <v>594</v>
      </c>
      <c r="D475" s="117">
        <v>481</v>
      </c>
      <c r="E475" s="110">
        <v>215</v>
      </c>
      <c r="F475" s="110">
        <v>185</v>
      </c>
      <c r="G475" s="110">
        <v>0</v>
      </c>
      <c r="H475" s="111">
        <f t="shared" si="14"/>
        <v>400</v>
      </c>
      <c r="I475" s="112">
        <v>336</v>
      </c>
      <c r="J475" s="110">
        <v>0</v>
      </c>
      <c r="K475" s="110">
        <v>1</v>
      </c>
      <c r="L475" s="81"/>
      <c r="M475" s="81">
        <f>'Praroop-20 hindi'!C478</f>
        <v>264</v>
      </c>
      <c r="N475" s="81">
        <v>2</v>
      </c>
      <c r="O475" s="81"/>
      <c r="P475" s="81">
        <f>'Praroop-20 hindi'!D478</f>
        <v>8</v>
      </c>
      <c r="Q475" s="81">
        <v>3</v>
      </c>
      <c r="R475" s="81"/>
      <c r="S475" s="81">
        <f>'Praroop-20 hindi'!E478</f>
        <v>118</v>
      </c>
      <c r="T475" s="81">
        <v>4</v>
      </c>
      <c r="U475" s="81"/>
      <c r="V475" s="81">
        <f>'Praroop-20 hindi'!F478</f>
        <v>2</v>
      </c>
      <c r="W475" s="81">
        <v>5</v>
      </c>
      <c r="X475" s="81"/>
      <c r="Y475" s="81">
        <f>'Praroop-20 hindi'!G478</f>
        <v>1</v>
      </c>
      <c r="Z475" s="81">
        <v>6</v>
      </c>
      <c r="AA475" s="81"/>
      <c r="AB475" s="81">
        <f>'Praroop-20 hindi'!H478</f>
        <v>0</v>
      </c>
      <c r="AC475" s="81">
        <v>7</v>
      </c>
      <c r="AD475" s="81"/>
      <c r="AE475" s="81">
        <f>'Praroop-20 hindi'!I478</f>
        <v>0</v>
      </c>
      <c r="AF475" s="81">
        <v>8</v>
      </c>
      <c r="AG475" s="81"/>
      <c r="AH475" s="81">
        <f>'Praroop-20 hindi'!J478</f>
        <v>2</v>
      </c>
      <c r="AI475" s="81">
        <v>9</v>
      </c>
      <c r="AJ475" s="81"/>
      <c r="AK475" s="81">
        <f>'Praroop-20 hindi'!K478</f>
        <v>0</v>
      </c>
      <c r="AL475" s="81">
        <v>10</v>
      </c>
      <c r="AM475" s="81"/>
      <c r="AN475" s="81">
        <f>'Praroop-20 hindi'!L478</f>
        <v>1</v>
      </c>
      <c r="AO475" s="81">
        <v>11</v>
      </c>
      <c r="AP475" s="81"/>
      <c r="AQ475" s="81">
        <f>'Praroop-20 hindi'!M478</f>
        <v>1</v>
      </c>
      <c r="AR475" s="81">
        <f t="shared" si="15"/>
        <v>397</v>
      </c>
    </row>
    <row r="476" spans="1:44" ht="38.25">
      <c r="A476" s="81">
        <v>64</v>
      </c>
      <c r="B476" s="41">
        <v>470</v>
      </c>
      <c r="C476" s="113" t="s">
        <v>595</v>
      </c>
      <c r="D476" s="117">
        <v>763</v>
      </c>
      <c r="E476" s="110">
        <v>295</v>
      </c>
      <c r="F476" s="110">
        <v>247</v>
      </c>
      <c r="G476" s="110">
        <v>0</v>
      </c>
      <c r="H476" s="111">
        <f t="shared" si="14"/>
        <v>542</v>
      </c>
      <c r="I476" s="112">
        <v>491</v>
      </c>
      <c r="J476" s="110">
        <v>0</v>
      </c>
      <c r="K476" s="110">
        <v>1</v>
      </c>
      <c r="L476" s="81"/>
      <c r="M476" s="81">
        <f>'Praroop-20 hindi'!C479</f>
        <v>9</v>
      </c>
      <c r="N476" s="81">
        <v>2</v>
      </c>
      <c r="O476" s="81"/>
      <c r="P476" s="81">
        <f>'Praroop-20 hindi'!D479</f>
        <v>78</v>
      </c>
      <c r="Q476" s="81">
        <v>3</v>
      </c>
      <c r="R476" s="81"/>
      <c r="S476" s="81">
        <f>'Praroop-20 hindi'!E479</f>
        <v>436</v>
      </c>
      <c r="T476" s="81">
        <v>4</v>
      </c>
      <c r="U476" s="81"/>
      <c r="V476" s="81">
        <f>'Praroop-20 hindi'!F479</f>
        <v>6</v>
      </c>
      <c r="W476" s="81">
        <v>5</v>
      </c>
      <c r="X476" s="81"/>
      <c r="Y476" s="81">
        <f>'Praroop-20 hindi'!G479</f>
        <v>0</v>
      </c>
      <c r="Z476" s="81">
        <v>6</v>
      </c>
      <c r="AA476" s="81"/>
      <c r="AB476" s="81">
        <f>'Praroop-20 hindi'!H479</f>
        <v>0</v>
      </c>
      <c r="AC476" s="81">
        <v>7</v>
      </c>
      <c r="AD476" s="81"/>
      <c r="AE476" s="81">
        <f>'Praroop-20 hindi'!I479</f>
        <v>2</v>
      </c>
      <c r="AF476" s="81">
        <v>8</v>
      </c>
      <c r="AG476" s="81"/>
      <c r="AH476" s="81">
        <f>'Praroop-20 hindi'!J479</f>
        <v>0</v>
      </c>
      <c r="AI476" s="81">
        <v>9</v>
      </c>
      <c r="AJ476" s="81"/>
      <c r="AK476" s="81">
        <f>'Praroop-20 hindi'!K479</f>
        <v>0</v>
      </c>
      <c r="AL476" s="81">
        <v>10</v>
      </c>
      <c r="AM476" s="81"/>
      <c r="AN476" s="81">
        <f>'Praroop-20 hindi'!L479</f>
        <v>10</v>
      </c>
      <c r="AO476" s="81">
        <v>11</v>
      </c>
      <c r="AP476" s="81"/>
      <c r="AQ476" s="81">
        <f>'Praroop-20 hindi'!M479</f>
        <v>1</v>
      </c>
      <c r="AR476" s="81">
        <f t="shared" si="15"/>
        <v>542</v>
      </c>
    </row>
    <row r="477" spans="1:44" ht="38.25">
      <c r="A477" s="81">
        <v>64</v>
      </c>
      <c r="B477" s="41">
        <v>471</v>
      </c>
      <c r="C477" s="113" t="s">
        <v>596</v>
      </c>
      <c r="D477" s="117">
        <v>762</v>
      </c>
      <c r="E477" s="110">
        <v>288</v>
      </c>
      <c r="F477" s="110">
        <v>229</v>
      </c>
      <c r="G477" s="110">
        <v>0</v>
      </c>
      <c r="H477" s="111">
        <f t="shared" si="14"/>
        <v>517</v>
      </c>
      <c r="I477" s="112">
        <v>440</v>
      </c>
      <c r="J477" s="110">
        <v>0</v>
      </c>
      <c r="K477" s="110">
        <v>1</v>
      </c>
      <c r="L477" s="81"/>
      <c r="M477" s="81">
        <f>'Praroop-20 hindi'!C480</f>
        <v>27</v>
      </c>
      <c r="N477" s="81">
        <v>2</v>
      </c>
      <c r="O477" s="81"/>
      <c r="P477" s="81">
        <f>'Praroop-20 hindi'!D480</f>
        <v>127</v>
      </c>
      <c r="Q477" s="81">
        <v>3</v>
      </c>
      <c r="R477" s="81"/>
      <c r="S477" s="81">
        <f>'Praroop-20 hindi'!E480</f>
        <v>339</v>
      </c>
      <c r="T477" s="81">
        <v>4</v>
      </c>
      <c r="U477" s="81"/>
      <c r="V477" s="81">
        <f>'Praroop-20 hindi'!F480</f>
        <v>3</v>
      </c>
      <c r="W477" s="81">
        <v>5</v>
      </c>
      <c r="X477" s="81"/>
      <c r="Y477" s="81">
        <f>'Praroop-20 hindi'!G480</f>
        <v>2</v>
      </c>
      <c r="Z477" s="81">
        <v>6</v>
      </c>
      <c r="AA477" s="81"/>
      <c r="AB477" s="81">
        <f>'Praroop-20 hindi'!H480</f>
        <v>0</v>
      </c>
      <c r="AC477" s="81">
        <v>7</v>
      </c>
      <c r="AD477" s="81"/>
      <c r="AE477" s="81">
        <f>'Praroop-20 hindi'!I480</f>
        <v>2</v>
      </c>
      <c r="AF477" s="81">
        <v>8</v>
      </c>
      <c r="AG477" s="81"/>
      <c r="AH477" s="81">
        <f>'Praroop-20 hindi'!J480</f>
        <v>13</v>
      </c>
      <c r="AI477" s="81">
        <v>9</v>
      </c>
      <c r="AJ477" s="81"/>
      <c r="AK477" s="81">
        <f>'Praroop-20 hindi'!K480</f>
        <v>0</v>
      </c>
      <c r="AL477" s="81">
        <v>10</v>
      </c>
      <c r="AM477" s="81"/>
      <c r="AN477" s="81">
        <f>'Praroop-20 hindi'!L480</f>
        <v>2</v>
      </c>
      <c r="AO477" s="81">
        <v>11</v>
      </c>
      <c r="AP477" s="81"/>
      <c r="AQ477" s="81">
        <f>'Praroop-20 hindi'!M480</f>
        <v>2</v>
      </c>
      <c r="AR477" s="81">
        <f t="shared" si="15"/>
        <v>517</v>
      </c>
    </row>
    <row r="478" spans="1:44" ht="25.5">
      <c r="A478" s="81">
        <v>64</v>
      </c>
      <c r="B478" s="41">
        <v>472</v>
      </c>
      <c r="C478" s="113" t="s">
        <v>597</v>
      </c>
      <c r="D478" s="117">
        <v>847</v>
      </c>
      <c r="E478" s="110">
        <v>293</v>
      </c>
      <c r="F478" s="110">
        <v>233</v>
      </c>
      <c r="G478" s="110">
        <v>0</v>
      </c>
      <c r="H478" s="111">
        <f t="shared" si="14"/>
        <v>526</v>
      </c>
      <c r="I478" s="112">
        <v>442</v>
      </c>
      <c r="J478" s="110">
        <v>0</v>
      </c>
      <c r="K478" s="110">
        <v>1</v>
      </c>
      <c r="L478" s="81"/>
      <c r="M478" s="81">
        <f>'Praroop-20 hindi'!C481</f>
        <v>36</v>
      </c>
      <c r="N478" s="81">
        <v>2</v>
      </c>
      <c r="O478" s="81"/>
      <c r="P478" s="81">
        <f>'Praroop-20 hindi'!D481</f>
        <v>83</v>
      </c>
      <c r="Q478" s="81">
        <v>3</v>
      </c>
      <c r="R478" s="81"/>
      <c r="S478" s="81">
        <f>'Praroop-20 hindi'!E481</f>
        <v>398</v>
      </c>
      <c r="T478" s="81">
        <v>4</v>
      </c>
      <c r="U478" s="81"/>
      <c r="V478" s="81">
        <f>'Praroop-20 hindi'!F481</f>
        <v>4</v>
      </c>
      <c r="W478" s="81">
        <v>5</v>
      </c>
      <c r="X478" s="81"/>
      <c r="Y478" s="81">
        <f>'Praroop-20 hindi'!G481</f>
        <v>0</v>
      </c>
      <c r="Z478" s="81">
        <v>6</v>
      </c>
      <c r="AA478" s="81"/>
      <c r="AB478" s="81">
        <f>'Praroop-20 hindi'!H481</f>
        <v>2</v>
      </c>
      <c r="AC478" s="81">
        <v>7</v>
      </c>
      <c r="AD478" s="81"/>
      <c r="AE478" s="81">
        <f>'Praroop-20 hindi'!I481</f>
        <v>0</v>
      </c>
      <c r="AF478" s="81">
        <v>8</v>
      </c>
      <c r="AG478" s="81"/>
      <c r="AH478" s="81">
        <f>'Praroop-20 hindi'!J481</f>
        <v>1</v>
      </c>
      <c r="AI478" s="81">
        <v>9</v>
      </c>
      <c r="AJ478" s="81"/>
      <c r="AK478" s="81">
        <f>'Praroop-20 hindi'!K481</f>
        <v>0</v>
      </c>
      <c r="AL478" s="81">
        <v>10</v>
      </c>
      <c r="AM478" s="81"/>
      <c r="AN478" s="81">
        <f>'Praroop-20 hindi'!L481</f>
        <v>2</v>
      </c>
      <c r="AO478" s="81">
        <v>11</v>
      </c>
      <c r="AP478" s="81"/>
      <c r="AQ478" s="81">
        <f>'Praroop-20 hindi'!M481</f>
        <v>0</v>
      </c>
      <c r="AR478" s="81">
        <f t="shared" si="15"/>
        <v>526</v>
      </c>
    </row>
    <row r="479" spans="1:44" s="122" customFormat="1" ht="12.75">
      <c r="A479" s="257" t="s">
        <v>3</v>
      </c>
      <c r="B479" s="258"/>
      <c r="C479" s="259"/>
      <c r="D479" s="74">
        <v>397807</v>
      </c>
      <c r="E479" s="120">
        <f>SUM(E7:E478)</f>
        <v>145895</v>
      </c>
      <c r="F479" s="120">
        <f>SUM(F7:F478)</f>
        <v>125339</v>
      </c>
      <c r="G479" s="120">
        <f>SUM(G7:G478)</f>
        <v>4</v>
      </c>
      <c r="H479" s="118">
        <f>SUM(E479:G479)</f>
        <v>271238</v>
      </c>
      <c r="I479" s="121">
        <f t="shared" ref="I479" si="16">SUM(I7:I478)</f>
        <v>252882</v>
      </c>
      <c r="J479" s="119">
        <v>0</v>
      </c>
      <c r="K479" s="119">
        <v>1</v>
      </c>
      <c r="L479" s="74"/>
      <c r="M479" s="74">
        <f>'Praroop-20 hindi'!C483</f>
        <v>42351</v>
      </c>
      <c r="N479" s="74">
        <v>2</v>
      </c>
      <c r="O479" s="74"/>
      <c r="P479" s="74">
        <f>'Praroop-20 hindi'!D483</f>
        <v>95674</v>
      </c>
      <c r="Q479" s="74">
        <v>3</v>
      </c>
      <c r="R479" s="74"/>
      <c r="S479" s="74">
        <f>'Praroop-20 hindi'!E483</f>
        <v>124620</v>
      </c>
      <c r="T479" s="74">
        <v>4</v>
      </c>
      <c r="U479" s="74"/>
      <c r="V479" s="74">
        <f>'Praroop-20 hindi'!F483</f>
        <v>2267</v>
      </c>
      <c r="W479" s="74">
        <v>5</v>
      </c>
      <c r="X479" s="74"/>
      <c r="Y479" s="74">
        <f>'Praroop-20 hindi'!G483</f>
        <v>681</v>
      </c>
      <c r="Z479" s="74">
        <v>6</v>
      </c>
      <c r="AA479" s="74"/>
      <c r="AB479" s="74">
        <f>'Praroop-20 hindi'!H483</f>
        <v>117</v>
      </c>
      <c r="AC479" s="74">
        <v>7</v>
      </c>
      <c r="AD479" s="74"/>
      <c r="AE479" s="74">
        <f>'Praroop-20 hindi'!I483</f>
        <v>202</v>
      </c>
      <c r="AF479" s="74">
        <v>8</v>
      </c>
      <c r="AG479" s="74"/>
      <c r="AH479" s="74">
        <f>'Praroop-20 hindi'!J483</f>
        <v>467</v>
      </c>
      <c r="AI479" s="74">
        <v>9</v>
      </c>
      <c r="AJ479" s="74"/>
      <c r="AK479" s="74">
        <f>'Praroop-20 hindi'!K483</f>
        <v>1731</v>
      </c>
      <c r="AL479" s="74">
        <v>10</v>
      </c>
      <c r="AM479" s="74"/>
      <c r="AN479" s="74">
        <f>'Praroop-20 hindi'!L483</f>
        <v>1340</v>
      </c>
      <c r="AO479" s="74">
        <v>11</v>
      </c>
      <c r="AP479" s="74"/>
      <c r="AQ479" s="74">
        <f>'Praroop-20 hindi'!M483</f>
        <v>527</v>
      </c>
      <c r="AR479" s="74">
        <f t="shared" si="15"/>
        <v>269977</v>
      </c>
    </row>
  </sheetData>
  <mergeCells count="22">
    <mergeCell ref="Z4:AB4"/>
    <mergeCell ref="AO4:AQ4"/>
    <mergeCell ref="AR4:AR5"/>
    <mergeCell ref="AF4:AH4"/>
    <mergeCell ref="AI4:AK4"/>
    <mergeCell ref="AL4:AN4"/>
    <mergeCell ref="A479:C479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</mergeCells>
  <pageMargins left="0.33" right="0.15" top="0.46" bottom="0.42" header="0.3" footer="0.3"/>
  <pageSetup paperSize="5" orientation="landscape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89"/>
  <sheetViews>
    <sheetView topLeftCell="A469" workbookViewId="0">
      <selection activeCell="N488" sqref="N488:P489"/>
    </sheetView>
  </sheetViews>
  <sheetFormatPr defaultRowHeight="15"/>
  <cols>
    <col min="1" max="1" width="7.28515625" style="23" customWidth="1"/>
    <col min="2" max="2" width="21.140625" style="28" customWidth="1"/>
    <col min="3" max="3" width="8.7109375" customWidth="1"/>
    <col min="4" max="5" width="9" customWidth="1"/>
    <col min="6" max="6" width="8.7109375" customWidth="1"/>
    <col min="7" max="7" width="7.5703125" customWidth="1"/>
    <col min="8" max="8" width="9.5703125" customWidth="1"/>
    <col min="9" max="9" width="8.85546875" customWidth="1"/>
    <col min="10" max="10" width="10.28515625" customWidth="1"/>
    <col min="11" max="11" width="8.5703125" customWidth="1"/>
    <col min="12" max="12" width="8.28515625" customWidth="1"/>
    <col min="13" max="13" width="7.140625" customWidth="1"/>
    <col min="14" max="14" width="7.7109375" customWidth="1"/>
    <col min="15" max="15" width="8.7109375" customWidth="1"/>
    <col min="16" max="17" width="9" customWidth="1"/>
    <col min="18" max="18" width="9.28515625" customWidth="1"/>
  </cols>
  <sheetData>
    <row r="1" spans="1:18" ht="23.25">
      <c r="A1" s="222" t="s">
        <v>89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23.25">
      <c r="A2" s="223" t="s">
        <v>90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18" ht="23.25">
      <c r="A3" s="224" t="s">
        <v>96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18" ht="23.25">
      <c r="A4" s="223" t="s">
        <v>1074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18" ht="23.25">
      <c r="A5" s="24"/>
      <c r="B5" s="27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</row>
    <row r="6" spans="1:18" ht="20.25">
      <c r="A6" s="220" t="s">
        <v>124</v>
      </c>
      <c r="B6" s="220"/>
      <c r="C6" s="220"/>
      <c r="D6" s="220"/>
      <c r="E6" s="220"/>
      <c r="F6" s="220"/>
      <c r="G6" s="220"/>
      <c r="H6" s="221" t="s">
        <v>125</v>
      </c>
      <c r="I6" s="221"/>
      <c r="J6" s="221"/>
      <c r="K6" s="221"/>
      <c r="L6" s="221"/>
      <c r="M6" s="221"/>
      <c r="N6" s="221"/>
      <c r="O6" s="221"/>
      <c r="P6" s="221"/>
      <c r="Q6" s="221"/>
      <c r="R6" s="221"/>
    </row>
    <row r="7" spans="1:18" ht="23.25">
      <c r="A7" s="24"/>
      <c r="B7" s="27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</row>
    <row r="8" spans="1:18" ht="15" customHeight="1">
      <c r="A8" s="226" t="s">
        <v>95</v>
      </c>
      <c r="B8" s="226" t="s">
        <v>98</v>
      </c>
      <c r="C8" s="227" t="s">
        <v>91</v>
      </c>
      <c r="D8" s="228"/>
      <c r="E8" s="228"/>
      <c r="F8" s="228"/>
      <c r="G8" s="228"/>
      <c r="H8" s="228"/>
      <c r="I8" s="228"/>
      <c r="J8" s="228"/>
      <c r="K8" s="228"/>
      <c r="L8" s="228"/>
      <c r="M8" s="229"/>
      <c r="N8" s="212" t="s">
        <v>93</v>
      </c>
      <c r="O8" s="218" t="s">
        <v>92</v>
      </c>
      <c r="P8" s="231" t="s">
        <v>1082</v>
      </c>
      <c r="Q8" s="212" t="s">
        <v>94</v>
      </c>
      <c r="R8" s="214" t="s">
        <v>1081</v>
      </c>
    </row>
    <row r="9" spans="1:18" ht="30">
      <c r="A9" s="226"/>
      <c r="B9" s="226"/>
      <c r="C9" s="42" t="s">
        <v>598</v>
      </c>
      <c r="D9" s="42" t="s">
        <v>599</v>
      </c>
      <c r="E9" s="42" t="s">
        <v>600</v>
      </c>
      <c r="F9" s="42" t="s">
        <v>601</v>
      </c>
      <c r="G9" s="42" t="s">
        <v>602</v>
      </c>
      <c r="H9" s="42" t="s">
        <v>603</v>
      </c>
      <c r="I9" s="42" t="s">
        <v>604</v>
      </c>
      <c r="J9" s="42" t="s">
        <v>605</v>
      </c>
      <c r="K9" s="42" t="s">
        <v>606</v>
      </c>
      <c r="L9" s="42" t="s">
        <v>607</v>
      </c>
      <c r="M9" s="42" t="s">
        <v>608</v>
      </c>
      <c r="N9" s="213"/>
      <c r="O9" s="219"/>
      <c r="P9" s="269"/>
      <c r="Q9" s="213"/>
      <c r="R9" s="215"/>
    </row>
    <row r="10" spans="1:18">
      <c r="A10" s="41">
        <v>1</v>
      </c>
      <c r="B10" s="61" t="s">
        <v>126</v>
      </c>
      <c r="C10" s="54">
        <f t="array" ref="C10:N23">TRANSPOSE(Constiuence!C8:'Constiuence'!P19)</f>
        <v>2</v>
      </c>
      <c r="D10" s="70">
        <v>599</v>
      </c>
      <c r="E10" s="54">
        <v>18</v>
      </c>
      <c r="F10" s="54">
        <v>3</v>
      </c>
      <c r="G10" s="54">
        <v>0</v>
      </c>
      <c r="H10" s="54">
        <v>0</v>
      </c>
      <c r="I10" s="54">
        <v>0</v>
      </c>
      <c r="J10" s="54">
        <v>0</v>
      </c>
      <c r="K10" s="54">
        <v>6</v>
      </c>
      <c r="L10" s="54">
        <v>2</v>
      </c>
      <c r="M10" s="54">
        <v>0</v>
      </c>
      <c r="N10" s="54">
        <v>2</v>
      </c>
      <c r="O10" s="72">
        <f>C10+D10+E10+F10+G10+H10+I10+J10+K10+L10+M10+N10</f>
        <v>632</v>
      </c>
      <c r="P10" s="26">
        <v>0</v>
      </c>
      <c r="Q10" s="26">
        <f t="shared" ref="Q10:Q73" si="0">O10-P10</f>
        <v>632</v>
      </c>
      <c r="R10" s="26">
        <v>0</v>
      </c>
    </row>
    <row r="11" spans="1:18">
      <c r="A11" s="41">
        <v>2</v>
      </c>
      <c r="B11" s="61" t="s">
        <v>127</v>
      </c>
      <c r="C11" s="70">
        <v>48</v>
      </c>
      <c r="D11" s="70">
        <v>440</v>
      </c>
      <c r="E11" s="70">
        <v>42</v>
      </c>
      <c r="F11" s="70">
        <v>3</v>
      </c>
      <c r="G11" s="70">
        <v>1</v>
      </c>
      <c r="H11" s="70">
        <v>0</v>
      </c>
      <c r="I11" s="70">
        <v>1</v>
      </c>
      <c r="J11" s="70">
        <v>1</v>
      </c>
      <c r="K11" s="70">
        <v>5</v>
      </c>
      <c r="L11" s="70">
        <v>2</v>
      </c>
      <c r="M11" s="70">
        <v>3</v>
      </c>
      <c r="N11" s="70">
        <v>1</v>
      </c>
      <c r="O11" s="72">
        <f t="shared" ref="O11:O74" si="1">C11+D11+E11+F11+G11+H11+I11+J11+K11+L11+M11+N11</f>
        <v>547</v>
      </c>
      <c r="P11" s="26">
        <v>0</v>
      </c>
      <c r="Q11" s="26">
        <f t="shared" si="0"/>
        <v>547</v>
      </c>
      <c r="R11" s="26">
        <v>0</v>
      </c>
    </row>
    <row r="12" spans="1:18">
      <c r="A12" s="41">
        <v>3</v>
      </c>
      <c r="B12" s="61" t="s">
        <v>128</v>
      </c>
      <c r="C12" s="70">
        <v>89</v>
      </c>
      <c r="D12" s="70">
        <v>15</v>
      </c>
      <c r="E12" s="70">
        <v>161</v>
      </c>
      <c r="F12" s="70">
        <v>1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2</v>
      </c>
      <c r="M12" s="70">
        <v>0</v>
      </c>
      <c r="N12" s="70">
        <v>0</v>
      </c>
      <c r="O12" s="72">
        <f t="shared" si="1"/>
        <v>268</v>
      </c>
      <c r="P12" s="26">
        <v>0</v>
      </c>
      <c r="Q12" s="26">
        <f t="shared" si="0"/>
        <v>268</v>
      </c>
      <c r="R12" s="26">
        <v>0</v>
      </c>
    </row>
    <row r="13" spans="1:18">
      <c r="A13" s="41">
        <v>4</v>
      </c>
      <c r="B13" s="62" t="s">
        <v>129</v>
      </c>
      <c r="C13" s="70">
        <v>94</v>
      </c>
      <c r="D13" s="54">
        <v>275</v>
      </c>
      <c r="E13" s="54">
        <v>34</v>
      </c>
      <c r="F13" s="54">
        <v>3</v>
      </c>
      <c r="G13" s="54">
        <v>2</v>
      </c>
      <c r="H13" s="54">
        <v>1</v>
      </c>
      <c r="I13" s="54">
        <v>1</v>
      </c>
      <c r="J13" s="54">
        <v>0</v>
      </c>
      <c r="K13" s="54">
        <v>56</v>
      </c>
      <c r="L13" s="54">
        <v>5</v>
      </c>
      <c r="M13" s="54">
        <v>0</v>
      </c>
      <c r="N13" s="54">
        <v>3</v>
      </c>
      <c r="O13" s="72">
        <f t="shared" si="1"/>
        <v>474</v>
      </c>
      <c r="P13" s="26">
        <v>0</v>
      </c>
      <c r="Q13" s="26">
        <f t="shared" si="0"/>
        <v>474</v>
      </c>
      <c r="R13" s="26">
        <v>0</v>
      </c>
    </row>
    <row r="14" spans="1:18">
      <c r="A14" s="41">
        <v>5</v>
      </c>
      <c r="B14" s="62" t="s">
        <v>130</v>
      </c>
      <c r="C14" s="54">
        <v>31</v>
      </c>
      <c r="D14" s="54">
        <v>306</v>
      </c>
      <c r="E14" s="54">
        <v>43</v>
      </c>
      <c r="F14" s="54">
        <v>3</v>
      </c>
      <c r="G14" s="54">
        <v>0</v>
      </c>
      <c r="H14" s="54">
        <v>0</v>
      </c>
      <c r="I14" s="54">
        <v>1</v>
      </c>
      <c r="J14" s="54">
        <v>2</v>
      </c>
      <c r="K14" s="54">
        <v>48</v>
      </c>
      <c r="L14" s="54">
        <v>2</v>
      </c>
      <c r="M14" s="54">
        <v>1</v>
      </c>
      <c r="N14" s="54">
        <v>4</v>
      </c>
      <c r="O14" s="72">
        <f t="shared" si="1"/>
        <v>441</v>
      </c>
      <c r="P14" s="26">
        <v>0</v>
      </c>
      <c r="Q14" s="26">
        <f t="shared" si="0"/>
        <v>441</v>
      </c>
      <c r="R14" s="26">
        <v>0</v>
      </c>
    </row>
    <row r="15" spans="1:18">
      <c r="A15" s="41">
        <v>6</v>
      </c>
      <c r="B15" s="61" t="s">
        <v>131</v>
      </c>
      <c r="C15" s="54">
        <v>30</v>
      </c>
      <c r="D15" s="54">
        <v>7</v>
      </c>
      <c r="E15" s="54">
        <v>342</v>
      </c>
      <c r="F15" s="54">
        <v>5</v>
      </c>
      <c r="G15" s="54">
        <v>7</v>
      </c>
      <c r="H15" s="54">
        <v>1</v>
      </c>
      <c r="I15" s="54">
        <v>1</v>
      </c>
      <c r="J15" s="54">
        <v>1</v>
      </c>
      <c r="K15" s="54">
        <v>0</v>
      </c>
      <c r="L15" s="54">
        <v>2</v>
      </c>
      <c r="M15" s="54">
        <v>1</v>
      </c>
      <c r="N15" s="54">
        <v>2</v>
      </c>
      <c r="O15" s="72">
        <f t="shared" si="1"/>
        <v>399</v>
      </c>
      <c r="P15" s="26">
        <v>0</v>
      </c>
      <c r="Q15" s="26">
        <f t="shared" si="0"/>
        <v>399</v>
      </c>
      <c r="R15" s="26">
        <v>0</v>
      </c>
    </row>
    <row r="16" spans="1:18">
      <c r="A16" s="41">
        <v>7</v>
      </c>
      <c r="B16" s="61" t="s">
        <v>132</v>
      </c>
      <c r="C16" s="54">
        <v>115</v>
      </c>
      <c r="D16" s="54">
        <v>16</v>
      </c>
      <c r="E16" s="54">
        <v>226</v>
      </c>
      <c r="F16" s="54">
        <v>3</v>
      </c>
      <c r="G16" s="54">
        <v>1</v>
      </c>
      <c r="H16" s="54">
        <v>2</v>
      </c>
      <c r="I16" s="54">
        <v>0</v>
      </c>
      <c r="J16" s="54">
        <v>5</v>
      </c>
      <c r="K16" s="54">
        <v>1</v>
      </c>
      <c r="L16" s="54">
        <v>2</v>
      </c>
      <c r="M16" s="54">
        <v>1</v>
      </c>
      <c r="N16" s="54">
        <v>0</v>
      </c>
      <c r="O16" s="72">
        <f t="shared" si="1"/>
        <v>372</v>
      </c>
      <c r="P16" s="26">
        <v>0</v>
      </c>
      <c r="Q16" s="26">
        <f t="shared" si="0"/>
        <v>372</v>
      </c>
      <c r="R16" s="26">
        <v>0</v>
      </c>
    </row>
    <row r="17" spans="1:18">
      <c r="A17" s="41">
        <v>8</v>
      </c>
      <c r="B17" s="61" t="s">
        <v>133</v>
      </c>
      <c r="C17" s="54">
        <v>38</v>
      </c>
      <c r="D17" s="54">
        <v>45</v>
      </c>
      <c r="E17" s="54">
        <v>254</v>
      </c>
      <c r="F17" s="54">
        <v>5</v>
      </c>
      <c r="G17" s="54">
        <v>2</v>
      </c>
      <c r="H17" s="54">
        <v>0</v>
      </c>
      <c r="I17" s="54">
        <v>0</v>
      </c>
      <c r="J17" s="54">
        <v>1</v>
      </c>
      <c r="K17" s="54">
        <v>0</v>
      </c>
      <c r="L17" s="54">
        <v>1</v>
      </c>
      <c r="M17" s="54">
        <v>1</v>
      </c>
      <c r="N17" s="54">
        <v>8</v>
      </c>
      <c r="O17" s="72">
        <f t="shared" si="1"/>
        <v>355</v>
      </c>
      <c r="P17" s="26">
        <v>0</v>
      </c>
      <c r="Q17" s="26">
        <f t="shared" si="0"/>
        <v>355</v>
      </c>
      <c r="R17" s="26">
        <v>0</v>
      </c>
    </row>
    <row r="18" spans="1:18">
      <c r="A18" s="41">
        <v>9</v>
      </c>
      <c r="B18" s="61" t="s">
        <v>134</v>
      </c>
      <c r="C18" s="54">
        <v>12</v>
      </c>
      <c r="D18" s="54">
        <v>46</v>
      </c>
      <c r="E18" s="54">
        <v>385</v>
      </c>
      <c r="F18" s="54">
        <v>2</v>
      </c>
      <c r="G18" s="54">
        <v>1</v>
      </c>
      <c r="H18" s="54">
        <v>0</v>
      </c>
      <c r="I18" s="54">
        <v>0</v>
      </c>
      <c r="J18" s="54">
        <v>1</v>
      </c>
      <c r="K18" s="54">
        <v>0</v>
      </c>
      <c r="L18" s="54">
        <v>3</v>
      </c>
      <c r="M18" s="54">
        <v>2</v>
      </c>
      <c r="N18" s="54">
        <v>1</v>
      </c>
      <c r="O18" s="72">
        <f t="shared" si="1"/>
        <v>453</v>
      </c>
      <c r="P18" s="26">
        <v>0</v>
      </c>
      <c r="Q18" s="26">
        <f t="shared" si="0"/>
        <v>453</v>
      </c>
      <c r="R18" s="26">
        <v>0</v>
      </c>
    </row>
    <row r="19" spans="1:18">
      <c r="A19" s="41">
        <v>10</v>
      </c>
      <c r="B19" s="61" t="s">
        <v>135</v>
      </c>
      <c r="C19" s="54">
        <v>65</v>
      </c>
      <c r="D19" s="54">
        <v>85</v>
      </c>
      <c r="E19" s="54">
        <v>210</v>
      </c>
      <c r="F19" s="54">
        <v>4</v>
      </c>
      <c r="G19" s="54">
        <v>1</v>
      </c>
      <c r="H19" s="54">
        <v>0</v>
      </c>
      <c r="I19" s="54">
        <v>0</v>
      </c>
      <c r="J19" s="54">
        <v>0</v>
      </c>
      <c r="K19" s="54">
        <v>2</v>
      </c>
      <c r="L19" s="54">
        <v>1</v>
      </c>
      <c r="M19" s="54">
        <v>0</v>
      </c>
      <c r="N19" s="54">
        <v>0</v>
      </c>
      <c r="O19" s="72">
        <f t="shared" si="1"/>
        <v>368</v>
      </c>
      <c r="P19" s="26">
        <v>0</v>
      </c>
      <c r="Q19" s="26">
        <f t="shared" si="0"/>
        <v>368</v>
      </c>
      <c r="R19" s="26">
        <v>0</v>
      </c>
    </row>
    <row r="20" spans="1:18" ht="22.5">
      <c r="A20" s="41">
        <v>11</v>
      </c>
      <c r="B20" s="62" t="s">
        <v>136</v>
      </c>
      <c r="C20" s="54">
        <v>151</v>
      </c>
      <c r="D20" s="54">
        <v>48</v>
      </c>
      <c r="E20" s="54">
        <v>197</v>
      </c>
      <c r="F20" s="54">
        <v>3</v>
      </c>
      <c r="G20" s="54">
        <v>1</v>
      </c>
      <c r="H20" s="54">
        <v>0</v>
      </c>
      <c r="I20" s="54">
        <v>0</v>
      </c>
      <c r="J20" s="54">
        <v>0</v>
      </c>
      <c r="K20" s="54">
        <v>0</v>
      </c>
      <c r="L20" s="54">
        <v>1</v>
      </c>
      <c r="M20" s="54">
        <v>0</v>
      </c>
      <c r="N20" s="54">
        <v>4</v>
      </c>
      <c r="O20" s="72">
        <f t="shared" si="1"/>
        <v>405</v>
      </c>
      <c r="P20" s="26">
        <v>0</v>
      </c>
      <c r="Q20" s="26">
        <f t="shared" si="0"/>
        <v>405</v>
      </c>
      <c r="R20" s="26">
        <v>0</v>
      </c>
    </row>
    <row r="21" spans="1:18" ht="22.5">
      <c r="A21" s="41">
        <v>12</v>
      </c>
      <c r="B21" s="62" t="s">
        <v>137</v>
      </c>
      <c r="C21" s="54">
        <v>29</v>
      </c>
      <c r="D21" s="54">
        <v>79</v>
      </c>
      <c r="E21" s="54">
        <v>282</v>
      </c>
      <c r="F21" s="54">
        <v>3</v>
      </c>
      <c r="G21" s="54">
        <v>1</v>
      </c>
      <c r="H21" s="54">
        <v>0</v>
      </c>
      <c r="I21" s="54">
        <v>0</v>
      </c>
      <c r="J21" s="54">
        <v>0</v>
      </c>
      <c r="K21" s="54">
        <v>0</v>
      </c>
      <c r="L21" s="54">
        <v>3</v>
      </c>
      <c r="M21" s="54">
        <v>1</v>
      </c>
      <c r="N21" s="54">
        <v>0</v>
      </c>
      <c r="O21" s="72">
        <f t="shared" si="1"/>
        <v>398</v>
      </c>
      <c r="P21" s="26">
        <v>0</v>
      </c>
      <c r="Q21" s="26">
        <f t="shared" si="0"/>
        <v>398</v>
      </c>
      <c r="R21" s="26">
        <v>0</v>
      </c>
    </row>
    <row r="22" spans="1:18" ht="22.5">
      <c r="A22" s="41">
        <v>13</v>
      </c>
      <c r="B22" s="61" t="s">
        <v>138</v>
      </c>
      <c r="C22" s="54">
        <v>16</v>
      </c>
      <c r="D22" s="54">
        <v>110</v>
      </c>
      <c r="E22" s="54">
        <v>421</v>
      </c>
      <c r="F22" s="54">
        <v>0</v>
      </c>
      <c r="G22" s="54">
        <v>0</v>
      </c>
      <c r="H22" s="54">
        <v>0</v>
      </c>
      <c r="I22" s="54">
        <v>1</v>
      </c>
      <c r="J22" s="54">
        <v>1</v>
      </c>
      <c r="K22" s="54">
        <v>0</v>
      </c>
      <c r="L22" s="54">
        <v>2</v>
      </c>
      <c r="M22" s="54">
        <v>1</v>
      </c>
      <c r="N22" s="54">
        <v>1</v>
      </c>
      <c r="O22" s="72">
        <f t="shared" si="1"/>
        <v>553</v>
      </c>
      <c r="P22" s="26">
        <v>0</v>
      </c>
      <c r="Q22" s="26">
        <f t="shared" si="0"/>
        <v>553</v>
      </c>
      <c r="R22" s="26">
        <v>0</v>
      </c>
    </row>
    <row r="23" spans="1:18">
      <c r="A23" s="41">
        <v>14</v>
      </c>
      <c r="B23" s="61" t="s">
        <v>139</v>
      </c>
      <c r="C23" s="54">
        <v>40</v>
      </c>
      <c r="D23" s="54">
        <v>103</v>
      </c>
      <c r="E23" s="54">
        <v>282</v>
      </c>
      <c r="F23" s="54">
        <v>8</v>
      </c>
      <c r="G23" s="54">
        <v>12</v>
      </c>
      <c r="H23" s="54">
        <v>1</v>
      </c>
      <c r="I23" s="54">
        <v>0</v>
      </c>
      <c r="J23" s="54">
        <v>0</v>
      </c>
      <c r="K23" s="54">
        <v>0</v>
      </c>
      <c r="L23" s="54">
        <v>2</v>
      </c>
      <c r="M23" s="54">
        <v>0</v>
      </c>
      <c r="N23" s="54">
        <v>1</v>
      </c>
      <c r="O23" s="72">
        <f t="shared" si="1"/>
        <v>449</v>
      </c>
      <c r="P23" s="26">
        <v>0</v>
      </c>
      <c r="Q23" s="26">
        <f t="shared" si="0"/>
        <v>449</v>
      </c>
      <c r="R23" s="26">
        <v>0</v>
      </c>
    </row>
    <row r="24" spans="1:18">
      <c r="A24" s="41">
        <v>15</v>
      </c>
      <c r="B24" s="61" t="s">
        <v>140</v>
      </c>
      <c r="C24" s="54">
        <f t="array" ref="C24:N37">TRANSPOSE(Constiuence!C40:'Constiuence'!P51)</f>
        <v>120</v>
      </c>
      <c r="D24" s="54">
        <v>241</v>
      </c>
      <c r="E24" s="54">
        <v>84</v>
      </c>
      <c r="F24" s="54">
        <v>4</v>
      </c>
      <c r="G24" s="54">
        <v>1</v>
      </c>
      <c r="H24" s="54">
        <v>0</v>
      </c>
      <c r="I24" s="54">
        <v>0</v>
      </c>
      <c r="J24" s="54">
        <v>0</v>
      </c>
      <c r="K24" s="54">
        <v>7</v>
      </c>
      <c r="L24" s="54">
        <v>1</v>
      </c>
      <c r="M24" s="54">
        <v>1</v>
      </c>
      <c r="N24" s="54">
        <v>0</v>
      </c>
      <c r="O24" s="72">
        <f t="shared" si="1"/>
        <v>459</v>
      </c>
      <c r="P24" s="26">
        <v>0</v>
      </c>
      <c r="Q24" s="26">
        <f t="shared" si="0"/>
        <v>459</v>
      </c>
      <c r="R24" s="26">
        <v>0</v>
      </c>
    </row>
    <row r="25" spans="1:18">
      <c r="A25" s="41">
        <v>16</v>
      </c>
      <c r="B25" s="61" t="s">
        <v>141</v>
      </c>
      <c r="C25" s="54">
        <v>81</v>
      </c>
      <c r="D25" s="54">
        <v>200</v>
      </c>
      <c r="E25" s="54">
        <v>55</v>
      </c>
      <c r="F25" s="54">
        <v>1</v>
      </c>
      <c r="G25" s="54">
        <v>0</v>
      </c>
      <c r="H25" s="54">
        <v>0</v>
      </c>
      <c r="I25" s="54">
        <v>0</v>
      </c>
      <c r="J25" s="54">
        <v>1</v>
      </c>
      <c r="K25" s="54">
        <v>0</v>
      </c>
      <c r="L25" s="54">
        <v>1</v>
      </c>
      <c r="M25" s="54">
        <v>1</v>
      </c>
      <c r="N25" s="54">
        <v>4</v>
      </c>
      <c r="O25" s="72">
        <f t="shared" si="1"/>
        <v>344</v>
      </c>
      <c r="P25" s="26">
        <v>0</v>
      </c>
      <c r="Q25" s="26">
        <f t="shared" si="0"/>
        <v>344</v>
      </c>
      <c r="R25" s="26">
        <v>0</v>
      </c>
    </row>
    <row r="26" spans="1:18" ht="22.5">
      <c r="A26" s="41">
        <v>17</v>
      </c>
      <c r="B26" s="61" t="s">
        <v>142</v>
      </c>
      <c r="C26" s="54">
        <v>1</v>
      </c>
      <c r="D26" s="54">
        <v>380</v>
      </c>
      <c r="E26" s="54">
        <v>45</v>
      </c>
      <c r="F26" s="54">
        <v>37</v>
      </c>
      <c r="G26" s="54">
        <v>1</v>
      </c>
      <c r="H26" s="54">
        <v>0</v>
      </c>
      <c r="I26" s="54">
        <v>0</v>
      </c>
      <c r="J26" s="54">
        <v>0</v>
      </c>
      <c r="K26" s="54">
        <v>0</v>
      </c>
      <c r="L26" s="54">
        <v>3</v>
      </c>
      <c r="M26" s="54">
        <v>4</v>
      </c>
      <c r="N26" s="54">
        <v>2</v>
      </c>
      <c r="O26" s="72">
        <f t="shared" si="1"/>
        <v>473</v>
      </c>
      <c r="P26" s="26">
        <v>0</v>
      </c>
      <c r="Q26" s="26">
        <f t="shared" si="0"/>
        <v>473</v>
      </c>
      <c r="R26" s="26">
        <v>0</v>
      </c>
    </row>
    <row r="27" spans="1:18" ht="22.5">
      <c r="A27" s="41">
        <v>18</v>
      </c>
      <c r="B27" s="61" t="s">
        <v>143</v>
      </c>
      <c r="C27" s="54">
        <v>3</v>
      </c>
      <c r="D27" s="54">
        <v>470</v>
      </c>
      <c r="E27" s="54">
        <v>8</v>
      </c>
      <c r="F27" s="54">
        <v>31</v>
      </c>
      <c r="G27" s="54">
        <v>0</v>
      </c>
      <c r="H27" s="54">
        <v>0</v>
      </c>
      <c r="I27" s="54">
        <v>0</v>
      </c>
      <c r="J27" s="54">
        <v>0</v>
      </c>
      <c r="K27" s="54">
        <v>4</v>
      </c>
      <c r="L27" s="54">
        <v>0</v>
      </c>
      <c r="M27" s="54">
        <v>1</v>
      </c>
      <c r="N27" s="54">
        <v>1</v>
      </c>
      <c r="O27" s="72">
        <f t="shared" si="1"/>
        <v>518</v>
      </c>
      <c r="P27" s="26">
        <v>0</v>
      </c>
      <c r="Q27" s="26">
        <f t="shared" si="0"/>
        <v>518</v>
      </c>
      <c r="R27" s="26">
        <v>0</v>
      </c>
    </row>
    <row r="28" spans="1:18">
      <c r="A28" s="41">
        <v>19</v>
      </c>
      <c r="B28" s="61" t="s">
        <v>144</v>
      </c>
      <c r="C28" s="54">
        <v>113</v>
      </c>
      <c r="D28" s="54">
        <v>212</v>
      </c>
      <c r="E28" s="54">
        <v>75</v>
      </c>
      <c r="F28" s="54">
        <v>13</v>
      </c>
      <c r="G28" s="54">
        <v>1</v>
      </c>
      <c r="H28" s="54">
        <v>0</v>
      </c>
      <c r="I28" s="54">
        <v>0</v>
      </c>
      <c r="J28" s="54">
        <v>0</v>
      </c>
      <c r="K28" s="54">
        <v>5</v>
      </c>
      <c r="L28" s="54">
        <v>1</v>
      </c>
      <c r="M28" s="54">
        <v>1</v>
      </c>
      <c r="N28" s="54">
        <v>3</v>
      </c>
      <c r="O28" s="72">
        <f t="shared" si="1"/>
        <v>424</v>
      </c>
      <c r="P28" s="26">
        <v>0</v>
      </c>
      <c r="Q28" s="26">
        <f t="shared" si="0"/>
        <v>424</v>
      </c>
      <c r="R28" s="26">
        <v>0</v>
      </c>
    </row>
    <row r="29" spans="1:18">
      <c r="A29" s="41">
        <v>20</v>
      </c>
      <c r="B29" s="61" t="s">
        <v>145</v>
      </c>
      <c r="C29" s="54">
        <v>4</v>
      </c>
      <c r="D29" s="54">
        <v>96</v>
      </c>
      <c r="E29" s="54">
        <v>398</v>
      </c>
      <c r="F29" s="54">
        <v>5</v>
      </c>
      <c r="G29" s="54">
        <v>0</v>
      </c>
      <c r="H29" s="54">
        <v>0</v>
      </c>
      <c r="I29" s="54">
        <v>0</v>
      </c>
      <c r="J29" s="54">
        <v>1</v>
      </c>
      <c r="K29" s="54">
        <v>0</v>
      </c>
      <c r="L29" s="54">
        <v>0</v>
      </c>
      <c r="M29" s="54">
        <v>0</v>
      </c>
      <c r="N29" s="54">
        <v>1</v>
      </c>
      <c r="O29" s="72">
        <f t="shared" si="1"/>
        <v>505</v>
      </c>
      <c r="P29" s="26">
        <v>0</v>
      </c>
      <c r="Q29" s="26">
        <f t="shared" si="0"/>
        <v>505</v>
      </c>
      <c r="R29" s="26">
        <v>0</v>
      </c>
    </row>
    <row r="30" spans="1:18">
      <c r="A30" s="41">
        <v>21</v>
      </c>
      <c r="B30" s="61" t="s">
        <v>146</v>
      </c>
      <c r="C30" s="54">
        <v>29</v>
      </c>
      <c r="D30" s="54">
        <v>258</v>
      </c>
      <c r="E30" s="54">
        <v>262</v>
      </c>
      <c r="F30" s="54">
        <v>6</v>
      </c>
      <c r="G30" s="54">
        <v>0</v>
      </c>
      <c r="H30" s="54">
        <v>0</v>
      </c>
      <c r="I30" s="54">
        <v>0</v>
      </c>
      <c r="J30" s="54">
        <v>0</v>
      </c>
      <c r="K30" s="54">
        <v>2</v>
      </c>
      <c r="L30" s="54">
        <v>2</v>
      </c>
      <c r="M30" s="54">
        <v>0</v>
      </c>
      <c r="N30" s="54">
        <v>2</v>
      </c>
      <c r="O30" s="72">
        <f t="shared" si="1"/>
        <v>561</v>
      </c>
      <c r="P30" s="26">
        <v>0</v>
      </c>
      <c r="Q30" s="26">
        <f t="shared" si="0"/>
        <v>561</v>
      </c>
      <c r="R30" s="26">
        <v>0</v>
      </c>
    </row>
    <row r="31" spans="1:18">
      <c r="A31" s="41">
        <v>22</v>
      </c>
      <c r="B31" s="61" t="s">
        <v>147</v>
      </c>
      <c r="C31" s="54">
        <v>255</v>
      </c>
      <c r="D31" s="54">
        <v>120</v>
      </c>
      <c r="E31" s="54">
        <v>210</v>
      </c>
      <c r="F31" s="54">
        <v>1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2</v>
      </c>
      <c r="M31" s="54">
        <v>1</v>
      </c>
      <c r="N31" s="54">
        <v>0</v>
      </c>
      <c r="O31" s="72">
        <f t="shared" si="1"/>
        <v>589</v>
      </c>
      <c r="P31" s="26">
        <v>0</v>
      </c>
      <c r="Q31" s="26">
        <f t="shared" si="0"/>
        <v>589</v>
      </c>
      <c r="R31" s="26">
        <v>0</v>
      </c>
    </row>
    <row r="32" spans="1:18">
      <c r="A32" s="41">
        <v>23</v>
      </c>
      <c r="B32" s="61" t="s">
        <v>148</v>
      </c>
      <c r="C32" s="54">
        <v>58</v>
      </c>
      <c r="D32" s="54">
        <v>29</v>
      </c>
      <c r="E32" s="54">
        <v>336</v>
      </c>
      <c r="F32" s="54">
        <v>3</v>
      </c>
      <c r="G32" s="54">
        <v>0</v>
      </c>
      <c r="H32" s="54">
        <v>1</v>
      </c>
      <c r="I32" s="54">
        <v>0</v>
      </c>
      <c r="J32" s="54">
        <v>1</v>
      </c>
      <c r="K32" s="54">
        <v>0</v>
      </c>
      <c r="L32" s="54">
        <v>2</v>
      </c>
      <c r="M32" s="54">
        <v>1</v>
      </c>
      <c r="N32" s="54">
        <v>2</v>
      </c>
      <c r="O32" s="72">
        <f t="shared" si="1"/>
        <v>433</v>
      </c>
      <c r="P32" s="26">
        <v>0</v>
      </c>
      <c r="Q32" s="26">
        <f t="shared" si="0"/>
        <v>433</v>
      </c>
      <c r="R32" s="26">
        <v>0</v>
      </c>
    </row>
    <row r="33" spans="1:18">
      <c r="A33" s="41">
        <v>24</v>
      </c>
      <c r="B33" s="61" t="s">
        <v>149</v>
      </c>
      <c r="C33" s="54">
        <v>134</v>
      </c>
      <c r="D33" s="54">
        <v>182</v>
      </c>
      <c r="E33" s="54">
        <v>150</v>
      </c>
      <c r="F33" s="54">
        <v>10</v>
      </c>
      <c r="G33" s="54">
        <v>1</v>
      </c>
      <c r="H33" s="54">
        <v>0</v>
      </c>
      <c r="I33" s="54">
        <v>3</v>
      </c>
      <c r="J33" s="54">
        <v>1</v>
      </c>
      <c r="K33" s="54">
        <v>11</v>
      </c>
      <c r="L33" s="54">
        <v>5</v>
      </c>
      <c r="M33" s="54">
        <v>1</v>
      </c>
      <c r="N33" s="54">
        <v>6</v>
      </c>
      <c r="O33" s="72">
        <f t="shared" si="1"/>
        <v>504</v>
      </c>
      <c r="P33" s="26">
        <v>0</v>
      </c>
      <c r="Q33" s="26">
        <f t="shared" si="0"/>
        <v>504</v>
      </c>
      <c r="R33" s="26">
        <v>0</v>
      </c>
    </row>
    <row r="34" spans="1:18">
      <c r="A34" s="41">
        <v>25</v>
      </c>
      <c r="B34" s="61" t="s">
        <v>150</v>
      </c>
      <c r="C34" s="54">
        <v>3</v>
      </c>
      <c r="D34" s="54">
        <v>384</v>
      </c>
      <c r="E34" s="54">
        <v>37</v>
      </c>
      <c r="F34" s="54">
        <v>9</v>
      </c>
      <c r="G34" s="54">
        <v>0</v>
      </c>
      <c r="H34" s="54">
        <v>0</v>
      </c>
      <c r="I34" s="54">
        <v>0</v>
      </c>
      <c r="J34" s="54">
        <v>0</v>
      </c>
      <c r="K34" s="54">
        <v>6</v>
      </c>
      <c r="L34" s="54">
        <v>1</v>
      </c>
      <c r="M34" s="54">
        <v>0</v>
      </c>
      <c r="N34" s="54">
        <v>0</v>
      </c>
      <c r="O34" s="72">
        <f t="shared" si="1"/>
        <v>440</v>
      </c>
      <c r="P34" s="26">
        <v>0</v>
      </c>
      <c r="Q34" s="26">
        <f t="shared" si="0"/>
        <v>440</v>
      </c>
      <c r="R34" s="26">
        <v>0</v>
      </c>
    </row>
    <row r="35" spans="1:18">
      <c r="A35" s="41">
        <v>26</v>
      </c>
      <c r="B35" s="61" t="s">
        <v>151</v>
      </c>
      <c r="C35" s="54">
        <v>303</v>
      </c>
      <c r="D35" s="54">
        <v>100</v>
      </c>
      <c r="E35" s="54">
        <v>147</v>
      </c>
      <c r="F35" s="54">
        <v>1</v>
      </c>
      <c r="G35" s="54">
        <v>1</v>
      </c>
      <c r="H35" s="54">
        <v>0</v>
      </c>
      <c r="I35" s="54">
        <v>2</v>
      </c>
      <c r="J35" s="54">
        <v>3</v>
      </c>
      <c r="K35" s="54">
        <v>0</v>
      </c>
      <c r="L35" s="54">
        <v>0</v>
      </c>
      <c r="M35" s="54">
        <v>1</v>
      </c>
      <c r="N35" s="54">
        <v>5</v>
      </c>
      <c r="O35" s="72">
        <f t="shared" si="1"/>
        <v>563</v>
      </c>
      <c r="P35" s="26">
        <v>0</v>
      </c>
      <c r="Q35" s="26">
        <f t="shared" si="0"/>
        <v>563</v>
      </c>
      <c r="R35" s="26">
        <v>0</v>
      </c>
    </row>
    <row r="36" spans="1:18">
      <c r="A36" s="41">
        <v>27</v>
      </c>
      <c r="B36" s="61" t="s">
        <v>152</v>
      </c>
      <c r="C36" s="54">
        <v>12</v>
      </c>
      <c r="D36" s="54">
        <v>122</v>
      </c>
      <c r="E36" s="54">
        <v>326</v>
      </c>
      <c r="F36" s="54">
        <v>3</v>
      </c>
      <c r="G36" s="54">
        <v>0</v>
      </c>
      <c r="H36" s="54">
        <v>0</v>
      </c>
      <c r="I36" s="54">
        <v>0</v>
      </c>
      <c r="J36" s="54">
        <v>3</v>
      </c>
      <c r="K36" s="54">
        <v>3</v>
      </c>
      <c r="L36" s="54">
        <v>8</v>
      </c>
      <c r="M36" s="54">
        <v>0</v>
      </c>
      <c r="N36" s="54">
        <v>1</v>
      </c>
      <c r="O36" s="72">
        <f t="shared" si="1"/>
        <v>478</v>
      </c>
      <c r="P36" s="26">
        <v>0</v>
      </c>
      <c r="Q36" s="26">
        <f t="shared" si="0"/>
        <v>478</v>
      </c>
      <c r="R36" s="26">
        <v>0</v>
      </c>
    </row>
    <row r="37" spans="1:18">
      <c r="A37" s="41">
        <v>28</v>
      </c>
      <c r="B37" s="61" t="s">
        <v>153</v>
      </c>
      <c r="C37" s="54">
        <v>16</v>
      </c>
      <c r="D37" s="54">
        <v>105</v>
      </c>
      <c r="E37" s="54">
        <v>514</v>
      </c>
      <c r="F37" s="54">
        <v>8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2</v>
      </c>
      <c r="M37" s="54">
        <v>0</v>
      </c>
      <c r="N37" s="54">
        <v>3</v>
      </c>
      <c r="O37" s="72">
        <f t="shared" si="1"/>
        <v>648</v>
      </c>
      <c r="P37" s="26">
        <v>0</v>
      </c>
      <c r="Q37" s="26">
        <f t="shared" si="0"/>
        <v>648</v>
      </c>
      <c r="R37" s="26">
        <v>0</v>
      </c>
    </row>
    <row r="38" spans="1:18">
      <c r="A38" s="41">
        <v>29</v>
      </c>
      <c r="B38" s="61" t="s">
        <v>154</v>
      </c>
      <c r="C38" s="54">
        <f t="array" ref="C38:N51">TRANSPOSE(Constiuence!C73:'Constiuence'!P84)</f>
        <v>9</v>
      </c>
      <c r="D38" s="54">
        <v>122</v>
      </c>
      <c r="E38" s="54">
        <v>538</v>
      </c>
      <c r="F38" s="54">
        <v>4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3</v>
      </c>
      <c r="M38" s="54">
        <v>0</v>
      </c>
      <c r="N38" s="54">
        <v>1</v>
      </c>
      <c r="O38" s="72">
        <f t="shared" si="1"/>
        <v>677</v>
      </c>
      <c r="P38" s="26">
        <v>0</v>
      </c>
      <c r="Q38" s="26">
        <f t="shared" si="0"/>
        <v>677</v>
      </c>
      <c r="R38" s="26">
        <v>0</v>
      </c>
    </row>
    <row r="39" spans="1:18">
      <c r="A39" s="41">
        <v>30</v>
      </c>
      <c r="B39" s="61" t="s">
        <v>155</v>
      </c>
      <c r="C39" s="54">
        <v>125</v>
      </c>
      <c r="D39" s="54">
        <v>44</v>
      </c>
      <c r="E39" s="54">
        <v>289</v>
      </c>
      <c r="F39" s="54">
        <v>5</v>
      </c>
      <c r="G39" s="54">
        <v>1</v>
      </c>
      <c r="H39" s="54">
        <v>1</v>
      </c>
      <c r="I39" s="54">
        <v>1</v>
      </c>
      <c r="J39" s="54">
        <v>0</v>
      </c>
      <c r="K39" s="54">
        <v>2</v>
      </c>
      <c r="L39" s="54">
        <v>1</v>
      </c>
      <c r="M39" s="54">
        <v>1</v>
      </c>
      <c r="N39" s="54">
        <v>8</v>
      </c>
      <c r="O39" s="72">
        <f t="shared" si="1"/>
        <v>478</v>
      </c>
      <c r="P39" s="26">
        <v>0</v>
      </c>
      <c r="Q39" s="26">
        <f t="shared" si="0"/>
        <v>478</v>
      </c>
      <c r="R39" s="26">
        <v>0</v>
      </c>
    </row>
    <row r="40" spans="1:18">
      <c r="A40" s="41">
        <v>31</v>
      </c>
      <c r="B40" s="61" t="s">
        <v>156</v>
      </c>
      <c r="C40" s="54">
        <v>41</v>
      </c>
      <c r="D40" s="54">
        <v>77</v>
      </c>
      <c r="E40" s="54">
        <v>392</v>
      </c>
      <c r="F40" s="54">
        <v>3</v>
      </c>
      <c r="G40" s="54">
        <v>0</v>
      </c>
      <c r="H40" s="54">
        <v>0</v>
      </c>
      <c r="I40" s="54">
        <v>0</v>
      </c>
      <c r="J40" s="54">
        <v>1</v>
      </c>
      <c r="K40" s="54">
        <v>0</v>
      </c>
      <c r="L40" s="54">
        <v>2</v>
      </c>
      <c r="M40" s="54">
        <v>0</v>
      </c>
      <c r="N40" s="54">
        <v>0</v>
      </c>
      <c r="O40" s="72">
        <f t="shared" si="1"/>
        <v>516</v>
      </c>
      <c r="P40" s="26">
        <v>0</v>
      </c>
      <c r="Q40" s="26">
        <f t="shared" si="0"/>
        <v>516</v>
      </c>
      <c r="R40" s="26">
        <v>0</v>
      </c>
    </row>
    <row r="41" spans="1:18">
      <c r="A41" s="41">
        <v>32</v>
      </c>
      <c r="B41" s="61" t="s">
        <v>157</v>
      </c>
      <c r="C41" s="54">
        <v>4</v>
      </c>
      <c r="D41" s="54">
        <v>634</v>
      </c>
      <c r="E41" s="54">
        <v>15</v>
      </c>
      <c r="F41" s="54">
        <v>10</v>
      </c>
      <c r="G41" s="54">
        <v>0</v>
      </c>
      <c r="H41" s="54">
        <v>0</v>
      </c>
      <c r="I41" s="54">
        <v>0</v>
      </c>
      <c r="J41" s="54">
        <v>0</v>
      </c>
      <c r="K41" s="54">
        <v>1</v>
      </c>
      <c r="L41" s="54">
        <v>2</v>
      </c>
      <c r="M41" s="54">
        <v>4</v>
      </c>
      <c r="N41" s="54">
        <v>1</v>
      </c>
      <c r="O41" s="72">
        <f t="shared" si="1"/>
        <v>671</v>
      </c>
      <c r="P41" s="26">
        <v>0</v>
      </c>
      <c r="Q41" s="26">
        <f t="shared" si="0"/>
        <v>671</v>
      </c>
      <c r="R41" s="26">
        <v>0</v>
      </c>
    </row>
    <row r="42" spans="1:18">
      <c r="A42" s="41">
        <v>33</v>
      </c>
      <c r="B42" s="61" t="s">
        <v>158</v>
      </c>
      <c r="C42" s="54">
        <v>5</v>
      </c>
      <c r="D42" s="54">
        <v>397</v>
      </c>
      <c r="E42" s="54">
        <v>12</v>
      </c>
      <c r="F42" s="54">
        <v>78</v>
      </c>
      <c r="G42" s="54">
        <v>1</v>
      </c>
      <c r="H42" s="54">
        <v>0</v>
      </c>
      <c r="I42" s="54">
        <v>1</v>
      </c>
      <c r="J42" s="54">
        <v>0</v>
      </c>
      <c r="K42" s="54">
        <v>16</v>
      </c>
      <c r="L42" s="54">
        <v>7</v>
      </c>
      <c r="M42" s="54">
        <v>1</v>
      </c>
      <c r="N42" s="54">
        <v>5</v>
      </c>
      <c r="O42" s="72">
        <f t="shared" si="1"/>
        <v>523</v>
      </c>
      <c r="P42" s="26">
        <v>0</v>
      </c>
      <c r="Q42" s="26">
        <f t="shared" si="0"/>
        <v>523</v>
      </c>
      <c r="R42" s="26">
        <v>0</v>
      </c>
    </row>
    <row r="43" spans="1:18">
      <c r="A43" s="41">
        <v>34</v>
      </c>
      <c r="B43" s="61" t="s">
        <v>159</v>
      </c>
      <c r="C43" s="54">
        <v>65</v>
      </c>
      <c r="D43" s="54">
        <v>461</v>
      </c>
      <c r="E43" s="54">
        <v>30</v>
      </c>
      <c r="F43" s="54">
        <v>39</v>
      </c>
      <c r="G43" s="54">
        <v>1</v>
      </c>
      <c r="H43" s="54">
        <v>0</v>
      </c>
      <c r="I43" s="54">
        <v>0</v>
      </c>
      <c r="J43" s="54">
        <v>7</v>
      </c>
      <c r="K43" s="54">
        <v>11</v>
      </c>
      <c r="L43" s="54">
        <v>4</v>
      </c>
      <c r="M43" s="54">
        <v>1</v>
      </c>
      <c r="N43" s="54">
        <v>3</v>
      </c>
      <c r="O43" s="72">
        <f t="shared" si="1"/>
        <v>622</v>
      </c>
      <c r="P43" s="26">
        <v>0</v>
      </c>
      <c r="Q43" s="26">
        <f t="shared" si="0"/>
        <v>622</v>
      </c>
      <c r="R43" s="26">
        <v>0</v>
      </c>
    </row>
    <row r="44" spans="1:18" ht="22.5">
      <c r="A44" s="41">
        <v>35</v>
      </c>
      <c r="B44" s="61" t="s">
        <v>160</v>
      </c>
      <c r="C44" s="54">
        <v>5</v>
      </c>
      <c r="D44" s="54">
        <v>546</v>
      </c>
      <c r="E44" s="54">
        <v>51</v>
      </c>
      <c r="F44" s="54">
        <v>28</v>
      </c>
      <c r="G44" s="54">
        <v>1</v>
      </c>
      <c r="H44" s="54">
        <v>0</v>
      </c>
      <c r="I44" s="54">
        <v>0</v>
      </c>
      <c r="J44" s="54">
        <v>0</v>
      </c>
      <c r="K44" s="54">
        <v>24</v>
      </c>
      <c r="L44" s="54">
        <v>7</v>
      </c>
      <c r="M44" s="54">
        <v>3</v>
      </c>
      <c r="N44" s="54">
        <v>4</v>
      </c>
      <c r="O44" s="72">
        <f t="shared" si="1"/>
        <v>669</v>
      </c>
      <c r="P44" s="26">
        <v>0</v>
      </c>
      <c r="Q44" s="26">
        <f t="shared" si="0"/>
        <v>669</v>
      </c>
      <c r="R44" s="26">
        <v>0</v>
      </c>
    </row>
    <row r="45" spans="1:18" ht="22.5">
      <c r="A45" s="41">
        <v>36</v>
      </c>
      <c r="B45" s="61" t="s">
        <v>161</v>
      </c>
      <c r="C45" s="54">
        <v>4</v>
      </c>
      <c r="D45" s="54">
        <v>438</v>
      </c>
      <c r="E45" s="54">
        <v>69</v>
      </c>
      <c r="F45" s="54">
        <v>14</v>
      </c>
      <c r="G45" s="54">
        <v>0</v>
      </c>
      <c r="H45" s="54">
        <v>0</v>
      </c>
      <c r="I45" s="54">
        <v>0</v>
      </c>
      <c r="J45" s="54">
        <v>0</v>
      </c>
      <c r="K45" s="54">
        <v>23</v>
      </c>
      <c r="L45" s="54">
        <v>1</v>
      </c>
      <c r="M45" s="54">
        <v>1</v>
      </c>
      <c r="N45" s="54">
        <v>0</v>
      </c>
      <c r="O45" s="72">
        <f t="shared" si="1"/>
        <v>550</v>
      </c>
      <c r="P45" s="26">
        <v>0</v>
      </c>
      <c r="Q45" s="26">
        <f t="shared" si="0"/>
        <v>550</v>
      </c>
      <c r="R45" s="26">
        <v>0</v>
      </c>
    </row>
    <row r="46" spans="1:18" ht="22.5">
      <c r="A46" s="41">
        <v>37</v>
      </c>
      <c r="B46" s="61" t="s">
        <v>162</v>
      </c>
      <c r="C46" s="54">
        <v>2</v>
      </c>
      <c r="D46" s="54">
        <v>620</v>
      </c>
      <c r="E46" s="54">
        <v>48</v>
      </c>
      <c r="F46" s="54">
        <v>17</v>
      </c>
      <c r="G46" s="54">
        <v>1</v>
      </c>
      <c r="H46" s="54">
        <v>0</v>
      </c>
      <c r="I46" s="54">
        <v>0</v>
      </c>
      <c r="J46" s="54">
        <v>0</v>
      </c>
      <c r="K46" s="54">
        <v>26</v>
      </c>
      <c r="L46" s="54">
        <v>3</v>
      </c>
      <c r="M46" s="54">
        <v>1</v>
      </c>
      <c r="N46" s="54">
        <v>2</v>
      </c>
      <c r="O46" s="72">
        <f t="shared" si="1"/>
        <v>720</v>
      </c>
      <c r="P46" s="26">
        <v>0</v>
      </c>
      <c r="Q46" s="26">
        <f t="shared" si="0"/>
        <v>720</v>
      </c>
      <c r="R46" s="26">
        <v>0</v>
      </c>
    </row>
    <row r="47" spans="1:18">
      <c r="A47" s="41">
        <v>38</v>
      </c>
      <c r="B47" s="61" t="s">
        <v>163</v>
      </c>
      <c r="C47" s="54">
        <v>59</v>
      </c>
      <c r="D47" s="54">
        <v>300</v>
      </c>
      <c r="E47" s="54">
        <v>299</v>
      </c>
      <c r="F47" s="54">
        <v>1</v>
      </c>
      <c r="G47" s="54">
        <v>1</v>
      </c>
      <c r="H47" s="54">
        <v>0</v>
      </c>
      <c r="I47" s="54">
        <v>1</v>
      </c>
      <c r="J47" s="54">
        <v>3</v>
      </c>
      <c r="K47" s="54">
        <v>0</v>
      </c>
      <c r="L47" s="54">
        <v>4</v>
      </c>
      <c r="M47" s="54">
        <v>0</v>
      </c>
      <c r="N47" s="54">
        <v>0</v>
      </c>
      <c r="O47" s="72">
        <f t="shared" si="1"/>
        <v>668</v>
      </c>
      <c r="P47" s="26">
        <v>0</v>
      </c>
      <c r="Q47" s="26">
        <f t="shared" si="0"/>
        <v>668</v>
      </c>
      <c r="R47" s="26">
        <v>0</v>
      </c>
    </row>
    <row r="48" spans="1:18">
      <c r="A48" s="41">
        <v>39</v>
      </c>
      <c r="B48" s="61" t="s">
        <v>164</v>
      </c>
      <c r="C48" s="54">
        <v>51</v>
      </c>
      <c r="D48" s="54">
        <v>180</v>
      </c>
      <c r="E48" s="54">
        <v>325</v>
      </c>
      <c r="F48" s="54">
        <v>6</v>
      </c>
      <c r="G48" s="54">
        <v>1</v>
      </c>
      <c r="H48" s="54">
        <v>0</v>
      </c>
      <c r="I48" s="54">
        <v>2</v>
      </c>
      <c r="J48" s="54">
        <v>0</v>
      </c>
      <c r="K48" s="54">
        <v>1</v>
      </c>
      <c r="L48" s="54">
        <v>1</v>
      </c>
      <c r="M48" s="54">
        <v>1</v>
      </c>
      <c r="N48" s="54">
        <v>7</v>
      </c>
      <c r="O48" s="72">
        <f t="shared" si="1"/>
        <v>575</v>
      </c>
      <c r="P48" s="26">
        <v>0</v>
      </c>
      <c r="Q48" s="26">
        <f t="shared" si="0"/>
        <v>575</v>
      </c>
      <c r="R48" s="26">
        <v>0</v>
      </c>
    </row>
    <row r="49" spans="1:18">
      <c r="A49" s="41">
        <v>40</v>
      </c>
      <c r="B49" s="61" t="s">
        <v>165</v>
      </c>
      <c r="C49" s="54">
        <v>74</v>
      </c>
      <c r="D49" s="54">
        <v>168</v>
      </c>
      <c r="E49" s="54">
        <v>484</v>
      </c>
      <c r="F49" s="54">
        <v>5</v>
      </c>
      <c r="G49" s="54">
        <v>1</v>
      </c>
      <c r="H49" s="54">
        <v>0</v>
      </c>
      <c r="I49" s="54">
        <v>3</v>
      </c>
      <c r="J49" s="54">
        <v>3</v>
      </c>
      <c r="K49" s="54">
        <v>1</v>
      </c>
      <c r="L49" s="54">
        <v>4</v>
      </c>
      <c r="M49" s="54">
        <v>1</v>
      </c>
      <c r="N49" s="54">
        <v>1</v>
      </c>
      <c r="O49" s="72">
        <f t="shared" si="1"/>
        <v>745</v>
      </c>
      <c r="P49" s="26">
        <v>0</v>
      </c>
      <c r="Q49" s="26">
        <f t="shared" si="0"/>
        <v>745</v>
      </c>
      <c r="R49" s="26">
        <v>0</v>
      </c>
    </row>
    <row r="50" spans="1:18">
      <c r="A50" s="41">
        <v>41</v>
      </c>
      <c r="B50" s="61" t="s">
        <v>166</v>
      </c>
      <c r="C50" s="54">
        <v>227</v>
      </c>
      <c r="D50" s="54">
        <v>175</v>
      </c>
      <c r="E50" s="54">
        <v>261</v>
      </c>
      <c r="F50" s="54">
        <v>3</v>
      </c>
      <c r="G50" s="54">
        <v>1</v>
      </c>
      <c r="H50" s="54">
        <v>0</v>
      </c>
      <c r="I50" s="54">
        <v>1</v>
      </c>
      <c r="J50" s="54">
        <v>2</v>
      </c>
      <c r="K50" s="54">
        <v>1</v>
      </c>
      <c r="L50" s="54">
        <v>5</v>
      </c>
      <c r="M50" s="54">
        <v>3</v>
      </c>
      <c r="N50" s="54">
        <v>6</v>
      </c>
      <c r="O50" s="72">
        <f t="shared" si="1"/>
        <v>685</v>
      </c>
      <c r="P50" s="26">
        <v>0</v>
      </c>
      <c r="Q50" s="26">
        <f t="shared" si="0"/>
        <v>685</v>
      </c>
      <c r="R50" s="26">
        <v>0</v>
      </c>
    </row>
    <row r="51" spans="1:18" ht="22.5">
      <c r="A51" s="41">
        <v>42</v>
      </c>
      <c r="B51" s="61" t="s">
        <v>167</v>
      </c>
      <c r="C51" s="54">
        <v>168</v>
      </c>
      <c r="D51" s="54">
        <v>71</v>
      </c>
      <c r="E51" s="54">
        <v>411</v>
      </c>
      <c r="F51" s="54">
        <v>9</v>
      </c>
      <c r="G51" s="54">
        <v>5</v>
      </c>
      <c r="H51" s="54">
        <v>0</v>
      </c>
      <c r="I51" s="54">
        <v>1</v>
      </c>
      <c r="J51" s="54">
        <v>0</v>
      </c>
      <c r="K51" s="54">
        <v>0</v>
      </c>
      <c r="L51" s="54">
        <v>1</v>
      </c>
      <c r="M51" s="54">
        <v>1</v>
      </c>
      <c r="N51" s="54">
        <v>1</v>
      </c>
      <c r="O51" s="72">
        <f t="shared" si="1"/>
        <v>668</v>
      </c>
      <c r="P51" s="26">
        <v>0</v>
      </c>
      <c r="Q51" s="26">
        <f t="shared" si="0"/>
        <v>668</v>
      </c>
      <c r="R51" s="26">
        <v>0</v>
      </c>
    </row>
    <row r="52" spans="1:18" ht="22.5">
      <c r="A52" s="41">
        <v>43</v>
      </c>
      <c r="B52" s="61" t="s">
        <v>168</v>
      </c>
      <c r="C52" s="54">
        <f t="array" ref="C52:N65">TRANSPOSE(Constiuence!C106:'Constiuence'!P117)</f>
        <v>0</v>
      </c>
      <c r="D52" s="54">
        <v>46</v>
      </c>
      <c r="E52" s="54">
        <v>284</v>
      </c>
      <c r="F52" s="54">
        <v>3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1</v>
      </c>
      <c r="M52" s="54">
        <v>0</v>
      </c>
      <c r="N52" s="54">
        <v>0</v>
      </c>
      <c r="O52" s="72">
        <f t="shared" si="1"/>
        <v>334</v>
      </c>
      <c r="P52" s="26">
        <v>0</v>
      </c>
      <c r="Q52" s="26">
        <f t="shared" si="0"/>
        <v>334</v>
      </c>
      <c r="R52" s="26">
        <v>0</v>
      </c>
    </row>
    <row r="53" spans="1:18" ht="22.5">
      <c r="A53" s="41">
        <v>44</v>
      </c>
      <c r="B53" s="61" t="s">
        <v>169</v>
      </c>
      <c r="C53" s="54">
        <v>13</v>
      </c>
      <c r="D53" s="54">
        <v>45</v>
      </c>
      <c r="E53" s="54">
        <v>364</v>
      </c>
      <c r="F53" s="54">
        <v>5</v>
      </c>
      <c r="G53" s="54">
        <v>2</v>
      </c>
      <c r="H53" s="54">
        <v>0</v>
      </c>
      <c r="I53" s="54">
        <v>0</v>
      </c>
      <c r="J53" s="54">
        <v>1</v>
      </c>
      <c r="K53" s="54">
        <v>0</v>
      </c>
      <c r="L53" s="54">
        <v>2</v>
      </c>
      <c r="M53" s="54">
        <v>1</v>
      </c>
      <c r="N53" s="54">
        <v>2</v>
      </c>
      <c r="O53" s="72">
        <f t="shared" si="1"/>
        <v>435</v>
      </c>
      <c r="P53" s="26">
        <v>0</v>
      </c>
      <c r="Q53" s="26">
        <f t="shared" si="0"/>
        <v>435</v>
      </c>
      <c r="R53" s="26">
        <v>0</v>
      </c>
    </row>
    <row r="54" spans="1:18">
      <c r="A54" s="41">
        <v>45</v>
      </c>
      <c r="B54" s="61" t="s">
        <v>170</v>
      </c>
      <c r="C54" s="54">
        <v>23</v>
      </c>
      <c r="D54" s="54">
        <v>315</v>
      </c>
      <c r="E54" s="54">
        <v>131</v>
      </c>
      <c r="F54" s="54">
        <v>0</v>
      </c>
      <c r="G54" s="54">
        <v>0</v>
      </c>
      <c r="H54" s="54">
        <v>0</v>
      </c>
      <c r="I54" s="54">
        <v>0</v>
      </c>
      <c r="J54" s="54">
        <v>1</v>
      </c>
      <c r="K54" s="54">
        <v>0</v>
      </c>
      <c r="L54" s="54">
        <v>4</v>
      </c>
      <c r="M54" s="54">
        <v>0</v>
      </c>
      <c r="N54" s="54">
        <v>1</v>
      </c>
      <c r="O54" s="72">
        <f t="shared" si="1"/>
        <v>475</v>
      </c>
      <c r="P54" s="26">
        <v>0</v>
      </c>
      <c r="Q54" s="26">
        <f t="shared" si="0"/>
        <v>475</v>
      </c>
      <c r="R54" s="26">
        <v>0</v>
      </c>
    </row>
    <row r="55" spans="1:18">
      <c r="A55" s="41">
        <v>46</v>
      </c>
      <c r="B55" s="61" t="s">
        <v>171</v>
      </c>
      <c r="C55" s="54">
        <v>59</v>
      </c>
      <c r="D55" s="54">
        <v>371</v>
      </c>
      <c r="E55" s="54">
        <v>74</v>
      </c>
      <c r="F55" s="54">
        <v>2</v>
      </c>
      <c r="G55" s="54">
        <v>0</v>
      </c>
      <c r="H55" s="54">
        <v>0</v>
      </c>
      <c r="I55" s="54">
        <v>0</v>
      </c>
      <c r="J55" s="54">
        <v>0</v>
      </c>
      <c r="K55" s="54">
        <v>2</v>
      </c>
      <c r="L55" s="54">
        <v>2</v>
      </c>
      <c r="M55" s="54">
        <v>1</v>
      </c>
      <c r="N55" s="54">
        <v>0</v>
      </c>
      <c r="O55" s="72">
        <f t="shared" si="1"/>
        <v>511</v>
      </c>
      <c r="P55" s="26">
        <v>0</v>
      </c>
      <c r="Q55" s="26">
        <f t="shared" si="0"/>
        <v>511</v>
      </c>
      <c r="R55" s="26">
        <v>0</v>
      </c>
    </row>
    <row r="56" spans="1:18">
      <c r="A56" s="41">
        <v>47</v>
      </c>
      <c r="B56" s="61" t="s">
        <v>172</v>
      </c>
      <c r="C56" s="54">
        <v>86</v>
      </c>
      <c r="D56" s="54">
        <v>287</v>
      </c>
      <c r="E56" s="54">
        <v>133</v>
      </c>
      <c r="F56" s="54">
        <v>1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3</v>
      </c>
      <c r="M56" s="54">
        <v>0</v>
      </c>
      <c r="N56" s="54">
        <v>0</v>
      </c>
      <c r="O56" s="72">
        <f t="shared" si="1"/>
        <v>510</v>
      </c>
      <c r="P56" s="26">
        <v>0</v>
      </c>
      <c r="Q56" s="26">
        <f t="shared" si="0"/>
        <v>510</v>
      </c>
      <c r="R56" s="26">
        <v>0</v>
      </c>
    </row>
    <row r="57" spans="1:18">
      <c r="A57" s="41">
        <v>48</v>
      </c>
      <c r="B57" s="61" t="s">
        <v>173</v>
      </c>
      <c r="C57" s="54">
        <v>4</v>
      </c>
      <c r="D57" s="54">
        <v>327</v>
      </c>
      <c r="E57" s="54">
        <v>154</v>
      </c>
      <c r="F57" s="54">
        <v>1</v>
      </c>
      <c r="G57" s="54">
        <v>1</v>
      </c>
      <c r="H57" s="54">
        <v>0</v>
      </c>
      <c r="I57" s="54">
        <v>0</v>
      </c>
      <c r="J57" s="54">
        <v>2</v>
      </c>
      <c r="K57" s="54">
        <v>1</v>
      </c>
      <c r="L57" s="54">
        <v>2</v>
      </c>
      <c r="M57" s="54">
        <v>0</v>
      </c>
      <c r="N57" s="54">
        <v>0</v>
      </c>
      <c r="O57" s="72">
        <f t="shared" si="1"/>
        <v>492</v>
      </c>
      <c r="P57" s="26">
        <v>0</v>
      </c>
      <c r="Q57" s="26">
        <f t="shared" si="0"/>
        <v>492</v>
      </c>
      <c r="R57" s="26">
        <v>0</v>
      </c>
    </row>
    <row r="58" spans="1:18">
      <c r="A58" s="41">
        <v>49</v>
      </c>
      <c r="B58" s="61" t="s">
        <v>174</v>
      </c>
      <c r="C58" s="54">
        <v>97</v>
      </c>
      <c r="D58" s="54">
        <v>304</v>
      </c>
      <c r="E58" s="54">
        <v>61</v>
      </c>
      <c r="F58" s="54">
        <v>1</v>
      </c>
      <c r="G58" s="54">
        <v>0</v>
      </c>
      <c r="H58" s="54">
        <v>0</v>
      </c>
      <c r="I58" s="54">
        <v>0</v>
      </c>
      <c r="J58" s="54">
        <v>0</v>
      </c>
      <c r="K58" s="54">
        <v>1</v>
      </c>
      <c r="L58" s="54">
        <v>0</v>
      </c>
      <c r="M58" s="54">
        <v>0</v>
      </c>
      <c r="N58" s="54">
        <v>3</v>
      </c>
      <c r="O58" s="72">
        <f t="shared" si="1"/>
        <v>467</v>
      </c>
      <c r="P58" s="26">
        <v>0</v>
      </c>
      <c r="Q58" s="26">
        <f t="shared" si="0"/>
        <v>467</v>
      </c>
      <c r="R58" s="26">
        <v>0</v>
      </c>
    </row>
    <row r="59" spans="1:18">
      <c r="A59" s="41">
        <v>50</v>
      </c>
      <c r="B59" s="61" t="s">
        <v>175</v>
      </c>
      <c r="C59" s="54">
        <v>1</v>
      </c>
      <c r="D59" s="54">
        <v>432</v>
      </c>
      <c r="E59" s="54">
        <v>145</v>
      </c>
      <c r="F59" s="54">
        <v>1</v>
      </c>
      <c r="G59" s="54">
        <v>0</v>
      </c>
      <c r="H59" s="54">
        <v>0</v>
      </c>
      <c r="I59" s="54">
        <v>0</v>
      </c>
      <c r="J59" s="54">
        <v>0</v>
      </c>
      <c r="K59" s="54">
        <v>1</v>
      </c>
      <c r="L59" s="54">
        <v>2</v>
      </c>
      <c r="M59" s="54">
        <v>2</v>
      </c>
      <c r="N59" s="54">
        <v>0</v>
      </c>
      <c r="O59" s="72">
        <f t="shared" si="1"/>
        <v>584</v>
      </c>
      <c r="P59" s="26">
        <v>0</v>
      </c>
      <c r="Q59" s="26">
        <f t="shared" si="0"/>
        <v>584</v>
      </c>
      <c r="R59" s="26">
        <v>0</v>
      </c>
    </row>
    <row r="60" spans="1:18">
      <c r="A60" s="41">
        <v>51</v>
      </c>
      <c r="B60" s="61" t="s">
        <v>176</v>
      </c>
      <c r="C60" s="54">
        <v>86</v>
      </c>
      <c r="D60" s="54">
        <v>360</v>
      </c>
      <c r="E60" s="54">
        <v>124</v>
      </c>
      <c r="F60" s="54">
        <v>3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2</v>
      </c>
      <c r="M60" s="54">
        <v>0</v>
      </c>
      <c r="N60" s="54">
        <v>2</v>
      </c>
      <c r="O60" s="72">
        <f t="shared" si="1"/>
        <v>577</v>
      </c>
      <c r="P60" s="26">
        <v>0</v>
      </c>
      <c r="Q60" s="26">
        <f t="shared" si="0"/>
        <v>577</v>
      </c>
      <c r="R60" s="26">
        <v>0</v>
      </c>
    </row>
    <row r="61" spans="1:18">
      <c r="A61" s="41">
        <v>52</v>
      </c>
      <c r="B61" s="61" t="s">
        <v>177</v>
      </c>
      <c r="C61" s="54">
        <v>3</v>
      </c>
      <c r="D61" s="54">
        <v>555</v>
      </c>
      <c r="E61" s="54">
        <v>20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8</v>
      </c>
      <c r="L61" s="54">
        <v>3</v>
      </c>
      <c r="M61" s="54">
        <v>0</v>
      </c>
      <c r="N61" s="54">
        <v>4</v>
      </c>
      <c r="O61" s="72">
        <f t="shared" si="1"/>
        <v>593</v>
      </c>
      <c r="P61" s="26">
        <v>0</v>
      </c>
      <c r="Q61" s="26">
        <f t="shared" si="0"/>
        <v>593</v>
      </c>
      <c r="R61" s="26">
        <v>0</v>
      </c>
    </row>
    <row r="62" spans="1:18">
      <c r="A62" s="41">
        <v>53</v>
      </c>
      <c r="B62" s="61" t="s">
        <v>178</v>
      </c>
      <c r="C62" s="54">
        <v>4</v>
      </c>
      <c r="D62" s="54">
        <v>485</v>
      </c>
      <c r="E62" s="54">
        <v>13</v>
      </c>
      <c r="F62" s="54">
        <v>14</v>
      </c>
      <c r="G62" s="54">
        <v>1</v>
      </c>
      <c r="H62" s="54">
        <v>0</v>
      </c>
      <c r="I62" s="54">
        <v>0</v>
      </c>
      <c r="J62" s="54">
        <v>3</v>
      </c>
      <c r="K62" s="54">
        <v>8</v>
      </c>
      <c r="L62" s="54">
        <v>1</v>
      </c>
      <c r="M62" s="54">
        <v>0</v>
      </c>
      <c r="N62" s="54">
        <v>1</v>
      </c>
      <c r="O62" s="72">
        <f t="shared" si="1"/>
        <v>530</v>
      </c>
      <c r="P62" s="26">
        <v>0</v>
      </c>
      <c r="Q62" s="26">
        <f t="shared" si="0"/>
        <v>530</v>
      </c>
      <c r="R62" s="26">
        <v>0</v>
      </c>
    </row>
    <row r="63" spans="1:18">
      <c r="A63" s="41">
        <v>54</v>
      </c>
      <c r="B63" s="61" t="s">
        <v>179</v>
      </c>
      <c r="C63" s="54">
        <v>14</v>
      </c>
      <c r="D63" s="54">
        <v>355</v>
      </c>
      <c r="E63" s="54">
        <v>11</v>
      </c>
      <c r="F63" s="54">
        <v>1</v>
      </c>
      <c r="G63" s="54">
        <v>0</v>
      </c>
      <c r="H63" s="54">
        <v>0</v>
      </c>
      <c r="I63" s="54">
        <v>0</v>
      </c>
      <c r="J63" s="54">
        <v>0</v>
      </c>
      <c r="K63" s="54">
        <v>5</v>
      </c>
      <c r="L63" s="54">
        <v>3</v>
      </c>
      <c r="M63" s="54">
        <v>2</v>
      </c>
      <c r="N63" s="54">
        <v>0</v>
      </c>
      <c r="O63" s="72">
        <f t="shared" si="1"/>
        <v>391</v>
      </c>
      <c r="P63" s="26">
        <v>0</v>
      </c>
      <c r="Q63" s="26">
        <f t="shared" si="0"/>
        <v>391</v>
      </c>
      <c r="R63" s="26">
        <v>0</v>
      </c>
    </row>
    <row r="64" spans="1:18">
      <c r="A64" s="41">
        <v>55</v>
      </c>
      <c r="B64" s="61" t="s">
        <v>180</v>
      </c>
      <c r="C64" s="54">
        <v>3</v>
      </c>
      <c r="D64" s="54">
        <v>306</v>
      </c>
      <c r="E64" s="54">
        <v>46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1</v>
      </c>
      <c r="L64" s="54">
        <v>1</v>
      </c>
      <c r="M64" s="54">
        <v>0</v>
      </c>
      <c r="N64" s="54">
        <v>5</v>
      </c>
      <c r="O64" s="72">
        <f t="shared" si="1"/>
        <v>362</v>
      </c>
      <c r="P64" s="26">
        <v>0</v>
      </c>
      <c r="Q64" s="26">
        <f t="shared" si="0"/>
        <v>362</v>
      </c>
      <c r="R64" s="26">
        <v>0</v>
      </c>
    </row>
    <row r="65" spans="1:18">
      <c r="A65" s="41">
        <v>56</v>
      </c>
      <c r="B65" s="61" t="s">
        <v>181</v>
      </c>
      <c r="C65" s="54">
        <v>1</v>
      </c>
      <c r="D65" s="54">
        <v>350</v>
      </c>
      <c r="E65" s="54">
        <v>45</v>
      </c>
      <c r="F65" s="54">
        <v>2</v>
      </c>
      <c r="G65" s="54">
        <v>0</v>
      </c>
      <c r="H65" s="54">
        <v>0</v>
      </c>
      <c r="I65" s="54">
        <v>0</v>
      </c>
      <c r="J65" s="54">
        <v>0</v>
      </c>
      <c r="K65" s="54">
        <v>17</v>
      </c>
      <c r="L65" s="54">
        <v>1</v>
      </c>
      <c r="M65" s="54">
        <v>3</v>
      </c>
      <c r="N65" s="54">
        <v>1</v>
      </c>
      <c r="O65" s="72">
        <f t="shared" si="1"/>
        <v>420</v>
      </c>
      <c r="P65" s="26">
        <v>0</v>
      </c>
      <c r="Q65" s="26">
        <f t="shared" si="0"/>
        <v>420</v>
      </c>
      <c r="R65" s="26">
        <v>0</v>
      </c>
    </row>
    <row r="66" spans="1:18" ht="22.5">
      <c r="A66" s="41">
        <v>57</v>
      </c>
      <c r="B66" s="61" t="s">
        <v>182</v>
      </c>
      <c r="C66" s="54">
        <f t="array" ref="C66:N79">TRANSPOSE(Constiuence!C139:'Constiuence'!P150)</f>
        <v>4</v>
      </c>
      <c r="D66" s="54">
        <v>705</v>
      </c>
      <c r="E66" s="54">
        <v>15</v>
      </c>
      <c r="F66" s="54">
        <v>4</v>
      </c>
      <c r="G66" s="54">
        <v>1</v>
      </c>
      <c r="H66" s="54">
        <v>0</v>
      </c>
      <c r="I66" s="54">
        <v>1</v>
      </c>
      <c r="J66" s="54">
        <v>0</v>
      </c>
      <c r="K66" s="54">
        <v>13</v>
      </c>
      <c r="L66" s="54">
        <v>4</v>
      </c>
      <c r="M66" s="54">
        <v>5</v>
      </c>
      <c r="N66" s="54">
        <v>6</v>
      </c>
      <c r="O66" s="72">
        <f t="shared" si="1"/>
        <v>758</v>
      </c>
      <c r="P66" s="26">
        <v>0</v>
      </c>
      <c r="Q66" s="26">
        <f t="shared" si="0"/>
        <v>758</v>
      </c>
      <c r="R66" s="26">
        <v>0</v>
      </c>
    </row>
    <row r="67" spans="1:18" ht="22.5">
      <c r="A67" s="41">
        <v>58</v>
      </c>
      <c r="B67" s="61" t="s">
        <v>183</v>
      </c>
      <c r="C67" s="54">
        <v>5</v>
      </c>
      <c r="D67" s="54">
        <v>676</v>
      </c>
      <c r="E67" s="54">
        <v>17</v>
      </c>
      <c r="F67" s="54">
        <v>1</v>
      </c>
      <c r="G67" s="54">
        <v>1</v>
      </c>
      <c r="H67" s="54">
        <v>0</v>
      </c>
      <c r="I67" s="54">
        <v>1</v>
      </c>
      <c r="J67" s="54">
        <v>0</v>
      </c>
      <c r="K67" s="54">
        <v>6</v>
      </c>
      <c r="L67" s="54">
        <v>2</v>
      </c>
      <c r="M67" s="54">
        <v>3</v>
      </c>
      <c r="N67" s="54">
        <v>3</v>
      </c>
      <c r="O67" s="72">
        <f t="shared" si="1"/>
        <v>715</v>
      </c>
      <c r="P67" s="26">
        <v>0</v>
      </c>
      <c r="Q67" s="26">
        <f t="shared" si="0"/>
        <v>715</v>
      </c>
      <c r="R67" s="26">
        <v>0</v>
      </c>
    </row>
    <row r="68" spans="1:18" ht="22.5">
      <c r="A68" s="41">
        <v>59</v>
      </c>
      <c r="B68" s="61" t="s">
        <v>184</v>
      </c>
      <c r="C68" s="54">
        <v>4</v>
      </c>
      <c r="D68" s="54">
        <v>544</v>
      </c>
      <c r="E68" s="54">
        <v>4</v>
      </c>
      <c r="F68" s="54">
        <v>0</v>
      </c>
      <c r="G68" s="54">
        <v>0</v>
      </c>
      <c r="H68" s="54">
        <v>0</v>
      </c>
      <c r="I68" s="54">
        <v>1</v>
      </c>
      <c r="J68" s="54">
        <v>0</v>
      </c>
      <c r="K68" s="54">
        <v>3</v>
      </c>
      <c r="L68" s="54">
        <v>2</v>
      </c>
      <c r="M68" s="54">
        <v>4</v>
      </c>
      <c r="N68" s="54">
        <v>3</v>
      </c>
      <c r="O68" s="72">
        <f t="shared" si="1"/>
        <v>565</v>
      </c>
      <c r="P68" s="26">
        <v>0</v>
      </c>
      <c r="Q68" s="26">
        <f t="shared" si="0"/>
        <v>565</v>
      </c>
      <c r="R68" s="26">
        <v>0</v>
      </c>
    </row>
    <row r="69" spans="1:18">
      <c r="A69" s="41">
        <v>60</v>
      </c>
      <c r="B69" s="61" t="s">
        <v>185</v>
      </c>
      <c r="C69" s="54">
        <v>2</v>
      </c>
      <c r="D69" s="54">
        <v>483</v>
      </c>
      <c r="E69" s="54">
        <v>74</v>
      </c>
      <c r="F69" s="54">
        <v>3</v>
      </c>
      <c r="G69" s="54">
        <v>0</v>
      </c>
      <c r="H69" s="54">
        <v>0</v>
      </c>
      <c r="I69" s="54">
        <v>0</v>
      </c>
      <c r="J69" s="54">
        <v>0</v>
      </c>
      <c r="K69" s="54">
        <v>4</v>
      </c>
      <c r="L69" s="54">
        <v>2</v>
      </c>
      <c r="M69" s="54">
        <v>3</v>
      </c>
      <c r="N69" s="54">
        <v>3</v>
      </c>
      <c r="O69" s="72">
        <f t="shared" si="1"/>
        <v>574</v>
      </c>
      <c r="P69" s="26">
        <v>0</v>
      </c>
      <c r="Q69" s="26">
        <f t="shared" si="0"/>
        <v>574</v>
      </c>
      <c r="R69" s="26">
        <v>0</v>
      </c>
    </row>
    <row r="70" spans="1:18">
      <c r="A70" s="41">
        <v>61</v>
      </c>
      <c r="B70" s="61" t="s">
        <v>186</v>
      </c>
      <c r="C70" s="54">
        <v>1</v>
      </c>
      <c r="D70" s="54">
        <v>647</v>
      </c>
      <c r="E70" s="54">
        <v>18</v>
      </c>
      <c r="F70" s="54">
        <v>5</v>
      </c>
      <c r="G70" s="54">
        <v>0</v>
      </c>
      <c r="H70" s="54">
        <v>0</v>
      </c>
      <c r="I70" s="54">
        <v>0</v>
      </c>
      <c r="J70" s="54">
        <v>0</v>
      </c>
      <c r="K70" s="54">
        <v>4</v>
      </c>
      <c r="L70" s="54">
        <v>2</v>
      </c>
      <c r="M70" s="54">
        <v>3</v>
      </c>
      <c r="N70" s="54">
        <v>4</v>
      </c>
      <c r="O70" s="72">
        <f t="shared" si="1"/>
        <v>684</v>
      </c>
      <c r="P70" s="26">
        <v>0</v>
      </c>
      <c r="Q70" s="26">
        <f t="shared" si="0"/>
        <v>684</v>
      </c>
      <c r="R70" s="26">
        <v>0</v>
      </c>
    </row>
    <row r="71" spans="1:18">
      <c r="A71" s="41">
        <v>62</v>
      </c>
      <c r="B71" s="61" t="s">
        <v>187</v>
      </c>
      <c r="C71" s="54">
        <v>8</v>
      </c>
      <c r="D71" s="54">
        <v>573</v>
      </c>
      <c r="E71" s="54">
        <v>37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10</v>
      </c>
      <c r="L71" s="54">
        <v>2</v>
      </c>
      <c r="M71" s="54">
        <v>2</v>
      </c>
      <c r="N71" s="54">
        <v>3</v>
      </c>
      <c r="O71" s="72">
        <f t="shared" si="1"/>
        <v>635</v>
      </c>
      <c r="P71" s="26">
        <v>0</v>
      </c>
      <c r="Q71" s="26">
        <f t="shared" si="0"/>
        <v>635</v>
      </c>
      <c r="R71" s="26">
        <v>0</v>
      </c>
    </row>
    <row r="72" spans="1:18" ht="22.5">
      <c r="A72" s="41">
        <v>63</v>
      </c>
      <c r="B72" s="62" t="s">
        <v>188</v>
      </c>
      <c r="C72" s="54">
        <v>88</v>
      </c>
      <c r="D72" s="54">
        <v>176</v>
      </c>
      <c r="E72" s="54">
        <v>73</v>
      </c>
      <c r="F72" s="54">
        <v>2</v>
      </c>
      <c r="G72" s="54">
        <v>1</v>
      </c>
      <c r="H72" s="54">
        <v>1</v>
      </c>
      <c r="I72" s="54">
        <v>0</v>
      </c>
      <c r="J72" s="54">
        <v>1</v>
      </c>
      <c r="K72" s="54">
        <v>1</v>
      </c>
      <c r="L72" s="54">
        <v>3</v>
      </c>
      <c r="M72" s="54">
        <v>2</v>
      </c>
      <c r="N72" s="54">
        <v>4</v>
      </c>
      <c r="O72" s="72">
        <f t="shared" si="1"/>
        <v>352</v>
      </c>
      <c r="P72" s="26">
        <v>0</v>
      </c>
      <c r="Q72" s="26">
        <f t="shared" si="0"/>
        <v>352</v>
      </c>
      <c r="R72" s="26">
        <v>0</v>
      </c>
    </row>
    <row r="73" spans="1:18" ht="22.5">
      <c r="A73" s="41">
        <v>64</v>
      </c>
      <c r="B73" s="62" t="s">
        <v>189</v>
      </c>
      <c r="C73" s="54">
        <v>10</v>
      </c>
      <c r="D73" s="54">
        <v>72</v>
      </c>
      <c r="E73" s="54">
        <v>316</v>
      </c>
      <c r="F73" s="54">
        <v>4</v>
      </c>
      <c r="G73" s="54">
        <v>0</v>
      </c>
      <c r="H73" s="54">
        <v>0</v>
      </c>
      <c r="I73" s="54">
        <v>0</v>
      </c>
      <c r="J73" s="54">
        <v>0</v>
      </c>
      <c r="K73" s="54">
        <v>1</v>
      </c>
      <c r="L73" s="54">
        <v>3</v>
      </c>
      <c r="M73" s="54">
        <v>1</v>
      </c>
      <c r="N73" s="54">
        <v>1</v>
      </c>
      <c r="O73" s="72">
        <f t="shared" si="1"/>
        <v>408</v>
      </c>
      <c r="P73" s="26">
        <v>0</v>
      </c>
      <c r="Q73" s="26">
        <f t="shared" si="0"/>
        <v>408</v>
      </c>
      <c r="R73" s="26">
        <v>0</v>
      </c>
    </row>
    <row r="74" spans="1:18" ht="22.5">
      <c r="A74" s="41">
        <v>65</v>
      </c>
      <c r="B74" s="61" t="s">
        <v>190</v>
      </c>
      <c r="C74" s="54">
        <v>0</v>
      </c>
      <c r="D74" s="54">
        <v>22</v>
      </c>
      <c r="E74" s="54">
        <v>536</v>
      </c>
      <c r="F74" s="54">
        <v>2</v>
      </c>
      <c r="G74" s="54">
        <v>0</v>
      </c>
      <c r="H74" s="54">
        <v>0</v>
      </c>
      <c r="I74" s="54">
        <v>1</v>
      </c>
      <c r="J74" s="54">
        <v>1</v>
      </c>
      <c r="K74" s="54">
        <v>0</v>
      </c>
      <c r="L74" s="54">
        <v>0</v>
      </c>
      <c r="M74" s="54">
        <v>0</v>
      </c>
      <c r="N74" s="54">
        <v>3</v>
      </c>
      <c r="O74" s="72">
        <f t="shared" si="1"/>
        <v>565</v>
      </c>
      <c r="P74" s="26">
        <v>0</v>
      </c>
      <c r="Q74" s="26">
        <f t="shared" ref="Q74:Q137" si="2">O74-P74</f>
        <v>565</v>
      </c>
      <c r="R74" s="26">
        <v>0</v>
      </c>
    </row>
    <row r="75" spans="1:18" ht="22.5">
      <c r="A75" s="41">
        <v>66</v>
      </c>
      <c r="B75" s="61" t="s">
        <v>191</v>
      </c>
      <c r="C75" s="54">
        <v>2</v>
      </c>
      <c r="D75" s="54">
        <v>39</v>
      </c>
      <c r="E75" s="54">
        <v>388</v>
      </c>
      <c r="F75" s="54">
        <v>3</v>
      </c>
      <c r="G75" s="54">
        <v>1</v>
      </c>
      <c r="H75" s="54">
        <v>0</v>
      </c>
      <c r="I75" s="54">
        <v>0</v>
      </c>
      <c r="J75" s="54">
        <v>0</v>
      </c>
      <c r="K75" s="54">
        <v>0</v>
      </c>
      <c r="L75" s="54">
        <v>1</v>
      </c>
      <c r="M75" s="54">
        <v>0</v>
      </c>
      <c r="N75" s="54">
        <v>2</v>
      </c>
      <c r="O75" s="72">
        <f t="shared" ref="O75:O138" si="3">C75+D75+E75+F75+G75+H75+I75+J75+K75+L75+M75+N75</f>
        <v>436</v>
      </c>
      <c r="P75" s="26">
        <v>0</v>
      </c>
      <c r="Q75" s="26">
        <f t="shared" si="2"/>
        <v>436</v>
      </c>
      <c r="R75" s="26">
        <v>0</v>
      </c>
    </row>
    <row r="76" spans="1:18" ht="22.5">
      <c r="A76" s="41">
        <v>67</v>
      </c>
      <c r="B76" s="61" t="s">
        <v>192</v>
      </c>
      <c r="C76" s="54">
        <v>1</v>
      </c>
      <c r="D76" s="54">
        <v>29</v>
      </c>
      <c r="E76" s="54">
        <v>495</v>
      </c>
      <c r="F76" s="54">
        <v>3</v>
      </c>
      <c r="G76" s="54">
        <v>0</v>
      </c>
      <c r="H76" s="54">
        <v>0</v>
      </c>
      <c r="I76" s="54">
        <v>0</v>
      </c>
      <c r="J76" s="54">
        <v>2</v>
      </c>
      <c r="K76" s="54">
        <v>0</v>
      </c>
      <c r="L76" s="54">
        <v>0</v>
      </c>
      <c r="M76" s="54">
        <v>0</v>
      </c>
      <c r="N76" s="54">
        <v>1</v>
      </c>
      <c r="O76" s="72">
        <f t="shared" si="3"/>
        <v>531</v>
      </c>
      <c r="P76" s="26">
        <v>0</v>
      </c>
      <c r="Q76" s="26">
        <f t="shared" si="2"/>
        <v>531</v>
      </c>
      <c r="R76" s="26">
        <v>0</v>
      </c>
    </row>
    <row r="77" spans="1:18" ht="22.5">
      <c r="A77" s="41">
        <v>68</v>
      </c>
      <c r="B77" s="61" t="s">
        <v>193</v>
      </c>
      <c r="C77" s="54">
        <v>2</v>
      </c>
      <c r="D77" s="54">
        <v>37</v>
      </c>
      <c r="E77" s="54">
        <v>583</v>
      </c>
      <c r="F77" s="54">
        <v>2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1</v>
      </c>
      <c r="M77" s="54">
        <v>0</v>
      </c>
      <c r="N77" s="54">
        <v>0</v>
      </c>
      <c r="O77" s="72">
        <f t="shared" si="3"/>
        <v>625</v>
      </c>
      <c r="P77" s="26">
        <v>0</v>
      </c>
      <c r="Q77" s="26">
        <f t="shared" si="2"/>
        <v>625</v>
      </c>
      <c r="R77" s="26">
        <v>0</v>
      </c>
    </row>
    <row r="78" spans="1:18" ht="22.5">
      <c r="A78" s="41">
        <v>69</v>
      </c>
      <c r="B78" s="61" t="s">
        <v>194</v>
      </c>
      <c r="C78" s="54">
        <v>17</v>
      </c>
      <c r="D78" s="54">
        <v>80</v>
      </c>
      <c r="E78" s="54">
        <v>505</v>
      </c>
      <c r="F78" s="54">
        <v>5</v>
      </c>
      <c r="G78" s="54">
        <v>2</v>
      </c>
      <c r="H78" s="54">
        <v>0</v>
      </c>
      <c r="I78" s="54">
        <v>0</v>
      </c>
      <c r="J78" s="54">
        <v>0</v>
      </c>
      <c r="K78" s="54">
        <v>1</v>
      </c>
      <c r="L78" s="54">
        <v>1</v>
      </c>
      <c r="M78" s="54">
        <v>1</v>
      </c>
      <c r="N78" s="54">
        <v>0</v>
      </c>
      <c r="O78" s="72">
        <f t="shared" si="3"/>
        <v>612</v>
      </c>
      <c r="P78" s="26">
        <v>0</v>
      </c>
      <c r="Q78" s="26">
        <f t="shared" si="2"/>
        <v>612</v>
      </c>
      <c r="R78" s="26">
        <v>0</v>
      </c>
    </row>
    <row r="79" spans="1:18" ht="22.5">
      <c r="A79" s="41">
        <v>70</v>
      </c>
      <c r="B79" s="61" t="s">
        <v>195</v>
      </c>
      <c r="C79" s="54">
        <v>7</v>
      </c>
      <c r="D79" s="54">
        <v>66</v>
      </c>
      <c r="E79" s="54">
        <v>603</v>
      </c>
      <c r="F79" s="54">
        <v>0</v>
      </c>
      <c r="G79" s="54">
        <v>0</v>
      </c>
      <c r="H79" s="54">
        <v>0</v>
      </c>
      <c r="I79" s="54">
        <v>0</v>
      </c>
      <c r="J79" s="54">
        <v>2</v>
      </c>
      <c r="K79" s="54">
        <v>0</v>
      </c>
      <c r="L79" s="54">
        <v>0</v>
      </c>
      <c r="M79" s="54">
        <v>0</v>
      </c>
      <c r="N79" s="54">
        <v>2</v>
      </c>
      <c r="O79" s="72">
        <f t="shared" si="3"/>
        <v>680</v>
      </c>
      <c r="P79" s="26">
        <v>0</v>
      </c>
      <c r="Q79" s="26">
        <f t="shared" si="2"/>
        <v>680</v>
      </c>
      <c r="R79" s="26">
        <v>0</v>
      </c>
    </row>
    <row r="80" spans="1:18" ht="22.5">
      <c r="A80" s="41">
        <v>71</v>
      </c>
      <c r="B80" s="61" t="s">
        <v>196</v>
      </c>
      <c r="C80" s="54">
        <f t="array" ref="C80:N93">TRANSPOSE(Constiuence!C172:'Constiuence'!P183)</f>
        <v>29</v>
      </c>
      <c r="D80" s="54">
        <v>210</v>
      </c>
      <c r="E80" s="54">
        <v>350</v>
      </c>
      <c r="F80" s="54">
        <v>3</v>
      </c>
      <c r="G80" s="54">
        <v>0</v>
      </c>
      <c r="H80" s="54">
        <v>0</v>
      </c>
      <c r="I80" s="54">
        <v>0</v>
      </c>
      <c r="J80" s="54">
        <v>1</v>
      </c>
      <c r="K80" s="54">
        <v>10</v>
      </c>
      <c r="L80" s="54">
        <v>1</v>
      </c>
      <c r="M80" s="54">
        <v>1</v>
      </c>
      <c r="N80" s="54">
        <v>0</v>
      </c>
      <c r="O80" s="72">
        <f t="shared" si="3"/>
        <v>605</v>
      </c>
      <c r="P80" s="26">
        <v>0</v>
      </c>
      <c r="Q80" s="26">
        <f t="shared" si="2"/>
        <v>605</v>
      </c>
      <c r="R80" s="26">
        <v>0</v>
      </c>
    </row>
    <row r="81" spans="1:18" ht="22.5">
      <c r="A81" s="41">
        <v>72</v>
      </c>
      <c r="B81" s="61" t="s">
        <v>197</v>
      </c>
      <c r="C81" s="54">
        <v>8</v>
      </c>
      <c r="D81" s="54">
        <v>117</v>
      </c>
      <c r="E81" s="54">
        <v>350</v>
      </c>
      <c r="F81" s="54">
        <v>8</v>
      </c>
      <c r="G81" s="54">
        <v>0</v>
      </c>
      <c r="H81" s="54">
        <v>1</v>
      </c>
      <c r="I81" s="54">
        <v>0</v>
      </c>
      <c r="J81" s="54">
        <v>0</v>
      </c>
      <c r="K81" s="54">
        <v>4</v>
      </c>
      <c r="L81" s="54">
        <v>0</v>
      </c>
      <c r="M81" s="54">
        <v>1</v>
      </c>
      <c r="N81" s="54">
        <v>2</v>
      </c>
      <c r="O81" s="72">
        <f t="shared" si="3"/>
        <v>491</v>
      </c>
      <c r="P81" s="26">
        <v>0</v>
      </c>
      <c r="Q81" s="26">
        <f t="shared" si="2"/>
        <v>491</v>
      </c>
      <c r="R81" s="26">
        <v>0</v>
      </c>
    </row>
    <row r="82" spans="1:18" ht="22.5">
      <c r="A82" s="41">
        <v>73</v>
      </c>
      <c r="B82" s="61" t="s">
        <v>198</v>
      </c>
      <c r="C82" s="54">
        <v>4</v>
      </c>
      <c r="D82" s="54">
        <v>254</v>
      </c>
      <c r="E82" s="54">
        <v>181</v>
      </c>
      <c r="F82" s="54">
        <v>1</v>
      </c>
      <c r="G82" s="54">
        <v>0</v>
      </c>
      <c r="H82" s="54">
        <v>0</v>
      </c>
      <c r="I82" s="54">
        <v>0</v>
      </c>
      <c r="J82" s="54">
        <v>0</v>
      </c>
      <c r="K82" s="54">
        <v>8</v>
      </c>
      <c r="L82" s="54">
        <v>1</v>
      </c>
      <c r="M82" s="54">
        <v>1</v>
      </c>
      <c r="N82" s="54">
        <v>0</v>
      </c>
      <c r="O82" s="72">
        <f t="shared" si="3"/>
        <v>450</v>
      </c>
      <c r="P82" s="26">
        <v>0</v>
      </c>
      <c r="Q82" s="26">
        <f t="shared" si="2"/>
        <v>450</v>
      </c>
      <c r="R82" s="26">
        <v>0</v>
      </c>
    </row>
    <row r="83" spans="1:18" ht="22.5">
      <c r="A83" s="41">
        <v>74</v>
      </c>
      <c r="B83" s="61" t="s">
        <v>199</v>
      </c>
      <c r="C83" s="54">
        <v>2</v>
      </c>
      <c r="D83" s="54">
        <v>222</v>
      </c>
      <c r="E83" s="54">
        <v>589</v>
      </c>
      <c r="F83" s="54">
        <v>3</v>
      </c>
      <c r="G83" s="54">
        <v>0</v>
      </c>
      <c r="H83" s="54">
        <v>0</v>
      </c>
      <c r="I83" s="54">
        <v>1</v>
      </c>
      <c r="J83" s="54">
        <v>2</v>
      </c>
      <c r="K83" s="54">
        <v>3</v>
      </c>
      <c r="L83" s="54">
        <v>1</v>
      </c>
      <c r="M83" s="54">
        <v>1</v>
      </c>
      <c r="N83" s="54">
        <v>0</v>
      </c>
      <c r="O83" s="72">
        <f t="shared" si="3"/>
        <v>824</v>
      </c>
      <c r="P83" s="26">
        <v>0</v>
      </c>
      <c r="Q83" s="26">
        <f t="shared" si="2"/>
        <v>824</v>
      </c>
      <c r="R83" s="26">
        <v>0</v>
      </c>
    </row>
    <row r="84" spans="1:18" ht="22.5">
      <c r="A84" s="41">
        <v>75</v>
      </c>
      <c r="B84" s="61" t="s">
        <v>200</v>
      </c>
      <c r="C84" s="54">
        <v>18</v>
      </c>
      <c r="D84" s="54">
        <v>162</v>
      </c>
      <c r="E84" s="54">
        <v>493</v>
      </c>
      <c r="F84" s="54">
        <v>3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1</v>
      </c>
      <c r="M84" s="54">
        <v>0</v>
      </c>
      <c r="N84" s="54">
        <v>3</v>
      </c>
      <c r="O84" s="72">
        <f t="shared" si="3"/>
        <v>680</v>
      </c>
      <c r="P84" s="26">
        <v>0</v>
      </c>
      <c r="Q84" s="26">
        <f t="shared" si="2"/>
        <v>680</v>
      </c>
      <c r="R84" s="26">
        <v>0</v>
      </c>
    </row>
    <row r="85" spans="1:18" ht="22.5">
      <c r="A85" s="41">
        <v>76</v>
      </c>
      <c r="B85" s="61" t="s">
        <v>201</v>
      </c>
      <c r="C85" s="54">
        <v>3</v>
      </c>
      <c r="D85" s="54">
        <v>246</v>
      </c>
      <c r="E85" s="54">
        <v>171</v>
      </c>
      <c r="F85" s="54">
        <v>4</v>
      </c>
      <c r="G85" s="54">
        <v>1</v>
      </c>
      <c r="H85" s="54">
        <v>0</v>
      </c>
      <c r="I85" s="54">
        <v>1</v>
      </c>
      <c r="J85" s="54">
        <v>0</v>
      </c>
      <c r="K85" s="54">
        <v>2</v>
      </c>
      <c r="L85" s="54">
        <v>3</v>
      </c>
      <c r="M85" s="54">
        <v>0</v>
      </c>
      <c r="N85" s="54">
        <v>1</v>
      </c>
      <c r="O85" s="72">
        <f t="shared" si="3"/>
        <v>432</v>
      </c>
      <c r="P85" s="26">
        <v>0</v>
      </c>
      <c r="Q85" s="26">
        <f t="shared" si="2"/>
        <v>432</v>
      </c>
      <c r="R85" s="26">
        <v>0</v>
      </c>
    </row>
    <row r="86" spans="1:18" ht="22.5">
      <c r="A86" s="41">
        <v>77</v>
      </c>
      <c r="B86" s="61" t="s">
        <v>202</v>
      </c>
      <c r="C86" s="54">
        <v>77</v>
      </c>
      <c r="D86" s="54">
        <v>244</v>
      </c>
      <c r="E86" s="54">
        <v>236</v>
      </c>
      <c r="F86" s="54">
        <v>7</v>
      </c>
      <c r="G86" s="54">
        <v>1</v>
      </c>
      <c r="H86" s="54">
        <v>1</v>
      </c>
      <c r="I86" s="54">
        <v>3</v>
      </c>
      <c r="J86" s="54">
        <v>0</v>
      </c>
      <c r="K86" s="54">
        <v>8</v>
      </c>
      <c r="L86" s="54">
        <v>7</v>
      </c>
      <c r="M86" s="54">
        <v>2</v>
      </c>
      <c r="N86" s="54">
        <v>3</v>
      </c>
      <c r="O86" s="72">
        <f t="shared" si="3"/>
        <v>589</v>
      </c>
      <c r="P86" s="26">
        <v>0</v>
      </c>
      <c r="Q86" s="26">
        <f t="shared" si="2"/>
        <v>589</v>
      </c>
      <c r="R86" s="26">
        <v>0</v>
      </c>
    </row>
    <row r="87" spans="1:18" ht="22.5">
      <c r="A87" s="41">
        <v>78</v>
      </c>
      <c r="B87" s="61" t="s">
        <v>203</v>
      </c>
      <c r="C87" s="54">
        <v>109</v>
      </c>
      <c r="D87" s="54">
        <v>172</v>
      </c>
      <c r="E87" s="54">
        <v>250</v>
      </c>
      <c r="F87" s="54">
        <v>4</v>
      </c>
      <c r="G87" s="54">
        <v>0</v>
      </c>
      <c r="H87" s="54">
        <v>0</v>
      </c>
      <c r="I87" s="54">
        <v>0</v>
      </c>
      <c r="J87" s="54">
        <v>1</v>
      </c>
      <c r="K87" s="54">
        <v>1</v>
      </c>
      <c r="L87" s="54">
        <v>1</v>
      </c>
      <c r="M87" s="54">
        <v>1</v>
      </c>
      <c r="N87" s="54">
        <v>1</v>
      </c>
      <c r="O87" s="72">
        <f t="shared" si="3"/>
        <v>540</v>
      </c>
      <c r="P87" s="26">
        <v>0</v>
      </c>
      <c r="Q87" s="26">
        <f t="shared" si="2"/>
        <v>540</v>
      </c>
      <c r="R87" s="26">
        <v>0</v>
      </c>
    </row>
    <row r="88" spans="1:18" ht="22.5">
      <c r="A88" s="41">
        <v>79</v>
      </c>
      <c r="B88" s="61" t="s">
        <v>204</v>
      </c>
      <c r="C88" s="54">
        <v>70</v>
      </c>
      <c r="D88" s="54">
        <v>238</v>
      </c>
      <c r="E88" s="54">
        <v>286</v>
      </c>
      <c r="F88" s="54">
        <v>4</v>
      </c>
      <c r="G88" s="54">
        <v>0</v>
      </c>
      <c r="H88" s="54">
        <v>1</v>
      </c>
      <c r="I88" s="54">
        <v>2</v>
      </c>
      <c r="J88" s="54">
        <v>0</v>
      </c>
      <c r="K88" s="54">
        <v>22</v>
      </c>
      <c r="L88" s="54">
        <v>9</v>
      </c>
      <c r="M88" s="54">
        <v>0</v>
      </c>
      <c r="N88" s="54">
        <v>1</v>
      </c>
      <c r="O88" s="72">
        <f t="shared" si="3"/>
        <v>633</v>
      </c>
      <c r="P88" s="26">
        <v>0</v>
      </c>
      <c r="Q88" s="26">
        <f t="shared" si="2"/>
        <v>633</v>
      </c>
      <c r="R88" s="26">
        <v>0</v>
      </c>
    </row>
    <row r="89" spans="1:18" ht="22.5">
      <c r="A89" s="41">
        <v>80</v>
      </c>
      <c r="B89" s="61" t="s">
        <v>205</v>
      </c>
      <c r="C89" s="54">
        <v>40</v>
      </c>
      <c r="D89" s="54">
        <v>394</v>
      </c>
      <c r="E89" s="54">
        <v>139</v>
      </c>
      <c r="F89" s="54">
        <v>3</v>
      </c>
      <c r="G89" s="54">
        <v>0</v>
      </c>
      <c r="H89" s="54">
        <v>0</v>
      </c>
      <c r="I89" s="54">
        <v>1</v>
      </c>
      <c r="J89" s="54">
        <v>0</v>
      </c>
      <c r="K89" s="54">
        <v>16</v>
      </c>
      <c r="L89" s="54">
        <v>5</v>
      </c>
      <c r="M89" s="54">
        <v>0</v>
      </c>
      <c r="N89" s="54">
        <v>6</v>
      </c>
      <c r="O89" s="72">
        <f t="shared" si="3"/>
        <v>604</v>
      </c>
      <c r="P89" s="26">
        <v>0</v>
      </c>
      <c r="Q89" s="26">
        <f t="shared" si="2"/>
        <v>604</v>
      </c>
      <c r="R89" s="26">
        <v>0</v>
      </c>
    </row>
    <row r="90" spans="1:18" ht="22.5">
      <c r="A90" s="41">
        <v>81</v>
      </c>
      <c r="B90" s="61" t="s">
        <v>206</v>
      </c>
      <c r="C90" s="54">
        <v>50</v>
      </c>
      <c r="D90" s="54">
        <v>323</v>
      </c>
      <c r="E90" s="54">
        <v>83</v>
      </c>
      <c r="F90" s="54">
        <v>9</v>
      </c>
      <c r="G90" s="54">
        <v>0</v>
      </c>
      <c r="H90" s="54">
        <v>1</v>
      </c>
      <c r="I90" s="54">
        <v>0</v>
      </c>
      <c r="J90" s="54">
        <v>0</v>
      </c>
      <c r="K90" s="54">
        <v>15</v>
      </c>
      <c r="L90" s="54">
        <v>1</v>
      </c>
      <c r="M90" s="54">
        <v>1</v>
      </c>
      <c r="N90" s="54">
        <v>2</v>
      </c>
      <c r="O90" s="72">
        <f t="shared" si="3"/>
        <v>485</v>
      </c>
      <c r="P90" s="26">
        <v>0</v>
      </c>
      <c r="Q90" s="26">
        <f t="shared" si="2"/>
        <v>485</v>
      </c>
      <c r="R90" s="26">
        <v>0</v>
      </c>
    </row>
    <row r="91" spans="1:18" ht="22.5">
      <c r="A91" s="41">
        <v>82</v>
      </c>
      <c r="B91" s="61" t="s">
        <v>207</v>
      </c>
      <c r="C91" s="54">
        <v>8</v>
      </c>
      <c r="D91" s="54">
        <v>146</v>
      </c>
      <c r="E91" s="54">
        <v>190</v>
      </c>
      <c r="F91" s="54">
        <v>7</v>
      </c>
      <c r="G91" s="54">
        <v>0</v>
      </c>
      <c r="H91" s="54">
        <v>1</v>
      </c>
      <c r="I91" s="54">
        <v>0</v>
      </c>
      <c r="J91" s="54">
        <v>0</v>
      </c>
      <c r="K91" s="54">
        <v>4</v>
      </c>
      <c r="L91" s="54">
        <v>1</v>
      </c>
      <c r="M91" s="54">
        <v>0</v>
      </c>
      <c r="N91" s="54">
        <v>1</v>
      </c>
      <c r="O91" s="72">
        <f t="shared" si="3"/>
        <v>358</v>
      </c>
      <c r="P91" s="26">
        <v>0</v>
      </c>
      <c r="Q91" s="26">
        <f t="shared" si="2"/>
        <v>358</v>
      </c>
      <c r="R91" s="26">
        <v>0</v>
      </c>
    </row>
    <row r="92" spans="1:18" ht="22.5">
      <c r="A92" s="41">
        <v>83</v>
      </c>
      <c r="B92" s="61" t="s">
        <v>208</v>
      </c>
      <c r="C92" s="54">
        <v>14</v>
      </c>
      <c r="D92" s="54">
        <v>62</v>
      </c>
      <c r="E92" s="54">
        <v>369</v>
      </c>
      <c r="F92" s="54">
        <v>4</v>
      </c>
      <c r="G92" s="54">
        <v>0</v>
      </c>
      <c r="H92" s="54">
        <v>0</v>
      </c>
      <c r="I92" s="54">
        <v>0</v>
      </c>
      <c r="J92" s="54">
        <v>2</v>
      </c>
      <c r="K92" s="54">
        <v>0</v>
      </c>
      <c r="L92" s="54">
        <v>0</v>
      </c>
      <c r="M92" s="54">
        <v>1</v>
      </c>
      <c r="N92" s="54">
        <v>1</v>
      </c>
      <c r="O92" s="72">
        <f t="shared" si="3"/>
        <v>453</v>
      </c>
      <c r="P92" s="26">
        <v>0</v>
      </c>
      <c r="Q92" s="26">
        <f t="shared" si="2"/>
        <v>453</v>
      </c>
      <c r="R92" s="26">
        <v>0</v>
      </c>
    </row>
    <row r="93" spans="1:18" ht="22.5">
      <c r="A93" s="41">
        <v>84</v>
      </c>
      <c r="B93" s="61" t="s">
        <v>209</v>
      </c>
      <c r="C93" s="54">
        <v>495</v>
      </c>
      <c r="D93" s="54">
        <v>14</v>
      </c>
      <c r="E93" s="54">
        <v>159</v>
      </c>
      <c r="F93" s="54">
        <v>2</v>
      </c>
      <c r="G93" s="54">
        <v>1</v>
      </c>
      <c r="H93" s="54">
        <v>0</v>
      </c>
      <c r="I93" s="54">
        <v>0</v>
      </c>
      <c r="J93" s="54">
        <v>4</v>
      </c>
      <c r="K93" s="54">
        <v>1</v>
      </c>
      <c r="L93" s="54">
        <v>2</v>
      </c>
      <c r="M93" s="54">
        <v>1</v>
      </c>
      <c r="N93" s="54">
        <v>7</v>
      </c>
      <c r="O93" s="72">
        <f t="shared" si="3"/>
        <v>686</v>
      </c>
      <c r="P93" s="26">
        <v>0</v>
      </c>
      <c r="Q93" s="26">
        <f t="shared" si="2"/>
        <v>686</v>
      </c>
      <c r="R93" s="26">
        <v>0</v>
      </c>
    </row>
    <row r="94" spans="1:18" ht="22.5">
      <c r="A94" s="41">
        <v>85</v>
      </c>
      <c r="B94" s="61" t="s">
        <v>210</v>
      </c>
      <c r="C94" s="54">
        <f t="array" ref="C94:N107">TRANSPOSE(Constiuence!C205:P216)</f>
        <v>284</v>
      </c>
      <c r="D94" s="54">
        <v>230</v>
      </c>
      <c r="E94" s="54">
        <v>66</v>
      </c>
      <c r="F94" s="54">
        <v>6</v>
      </c>
      <c r="G94" s="54">
        <v>0</v>
      </c>
      <c r="H94" s="54">
        <v>1</v>
      </c>
      <c r="I94" s="54">
        <v>0</v>
      </c>
      <c r="J94" s="54">
        <v>0</v>
      </c>
      <c r="K94" s="54">
        <v>6</v>
      </c>
      <c r="L94" s="54">
        <v>3</v>
      </c>
      <c r="M94" s="54">
        <v>0</v>
      </c>
      <c r="N94" s="54">
        <v>4</v>
      </c>
      <c r="O94" s="72">
        <f t="shared" si="3"/>
        <v>600</v>
      </c>
      <c r="P94" s="26">
        <v>0</v>
      </c>
      <c r="Q94" s="26">
        <f t="shared" si="2"/>
        <v>600</v>
      </c>
      <c r="R94" s="26">
        <v>0</v>
      </c>
    </row>
    <row r="95" spans="1:18" ht="22.5">
      <c r="A95" s="41">
        <v>86</v>
      </c>
      <c r="B95" s="61" t="s">
        <v>211</v>
      </c>
      <c r="C95" s="54">
        <v>101</v>
      </c>
      <c r="D95" s="54">
        <v>399</v>
      </c>
      <c r="E95" s="54">
        <v>95</v>
      </c>
      <c r="F95" s="54">
        <v>4</v>
      </c>
      <c r="G95" s="54">
        <v>0</v>
      </c>
      <c r="H95" s="54">
        <v>0</v>
      </c>
      <c r="I95" s="54">
        <v>0</v>
      </c>
      <c r="J95" s="54">
        <v>0</v>
      </c>
      <c r="K95" s="54">
        <v>1</v>
      </c>
      <c r="L95" s="54">
        <v>1</v>
      </c>
      <c r="M95" s="54">
        <v>2</v>
      </c>
      <c r="N95" s="54">
        <v>1</v>
      </c>
      <c r="O95" s="72">
        <f t="shared" si="3"/>
        <v>604</v>
      </c>
      <c r="P95" s="26">
        <v>0</v>
      </c>
      <c r="Q95" s="26">
        <f t="shared" si="2"/>
        <v>604</v>
      </c>
      <c r="R95" s="26">
        <v>0</v>
      </c>
    </row>
    <row r="96" spans="1:18" ht="22.5">
      <c r="A96" s="41">
        <v>87</v>
      </c>
      <c r="B96" s="61" t="s">
        <v>212</v>
      </c>
      <c r="C96" s="54">
        <v>1</v>
      </c>
      <c r="D96" s="54">
        <v>486</v>
      </c>
      <c r="E96" s="54">
        <v>62</v>
      </c>
      <c r="F96" s="54">
        <v>2</v>
      </c>
      <c r="G96" s="54">
        <v>0</v>
      </c>
      <c r="H96" s="54">
        <v>0</v>
      </c>
      <c r="I96" s="54">
        <v>0</v>
      </c>
      <c r="J96" s="54">
        <v>1</v>
      </c>
      <c r="K96" s="54">
        <v>5</v>
      </c>
      <c r="L96" s="54">
        <v>1</v>
      </c>
      <c r="M96" s="54">
        <v>4</v>
      </c>
      <c r="N96" s="54">
        <v>1</v>
      </c>
      <c r="O96" s="72">
        <f t="shared" si="3"/>
        <v>563</v>
      </c>
      <c r="P96" s="26">
        <v>0</v>
      </c>
      <c r="Q96" s="26">
        <f t="shared" si="2"/>
        <v>563</v>
      </c>
      <c r="R96" s="26">
        <v>0</v>
      </c>
    </row>
    <row r="97" spans="1:18" ht="22.5">
      <c r="A97" s="41">
        <v>88</v>
      </c>
      <c r="B97" s="61" t="s">
        <v>213</v>
      </c>
      <c r="C97" s="54">
        <v>2</v>
      </c>
      <c r="D97" s="54">
        <v>409</v>
      </c>
      <c r="E97" s="54">
        <v>70</v>
      </c>
      <c r="F97" s="54">
        <v>9</v>
      </c>
      <c r="G97" s="54">
        <v>1</v>
      </c>
      <c r="H97" s="54">
        <v>1</v>
      </c>
      <c r="I97" s="54">
        <v>2</v>
      </c>
      <c r="J97" s="54">
        <v>1</v>
      </c>
      <c r="K97" s="54">
        <v>10</v>
      </c>
      <c r="L97" s="54">
        <v>2</v>
      </c>
      <c r="M97" s="54">
        <v>2</v>
      </c>
      <c r="N97" s="54">
        <v>3</v>
      </c>
      <c r="O97" s="72">
        <f t="shared" si="3"/>
        <v>512</v>
      </c>
      <c r="P97" s="26">
        <v>0</v>
      </c>
      <c r="Q97" s="26">
        <f t="shared" si="2"/>
        <v>512</v>
      </c>
      <c r="R97" s="26">
        <v>0</v>
      </c>
    </row>
    <row r="98" spans="1:18" ht="22.5">
      <c r="A98" s="41">
        <v>89</v>
      </c>
      <c r="B98" s="61" t="s">
        <v>214</v>
      </c>
      <c r="C98" s="54">
        <v>2</v>
      </c>
      <c r="D98" s="54">
        <v>466</v>
      </c>
      <c r="E98" s="54">
        <v>22</v>
      </c>
      <c r="F98" s="54">
        <v>6</v>
      </c>
      <c r="G98" s="54">
        <v>0</v>
      </c>
      <c r="H98" s="54">
        <v>0</v>
      </c>
      <c r="I98" s="54">
        <v>1</v>
      </c>
      <c r="J98" s="54">
        <v>0</v>
      </c>
      <c r="K98" s="54">
        <v>2</v>
      </c>
      <c r="L98" s="54">
        <v>5</v>
      </c>
      <c r="M98" s="54">
        <v>0</v>
      </c>
      <c r="N98" s="54">
        <v>2</v>
      </c>
      <c r="O98" s="72">
        <f t="shared" si="3"/>
        <v>506</v>
      </c>
      <c r="P98" s="26">
        <v>0</v>
      </c>
      <c r="Q98" s="26">
        <f t="shared" si="2"/>
        <v>506</v>
      </c>
      <c r="R98" s="26">
        <v>0</v>
      </c>
    </row>
    <row r="99" spans="1:18" ht="22.5">
      <c r="A99" s="41">
        <v>90</v>
      </c>
      <c r="B99" s="61" t="s">
        <v>215</v>
      </c>
      <c r="C99" s="54">
        <v>8</v>
      </c>
      <c r="D99" s="54">
        <v>410</v>
      </c>
      <c r="E99" s="54">
        <v>129</v>
      </c>
      <c r="F99" s="54">
        <v>7</v>
      </c>
      <c r="G99" s="54">
        <v>1</v>
      </c>
      <c r="H99" s="54">
        <v>1</v>
      </c>
      <c r="I99" s="54">
        <v>0</v>
      </c>
      <c r="J99" s="54">
        <v>1</v>
      </c>
      <c r="K99" s="54">
        <v>12</v>
      </c>
      <c r="L99" s="54">
        <v>4</v>
      </c>
      <c r="M99" s="54">
        <v>2</v>
      </c>
      <c r="N99" s="54">
        <v>1</v>
      </c>
      <c r="O99" s="72">
        <f t="shared" si="3"/>
        <v>576</v>
      </c>
      <c r="P99" s="26">
        <v>0</v>
      </c>
      <c r="Q99" s="26">
        <f t="shared" si="2"/>
        <v>576</v>
      </c>
      <c r="R99" s="26">
        <v>0</v>
      </c>
    </row>
    <row r="100" spans="1:18" ht="22.5">
      <c r="A100" s="41">
        <v>91</v>
      </c>
      <c r="B100" s="61" t="s">
        <v>216</v>
      </c>
      <c r="C100" s="54">
        <v>8</v>
      </c>
      <c r="D100" s="54">
        <v>318</v>
      </c>
      <c r="E100" s="54">
        <v>262</v>
      </c>
      <c r="F100" s="54">
        <v>5</v>
      </c>
      <c r="G100" s="54">
        <v>0</v>
      </c>
      <c r="H100" s="54">
        <v>0</v>
      </c>
      <c r="I100" s="54">
        <v>1</v>
      </c>
      <c r="J100" s="54">
        <v>1</v>
      </c>
      <c r="K100" s="54">
        <v>9</v>
      </c>
      <c r="L100" s="54">
        <v>6</v>
      </c>
      <c r="M100" s="54">
        <v>0</v>
      </c>
      <c r="N100" s="54">
        <v>6</v>
      </c>
      <c r="O100" s="72">
        <f t="shared" si="3"/>
        <v>616</v>
      </c>
      <c r="P100" s="26">
        <v>0</v>
      </c>
      <c r="Q100" s="26">
        <f t="shared" si="2"/>
        <v>616</v>
      </c>
      <c r="R100" s="26">
        <v>0</v>
      </c>
    </row>
    <row r="101" spans="1:18" ht="22.5">
      <c r="A101" s="41">
        <v>92</v>
      </c>
      <c r="B101" s="61" t="s">
        <v>217</v>
      </c>
      <c r="C101" s="54">
        <v>1</v>
      </c>
      <c r="D101" s="54">
        <v>422</v>
      </c>
      <c r="E101" s="54">
        <v>8</v>
      </c>
      <c r="F101" s="54">
        <v>5</v>
      </c>
      <c r="G101" s="54">
        <v>0</v>
      </c>
      <c r="H101" s="54">
        <v>1</v>
      </c>
      <c r="I101" s="54">
        <v>0</v>
      </c>
      <c r="J101" s="54">
        <v>0</v>
      </c>
      <c r="K101" s="54">
        <v>20</v>
      </c>
      <c r="L101" s="54">
        <v>6</v>
      </c>
      <c r="M101" s="54">
        <v>1</v>
      </c>
      <c r="N101" s="54">
        <v>0</v>
      </c>
      <c r="O101" s="72">
        <f t="shared" si="3"/>
        <v>464</v>
      </c>
      <c r="P101" s="26">
        <v>0</v>
      </c>
      <c r="Q101" s="26">
        <f t="shared" si="2"/>
        <v>464</v>
      </c>
      <c r="R101" s="26">
        <v>0</v>
      </c>
    </row>
    <row r="102" spans="1:18" ht="22.5">
      <c r="A102" s="41">
        <v>93</v>
      </c>
      <c r="B102" s="61" t="s">
        <v>218</v>
      </c>
      <c r="C102" s="54">
        <v>4</v>
      </c>
      <c r="D102" s="54">
        <v>479</v>
      </c>
      <c r="E102" s="54">
        <v>167</v>
      </c>
      <c r="F102" s="54">
        <v>9</v>
      </c>
      <c r="G102" s="54">
        <v>0</v>
      </c>
      <c r="H102" s="54">
        <v>0</v>
      </c>
      <c r="I102" s="54">
        <v>0</v>
      </c>
      <c r="J102" s="54">
        <v>1</v>
      </c>
      <c r="K102" s="54">
        <v>7</v>
      </c>
      <c r="L102" s="54">
        <v>3</v>
      </c>
      <c r="M102" s="54">
        <v>1</v>
      </c>
      <c r="N102" s="54">
        <v>2</v>
      </c>
      <c r="O102" s="72">
        <f t="shared" si="3"/>
        <v>673</v>
      </c>
      <c r="P102" s="26">
        <v>0</v>
      </c>
      <c r="Q102" s="26">
        <f t="shared" si="2"/>
        <v>673</v>
      </c>
      <c r="R102" s="26">
        <v>0</v>
      </c>
    </row>
    <row r="103" spans="1:18" ht="22.5">
      <c r="A103" s="41">
        <v>94</v>
      </c>
      <c r="B103" s="61" t="s">
        <v>219</v>
      </c>
      <c r="C103" s="54">
        <v>6</v>
      </c>
      <c r="D103" s="54">
        <v>229</v>
      </c>
      <c r="E103" s="54">
        <v>273</v>
      </c>
      <c r="F103" s="54">
        <v>2</v>
      </c>
      <c r="G103" s="54">
        <v>0</v>
      </c>
      <c r="H103" s="54">
        <v>1</v>
      </c>
      <c r="I103" s="54">
        <v>0</v>
      </c>
      <c r="J103" s="54">
        <v>0</v>
      </c>
      <c r="K103" s="54">
        <v>25</v>
      </c>
      <c r="L103" s="54">
        <v>2</v>
      </c>
      <c r="M103" s="54">
        <v>1</v>
      </c>
      <c r="N103" s="54">
        <v>3</v>
      </c>
      <c r="O103" s="72">
        <f t="shared" si="3"/>
        <v>542</v>
      </c>
      <c r="P103" s="26">
        <v>0</v>
      </c>
      <c r="Q103" s="26">
        <f t="shared" si="2"/>
        <v>542</v>
      </c>
      <c r="R103" s="26">
        <v>0</v>
      </c>
    </row>
    <row r="104" spans="1:18" ht="22.5">
      <c r="A104" s="41">
        <v>95</v>
      </c>
      <c r="B104" s="61" t="s">
        <v>220</v>
      </c>
      <c r="C104" s="54">
        <v>126</v>
      </c>
      <c r="D104" s="54">
        <v>374</v>
      </c>
      <c r="E104" s="54">
        <v>154</v>
      </c>
      <c r="F104" s="54">
        <v>15</v>
      </c>
      <c r="G104" s="54">
        <v>1</v>
      </c>
      <c r="H104" s="54">
        <v>1</v>
      </c>
      <c r="I104" s="54">
        <v>0</v>
      </c>
      <c r="J104" s="54">
        <v>0</v>
      </c>
      <c r="K104" s="54">
        <v>24</v>
      </c>
      <c r="L104" s="54">
        <v>0</v>
      </c>
      <c r="M104" s="54">
        <v>1</v>
      </c>
      <c r="N104" s="54">
        <v>0</v>
      </c>
      <c r="O104" s="72">
        <f t="shared" si="3"/>
        <v>696</v>
      </c>
      <c r="P104" s="26">
        <v>0</v>
      </c>
      <c r="Q104" s="26">
        <f t="shared" si="2"/>
        <v>696</v>
      </c>
      <c r="R104" s="26">
        <v>0</v>
      </c>
    </row>
    <row r="105" spans="1:18" ht="22.5">
      <c r="A105" s="41">
        <v>96</v>
      </c>
      <c r="B105" s="61" t="s">
        <v>221</v>
      </c>
      <c r="C105" s="54">
        <v>2</v>
      </c>
      <c r="D105" s="54">
        <v>428</v>
      </c>
      <c r="E105" s="54">
        <v>15</v>
      </c>
      <c r="F105" s="54">
        <v>4</v>
      </c>
      <c r="G105" s="54">
        <v>0</v>
      </c>
      <c r="H105" s="54">
        <v>0</v>
      </c>
      <c r="I105" s="54">
        <v>0</v>
      </c>
      <c r="J105" s="54">
        <v>0</v>
      </c>
      <c r="K105" s="54">
        <v>13</v>
      </c>
      <c r="L105" s="54">
        <v>0</v>
      </c>
      <c r="M105" s="54">
        <v>1</v>
      </c>
      <c r="N105" s="54">
        <v>0</v>
      </c>
      <c r="O105" s="72">
        <f t="shared" si="3"/>
        <v>463</v>
      </c>
      <c r="P105" s="26">
        <v>0</v>
      </c>
      <c r="Q105" s="26">
        <f t="shared" si="2"/>
        <v>463</v>
      </c>
      <c r="R105" s="26">
        <v>0</v>
      </c>
    </row>
    <row r="106" spans="1:18" ht="22.5">
      <c r="A106" s="41">
        <v>97</v>
      </c>
      <c r="B106" s="61" t="s">
        <v>222</v>
      </c>
      <c r="C106" s="54">
        <v>0</v>
      </c>
      <c r="D106" s="54">
        <v>243</v>
      </c>
      <c r="E106" s="54">
        <v>81</v>
      </c>
      <c r="F106" s="54">
        <v>2</v>
      </c>
      <c r="G106" s="54">
        <v>0</v>
      </c>
      <c r="H106" s="54">
        <v>0</v>
      </c>
      <c r="I106" s="54">
        <v>1</v>
      </c>
      <c r="J106" s="54">
        <v>0</v>
      </c>
      <c r="K106" s="54">
        <v>4</v>
      </c>
      <c r="L106" s="54">
        <v>3</v>
      </c>
      <c r="M106" s="54">
        <v>0</v>
      </c>
      <c r="N106" s="54">
        <v>1</v>
      </c>
      <c r="O106" s="72">
        <f t="shared" si="3"/>
        <v>335</v>
      </c>
      <c r="P106" s="26">
        <v>0</v>
      </c>
      <c r="Q106" s="26">
        <f t="shared" si="2"/>
        <v>335</v>
      </c>
      <c r="R106" s="26">
        <v>0</v>
      </c>
    </row>
    <row r="107" spans="1:18" ht="22.5">
      <c r="A107" s="41">
        <v>98</v>
      </c>
      <c r="B107" s="61" t="s">
        <v>223</v>
      </c>
      <c r="C107" s="54">
        <v>3</v>
      </c>
      <c r="D107" s="54">
        <v>119</v>
      </c>
      <c r="E107" s="54">
        <v>340</v>
      </c>
      <c r="F107" s="54">
        <v>10</v>
      </c>
      <c r="G107" s="54">
        <v>1</v>
      </c>
      <c r="H107" s="54">
        <v>0</v>
      </c>
      <c r="I107" s="54">
        <v>1</v>
      </c>
      <c r="J107" s="54">
        <v>0</v>
      </c>
      <c r="K107" s="54">
        <v>2</v>
      </c>
      <c r="L107" s="54">
        <v>5</v>
      </c>
      <c r="M107" s="54">
        <v>1</v>
      </c>
      <c r="N107" s="54">
        <v>3</v>
      </c>
      <c r="O107" s="72">
        <f t="shared" si="3"/>
        <v>485</v>
      </c>
      <c r="P107" s="26">
        <v>0</v>
      </c>
      <c r="Q107" s="26">
        <f t="shared" si="2"/>
        <v>485</v>
      </c>
      <c r="R107" s="26">
        <v>0</v>
      </c>
    </row>
    <row r="108" spans="1:18" ht="22.5">
      <c r="A108" s="41">
        <v>99</v>
      </c>
      <c r="B108" s="61" t="s">
        <v>224</v>
      </c>
      <c r="C108" s="54">
        <f t="array" ref="C108:N121">TRANSPOSE(Constiuence!C238:P249)</f>
        <v>5</v>
      </c>
      <c r="D108" s="54">
        <v>557</v>
      </c>
      <c r="E108" s="54">
        <v>14</v>
      </c>
      <c r="F108" s="54">
        <v>3</v>
      </c>
      <c r="G108" s="54">
        <v>1</v>
      </c>
      <c r="H108" s="54">
        <v>0</v>
      </c>
      <c r="I108" s="54">
        <v>0</v>
      </c>
      <c r="J108" s="54">
        <v>1</v>
      </c>
      <c r="K108" s="54">
        <v>54</v>
      </c>
      <c r="L108" s="54">
        <v>1</v>
      </c>
      <c r="M108" s="54">
        <v>1</v>
      </c>
      <c r="N108" s="54">
        <v>0</v>
      </c>
      <c r="O108" s="72">
        <f t="shared" si="3"/>
        <v>637</v>
      </c>
      <c r="P108" s="26">
        <v>0</v>
      </c>
      <c r="Q108" s="26">
        <f t="shared" si="2"/>
        <v>637</v>
      </c>
      <c r="R108" s="26">
        <v>0</v>
      </c>
    </row>
    <row r="109" spans="1:18" ht="22.5">
      <c r="A109" s="41">
        <v>100</v>
      </c>
      <c r="B109" s="61" t="s">
        <v>225</v>
      </c>
      <c r="C109" s="54">
        <v>1</v>
      </c>
      <c r="D109" s="54">
        <v>602</v>
      </c>
      <c r="E109" s="54">
        <v>7</v>
      </c>
      <c r="F109" s="54">
        <v>4</v>
      </c>
      <c r="G109" s="54">
        <v>0</v>
      </c>
      <c r="H109" s="54">
        <v>0</v>
      </c>
      <c r="I109" s="54">
        <v>0</v>
      </c>
      <c r="J109" s="54">
        <v>1</v>
      </c>
      <c r="K109" s="54">
        <v>27</v>
      </c>
      <c r="L109" s="54">
        <v>2</v>
      </c>
      <c r="M109" s="54">
        <v>2</v>
      </c>
      <c r="N109" s="54">
        <v>2</v>
      </c>
      <c r="O109" s="72">
        <f t="shared" si="3"/>
        <v>648</v>
      </c>
      <c r="P109" s="26">
        <v>0</v>
      </c>
      <c r="Q109" s="26">
        <f t="shared" si="2"/>
        <v>648</v>
      </c>
      <c r="R109" s="26">
        <v>0</v>
      </c>
    </row>
    <row r="110" spans="1:18" ht="22.5">
      <c r="A110" s="41">
        <v>101</v>
      </c>
      <c r="B110" s="61" t="s">
        <v>226</v>
      </c>
      <c r="C110" s="54">
        <v>2</v>
      </c>
      <c r="D110" s="54">
        <v>600</v>
      </c>
      <c r="E110" s="54">
        <v>4</v>
      </c>
      <c r="F110" s="54">
        <v>4</v>
      </c>
      <c r="G110" s="54">
        <v>0</v>
      </c>
      <c r="H110" s="54">
        <v>0</v>
      </c>
      <c r="I110" s="54">
        <v>1</v>
      </c>
      <c r="J110" s="54">
        <v>0</v>
      </c>
      <c r="K110" s="54">
        <v>13</v>
      </c>
      <c r="L110" s="54">
        <v>0</v>
      </c>
      <c r="M110" s="54">
        <v>1</v>
      </c>
      <c r="N110" s="54">
        <v>0</v>
      </c>
      <c r="O110" s="72">
        <f t="shared" si="3"/>
        <v>625</v>
      </c>
      <c r="P110" s="26">
        <v>0</v>
      </c>
      <c r="Q110" s="26">
        <f t="shared" si="2"/>
        <v>625</v>
      </c>
      <c r="R110" s="26">
        <v>0</v>
      </c>
    </row>
    <row r="111" spans="1:18" ht="22.5">
      <c r="A111" s="41">
        <v>102</v>
      </c>
      <c r="B111" s="61" t="s">
        <v>227</v>
      </c>
      <c r="C111" s="54">
        <v>3</v>
      </c>
      <c r="D111" s="54">
        <v>556</v>
      </c>
      <c r="E111" s="54">
        <v>9</v>
      </c>
      <c r="F111" s="54">
        <v>7</v>
      </c>
      <c r="G111" s="54">
        <v>0</v>
      </c>
      <c r="H111" s="54">
        <v>0</v>
      </c>
      <c r="I111" s="54">
        <v>0</v>
      </c>
      <c r="J111" s="54">
        <v>0</v>
      </c>
      <c r="K111" s="54">
        <v>16</v>
      </c>
      <c r="L111" s="54">
        <v>3</v>
      </c>
      <c r="M111" s="54">
        <v>0</v>
      </c>
      <c r="N111" s="54">
        <v>0</v>
      </c>
      <c r="O111" s="72">
        <f t="shared" si="3"/>
        <v>594</v>
      </c>
      <c r="P111" s="26">
        <v>0</v>
      </c>
      <c r="Q111" s="26">
        <f t="shared" si="2"/>
        <v>594</v>
      </c>
      <c r="R111" s="26">
        <v>0</v>
      </c>
    </row>
    <row r="112" spans="1:18" ht="22.5">
      <c r="A112" s="41">
        <v>103</v>
      </c>
      <c r="B112" s="61" t="s">
        <v>228</v>
      </c>
      <c r="C112" s="54">
        <v>0</v>
      </c>
      <c r="D112" s="54">
        <v>494</v>
      </c>
      <c r="E112" s="54">
        <v>47</v>
      </c>
      <c r="F112" s="54">
        <v>3</v>
      </c>
      <c r="G112" s="54">
        <v>0</v>
      </c>
      <c r="H112" s="54">
        <v>0</v>
      </c>
      <c r="I112" s="54">
        <v>1</v>
      </c>
      <c r="J112" s="54">
        <v>0</v>
      </c>
      <c r="K112" s="54">
        <v>16</v>
      </c>
      <c r="L112" s="54">
        <v>1</v>
      </c>
      <c r="M112" s="54">
        <v>2</v>
      </c>
      <c r="N112" s="54">
        <v>2</v>
      </c>
      <c r="O112" s="72">
        <f t="shared" si="3"/>
        <v>566</v>
      </c>
      <c r="P112" s="26">
        <v>0</v>
      </c>
      <c r="Q112" s="26">
        <f t="shared" si="2"/>
        <v>566</v>
      </c>
      <c r="R112" s="26">
        <v>0</v>
      </c>
    </row>
    <row r="113" spans="1:18" ht="22.5">
      <c r="A113" s="41">
        <v>104</v>
      </c>
      <c r="B113" s="61" t="s">
        <v>229</v>
      </c>
      <c r="C113" s="54">
        <v>8</v>
      </c>
      <c r="D113" s="54">
        <v>551</v>
      </c>
      <c r="E113" s="54">
        <v>83</v>
      </c>
      <c r="F113" s="54">
        <v>6</v>
      </c>
      <c r="G113" s="54">
        <v>0</v>
      </c>
      <c r="H113" s="54">
        <v>0</v>
      </c>
      <c r="I113" s="54">
        <v>0</v>
      </c>
      <c r="J113" s="54">
        <v>0</v>
      </c>
      <c r="K113" s="54">
        <v>16</v>
      </c>
      <c r="L113" s="54">
        <v>15</v>
      </c>
      <c r="M113" s="54">
        <v>7</v>
      </c>
      <c r="N113" s="54">
        <v>6</v>
      </c>
      <c r="O113" s="72">
        <f t="shared" si="3"/>
        <v>692</v>
      </c>
      <c r="P113" s="26">
        <v>0</v>
      </c>
      <c r="Q113" s="26">
        <f t="shared" si="2"/>
        <v>692</v>
      </c>
      <c r="R113" s="26">
        <v>0</v>
      </c>
    </row>
    <row r="114" spans="1:18">
      <c r="A114" s="41">
        <v>105</v>
      </c>
      <c r="B114" s="61" t="s">
        <v>230</v>
      </c>
      <c r="C114" s="54">
        <v>7</v>
      </c>
      <c r="D114" s="54">
        <v>660</v>
      </c>
      <c r="E114" s="54">
        <v>8</v>
      </c>
      <c r="F114" s="54">
        <v>2</v>
      </c>
      <c r="G114" s="54">
        <v>0</v>
      </c>
      <c r="H114" s="54">
        <v>0</v>
      </c>
      <c r="I114" s="54">
        <v>0</v>
      </c>
      <c r="J114" s="54">
        <v>0</v>
      </c>
      <c r="K114" s="54">
        <v>2</v>
      </c>
      <c r="L114" s="54">
        <v>2</v>
      </c>
      <c r="M114" s="54">
        <v>0</v>
      </c>
      <c r="N114" s="54">
        <v>0</v>
      </c>
      <c r="O114" s="72">
        <f t="shared" si="3"/>
        <v>681</v>
      </c>
      <c r="P114" s="26">
        <v>0</v>
      </c>
      <c r="Q114" s="26">
        <f t="shared" si="2"/>
        <v>681</v>
      </c>
      <c r="R114" s="26">
        <v>0</v>
      </c>
    </row>
    <row r="115" spans="1:18">
      <c r="A115" s="41">
        <v>106</v>
      </c>
      <c r="B115" s="61" t="s">
        <v>231</v>
      </c>
      <c r="C115" s="54">
        <v>2</v>
      </c>
      <c r="D115" s="54">
        <v>40</v>
      </c>
      <c r="E115" s="54">
        <v>111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1</v>
      </c>
      <c r="N115" s="54">
        <v>0</v>
      </c>
      <c r="O115" s="72">
        <f t="shared" si="3"/>
        <v>154</v>
      </c>
      <c r="P115" s="26">
        <v>0</v>
      </c>
      <c r="Q115" s="26">
        <f t="shared" si="2"/>
        <v>154</v>
      </c>
      <c r="R115" s="26">
        <v>0</v>
      </c>
    </row>
    <row r="116" spans="1:18">
      <c r="A116" s="41">
        <v>107</v>
      </c>
      <c r="B116" s="61" t="s">
        <v>232</v>
      </c>
      <c r="C116" s="54">
        <v>3</v>
      </c>
      <c r="D116" s="54">
        <v>486</v>
      </c>
      <c r="E116" s="54">
        <v>15</v>
      </c>
      <c r="F116" s="54">
        <v>0</v>
      </c>
      <c r="G116" s="54">
        <v>0</v>
      </c>
      <c r="H116" s="54">
        <v>0</v>
      </c>
      <c r="I116" s="54">
        <v>0</v>
      </c>
      <c r="J116" s="54">
        <v>1</v>
      </c>
      <c r="K116" s="54">
        <v>2</v>
      </c>
      <c r="L116" s="54">
        <v>0</v>
      </c>
      <c r="M116" s="54">
        <v>1</v>
      </c>
      <c r="N116" s="54">
        <v>1</v>
      </c>
      <c r="O116" s="72">
        <f t="shared" si="3"/>
        <v>509</v>
      </c>
      <c r="P116" s="26">
        <v>0</v>
      </c>
      <c r="Q116" s="26">
        <f t="shared" si="2"/>
        <v>509</v>
      </c>
      <c r="R116" s="26">
        <v>0</v>
      </c>
    </row>
    <row r="117" spans="1:18">
      <c r="A117" s="41">
        <v>108</v>
      </c>
      <c r="B117" s="61" t="s">
        <v>233</v>
      </c>
      <c r="C117" s="54">
        <v>3</v>
      </c>
      <c r="D117" s="54">
        <v>474</v>
      </c>
      <c r="E117" s="54">
        <v>15</v>
      </c>
      <c r="F117" s="54">
        <v>2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2</v>
      </c>
      <c r="M117" s="54">
        <v>2</v>
      </c>
      <c r="N117" s="54">
        <v>0</v>
      </c>
      <c r="O117" s="72">
        <f t="shared" si="3"/>
        <v>498</v>
      </c>
      <c r="P117" s="26">
        <v>0</v>
      </c>
      <c r="Q117" s="26">
        <f t="shared" si="2"/>
        <v>498</v>
      </c>
      <c r="R117" s="26">
        <v>0</v>
      </c>
    </row>
    <row r="118" spans="1:18">
      <c r="A118" s="41">
        <v>109</v>
      </c>
      <c r="B118" s="61" t="s">
        <v>234</v>
      </c>
      <c r="C118" s="54">
        <v>0</v>
      </c>
      <c r="D118" s="54">
        <v>39</v>
      </c>
      <c r="E118" s="54">
        <v>269</v>
      </c>
      <c r="F118" s="54">
        <v>1</v>
      </c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1</v>
      </c>
      <c r="M118" s="54">
        <v>0</v>
      </c>
      <c r="N118" s="54">
        <v>0</v>
      </c>
      <c r="O118" s="72">
        <f t="shared" si="3"/>
        <v>310</v>
      </c>
      <c r="P118" s="26">
        <v>0</v>
      </c>
      <c r="Q118" s="26">
        <f t="shared" si="2"/>
        <v>310</v>
      </c>
      <c r="R118" s="26">
        <v>0</v>
      </c>
    </row>
    <row r="119" spans="1:18">
      <c r="A119" s="41">
        <v>110</v>
      </c>
      <c r="B119" s="61" t="s">
        <v>235</v>
      </c>
      <c r="C119" s="54">
        <v>84</v>
      </c>
      <c r="D119" s="54">
        <v>119</v>
      </c>
      <c r="E119" s="54">
        <v>305</v>
      </c>
      <c r="F119" s="54">
        <v>3</v>
      </c>
      <c r="G119" s="54">
        <v>0</v>
      </c>
      <c r="H119" s="54">
        <v>1</v>
      </c>
      <c r="I119" s="54">
        <v>1</v>
      </c>
      <c r="J119" s="54">
        <v>1</v>
      </c>
      <c r="K119" s="54">
        <v>1</v>
      </c>
      <c r="L119" s="54">
        <v>1</v>
      </c>
      <c r="M119" s="54">
        <v>1</v>
      </c>
      <c r="N119" s="54">
        <v>2</v>
      </c>
      <c r="O119" s="72">
        <f t="shared" si="3"/>
        <v>519</v>
      </c>
      <c r="P119" s="26">
        <v>0</v>
      </c>
      <c r="Q119" s="26">
        <f t="shared" si="2"/>
        <v>519</v>
      </c>
      <c r="R119" s="26">
        <v>0</v>
      </c>
    </row>
    <row r="120" spans="1:18">
      <c r="A120" s="41">
        <v>111</v>
      </c>
      <c r="B120" s="61" t="s">
        <v>236</v>
      </c>
      <c r="C120" s="54">
        <v>166</v>
      </c>
      <c r="D120" s="54">
        <v>137</v>
      </c>
      <c r="E120" s="54">
        <v>196</v>
      </c>
      <c r="F120" s="54">
        <v>4</v>
      </c>
      <c r="G120" s="54">
        <v>1</v>
      </c>
      <c r="H120" s="54">
        <v>0</v>
      </c>
      <c r="I120" s="54">
        <v>1</v>
      </c>
      <c r="J120" s="54">
        <v>1</v>
      </c>
      <c r="K120" s="54">
        <v>1</v>
      </c>
      <c r="L120" s="54">
        <v>4</v>
      </c>
      <c r="M120" s="54">
        <v>4</v>
      </c>
      <c r="N120" s="54">
        <v>9</v>
      </c>
      <c r="O120" s="72">
        <f t="shared" si="3"/>
        <v>524</v>
      </c>
      <c r="P120" s="26">
        <v>0</v>
      </c>
      <c r="Q120" s="26">
        <f t="shared" si="2"/>
        <v>524</v>
      </c>
      <c r="R120" s="26">
        <v>0</v>
      </c>
    </row>
    <row r="121" spans="1:18" ht="22.5">
      <c r="A121" s="41">
        <v>112</v>
      </c>
      <c r="B121" s="61" t="s">
        <v>237</v>
      </c>
      <c r="C121" s="54">
        <v>35</v>
      </c>
      <c r="D121" s="54">
        <v>154</v>
      </c>
      <c r="E121" s="54">
        <v>263</v>
      </c>
      <c r="F121" s="54">
        <v>5</v>
      </c>
      <c r="G121" s="54">
        <v>1</v>
      </c>
      <c r="H121" s="54">
        <v>0</v>
      </c>
      <c r="I121" s="54">
        <v>0</v>
      </c>
      <c r="J121" s="54">
        <v>0</v>
      </c>
      <c r="K121" s="54">
        <v>0</v>
      </c>
      <c r="L121" s="54">
        <v>1</v>
      </c>
      <c r="M121" s="54">
        <v>0</v>
      </c>
      <c r="N121" s="54">
        <v>2</v>
      </c>
      <c r="O121" s="72">
        <f t="shared" si="3"/>
        <v>461</v>
      </c>
      <c r="P121" s="26">
        <v>0</v>
      </c>
      <c r="Q121" s="26">
        <f t="shared" si="2"/>
        <v>461</v>
      </c>
      <c r="R121" s="26">
        <v>0</v>
      </c>
    </row>
    <row r="122" spans="1:18" ht="22.5">
      <c r="A122" s="41">
        <v>113</v>
      </c>
      <c r="B122" s="61" t="s">
        <v>238</v>
      </c>
      <c r="C122" s="54">
        <f t="array" ref="C122:N135">TRANSPOSE(Constiuence!C271:P282)</f>
        <v>11</v>
      </c>
      <c r="D122" s="54">
        <v>153</v>
      </c>
      <c r="E122" s="54">
        <v>276</v>
      </c>
      <c r="F122" s="54">
        <v>0</v>
      </c>
      <c r="G122" s="54">
        <v>3</v>
      </c>
      <c r="H122" s="54">
        <v>1</v>
      </c>
      <c r="I122" s="54">
        <v>0</v>
      </c>
      <c r="J122" s="54">
        <v>0</v>
      </c>
      <c r="K122" s="54">
        <v>0</v>
      </c>
      <c r="L122" s="54">
        <v>0</v>
      </c>
      <c r="M122" s="54">
        <v>0</v>
      </c>
      <c r="N122" s="54">
        <v>1</v>
      </c>
      <c r="O122" s="72">
        <f t="shared" si="3"/>
        <v>445</v>
      </c>
      <c r="P122" s="26">
        <v>0</v>
      </c>
      <c r="Q122" s="26">
        <f t="shared" si="2"/>
        <v>445</v>
      </c>
      <c r="R122" s="26">
        <v>0</v>
      </c>
    </row>
    <row r="123" spans="1:18" ht="22.5">
      <c r="A123" s="41">
        <v>114</v>
      </c>
      <c r="B123" s="61" t="s">
        <v>239</v>
      </c>
      <c r="C123" s="54">
        <v>9</v>
      </c>
      <c r="D123" s="54">
        <v>123</v>
      </c>
      <c r="E123" s="54">
        <v>331</v>
      </c>
      <c r="F123" s="54">
        <v>0</v>
      </c>
      <c r="G123" s="54">
        <v>1</v>
      </c>
      <c r="H123" s="54">
        <v>0</v>
      </c>
      <c r="I123" s="54">
        <v>0</v>
      </c>
      <c r="J123" s="54">
        <v>0</v>
      </c>
      <c r="K123" s="54">
        <v>0</v>
      </c>
      <c r="L123" s="54">
        <v>0</v>
      </c>
      <c r="M123" s="54">
        <v>0</v>
      </c>
      <c r="N123" s="54">
        <v>1</v>
      </c>
      <c r="O123" s="72">
        <f t="shared" si="3"/>
        <v>465</v>
      </c>
      <c r="P123" s="26">
        <v>0</v>
      </c>
      <c r="Q123" s="26">
        <f t="shared" si="2"/>
        <v>465</v>
      </c>
      <c r="R123" s="26">
        <v>0</v>
      </c>
    </row>
    <row r="124" spans="1:18" ht="22.5">
      <c r="A124" s="41">
        <v>115</v>
      </c>
      <c r="B124" s="61" t="s">
        <v>240</v>
      </c>
      <c r="C124" s="54">
        <v>11</v>
      </c>
      <c r="D124" s="54">
        <v>92</v>
      </c>
      <c r="E124" s="54">
        <v>347</v>
      </c>
      <c r="F124" s="54">
        <v>0</v>
      </c>
      <c r="G124" s="54">
        <v>1</v>
      </c>
      <c r="H124" s="54">
        <v>0</v>
      </c>
      <c r="I124" s="54">
        <v>0</v>
      </c>
      <c r="J124" s="54">
        <v>0</v>
      </c>
      <c r="K124" s="54">
        <v>0</v>
      </c>
      <c r="L124" s="54">
        <v>0</v>
      </c>
      <c r="M124" s="54">
        <v>0</v>
      </c>
      <c r="N124" s="54">
        <v>2</v>
      </c>
      <c r="O124" s="72">
        <f t="shared" si="3"/>
        <v>453</v>
      </c>
      <c r="P124" s="26">
        <v>0</v>
      </c>
      <c r="Q124" s="26">
        <f t="shared" si="2"/>
        <v>453</v>
      </c>
      <c r="R124" s="26">
        <v>0</v>
      </c>
    </row>
    <row r="125" spans="1:18">
      <c r="A125" s="41">
        <v>116</v>
      </c>
      <c r="B125" s="61" t="s">
        <v>241</v>
      </c>
      <c r="C125" s="54">
        <v>31</v>
      </c>
      <c r="D125" s="54">
        <v>429</v>
      </c>
      <c r="E125" s="54">
        <v>128</v>
      </c>
      <c r="F125" s="54">
        <v>1</v>
      </c>
      <c r="G125" s="54">
        <v>2</v>
      </c>
      <c r="H125" s="54">
        <v>0</v>
      </c>
      <c r="I125" s="54">
        <v>0</v>
      </c>
      <c r="J125" s="54">
        <v>2</v>
      </c>
      <c r="K125" s="54">
        <v>7</v>
      </c>
      <c r="L125" s="54">
        <v>1</v>
      </c>
      <c r="M125" s="54">
        <v>3</v>
      </c>
      <c r="N125" s="54">
        <v>5</v>
      </c>
      <c r="O125" s="72">
        <f t="shared" si="3"/>
        <v>609</v>
      </c>
      <c r="P125" s="26">
        <v>0</v>
      </c>
      <c r="Q125" s="26">
        <f t="shared" si="2"/>
        <v>609</v>
      </c>
      <c r="R125" s="26">
        <v>0</v>
      </c>
    </row>
    <row r="126" spans="1:18">
      <c r="A126" s="41">
        <v>117</v>
      </c>
      <c r="B126" s="61" t="s">
        <v>242</v>
      </c>
      <c r="C126" s="54">
        <v>15</v>
      </c>
      <c r="D126" s="54">
        <v>169</v>
      </c>
      <c r="E126" s="54">
        <v>510</v>
      </c>
      <c r="F126" s="54">
        <v>3</v>
      </c>
      <c r="G126" s="54">
        <v>1</v>
      </c>
      <c r="H126" s="54">
        <v>0</v>
      </c>
      <c r="I126" s="54">
        <v>0</v>
      </c>
      <c r="J126" s="54">
        <v>0</v>
      </c>
      <c r="K126" s="54">
        <v>1</v>
      </c>
      <c r="L126" s="54">
        <v>1</v>
      </c>
      <c r="M126" s="54">
        <v>2</v>
      </c>
      <c r="N126" s="54">
        <v>0</v>
      </c>
      <c r="O126" s="72">
        <f t="shared" si="3"/>
        <v>702</v>
      </c>
      <c r="P126" s="26">
        <v>0</v>
      </c>
      <c r="Q126" s="26">
        <f t="shared" si="2"/>
        <v>702</v>
      </c>
      <c r="R126" s="26">
        <v>0</v>
      </c>
    </row>
    <row r="127" spans="1:18">
      <c r="A127" s="41">
        <v>118</v>
      </c>
      <c r="B127" s="61" t="s">
        <v>243</v>
      </c>
      <c r="C127" s="54">
        <v>8</v>
      </c>
      <c r="D127" s="54">
        <v>365</v>
      </c>
      <c r="E127" s="54">
        <v>111</v>
      </c>
      <c r="F127" s="54">
        <v>1</v>
      </c>
      <c r="G127" s="54">
        <v>2</v>
      </c>
      <c r="H127" s="54">
        <v>0</v>
      </c>
      <c r="I127" s="54">
        <v>0</v>
      </c>
      <c r="J127" s="54">
        <v>5</v>
      </c>
      <c r="K127" s="54">
        <v>0</v>
      </c>
      <c r="L127" s="54">
        <v>2</v>
      </c>
      <c r="M127" s="54">
        <v>0</v>
      </c>
      <c r="N127" s="54">
        <v>2</v>
      </c>
      <c r="O127" s="72">
        <f t="shared" si="3"/>
        <v>496</v>
      </c>
      <c r="P127" s="26">
        <v>0</v>
      </c>
      <c r="Q127" s="26">
        <f t="shared" si="2"/>
        <v>496</v>
      </c>
      <c r="R127" s="26">
        <v>0</v>
      </c>
    </row>
    <row r="128" spans="1:18">
      <c r="A128" s="41">
        <v>119</v>
      </c>
      <c r="B128" s="61" t="s">
        <v>244</v>
      </c>
      <c r="C128" s="54">
        <v>6</v>
      </c>
      <c r="D128" s="54">
        <v>395</v>
      </c>
      <c r="E128" s="54">
        <v>67</v>
      </c>
      <c r="F128" s="54">
        <v>1</v>
      </c>
      <c r="G128" s="54">
        <v>0</v>
      </c>
      <c r="H128" s="54">
        <v>0</v>
      </c>
      <c r="I128" s="54">
        <v>1</v>
      </c>
      <c r="J128" s="54">
        <v>0</v>
      </c>
      <c r="K128" s="54">
        <v>1</v>
      </c>
      <c r="L128" s="54">
        <v>5</v>
      </c>
      <c r="M128" s="54">
        <v>1</v>
      </c>
      <c r="N128" s="54">
        <v>4</v>
      </c>
      <c r="O128" s="72">
        <f t="shared" si="3"/>
        <v>481</v>
      </c>
      <c r="P128" s="26">
        <v>0</v>
      </c>
      <c r="Q128" s="26">
        <f t="shared" si="2"/>
        <v>481</v>
      </c>
      <c r="R128" s="26">
        <v>0</v>
      </c>
    </row>
    <row r="129" spans="1:18">
      <c r="A129" s="41">
        <v>120</v>
      </c>
      <c r="B129" s="61" t="s">
        <v>245</v>
      </c>
      <c r="C129" s="54">
        <v>61</v>
      </c>
      <c r="D129" s="54">
        <v>277</v>
      </c>
      <c r="E129" s="54">
        <v>67</v>
      </c>
      <c r="F129" s="54">
        <v>3</v>
      </c>
      <c r="G129" s="54">
        <v>2</v>
      </c>
      <c r="H129" s="54">
        <v>0</v>
      </c>
      <c r="I129" s="54">
        <v>1</v>
      </c>
      <c r="J129" s="54">
        <v>2</v>
      </c>
      <c r="K129" s="54">
        <v>1</v>
      </c>
      <c r="L129" s="54">
        <v>1</v>
      </c>
      <c r="M129" s="54">
        <v>4</v>
      </c>
      <c r="N129" s="54">
        <v>5</v>
      </c>
      <c r="O129" s="72">
        <f t="shared" si="3"/>
        <v>424</v>
      </c>
      <c r="P129" s="26">
        <v>0</v>
      </c>
      <c r="Q129" s="26">
        <f t="shared" si="2"/>
        <v>424</v>
      </c>
      <c r="R129" s="26">
        <v>0</v>
      </c>
    </row>
    <row r="130" spans="1:18">
      <c r="A130" s="41">
        <v>121</v>
      </c>
      <c r="B130" s="61" t="s">
        <v>246</v>
      </c>
      <c r="C130" s="54">
        <v>46</v>
      </c>
      <c r="D130" s="54">
        <v>68</v>
      </c>
      <c r="E130" s="54">
        <v>438</v>
      </c>
      <c r="F130" s="54">
        <v>3</v>
      </c>
      <c r="G130" s="54">
        <v>0</v>
      </c>
      <c r="H130" s="54">
        <v>0</v>
      </c>
      <c r="I130" s="54">
        <v>0</v>
      </c>
      <c r="J130" s="54">
        <v>1</v>
      </c>
      <c r="K130" s="54">
        <v>0</v>
      </c>
      <c r="L130" s="54">
        <v>3</v>
      </c>
      <c r="M130" s="54">
        <v>2</v>
      </c>
      <c r="N130" s="54">
        <v>1</v>
      </c>
      <c r="O130" s="72">
        <f t="shared" si="3"/>
        <v>562</v>
      </c>
      <c r="P130" s="26">
        <v>0</v>
      </c>
      <c r="Q130" s="26">
        <f t="shared" si="2"/>
        <v>562</v>
      </c>
      <c r="R130" s="26">
        <v>0</v>
      </c>
    </row>
    <row r="131" spans="1:18">
      <c r="A131" s="41">
        <v>122</v>
      </c>
      <c r="B131" s="61" t="s">
        <v>247</v>
      </c>
      <c r="C131" s="54">
        <v>158</v>
      </c>
      <c r="D131" s="54">
        <v>47</v>
      </c>
      <c r="E131" s="54">
        <v>347</v>
      </c>
      <c r="F131" s="54">
        <v>2</v>
      </c>
      <c r="G131" s="54">
        <v>3</v>
      </c>
      <c r="H131" s="54">
        <v>0</v>
      </c>
      <c r="I131" s="54">
        <v>0</v>
      </c>
      <c r="J131" s="54">
        <v>0</v>
      </c>
      <c r="K131" s="54">
        <v>0</v>
      </c>
      <c r="L131" s="54">
        <v>0</v>
      </c>
      <c r="M131" s="54">
        <v>1</v>
      </c>
      <c r="N131" s="54">
        <v>3</v>
      </c>
      <c r="O131" s="72">
        <f t="shared" si="3"/>
        <v>561</v>
      </c>
      <c r="P131" s="26">
        <v>0</v>
      </c>
      <c r="Q131" s="26">
        <f t="shared" si="2"/>
        <v>561</v>
      </c>
      <c r="R131" s="26">
        <v>0</v>
      </c>
    </row>
    <row r="132" spans="1:18">
      <c r="A132" s="41">
        <v>123</v>
      </c>
      <c r="B132" s="61" t="s">
        <v>248</v>
      </c>
      <c r="C132" s="54">
        <v>63</v>
      </c>
      <c r="D132" s="54">
        <v>108</v>
      </c>
      <c r="E132" s="54">
        <v>316</v>
      </c>
      <c r="F132" s="54">
        <v>1</v>
      </c>
      <c r="G132" s="54">
        <v>2</v>
      </c>
      <c r="H132" s="54">
        <v>0</v>
      </c>
      <c r="I132" s="54">
        <v>0</v>
      </c>
      <c r="J132" s="54">
        <v>0</v>
      </c>
      <c r="K132" s="54">
        <v>0</v>
      </c>
      <c r="L132" s="54">
        <v>2</v>
      </c>
      <c r="M132" s="54">
        <v>0</v>
      </c>
      <c r="N132" s="54">
        <v>1</v>
      </c>
      <c r="O132" s="72">
        <f t="shared" si="3"/>
        <v>493</v>
      </c>
      <c r="P132" s="26">
        <v>0</v>
      </c>
      <c r="Q132" s="26">
        <f t="shared" si="2"/>
        <v>493</v>
      </c>
      <c r="R132" s="26">
        <v>0</v>
      </c>
    </row>
    <row r="133" spans="1:18" ht="22.5">
      <c r="A133" s="41">
        <v>124</v>
      </c>
      <c r="B133" s="61" t="s">
        <v>249</v>
      </c>
      <c r="C133" s="54">
        <v>5</v>
      </c>
      <c r="D133" s="54">
        <v>569</v>
      </c>
      <c r="E133" s="54">
        <v>94</v>
      </c>
      <c r="F133" s="54">
        <v>1</v>
      </c>
      <c r="G133" s="54">
        <v>0</v>
      </c>
      <c r="H133" s="54">
        <v>0</v>
      </c>
      <c r="I133" s="54">
        <v>0</v>
      </c>
      <c r="J133" s="54">
        <v>0</v>
      </c>
      <c r="K133" s="54">
        <v>0</v>
      </c>
      <c r="L133" s="54">
        <v>4</v>
      </c>
      <c r="M133" s="54">
        <v>1</v>
      </c>
      <c r="N133" s="54">
        <v>4</v>
      </c>
      <c r="O133" s="72">
        <f t="shared" si="3"/>
        <v>678</v>
      </c>
      <c r="P133" s="26">
        <v>0</v>
      </c>
      <c r="Q133" s="26">
        <f t="shared" si="2"/>
        <v>678</v>
      </c>
      <c r="R133" s="26">
        <v>0</v>
      </c>
    </row>
    <row r="134" spans="1:18" ht="22.5">
      <c r="A134" s="41">
        <v>125</v>
      </c>
      <c r="B134" s="61" t="s">
        <v>250</v>
      </c>
      <c r="C134" s="54">
        <v>142</v>
      </c>
      <c r="D134" s="54">
        <v>462</v>
      </c>
      <c r="E134" s="54">
        <v>65</v>
      </c>
      <c r="F134" s="54">
        <v>3</v>
      </c>
      <c r="G134" s="54">
        <v>0</v>
      </c>
      <c r="H134" s="54">
        <v>0</v>
      </c>
      <c r="I134" s="54">
        <v>1</v>
      </c>
      <c r="J134" s="54">
        <v>1</v>
      </c>
      <c r="K134" s="54">
        <v>0</v>
      </c>
      <c r="L134" s="54">
        <v>2</v>
      </c>
      <c r="M134" s="54">
        <v>2</v>
      </c>
      <c r="N134" s="54">
        <v>3</v>
      </c>
      <c r="O134" s="72">
        <f t="shared" si="3"/>
        <v>681</v>
      </c>
      <c r="P134" s="26">
        <v>0</v>
      </c>
      <c r="Q134" s="26">
        <f t="shared" si="2"/>
        <v>681</v>
      </c>
      <c r="R134" s="26">
        <v>0</v>
      </c>
    </row>
    <row r="135" spans="1:18">
      <c r="A135" s="41">
        <v>126</v>
      </c>
      <c r="B135" s="61" t="s">
        <v>251</v>
      </c>
      <c r="C135" s="54">
        <v>368</v>
      </c>
      <c r="D135" s="54">
        <v>71</v>
      </c>
      <c r="E135" s="54">
        <v>77</v>
      </c>
      <c r="F135" s="54">
        <v>0</v>
      </c>
      <c r="G135" s="54">
        <v>1</v>
      </c>
      <c r="H135" s="54">
        <v>0</v>
      </c>
      <c r="I135" s="54">
        <v>0</v>
      </c>
      <c r="J135" s="54">
        <v>1</v>
      </c>
      <c r="K135" s="54">
        <v>0</v>
      </c>
      <c r="L135" s="54">
        <v>1</v>
      </c>
      <c r="M135" s="54">
        <v>1</v>
      </c>
      <c r="N135" s="54">
        <v>6</v>
      </c>
      <c r="O135" s="72">
        <f t="shared" si="3"/>
        <v>526</v>
      </c>
      <c r="P135" s="26">
        <v>0</v>
      </c>
      <c r="Q135" s="26">
        <f t="shared" si="2"/>
        <v>526</v>
      </c>
      <c r="R135" s="26">
        <v>0</v>
      </c>
    </row>
    <row r="136" spans="1:18">
      <c r="A136" s="41">
        <v>127</v>
      </c>
      <c r="B136" s="61" t="s">
        <v>252</v>
      </c>
      <c r="C136" s="54">
        <f t="array" ref="C136:N149">TRANSPOSE(Constiuence!C306:P317)</f>
        <v>12</v>
      </c>
      <c r="D136" s="54">
        <v>198</v>
      </c>
      <c r="E136" s="54">
        <v>274</v>
      </c>
      <c r="F136" s="54">
        <v>3</v>
      </c>
      <c r="G136" s="54">
        <v>1</v>
      </c>
      <c r="H136" s="54">
        <v>0</v>
      </c>
      <c r="I136" s="54">
        <v>0</v>
      </c>
      <c r="J136" s="54">
        <v>0</v>
      </c>
      <c r="K136" s="54">
        <v>0</v>
      </c>
      <c r="L136" s="54">
        <v>1</v>
      </c>
      <c r="M136" s="54">
        <v>0</v>
      </c>
      <c r="N136" s="54">
        <v>1</v>
      </c>
      <c r="O136" s="72">
        <f t="shared" si="3"/>
        <v>490</v>
      </c>
      <c r="P136" s="26">
        <v>0</v>
      </c>
      <c r="Q136" s="26">
        <f t="shared" si="2"/>
        <v>490</v>
      </c>
      <c r="R136" s="26">
        <v>0</v>
      </c>
    </row>
    <row r="137" spans="1:18" ht="22.5">
      <c r="A137" s="41">
        <v>128</v>
      </c>
      <c r="B137" s="61" t="s">
        <v>253</v>
      </c>
      <c r="C137" s="54">
        <v>3</v>
      </c>
      <c r="D137" s="54">
        <v>390</v>
      </c>
      <c r="E137" s="54">
        <v>3</v>
      </c>
      <c r="F137" s="54">
        <v>1</v>
      </c>
      <c r="G137" s="54">
        <v>0</v>
      </c>
      <c r="H137" s="54">
        <v>0</v>
      </c>
      <c r="I137" s="54">
        <v>0</v>
      </c>
      <c r="J137" s="54">
        <v>1</v>
      </c>
      <c r="K137" s="54">
        <v>2</v>
      </c>
      <c r="L137" s="54">
        <v>0</v>
      </c>
      <c r="M137" s="54">
        <v>5</v>
      </c>
      <c r="N137" s="54">
        <v>2</v>
      </c>
      <c r="O137" s="72">
        <f t="shared" si="3"/>
        <v>407</v>
      </c>
      <c r="P137" s="26">
        <v>0</v>
      </c>
      <c r="Q137" s="26">
        <f t="shared" si="2"/>
        <v>407</v>
      </c>
      <c r="R137" s="26">
        <v>0</v>
      </c>
    </row>
    <row r="138" spans="1:18" ht="22.5">
      <c r="A138" s="41">
        <v>129</v>
      </c>
      <c r="B138" s="61" t="s">
        <v>254</v>
      </c>
      <c r="C138" s="54">
        <v>3</v>
      </c>
      <c r="D138" s="54">
        <v>78</v>
      </c>
      <c r="E138" s="54">
        <v>392</v>
      </c>
      <c r="F138" s="54">
        <v>3</v>
      </c>
      <c r="G138" s="54">
        <v>0</v>
      </c>
      <c r="H138" s="54">
        <v>0</v>
      </c>
      <c r="I138" s="54">
        <v>1</v>
      </c>
      <c r="J138" s="54">
        <v>0</v>
      </c>
      <c r="K138" s="54">
        <v>1</v>
      </c>
      <c r="L138" s="54">
        <v>0</v>
      </c>
      <c r="M138" s="54">
        <v>0</v>
      </c>
      <c r="N138" s="54">
        <v>1</v>
      </c>
      <c r="O138" s="72">
        <f t="shared" si="3"/>
        <v>479</v>
      </c>
      <c r="P138" s="26">
        <v>0</v>
      </c>
      <c r="Q138" s="26">
        <f t="shared" ref="Q138:Q201" si="4">O138-P138</f>
        <v>479</v>
      </c>
      <c r="R138" s="26">
        <v>0</v>
      </c>
    </row>
    <row r="139" spans="1:18" ht="22.5">
      <c r="A139" s="41">
        <v>130</v>
      </c>
      <c r="B139" s="61" t="s">
        <v>255</v>
      </c>
      <c r="C139" s="54">
        <v>2</v>
      </c>
      <c r="D139" s="54">
        <v>98</v>
      </c>
      <c r="E139" s="54">
        <v>223</v>
      </c>
      <c r="F139" s="54">
        <v>1</v>
      </c>
      <c r="G139" s="54">
        <v>12</v>
      </c>
      <c r="H139" s="54">
        <v>0</v>
      </c>
      <c r="I139" s="54">
        <v>0</v>
      </c>
      <c r="J139" s="54">
        <v>0</v>
      </c>
      <c r="K139" s="54">
        <v>0</v>
      </c>
      <c r="L139" s="54">
        <v>1</v>
      </c>
      <c r="M139" s="54">
        <v>0</v>
      </c>
      <c r="N139" s="54">
        <v>2</v>
      </c>
      <c r="O139" s="72">
        <f t="shared" ref="O139:O202" si="5">C139+D139+E139+F139+G139+H139+I139+J139+K139+L139+M139+N139</f>
        <v>339</v>
      </c>
      <c r="P139" s="26">
        <v>0</v>
      </c>
      <c r="Q139" s="26">
        <f t="shared" si="4"/>
        <v>339</v>
      </c>
      <c r="R139" s="26">
        <v>0</v>
      </c>
    </row>
    <row r="140" spans="1:18" ht="22.5">
      <c r="A140" s="41">
        <v>131</v>
      </c>
      <c r="B140" s="61" t="s">
        <v>256</v>
      </c>
      <c r="C140" s="54">
        <v>6</v>
      </c>
      <c r="D140" s="54">
        <v>378</v>
      </c>
      <c r="E140" s="54">
        <v>13</v>
      </c>
      <c r="F140" s="54">
        <v>0</v>
      </c>
      <c r="G140" s="54">
        <v>0</v>
      </c>
      <c r="H140" s="54">
        <v>0</v>
      </c>
      <c r="I140" s="54">
        <v>0</v>
      </c>
      <c r="J140" s="54">
        <v>1</v>
      </c>
      <c r="K140" s="54">
        <v>0</v>
      </c>
      <c r="L140" s="54">
        <v>1</v>
      </c>
      <c r="M140" s="54">
        <v>1</v>
      </c>
      <c r="N140" s="54">
        <v>1</v>
      </c>
      <c r="O140" s="72">
        <f t="shared" si="5"/>
        <v>401</v>
      </c>
      <c r="P140" s="26">
        <v>0</v>
      </c>
      <c r="Q140" s="26">
        <f t="shared" si="4"/>
        <v>401</v>
      </c>
      <c r="R140" s="26">
        <v>0</v>
      </c>
    </row>
    <row r="141" spans="1:18" ht="22.5">
      <c r="A141" s="41">
        <v>132</v>
      </c>
      <c r="B141" s="61" t="s">
        <v>257</v>
      </c>
      <c r="C141" s="54">
        <v>202</v>
      </c>
      <c r="D141" s="54">
        <v>15</v>
      </c>
      <c r="E141" s="54">
        <v>241</v>
      </c>
      <c r="F141" s="54">
        <v>2</v>
      </c>
      <c r="G141" s="54">
        <v>1</v>
      </c>
      <c r="H141" s="54">
        <v>0</v>
      </c>
      <c r="I141" s="54">
        <v>0</v>
      </c>
      <c r="J141" s="54">
        <v>1</v>
      </c>
      <c r="K141" s="54">
        <v>2</v>
      </c>
      <c r="L141" s="54">
        <v>1</v>
      </c>
      <c r="M141" s="54">
        <v>1</v>
      </c>
      <c r="N141" s="54">
        <v>5</v>
      </c>
      <c r="O141" s="72">
        <f t="shared" si="5"/>
        <v>471</v>
      </c>
      <c r="P141" s="26">
        <v>0</v>
      </c>
      <c r="Q141" s="26">
        <f t="shared" si="4"/>
        <v>471</v>
      </c>
      <c r="R141" s="26">
        <v>0</v>
      </c>
    </row>
    <row r="142" spans="1:18" ht="22.5">
      <c r="A142" s="41">
        <v>133</v>
      </c>
      <c r="B142" s="61" t="s">
        <v>258</v>
      </c>
      <c r="C142" s="54">
        <v>559</v>
      </c>
      <c r="D142" s="54">
        <v>19</v>
      </c>
      <c r="E142" s="54">
        <v>12</v>
      </c>
      <c r="F142" s="54">
        <v>0</v>
      </c>
      <c r="G142" s="54">
        <v>2</v>
      </c>
      <c r="H142" s="54">
        <v>0</v>
      </c>
      <c r="I142" s="54">
        <v>0</v>
      </c>
      <c r="J142" s="54">
        <v>1</v>
      </c>
      <c r="K142" s="54">
        <v>0</v>
      </c>
      <c r="L142" s="54">
        <v>0</v>
      </c>
      <c r="M142" s="54">
        <v>0</v>
      </c>
      <c r="N142" s="54">
        <v>6</v>
      </c>
      <c r="O142" s="72">
        <f t="shared" si="5"/>
        <v>599</v>
      </c>
      <c r="P142" s="26">
        <v>0</v>
      </c>
      <c r="Q142" s="26">
        <f t="shared" si="4"/>
        <v>599</v>
      </c>
      <c r="R142" s="26">
        <v>0</v>
      </c>
    </row>
    <row r="143" spans="1:18">
      <c r="A143" s="41">
        <v>134</v>
      </c>
      <c r="B143" s="61" t="s">
        <v>259</v>
      </c>
      <c r="C143" s="54">
        <v>145</v>
      </c>
      <c r="D143" s="54">
        <v>38</v>
      </c>
      <c r="E143" s="54">
        <v>165</v>
      </c>
      <c r="F143" s="54">
        <v>2</v>
      </c>
      <c r="G143" s="54">
        <v>0</v>
      </c>
      <c r="H143" s="54">
        <v>0</v>
      </c>
      <c r="I143" s="54">
        <v>0</v>
      </c>
      <c r="J143" s="54">
        <v>0</v>
      </c>
      <c r="K143" s="54">
        <v>0</v>
      </c>
      <c r="L143" s="54">
        <v>3</v>
      </c>
      <c r="M143" s="54">
        <v>0</v>
      </c>
      <c r="N143" s="54">
        <v>1</v>
      </c>
      <c r="O143" s="72">
        <f t="shared" si="5"/>
        <v>354</v>
      </c>
      <c r="P143" s="26">
        <v>0</v>
      </c>
      <c r="Q143" s="26">
        <f t="shared" si="4"/>
        <v>354</v>
      </c>
      <c r="R143" s="26">
        <v>0</v>
      </c>
    </row>
    <row r="144" spans="1:18" ht="22.5">
      <c r="A144" s="41">
        <v>135</v>
      </c>
      <c r="B144" s="61" t="s">
        <v>260</v>
      </c>
      <c r="C144" s="54">
        <v>98</v>
      </c>
      <c r="D144" s="54">
        <v>208</v>
      </c>
      <c r="E144" s="54">
        <v>150</v>
      </c>
      <c r="F144" s="54">
        <v>2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4">
        <v>3</v>
      </c>
      <c r="M144" s="54">
        <v>0</v>
      </c>
      <c r="N144" s="54">
        <v>2</v>
      </c>
      <c r="O144" s="72">
        <f t="shared" si="5"/>
        <v>463</v>
      </c>
      <c r="P144" s="26">
        <v>0</v>
      </c>
      <c r="Q144" s="26">
        <f t="shared" si="4"/>
        <v>463</v>
      </c>
      <c r="R144" s="26">
        <v>0</v>
      </c>
    </row>
    <row r="145" spans="1:18" ht="22.5">
      <c r="A145" s="41">
        <v>136</v>
      </c>
      <c r="B145" s="61" t="s">
        <v>261</v>
      </c>
      <c r="C145" s="54">
        <v>31</v>
      </c>
      <c r="D145" s="54">
        <v>352</v>
      </c>
      <c r="E145" s="54">
        <v>62</v>
      </c>
      <c r="F145" s="54">
        <v>2</v>
      </c>
      <c r="G145" s="54">
        <v>0</v>
      </c>
      <c r="H145" s="54">
        <v>0</v>
      </c>
      <c r="I145" s="54">
        <v>0</v>
      </c>
      <c r="J145" s="54">
        <v>0</v>
      </c>
      <c r="K145" s="54">
        <v>0</v>
      </c>
      <c r="L145" s="54">
        <v>3</v>
      </c>
      <c r="M145" s="54">
        <v>0</v>
      </c>
      <c r="N145" s="54">
        <v>0</v>
      </c>
      <c r="O145" s="72">
        <f t="shared" si="5"/>
        <v>450</v>
      </c>
      <c r="P145" s="26">
        <v>0</v>
      </c>
      <c r="Q145" s="26">
        <f t="shared" si="4"/>
        <v>450</v>
      </c>
      <c r="R145" s="26">
        <v>0</v>
      </c>
    </row>
    <row r="146" spans="1:18" ht="22.5">
      <c r="A146" s="41">
        <v>137</v>
      </c>
      <c r="B146" s="61" t="s">
        <v>262</v>
      </c>
      <c r="C146" s="54">
        <v>49</v>
      </c>
      <c r="D146" s="54">
        <v>357</v>
      </c>
      <c r="E146" s="54">
        <v>149</v>
      </c>
      <c r="F146" s="54">
        <v>1</v>
      </c>
      <c r="G146" s="54">
        <v>0</v>
      </c>
      <c r="H146" s="54">
        <v>1</v>
      </c>
      <c r="I146" s="54">
        <v>1</v>
      </c>
      <c r="J146" s="54">
        <v>0</v>
      </c>
      <c r="K146" s="54">
        <v>0</v>
      </c>
      <c r="L146" s="54">
        <v>0</v>
      </c>
      <c r="M146" s="54">
        <v>0</v>
      </c>
      <c r="N146" s="54">
        <v>0</v>
      </c>
      <c r="O146" s="72">
        <f t="shared" si="5"/>
        <v>558</v>
      </c>
      <c r="P146" s="26">
        <v>0</v>
      </c>
      <c r="Q146" s="26">
        <f t="shared" si="4"/>
        <v>558</v>
      </c>
      <c r="R146" s="26">
        <v>0</v>
      </c>
    </row>
    <row r="147" spans="1:18" ht="22.5">
      <c r="A147" s="41">
        <v>138</v>
      </c>
      <c r="B147" s="61" t="s">
        <v>263</v>
      </c>
      <c r="C147" s="54">
        <v>161</v>
      </c>
      <c r="D147" s="54">
        <v>27</v>
      </c>
      <c r="E147" s="54">
        <v>263</v>
      </c>
      <c r="F147" s="54">
        <v>4</v>
      </c>
      <c r="G147" s="54">
        <v>2</v>
      </c>
      <c r="H147" s="54">
        <v>1</v>
      </c>
      <c r="I147" s="54">
        <v>3</v>
      </c>
      <c r="J147" s="54">
        <v>1</v>
      </c>
      <c r="K147" s="54">
        <v>1</v>
      </c>
      <c r="L147" s="54">
        <v>5</v>
      </c>
      <c r="M147" s="54">
        <v>2</v>
      </c>
      <c r="N147" s="54">
        <v>4</v>
      </c>
      <c r="O147" s="72">
        <f t="shared" si="5"/>
        <v>474</v>
      </c>
      <c r="P147" s="26">
        <v>0</v>
      </c>
      <c r="Q147" s="26">
        <f t="shared" si="4"/>
        <v>474</v>
      </c>
      <c r="R147" s="26">
        <v>0</v>
      </c>
    </row>
    <row r="148" spans="1:18" ht="22.5">
      <c r="A148" s="41">
        <v>139</v>
      </c>
      <c r="B148" s="61" t="s">
        <v>264</v>
      </c>
      <c r="C148" s="54">
        <v>268</v>
      </c>
      <c r="D148" s="54">
        <v>15</v>
      </c>
      <c r="E148" s="54">
        <v>307</v>
      </c>
      <c r="F148" s="54">
        <v>1</v>
      </c>
      <c r="G148" s="54">
        <v>7</v>
      </c>
      <c r="H148" s="54">
        <v>1</v>
      </c>
      <c r="I148" s="54">
        <v>1</v>
      </c>
      <c r="J148" s="54">
        <v>2</v>
      </c>
      <c r="K148" s="54">
        <v>0</v>
      </c>
      <c r="L148" s="54">
        <v>1</v>
      </c>
      <c r="M148" s="54">
        <v>0</v>
      </c>
      <c r="N148" s="54">
        <v>1</v>
      </c>
      <c r="O148" s="72">
        <f t="shared" si="5"/>
        <v>604</v>
      </c>
      <c r="P148" s="26">
        <v>0</v>
      </c>
      <c r="Q148" s="26">
        <f t="shared" si="4"/>
        <v>604</v>
      </c>
      <c r="R148" s="26">
        <v>0</v>
      </c>
    </row>
    <row r="149" spans="1:18" ht="22.5">
      <c r="A149" s="41">
        <v>140</v>
      </c>
      <c r="B149" s="61" t="s">
        <v>265</v>
      </c>
      <c r="C149" s="54">
        <v>191</v>
      </c>
      <c r="D149" s="54">
        <v>27</v>
      </c>
      <c r="E149" s="54">
        <v>400</v>
      </c>
      <c r="F149" s="54">
        <v>6</v>
      </c>
      <c r="G149" s="54">
        <v>4</v>
      </c>
      <c r="H149" s="54">
        <v>2</v>
      </c>
      <c r="I149" s="54">
        <v>0</v>
      </c>
      <c r="J149" s="54">
        <v>2</v>
      </c>
      <c r="K149" s="54">
        <v>3</v>
      </c>
      <c r="L149" s="54">
        <v>6</v>
      </c>
      <c r="M149" s="54">
        <v>1</v>
      </c>
      <c r="N149" s="54">
        <v>7</v>
      </c>
      <c r="O149" s="72">
        <f t="shared" si="5"/>
        <v>649</v>
      </c>
      <c r="P149" s="26">
        <v>0</v>
      </c>
      <c r="Q149" s="26">
        <f t="shared" si="4"/>
        <v>649</v>
      </c>
      <c r="R149" s="26">
        <v>0</v>
      </c>
    </row>
    <row r="150" spans="1:18">
      <c r="A150" s="41">
        <v>141</v>
      </c>
      <c r="B150" s="61" t="s">
        <v>266</v>
      </c>
      <c r="C150" s="54">
        <f t="array" ref="C150:N163">TRANSPOSE(Constiuence!C340:P351)</f>
        <v>10</v>
      </c>
      <c r="D150" s="54">
        <v>27</v>
      </c>
      <c r="E150" s="54">
        <v>311</v>
      </c>
      <c r="F150" s="54">
        <v>0</v>
      </c>
      <c r="G150" s="54">
        <v>0</v>
      </c>
      <c r="H150" s="54">
        <v>0</v>
      </c>
      <c r="I150" s="54">
        <v>0</v>
      </c>
      <c r="J150" s="54">
        <v>0</v>
      </c>
      <c r="K150" s="54">
        <v>1</v>
      </c>
      <c r="L150" s="54">
        <v>5</v>
      </c>
      <c r="M150" s="54">
        <v>0</v>
      </c>
      <c r="N150" s="54">
        <v>1</v>
      </c>
      <c r="O150" s="72">
        <f t="shared" si="5"/>
        <v>355</v>
      </c>
      <c r="P150" s="26">
        <v>0</v>
      </c>
      <c r="Q150" s="26">
        <f t="shared" si="4"/>
        <v>355</v>
      </c>
      <c r="R150" s="26">
        <v>0</v>
      </c>
    </row>
    <row r="151" spans="1:18">
      <c r="A151" s="41">
        <v>142</v>
      </c>
      <c r="B151" s="61" t="s">
        <v>267</v>
      </c>
      <c r="C151" s="54">
        <v>50</v>
      </c>
      <c r="D151" s="54">
        <v>65</v>
      </c>
      <c r="E151" s="54">
        <v>508</v>
      </c>
      <c r="F151" s="54">
        <v>3</v>
      </c>
      <c r="G151" s="54">
        <v>1</v>
      </c>
      <c r="H151" s="54">
        <v>0</v>
      </c>
      <c r="I151" s="54">
        <v>0</v>
      </c>
      <c r="J151" s="54">
        <v>2</v>
      </c>
      <c r="K151" s="54">
        <v>0</v>
      </c>
      <c r="L151" s="54">
        <v>9</v>
      </c>
      <c r="M151" s="54">
        <v>2</v>
      </c>
      <c r="N151" s="54">
        <v>3</v>
      </c>
      <c r="O151" s="72">
        <f t="shared" si="5"/>
        <v>643</v>
      </c>
      <c r="P151" s="26">
        <v>0</v>
      </c>
      <c r="Q151" s="26">
        <f t="shared" si="4"/>
        <v>643</v>
      </c>
      <c r="R151" s="26">
        <v>0</v>
      </c>
    </row>
    <row r="152" spans="1:18">
      <c r="A152" s="41">
        <v>143</v>
      </c>
      <c r="B152" s="61" t="s">
        <v>268</v>
      </c>
      <c r="C152" s="54">
        <v>71</v>
      </c>
      <c r="D152" s="54">
        <v>70</v>
      </c>
      <c r="E152" s="54">
        <v>520</v>
      </c>
      <c r="F152" s="54">
        <v>2</v>
      </c>
      <c r="G152" s="54">
        <v>3</v>
      </c>
      <c r="H152" s="54">
        <v>0</v>
      </c>
      <c r="I152" s="54">
        <v>0</v>
      </c>
      <c r="J152" s="54">
        <v>0</v>
      </c>
      <c r="K152" s="54">
        <v>2</v>
      </c>
      <c r="L152" s="54">
        <v>7</v>
      </c>
      <c r="M152" s="54">
        <v>0</v>
      </c>
      <c r="N152" s="54">
        <v>0</v>
      </c>
      <c r="O152" s="72">
        <f t="shared" si="5"/>
        <v>675</v>
      </c>
      <c r="P152" s="26">
        <v>0</v>
      </c>
      <c r="Q152" s="26">
        <f t="shared" si="4"/>
        <v>675</v>
      </c>
      <c r="R152" s="26">
        <v>0</v>
      </c>
    </row>
    <row r="153" spans="1:18">
      <c r="A153" s="41">
        <v>144</v>
      </c>
      <c r="B153" s="62" t="s">
        <v>269</v>
      </c>
      <c r="C153" s="54">
        <v>75</v>
      </c>
      <c r="D153" s="54">
        <v>119</v>
      </c>
      <c r="E153" s="54">
        <v>324</v>
      </c>
      <c r="F153" s="54">
        <v>4</v>
      </c>
      <c r="G153" s="54">
        <v>1</v>
      </c>
      <c r="H153" s="54">
        <v>0</v>
      </c>
      <c r="I153" s="54">
        <v>0</v>
      </c>
      <c r="J153" s="54">
        <v>0</v>
      </c>
      <c r="K153" s="54">
        <v>1</v>
      </c>
      <c r="L153" s="54">
        <v>2</v>
      </c>
      <c r="M153" s="54">
        <v>1</v>
      </c>
      <c r="N153" s="54">
        <v>6</v>
      </c>
      <c r="O153" s="72">
        <f t="shared" si="5"/>
        <v>533</v>
      </c>
      <c r="P153" s="26">
        <v>0</v>
      </c>
      <c r="Q153" s="26">
        <f t="shared" si="4"/>
        <v>533</v>
      </c>
      <c r="R153" s="26">
        <v>0</v>
      </c>
    </row>
    <row r="154" spans="1:18">
      <c r="A154" s="41">
        <v>145</v>
      </c>
      <c r="B154" s="62" t="s">
        <v>270</v>
      </c>
      <c r="C154" s="54">
        <v>13</v>
      </c>
      <c r="D154" s="54">
        <v>368</v>
      </c>
      <c r="E154" s="54">
        <v>183</v>
      </c>
      <c r="F154" s="54">
        <v>3</v>
      </c>
      <c r="G154" s="54">
        <v>1</v>
      </c>
      <c r="H154" s="54">
        <v>0</v>
      </c>
      <c r="I154" s="54">
        <v>1</v>
      </c>
      <c r="J154" s="54">
        <v>0</v>
      </c>
      <c r="K154" s="54">
        <v>1</v>
      </c>
      <c r="L154" s="54">
        <v>7</v>
      </c>
      <c r="M154" s="54">
        <v>2</v>
      </c>
      <c r="N154" s="54">
        <v>1</v>
      </c>
      <c r="O154" s="72">
        <f t="shared" si="5"/>
        <v>580</v>
      </c>
      <c r="P154" s="26">
        <v>0</v>
      </c>
      <c r="Q154" s="26">
        <f t="shared" si="4"/>
        <v>580</v>
      </c>
      <c r="R154" s="26">
        <v>0</v>
      </c>
    </row>
    <row r="155" spans="1:18">
      <c r="A155" s="41">
        <v>146</v>
      </c>
      <c r="B155" s="62" t="s">
        <v>271</v>
      </c>
      <c r="C155" s="54">
        <v>120</v>
      </c>
      <c r="D155" s="54">
        <v>246</v>
      </c>
      <c r="E155" s="54">
        <v>104</v>
      </c>
      <c r="F155" s="54">
        <v>0</v>
      </c>
      <c r="G155" s="54">
        <v>0</v>
      </c>
      <c r="H155" s="54">
        <v>0</v>
      </c>
      <c r="I155" s="54">
        <v>0</v>
      </c>
      <c r="J155" s="54">
        <v>1</v>
      </c>
      <c r="K155" s="54">
        <v>1</v>
      </c>
      <c r="L155" s="54">
        <v>3</v>
      </c>
      <c r="M155" s="54">
        <v>2</v>
      </c>
      <c r="N155" s="54">
        <v>3</v>
      </c>
      <c r="O155" s="72">
        <f t="shared" si="5"/>
        <v>480</v>
      </c>
      <c r="P155" s="26">
        <v>0</v>
      </c>
      <c r="Q155" s="26">
        <f t="shared" si="4"/>
        <v>480</v>
      </c>
      <c r="R155" s="26">
        <v>0</v>
      </c>
    </row>
    <row r="156" spans="1:18">
      <c r="A156" s="41">
        <v>147</v>
      </c>
      <c r="B156" s="62" t="s">
        <v>272</v>
      </c>
      <c r="C156" s="54">
        <v>47</v>
      </c>
      <c r="D156" s="54">
        <v>234</v>
      </c>
      <c r="E156" s="54">
        <v>117</v>
      </c>
      <c r="F156" s="54">
        <v>0</v>
      </c>
      <c r="G156" s="54">
        <v>0</v>
      </c>
      <c r="H156" s="54">
        <v>1</v>
      </c>
      <c r="I156" s="54">
        <v>0</v>
      </c>
      <c r="J156" s="54">
        <v>0</v>
      </c>
      <c r="K156" s="54">
        <v>1</v>
      </c>
      <c r="L156" s="54">
        <v>1</v>
      </c>
      <c r="M156" s="54">
        <v>0</v>
      </c>
      <c r="N156" s="54">
        <v>0</v>
      </c>
      <c r="O156" s="72">
        <f t="shared" si="5"/>
        <v>401</v>
      </c>
      <c r="P156" s="26">
        <v>0</v>
      </c>
      <c r="Q156" s="26">
        <f t="shared" si="4"/>
        <v>401</v>
      </c>
      <c r="R156" s="26">
        <v>0</v>
      </c>
    </row>
    <row r="157" spans="1:18">
      <c r="A157" s="41">
        <v>148</v>
      </c>
      <c r="B157" s="61" t="s">
        <v>273</v>
      </c>
      <c r="C157" s="54">
        <v>120</v>
      </c>
      <c r="D157" s="54">
        <v>343</v>
      </c>
      <c r="E157" s="54">
        <v>358</v>
      </c>
      <c r="F157" s="54">
        <v>3</v>
      </c>
      <c r="G157" s="54">
        <v>0</v>
      </c>
      <c r="H157" s="54">
        <v>0</v>
      </c>
      <c r="I157" s="54">
        <v>0</v>
      </c>
      <c r="J157" s="54">
        <v>0</v>
      </c>
      <c r="K157" s="54">
        <v>0</v>
      </c>
      <c r="L157" s="54">
        <v>4</v>
      </c>
      <c r="M157" s="54">
        <v>1</v>
      </c>
      <c r="N157" s="54">
        <v>1</v>
      </c>
      <c r="O157" s="72">
        <f t="shared" si="5"/>
        <v>830</v>
      </c>
      <c r="P157" s="26">
        <v>0</v>
      </c>
      <c r="Q157" s="26">
        <f t="shared" si="4"/>
        <v>830</v>
      </c>
      <c r="R157" s="26">
        <v>0</v>
      </c>
    </row>
    <row r="158" spans="1:18">
      <c r="A158" s="41">
        <v>149</v>
      </c>
      <c r="B158" s="61" t="s">
        <v>274</v>
      </c>
      <c r="C158" s="54">
        <v>33</v>
      </c>
      <c r="D158" s="54">
        <v>557</v>
      </c>
      <c r="E158" s="54">
        <v>22</v>
      </c>
      <c r="F158" s="54">
        <v>7</v>
      </c>
      <c r="G158" s="54">
        <v>2</v>
      </c>
      <c r="H158" s="54">
        <v>0</v>
      </c>
      <c r="I158" s="54">
        <v>0</v>
      </c>
      <c r="J158" s="54">
        <v>1</v>
      </c>
      <c r="K158" s="54">
        <v>8</v>
      </c>
      <c r="L158" s="54">
        <v>2</v>
      </c>
      <c r="M158" s="54">
        <v>2</v>
      </c>
      <c r="N158" s="54">
        <v>2</v>
      </c>
      <c r="O158" s="72">
        <f t="shared" si="5"/>
        <v>636</v>
      </c>
      <c r="P158" s="26">
        <v>0</v>
      </c>
      <c r="Q158" s="26">
        <f t="shared" si="4"/>
        <v>636</v>
      </c>
      <c r="R158" s="26">
        <v>0</v>
      </c>
    </row>
    <row r="159" spans="1:18" ht="22.5">
      <c r="A159" s="41">
        <v>150</v>
      </c>
      <c r="B159" s="61" t="s">
        <v>275</v>
      </c>
      <c r="C159" s="54">
        <v>20</v>
      </c>
      <c r="D159" s="54">
        <v>423</v>
      </c>
      <c r="E159" s="54">
        <v>182</v>
      </c>
      <c r="F159" s="54">
        <v>9</v>
      </c>
      <c r="G159" s="54">
        <v>0</v>
      </c>
      <c r="H159" s="54">
        <v>0</v>
      </c>
      <c r="I159" s="54">
        <v>0</v>
      </c>
      <c r="J159" s="54">
        <v>0</v>
      </c>
      <c r="K159" s="54">
        <v>1</v>
      </c>
      <c r="L159" s="54">
        <v>1</v>
      </c>
      <c r="M159" s="54">
        <v>0</v>
      </c>
      <c r="N159" s="54">
        <v>1</v>
      </c>
      <c r="O159" s="72">
        <f t="shared" si="5"/>
        <v>637</v>
      </c>
      <c r="P159" s="26">
        <v>0</v>
      </c>
      <c r="Q159" s="26">
        <f t="shared" si="4"/>
        <v>637</v>
      </c>
      <c r="R159" s="26">
        <v>0</v>
      </c>
    </row>
    <row r="160" spans="1:18" ht="22.5">
      <c r="A160" s="41">
        <v>151</v>
      </c>
      <c r="B160" s="61" t="s">
        <v>276</v>
      </c>
      <c r="C160" s="54">
        <v>126</v>
      </c>
      <c r="D160" s="54">
        <v>278</v>
      </c>
      <c r="E160" s="54">
        <v>85</v>
      </c>
      <c r="F160" s="54">
        <v>4</v>
      </c>
      <c r="G160" s="54">
        <v>2</v>
      </c>
      <c r="H160" s="54">
        <v>0</v>
      </c>
      <c r="I160" s="54">
        <v>0</v>
      </c>
      <c r="J160" s="54">
        <v>0</v>
      </c>
      <c r="K160" s="54">
        <v>31</v>
      </c>
      <c r="L160" s="54">
        <v>5</v>
      </c>
      <c r="M160" s="54">
        <v>2</v>
      </c>
      <c r="N160" s="54">
        <v>4</v>
      </c>
      <c r="O160" s="72">
        <f t="shared" si="5"/>
        <v>537</v>
      </c>
      <c r="P160" s="26">
        <v>0</v>
      </c>
      <c r="Q160" s="26">
        <f t="shared" si="4"/>
        <v>537</v>
      </c>
      <c r="R160" s="26">
        <v>0</v>
      </c>
    </row>
    <row r="161" spans="1:18">
      <c r="A161" s="41">
        <v>152</v>
      </c>
      <c r="B161" s="61" t="s">
        <v>277</v>
      </c>
      <c r="C161" s="54">
        <v>85</v>
      </c>
      <c r="D161" s="54">
        <v>391</v>
      </c>
      <c r="E161" s="54">
        <v>79</v>
      </c>
      <c r="F161" s="54">
        <v>0</v>
      </c>
      <c r="G161" s="54">
        <v>0</v>
      </c>
      <c r="H161" s="54">
        <v>0</v>
      </c>
      <c r="I161" s="54">
        <v>0</v>
      </c>
      <c r="J161" s="54">
        <v>1</v>
      </c>
      <c r="K161" s="54">
        <v>0</v>
      </c>
      <c r="L161" s="54">
        <v>2</v>
      </c>
      <c r="M161" s="54">
        <v>2</v>
      </c>
      <c r="N161" s="54">
        <v>1</v>
      </c>
      <c r="O161" s="72">
        <f t="shared" si="5"/>
        <v>561</v>
      </c>
      <c r="P161" s="26">
        <v>0</v>
      </c>
      <c r="Q161" s="26">
        <f t="shared" si="4"/>
        <v>561</v>
      </c>
      <c r="R161" s="26">
        <v>0</v>
      </c>
    </row>
    <row r="162" spans="1:18">
      <c r="A162" s="41">
        <v>153</v>
      </c>
      <c r="B162" s="61" t="s">
        <v>278</v>
      </c>
      <c r="C162" s="54">
        <v>4</v>
      </c>
      <c r="D162" s="54">
        <v>489</v>
      </c>
      <c r="E162" s="54">
        <v>225</v>
      </c>
      <c r="F162" s="54">
        <v>3</v>
      </c>
      <c r="G162" s="54">
        <v>0</v>
      </c>
      <c r="H162" s="54">
        <v>0</v>
      </c>
      <c r="I162" s="54">
        <v>0</v>
      </c>
      <c r="J162" s="54">
        <v>2</v>
      </c>
      <c r="K162" s="54">
        <v>0</v>
      </c>
      <c r="L162" s="54">
        <v>8</v>
      </c>
      <c r="M162" s="54">
        <v>0</v>
      </c>
      <c r="N162" s="54">
        <v>2</v>
      </c>
      <c r="O162" s="72">
        <f t="shared" si="5"/>
        <v>733</v>
      </c>
      <c r="P162" s="26">
        <v>0</v>
      </c>
      <c r="Q162" s="26">
        <f t="shared" si="4"/>
        <v>733</v>
      </c>
      <c r="R162" s="26">
        <v>0</v>
      </c>
    </row>
    <row r="163" spans="1:18">
      <c r="A163" s="41">
        <v>154</v>
      </c>
      <c r="B163" s="61" t="s">
        <v>279</v>
      </c>
      <c r="C163" s="54">
        <v>247</v>
      </c>
      <c r="D163" s="54">
        <v>53</v>
      </c>
      <c r="E163" s="54">
        <v>290</v>
      </c>
      <c r="F163" s="54">
        <v>1</v>
      </c>
      <c r="G163" s="54">
        <v>0</v>
      </c>
      <c r="H163" s="54">
        <v>0</v>
      </c>
      <c r="I163" s="54">
        <v>0</v>
      </c>
      <c r="J163" s="54">
        <v>1</v>
      </c>
      <c r="K163" s="54">
        <v>1</v>
      </c>
      <c r="L163" s="54">
        <v>5</v>
      </c>
      <c r="M163" s="54">
        <v>0</v>
      </c>
      <c r="N163" s="54">
        <v>5</v>
      </c>
      <c r="O163" s="72">
        <f t="shared" si="5"/>
        <v>603</v>
      </c>
      <c r="P163" s="26">
        <v>0</v>
      </c>
      <c r="Q163" s="26">
        <f t="shared" si="4"/>
        <v>603</v>
      </c>
      <c r="R163" s="26">
        <v>0</v>
      </c>
    </row>
    <row r="164" spans="1:18">
      <c r="A164" s="41">
        <v>155</v>
      </c>
      <c r="B164" s="61" t="s">
        <v>280</v>
      </c>
      <c r="C164" s="54">
        <f t="array" ref="C164:N177">TRANSPOSE(Constiuence!C375:P386)</f>
        <v>1</v>
      </c>
      <c r="D164" s="54">
        <v>408</v>
      </c>
      <c r="E164" s="54">
        <v>104</v>
      </c>
      <c r="F164" s="54">
        <v>1</v>
      </c>
      <c r="G164" s="54">
        <v>0</v>
      </c>
      <c r="H164" s="54">
        <v>0</v>
      </c>
      <c r="I164" s="54">
        <v>0</v>
      </c>
      <c r="J164" s="54">
        <v>2</v>
      </c>
      <c r="K164" s="54">
        <v>0</v>
      </c>
      <c r="L164" s="54">
        <v>1</v>
      </c>
      <c r="M164" s="54">
        <v>1</v>
      </c>
      <c r="N164" s="54">
        <v>0</v>
      </c>
      <c r="O164" s="72">
        <f t="shared" si="5"/>
        <v>518</v>
      </c>
      <c r="P164" s="26">
        <v>0</v>
      </c>
      <c r="Q164" s="26">
        <f t="shared" si="4"/>
        <v>518</v>
      </c>
      <c r="R164" s="26">
        <v>0</v>
      </c>
    </row>
    <row r="165" spans="1:18">
      <c r="A165" s="41">
        <v>156</v>
      </c>
      <c r="B165" s="62" t="s">
        <v>281</v>
      </c>
      <c r="C165" s="54">
        <v>111</v>
      </c>
      <c r="D165" s="54">
        <v>76</v>
      </c>
      <c r="E165" s="54">
        <v>552</v>
      </c>
      <c r="F165" s="54">
        <v>4</v>
      </c>
      <c r="G165" s="54">
        <v>4</v>
      </c>
      <c r="H165" s="54">
        <v>0</v>
      </c>
      <c r="I165" s="54">
        <v>0</v>
      </c>
      <c r="J165" s="54">
        <v>0</v>
      </c>
      <c r="K165" s="54">
        <v>0</v>
      </c>
      <c r="L165" s="54">
        <v>1</v>
      </c>
      <c r="M165" s="54">
        <v>1</v>
      </c>
      <c r="N165" s="54">
        <v>1</v>
      </c>
      <c r="O165" s="72">
        <f t="shared" si="5"/>
        <v>750</v>
      </c>
      <c r="P165" s="26">
        <v>0</v>
      </c>
      <c r="Q165" s="26">
        <f t="shared" si="4"/>
        <v>750</v>
      </c>
      <c r="R165" s="26">
        <v>0</v>
      </c>
    </row>
    <row r="166" spans="1:18" ht="22.5">
      <c r="A166" s="41">
        <v>157</v>
      </c>
      <c r="B166" s="61" t="s">
        <v>282</v>
      </c>
      <c r="C166" s="54">
        <v>40</v>
      </c>
      <c r="D166" s="54">
        <v>262</v>
      </c>
      <c r="E166" s="54">
        <v>167</v>
      </c>
      <c r="F166" s="54">
        <v>2</v>
      </c>
      <c r="G166" s="54">
        <v>1</v>
      </c>
      <c r="H166" s="54">
        <v>0</v>
      </c>
      <c r="I166" s="54">
        <v>0</v>
      </c>
      <c r="J166" s="54">
        <v>0</v>
      </c>
      <c r="K166" s="54">
        <v>0</v>
      </c>
      <c r="L166" s="54">
        <v>2</v>
      </c>
      <c r="M166" s="54">
        <v>1</v>
      </c>
      <c r="N166" s="54">
        <v>1</v>
      </c>
      <c r="O166" s="72">
        <f t="shared" si="5"/>
        <v>476</v>
      </c>
      <c r="P166" s="26">
        <v>0</v>
      </c>
      <c r="Q166" s="26">
        <f t="shared" si="4"/>
        <v>476</v>
      </c>
      <c r="R166" s="26">
        <v>0</v>
      </c>
    </row>
    <row r="167" spans="1:18" ht="22.5">
      <c r="A167" s="41">
        <v>158</v>
      </c>
      <c r="B167" s="61" t="s">
        <v>283</v>
      </c>
      <c r="C167" s="54">
        <v>6</v>
      </c>
      <c r="D167" s="54">
        <v>379</v>
      </c>
      <c r="E167" s="54">
        <v>175</v>
      </c>
      <c r="F167" s="54">
        <v>0</v>
      </c>
      <c r="G167" s="54">
        <v>0</v>
      </c>
      <c r="H167" s="54">
        <v>0</v>
      </c>
      <c r="I167" s="54">
        <v>0</v>
      </c>
      <c r="J167" s="54">
        <v>0</v>
      </c>
      <c r="K167" s="54">
        <v>0</v>
      </c>
      <c r="L167" s="54">
        <v>1</v>
      </c>
      <c r="M167" s="54">
        <v>0</v>
      </c>
      <c r="N167" s="54">
        <v>1</v>
      </c>
      <c r="O167" s="72">
        <f t="shared" si="5"/>
        <v>562</v>
      </c>
      <c r="P167" s="26">
        <v>0</v>
      </c>
      <c r="Q167" s="26">
        <f t="shared" si="4"/>
        <v>562</v>
      </c>
      <c r="R167" s="26">
        <v>0</v>
      </c>
    </row>
    <row r="168" spans="1:18">
      <c r="A168" s="41">
        <v>159</v>
      </c>
      <c r="B168" s="61" t="s">
        <v>284</v>
      </c>
      <c r="C168" s="54">
        <v>1</v>
      </c>
      <c r="D168" s="54">
        <v>341</v>
      </c>
      <c r="E168" s="54">
        <v>90</v>
      </c>
      <c r="F168" s="54">
        <v>2</v>
      </c>
      <c r="G168" s="54">
        <v>0</v>
      </c>
      <c r="H168" s="54">
        <v>0</v>
      </c>
      <c r="I168" s="54">
        <v>0</v>
      </c>
      <c r="J168" s="54">
        <v>0</v>
      </c>
      <c r="K168" s="54">
        <v>3</v>
      </c>
      <c r="L168" s="54">
        <v>1</v>
      </c>
      <c r="M168" s="54">
        <v>0</v>
      </c>
      <c r="N168" s="54">
        <v>0</v>
      </c>
      <c r="O168" s="72">
        <f t="shared" si="5"/>
        <v>438</v>
      </c>
      <c r="P168" s="26">
        <v>0</v>
      </c>
      <c r="Q168" s="26">
        <f t="shared" si="4"/>
        <v>438</v>
      </c>
      <c r="R168" s="26">
        <v>0</v>
      </c>
    </row>
    <row r="169" spans="1:18">
      <c r="A169" s="41">
        <v>160</v>
      </c>
      <c r="B169" s="61" t="s">
        <v>285</v>
      </c>
      <c r="C169" s="54">
        <v>38</v>
      </c>
      <c r="D169" s="54">
        <v>260</v>
      </c>
      <c r="E169" s="54">
        <v>92</v>
      </c>
      <c r="F169" s="54">
        <v>0</v>
      </c>
      <c r="G169" s="54">
        <v>0</v>
      </c>
      <c r="H169" s="54">
        <v>0</v>
      </c>
      <c r="I169" s="54">
        <v>0</v>
      </c>
      <c r="J169" s="54">
        <v>0</v>
      </c>
      <c r="K169" s="54">
        <v>5</v>
      </c>
      <c r="L169" s="54">
        <v>2</v>
      </c>
      <c r="M169" s="54">
        <v>4</v>
      </c>
      <c r="N169" s="54">
        <v>1</v>
      </c>
      <c r="O169" s="72">
        <f t="shared" si="5"/>
        <v>402</v>
      </c>
      <c r="P169" s="26">
        <v>0</v>
      </c>
      <c r="Q169" s="26">
        <f t="shared" si="4"/>
        <v>402</v>
      </c>
      <c r="R169" s="26">
        <v>0</v>
      </c>
    </row>
    <row r="170" spans="1:18">
      <c r="A170" s="41">
        <v>161</v>
      </c>
      <c r="B170" s="61" t="s">
        <v>286</v>
      </c>
      <c r="C170" s="54">
        <v>136</v>
      </c>
      <c r="D170" s="54">
        <v>454</v>
      </c>
      <c r="E170" s="54">
        <v>75</v>
      </c>
      <c r="F170" s="54">
        <v>0</v>
      </c>
      <c r="G170" s="54">
        <v>1</v>
      </c>
      <c r="H170" s="54">
        <v>0</v>
      </c>
      <c r="I170" s="54">
        <v>0</v>
      </c>
      <c r="J170" s="54">
        <v>0</v>
      </c>
      <c r="K170" s="54">
        <v>0</v>
      </c>
      <c r="L170" s="54">
        <v>1</v>
      </c>
      <c r="M170" s="54">
        <v>4</v>
      </c>
      <c r="N170" s="54">
        <v>2</v>
      </c>
      <c r="O170" s="72">
        <f t="shared" si="5"/>
        <v>673</v>
      </c>
      <c r="P170" s="26">
        <v>0</v>
      </c>
      <c r="Q170" s="26">
        <f t="shared" si="4"/>
        <v>673</v>
      </c>
      <c r="R170" s="26">
        <v>0</v>
      </c>
    </row>
    <row r="171" spans="1:18">
      <c r="A171" s="41">
        <v>162</v>
      </c>
      <c r="B171" s="61" t="s">
        <v>287</v>
      </c>
      <c r="C171" s="54">
        <v>36</v>
      </c>
      <c r="D171" s="54">
        <v>434</v>
      </c>
      <c r="E171" s="54">
        <v>95</v>
      </c>
      <c r="F171" s="54">
        <v>2</v>
      </c>
      <c r="G171" s="54">
        <v>0</v>
      </c>
      <c r="H171" s="54">
        <v>0</v>
      </c>
      <c r="I171" s="54">
        <v>0</v>
      </c>
      <c r="J171" s="54">
        <v>1</v>
      </c>
      <c r="K171" s="54">
        <v>2</v>
      </c>
      <c r="L171" s="54">
        <v>5</v>
      </c>
      <c r="M171" s="54">
        <v>3</v>
      </c>
      <c r="N171" s="54">
        <v>2</v>
      </c>
      <c r="O171" s="72">
        <f t="shared" si="5"/>
        <v>580</v>
      </c>
      <c r="P171" s="26">
        <v>0</v>
      </c>
      <c r="Q171" s="26">
        <f t="shared" si="4"/>
        <v>580</v>
      </c>
      <c r="R171" s="26">
        <v>0</v>
      </c>
    </row>
    <row r="172" spans="1:18">
      <c r="A172" s="41">
        <v>163</v>
      </c>
      <c r="B172" s="61" t="s">
        <v>288</v>
      </c>
      <c r="C172" s="54">
        <v>231</v>
      </c>
      <c r="D172" s="54">
        <v>143</v>
      </c>
      <c r="E172" s="54">
        <v>37</v>
      </c>
      <c r="F172" s="54">
        <v>2</v>
      </c>
      <c r="G172" s="54">
        <v>0</v>
      </c>
      <c r="H172" s="54">
        <v>0</v>
      </c>
      <c r="I172" s="54">
        <v>0</v>
      </c>
      <c r="J172" s="54">
        <v>0</v>
      </c>
      <c r="K172" s="54">
        <v>0</v>
      </c>
      <c r="L172" s="54">
        <v>2</v>
      </c>
      <c r="M172" s="54">
        <v>0</v>
      </c>
      <c r="N172" s="54">
        <v>2</v>
      </c>
      <c r="O172" s="72">
        <f t="shared" si="5"/>
        <v>417</v>
      </c>
      <c r="P172" s="26">
        <v>0</v>
      </c>
      <c r="Q172" s="26">
        <f t="shared" si="4"/>
        <v>417</v>
      </c>
      <c r="R172" s="26">
        <v>0</v>
      </c>
    </row>
    <row r="173" spans="1:18">
      <c r="A173" s="41">
        <v>164</v>
      </c>
      <c r="B173" s="61" t="s">
        <v>289</v>
      </c>
      <c r="C173" s="54">
        <v>4</v>
      </c>
      <c r="D173" s="54">
        <v>413</v>
      </c>
      <c r="E173" s="54">
        <v>77</v>
      </c>
      <c r="F173" s="54">
        <v>12</v>
      </c>
      <c r="G173" s="54">
        <v>0</v>
      </c>
      <c r="H173" s="54">
        <v>0</v>
      </c>
      <c r="I173" s="54">
        <v>1</v>
      </c>
      <c r="J173" s="54">
        <v>1</v>
      </c>
      <c r="K173" s="54">
        <v>0</v>
      </c>
      <c r="L173" s="54">
        <v>2</v>
      </c>
      <c r="M173" s="54">
        <v>1</v>
      </c>
      <c r="N173" s="54">
        <v>2</v>
      </c>
      <c r="O173" s="72">
        <f t="shared" si="5"/>
        <v>513</v>
      </c>
      <c r="P173" s="26">
        <v>0</v>
      </c>
      <c r="Q173" s="26">
        <f t="shared" si="4"/>
        <v>513</v>
      </c>
      <c r="R173" s="26">
        <v>0</v>
      </c>
    </row>
    <row r="174" spans="1:18">
      <c r="A174" s="41">
        <v>165</v>
      </c>
      <c r="B174" s="61" t="s">
        <v>290</v>
      </c>
      <c r="C174" s="54">
        <v>85</v>
      </c>
      <c r="D174" s="54">
        <v>33</v>
      </c>
      <c r="E174" s="54">
        <v>439</v>
      </c>
      <c r="F174" s="54">
        <v>1</v>
      </c>
      <c r="G174" s="54">
        <v>2</v>
      </c>
      <c r="H174" s="54">
        <v>1</v>
      </c>
      <c r="I174" s="54">
        <v>3</v>
      </c>
      <c r="J174" s="54">
        <v>0</v>
      </c>
      <c r="K174" s="54">
        <v>2</v>
      </c>
      <c r="L174" s="54">
        <v>3</v>
      </c>
      <c r="M174" s="54">
        <v>4</v>
      </c>
      <c r="N174" s="54">
        <v>10</v>
      </c>
      <c r="O174" s="72">
        <f t="shared" si="5"/>
        <v>583</v>
      </c>
      <c r="P174" s="26">
        <v>0</v>
      </c>
      <c r="Q174" s="26">
        <f t="shared" si="4"/>
        <v>583</v>
      </c>
      <c r="R174" s="26">
        <v>0</v>
      </c>
    </row>
    <row r="175" spans="1:18">
      <c r="A175" s="41">
        <v>166</v>
      </c>
      <c r="B175" s="61" t="s">
        <v>291</v>
      </c>
      <c r="C175" s="54">
        <v>100</v>
      </c>
      <c r="D175" s="54">
        <v>105</v>
      </c>
      <c r="E175" s="54">
        <v>357</v>
      </c>
      <c r="F175" s="54">
        <v>9</v>
      </c>
      <c r="G175" s="54">
        <v>0</v>
      </c>
      <c r="H175" s="54">
        <v>2</v>
      </c>
      <c r="I175" s="54">
        <v>0</v>
      </c>
      <c r="J175" s="54">
        <v>3</v>
      </c>
      <c r="K175" s="54">
        <v>2</v>
      </c>
      <c r="L175" s="54">
        <v>3</v>
      </c>
      <c r="M175" s="54">
        <v>3</v>
      </c>
      <c r="N175" s="54">
        <v>10</v>
      </c>
      <c r="O175" s="72">
        <f t="shared" si="5"/>
        <v>594</v>
      </c>
      <c r="P175" s="26">
        <v>0</v>
      </c>
      <c r="Q175" s="26">
        <f t="shared" si="4"/>
        <v>594</v>
      </c>
      <c r="R175" s="26">
        <v>0</v>
      </c>
    </row>
    <row r="176" spans="1:18" ht="22.5">
      <c r="A176" s="41">
        <v>167</v>
      </c>
      <c r="B176" s="61" t="s">
        <v>292</v>
      </c>
      <c r="C176" s="54">
        <v>115</v>
      </c>
      <c r="D176" s="54">
        <v>93</v>
      </c>
      <c r="E176" s="54">
        <v>188</v>
      </c>
      <c r="F176" s="54">
        <v>6</v>
      </c>
      <c r="G176" s="54">
        <v>0</v>
      </c>
      <c r="H176" s="54">
        <v>0</v>
      </c>
      <c r="I176" s="54">
        <v>0</v>
      </c>
      <c r="J176" s="54">
        <v>1</v>
      </c>
      <c r="K176" s="54">
        <v>0</v>
      </c>
      <c r="L176" s="54">
        <v>0</v>
      </c>
      <c r="M176" s="54">
        <v>1</v>
      </c>
      <c r="N176" s="54">
        <v>1</v>
      </c>
      <c r="O176" s="72">
        <f t="shared" si="5"/>
        <v>405</v>
      </c>
      <c r="P176" s="26">
        <v>0</v>
      </c>
      <c r="Q176" s="26">
        <f t="shared" si="4"/>
        <v>405</v>
      </c>
      <c r="R176" s="26">
        <v>0</v>
      </c>
    </row>
    <row r="177" spans="1:18" ht="22.5">
      <c r="A177" s="41">
        <v>168</v>
      </c>
      <c r="B177" s="61" t="s">
        <v>293</v>
      </c>
      <c r="C177" s="54">
        <v>24</v>
      </c>
      <c r="D177" s="54">
        <v>236</v>
      </c>
      <c r="E177" s="54">
        <v>406</v>
      </c>
      <c r="F177" s="54">
        <v>10</v>
      </c>
      <c r="G177" s="54">
        <v>0</v>
      </c>
      <c r="H177" s="54">
        <v>0</v>
      </c>
      <c r="I177" s="54">
        <v>1</v>
      </c>
      <c r="J177" s="54">
        <v>1</v>
      </c>
      <c r="K177" s="54">
        <v>5</v>
      </c>
      <c r="L177" s="54">
        <v>3</v>
      </c>
      <c r="M177" s="54">
        <v>1</v>
      </c>
      <c r="N177" s="54">
        <v>1</v>
      </c>
      <c r="O177" s="72">
        <f t="shared" si="5"/>
        <v>688</v>
      </c>
      <c r="P177" s="26">
        <v>0</v>
      </c>
      <c r="Q177" s="26">
        <f t="shared" si="4"/>
        <v>688</v>
      </c>
      <c r="R177" s="26">
        <v>0</v>
      </c>
    </row>
    <row r="178" spans="1:18" ht="22.5">
      <c r="A178" s="41">
        <v>169</v>
      </c>
      <c r="B178" s="61" t="s">
        <v>294</v>
      </c>
      <c r="C178" s="54">
        <f t="array" ref="C178:N191">TRANSPOSE(Constiuence!C409:P420)</f>
        <v>95</v>
      </c>
      <c r="D178" s="54">
        <v>426</v>
      </c>
      <c r="E178" s="54">
        <v>152</v>
      </c>
      <c r="F178" s="54">
        <v>5</v>
      </c>
      <c r="G178" s="54">
        <v>0</v>
      </c>
      <c r="H178" s="54">
        <v>0</v>
      </c>
      <c r="I178" s="54">
        <v>1</v>
      </c>
      <c r="J178" s="54">
        <v>3</v>
      </c>
      <c r="K178" s="54">
        <v>8</v>
      </c>
      <c r="L178" s="54">
        <v>11</v>
      </c>
      <c r="M178" s="54">
        <v>4</v>
      </c>
      <c r="N178" s="54">
        <v>5</v>
      </c>
      <c r="O178" s="72">
        <f t="shared" si="5"/>
        <v>710</v>
      </c>
      <c r="P178" s="26">
        <v>0</v>
      </c>
      <c r="Q178" s="26">
        <f t="shared" si="4"/>
        <v>710</v>
      </c>
      <c r="R178" s="26">
        <v>0</v>
      </c>
    </row>
    <row r="179" spans="1:18">
      <c r="A179" s="41">
        <v>170</v>
      </c>
      <c r="B179" s="61" t="s">
        <v>295</v>
      </c>
      <c r="C179" s="54">
        <v>77</v>
      </c>
      <c r="D179" s="54">
        <v>91</v>
      </c>
      <c r="E179" s="54">
        <v>575</v>
      </c>
      <c r="F179" s="54">
        <v>2</v>
      </c>
      <c r="G179" s="54">
        <v>0</v>
      </c>
      <c r="H179" s="54">
        <v>0</v>
      </c>
      <c r="I179" s="54">
        <v>0</v>
      </c>
      <c r="J179" s="54">
        <v>4</v>
      </c>
      <c r="K179" s="54">
        <v>0</v>
      </c>
      <c r="L179" s="54">
        <v>0</v>
      </c>
      <c r="M179" s="54">
        <v>0</v>
      </c>
      <c r="N179" s="54">
        <v>1</v>
      </c>
      <c r="O179" s="72">
        <f t="shared" si="5"/>
        <v>750</v>
      </c>
      <c r="P179" s="26">
        <v>0</v>
      </c>
      <c r="Q179" s="26">
        <f t="shared" si="4"/>
        <v>750</v>
      </c>
      <c r="R179" s="26">
        <v>0</v>
      </c>
    </row>
    <row r="180" spans="1:18">
      <c r="A180" s="41">
        <v>171</v>
      </c>
      <c r="B180" s="61" t="s">
        <v>296</v>
      </c>
      <c r="C180" s="54">
        <v>19</v>
      </c>
      <c r="D180" s="54">
        <v>37</v>
      </c>
      <c r="E180" s="54">
        <v>319</v>
      </c>
      <c r="F180" s="54">
        <v>3</v>
      </c>
      <c r="G180" s="54">
        <v>1</v>
      </c>
      <c r="H180" s="54">
        <v>0</v>
      </c>
      <c r="I180" s="54">
        <v>0</v>
      </c>
      <c r="J180" s="54">
        <v>1</v>
      </c>
      <c r="K180" s="54">
        <v>0</v>
      </c>
      <c r="L180" s="54">
        <v>2</v>
      </c>
      <c r="M180" s="54">
        <v>1</v>
      </c>
      <c r="N180" s="54">
        <v>0</v>
      </c>
      <c r="O180" s="72">
        <f t="shared" si="5"/>
        <v>383</v>
      </c>
      <c r="P180" s="26">
        <v>0</v>
      </c>
      <c r="Q180" s="26">
        <f t="shared" si="4"/>
        <v>383</v>
      </c>
      <c r="R180" s="26">
        <v>0</v>
      </c>
    </row>
    <row r="181" spans="1:18">
      <c r="A181" s="41">
        <v>172</v>
      </c>
      <c r="B181" s="61" t="s">
        <v>297</v>
      </c>
      <c r="C181" s="54">
        <v>138</v>
      </c>
      <c r="D181" s="54">
        <v>35</v>
      </c>
      <c r="E181" s="54">
        <v>279</v>
      </c>
      <c r="F181" s="54">
        <v>1</v>
      </c>
      <c r="G181" s="54">
        <v>2</v>
      </c>
      <c r="H181" s="54">
        <v>0</v>
      </c>
      <c r="I181" s="54">
        <v>0</v>
      </c>
      <c r="J181" s="54">
        <v>2</v>
      </c>
      <c r="K181" s="54">
        <v>1</v>
      </c>
      <c r="L181" s="54">
        <v>3</v>
      </c>
      <c r="M181" s="54">
        <v>1</v>
      </c>
      <c r="N181" s="54">
        <v>0</v>
      </c>
      <c r="O181" s="72">
        <f t="shared" si="5"/>
        <v>462</v>
      </c>
      <c r="P181" s="26">
        <v>0</v>
      </c>
      <c r="Q181" s="26">
        <f t="shared" si="4"/>
        <v>462</v>
      </c>
      <c r="R181" s="26">
        <v>0</v>
      </c>
    </row>
    <row r="182" spans="1:18">
      <c r="A182" s="41">
        <v>173</v>
      </c>
      <c r="B182" s="61" t="s">
        <v>298</v>
      </c>
      <c r="C182" s="54">
        <v>10</v>
      </c>
      <c r="D182" s="54">
        <v>139</v>
      </c>
      <c r="E182" s="54">
        <v>415</v>
      </c>
      <c r="F182" s="54">
        <v>6</v>
      </c>
      <c r="G182" s="54">
        <v>2</v>
      </c>
      <c r="H182" s="54">
        <v>1</v>
      </c>
      <c r="I182" s="54">
        <v>0</v>
      </c>
      <c r="J182" s="54">
        <v>0</v>
      </c>
      <c r="K182" s="54">
        <v>2</v>
      </c>
      <c r="L182" s="54">
        <v>5</v>
      </c>
      <c r="M182" s="54">
        <v>1</v>
      </c>
      <c r="N182" s="54">
        <v>1</v>
      </c>
      <c r="O182" s="72">
        <f t="shared" si="5"/>
        <v>582</v>
      </c>
      <c r="P182" s="26">
        <v>0</v>
      </c>
      <c r="Q182" s="26">
        <f t="shared" si="4"/>
        <v>582</v>
      </c>
      <c r="R182" s="26">
        <v>0</v>
      </c>
    </row>
    <row r="183" spans="1:18">
      <c r="A183" s="41">
        <v>174</v>
      </c>
      <c r="B183" s="61" t="s">
        <v>299</v>
      </c>
      <c r="C183" s="54">
        <v>132</v>
      </c>
      <c r="D183" s="54">
        <v>278</v>
      </c>
      <c r="E183" s="54">
        <v>366</v>
      </c>
      <c r="F183" s="54">
        <v>11</v>
      </c>
      <c r="G183" s="54">
        <v>0</v>
      </c>
      <c r="H183" s="54">
        <v>0</v>
      </c>
      <c r="I183" s="54">
        <v>2</v>
      </c>
      <c r="J183" s="54">
        <v>3</v>
      </c>
      <c r="K183" s="54">
        <v>1</v>
      </c>
      <c r="L183" s="54">
        <v>1</v>
      </c>
      <c r="M183" s="54">
        <v>0</v>
      </c>
      <c r="N183" s="54">
        <v>3</v>
      </c>
      <c r="O183" s="72">
        <f t="shared" si="5"/>
        <v>797</v>
      </c>
      <c r="P183" s="26">
        <v>0</v>
      </c>
      <c r="Q183" s="26">
        <f t="shared" si="4"/>
        <v>797</v>
      </c>
      <c r="R183" s="26">
        <v>0</v>
      </c>
    </row>
    <row r="184" spans="1:18">
      <c r="A184" s="41">
        <v>175</v>
      </c>
      <c r="B184" s="61" t="s">
        <v>300</v>
      </c>
      <c r="C184" s="54">
        <v>232</v>
      </c>
      <c r="D184" s="54">
        <v>341</v>
      </c>
      <c r="E184" s="54">
        <v>127</v>
      </c>
      <c r="F184" s="54">
        <v>4</v>
      </c>
      <c r="G184" s="54">
        <v>1</v>
      </c>
      <c r="H184" s="54">
        <v>1</v>
      </c>
      <c r="I184" s="54">
        <v>1</v>
      </c>
      <c r="J184" s="54">
        <v>1</v>
      </c>
      <c r="K184" s="54">
        <v>6</v>
      </c>
      <c r="L184" s="54">
        <v>3</v>
      </c>
      <c r="M184" s="54">
        <v>4</v>
      </c>
      <c r="N184" s="54">
        <v>1</v>
      </c>
      <c r="O184" s="72">
        <f t="shared" si="5"/>
        <v>722</v>
      </c>
      <c r="P184" s="26">
        <v>0</v>
      </c>
      <c r="Q184" s="26">
        <f t="shared" si="4"/>
        <v>722</v>
      </c>
      <c r="R184" s="26">
        <v>0</v>
      </c>
    </row>
    <row r="185" spans="1:18" ht="22.5">
      <c r="A185" s="41">
        <v>176</v>
      </c>
      <c r="B185" s="61" t="s">
        <v>301</v>
      </c>
      <c r="C185" s="54">
        <v>99</v>
      </c>
      <c r="D185" s="54">
        <v>60</v>
      </c>
      <c r="E185" s="54">
        <v>318</v>
      </c>
      <c r="F185" s="54">
        <v>8</v>
      </c>
      <c r="G185" s="54">
        <v>1</v>
      </c>
      <c r="H185" s="54">
        <v>1</v>
      </c>
      <c r="I185" s="54">
        <v>0</v>
      </c>
      <c r="J185" s="54">
        <v>2</v>
      </c>
      <c r="K185" s="54">
        <v>1</v>
      </c>
      <c r="L185" s="54">
        <v>3</v>
      </c>
      <c r="M185" s="54">
        <v>1</v>
      </c>
      <c r="N185" s="54">
        <v>1</v>
      </c>
      <c r="O185" s="72">
        <f t="shared" si="5"/>
        <v>495</v>
      </c>
      <c r="P185" s="26">
        <v>0</v>
      </c>
      <c r="Q185" s="26">
        <f t="shared" si="4"/>
        <v>495</v>
      </c>
      <c r="R185" s="26">
        <v>0</v>
      </c>
    </row>
    <row r="186" spans="1:18" ht="22.5">
      <c r="A186" s="41">
        <v>177</v>
      </c>
      <c r="B186" s="61" t="s">
        <v>302</v>
      </c>
      <c r="C186" s="54">
        <v>84</v>
      </c>
      <c r="D186" s="54">
        <v>44</v>
      </c>
      <c r="E186" s="54">
        <v>450</v>
      </c>
      <c r="F186" s="54">
        <v>2</v>
      </c>
      <c r="G186" s="54">
        <v>1</v>
      </c>
      <c r="H186" s="54">
        <v>0</v>
      </c>
      <c r="I186" s="54">
        <v>0</v>
      </c>
      <c r="J186" s="54">
        <v>0</v>
      </c>
      <c r="K186" s="54">
        <v>0</v>
      </c>
      <c r="L186" s="54">
        <v>2</v>
      </c>
      <c r="M186" s="54">
        <v>1</v>
      </c>
      <c r="N186" s="54">
        <v>1</v>
      </c>
      <c r="O186" s="72">
        <f t="shared" si="5"/>
        <v>585</v>
      </c>
      <c r="P186" s="26">
        <v>0</v>
      </c>
      <c r="Q186" s="26">
        <f t="shared" si="4"/>
        <v>585</v>
      </c>
      <c r="R186" s="26">
        <v>0</v>
      </c>
    </row>
    <row r="187" spans="1:18" ht="22.5">
      <c r="A187" s="41">
        <v>178</v>
      </c>
      <c r="B187" s="61" t="s">
        <v>303</v>
      </c>
      <c r="C187" s="54">
        <v>101</v>
      </c>
      <c r="D187" s="54">
        <v>121</v>
      </c>
      <c r="E187" s="54">
        <v>487</v>
      </c>
      <c r="F187" s="54">
        <v>3</v>
      </c>
      <c r="G187" s="54">
        <v>0</v>
      </c>
      <c r="H187" s="54">
        <v>1</v>
      </c>
      <c r="I187" s="54">
        <v>1</v>
      </c>
      <c r="J187" s="54">
        <v>1</v>
      </c>
      <c r="K187" s="54">
        <v>1</v>
      </c>
      <c r="L187" s="54">
        <v>3</v>
      </c>
      <c r="M187" s="54">
        <v>0</v>
      </c>
      <c r="N187" s="54">
        <v>3</v>
      </c>
      <c r="O187" s="72">
        <f t="shared" si="5"/>
        <v>722</v>
      </c>
      <c r="P187" s="26">
        <v>0</v>
      </c>
      <c r="Q187" s="26">
        <f t="shared" si="4"/>
        <v>722</v>
      </c>
      <c r="R187" s="26">
        <v>0</v>
      </c>
    </row>
    <row r="188" spans="1:18" ht="22.5">
      <c r="A188" s="41">
        <v>179</v>
      </c>
      <c r="B188" s="61" t="s">
        <v>304</v>
      </c>
      <c r="C188" s="54">
        <v>131</v>
      </c>
      <c r="D188" s="54">
        <v>138</v>
      </c>
      <c r="E188" s="54">
        <v>335</v>
      </c>
      <c r="F188" s="54">
        <v>7</v>
      </c>
      <c r="G188" s="54">
        <v>0</v>
      </c>
      <c r="H188" s="54">
        <v>1</v>
      </c>
      <c r="I188" s="54">
        <v>0</v>
      </c>
      <c r="J188" s="54">
        <v>1</v>
      </c>
      <c r="K188" s="54">
        <v>1</v>
      </c>
      <c r="L188" s="54">
        <v>2</v>
      </c>
      <c r="M188" s="54">
        <v>0</v>
      </c>
      <c r="N188" s="54">
        <v>3</v>
      </c>
      <c r="O188" s="72">
        <f t="shared" si="5"/>
        <v>619</v>
      </c>
      <c r="P188" s="26">
        <v>0</v>
      </c>
      <c r="Q188" s="26">
        <f t="shared" si="4"/>
        <v>619</v>
      </c>
      <c r="R188" s="26">
        <v>0</v>
      </c>
    </row>
    <row r="189" spans="1:18">
      <c r="A189" s="41">
        <v>180</v>
      </c>
      <c r="B189" s="61" t="s">
        <v>305</v>
      </c>
      <c r="C189" s="54">
        <v>1</v>
      </c>
      <c r="D189" s="54">
        <v>345</v>
      </c>
      <c r="E189" s="54">
        <v>101</v>
      </c>
      <c r="F189" s="54">
        <v>12</v>
      </c>
      <c r="G189" s="54">
        <v>0</v>
      </c>
      <c r="H189" s="54">
        <v>0</v>
      </c>
      <c r="I189" s="54">
        <v>1</v>
      </c>
      <c r="J189" s="54">
        <v>0</v>
      </c>
      <c r="K189" s="54">
        <v>0</v>
      </c>
      <c r="L189" s="54">
        <v>0</v>
      </c>
      <c r="M189" s="54">
        <v>0</v>
      </c>
      <c r="N189" s="54">
        <v>0</v>
      </c>
      <c r="O189" s="72">
        <f t="shared" si="5"/>
        <v>460</v>
      </c>
      <c r="P189" s="26">
        <v>0</v>
      </c>
      <c r="Q189" s="26">
        <f t="shared" si="4"/>
        <v>460</v>
      </c>
      <c r="R189" s="26">
        <v>0</v>
      </c>
    </row>
    <row r="190" spans="1:18" ht="22.5">
      <c r="A190" s="41">
        <v>181</v>
      </c>
      <c r="B190" s="61" t="s">
        <v>306</v>
      </c>
      <c r="C190" s="54">
        <v>1</v>
      </c>
      <c r="D190" s="54">
        <v>80</v>
      </c>
      <c r="E190" s="54">
        <v>309</v>
      </c>
      <c r="F190" s="54">
        <v>2</v>
      </c>
      <c r="G190" s="54">
        <v>0</v>
      </c>
      <c r="H190" s="54">
        <v>0</v>
      </c>
      <c r="I190" s="54">
        <v>1</v>
      </c>
      <c r="J190" s="54">
        <v>3</v>
      </c>
      <c r="K190" s="54">
        <v>0</v>
      </c>
      <c r="L190" s="54">
        <v>2</v>
      </c>
      <c r="M190" s="54">
        <v>2</v>
      </c>
      <c r="N190" s="54">
        <v>1</v>
      </c>
      <c r="O190" s="72">
        <f t="shared" si="5"/>
        <v>401</v>
      </c>
      <c r="P190" s="26">
        <v>0</v>
      </c>
      <c r="Q190" s="26">
        <f t="shared" si="4"/>
        <v>401</v>
      </c>
      <c r="R190" s="26">
        <v>0</v>
      </c>
    </row>
    <row r="191" spans="1:18" ht="22.5">
      <c r="A191" s="41">
        <v>182</v>
      </c>
      <c r="B191" s="61" t="s">
        <v>307</v>
      </c>
      <c r="C191" s="54">
        <v>13</v>
      </c>
      <c r="D191" s="54">
        <v>94</v>
      </c>
      <c r="E191" s="54">
        <v>303</v>
      </c>
      <c r="F191" s="54">
        <v>1</v>
      </c>
      <c r="G191" s="54">
        <v>0</v>
      </c>
      <c r="H191" s="54">
        <v>0</v>
      </c>
      <c r="I191" s="54">
        <v>0</v>
      </c>
      <c r="J191" s="54">
        <v>0</v>
      </c>
      <c r="K191" s="54">
        <v>0</v>
      </c>
      <c r="L191" s="54">
        <v>4</v>
      </c>
      <c r="M191" s="54">
        <v>0</v>
      </c>
      <c r="N191" s="54">
        <v>4</v>
      </c>
      <c r="O191" s="72">
        <f t="shared" si="5"/>
        <v>419</v>
      </c>
      <c r="P191" s="26">
        <v>0</v>
      </c>
      <c r="Q191" s="26">
        <f t="shared" si="4"/>
        <v>419</v>
      </c>
      <c r="R191" s="26">
        <v>0</v>
      </c>
    </row>
    <row r="192" spans="1:18">
      <c r="A192" s="41">
        <v>183</v>
      </c>
      <c r="B192" s="61" t="s">
        <v>308</v>
      </c>
      <c r="C192" s="54">
        <f t="array" ref="C192:N205">TRANSPOSE(Constiuence!C442:P453)</f>
        <v>11</v>
      </c>
      <c r="D192" s="54">
        <v>277</v>
      </c>
      <c r="E192" s="54">
        <v>209</v>
      </c>
      <c r="F192" s="54">
        <v>10</v>
      </c>
      <c r="G192" s="54">
        <v>1</v>
      </c>
      <c r="H192" s="54">
        <v>0</v>
      </c>
      <c r="I192" s="54">
        <v>1</v>
      </c>
      <c r="J192" s="54">
        <v>0</v>
      </c>
      <c r="K192" s="54">
        <v>1</v>
      </c>
      <c r="L192" s="54">
        <v>5</v>
      </c>
      <c r="M192" s="54">
        <v>0</v>
      </c>
      <c r="N192" s="54">
        <v>5</v>
      </c>
      <c r="O192" s="72">
        <f t="shared" si="5"/>
        <v>520</v>
      </c>
      <c r="P192" s="26">
        <v>0</v>
      </c>
      <c r="Q192" s="26">
        <f t="shared" si="4"/>
        <v>520</v>
      </c>
      <c r="R192" s="26">
        <v>0</v>
      </c>
    </row>
    <row r="193" spans="1:18">
      <c r="A193" s="41">
        <v>184</v>
      </c>
      <c r="B193" s="61" t="s">
        <v>309</v>
      </c>
      <c r="C193" s="54">
        <v>10</v>
      </c>
      <c r="D193" s="54">
        <v>211</v>
      </c>
      <c r="E193" s="54">
        <v>290</v>
      </c>
      <c r="F193" s="54">
        <v>1</v>
      </c>
      <c r="G193" s="54">
        <v>0</v>
      </c>
      <c r="H193" s="54">
        <v>1</v>
      </c>
      <c r="I193" s="54">
        <v>0</v>
      </c>
      <c r="J193" s="54">
        <v>1</v>
      </c>
      <c r="K193" s="54">
        <v>1</v>
      </c>
      <c r="L193" s="54">
        <v>4</v>
      </c>
      <c r="M193" s="54">
        <v>1</v>
      </c>
      <c r="N193" s="54">
        <v>6</v>
      </c>
      <c r="O193" s="72">
        <f t="shared" si="5"/>
        <v>526</v>
      </c>
      <c r="P193" s="26">
        <v>0</v>
      </c>
      <c r="Q193" s="26">
        <f t="shared" si="4"/>
        <v>526</v>
      </c>
      <c r="R193" s="26">
        <v>0</v>
      </c>
    </row>
    <row r="194" spans="1:18">
      <c r="A194" s="41">
        <v>185</v>
      </c>
      <c r="B194" s="61" t="s">
        <v>310</v>
      </c>
      <c r="C194" s="54">
        <v>2</v>
      </c>
      <c r="D194" s="54">
        <v>438</v>
      </c>
      <c r="E194" s="54">
        <v>75</v>
      </c>
      <c r="F194" s="54">
        <v>0</v>
      </c>
      <c r="G194" s="54">
        <v>0</v>
      </c>
      <c r="H194" s="54">
        <v>0</v>
      </c>
      <c r="I194" s="54">
        <v>0</v>
      </c>
      <c r="J194" s="54">
        <v>0</v>
      </c>
      <c r="K194" s="54">
        <v>0</v>
      </c>
      <c r="L194" s="54">
        <v>4</v>
      </c>
      <c r="M194" s="54">
        <v>0</v>
      </c>
      <c r="N194" s="54">
        <v>4</v>
      </c>
      <c r="O194" s="72">
        <f t="shared" si="5"/>
        <v>523</v>
      </c>
      <c r="P194" s="26">
        <v>0</v>
      </c>
      <c r="Q194" s="26">
        <f t="shared" si="4"/>
        <v>523</v>
      </c>
      <c r="R194" s="26">
        <v>0</v>
      </c>
    </row>
    <row r="195" spans="1:18">
      <c r="A195" s="41">
        <v>186</v>
      </c>
      <c r="B195" s="61" t="s">
        <v>311</v>
      </c>
      <c r="C195" s="54">
        <v>167</v>
      </c>
      <c r="D195" s="54">
        <v>221</v>
      </c>
      <c r="E195" s="54">
        <v>104</v>
      </c>
      <c r="F195" s="54">
        <v>1</v>
      </c>
      <c r="G195" s="54">
        <v>1</v>
      </c>
      <c r="H195" s="54">
        <v>0</v>
      </c>
      <c r="I195" s="54">
        <v>0</v>
      </c>
      <c r="J195" s="54">
        <v>1</v>
      </c>
      <c r="K195" s="54">
        <v>1</v>
      </c>
      <c r="L195" s="54">
        <v>1</v>
      </c>
      <c r="M195" s="54">
        <v>1</v>
      </c>
      <c r="N195" s="54">
        <v>0</v>
      </c>
      <c r="O195" s="72">
        <f t="shared" si="5"/>
        <v>498</v>
      </c>
      <c r="P195" s="26">
        <v>0</v>
      </c>
      <c r="Q195" s="26">
        <f t="shared" si="4"/>
        <v>498</v>
      </c>
      <c r="R195" s="26">
        <v>0</v>
      </c>
    </row>
    <row r="196" spans="1:18">
      <c r="A196" s="41">
        <v>187</v>
      </c>
      <c r="B196" s="61" t="s">
        <v>312</v>
      </c>
      <c r="C196" s="54">
        <v>198</v>
      </c>
      <c r="D196" s="54">
        <v>163</v>
      </c>
      <c r="E196" s="54">
        <v>431</v>
      </c>
      <c r="F196" s="54">
        <v>5</v>
      </c>
      <c r="G196" s="54">
        <v>0</v>
      </c>
      <c r="H196" s="54">
        <v>0</v>
      </c>
      <c r="I196" s="54">
        <v>1</v>
      </c>
      <c r="J196" s="54">
        <v>0</v>
      </c>
      <c r="K196" s="54">
        <v>1</v>
      </c>
      <c r="L196" s="54">
        <v>4</v>
      </c>
      <c r="M196" s="54">
        <v>0</v>
      </c>
      <c r="N196" s="54">
        <v>3</v>
      </c>
      <c r="O196" s="72">
        <f t="shared" si="5"/>
        <v>806</v>
      </c>
      <c r="P196" s="26">
        <v>0</v>
      </c>
      <c r="Q196" s="26">
        <f t="shared" si="4"/>
        <v>806</v>
      </c>
      <c r="R196" s="26">
        <v>0</v>
      </c>
    </row>
    <row r="197" spans="1:18">
      <c r="A197" s="41">
        <v>188</v>
      </c>
      <c r="B197" s="61" t="s">
        <v>313</v>
      </c>
      <c r="C197" s="54">
        <v>316</v>
      </c>
      <c r="D197" s="54">
        <v>5</v>
      </c>
      <c r="E197" s="54">
        <v>36</v>
      </c>
      <c r="F197" s="54">
        <v>1</v>
      </c>
      <c r="G197" s="54">
        <v>0</v>
      </c>
      <c r="H197" s="54">
        <v>0</v>
      </c>
      <c r="I197" s="54">
        <v>0</v>
      </c>
      <c r="J197" s="54">
        <v>1</v>
      </c>
      <c r="K197" s="54">
        <v>0</v>
      </c>
      <c r="L197" s="54">
        <v>2</v>
      </c>
      <c r="M197" s="54">
        <v>1</v>
      </c>
      <c r="N197" s="54">
        <v>14</v>
      </c>
      <c r="O197" s="72">
        <f t="shared" si="5"/>
        <v>376</v>
      </c>
      <c r="P197" s="26">
        <v>0</v>
      </c>
      <c r="Q197" s="26">
        <f t="shared" si="4"/>
        <v>376</v>
      </c>
      <c r="R197" s="26">
        <v>0</v>
      </c>
    </row>
    <row r="198" spans="1:18">
      <c r="A198" s="41">
        <v>189</v>
      </c>
      <c r="B198" s="61" t="s">
        <v>314</v>
      </c>
      <c r="C198" s="54">
        <v>256</v>
      </c>
      <c r="D198" s="54">
        <v>20</v>
      </c>
      <c r="E198" s="54">
        <v>377</v>
      </c>
      <c r="F198" s="54">
        <v>3</v>
      </c>
      <c r="G198" s="54">
        <v>1</v>
      </c>
      <c r="H198" s="54">
        <v>0</v>
      </c>
      <c r="I198" s="54">
        <v>1</v>
      </c>
      <c r="J198" s="54">
        <v>1</v>
      </c>
      <c r="K198" s="54">
        <v>1</v>
      </c>
      <c r="L198" s="54">
        <v>0</v>
      </c>
      <c r="M198" s="54">
        <v>1</v>
      </c>
      <c r="N198" s="54">
        <v>3</v>
      </c>
      <c r="O198" s="72">
        <f t="shared" si="5"/>
        <v>664</v>
      </c>
      <c r="P198" s="26">
        <v>0</v>
      </c>
      <c r="Q198" s="26">
        <f t="shared" si="4"/>
        <v>664</v>
      </c>
      <c r="R198" s="26">
        <v>0</v>
      </c>
    </row>
    <row r="199" spans="1:18">
      <c r="A199" s="41">
        <v>190</v>
      </c>
      <c r="B199" s="61" t="s">
        <v>315</v>
      </c>
      <c r="C199" s="54">
        <v>359</v>
      </c>
      <c r="D199" s="54">
        <v>287</v>
      </c>
      <c r="E199" s="54">
        <v>164</v>
      </c>
      <c r="F199" s="54">
        <v>4</v>
      </c>
      <c r="G199" s="54">
        <v>8</v>
      </c>
      <c r="H199" s="54">
        <v>0</v>
      </c>
      <c r="I199" s="54">
        <v>1</v>
      </c>
      <c r="J199" s="54">
        <v>0</v>
      </c>
      <c r="K199" s="54">
        <v>0</v>
      </c>
      <c r="L199" s="54">
        <v>4</v>
      </c>
      <c r="M199" s="54">
        <v>3</v>
      </c>
      <c r="N199" s="54">
        <v>5</v>
      </c>
      <c r="O199" s="72">
        <f t="shared" si="5"/>
        <v>835</v>
      </c>
      <c r="P199" s="26">
        <v>0</v>
      </c>
      <c r="Q199" s="26">
        <f t="shared" si="4"/>
        <v>835</v>
      </c>
      <c r="R199" s="26">
        <v>0</v>
      </c>
    </row>
    <row r="200" spans="1:18">
      <c r="A200" s="41">
        <v>191</v>
      </c>
      <c r="B200" s="61" t="s">
        <v>316</v>
      </c>
      <c r="C200" s="54">
        <v>522</v>
      </c>
      <c r="D200" s="54">
        <v>4</v>
      </c>
      <c r="E200" s="54">
        <v>8</v>
      </c>
      <c r="F200" s="54">
        <v>1</v>
      </c>
      <c r="G200" s="54">
        <v>0</v>
      </c>
      <c r="H200" s="54">
        <v>0</v>
      </c>
      <c r="I200" s="54">
        <v>0</v>
      </c>
      <c r="J200" s="54">
        <v>1</v>
      </c>
      <c r="K200" s="54">
        <v>0</v>
      </c>
      <c r="L200" s="54">
        <v>0</v>
      </c>
      <c r="M200" s="54">
        <v>0</v>
      </c>
      <c r="N200" s="54">
        <v>8</v>
      </c>
      <c r="O200" s="72">
        <f t="shared" si="5"/>
        <v>544</v>
      </c>
      <c r="P200" s="26">
        <v>0</v>
      </c>
      <c r="Q200" s="26">
        <f t="shared" si="4"/>
        <v>544</v>
      </c>
      <c r="R200" s="26">
        <v>0</v>
      </c>
    </row>
    <row r="201" spans="1:18">
      <c r="A201" s="41">
        <v>192</v>
      </c>
      <c r="B201" s="61" t="s">
        <v>317</v>
      </c>
      <c r="C201" s="54">
        <v>563</v>
      </c>
      <c r="D201" s="54">
        <v>10</v>
      </c>
      <c r="E201" s="54">
        <v>19</v>
      </c>
      <c r="F201" s="54">
        <v>1</v>
      </c>
      <c r="G201" s="54">
        <v>0</v>
      </c>
      <c r="H201" s="54">
        <v>0</v>
      </c>
      <c r="I201" s="54">
        <v>0</v>
      </c>
      <c r="J201" s="54">
        <v>2</v>
      </c>
      <c r="K201" s="54">
        <v>0</v>
      </c>
      <c r="L201" s="54">
        <v>0</v>
      </c>
      <c r="M201" s="54">
        <v>0</v>
      </c>
      <c r="N201" s="54">
        <v>7</v>
      </c>
      <c r="O201" s="72">
        <f t="shared" si="5"/>
        <v>602</v>
      </c>
      <c r="P201" s="26">
        <v>0</v>
      </c>
      <c r="Q201" s="26">
        <f t="shared" si="4"/>
        <v>602</v>
      </c>
      <c r="R201" s="26">
        <v>0</v>
      </c>
    </row>
    <row r="202" spans="1:18">
      <c r="A202" s="41">
        <v>193</v>
      </c>
      <c r="B202" s="61" t="s">
        <v>318</v>
      </c>
      <c r="C202" s="54">
        <v>335</v>
      </c>
      <c r="D202" s="54">
        <v>104</v>
      </c>
      <c r="E202" s="54">
        <v>243</v>
      </c>
      <c r="F202" s="54">
        <v>1</v>
      </c>
      <c r="G202" s="54">
        <v>0</v>
      </c>
      <c r="H202" s="54">
        <v>0</v>
      </c>
      <c r="I202" s="54">
        <v>0</v>
      </c>
      <c r="J202" s="54">
        <v>0</v>
      </c>
      <c r="K202" s="54">
        <v>2</v>
      </c>
      <c r="L202" s="54">
        <v>1</v>
      </c>
      <c r="M202" s="54">
        <v>2</v>
      </c>
      <c r="N202" s="54">
        <v>3</v>
      </c>
      <c r="O202" s="72">
        <f t="shared" si="5"/>
        <v>691</v>
      </c>
      <c r="P202" s="26">
        <v>0</v>
      </c>
      <c r="Q202" s="26">
        <f t="shared" ref="Q202:Q265" si="6">O202-P202</f>
        <v>691</v>
      </c>
      <c r="R202" s="26">
        <v>0</v>
      </c>
    </row>
    <row r="203" spans="1:18">
      <c r="A203" s="41">
        <v>194</v>
      </c>
      <c r="B203" s="61" t="s">
        <v>319</v>
      </c>
      <c r="C203" s="54">
        <v>37</v>
      </c>
      <c r="D203" s="54">
        <v>510</v>
      </c>
      <c r="E203" s="54">
        <v>58</v>
      </c>
      <c r="F203" s="54">
        <v>26</v>
      </c>
      <c r="G203" s="54">
        <v>1</v>
      </c>
      <c r="H203" s="54">
        <v>0</v>
      </c>
      <c r="I203" s="54">
        <v>0</v>
      </c>
      <c r="J203" s="54">
        <v>1</v>
      </c>
      <c r="K203" s="54">
        <v>11</v>
      </c>
      <c r="L203" s="54">
        <v>0</v>
      </c>
      <c r="M203" s="54">
        <v>2</v>
      </c>
      <c r="N203" s="54">
        <v>3</v>
      </c>
      <c r="O203" s="72">
        <f t="shared" ref="O203:O266" si="7">C203+D203+E203+F203+G203+H203+I203+J203+K203+L203+M203+N203</f>
        <v>649</v>
      </c>
      <c r="P203" s="26">
        <v>0</v>
      </c>
      <c r="Q203" s="26">
        <f t="shared" si="6"/>
        <v>649</v>
      </c>
      <c r="R203" s="26">
        <v>0</v>
      </c>
    </row>
    <row r="204" spans="1:18">
      <c r="A204" s="41">
        <v>195</v>
      </c>
      <c r="B204" s="61" t="s">
        <v>320</v>
      </c>
      <c r="C204" s="54">
        <v>23</v>
      </c>
      <c r="D204" s="54">
        <v>500</v>
      </c>
      <c r="E204" s="54">
        <v>14</v>
      </c>
      <c r="F204" s="54">
        <v>67</v>
      </c>
      <c r="G204" s="54">
        <v>5</v>
      </c>
      <c r="H204" s="54">
        <v>0</v>
      </c>
      <c r="I204" s="54">
        <v>0</v>
      </c>
      <c r="J204" s="54">
        <v>1</v>
      </c>
      <c r="K204" s="54">
        <v>12</v>
      </c>
      <c r="L204" s="54">
        <v>1</v>
      </c>
      <c r="M204" s="54">
        <v>2</v>
      </c>
      <c r="N204" s="54">
        <v>2</v>
      </c>
      <c r="O204" s="72">
        <f t="shared" si="7"/>
        <v>627</v>
      </c>
      <c r="P204" s="26">
        <v>0</v>
      </c>
      <c r="Q204" s="26">
        <f t="shared" si="6"/>
        <v>627</v>
      </c>
      <c r="R204" s="26">
        <v>0</v>
      </c>
    </row>
    <row r="205" spans="1:18">
      <c r="A205" s="41">
        <v>196</v>
      </c>
      <c r="B205" s="61" t="s">
        <v>321</v>
      </c>
      <c r="C205" s="54">
        <v>689</v>
      </c>
      <c r="D205" s="54">
        <v>15</v>
      </c>
      <c r="E205" s="54">
        <v>29</v>
      </c>
      <c r="F205" s="54">
        <v>0</v>
      </c>
      <c r="G205" s="54">
        <v>14</v>
      </c>
      <c r="H205" s="54">
        <v>0</v>
      </c>
      <c r="I205" s="54">
        <v>0</v>
      </c>
      <c r="J205" s="54">
        <v>0</v>
      </c>
      <c r="K205" s="54">
        <v>1</v>
      </c>
      <c r="L205" s="54">
        <v>0</v>
      </c>
      <c r="M205" s="54">
        <v>0</v>
      </c>
      <c r="N205" s="54">
        <v>0</v>
      </c>
      <c r="O205" s="72">
        <f t="shared" si="7"/>
        <v>748</v>
      </c>
      <c r="P205" s="26">
        <v>0</v>
      </c>
      <c r="Q205" s="26">
        <f t="shared" si="6"/>
        <v>748</v>
      </c>
      <c r="R205" s="26">
        <v>0</v>
      </c>
    </row>
    <row r="206" spans="1:18">
      <c r="A206" s="41">
        <v>197</v>
      </c>
      <c r="B206" s="61" t="s">
        <v>322</v>
      </c>
      <c r="C206" s="54">
        <f t="array" ref="C206:N219">TRANSPOSE(Constiuence!C477:P488)</f>
        <v>305</v>
      </c>
      <c r="D206" s="54">
        <v>3</v>
      </c>
      <c r="E206" s="54">
        <v>10</v>
      </c>
      <c r="F206" s="54">
        <v>2</v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4">
        <v>0</v>
      </c>
      <c r="M206" s="54">
        <v>0</v>
      </c>
      <c r="N206" s="54">
        <v>4</v>
      </c>
      <c r="O206" s="72">
        <f t="shared" si="7"/>
        <v>324</v>
      </c>
      <c r="P206" s="26">
        <v>0</v>
      </c>
      <c r="Q206" s="26">
        <f t="shared" si="6"/>
        <v>324</v>
      </c>
      <c r="R206" s="26">
        <v>0</v>
      </c>
    </row>
    <row r="207" spans="1:18">
      <c r="A207" s="41">
        <v>198</v>
      </c>
      <c r="B207" s="61" t="s">
        <v>323</v>
      </c>
      <c r="C207" s="54">
        <v>49</v>
      </c>
      <c r="D207" s="54">
        <v>31</v>
      </c>
      <c r="E207" s="54">
        <v>356</v>
      </c>
      <c r="F207" s="54">
        <v>9</v>
      </c>
      <c r="G207" s="54">
        <v>0</v>
      </c>
      <c r="H207" s="54">
        <v>0</v>
      </c>
      <c r="I207" s="54">
        <v>0</v>
      </c>
      <c r="J207" s="54">
        <v>2</v>
      </c>
      <c r="K207" s="54">
        <v>0</v>
      </c>
      <c r="L207" s="54">
        <v>2</v>
      </c>
      <c r="M207" s="54">
        <v>0</v>
      </c>
      <c r="N207" s="54">
        <v>1</v>
      </c>
      <c r="O207" s="72">
        <f t="shared" si="7"/>
        <v>450</v>
      </c>
      <c r="P207" s="26">
        <v>0</v>
      </c>
      <c r="Q207" s="26">
        <f t="shared" si="6"/>
        <v>450</v>
      </c>
      <c r="R207" s="26">
        <v>0</v>
      </c>
    </row>
    <row r="208" spans="1:18">
      <c r="A208" s="41">
        <v>199</v>
      </c>
      <c r="B208" s="61" t="s">
        <v>324</v>
      </c>
      <c r="C208" s="54">
        <v>46</v>
      </c>
      <c r="D208" s="54">
        <v>47</v>
      </c>
      <c r="E208" s="54">
        <v>250</v>
      </c>
      <c r="F208" s="54">
        <v>3</v>
      </c>
      <c r="G208" s="54">
        <v>9</v>
      </c>
      <c r="H208" s="54">
        <v>0</v>
      </c>
      <c r="I208" s="54">
        <v>0</v>
      </c>
      <c r="J208" s="54">
        <v>0</v>
      </c>
      <c r="K208" s="54">
        <v>0</v>
      </c>
      <c r="L208" s="54">
        <v>9</v>
      </c>
      <c r="M208" s="54">
        <v>1</v>
      </c>
      <c r="N208" s="54">
        <v>1</v>
      </c>
      <c r="O208" s="72">
        <f t="shared" si="7"/>
        <v>366</v>
      </c>
      <c r="P208" s="26">
        <v>0</v>
      </c>
      <c r="Q208" s="26">
        <f t="shared" si="6"/>
        <v>366</v>
      </c>
      <c r="R208" s="26">
        <v>0</v>
      </c>
    </row>
    <row r="209" spans="1:18">
      <c r="A209" s="41">
        <v>200</v>
      </c>
      <c r="B209" s="62" t="s">
        <v>325</v>
      </c>
      <c r="C209" s="54">
        <v>211</v>
      </c>
      <c r="D209" s="54">
        <v>17</v>
      </c>
      <c r="E209" s="54">
        <v>319</v>
      </c>
      <c r="F209" s="54">
        <v>8</v>
      </c>
      <c r="G209" s="54">
        <v>1</v>
      </c>
      <c r="H209" s="54">
        <v>0</v>
      </c>
      <c r="I209" s="54">
        <v>1</v>
      </c>
      <c r="J209" s="54">
        <v>1</v>
      </c>
      <c r="K209" s="54">
        <v>0</v>
      </c>
      <c r="L209" s="54">
        <v>6</v>
      </c>
      <c r="M209" s="54">
        <v>2</v>
      </c>
      <c r="N209" s="54">
        <v>4</v>
      </c>
      <c r="O209" s="72">
        <f t="shared" si="7"/>
        <v>570</v>
      </c>
      <c r="P209" s="26">
        <v>0</v>
      </c>
      <c r="Q209" s="26">
        <f t="shared" si="6"/>
        <v>570</v>
      </c>
      <c r="R209" s="26">
        <v>0</v>
      </c>
    </row>
    <row r="210" spans="1:18">
      <c r="A210" s="41">
        <v>201</v>
      </c>
      <c r="B210" s="61" t="s">
        <v>326</v>
      </c>
      <c r="C210" s="54">
        <v>55</v>
      </c>
      <c r="D210" s="54">
        <v>67</v>
      </c>
      <c r="E210" s="54">
        <v>372</v>
      </c>
      <c r="F210" s="54">
        <v>3</v>
      </c>
      <c r="G210" s="54">
        <v>1</v>
      </c>
      <c r="H210" s="54">
        <v>0</v>
      </c>
      <c r="I210" s="54">
        <v>0</v>
      </c>
      <c r="J210" s="54">
        <v>5</v>
      </c>
      <c r="K210" s="54">
        <v>1</v>
      </c>
      <c r="L210" s="54">
        <v>2</v>
      </c>
      <c r="M210" s="54">
        <v>0</v>
      </c>
      <c r="N210" s="54">
        <v>4</v>
      </c>
      <c r="O210" s="72">
        <f t="shared" si="7"/>
        <v>510</v>
      </c>
      <c r="P210" s="26">
        <v>0</v>
      </c>
      <c r="Q210" s="26">
        <f t="shared" si="6"/>
        <v>510</v>
      </c>
      <c r="R210" s="26">
        <v>0</v>
      </c>
    </row>
    <row r="211" spans="1:18">
      <c r="A211" s="41">
        <v>202</v>
      </c>
      <c r="B211" s="61" t="s">
        <v>327</v>
      </c>
      <c r="C211" s="54">
        <v>47</v>
      </c>
      <c r="D211" s="54">
        <v>72</v>
      </c>
      <c r="E211" s="54">
        <v>250</v>
      </c>
      <c r="F211" s="54">
        <v>0</v>
      </c>
      <c r="G211" s="54">
        <v>0</v>
      </c>
      <c r="H211" s="54">
        <v>0</v>
      </c>
      <c r="I211" s="54">
        <v>1</v>
      </c>
      <c r="J211" s="54">
        <v>0</v>
      </c>
      <c r="K211" s="54">
        <v>4</v>
      </c>
      <c r="L211" s="54">
        <v>0</v>
      </c>
      <c r="M211" s="54">
        <v>0</v>
      </c>
      <c r="N211" s="54">
        <v>0</v>
      </c>
      <c r="O211" s="72">
        <f t="shared" si="7"/>
        <v>374</v>
      </c>
      <c r="P211" s="26">
        <v>0</v>
      </c>
      <c r="Q211" s="26">
        <f t="shared" si="6"/>
        <v>374</v>
      </c>
      <c r="R211" s="26">
        <v>0</v>
      </c>
    </row>
    <row r="212" spans="1:18">
      <c r="A212" s="41">
        <v>203</v>
      </c>
      <c r="B212" s="61" t="s">
        <v>328</v>
      </c>
      <c r="C212" s="54">
        <v>13</v>
      </c>
      <c r="D212" s="54">
        <v>660</v>
      </c>
      <c r="E212" s="54">
        <v>150</v>
      </c>
      <c r="F212" s="54">
        <v>2</v>
      </c>
      <c r="G212" s="54">
        <v>6</v>
      </c>
      <c r="H212" s="54">
        <v>1</v>
      </c>
      <c r="I212" s="54">
        <v>2</v>
      </c>
      <c r="J212" s="54">
        <v>2</v>
      </c>
      <c r="K212" s="54">
        <v>6</v>
      </c>
      <c r="L212" s="54">
        <v>5</v>
      </c>
      <c r="M212" s="54">
        <v>2</v>
      </c>
      <c r="N212" s="54">
        <v>3</v>
      </c>
      <c r="O212" s="72">
        <f t="shared" si="7"/>
        <v>852</v>
      </c>
      <c r="P212" s="26">
        <v>0</v>
      </c>
      <c r="Q212" s="26">
        <f t="shared" si="6"/>
        <v>852</v>
      </c>
      <c r="R212" s="26">
        <v>0</v>
      </c>
    </row>
    <row r="213" spans="1:18">
      <c r="A213" s="41">
        <v>204</v>
      </c>
      <c r="B213" s="61" t="s">
        <v>329</v>
      </c>
      <c r="C213" s="54">
        <v>100</v>
      </c>
      <c r="D213" s="54">
        <v>582</v>
      </c>
      <c r="E213" s="54">
        <v>36</v>
      </c>
      <c r="F213" s="54">
        <v>2</v>
      </c>
      <c r="G213" s="54">
        <v>2</v>
      </c>
      <c r="H213" s="54">
        <v>1</v>
      </c>
      <c r="I213" s="54">
        <v>0</v>
      </c>
      <c r="J213" s="54">
        <v>0</v>
      </c>
      <c r="K213" s="54">
        <v>12</v>
      </c>
      <c r="L213" s="54">
        <v>2</v>
      </c>
      <c r="M213" s="54">
        <v>1</v>
      </c>
      <c r="N213" s="54">
        <v>5</v>
      </c>
      <c r="O213" s="72">
        <f t="shared" si="7"/>
        <v>743</v>
      </c>
      <c r="P213" s="26">
        <v>0</v>
      </c>
      <c r="Q213" s="26">
        <f t="shared" si="6"/>
        <v>743</v>
      </c>
      <c r="R213" s="26">
        <v>0</v>
      </c>
    </row>
    <row r="214" spans="1:18" ht="22.5">
      <c r="A214" s="41">
        <v>205</v>
      </c>
      <c r="B214" s="61" t="s">
        <v>330</v>
      </c>
      <c r="C214" s="54">
        <v>20</v>
      </c>
      <c r="D214" s="54">
        <v>542</v>
      </c>
      <c r="E214" s="54">
        <v>41</v>
      </c>
      <c r="F214" s="54">
        <v>0</v>
      </c>
      <c r="G214" s="54">
        <v>0</v>
      </c>
      <c r="H214" s="54">
        <v>0</v>
      </c>
      <c r="I214" s="54">
        <v>0</v>
      </c>
      <c r="J214" s="54">
        <v>0</v>
      </c>
      <c r="K214" s="54">
        <v>2</v>
      </c>
      <c r="L214" s="54">
        <v>4</v>
      </c>
      <c r="M214" s="54">
        <v>0</v>
      </c>
      <c r="N214" s="54">
        <v>1</v>
      </c>
      <c r="O214" s="72">
        <f t="shared" si="7"/>
        <v>610</v>
      </c>
      <c r="P214" s="26">
        <v>0</v>
      </c>
      <c r="Q214" s="26">
        <f t="shared" si="6"/>
        <v>610</v>
      </c>
      <c r="R214" s="26">
        <v>0</v>
      </c>
    </row>
    <row r="215" spans="1:18" ht="22.5">
      <c r="A215" s="41">
        <v>206</v>
      </c>
      <c r="B215" s="61" t="s">
        <v>331</v>
      </c>
      <c r="C215" s="54">
        <v>46</v>
      </c>
      <c r="D215" s="54">
        <v>608</v>
      </c>
      <c r="E215" s="54">
        <v>10</v>
      </c>
      <c r="F215" s="54">
        <v>3</v>
      </c>
      <c r="G215" s="54">
        <v>0</v>
      </c>
      <c r="H215" s="54">
        <v>0</v>
      </c>
      <c r="I215" s="54">
        <v>0</v>
      </c>
      <c r="J215" s="54">
        <v>0</v>
      </c>
      <c r="K215" s="54">
        <v>8</v>
      </c>
      <c r="L215" s="54">
        <v>0</v>
      </c>
      <c r="M215" s="54">
        <v>1</v>
      </c>
      <c r="N215" s="54">
        <v>2</v>
      </c>
      <c r="O215" s="72">
        <f t="shared" si="7"/>
        <v>678</v>
      </c>
      <c r="P215" s="26">
        <v>0</v>
      </c>
      <c r="Q215" s="26">
        <f t="shared" si="6"/>
        <v>678</v>
      </c>
      <c r="R215" s="26">
        <v>0</v>
      </c>
    </row>
    <row r="216" spans="1:18" ht="22.5">
      <c r="A216" s="41">
        <v>207</v>
      </c>
      <c r="B216" s="61" t="s">
        <v>332</v>
      </c>
      <c r="C216" s="54">
        <v>400</v>
      </c>
      <c r="D216" s="54">
        <v>16</v>
      </c>
      <c r="E216" s="54">
        <v>215</v>
      </c>
      <c r="F216" s="54">
        <v>1</v>
      </c>
      <c r="G216" s="54">
        <v>1</v>
      </c>
      <c r="H216" s="54">
        <v>0</v>
      </c>
      <c r="I216" s="54">
        <v>2</v>
      </c>
      <c r="J216" s="54">
        <v>1</v>
      </c>
      <c r="K216" s="54">
        <v>1</v>
      </c>
      <c r="L216" s="54">
        <v>2</v>
      </c>
      <c r="M216" s="54">
        <v>2</v>
      </c>
      <c r="N216" s="54">
        <v>5</v>
      </c>
      <c r="O216" s="72">
        <f t="shared" si="7"/>
        <v>646</v>
      </c>
      <c r="P216" s="26">
        <v>0</v>
      </c>
      <c r="Q216" s="26">
        <f t="shared" si="6"/>
        <v>646</v>
      </c>
      <c r="R216" s="26">
        <v>0</v>
      </c>
    </row>
    <row r="217" spans="1:18">
      <c r="A217" s="41">
        <v>208</v>
      </c>
      <c r="B217" s="61" t="s">
        <v>333</v>
      </c>
      <c r="C217" s="54">
        <v>274</v>
      </c>
      <c r="D217" s="54">
        <v>47</v>
      </c>
      <c r="E217" s="54">
        <v>463</v>
      </c>
      <c r="F217" s="54">
        <v>3</v>
      </c>
      <c r="G217" s="54">
        <v>27</v>
      </c>
      <c r="H217" s="54">
        <v>1</v>
      </c>
      <c r="I217" s="54">
        <v>2</v>
      </c>
      <c r="J217" s="54">
        <v>0</v>
      </c>
      <c r="K217" s="54">
        <v>1</v>
      </c>
      <c r="L217" s="54">
        <v>4</v>
      </c>
      <c r="M217" s="54">
        <v>0</v>
      </c>
      <c r="N217" s="54">
        <v>3</v>
      </c>
      <c r="O217" s="72">
        <f t="shared" si="7"/>
        <v>825</v>
      </c>
      <c r="P217" s="26">
        <v>0</v>
      </c>
      <c r="Q217" s="26">
        <f t="shared" si="6"/>
        <v>825</v>
      </c>
      <c r="R217" s="26">
        <v>0</v>
      </c>
    </row>
    <row r="218" spans="1:18">
      <c r="A218" s="41">
        <v>209</v>
      </c>
      <c r="B218" s="61" t="s">
        <v>334</v>
      </c>
      <c r="C218" s="54">
        <v>49</v>
      </c>
      <c r="D218" s="54">
        <v>13</v>
      </c>
      <c r="E218" s="54">
        <v>232</v>
      </c>
      <c r="F218" s="54">
        <v>4</v>
      </c>
      <c r="G218" s="54">
        <v>1</v>
      </c>
      <c r="H218" s="54">
        <v>0</v>
      </c>
      <c r="I218" s="54">
        <v>0</v>
      </c>
      <c r="J218" s="54">
        <v>0</v>
      </c>
      <c r="K218" s="54">
        <v>1</v>
      </c>
      <c r="L218" s="54">
        <v>5</v>
      </c>
      <c r="M218" s="54">
        <v>0</v>
      </c>
      <c r="N218" s="54">
        <v>4</v>
      </c>
      <c r="O218" s="72">
        <f t="shared" si="7"/>
        <v>309</v>
      </c>
      <c r="P218" s="26">
        <v>0</v>
      </c>
      <c r="Q218" s="26">
        <f t="shared" si="6"/>
        <v>309</v>
      </c>
      <c r="R218" s="26">
        <v>0</v>
      </c>
    </row>
    <row r="219" spans="1:18">
      <c r="A219" s="41">
        <v>210</v>
      </c>
      <c r="B219" s="61" t="s">
        <v>335</v>
      </c>
      <c r="C219" s="54">
        <v>74</v>
      </c>
      <c r="D219" s="54">
        <v>83</v>
      </c>
      <c r="E219" s="54">
        <v>287</v>
      </c>
      <c r="F219" s="54">
        <v>3</v>
      </c>
      <c r="G219" s="54">
        <v>7</v>
      </c>
      <c r="H219" s="54">
        <v>0</v>
      </c>
      <c r="I219" s="54">
        <v>1</v>
      </c>
      <c r="J219" s="54">
        <v>1</v>
      </c>
      <c r="K219" s="54">
        <v>0</v>
      </c>
      <c r="L219" s="54">
        <v>6</v>
      </c>
      <c r="M219" s="54">
        <v>1</v>
      </c>
      <c r="N219" s="54">
        <v>0</v>
      </c>
      <c r="O219" s="72">
        <f t="shared" si="7"/>
        <v>463</v>
      </c>
      <c r="P219" s="26">
        <v>0</v>
      </c>
      <c r="Q219" s="26">
        <f t="shared" si="6"/>
        <v>463</v>
      </c>
      <c r="R219" s="26">
        <v>0</v>
      </c>
    </row>
    <row r="220" spans="1:18">
      <c r="A220" s="41">
        <v>211</v>
      </c>
      <c r="B220" s="61" t="s">
        <v>336</v>
      </c>
      <c r="C220" s="54">
        <f t="array" ref="C220:N233">TRANSPOSE(Constiuence!C511:P522)</f>
        <v>237</v>
      </c>
      <c r="D220" s="54">
        <v>54</v>
      </c>
      <c r="E220" s="54">
        <v>305</v>
      </c>
      <c r="F220" s="54">
        <v>2</v>
      </c>
      <c r="G220" s="54">
        <v>13</v>
      </c>
      <c r="H220" s="54">
        <v>0</v>
      </c>
      <c r="I220" s="54">
        <v>3</v>
      </c>
      <c r="J220" s="54">
        <v>2</v>
      </c>
      <c r="K220" s="54">
        <v>1</v>
      </c>
      <c r="L220" s="54">
        <v>5</v>
      </c>
      <c r="M220" s="54">
        <v>3</v>
      </c>
      <c r="N220" s="54">
        <v>6</v>
      </c>
      <c r="O220" s="72">
        <f t="shared" si="7"/>
        <v>631</v>
      </c>
      <c r="P220" s="26">
        <v>0</v>
      </c>
      <c r="Q220" s="26">
        <f t="shared" si="6"/>
        <v>631</v>
      </c>
      <c r="R220" s="26">
        <v>0</v>
      </c>
    </row>
    <row r="221" spans="1:18">
      <c r="A221" s="41">
        <v>212</v>
      </c>
      <c r="B221" s="61" t="s">
        <v>337</v>
      </c>
      <c r="C221" s="54">
        <v>155</v>
      </c>
      <c r="D221" s="54">
        <v>114</v>
      </c>
      <c r="E221" s="54">
        <v>249</v>
      </c>
      <c r="F221" s="54">
        <v>8</v>
      </c>
      <c r="G221" s="54">
        <v>8</v>
      </c>
      <c r="H221" s="54">
        <v>0</v>
      </c>
      <c r="I221" s="54">
        <v>4</v>
      </c>
      <c r="J221" s="54">
        <v>0</v>
      </c>
      <c r="K221" s="54">
        <v>1</v>
      </c>
      <c r="L221" s="54">
        <v>4</v>
      </c>
      <c r="M221" s="54">
        <v>3</v>
      </c>
      <c r="N221" s="54">
        <v>3</v>
      </c>
      <c r="O221" s="72">
        <f t="shared" si="7"/>
        <v>549</v>
      </c>
      <c r="P221" s="26">
        <v>0</v>
      </c>
      <c r="Q221" s="26">
        <f t="shared" si="6"/>
        <v>549</v>
      </c>
      <c r="R221" s="26">
        <v>0</v>
      </c>
    </row>
    <row r="222" spans="1:18">
      <c r="A222" s="41">
        <v>213</v>
      </c>
      <c r="B222" s="61" t="s">
        <v>338</v>
      </c>
      <c r="C222" s="54">
        <v>266</v>
      </c>
      <c r="D222" s="54">
        <v>13</v>
      </c>
      <c r="E222" s="54">
        <v>92</v>
      </c>
      <c r="F222" s="54">
        <v>0</v>
      </c>
      <c r="G222" s="54">
        <v>91</v>
      </c>
      <c r="H222" s="54">
        <v>1</v>
      </c>
      <c r="I222" s="54">
        <v>0</v>
      </c>
      <c r="J222" s="54">
        <v>6</v>
      </c>
      <c r="K222" s="54">
        <v>2</v>
      </c>
      <c r="L222" s="54">
        <v>0</v>
      </c>
      <c r="M222" s="54">
        <v>0</v>
      </c>
      <c r="N222" s="54">
        <v>1</v>
      </c>
      <c r="O222" s="72">
        <f t="shared" si="7"/>
        <v>472</v>
      </c>
      <c r="P222" s="26">
        <v>0</v>
      </c>
      <c r="Q222" s="26">
        <f t="shared" si="6"/>
        <v>472</v>
      </c>
      <c r="R222" s="26">
        <v>0</v>
      </c>
    </row>
    <row r="223" spans="1:18">
      <c r="A223" s="41">
        <v>214</v>
      </c>
      <c r="B223" s="61" t="s">
        <v>339</v>
      </c>
      <c r="C223" s="54">
        <v>354</v>
      </c>
      <c r="D223" s="54">
        <v>10</v>
      </c>
      <c r="E223" s="54">
        <v>60</v>
      </c>
      <c r="F223" s="54">
        <v>0</v>
      </c>
      <c r="G223" s="54">
        <v>48</v>
      </c>
      <c r="H223" s="54">
        <v>0</v>
      </c>
      <c r="I223" s="54">
        <v>0</v>
      </c>
      <c r="J223" s="54">
        <v>2</v>
      </c>
      <c r="K223" s="54">
        <v>0</v>
      </c>
      <c r="L223" s="54">
        <v>0</v>
      </c>
      <c r="M223" s="54">
        <v>0</v>
      </c>
      <c r="N223" s="54">
        <v>2</v>
      </c>
      <c r="O223" s="72">
        <f t="shared" si="7"/>
        <v>476</v>
      </c>
      <c r="P223" s="26">
        <v>0</v>
      </c>
      <c r="Q223" s="26">
        <f t="shared" si="6"/>
        <v>476</v>
      </c>
      <c r="R223" s="26">
        <v>0</v>
      </c>
    </row>
    <row r="224" spans="1:18" ht="22.5">
      <c r="A224" s="41">
        <v>215</v>
      </c>
      <c r="B224" s="61" t="s">
        <v>340</v>
      </c>
      <c r="C224" s="54">
        <v>386</v>
      </c>
      <c r="D224" s="54">
        <v>37</v>
      </c>
      <c r="E224" s="54">
        <v>268</v>
      </c>
      <c r="F224" s="54">
        <v>5</v>
      </c>
      <c r="G224" s="54">
        <v>6</v>
      </c>
      <c r="H224" s="54">
        <v>1</v>
      </c>
      <c r="I224" s="54">
        <v>3</v>
      </c>
      <c r="J224" s="54">
        <v>2</v>
      </c>
      <c r="K224" s="54">
        <v>2</v>
      </c>
      <c r="L224" s="54">
        <v>2</v>
      </c>
      <c r="M224" s="54">
        <v>2</v>
      </c>
      <c r="N224" s="54">
        <v>8</v>
      </c>
      <c r="O224" s="72">
        <f t="shared" si="7"/>
        <v>722</v>
      </c>
      <c r="P224" s="26">
        <v>0</v>
      </c>
      <c r="Q224" s="26">
        <f t="shared" si="6"/>
        <v>722</v>
      </c>
      <c r="R224" s="26">
        <v>0</v>
      </c>
    </row>
    <row r="225" spans="1:18" ht="22.5">
      <c r="A225" s="41">
        <v>216</v>
      </c>
      <c r="B225" s="61" t="s">
        <v>341</v>
      </c>
      <c r="C225" s="54">
        <v>228</v>
      </c>
      <c r="D225" s="54">
        <v>16</v>
      </c>
      <c r="E225" s="54">
        <v>460</v>
      </c>
      <c r="F225" s="54">
        <v>6</v>
      </c>
      <c r="G225" s="54">
        <v>2</v>
      </c>
      <c r="H225" s="54">
        <v>0</v>
      </c>
      <c r="I225" s="54">
        <v>1</v>
      </c>
      <c r="J225" s="54">
        <v>1</v>
      </c>
      <c r="K225" s="54">
        <v>0</v>
      </c>
      <c r="L225" s="54">
        <v>3</v>
      </c>
      <c r="M225" s="54">
        <v>0</v>
      </c>
      <c r="N225" s="54">
        <v>6</v>
      </c>
      <c r="O225" s="72">
        <f t="shared" si="7"/>
        <v>723</v>
      </c>
      <c r="P225" s="26">
        <v>0</v>
      </c>
      <c r="Q225" s="26">
        <f t="shared" si="6"/>
        <v>723</v>
      </c>
      <c r="R225" s="26">
        <v>0</v>
      </c>
    </row>
    <row r="226" spans="1:18">
      <c r="A226" s="41">
        <v>217</v>
      </c>
      <c r="B226" s="61" t="s">
        <v>342</v>
      </c>
      <c r="C226" s="54">
        <v>90</v>
      </c>
      <c r="D226" s="54">
        <v>267</v>
      </c>
      <c r="E226" s="54">
        <v>178</v>
      </c>
      <c r="F226" s="54">
        <v>2</v>
      </c>
      <c r="G226" s="54">
        <v>1</v>
      </c>
      <c r="H226" s="54">
        <v>0</v>
      </c>
      <c r="I226" s="54">
        <v>0</v>
      </c>
      <c r="J226" s="54">
        <v>1</v>
      </c>
      <c r="K226" s="54">
        <v>7</v>
      </c>
      <c r="L226" s="54">
        <v>1</v>
      </c>
      <c r="M226" s="54">
        <v>2</v>
      </c>
      <c r="N226" s="54">
        <v>0</v>
      </c>
      <c r="O226" s="72">
        <f t="shared" si="7"/>
        <v>549</v>
      </c>
      <c r="P226" s="26">
        <v>0</v>
      </c>
      <c r="Q226" s="26">
        <f t="shared" si="6"/>
        <v>549</v>
      </c>
      <c r="R226" s="26">
        <v>0</v>
      </c>
    </row>
    <row r="227" spans="1:18">
      <c r="A227" s="41">
        <v>218</v>
      </c>
      <c r="B227" s="61" t="s">
        <v>343</v>
      </c>
      <c r="C227" s="54">
        <v>250</v>
      </c>
      <c r="D227" s="54">
        <v>28</v>
      </c>
      <c r="E227" s="54">
        <v>228</v>
      </c>
      <c r="F227" s="54">
        <v>8</v>
      </c>
      <c r="G227" s="54">
        <v>5</v>
      </c>
      <c r="H227" s="54">
        <v>0</v>
      </c>
      <c r="I227" s="54">
        <v>0</v>
      </c>
      <c r="J227" s="54">
        <v>2</v>
      </c>
      <c r="K227" s="54">
        <v>1</v>
      </c>
      <c r="L227" s="54">
        <v>3</v>
      </c>
      <c r="M227" s="54">
        <v>1</v>
      </c>
      <c r="N227" s="54">
        <v>0</v>
      </c>
      <c r="O227" s="72">
        <f t="shared" si="7"/>
        <v>526</v>
      </c>
      <c r="P227" s="26">
        <v>0</v>
      </c>
      <c r="Q227" s="26">
        <f t="shared" si="6"/>
        <v>526</v>
      </c>
      <c r="R227" s="26">
        <v>0</v>
      </c>
    </row>
    <row r="228" spans="1:18" ht="22.5">
      <c r="A228" s="41">
        <v>219</v>
      </c>
      <c r="B228" s="61" t="s">
        <v>344</v>
      </c>
      <c r="C228" s="54">
        <v>23</v>
      </c>
      <c r="D228" s="54">
        <v>60</v>
      </c>
      <c r="E228" s="54">
        <v>618</v>
      </c>
      <c r="F228" s="54">
        <v>8</v>
      </c>
      <c r="G228" s="54">
        <v>0</v>
      </c>
      <c r="H228" s="54">
        <v>0</v>
      </c>
      <c r="I228" s="54">
        <v>0</v>
      </c>
      <c r="J228" s="54">
        <v>1</v>
      </c>
      <c r="K228" s="54">
        <v>0</v>
      </c>
      <c r="L228" s="54">
        <v>6</v>
      </c>
      <c r="M228" s="54">
        <v>3</v>
      </c>
      <c r="N228" s="54">
        <v>0</v>
      </c>
      <c r="O228" s="72">
        <f t="shared" si="7"/>
        <v>719</v>
      </c>
      <c r="P228" s="26">
        <v>0</v>
      </c>
      <c r="Q228" s="26">
        <f t="shared" si="6"/>
        <v>719</v>
      </c>
      <c r="R228" s="26">
        <v>0</v>
      </c>
    </row>
    <row r="229" spans="1:18" ht="22.5">
      <c r="A229" s="41">
        <v>220</v>
      </c>
      <c r="B229" s="61" t="s">
        <v>345</v>
      </c>
      <c r="C229" s="54">
        <v>386</v>
      </c>
      <c r="D229" s="54">
        <v>58</v>
      </c>
      <c r="E229" s="54">
        <v>194</v>
      </c>
      <c r="F229" s="54">
        <v>4</v>
      </c>
      <c r="G229" s="54">
        <v>1</v>
      </c>
      <c r="H229" s="54">
        <v>0</v>
      </c>
      <c r="I229" s="54">
        <v>0</v>
      </c>
      <c r="J229" s="54">
        <v>4</v>
      </c>
      <c r="K229" s="54">
        <v>1</v>
      </c>
      <c r="L229" s="54">
        <v>0</v>
      </c>
      <c r="M229" s="54">
        <v>0</v>
      </c>
      <c r="N229" s="54">
        <v>8</v>
      </c>
      <c r="O229" s="72">
        <f t="shared" si="7"/>
        <v>656</v>
      </c>
      <c r="P229" s="26">
        <v>0</v>
      </c>
      <c r="Q229" s="26">
        <f t="shared" si="6"/>
        <v>656</v>
      </c>
      <c r="R229" s="26">
        <v>0</v>
      </c>
    </row>
    <row r="230" spans="1:18">
      <c r="A230" s="41">
        <v>221</v>
      </c>
      <c r="B230" s="61" t="s">
        <v>346</v>
      </c>
      <c r="C230" s="54">
        <v>65</v>
      </c>
      <c r="D230" s="54">
        <v>18</v>
      </c>
      <c r="E230" s="54">
        <v>275</v>
      </c>
      <c r="F230" s="54">
        <v>1</v>
      </c>
      <c r="G230" s="54">
        <v>7</v>
      </c>
      <c r="H230" s="54">
        <v>0</v>
      </c>
      <c r="I230" s="54">
        <v>0</v>
      </c>
      <c r="J230" s="54">
        <v>0</v>
      </c>
      <c r="K230" s="54">
        <v>2</v>
      </c>
      <c r="L230" s="54">
        <v>1</v>
      </c>
      <c r="M230" s="54">
        <v>0</v>
      </c>
      <c r="N230" s="54">
        <v>2</v>
      </c>
      <c r="O230" s="72">
        <f t="shared" si="7"/>
        <v>371</v>
      </c>
      <c r="P230" s="26">
        <v>0</v>
      </c>
      <c r="Q230" s="26">
        <f t="shared" si="6"/>
        <v>371</v>
      </c>
      <c r="R230" s="26">
        <v>0</v>
      </c>
    </row>
    <row r="231" spans="1:18">
      <c r="A231" s="41">
        <v>222</v>
      </c>
      <c r="B231" s="61" t="s">
        <v>347</v>
      </c>
      <c r="C231" s="54">
        <v>155</v>
      </c>
      <c r="D231" s="54">
        <v>37</v>
      </c>
      <c r="E231" s="54">
        <v>240</v>
      </c>
      <c r="F231" s="54">
        <v>2</v>
      </c>
      <c r="G231" s="54">
        <v>4</v>
      </c>
      <c r="H231" s="54">
        <v>2</v>
      </c>
      <c r="I231" s="54">
        <v>0</v>
      </c>
      <c r="J231" s="54">
        <v>3</v>
      </c>
      <c r="K231" s="54">
        <v>1</v>
      </c>
      <c r="L231" s="54">
        <v>3</v>
      </c>
      <c r="M231" s="54">
        <v>1</v>
      </c>
      <c r="N231" s="54">
        <v>0</v>
      </c>
      <c r="O231" s="72">
        <f t="shared" si="7"/>
        <v>448</v>
      </c>
      <c r="P231" s="26">
        <v>0</v>
      </c>
      <c r="Q231" s="26">
        <f t="shared" si="6"/>
        <v>448</v>
      </c>
      <c r="R231" s="26">
        <v>0</v>
      </c>
    </row>
    <row r="232" spans="1:18">
      <c r="A232" s="41">
        <v>223</v>
      </c>
      <c r="B232" s="61" t="s">
        <v>348</v>
      </c>
      <c r="C232" s="54">
        <v>330</v>
      </c>
      <c r="D232" s="54">
        <v>38</v>
      </c>
      <c r="E232" s="54">
        <v>259</v>
      </c>
      <c r="F232" s="54">
        <v>1</v>
      </c>
      <c r="G232" s="54">
        <v>39</v>
      </c>
      <c r="H232" s="54">
        <v>2</v>
      </c>
      <c r="I232" s="54">
        <v>0</v>
      </c>
      <c r="J232" s="54">
        <v>1</v>
      </c>
      <c r="K232" s="54">
        <v>0</v>
      </c>
      <c r="L232" s="54">
        <v>3</v>
      </c>
      <c r="M232" s="54">
        <v>0</v>
      </c>
      <c r="N232" s="54">
        <v>8</v>
      </c>
      <c r="O232" s="72">
        <f t="shared" si="7"/>
        <v>681</v>
      </c>
      <c r="P232" s="26">
        <v>0</v>
      </c>
      <c r="Q232" s="26">
        <f t="shared" si="6"/>
        <v>681</v>
      </c>
      <c r="R232" s="26">
        <v>0</v>
      </c>
    </row>
    <row r="233" spans="1:18">
      <c r="A233" s="41">
        <v>224</v>
      </c>
      <c r="B233" s="61" t="s">
        <v>349</v>
      </c>
      <c r="C233" s="54">
        <v>225</v>
      </c>
      <c r="D233" s="54">
        <v>65</v>
      </c>
      <c r="E233" s="54">
        <v>427</v>
      </c>
      <c r="F233" s="54">
        <v>6</v>
      </c>
      <c r="G233" s="54">
        <v>25</v>
      </c>
      <c r="H233" s="54">
        <v>0</v>
      </c>
      <c r="I233" s="54">
        <v>2</v>
      </c>
      <c r="J233" s="54">
        <v>1</v>
      </c>
      <c r="K233" s="54">
        <v>1</v>
      </c>
      <c r="L233" s="54">
        <v>2</v>
      </c>
      <c r="M233" s="54">
        <v>2</v>
      </c>
      <c r="N233" s="54">
        <v>5</v>
      </c>
      <c r="O233" s="72">
        <f t="shared" si="7"/>
        <v>761</v>
      </c>
      <c r="P233" s="26">
        <v>0</v>
      </c>
      <c r="Q233" s="26">
        <f t="shared" si="6"/>
        <v>761</v>
      </c>
      <c r="R233" s="26">
        <v>0</v>
      </c>
    </row>
    <row r="234" spans="1:18">
      <c r="A234" s="41">
        <v>225</v>
      </c>
      <c r="B234" s="61" t="s">
        <v>350</v>
      </c>
      <c r="C234" s="54">
        <f t="array" ref="C234:N247">TRANSPOSE(Constiuence!C545:P556)</f>
        <v>353</v>
      </c>
      <c r="D234" s="54">
        <v>32</v>
      </c>
      <c r="E234" s="54">
        <v>138</v>
      </c>
      <c r="F234" s="54">
        <v>2</v>
      </c>
      <c r="G234" s="54">
        <v>5</v>
      </c>
      <c r="H234" s="54">
        <v>0</v>
      </c>
      <c r="I234" s="54">
        <v>0</v>
      </c>
      <c r="J234" s="54">
        <v>1</v>
      </c>
      <c r="K234" s="54">
        <v>0</v>
      </c>
      <c r="L234" s="54">
        <v>2</v>
      </c>
      <c r="M234" s="54">
        <v>1</v>
      </c>
      <c r="N234" s="54">
        <v>4</v>
      </c>
      <c r="O234" s="72">
        <f t="shared" si="7"/>
        <v>538</v>
      </c>
      <c r="P234" s="26">
        <v>0</v>
      </c>
      <c r="Q234" s="26">
        <f t="shared" si="6"/>
        <v>538</v>
      </c>
      <c r="R234" s="26">
        <v>0</v>
      </c>
    </row>
    <row r="235" spans="1:18">
      <c r="A235" s="41">
        <v>226</v>
      </c>
      <c r="B235" s="61" t="s">
        <v>351</v>
      </c>
      <c r="C235" s="54">
        <v>106</v>
      </c>
      <c r="D235" s="54">
        <v>26</v>
      </c>
      <c r="E235" s="54">
        <v>324</v>
      </c>
      <c r="F235" s="54">
        <v>4</v>
      </c>
      <c r="G235" s="54">
        <v>16</v>
      </c>
      <c r="H235" s="54">
        <v>0</v>
      </c>
      <c r="I235" s="54">
        <v>0</v>
      </c>
      <c r="J235" s="54">
        <v>1</v>
      </c>
      <c r="K235" s="54">
        <v>0</v>
      </c>
      <c r="L235" s="54">
        <v>0</v>
      </c>
      <c r="M235" s="54">
        <v>1</v>
      </c>
      <c r="N235" s="54">
        <v>4</v>
      </c>
      <c r="O235" s="72">
        <f t="shared" si="7"/>
        <v>482</v>
      </c>
      <c r="P235" s="26">
        <v>0</v>
      </c>
      <c r="Q235" s="26">
        <f t="shared" si="6"/>
        <v>482</v>
      </c>
      <c r="R235" s="26">
        <v>0</v>
      </c>
    </row>
    <row r="236" spans="1:18" ht="22.5">
      <c r="A236" s="41">
        <v>227</v>
      </c>
      <c r="B236" s="61" t="s">
        <v>352</v>
      </c>
      <c r="C236" s="54">
        <v>7</v>
      </c>
      <c r="D236" s="54">
        <v>182</v>
      </c>
      <c r="E236" s="54">
        <v>252</v>
      </c>
      <c r="F236" s="54">
        <v>4</v>
      </c>
      <c r="G236" s="54">
        <v>0</v>
      </c>
      <c r="H236" s="54">
        <v>0</v>
      </c>
      <c r="I236" s="54">
        <v>0</v>
      </c>
      <c r="J236" s="54">
        <v>0</v>
      </c>
      <c r="K236" s="54">
        <v>0</v>
      </c>
      <c r="L236" s="54">
        <v>1</v>
      </c>
      <c r="M236" s="54">
        <v>0</v>
      </c>
      <c r="N236" s="54">
        <v>2</v>
      </c>
      <c r="O236" s="72">
        <f t="shared" si="7"/>
        <v>448</v>
      </c>
      <c r="P236" s="26">
        <v>0</v>
      </c>
      <c r="Q236" s="26">
        <f t="shared" si="6"/>
        <v>448</v>
      </c>
      <c r="R236" s="26">
        <v>0</v>
      </c>
    </row>
    <row r="237" spans="1:18" ht="22.5">
      <c r="A237" s="41">
        <v>228</v>
      </c>
      <c r="B237" s="61" t="s">
        <v>353</v>
      </c>
      <c r="C237" s="54">
        <v>14</v>
      </c>
      <c r="D237" s="54">
        <v>20</v>
      </c>
      <c r="E237" s="54">
        <v>586</v>
      </c>
      <c r="F237" s="54">
        <v>7</v>
      </c>
      <c r="G237" s="54">
        <v>1</v>
      </c>
      <c r="H237" s="54">
        <v>0</v>
      </c>
      <c r="I237" s="54">
        <v>1</v>
      </c>
      <c r="J237" s="54">
        <v>0</v>
      </c>
      <c r="K237" s="54">
        <v>0</v>
      </c>
      <c r="L237" s="54">
        <v>6</v>
      </c>
      <c r="M237" s="54">
        <v>0</v>
      </c>
      <c r="N237" s="54">
        <v>4</v>
      </c>
      <c r="O237" s="72">
        <f t="shared" si="7"/>
        <v>639</v>
      </c>
      <c r="P237" s="26">
        <v>0</v>
      </c>
      <c r="Q237" s="26">
        <f t="shared" si="6"/>
        <v>639</v>
      </c>
      <c r="R237" s="26">
        <v>0</v>
      </c>
    </row>
    <row r="238" spans="1:18" ht="22.5">
      <c r="A238" s="41">
        <v>229</v>
      </c>
      <c r="B238" s="61" t="s">
        <v>354</v>
      </c>
      <c r="C238" s="54">
        <v>43</v>
      </c>
      <c r="D238" s="54">
        <v>33</v>
      </c>
      <c r="E238" s="54">
        <v>622</v>
      </c>
      <c r="F238" s="54">
        <v>6</v>
      </c>
      <c r="G238" s="54">
        <v>2</v>
      </c>
      <c r="H238" s="54">
        <v>1</v>
      </c>
      <c r="I238" s="54">
        <v>1</v>
      </c>
      <c r="J238" s="54">
        <v>1</v>
      </c>
      <c r="K238" s="54">
        <v>2</v>
      </c>
      <c r="L238" s="54">
        <v>7</v>
      </c>
      <c r="M238" s="54">
        <v>2</v>
      </c>
      <c r="N238" s="54">
        <v>4</v>
      </c>
      <c r="O238" s="72">
        <f t="shared" si="7"/>
        <v>724</v>
      </c>
      <c r="P238" s="26">
        <v>0</v>
      </c>
      <c r="Q238" s="26">
        <f t="shared" si="6"/>
        <v>724</v>
      </c>
      <c r="R238" s="26">
        <v>0</v>
      </c>
    </row>
    <row r="239" spans="1:18" ht="22.5">
      <c r="A239" s="41">
        <v>230</v>
      </c>
      <c r="B239" s="61" t="s">
        <v>355</v>
      </c>
      <c r="C239" s="54">
        <v>18</v>
      </c>
      <c r="D239" s="54">
        <v>29</v>
      </c>
      <c r="E239" s="54">
        <v>488</v>
      </c>
      <c r="F239" s="54">
        <v>9</v>
      </c>
      <c r="G239" s="54">
        <v>0</v>
      </c>
      <c r="H239" s="54">
        <v>0</v>
      </c>
      <c r="I239" s="54">
        <v>0</v>
      </c>
      <c r="J239" s="54">
        <v>0</v>
      </c>
      <c r="K239" s="54">
        <v>2</v>
      </c>
      <c r="L239" s="54">
        <v>4</v>
      </c>
      <c r="M239" s="54">
        <v>0</v>
      </c>
      <c r="N239" s="54">
        <v>2</v>
      </c>
      <c r="O239" s="72">
        <f t="shared" si="7"/>
        <v>552</v>
      </c>
      <c r="P239" s="26">
        <v>0</v>
      </c>
      <c r="Q239" s="26">
        <f t="shared" si="6"/>
        <v>552</v>
      </c>
      <c r="R239" s="26">
        <v>0</v>
      </c>
    </row>
    <row r="240" spans="1:18" ht="22.5">
      <c r="A240" s="41">
        <v>231</v>
      </c>
      <c r="B240" s="61" t="s">
        <v>356</v>
      </c>
      <c r="C240" s="54">
        <v>115</v>
      </c>
      <c r="D240" s="54">
        <v>104</v>
      </c>
      <c r="E240" s="54">
        <v>588</v>
      </c>
      <c r="F240" s="54">
        <v>12</v>
      </c>
      <c r="G240" s="54">
        <v>8</v>
      </c>
      <c r="H240" s="54">
        <v>1</v>
      </c>
      <c r="I240" s="54">
        <v>0</v>
      </c>
      <c r="J240" s="54">
        <v>7</v>
      </c>
      <c r="K240" s="54">
        <v>1</v>
      </c>
      <c r="L240" s="54">
        <v>6</v>
      </c>
      <c r="M240" s="54">
        <v>1</v>
      </c>
      <c r="N240" s="54">
        <v>4</v>
      </c>
      <c r="O240" s="72">
        <f t="shared" si="7"/>
        <v>847</v>
      </c>
      <c r="P240" s="26">
        <v>0</v>
      </c>
      <c r="Q240" s="26">
        <f t="shared" si="6"/>
        <v>847</v>
      </c>
      <c r="R240" s="26">
        <v>0</v>
      </c>
    </row>
    <row r="241" spans="1:18" ht="22.5">
      <c r="A241" s="41">
        <v>232</v>
      </c>
      <c r="B241" s="61" t="s">
        <v>357</v>
      </c>
      <c r="C241" s="54">
        <v>5</v>
      </c>
      <c r="D241" s="54">
        <v>33</v>
      </c>
      <c r="E241" s="54">
        <v>769</v>
      </c>
      <c r="F241" s="54">
        <v>4</v>
      </c>
      <c r="G241" s="54">
        <v>0</v>
      </c>
      <c r="H241" s="54">
        <v>0</v>
      </c>
      <c r="I241" s="54">
        <v>0</v>
      </c>
      <c r="J241" s="54">
        <v>0</v>
      </c>
      <c r="K241" s="54">
        <v>1</v>
      </c>
      <c r="L241" s="54">
        <v>1</v>
      </c>
      <c r="M241" s="54">
        <v>0</v>
      </c>
      <c r="N241" s="54">
        <v>3</v>
      </c>
      <c r="O241" s="72">
        <f t="shared" si="7"/>
        <v>816</v>
      </c>
      <c r="P241" s="26">
        <v>0</v>
      </c>
      <c r="Q241" s="26">
        <f t="shared" si="6"/>
        <v>816</v>
      </c>
      <c r="R241" s="26">
        <v>0</v>
      </c>
    </row>
    <row r="242" spans="1:18" ht="22.5">
      <c r="A242" s="41">
        <v>233</v>
      </c>
      <c r="B242" s="61" t="s">
        <v>358</v>
      </c>
      <c r="C242" s="54">
        <v>602</v>
      </c>
      <c r="D242" s="54">
        <v>10</v>
      </c>
      <c r="E242" s="54">
        <v>63</v>
      </c>
      <c r="F242" s="54">
        <v>0</v>
      </c>
      <c r="G242" s="54">
        <v>0</v>
      </c>
      <c r="H242" s="54">
        <v>0</v>
      </c>
      <c r="I242" s="54">
        <v>0</v>
      </c>
      <c r="J242" s="54">
        <v>4</v>
      </c>
      <c r="K242" s="54">
        <v>0</v>
      </c>
      <c r="L242" s="54">
        <v>0</v>
      </c>
      <c r="M242" s="54">
        <v>2</v>
      </c>
      <c r="N242" s="54">
        <v>9</v>
      </c>
      <c r="O242" s="72">
        <f t="shared" si="7"/>
        <v>690</v>
      </c>
      <c r="P242" s="26">
        <v>0</v>
      </c>
      <c r="Q242" s="26">
        <f t="shared" si="6"/>
        <v>690</v>
      </c>
      <c r="R242" s="26">
        <v>0</v>
      </c>
    </row>
    <row r="243" spans="1:18" ht="22.5">
      <c r="A243" s="41">
        <v>234</v>
      </c>
      <c r="B243" s="61" t="s">
        <v>359</v>
      </c>
      <c r="C243" s="54">
        <v>365</v>
      </c>
      <c r="D243" s="54">
        <v>80</v>
      </c>
      <c r="E243" s="54">
        <v>253</v>
      </c>
      <c r="F243" s="54">
        <v>3</v>
      </c>
      <c r="G243" s="54">
        <v>1</v>
      </c>
      <c r="H243" s="54">
        <v>0</v>
      </c>
      <c r="I243" s="54">
        <v>2</v>
      </c>
      <c r="J243" s="54">
        <v>3</v>
      </c>
      <c r="K243" s="54">
        <v>5</v>
      </c>
      <c r="L243" s="54">
        <v>7</v>
      </c>
      <c r="M243" s="54">
        <v>1</v>
      </c>
      <c r="N243" s="54">
        <v>4</v>
      </c>
      <c r="O243" s="72">
        <f t="shared" si="7"/>
        <v>724</v>
      </c>
      <c r="P243" s="26">
        <v>0</v>
      </c>
      <c r="Q243" s="26">
        <f t="shared" si="6"/>
        <v>724</v>
      </c>
      <c r="R243" s="26">
        <v>0</v>
      </c>
    </row>
    <row r="244" spans="1:18" ht="22.5">
      <c r="A244" s="41">
        <v>235</v>
      </c>
      <c r="B244" s="61" t="s">
        <v>360</v>
      </c>
      <c r="C244" s="54">
        <v>53</v>
      </c>
      <c r="D244" s="54">
        <v>692</v>
      </c>
      <c r="E244" s="54">
        <v>31</v>
      </c>
      <c r="F244" s="54">
        <v>5</v>
      </c>
      <c r="G244" s="54">
        <v>0</v>
      </c>
      <c r="H244" s="54">
        <v>0</v>
      </c>
      <c r="I244" s="54">
        <v>0</v>
      </c>
      <c r="J244" s="54">
        <v>0</v>
      </c>
      <c r="K244" s="54">
        <v>39</v>
      </c>
      <c r="L244" s="54">
        <v>5</v>
      </c>
      <c r="M244" s="54">
        <v>1</v>
      </c>
      <c r="N244" s="54">
        <v>1</v>
      </c>
      <c r="O244" s="72">
        <f t="shared" si="7"/>
        <v>827</v>
      </c>
      <c r="P244" s="26">
        <v>0</v>
      </c>
      <c r="Q244" s="26">
        <f t="shared" si="6"/>
        <v>827</v>
      </c>
      <c r="R244" s="26">
        <v>0</v>
      </c>
    </row>
    <row r="245" spans="1:18" ht="22.5">
      <c r="A245" s="41">
        <v>236</v>
      </c>
      <c r="B245" s="61" t="s">
        <v>361</v>
      </c>
      <c r="C245" s="54">
        <v>6</v>
      </c>
      <c r="D245" s="54">
        <v>34</v>
      </c>
      <c r="E245" s="54">
        <v>614</v>
      </c>
      <c r="F245" s="54">
        <v>5</v>
      </c>
      <c r="G245" s="54">
        <v>1</v>
      </c>
      <c r="H245" s="54">
        <v>0</v>
      </c>
      <c r="I245" s="54">
        <v>0</v>
      </c>
      <c r="J245" s="54">
        <v>0</v>
      </c>
      <c r="K245" s="54">
        <v>0</v>
      </c>
      <c r="L245" s="54">
        <v>2</v>
      </c>
      <c r="M245" s="54">
        <v>0</v>
      </c>
      <c r="N245" s="54">
        <v>1</v>
      </c>
      <c r="O245" s="72">
        <f t="shared" si="7"/>
        <v>663</v>
      </c>
      <c r="P245" s="26">
        <v>0</v>
      </c>
      <c r="Q245" s="26">
        <f t="shared" si="6"/>
        <v>663</v>
      </c>
      <c r="R245" s="26">
        <v>0</v>
      </c>
    </row>
    <row r="246" spans="1:18" ht="22.5">
      <c r="A246" s="41">
        <v>237</v>
      </c>
      <c r="B246" s="61" t="s">
        <v>362</v>
      </c>
      <c r="C246" s="54">
        <v>107</v>
      </c>
      <c r="D246" s="54">
        <v>159</v>
      </c>
      <c r="E246" s="54">
        <v>485</v>
      </c>
      <c r="F246" s="54">
        <v>14</v>
      </c>
      <c r="G246" s="54">
        <v>0</v>
      </c>
      <c r="H246" s="54">
        <v>0</v>
      </c>
      <c r="I246" s="54">
        <v>0</v>
      </c>
      <c r="J246" s="54">
        <v>0</v>
      </c>
      <c r="K246" s="54">
        <v>2</v>
      </c>
      <c r="L246" s="54">
        <v>4</v>
      </c>
      <c r="M246" s="54">
        <v>1</v>
      </c>
      <c r="N246" s="54">
        <v>3</v>
      </c>
      <c r="O246" s="72">
        <f t="shared" si="7"/>
        <v>775</v>
      </c>
      <c r="P246" s="26">
        <v>0</v>
      </c>
      <c r="Q246" s="26">
        <f t="shared" si="6"/>
        <v>775</v>
      </c>
      <c r="R246" s="26">
        <v>0</v>
      </c>
    </row>
    <row r="247" spans="1:18" ht="22.5">
      <c r="A247" s="41">
        <v>238</v>
      </c>
      <c r="B247" s="61" t="s">
        <v>363</v>
      </c>
      <c r="C247" s="54">
        <v>59</v>
      </c>
      <c r="D247" s="54">
        <v>613</v>
      </c>
      <c r="E247" s="54">
        <v>16</v>
      </c>
      <c r="F247" s="54">
        <v>3</v>
      </c>
      <c r="G247" s="54">
        <v>0</v>
      </c>
      <c r="H247" s="54">
        <v>1</v>
      </c>
      <c r="I247" s="54">
        <v>0</v>
      </c>
      <c r="J247" s="54">
        <v>1</v>
      </c>
      <c r="K247" s="54">
        <v>2</v>
      </c>
      <c r="L247" s="54">
        <v>4</v>
      </c>
      <c r="M247" s="54">
        <v>3</v>
      </c>
      <c r="N247" s="54">
        <v>3</v>
      </c>
      <c r="O247" s="72">
        <f t="shared" si="7"/>
        <v>705</v>
      </c>
      <c r="P247" s="26">
        <v>0</v>
      </c>
      <c r="Q247" s="26">
        <f t="shared" si="6"/>
        <v>705</v>
      </c>
      <c r="R247" s="26">
        <v>0</v>
      </c>
    </row>
    <row r="248" spans="1:18" ht="22.5">
      <c r="A248" s="41">
        <v>239</v>
      </c>
      <c r="B248" s="61" t="s">
        <v>364</v>
      </c>
      <c r="C248" s="54">
        <f t="array" ref="C248:N261">TRANSPOSE(Constiuence!C579:P590)</f>
        <v>29</v>
      </c>
      <c r="D248" s="54">
        <v>640</v>
      </c>
      <c r="E248" s="54">
        <v>21</v>
      </c>
      <c r="F248" s="54">
        <v>2</v>
      </c>
      <c r="G248" s="54">
        <v>0</v>
      </c>
      <c r="H248" s="54">
        <v>0</v>
      </c>
      <c r="I248" s="54">
        <v>0</v>
      </c>
      <c r="J248" s="54">
        <v>0</v>
      </c>
      <c r="K248" s="54">
        <v>3</v>
      </c>
      <c r="L248" s="54">
        <v>3</v>
      </c>
      <c r="M248" s="54">
        <v>0</v>
      </c>
      <c r="N248" s="54">
        <v>1</v>
      </c>
      <c r="O248" s="72">
        <f t="shared" si="7"/>
        <v>699</v>
      </c>
      <c r="P248" s="26">
        <v>0</v>
      </c>
      <c r="Q248" s="26">
        <f t="shared" si="6"/>
        <v>699</v>
      </c>
      <c r="R248" s="26">
        <v>0</v>
      </c>
    </row>
    <row r="249" spans="1:18" ht="22.5">
      <c r="A249" s="41">
        <v>240</v>
      </c>
      <c r="B249" s="61" t="s">
        <v>365</v>
      </c>
      <c r="C249" s="54">
        <v>19</v>
      </c>
      <c r="D249" s="54">
        <v>598</v>
      </c>
      <c r="E249" s="54">
        <v>7</v>
      </c>
      <c r="F249" s="54">
        <v>0</v>
      </c>
      <c r="G249" s="54">
        <v>0</v>
      </c>
      <c r="H249" s="54">
        <v>0</v>
      </c>
      <c r="I249" s="54">
        <v>0</v>
      </c>
      <c r="J249" s="54">
        <v>0</v>
      </c>
      <c r="K249" s="54">
        <v>17</v>
      </c>
      <c r="L249" s="54">
        <v>1</v>
      </c>
      <c r="M249" s="54">
        <v>0</v>
      </c>
      <c r="N249" s="54">
        <v>0</v>
      </c>
      <c r="O249" s="72">
        <f t="shared" si="7"/>
        <v>642</v>
      </c>
      <c r="P249" s="26">
        <v>0</v>
      </c>
      <c r="Q249" s="26">
        <f t="shared" si="6"/>
        <v>642</v>
      </c>
      <c r="R249" s="26">
        <v>0</v>
      </c>
    </row>
    <row r="250" spans="1:18" ht="22.5">
      <c r="A250" s="41">
        <v>241</v>
      </c>
      <c r="B250" s="61" t="s">
        <v>366</v>
      </c>
      <c r="C250" s="54">
        <v>35</v>
      </c>
      <c r="D250" s="54">
        <v>354</v>
      </c>
      <c r="E250" s="54">
        <v>127</v>
      </c>
      <c r="F250" s="54">
        <v>13</v>
      </c>
      <c r="G250" s="54">
        <v>0</v>
      </c>
      <c r="H250" s="54">
        <v>0</v>
      </c>
      <c r="I250" s="54">
        <v>0</v>
      </c>
      <c r="J250" s="54">
        <v>0</v>
      </c>
      <c r="K250" s="54">
        <v>10</v>
      </c>
      <c r="L250" s="54">
        <v>1</v>
      </c>
      <c r="M250" s="54">
        <v>3</v>
      </c>
      <c r="N250" s="54">
        <v>0</v>
      </c>
      <c r="O250" s="72">
        <f t="shared" si="7"/>
        <v>543</v>
      </c>
      <c r="P250" s="26">
        <v>0</v>
      </c>
      <c r="Q250" s="26">
        <f t="shared" si="6"/>
        <v>543</v>
      </c>
      <c r="R250" s="26">
        <v>0</v>
      </c>
    </row>
    <row r="251" spans="1:18" ht="22.5">
      <c r="A251" s="41">
        <v>242</v>
      </c>
      <c r="B251" s="61" t="s">
        <v>367</v>
      </c>
      <c r="C251" s="54">
        <v>39</v>
      </c>
      <c r="D251" s="54">
        <v>374</v>
      </c>
      <c r="E251" s="54">
        <v>136</v>
      </c>
      <c r="F251" s="54">
        <v>10</v>
      </c>
      <c r="G251" s="54">
        <v>0</v>
      </c>
      <c r="H251" s="54">
        <v>0</v>
      </c>
      <c r="I251" s="54">
        <v>0</v>
      </c>
      <c r="J251" s="54">
        <v>0</v>
      </c>
      <c r="K251" s="54">
        <v>8</v>
      </c>
      <c r="L251" s="54">
        <v>0</v>
      </c>
      <c r="M251" s="54">
        <v>0</v>
      </c>
      <c r="N251" s="54">
        <v>1</v>
      </c>
      <c r="O251" s="72">
        <f t="shared" si="7"/>
        <v>568</v>
      </c>
      <c r="P251" s="26">
        <v>0</v>
      </c>
      <c r="Q251" s="26">
        <f t="shared" si="6"/>
        <v>568</v>
      </c>
      <c r="R251" s="26">
        <v>0</v>
      </c>
    </row>
    <row r="252" spans="1:18" ht="22.5">
      <c r="A252" s="41">
        <v>243</v>
      </c>
      <c r="B252" s="61" t="s">
        <v>368</v>
      </c>
      <c r="C252" s="54">
        <v>37</v>
      </c>
      <c r="D252" s="54">
        <v>749</v>
      </c>
      <c r="E252" s="54">
        <v>24</v>
      </c>
      <c r="F252" s="54">
        <v>9</v>
      </c>
      <c r="G252" s="54">
        <v>0</v>
      </c>
      <c r="H252" s="54">
        <v>0</v>
      </c>
      <c r="I252" s="54">
        <v>1</v>
      </c>
      <c r="J252" s="54">
        <v>0</v>
      </c>
      <c r="K252" s="54">
        <v>11</v>
      </c>
      <c r="L252" s="54">
        <v>5</v>
      </c>
      <c r="M252" s="54">
        <v>1</v>
      </c>
      <c r="N252" s="54">
        <v>0</v>
      </c>
      <c r="O252" s="72">
        <f t="shared" si="7"/>
        <v>837</v>
      </c>
      <c r="P252" s="26">
        <v>0</v>
      </c>
      <c r="Q252" s="26">
        <f t="shared" si="6"/>
        <v>837</v>
      </c>
      <c r="R252" s="26">
        <v>0</v>
      </c>
    </row>
    <row r="253" spans="1:18" ht="22.5">
      <c r="A253" s="41">
        <v>244</v>
      </c>
      <c r="B253" s="61" t="s">
        <v>369</v>
      </c>
      <c r="C253" s="54">
        <v>24</v>
      </c>
      <c r="D253" s="54">
        <v>515</v>
      </c>
      <c r="E253" s="54">
        <v>150</v>
      </c>
      <c r="F253" s="54">
        <v>12</v>
      </c>
      <c r="G253" s="54">
        <v>1</v>
      </c>
      <c r="H253" s="54">
        <v>0</v>
      </c>
      <c r="I253" s="54">
        <v>0</v>
      </c>
      <c r="J253" s="54">
        <v>2</v>
      </c>
      <c r="K253" s="54">
        <v>42</v>
      </c>
      <c r="L253" s="54">
        <v>1</v>
      </c>
      <c r="M253" s="54">
        <v>1</v>
      </c>
      <c r="N253" s="54">
        <v>6</v>
      </c>
      <c r="O253" s="72">
        <f t="shared" si="7"/>
        <v>754</v>
      </c>
      <c r="P253" s="26">
        <v>0</v>
      </c>
      <c r="Q253" s="26">
        <f t="shared" si="6"/>
        <v>754</v>
      </c>
      <c r="R253" s="26">
        <v>0</v>
      </c>
    </row>
    <row r="254" spans="1:18" ht="22.5">
      <c r="A254" s="41">
        <v>245</v>
      </c>
      <c r="B254" s="61" t="s">
        <v>370</v>
      </c>
      <c r="C254" s="54">
        <v>7</v>
      </c>
      <c r="D254" s="54">
        <v>153</v>
      </c>
      <c r="E254" s="54">
        <v>603</v>
      </c>
      <c r="F254" s="54">
        <v>6</v>
      </c>
      <c r="G254" s="54">
        <v>1</v>
      </c>
      <c r="H254" s="54">
        <v>1</v>
      </c>
      <c r="I254" s="54">
        <v>0</v>
      </c>
      <c r="J254" s="54">
        <v>1</v>
      </c>
      <c r="K254" s="54">
        <v>2</v>
      </c>
      <c r="L254" s="54">
        <v>8</v>
      </c>
      <c r="M254" s="54">
        <v>4</v>
      </c>
      <c r="N254" s="54">
        <v>0</v>
      </c>
      <c r="O254" s="72">
        <f t="shared" si="7"/>
        <v>786</v>
      </c>
      <c r="P254" s="26">
        <v>0</v>
      </c>
      <c r="Q254" s="26">
        <f t="shared" si="6"/>
        <v>786</v>
      </c>
      <c r="R254" s="26">
        <v>0</v>
      </c>
    </row>
    <row r="255" spans="1:18" ht="22.5">
      <c r="A255" s="41">
        <v>246</v>
      </c>
      <c r="B255" s="61" t="s">
        <v>371</v>
      </c>
      <c r="C255" s="54">
        <v>8</v>
      </c>
      <c r="D255" s="54">
        <v>210</v>
      </c>
      <c r="E255" s="54">
        <v>576</v>
      </c>
      <c r="F255" s="54">
        <v>6</v>
      </c>
      <c r="G255" s="54">
        <v>1</v>
      </c>
      <c r="H255" s="54">
        <v>0</v>
      </c>
      <c r="I255" s="54">
        <v>1</v>
      </c>
      <c r="J255" s="54">
        <v>0</v>
      </c>
      <c r="K255" s="54">
        <v>6</v>
      </c>
      <c r="L255" s="54">
        <v>7</v>
      </c>
      <c r="M255" s="54">
        <v>1</v>
      </c>
      <c r="N255" s="54">
        <v>3</v>
      </c>
      <c r="O255" s="72">
        <f t="shared" si="7"/>
        <v>819</v>
      </c>
      <c r="P255" s="26">
        <v>0</v>
      </c>
      <c r="Q255" s="26">
        <f t="shared" si="6"/>
        <v>819</v>
      </c>
      <c r="R255" s="26">
        <v>0</v>
      </c>
    </row>
    <row r="256" spans="1:18" ht="22.5">
      <c r="A256" s="41">
        <v>247</v>
      </c>
      <c r="B256" s="61" t="s">
        <v>372</v>
      </c>
      <c r="C256" s="54">
        <v>28</v>
      </c>
      <c r="D256" s="54">
        <v>435</v>
      </c>
      <c r="E256" s="54">
        <v>220</v>
      </c>
      <c r="F256" s="54">
        <v>4</v>
      </c>
      <c r="G256" s="54">
        <v>0</v>
      </c>
      <c r="H256" s="54">
        <v>0</v>
      </c>
      <c r="I256" s="54">
        <v>0</v>
      </c>
      <c r="J256" s="54">
        <v>0</v>
      </c>
      <c r="K256" s="54">
        <v>20</v>
      </c>
      <c r="L256" s="54">
        <v>2</v>
      </c>
      <c r="M256" s="54">
        <v>0</v>
      </c>
      <c r="N256" s="54">
        <v>2</v>
      </c>
      <c r="O256" s="72">
        <f t="shared" si="7"/>
        <v>711</v>
      </c>
      <c r="P256" s="26">
        <v>0</v>
      </c>
      <c r="Q256" s="26">
        <f t="shared" si="6"/>
        <v>711</v>
      </c>
      <c r="R256" s="26">
        <v>0</v>
      </c>
    </row>
    <row r="257" spans="1:18" ht="22.5">
      <c r="A257" s="41">
        <v>248</v>
      </c>
      <c r="B257" s="61" t="s">
        <v>373</v>
      </c>
      <c r="C257" s="54">
        <v>17</v>
      </c>
      <c r="D257" s="54">
        <v>516</v>
      </c>
      <c r="E257" s="54">
        <v>143</v>
      </c>
      <c r="F257" s="54">
        <v>4</v>
      </c>
      <c r="G257" s="54">
        <v>0</v>
      </c>
      <c r="H257" s="54">
        <v>1</v>
      </c>
      <c r="I257" s="54">
        <v>3</v>
      </c>
      <c r="J257" s="54">
        <v>0</v>
      </c>
      <c r="K257" s="54">
        <v>15</v>
      </c>
      <c r="L257" s="54">
        <v>13</v>
      </c>
      <c r="M257" s="54">
        <v>1</v>
      </c>
      <c r="N257" s="54">
        <v>2</v>
      </c>
      <c r="O257" s="72">
        <f t="shared" si="7"/>
        <v>715</v>
      </c>
      <c r="P257" s="26">
        <v>0</v>
      </c>
      <c r="Q257" s="26">
        <f t="shared" si="6"/>
        <v>715</v>
      </c>
      <c r="R257" s="26">
        <v>0</v>
      </c>
    </row>
    <row r="258" spans="1:18" ht="22.5">
      <c r="A258" s="41">
        <v>249</v>
      </c>
      <c r="B258" s="61" t="s">
        <v>374</v>
      </c>
      <c r="C258" s="54">
        <v>10</v>
      </c>
      <c r="D258" s="54">
        <v>78</v>
      </c>
      <c r="E258" s="54">
        <v>356</v>
      </c>
      <c r="F258" s="54">
        <v>2</v>
      </c>
      <c r="G258" s="54">
        <v>0</v>
      </c>
      <c r="H258" s="54">
        <v>0</v>
      </c>
      <c r="I258" s="54">
        <v>0</v>
      </c>
      <c r="J258" s="54">
        <v>0</v>
      </c>
      <c r="K258" s="54">
        <v>2</v>
      </c>
      <c r="L258" s="54">
        <v>2</v>
      </c>
      <c r="M258" s="54">
        <v>2</v>
      </c>
      <c r="N258" s="54">
        <v>4</v>
      </c>
      <c r="O258" s="72">
        <f t="shared" si="7"/>
        <v>456</v>
      </c>
      <c r="P258" s="26">
        <v>0</v>
      </c>
      <c r="Q258" s="26">
        <f t="shared" si="6"/>
        <v>456</v>
      </c>
      <c r="R258" s="26">
        <v>0</v>
      </c>
    </row>
    <row r="259" spans="1:18" ht="22.5">
      <c r="A259" s="41">
        <v>250</v>
      </c>
      <c r="B259" s="61" t="s">
        <v>375</v>
      </c>
      <c r="C259" s="54">
        <v>74</v>
      </c>
      <c r="D259" s="54">
        <v>259</v>
      </c>
      <c r="E259" s="54">
        <v>406</v>
      </c>
      <c r="F259" s="54">
        <v>5</v>
      </c>
      <c r="G259" s="54">
        <v>0</v>
      </c>
      <c r="H259" s="54">
        <v>1</v>
      </c>
      <c r="I259" s="54">
        <v>0</v>
      </c>
      <c r="J259" s="54">
        <v>0</v>
      </c>
      <c r="K259" s="54">
        <v>1</v>
      </c>
      <c r="L259" s="54">
        <v>3</v>
      </c>
      <c r="M259" s="54">
        <v>2</v>
      </c>
      <c r="N259" s="54">
        <v>1</v>
      </c>
      <c r="O259" s="72">
        <f t="shared" si="7"/>
        <v>752</v>
      </c>
      <c r="P259" s="26">
        <v>0</v>
      </c>
      <c r="Q259" s="26">
        <f t="shared" si="6"/>
        <v>752</v>
      </c>
      <c r="R259" s="26">
        <v>0</v>
      </c>
    </row>
    <row r="260" spans="1:18" ht="22.5">
      <c r="A260" s="41">
        <v>251</v>
      </c>
      <c r="B260" s="61" t="s">
        <v>376</v>
      </c>
      <c r="C260" s="54">
        <v>22</v>
      </c>
      <c r="D260" s="54">
        <v>280</v>
      </c>
      <c r="E260" s="54">
        <v>351</v>
      </c>
      <c r="F260" s="54">
        <v>2</v>
      </c>
      <c r="G260" s="54">
        <v>0</v>
      </c>
      <c r="H260" s="54">
        <v>0</v>
      </c>
      <c r="I260" s="54">
        <v>0</v>
      </c>
      <c r="J260" s="54">
        <v>0</v>
      </c>
      <c r="K260" s="54">
        <v>2</v>
      </c>
      <c r="L260" s="54">
        <v>6</v>
      </c>
      <c r="M260" s="54">
        <v>0</v>
      </c>
      <c r="N260" s="54">
        <v>4</v>
      </c>
      <c r="O260" s="72">
        <f t="shared" si="7"/>
        <v>667</v>
      </c>
      <c r="P260" s="26">
        <v>0</v>
      </c>
      <c r="Q260" s="26">
        <f t="shared" si="6"/>
        <v>667</v>
      </c>
      <c r="R260" s="26">
        <v>0</v>
      </c>
    </row>
    <row r="261" spans="1:18" ht="22.5">
      <c r="A261" s="41">
        <v>252</v>
      </c>
      <c r="B261" s="61" t="s">
        <v>377</v>
      </c>
      <c r="C261" s="54">
        <v>10</v>
      </c>
      <c r="D261" s="54">
        <v>464</v>
      </c>
      <c r="E261" s="54">
        <v>11</v>
      </c>
      <c r="F261" s="54">
        <v>1</v>
      </c>
      <c r="G261" s="54">
        <v>0</v>
      </c>
      <c r="H261" s="54">
        <v>0</v>
      </c>
      <c r="I261" s="54">
        <v>0</v>
      </c>
      <c r="J261" s="54">
        <v>0</v>
      </c>
      <c r="K261" s="54">
        <v>18</v>
      </c>
      <c r="L261" s="54">
        <v>2</v>
      </c>
      <c r="M261" s="54">
        <v>2</v>
      </c>
      <c r="N261" s="54">
        <v>0</v>
      </c>
      <c r="O261" s="72">
        <f t="shared" si="7"/>
        <v>508</v>
      </c>
      <c r="P261" s="26">
        <v>0</v>
      </c>
      <c r="Q261" s="26">
        <f t="shared" si="6"/>
        <v>508</v>
      </c>
      <c r="R261" s="26">
        <v>0</v>
      </c>
    </row>
    <row r="262" spans="1:18" ht="22.5">
      <c r="A262" s="41">
        <v>253</v>
      </c>
      <c r="B262" s="61" t="s">
        <v>378</v>
      </c>
      <c r="C262" s="54">
        <f t="array" ref="C262:N275">TRANSPOSE(Constiuence!C613:P624)</f>
        <v>25</v>
      </c>
      <c r="D262" s="54">
        <v>521</v>
      </c>
      <c r="E262" s="54">
        <v>51</v>
      </c>
      <c r="F262" s="54">
        <v>5</v>
      </c>
      <c r="G262" s="54">
        <v>0</v>
      </c>
      <c r="H262" s="54">
        <v>1</v>
      </c>
      <c r="I262" s="54">
        <v>1</v>
      </c>
      <c r="J262" s="54">
        <v>0</v>
      </c>
      <c r="K262" s="54">
        <v>1</v>
      </c>
      <c r="L262" s="54">
        <v>6</v>
      </c>
      <c r="M262" s="54">
        <v>2</v>
      </c>
      <c r="N262" s="54">
        <v>0</v>
      </c>
      <c r="O262" s="72">
        <f t="shared" si="7"/>
        <v>613</v>
      </c>
      <c r="P262" s="26">
        <v>0</v>
      </c>
      <c r="Q262" s="26">
        <f t="shared" si="6"/>
        <v>613</v>
      </c>
      <c r="R262" s="26">
        <v>0</v>
      </c>
    </row>
    <row r="263" spans="1:18" ht="22.5">
      <c r="A263" s="41">
        <v>254</v>
      </c>
      <c r="B263" s="61" t="s">
        <v>379</v>
      </c>
      <c r="C263" s="54">
        <v>19</v>
      </c>
      <c r="D263" s="54">
        <v>387</v>
      </c>
      <c r="E263" s="54">
        <v>7</v>
      </c>
      <c r="F263" s="54">
        <v>2</v>
      </c>
      <c r="G263" s="54">
        <v>0</v>
      </c>
      <c r="H263" s="54">
        <v>1</v>
      </c>
      <c r="I263" s="54">
        <v>0</v>
      </c>
      <c r="J263" s="54">
        <v>0</v>
      </c>
      <c r="K263" s="54">
        <v>8</v>
      </c>
      <c r="L263" s="54">
        <v>5</v>
      </c>
      <c r="M263" s="54">
        <v>0</v>
      </c>
      <c r="N263" s="54">
        <v>0</v>
      </c>
      <c r="O263" s="72">
        <f t="shared" si="7"/>
        <v>429</v>
      </c>
      <c r="P263" s="26">
        <v>0</v>
      </c>
      <c r="Q263" s="26">
        <f t="shared" si="6"/>
        <v>429</v>
      </c>
      <c r="R263" s="26">
        <v>0</v>
      </c>
    </row>
    <row r="264" spans="1:18" ht="22.5">
      <c r="A264" s="41">
        <v>255</v>
      </c>
      <c r="B264" s="61" t="s">
        <v>380</v>
      </c>
      <c r="C264" s="54">
        <v>9</v>
      </c>
      <c r="D264" s="54">
        <v>710</v>
      </c>
      <c r="E264" s="54">
        <v>40</v>
      </c>
      <c r="F264" s="54">
        <v>1</v>
      </c>
      <c r="G264" s="54">
        <v>0</v>
      </c>
      <c r="H264" s="54">
        <v>0</v>
      </c>
      <c r="I264" s="54">
        <v>0</v>
      </c>
      <c r="J264" s="54">
        <v>1</v>
      </c>
      <c r="K264" s="54">
        <v>22</v>
      </c>
      <c r="L264" s="54">
        <v>1</v>
      </c>
      <c r="M264" s="54">
        <v>0</v>
      </c>
      <c r="N264" s="54">
        <v>1</v>
      </c>
      <c r="O264" s="72">
        <f t="shared" si="7"/>
        <v>785</v>
      </c>
      <c r="P264" s="26">
        <v>0</v>
      </c>
      <c r="Q264" s="26">
        <f t="shared" si="6"/>
        <v>785</v>
      </c>
      <c r="R264" s="26">
        <v>0</v>
      </c>
    </row>
    <row r="265" spans="1:18" ht="22.5">
      <c r="A265" s="41">
        <v>256</v>
      </c>
      <c r="B265" s="61" t="s">
        <v>381</v>
      </c>
      <c r="C265" s="54">
        <v>13</v>
      </c>
      <c r="D265" s="54">
        <v>326</v>
      </c>
      <c r="E265" s="54">
        <v>62</v>
      </c>
      <c r="F265" s="54">
        <v>1</v>
      </c>
      <c r="G265" s="54">
        <v>0</v>
      </c>
      <c r="H265" s="54">
        <v>0</v>
      </c>
      <c r="I265" s="54">
        <v>0</v>
      </c>
      <c r="J265" s="54">
        <v>0</v>
      </c>
      <c r="K265" s="54">
        <v>3</v>
      </c>
      <c r="L265" s="54">
        <v>1</v>
      </c>
      <c r="M265" s="54">
        <v>0</v>
      </c>
      <c r="N265" s="54">
        <v>0</v>
      </c>
      <c r="O265" s="72">
        <f t="shared" si="7"/>
        <v>406</v>
      </c>
      <c r="P265" s="26">
        <v>0</v>
      </c>
      <c r="Q265" s="26">
        <f t="shared" si="6"/>
        <v>406</v>
      </c>
      <c r="R265" s="26">
        <v>0</v>
      </c>
    </row>
    <row r="266" spans="1:18" ht="22.5">
      <c r="A266" s="41">
        <v>257</v>
      </c>
      <c r="B266" s="61" t="s">
        <v>382</v>
      </c>
      <c r="C266" s="54">
        <v>17</v>
      </c>
      <c r="D266" s="54">
        <v>116</v>
      </c>
      <c r="E266" s="54">
        <v>251</v>
      </c>
      <c r="F266" s="54">
        <v>2</v>
      </c>
      <c r="G266" s="54">
        <v>0</v>
      </c>
      <c r="H266" s="54">
        <v>1</v>
      </c>
      <c r="I266" s="54">
        <v>2</v>
      </c>
      <c r="J266" s="54">
        <v>0</v>
      </c>
      <c r="K266" s="54">
        <v>2</v>
      </c>
      <c r="L266" s="54">
        <v>2</v>
      </c>
      <c r="M266" s="54">
        <v>1</v>
      </c>
      <c r="N266" s="54">
        <v>3</v>
      </c>
      <c r="O266" s="72">
        <f t="shared" si="7"/>
        <v>397</v>
      </c>
      <c r="P266" s="26">
        <v>0</v>
      </c>
      <c r="Q266" s="26">
        <f t="shared" ref="Q266:Q329" si="8">O266-P266</f>
        <v>397</v>
      </c>
      <c r="R266" s="26">
        <v>0</v>
      </c>
    </row>
    <row r="267" spans="1:18" ht="22.5">
      <c r="A267" s="41">
        <v>258</v>
      </c>
      <c r="B267" s="61" t="s">
        <v>383</v>
      </c>
      <c r="C267" s="54">
        <v>12</v>
      </c>
      <c r="D267" s="54">
        <v>557</v>
      </c>
      <c r="E267" s="54">
        <v>211</v>
      </c>
      <c r="F267" s="54">
        <v>2</v>
      </c>
      <c r="G267" s="54">
        <v>0</v>
      </c>
      <c r="H267" s="54">
        <v>1</v>
      </c>
      <c r="I267" s="54">
        <v>0</v>
      </c>
      <c r="J267" s="54">
        <v>0</v>
      </c>
      <c r="K267" s="54">
        <v>2</v>
      </c>
      <c r="L267" s="54">
        <v>4</v>
      </c>
      <c r="M267" s="54">
        <v>3</v>
      </c>
      <c r="N267" s="54">
        <v>1</v>
      </c>
      <c r="O267" s="72">
        <f t="shared" ref="O267:O330" si="9">C267+D267+E267+F267+G267+H267+I267+J267+K267+L267+M267+N267</f>
        <v>793</v>
      </c>
      <c r="P267" s="26">
        <v>0</v>
      </c>
      <c r="Q267" s="26">
        <f t="shared" si="8"/>
        <v>793</v>
      </c>
      <c r="R267" s="26">
        <v>0</v>
      </c>
    </row>
    <row r="268" spans="1:18" ht="22.5">
      <c r="A268" s="41">
        <v>259</v>
      </c>
      <c r="B268" s="61" t="s">
        <v>384</v>
      </c>
      <c r="C268" s="54">
        <v>1</v>
      </c>
      <c r="D268" s="54">
        <v>16</v>
      </c>
      <c r="E268" s="54">
        <v>484</v>
      </c>
      <c r="F268" s="54">
        <v>3</v>
      </c>
      <c r="G268" s="54">
        <v>0</v>
      </c>
      <c r="H268" s="54">
        <v>0</v>
      </c>
      <c r="I268" s="54">
        <v>0</v>
      </c>
      <c r="J268" s="54">
        <v>0</v>
      </c>
      <c r="K268" s="54">
        <v>1</v>
      </c>
      <c r="L268" s="54">
        <v>1</v>
      </c>
      <c r="M268" s="54">
        <v>0</v>
      </c>
      <c r="N268" s="54">
        <v>2</v>
      </c>
      <c r="O268" s="72">
        <f t="shared" si="9"/>
        <v>508</v>
      </c>
      <c r="P268" s="26">
        <v>0</v>
      </c>
      <c r="Q268" s="26">
        <f t="shared" si="8"/>
        <v>508</v>
      </c>
      <c r="R268" s="26">
        <v>0</v>
      </c>
    </row>
    <row r="269" spans="1:18" ht="22.5">
      <c r="A269" s="41">
        <v>260</v>
      </c>
      <c r="B269" s="61" t="s">
        <v>385</v>
      </c>
      <c r="C269" s="54">
        <v>3</v>
      </c>
      <c r="D269" s="54">
        <v>8</v>
      </c>
      <c r="E269" s="54">
        <v>472</v>
      </c>
      <c r="F269" s="54">
        <v>2</v>
      </c>
      <c r="G269" s="54">
        <v>0</v>
      </c>
      <c r="H269" s="54">
        <v>0</v>
      </c>
      <c r="I269" s="54">
        <v>1</v>
      </c>
      <c r="J269" s="54">
        <v>0</v>
      </c>
      <c r="K269" s="54">
        <v>1</v>
      </c>
      <c r="L269" s="54">
        <v>0</v>
      </c>
      <c r="M269" s="54">
        <v>0</v>
      </c>
      <c r="N269" s="54">
        <v>0</v>
      </c>
      <c r="O269" s="72">
        <f t="shared" si="9"/>
        <v>487</v>
      </c>
      <c r="P269" s="26">
        <v>0</v>
      </c>
      <c r="Q269" s="26">
        <f t="shared" si="8"/>
        <v>487</v>
      </c>
      <c r="R269" s="26">
        <v>0</v>
      </c>
    </row>
    <row r="270" spans="1:18" ht="22.5">
      <c r="A270" s="41">
        <v>261</v>
      </c>
      <c r="B270" s="61" t="s">
        <v>386</v>
      </c>
      <c r="C270" s="54">
        <v>103</v>
      </c>
      <c r="D270" s="54">
        <v>24</v>
      </c>
      <c r="E270" s="54">
        <v>211</v>
      </c>
      <c r="F270" s="54">
        <v>2</v>
      </c>
      <c r="G270" s="54">
        <v>0</v>
      </c>
      <c r="H270" s="54">
        <v>0</v>
      </c>
      <c r="I270" s="54">
        <v>0</v>
      </c>
      <c r="J270" s="54">
        <v>0</v>
      </c>
      <c r="K270" s="54">
        <v>0</v>
      </c>
      <c r="L270" s="54">
        <v>4</v>
      </c>
      <c r="M270" s="54">
        <v>0</v>
      </c>
      <c r="N270" s="54">
        <v>3</v>
      </c>
      <c r="O270" s="72">
        <f t="shared" si="9"/>
        <v>347</v>
      </c>
      <c r="P270" s="26">
        <v>0</v>
      </c>
      <c r="Q270" s="26">
        <f t="shared" si="8"/>
        <v>347</v>
      </c>
      <c r="R270" s="26">
        <v>0</v>
      </c>
    </row>
    <row r="271" spans="1:18" ht="22.5">
      <c r="A271" s="41">
        <v>262</v>
      </c>
      <c r="B271" s="61" t="s">
        <v>387</v>
      </c>
      <c r="C271" s="54">
        <v>10</v>
      </c>
      <c r="D271" s="54">
        <v>290</v>
      </c>
      <c r="E271" s="54">
        <v>533</v>
      </c>
      <c r="F271" s="54">
        <v>2</v>
      </c>
      <c r="G271" s="54">
        <v>2</v>
      </c>
      <c r="H271" s="54">
        <v>0</v>
      </c>
      <c r="I271" s="54">
        <v>0</v>
      </c>
      <c r="J271" s="54">
        <v>0</v>
      </c>
      <c r="K271" s="54">
        <v>1</v>
      </c>
      <c r="L271" s="54">
        <v>8</v>
      </c>
      <c r="M271" s="54">
        <v>2</v>
      </c>
      <c r="N271" s="54">
        <v>1</v>
      </c>
      <c r="O271" s="72">
        <f t="shared" si="9"/>
        <v>849</v>
      </c>
      <c r="P271" s="26">
        <v>0</v>
      </c>
      <c r="Q271" s="26">
        <f t="shared" si="8"/>
        <v>849</v>
      </c>
      <c r="R271" s="26">
        <v>0</v>
      </c>
    </row>
    <row r="272" spans="1:18" ht="22.5">
      <c r="A272" s="41">
        <v>263</v>
      </c>
      <c r="B272" s="61" t="s">
        <v>388</v>
      </c>
      <c r="C272" s="54">
        <v>4</v>
      </c>
      <c r="D272" s="54">
        <v>207</v>
      </c>
      <c r="E272" s="54">
        <v>566</v>
      </c>
      <c r="F272" s="54">
        <v>5</v>
      </c>
      <c r="G272" s="54">
        <v>0</v>
      </c>
      <c r="H272" s="54">
        <v>1</v>
      </c>
      <c r="I272" s="54">
        <v>1</v>
      </c>
      <c r="J272" s="54">
        <v>3</v>
      </c>
      <c r="K272" s="54">
        <v>2</v>
      </c>
      <c r="L272" s="54">
        <v>3</v>
      </c>
      <c r="M272" s="54">
        <v>0</v>
      </c>
      <c r="N272" s="54">
        <v>4</v>
      </c>
      <c r="O272" s="72">
        <f t="shared" si="9"/>
        <v>796</v>
      </c>
      <c r="P272" s="26">
        <v>0</v>
      </c>
      <c r="Q272" s="26">
        <f t="shared" si="8"/>
        <v>796</v>
      </c>
      <c r="R272" s="26">
        <v>0</v>
      </c>
    </row>
    <row r="273" spans="1:18" ht="22.5">
      <c r="A273" s="41">
        <v>264</v>
      </c>
      <c r="B273" s="61" t="s">
        <v>389</v>
      </c>
      <c r="C273" s="54">
        <v>10</v>
      </c>
      <c r="D273" s="54">
        <v>244</v>
      </c>
      <c r="E273" s="54">
        <v>315</v>
      </c>
      <c r="F273" s="54">
        <v>5</v>
      </c>
      <c r="G273" s="54">
        <v>1</v>
      </c>
      <c r="H273" s="54">
        <v>1</v>
      </c>
      <c r="I273" s="54">
        <v>0</v>
      </c>
      <c r="J273" s="54">
        <v>0</v>
      </c>
      <c r="K273" s="54">
        <v>2</v>
      </c>
      <c r="L273" s="54">
        <v>6</v>
      </c>
      <c r="M273" s="54">
        <v>1</v>
      </c>
      <c r="N273" s="54">
        <v>0</v>
      </c>
      <c r="O273" s="72">
        <f t="shared" si="9"/>
        <v>585</v>
      </c>
      <c r="P273" s="26">
        <v>0</v>
      </c>
      <c r="Q273" s="26">
        <f t="shared" si="8"/>
        <v>585</v>
      </c>
      <c r="R273" s="26">
        <v>0</v>
      </c>
    </row>
    <row r="274" spans="1:18" ht="22.5">
      <c r="A274" s="41">
        <v>265</v>
      </c>
      <c r="B274" s="61" t="s">
        <v>390</v>
      </c>
      <c r="C274" s="54">
        <v>30</v>
      </c>
      <c r="D274" s="54">
        <v>518</v>
      </c>
      <c r="E274" s="54">
        <v>223</v>
      </c>
      <c r="F274" s="54">
        <v>7</v>
      </c>
      <c r="G274" s="54">
        <v>1</v>
      </c>
      <c r="H274" s="54">
        <v>0</v>
      </c>
      <c r="I274" s="54">
        <v>0</v>
      </c>
      <c r="J274" s="54">
        <v>1</v>
      </c>
      <c r="K274" s="54">
        <v>10</v>
      </c>
      <c r="L274" s="54">
        <v>5</v>
      </c>
      <c r="M274" s="54">
        <v>1</v>
      </c>
      <c r="N274" s="54">
        <v>1</v>
      </c>
      <c r="O274" s="72">
        <f t="shared" si="9"/>
        <v>797</v>
      </c>
      <c r="P274" s="26">
        <v>0</v>
      </c>
      <c r="Q274" s="26">
        <f t="shared" si="8"/>
        <v>797</v>
      </c>
      <c r="R274" s="26">
        <v>0</v>
      </c>
    </row>
    <row r="275" spans="1:18" ht="22.5">
      <c r="A275" s="41">
        <v>266</v>
      </c>
      <c r="B275" s="61" t="s">
        <v>391</v>
      </c>
      <c r="C275" s="54">
        <v>36</v>
      </c>
      <c r="D275" s="54">
        <v>359</v>
      </c>
      <c r="E275" s="54">
        <v>48</v>
      </c>
      <c r="F275" s="54">
        <v>6</v>
      </c>
      <c r="G275" s="54">
        <v>0</v>
      </c>
      <c r="H275" s="54">
        <v>0</v>
      </c>
      <c r="I275" s="54">
        <v>0</v>
      </c>
      <c r="J275" s="54">
        <v>0</v>
      </c>
      <c r="K275" s="54">
        <v>1</v>
      </c>
      <c r="L275" s="54">
        <v>1</v>
      </c>
      <c r="M275" s="54">
        <v>1</v>
      </c>
      <c r="N275" s="54">
        <v>1</v>
      </c>
      <c r="O275" s="72">
        <f t="shared" si="9"/>
        <v>453</v>
      </c>
      <c r="P275" s="26">
        <v>0</v>
      </c>
      <c r="Q275" s="26">
        <f t="shared" si="8"/>
        <v>453</v>
      </c>
      <c r="R275" s="26">
        <v>0</v>
      </c>
    </row>
    <row r="276" spans="1:18" ht="22.5">
      <c r="A276" s="41">
        <v>267</v>
      </c>
      <c r="B276" s="62" t="s">
        <v>392</v>
      </c>
      <c r="C276" s="54">
        <f t="array" ref="C276:N289">TRANSPOSE(Constiuence!C646:P657)</f>
        <v>303</v>
      </c>
      <c r="D276" s="54">
        <v>151</v>
      </c>
      <c r="E276" s="54">
        <v>59</v>
      </c>
      <c r="F276" s="54">
        <v>9</v>
      </c>
      <c r="G276" s="54">
        <v>2</v>
      </c>
      <c r="H276" s="54">
        <v>1</v>
      </c>
      <c r="I276" s="54">
        <v>0</v>
      </c>
      <c r="J276" s="54">
        <v>0</v>
      </c>
      <c r="K276" s="54">
        <v>11</v>
      </c>
      <c r="L276" s="54">
        <v>0</v>
      </c>
      <c r="M276" s="54">
        <v>2</v>
      </c>
      <c r="N276" s="54">
        <v>2</v>
      </c>
      <c r="O276" s="72">
        <f t="shared" si="9"/>
        <v>540</v>
      </c>
      <c r="P276" s="26">
        <v>0</v>
      </c>
      <c r="Q276" s="26">
        <f t="shared" si="8"/>
        <v>540</v>
      </c>
      <c r="R276" s="26">
        <v>0</v>
      </c>
    </row>
    <row r="277" spans="1:18" ht="22.5">
      <c r="A277" s="41">
        <v>268</v>
      </c>
      <c r="B277" s="62" t="s">
        <v>393</v>
      </c>
      <c r="C277" s="54">
        <v>386</v>
      </c>
      <c r="D277" s="54">
        <v>43</v>
      </c>
      <c r="E277" s="54">
        <v>96</v>
      </c>
      <c r="F277" s="54">
        <v>2</v>
      </c>
      <c r="G277" s="54">
        <v>0</v>
      </c>
      <c r="H277" s="54">
        <v>0</v>
      </c>
      <c r="I277" s="54">
        <v>0</v>
      </c>
      <c r="J277" s="54">
        <v>0</v>
      </c>
      <c r="K277" s="54">
        <v>0</v>
      </c>
      <c r="L277" s="54">
        <v>2</v>
      </c>
      <c r="M277" s="54">
        <v>0</v>
      </c>
      <c r="N277" s="54">
        <v>4</v>
      </c>
      <c r="O277" s="72">
        <f t="shared" si="9"/>
        <v>533</v>
      </c>
      <c r="P277" s="26">
        <v>0</v>
      </c>
      <c r="Q277" s="26">
        <f t="shared" si="8"/>
        <v>533</v>
      </c>
      <c r="R277" s="26">
        <v>0</v>
      </c>
    </row>
    <row r="278" spans="1:18" ht="22.5">
      <c r="A278" s="41">
        <v>269</v>
      </c>
      <c r="B278" s="62" t="s">
        <v>394</v>
      </c>
      <c r="C278" s="54">
        <v>202</v>
      </c>
      <c r="D278" s="54">
        <v>95</v>
      </c>
      <c r="E278" s="54">
        <v>221</v>
      </c>
      <c r="F278" s="54">
        <v>8</v>
      </c>
      <c r="G278" s="54">
        <v>1</v>
      </c>
      <c r="H278" s="54">
        <v>0</v>
      </c>
      <c r="I278" s="54">
        <v>1</v>
      </c>
      <c r="J278" s="54">
        <v>1</v>
      </c>
      <c r="K278" s="54">
        <v>0</v>
      </c>
      <c r="L278" s="54">
        <v>2</v>
      </c>
      <c r="M278" s="54">
        <v>0</v>
      </c>
      <c r="N278" s="54">
        <v>5</v>
      </c>
      <c r="O278" s="72">
        <f t="shared" si="9"/>
        <v>536</v>
      </c>
      <c r="P278" s="26">
        <v>0</v>
      </c>
      <c r="Q278" s="26">
        <f t="shared" si="8"/>
        <v>536</v>
      </c>
      <c r="R278" s="26">
        <v>0</v>
      </c>
    </row>
    <row r="279" spans="1:18" ht="22.5">
      <c r="A279" s="41">
        <v>270</v>
      </c>
      <c r="B279" s="62" t="s">
        <v>395</v>
      </c>
      <c r="C279" s="54">
        <v>415</v>
      </c>
      <c r="D279" s="54">
        <v>12</v>
      </c>
      <c r="E279" s="54">
        <v>76</v>
      </c>
      <c r="F279" s="54">
        <v>3</v>
      </c>
      <c r="G279" s="54">
        <v>0</v>
      </c>
      <c r="H279" s="54">
        <v>0</v>
      </c>
      <c r="I279" s="54">
        <v>0</v>
      </c>
      <c r="J279" s="54">
        <v>4</v>
      </c>
      <c r="K279" s="54">
        <v>0</v>
      </c>
      <c r="L279" s="54">
        <v>3</v>
      </c>
      <c r="M279" s="54">
        <v>4</v>
      </c>
      <c r="N279" s="54">
        <v>3</v>
      </c>
      <c r="O279" s="72">
        <f t="shared" si="9"/>
        <v>520</v>
      </c>
      <c r="P279" s="26">
        <v>0</v>
      </c>
      <c r="Q279" s="26">
        <f t="shared" si="8"/>
        <v>520</v>
      </c>
      <c r="R279" s="26">
        <v>0</v>
      </c>
    </row>
    <row r="280" spans="1:18" ht="22.5">
      <c r="A280" s="41">
        <v>271</v>
      </c>
      <c r="B280" s="62" t="s">
        <v>396</v>
      </c>
      <c r="C280" s="54">
        <v>82</v>
      </c>
      <c r="D280" s="54">
        <v>14</v>
      </c>
      <c r="E280" s="54">
        <v>358</v>
      </c>
      <c r="F280" s="54">
        <v>2</v>
      </c>
      <c r="G280" s="54">
        <v>4</v>
      </c>
      <c r="H280" s="54">
        <v>0</v>
      </c>
      <c r="I280" s="54">
        <v>2</v>
      </c>
      <c r="J280" s="54">
        <v>0</v>
      </c>
      <c r="K280" s="54">
        <v>1</v>
      </c>
      <c r="L280" s="54">
        <v>7</v>
      </c>
      <c r="M280" s="54">
        <v>0</v>
      </c>
      <c r="N280" s="54">
        <v>3</v>
      </c>
      <c r="O280" s="72">
        <f t="shared" si="9"/>
        <v>473</v>
      </c>
      <c r="P280" s="26">
        <v>0</v>
      </c>
      <c r="Q280" s="26">
        <f t="shared" si="8"/>
        <v>473</v>
      </c>
      <c r="R280" s="26">
        <v>0</v>
      </c>
    </row>
    <row r="281" spans="1:18" ht="22.5">
      <c r="A281" s="41">
        <v>272</v>
      </c>
      <c r="B281" s="61" t="s">
        <v>397</v>
      </c>
      <c r="C281" s="54">
        <v>124</v>
      </c>
      <c r="D281" s="54">
        <v>197</v>
      </c>
      <c r="E281" s="54">
        <v>184</v>
      </c>
      <c r="F281" s="54">
        <v>6</v>
      </c>
      <c r="G281" s="54">
        <v>1</v>
      </c>
      <c r="H281" s="54">
        <v>0</v>
      </c>
      <c r="I281" s="54">
        <v>0</v>
      </c>
      <c r="J281" s="54">
        <v>0</v>
      </c>
      <c r="K281" s="54">
        <v>3</v>
      </c>
      <c r="L281" s="54">
        <v>3</v>
      </c>
      <c r="M281" s="54">
        <v>4</v>
      </c>
      <c r="N281" s="54">
        <v>5</v>
      </c>
      <c r="O281" s="72">
        <f t="shared" si="9"/>
        <v>527</v>
      </c>
      <c r="P281" s="26">
        <v>0</v>
      </c>
      <c r="Q281" s="26">
        <f t="shared" si="8"/>
        <v>527</v>
      </c>
      <c r="R281" s="26">
        <v>0</v>
      </c>
    </row>
    <row r="282" spans="1:18" ht="22.5">
      <c r="A282" s="41">
        <v>273</v>
      </c>
      <c r="B282" s="61" t="s">
        <v>398</v>
      </c>
      <c r="C282" s="54">
        <v>7</v>
      </c>
      <c r="D282" s="54">
        <v>29</v>
      </c>
      <c r="E282" s="54">
        <v>766</v>
      </c>
      <c r="F282" s="54">
        <v>8</v>
      </c>
      <c r="G282" s="54">
        <v>0</v>
      </c>
      <c r="H282" s="54">
        <v>0</v>
      </c>
      <c r="I282" s="54">
        <v>0</v>
      </c>
      <c r="J282" s="54">
        <v>1</v>
      </c>
      <c r="K282" s="54">
        <v>2</v>
      </c>
      <c r="L282" s="54">
        <v>2</v>
      </c>
      <c r="M282" s="54">
        <v>0</v>
      </c>
      <c r="N282" s="54">
        <v>5</v>
      </c>
      <c r="O282" s="72">
        <f t="shared" si="9"/>
        <v>820</v>
      </c>
      <c r="P282" s="26">
        <v>0</v>
      </c>
      <c r="Q282" s="26">
        <f t="shared" si="8"/>
        <v>820</v>
      </c>
      <c r="R282" s="26">
        <v>0</v>
      </c>
    </row>
    <row r="283" spans="1:18" ht="22.5">
      <c r="A283" s="41">
        <v>274</v>
      </c>
      <c r="B283" s="61" t="s">
        <v>399</v>
      </c>
      <c r="C283" s="54">
        <v>6</v>
      </c>
      <c r="D283" s="54">
        <v>9</v>
      </c>
      <c r="E283" s="54">
        <v>498</v>
      </c>
      <c r="F283" s="54">
        <v>6</v>
      </c>
      <c r="G283" s="54">
        <v>0</v>
      </c>
      <c r="H283" s="54">
        <v>0</v>
      </c>
      <c r="I283" s="54">
        <v>2</v>
      </c>
      <c r="J283" s="54">
        <v>0</v>
      </c>
      <c r="K283" s="54">
        <v>0</v>
      </c>
      <c r="L283" s="54">
        <v>6</v>
      </c>
      <c r="M283" s="54">
        <v>0</v>
      </c>
      <c r="N283" s="54">
        <v>2</v>
      </c>
      <c r="O283" s="72">
        <f t="shared" si="9"/>
        <v>529</v>
      </c>
      <c r="P283" s="26">
        <v>0</v>
      </c>
      <c r="Q283" s="26">
        <f t="shared" si="8"/>
        <v>529</v>
      </c>
      <c r="R283" s="26">
        <v>0</v>
      </c>
    </row>
    <row r="284" spans="1:18" ht="22.5">
      <c r="A284" s="41">
        <v>275</v>
      </c>
      <c r="B284" s="61" t="s">
        <v>400</v>
      </c>
      <c r="C284" s="54">
        <v>16</v>
      </c>
      <c r="D284" s="54">
        <v>15</v>
      </c>
      <c r="E284" s="54">
        <v>416</v>
      </c>
      <c r="F284" s="54">
        <v>5</v>
      </c>
      <c r="G284" s="54">
        <v>0</v>
      </c>
      <c r="H284" s="54">
        <v>0</v>
      </c>
      <c r="I284" s="54">
        <v>0</v>
      </c>
      <c r="J284" s="54">
        <v>0</v>
      </c>
      <c r="K284" s="54">
        <v>0</v>
      </c>
      <c r="L284" s="54">
        <v>0</v>
      </c>
      <c r="M284" s="54">
        <v>0</v>
      </c>
      <c r="N284" s="54">
        <v>0</v>
      </c>
      <c r="O284" s="72">
        <f t="shared" si="9"/>
        <v>452</v>
      </c>
      <c r="P284" s="26">
        <v>0</v>
      </c>
      <c r="Q284" s="26">
        <f t="shared" si="8"/>
        <v>452</v>
      </c>
      <c r="R284" s="26">
        <v>0</v>
      </c>
    </row>
    <row r="285" spans="1:18" ht="22.5">
      <c r="A285" s="41">
        <v>276</v>
      </c>
      <c r="B285" s="61" t="s">
        <v>401</v>
      </c>
      <c r="C285" s="54">
        <v>18</v>
      </c>
      <c r="D285" s="54">
        <v>25</v>
      </c>
      <c r="E285" s="54">
        <v>699</v>
      </c>
      <c r="F285" s="54">
        <v>4</v>
      </c>
      <c r="G285" s="54">
        <v>0</v>
      </c>
      <c r="H285" s="54">
        <v>0</v>
      </c>
      <c r="I285" s="54">
        <v>0</v>
      </c>
      <c r="J285" s="54">
        <v>1</v>
      </c>
      <c r="K285" s="54">
        <v>0</v>
      </c>
      <c r="L285" s="54">
        <v>5</v>
      </c>
      <c r="M285" s="54">
        <v>0</v>
      </c>
      <c r="N285" s="54">
        <v>0</v>
      </c>
      <c r="O285" s="72">
        <f t="shared" si="9"/>
        <v>752</v>
      </c>
      <c r="P285" s="26">
        <v>0</v>
      </c>
      <c r="Q285" s="26">
        <f t="shared" si="8"/>
        <v>752</v>
      </c>
      <c r="R285" s="26">
        <v>0</v>
      </c>
    </row>
    <row r="286" spans="1:18" ht="22.5">
      <c r="A286" s="41">
        <v>277</v>
      </c>
      <c r="B286" s="61" t="s">
        <v>402</v>
      </c>
      <c r="C286" s="54">
        <v>68</v>
      </c>
      <c r="D286" s="54">
        <v>9</v>
      </c>
      <c r="E286" s="54">
        <v>191</v>
      </c>
      <c r="F286" s="54">
        <v>1</v>
      </c>
      <c r="G286" s="54">
        <v>2</v>
      </c>
      <c r="H286" s="54">
        <v>0</v>
      </c>
      <c r="I286" s="54">
        <v>0</v>
      </c>
      <c r="J286" s="54">
        <v>0</v>
      </c>
      <c r="K286" s="54">
        <v>0</v>
      </c>
      <c r="L286" s="54">
        <v>0</v>
      </c>
      <c r="M286" s="54">
        <v>0</v>
      </c>
      <c r="N286" s="54">
        <v>4</v>
      </c>
      <c r="O286" s="72">
        <f t="shared" si="9"/>
        <v>275</v>
      </c>
      <c r="P286" s="26">
        <v>0</v>
      </c>
      <c r="Q286" s="26">
        <f t="shared" si="8"/>
        <v>275</v>
      </c>
      <c r="R286" s="26">
        <v>0</v>
      </c>
    </row>
    <row r="287" spans="1:18" ht="22.5">
      <c r="A287" s="41">
        <v>278</v>
      </c>
      <c r="B287" s="61" t="s">
        <v>403</v>
      </c>
      <c r="C287" s="54">
        <v>44</v>
      </c>
      <c r="D287" s="54">
        <v>430</v>
      </c>
      <c r="E287" s="54">
        <v>33</v>
      </c>
      <c r="F287" s="54">
        <v>1</v>
      </c>
      <c r="G287" s="54">
        <v>1</v>
      </c>
      <c r="H287" s="54">
        <v>1</v>
      </c>
      <c r="I287" s="54">
        <v>0</v>
      </c>
      <c r="J287" s="54">
        <v>0</v>
      </c>
      <c r="K287" s="54">
        <v>19</v>
      </c>
      <c r="L287" s="54">
        <v>1</v>
      </c>
      <c r="M287" s="54">
        <v>3</v>
      </c>
      <c r="N287" s="54">
        <v>4</v>
      </c>
      <c r="O287" s="72">
        <f t="shared" si="9"/>
        <v>537</v>
      </c>
      <c r="P287" s="26">
        <v>0</v>
      </c>
      <c r="Q287" s="26">
        <f t="shared" si="8"/>
        <v>537</v>
      </c>
      <c r="R287" s="26">
        <v>0</v>
      </c>
    </row>
    <row r="288" spans="1:18" ht="22.5">
      <c r="A288" s="41">
        <v>279</v>
      </c>
      <c r="B288" s="61" t="s">
        <v>404</v>
      </c>
      <c r="C288" s="54">
        <v>4</v>
      </c>
      <c r="D288" s="54">
        <v>63</v>
      </c>
      <c r="E288" s="54">
        <v>396</v>
      </c>
      <c r="F288" s="54">
        <v>1</v>
      </c>
      <c r="G288" s="54">
        <v>0</v>
      </c>
      <c r="H288" s="54">
        <v>0</v>
      </c>
      <c r="I288" s="54">
        <v>1</v>
      </c>
      <c r="J288" s="54">
        <v>1</v>
      </c>
      <c r="K288" s="54">
        <v>0</v>
      </c>
      <c r="L288" s="54">
        <v>1</v>
      </c>
      <c r="M288" s="54">
        <v>0</v>
      </c>
      <c r="N288" s="54">
        <v>0</v>
      </c>
      <c r="O288" s="72">
        <f t="shared" si="9"/>
        <v>467</v>
      </c>
      <c r="P288" s="26">
        <v>0</v>
      </c>
      <c r="Q288" s="26">
        <f t="shared" si="8"/>
        <v>467</v>
      </c>
      <c r="R288" s="26">
        <v>0</v>
      </c>
    </row>
    <row r="289" spans="1:18" ht="22.5">
      <c r="A289" s="41">
        <v>280</v>
      </c>
      <c r="B289" s="61" t="s">
        <v>405</v>
      </c>
      <c r="C289" s="54">
        <v>36</v>
      </c>
      <c r="D289" s="54">
        <v>585</v>
      </c>
      <c r="E289" s="54">
        <v>2</v>
      </c>
      <c r="F289" s="54">
        <v>3</v>
      </c>
      <c r="G289" s="54">
        <v>0</v>
      </c>
      <c r="H289" s="54">
        <v>0</v>
      </c>
      <c r="I289" s="54">
        <v>0</v>
      </c>
      <c r="J289" s="54">
        <v>0</v>
      </c>
      <c r="K289" s="54">
        <v>20</v>
      </c>
      <c r="L289" s="54">
        <v>2</v>
      </c>
      <c r="M289" s="54">
        <v>2</v>
      </c>
      <c r="N289" s="54">
        <v>0</v>
      </c>
      <c r="O289" s="72">
        <f t="shared" si="9"/>
        <v>650</v>
      </c>
      <c r="P289" s="26">
        <v>0</v>
      </c>
      <c r="Q289" s="26">
        <f t="shared" si="8"/>
        <v>650</v>
      </c>
      <c r="R289" s="26">
        <v>0</v>
      </c>
    </row>
    <row r="290" spans="1:18" ht="22.5">
      <c r="A290" s="41">
        <v>281</v>
      </c>
      <c r="B290" s="61" t="s">
        <v>406</v>
      </c>
      <c r="C290" s="54">
        <f t="array" ref="C290:N303">TRANSPOSE(Constiuence!C680:P691)</f>
        <v>61</v>
      </c>
      <c r="D290" s="54">
        <v>702</v>
      </c>
      <c r="E290" s="54">
        <v>27</v>
      </c>
      <c r="F290" s="54">
        <v>32</v>
      </c>
      <c r="G290" s="54">
        <v>0</v>
      </c>
      <c r="H290" s="54">
        <v>0</v>
      </c>
      <c r="I290" s="54">
        <v>3</v>
      </c>
      <c r="J290" s="54">
        <v>0</v>
      </c>
      <c r="K290" s="54">
        <v>19</v>
      </c>
      <c r="L290" s="54">
        <v>5</v>
      </c>
      <c r="M290" s="54">
        <v>1</v>
      </c>
      <c r="N290" s="54">
        <v>3</v>
      </c>
      <c r="O290" s="72">
        <f t="shared" si="9"/>
        <v>853</v>
      </c>
      <c r="P290" s="26">
        <v>0</v>
      </c>
      <c r="Q290" s="26">
        <f t="shared" si="8"/>
        <v>853</v>
      </c>
      <c r="R290" s="26">
        <v>0</v>
      </c>
    </row>
    <row r="291" spans="1:18" ht="22.5">
      <c r="A291" s="41">
        <v>282</v>
      </c>
      <c r="B291" s="61" t="s">
        <v>407</v>
      </c>
      <c r="C291" s="54">
        <v>7</v>
      </c>
      <c r="D291" s="54">
        <v>532</v>
      </c>
      <c r="E291" s="54">
        <v>3</v>
      </c>
      <c r="F291" s="54">
        <v>4</v>
      </c>
      <c r="G291" s="54">
        <v>0</v>
      </c>
      <c r="H291" s="54">
        <v>0</v>
      </c>
      <c r="I291" s="54">
        <v>0</v>
      </c>
      <c r="J291" s="54">
        <v>0</v>
      </c>
      <c r="K291" s="54">
        <v>34</v>
      </c>
      <c r="L291" s="54">
        <v>1</v>
      </c>
      <c r="M291" s="54">
        <v>0</v>
      </c>
      <c r="N291" s="54">
        <v>1</v>
      </c>
      <c r="O291" s="72">
        <f t="shared" si="9"/>
        <v>582</v>
      </c>
      <c r="P291" s="26">
        <v>0</v>
      </c>
      <c r="Q291" s="26">
        <f t="shared" si="8"/>
        <v>582</v>
      </c>
      <c r="R291" s="26">
        <v>0</v>
      </c>
    </row>
    <row r="292" spans="1:18" ht="22.5">
      <c r="A292" s="41">
        <v>283</v>
      </c>
      <c r="B292" s="61" t="s">
        <v>408</v>
      </c>
      <c r="C292" s="54">
        <v>11</v>
      </c>
      <c r="D292" s="54">
        <v>587</v>
      </c>
      <c r="E292" s="54">
        <v>12</v>
      </c>
      <c r="F292" s="54">
        <v>9</v>
      </c>
      <c r="G292" s="54">
        <v>0</v>
      </c>
      <c r="H292" s="54">
        <v>0</v>
      </c>
      <c r="I292" s="54">
        <v>1</v>
      </c>
      <c r="J292" s="54">
        <v>0</v>
      </c>
      <c r="K292" s="54">
        <v>13</v>
      </c>
      <c r="L292" s="54">
        <v>2</v>
      </c>
      <c r="M292" s="54">
        <v>0</v>
      </c>
      <c r="N292" s="54">
        <v>2</v>
      </c>
      <c r="O292" s="72">
        <f t="shared" si="9"/>
        <v>637</v>
      </c>
      <c r="P292" s="26">
        <v>0</v>
      </c>
      <c r="Q292" s="26">
        <f t="shared" si="8"/>
        <v>637</v>
      </c>
      <c r="R292" s="26">
        <v>0</v>
      </c>
    </row>
    <row r="293" spans="1:18" ht="22.5">
      <c r="A293" s="41">
        <v>284</v>
      </c>
      <c r="B293" s="61" t="s">
        <v>409</v>
      </c>
      <c r="C293" s="54">
        <v>7</v>
      </c>
      <c r="D293" s="54">
        <v>135</v>
      </c>
      <c r="E293" s="54">
        <v>484</v>
      </c>
      <c r="F293" s="54">
        <v>2</v>
      </c>
      <c r="G293" s="54">
        <v>0</v>
      </c>
      <c r="H293" s="54">
        <v>0</v>
      </c>
      <c r="I293" s="54">
        <v>0</v>
      </c>
      <c r="J293" s="54">
        <v>0</v>
      </c>
      <c r="K293" s="54">
        <v>2</v>
      </c>
      <c r="L293" s="54">
        <v>2</v>
      </c>
      <c r="M293" s="54">
        <v>1</v>
      </c>
      <c r="N293" s="54">
        <v>1</v>
      </c>
      <c r="O293" s="72">
        <f t="shared" si="9"/>
        <v>634</v>
      </c>
      <c r="P293" s="26">
        <v>0</v>
      </c>
      <c r="Q293" s="26">
        <f t="shared" si="8"/>
        <v>634</v>
      </c>
      <c r="R293" s="26">
        <v>0</v>
      </c>
    </row>
    <row r="294" spans="1:18" ht="22.5">
      <c r="A294" s="41">
        <v>285</v>
      </c>
      <c r="B294" s="61" t="s">
        <v>410</v>
      </c>
      <c r="C294" s="54">
        <v>12</v>
      </c>
      <c r="D294" s="54">
        <v>478</v>
      </c>
      <c r="E294" s="54">
        <v>27</v>
      </c>
      <c r="F294" s="54">
        <v>7</v>
      </c>
      <c r="G294" s="54">
        <v>0</v>
      </c>
      <c r="H294" s="54">
        <v>0</v>
      </c>
      <c r="I294" s="54">
        <v>0</v>
      </c>
      <c r="J294" s="54">
        <v>0</v>
      </c>
      <c r="K294" s="54">
        <v>3</v>
      </c>
      <c r="L294" s="54">
        <v>3</v>
      </c>
      <c r="M294" s="54">
        <v>1</v>
      </c>
      <c r="N294" s="54">
        <v>4</v>
      </c>
      <c r="O294" s="72">
        <f t="shared" si="9"/>
        <v>535</v>
      </c>
      <c r="P294" s="26">
        <v>0</v>
      </c>
      <c r="Q294" s="26">
        <f t="shared" si="8"/>
        <v>535</v>
      </c>
      <c r="R294" s="26">
        <v>0</v>
      </c>
    </row>
    <row r="295" spans="1:18" ht="22.5">
      <c r="A295" s="41">
        <v>286</v>
      </c>
      <c r="B295" s="61" t="s">
        <v>411</v>
      </c>
      <c r="C295" s="54">
        <v>24</v>
      </c>
      <c r="D295" s="54">
        <v>377</v>
      </c>
      <c r="E295" s="54">
        <v>159</v>
      </c>
      <c r="F295" s="54">
        <v>6</v>
      </c>
      <c r="G295" s="54">
        <v>0</v>
      </c>
      <c r="H295" s="54">
        <v>0</v>
      </c>
      <c r="I295" s="54">
        <v>0</v>
      </c>
      <c r="J295" s="54">
        <v>3</v>
      </c>
      <c r="K295" s="54">
        <v>3</v>
      </c>
      <c r="L295" s="54">
        <v>1</v>
      </c>
      <c r="M295" s="54">
        <v>2</v>
      </c>
      <c r="N295" s="54">
        <v>0</v>
      </c>
      <c r="O295" s="72">
        <f t="shared" si="9"/>
        <v>575</v>
      </c>
      <c r="P295" s="26">
        <v>0</v>
      </c>
      <c r="Q295" s="26">
        <f t="shared" si="8"/>
        <v>575</v>
      </c>
      <c r="R295" s="26">
        <v>0</v>
      </c>
    </row>
    <row r="296" spans="1:18" ht="22.5">
      <c r="A296" s="41">
        <v>287</v>
      </c>
      <c r="B296" s="61" t="s">
        <v>412</v>
      </c>
      <c r="C296" s="54">
        <v>34</v>
      </c>
      <c r="D296" s="54">
        <v>84</v>
      </c>
      <c r="E296" s="54">
        <v>582</v>
      </c>
      <c r="F296" s="54">
        <v>2</v>
      </c>
      <c r="G296" s="54">
        <v>3</v>
      </c>
      <c r="H296" s="54">
        <v>0</v>
      </c>
      <c r="I296" s="54">
        <v>0</v>
      </c>
      <c r="J296" s="54">
        <v>1</v>
      </c>
      <c r="K296" s="54">
        <v>3</v>
      </c>
      <c r="L296" s="54">
        <v>5</v>
      </c>
      <c r="M296" s="54">
        <v>0</v>
      </c>
      <c r="N296" s="54">
        <v>2</v>
      </c>
      <c r="O296" s="72">
        <f t="shared" si="9"/>
        <v>716</v>
      </c>
      <c r="P296" s="26">
        <v>0</v>
      </c>
      <c r="Q296" s="26">
        <f t="shared" si="8"/>
        <v>716</v>
      </c>
      <c r="R296" s="26">
        <v>0</v>
      </c>
    </row>
    <row r="297" spans="1:18" ht="22.5">
      <c r="A297" s="41">
        <v>288</v>
      </c>
      <c r="B297" s="61" t="s">
        <v>413</v>
      </c>
      <c r="C297" s="54">
        <v>9</v>
      </c>
      <c r="D297" s="54">
        <v>430</v>
      </c>
      <c r="E297" s="54">
        <v>34</v>
      </c>
      <c r="F297" s="54">
        <v>1</v>
      </c>
      <c r="G297" s="54">
        <v>0</v>
      </c>
      <c r="H297" s="54">
        <v>0</v>
      </c>
      <c r="I297" s="54">
        <v>1</v>
      </c>
      <c r="J297" s="54">
        <v>0</v>
      </c>
      <c r="K297" s="54">
        <v>2</v>
      </c>
      <c r="L297" s="54">
        <v>1</v>
      </c>
      <c r="M297" s="54">
        <v>2</v>
      </c>
      <c r="N297" s="54">
        <v>2</v>
      </c>
      <c r="O297" s="72">
        <f t="shared" si="9"/>
        <v>482</v>
      </c>
      <c r="P297" s="26">
        <v>0</v>
      </c>
      <c r="Q297" s="26">
        <f t="shared" si="8"/>
        <v>482</v>
      </c>
      <c r="R297" s="26">
        <v>0</v>
      </c>
    </row>
    <row r="298" spans="1:18" ht="22.5">
      <c r="A298" s="41">
        <v>289</v>
      </c>
      <c r="B298" s="62" t="s">
        <v>414</v>
      </c>
      <c r="C298" s="54">
        <v>12</v>
      </c>
      <c r="D298" s="54">
        <v>39</v>
      </c>
      <c r="E298" s="54">
        <v>742</v>
      </c>
      <c r="F298" s="54">
        <v>1</v>
      </c>
      <c r="G298" s="54">
        <v>1</v>
      </c>
      <c r="H298" s="54">
        <v>0</v>
      </c>
      <c r="I298" s="54">
        <v>0</v>
      </c>
      <c r="J298" s="54">
        <v>0</v>
      </c>
      <c r="K298" s="54">
        <v>0</v>
      </c>
      <c r="L298" s="54">
        <v>2</v>
      </c>
      <c r="M298" s="54">
        <v>0</v>
      </c>
      <c r="N298" s="54">
        <v>1</v>
      </c>
      <c r="O298" s="72">
        <f t="shared" si="9"/>
        <v>798</v>
      </c>
      <c r="P298" s="26">
        <v>0</v>
      </c>
      <c r="Q298" s="26">
        <f t="shared" si="8"/>
        <v>798</v>
      </c>
      <c r="R298" s="26">
        <v>0</v>
      </c>
    </row>
    <row r="299" spans="1:18" ht="22.5">
      <c r="A299" s="41">
        <v>290</v>
      </c>
      <c r="B299" s="62" t="s">
        <v>415</v>
      </c>
      <c r="C299" s="54">
        <v>12</v>
      </c>
      <c r="D299" s="54">
        <v>46</v>
      </c>
      <c r="E299" s="54">
        <v>603</v>
      </c>
      <c r="F299" s="54">
        <v>3</v>
      </c>
      <c r="G299" s="54">
        <v>0</v>
      </c>
      <c r="H299" s="54">
        <v>0</v>
      </c>
      <c r="I299" s="54">
        <v>0</v>
      </c>
      <c r="J299" s="54">
        <v>0</v>
      </c>
      <c r="K299" s="54">
        <v>1</v>
      </c>
      <c r="L299" s="54">
        <v>5</v>
      </c>
      <c r="M299" s="54">
        <v>0</v>
      </c>
      <c r="N299" s="54">
        <v>6</v>
      </c>
      <c r="O299" s="72">
        <f t="shared" si="9"/>
        <v>676</v>
      </c>
      <c r="P299" s="26">
        <v>0</v>
      </c>
      <c r="Q299" s="26">
        <f t="shared" si="8"/>
        <v>676</v>
      </c>
      <c r="R299" s="26">
        <v>0</v>
      </c>
    </row>
    <row r="300" spans="1:18" ht="22.5">
      <c r="A300" s="41">
        <v>291</v>
      </c>
      <c r="B300" s="62" t="s">
        <v>416</v>
      </c>
      <c r="C300" s="54">
        <v>17</v>
      </c>
      <c r="D300" s="54">
        <v>23</v>
      </c>
      <c r="E300" s="54">
        <v>523</v>
      </c>
      <c r="F300" s="54">
        <v>1</v>
      </c>
      <c r="G300" s="54">
        <v>0</v>
      </c>
      <c r="H300" s="54">
        <v>0</v>
      </c>
      <c r="I300" s="54">
        <v>1</v>
      </c>
      <c r="J300" s="54">
        <v>0</v>
      </c>
      <c r="K300" s="54">
        <v>0</v>
      </c>
      <c r="L300" s="54">
        <v>2</v>
      </c>
      <c r="M300" s="54">
        <v>0</v>
      </c>
      <c r="N300" s="54">
        <v>2</v>
      </c>
      <c r="O300" s="72">
        <f t="shared" si="9"/>
        <v>569</v>
      </c>
      <c r="P300" s="26">
        <v>0</v>
      </c>
      <c r="Q300" s="26">
        <f t="shared" si="8"/>
        <v>569</v>
      </c>
      <c r="R300" s="26">
        <v>0</v>
      </c>
    </row>
    <row r="301" spans="1:18" ht="22.5">
      <c r="A301" s="41">
        <v>292</v>
      </c>
      <c r="B301" s="62" t="s">
        <v>417</v>
      </c>
      <c r="C301" s="54">
        <v>33</v>
      </c>
      <c r="D301" s="54">
        <v>25</v>
      </c>
      <c r="E301" s="54">
        <v>483</v>
      </c>
      <c r="F301" s="54">
        <v>7</v>
      </c>
      <c r="G301" s="54">
        <v>3</v>
      </c>
      <c r="H301" s="54">
        <v>2</v>
      </c>
      <c r="I301" s="54">
        <v>1</v>
      </c>
      <c r="J301" s="54">
        <v>4</v>
      </c>
      <c r="K301" s="54">
        <v>2</v>
      </c>
      <c r="L301" s="54">
        <v>5</v>
      </c>
      <c r="M301" s="54">
        <v>0</v>
      </c>
      <c r="N301" s="54">
        <v>2</v>
      </c>
      <c r="O301" s="72">
        <f t="shared" si="9"/>
        <v>567</v>
      </c>
      <c r="P301" s="26">
        <v>0</v>
      </c>
      <c r="Q301" s="26">
        <f t="shared" si="8"/>
        <v>567</v>
      </c>
      <c r="R301" s="26">
        <v>0</v>
      </c>
    </row>
    <row r="302" spans="1:18" ht="22.5">
      <c r="A302" s="41">
        <v>293</v>
      </c>
      <c r="B302" s="62" t="s">
        <v>418</v>
      </c>
      <c r="C302" s="54">
        <v>64</v>
      </c>
      <c r="D302" s="54">
        <v>15</v>
      </c>
      <c r="E302" s="54">
        <v>317</v>
      </c>
      <c r="F302" s="54">
        <v>1</v>
      </c>
      <c r="G302" s="54">
        <v>0</v>
      </c>
      <c r="H302" s="54">
        <v>1</v>
      </c>
      <c r="I302" s="54">
        <v>1</v>
      </c>
      <c r="J302" s="54">
        <v>0</v>
      </c>
      <c r="K302" s="54">
        <v>0</v>
      </c>
      <c r="L302" s="54">
        <v>2</v>
      </c>
      <c r="M302" s="54">
        <v>0</v>
      </c>
      <c r="N302" s="54">
        <v>0</v>
      </c>
      <c r="O302" s="72">
        <f t="shared" si="9"/>
        <v>401</v>
      </c>
      <c r="P302" s="26">
        <v>0</v>
      </c>
      <c r="Q302" s="26">
        <f t="shared" si="8"/>
        <v>401</v>
      </c>
      <c r="R302" s="26">
        <v>0</v>
      </c>
    </row>
    <row r="303" spans="1:18">
      <c r="A303" s="41">
        <v>294</v>
      </c>
      <c r="B303" s="61" t="s">
        <v>419</v>
      </c>
      <c r="C303" s="54">
        <v>453</v>
      </c>
      <c r="D303" s="54">
        <v>101</v>
      </c>
      <c r="E303" s="54">
        <v>119</v>
      </c>
      <c r="F303" s="54">
        <v>2</v>
      </c>
      <c r="G303" s="54">
        <v>4</v>
      </c>
      <c r="H303" s="54">
        <v>1</v>
      </c>
      <c r="I303" s="54">
        <v>1</v>
      </c>
      <c r="J303" s="54">
        <v>2</v>
      </c>
      <c r="K303" s="54">
        <v>0</v>
      </c>
      <c r="L303" s="54">
        <v>3</v>
      </c>
      <c r="M303" s="54">
        <v>0</v>
      </c>
      <c r="N303" s="54">
        <v>4</v>
      </c>
      <c r="O303" s="72">
        <f t="shared" si="9"/>
        <v>690</v>
      </c>
      <c r="P303" s="26">
        <v>0</v>
      </c>
      <c r="Q303" s="26">
        <f t="shared" si="8"/>
        <v>690</v>
      </c>
      <c r="R303" s="26">
        <v>0</v>
      </c>
    </row>
    <row r="304" spans="1:18">
      <c r="A304" s="41">
        <v>295</v>
      </c>
      <c r="B304" s="61" t="s">
        <v>420</v>
      </c>
      <c r="C304" s="54">
        <f t="array" ref="C304:N317">TRANSPOSE(Constiuence!C714:P725)</f>
        <v>238</v>
      </c>
      <c r="D304" s="54">
        <v>297</v>
      </c>
      <c r="E304" s="54">
        <v>80</v>
      </c>
      <c r="F304" s="54">
        <v>1</v>
      </c>
      <c r="G304" s="54">
        <v>2</v>
      </c>
      <c r="H304" s="54">
        <v>0</v>
      </c>
      <c r="I304" s="54">
        <v>0</v>
      </c>
      <c r="J304" s="54">
        <v>0</v>
      </c>
      <c r="K304" s="54">
        <v>0</v>
      </c>
      <c r="L304" s="54">
        <v>1</v>
      </c>
      <c r="M304" s="54">
        <v>0</v>
      </c>
      <c r="N304" s="54">
        <v>3</v>
      </c>
      <c r="O304" s="72">
        <f t="shared" si="9"/>
        <v>622</v>
      </c>
      <c r="P304" s="26">
        <v>0</v>
      </c>
      <c r="Q304" s="26">
        <f t="shared" si="8"/>
        <v>622</v>
      </c>
      <c r="R304" s="26">
        <v>0</v>
      </c>
    </row>
    <row r="305" spans="1:18">
      <c r="A305" s="41">
        <v>296</v>
      </c>
      <c r="B305" s="61" t="s">
        <v>421</v>
      </c>
      <c r="C305" s="54">
        <v>8</v>
      </c>
      <c r="D305" s="54">
        <v>134</v>
      </c>
      <c r="E305" s="54">
        <v>289</v>
      </c>
      <c r="F305" s="54">
        <v>1</v>
      </c>
      <c r="G305" s="54">
        <v>1</v>
      </c>
      <c r="H305" s="54">
        <v>0</v>
      </c>
      <c r="I305" s="54">
        <v>0</v>
      </c>
      <c r="J305" s="54">
        <v>1</v>
      </c>
      <c r="K305" s="54">
        <v>0</v>
      </c>
      <c r="L305" s="54">
        <v>1</v>
      </c>
      <c r="M305" s="54">
        <v>0</v>
      </c>
      <c r="N305" s="54">
        <v>1</v>
      </c>
      <c r="O305" s="72">
        <f t="shared" si="9"/>
        <v>436</v>
      </c>
      <c r="P305" s="26">
        <v>0</v>
      </c>
      <c r="Q305" s="26">
        <f t="shared" si="8"/>
        <v>436</v>
      </c>
      <c r="R305" s="26">
        <v>0</v>
      </c>
    </row>
    <row r="306" spans="1:18">
      <c r="A306" s="41">
        <v>297</v>
      </c>
      <c r="B306" s="61" t="s">
        <v>422</v>
      </c>
      <c r="C306" s="54">
        <v>529</v>
      </c>
      <c r="D306" s="54">
        <v>24</v>
      </c>
      <c r="E306" s="54">
        <v>120</v>
      </c>
      <c r="F306" s="54">
        <v>2</v>
      </c>
      <c r="G306" s="54">
        <v>3</v>
      </c>
      <c r="H306" s="54">
        <v>2</v>
      </c>
      <c r="I306" s="54">
        <v>1</v>
      </c>
      <c r="J306" s="54">
        <v>4</v>
      </c>
      <c r="K306" s="54">
        <v>1</v>
      </c>
      <c r="L306" s="54">
        <v>4</v>
      </c>
      <c r="M306" s="54">
        <v>3</v>
      </c>
      <c r="N306" s="54">
        <v>13</v>
      </c>
      <c r="O306" s="72">
        <f t="shared" si="9"/>
        <v>706</v>
      </c>
      <c r="P306" s="26">
        <v>0</v>
      </c>
      <c r="Q306" s="26">
        <f t="shared" si="8"/>
        <v>706</v>
      </c>
      <c r="R306" s="26">
        <v>0</v>
      </c>
    </row>
    <row r="307" spans="1:18">
      <c r="A307" s="41">
        <v>298</v>
      </c>
      <c r="B307" s="61" t="s">
        <v>423</v>
      </c>
      <c r="C307" s="54">
        <v>221</v>
      </c>
      <c r="D307" s="54">
        <v>3</v>
      </c>
      <c r="E307" s="54">
        <v>35</v>
      </c>
      <c r="F307" s="54">
        <v>1</v>
      </c>
      <c r="G307" s="54">
        <v>0</v>
      </c>
      <c r="H307" s="54">
        <v>0</v>
      </c>
      <c r="I307" s="54">
        <v>0</v>
      </c>
      <c r="J307" s="54">
        <v>2</v>
      </c>
      <c r="K307" s="54">
        <v>0</v>
      </c>
      <c r="L307" s="54">
        <v>0</v>
      </c>
      <c r="M307" s="54">
        <v>0</v>
      </c>
      <c r="N307" s="54">
        <v>2</v>
      </c>
      <c r="O307" s="72">
        <f t="shared" si="9"/>
        <v>264</v>
      </c>
      <c r="P307" s="26">
        <v>0</v>
      </c>
      <c r="Q307" s="26">
        <f t="shared" si="8"/>
        <v>264</v>
      </c>
      <c r="R307" s="26">
        <v>0</v>
      </c>
    </row>
    <row r="308" spans="1:18" ht="22.5">
      <c r="A308" s="41">
        <v>299</v>
      </c>
      <c r="B308" s="61" t="s">
        <v>424</v>
      </c>
      <c r="C308" s="54">
        <v>18</v>
      </c>
      <c r="D308" s="54">
        <v>30</v>
      </c>
      <c r="E308" s="54">
        <v>454</v>
      </c>
      <c r="F308" s="54">
        <v>2</v>
      </c>
      <c r="G308" s="54">
        <v>0</v>
      </c>
      <c r="H308" s="54">
        <v>0</v>
      </c>
      <c r="I308" s="54">
        <v>0</v>
      </c>
      <c r="J308" s="54">
        <v>0</v>
      </c>
      <c r="K308" s="54">
        <v>0</v>
      </c>
      <c r="L308" s="54">
        <v>0</v>
      </c>
      <c r="M308" s="54">
        <v>1</v>
      </c>
      <c r="N308" s="54">
        <v>0</v>
      </c>
      <c r="O308" s="72">
        <f t="shared" si="9"/>
        <v>505</v>
      </c>
      <c r="P308" s="26">
        <v>0</v>
      </c>
      <c r="Q308" s="26">
        <f t="shared" si="8"/>
        <v>505</v>
      </c>
      <c r="R308" s="26">
        <v>0</v>
      </c>
    </row>
    <row r="309" spans="1:18" ht="22.5">
      <c r="A309" s="41">
        <v>300</v>
      </c>
      <c r="B309" s="61" t="s">
        <v>425</v>
      </c>
      <c r="C309" s="54">
        <v>14</v>
      </c>
      <c r="D309" s="54">
        <v>40</v>
      </c>
      <c r="E309" s="54">
        <v>489</v>
      </c>
      <c r="F309" s="54">
        <v>5</v>
      </c>
      <c r="G309" s="54">
        <v>2</v>
      </c>
      <c r="H309" s="54">
        <v>0</v>
      </c>
      <c r="I309" s="54">
        <v>0</v>
      </c>
      <c r="J309" s="54">
        <v>2</v>
      </c>
      <c r="K309" s="54">
        <v>1</v>
      </c>
      <c r="L309" s="54">
        <v>2</v>
      </c>
      <c r="M309" s="54">
        <v>1</v>
      </c>
      <c r="N309" s="54">
        <v>2</v>
      </c>
      <c r="O309" s="72">
        <f t="shared" si="9"/>
        <v>558</v>
      </c>
      <c r="P309" s="26">
        <v>0</v>
      </c>
      <c r="Q309" s="26">
        <f t="shared" si="8"/>
        <v>558</v>
      </c>
      <c r="R309" s="26">
        <v>0</v>
      </c>
    </row>
    <row r="310" spans="1:18" ht="22.5">
      <c r="A310" s="41">
        <v>301</v>
      </c>
      <c r="B310" s="61" t="s">
        <v>426</v>
      </c>
      <c r="C310" s="54">
        <v>13</v>
      </c>
      <c r="D310" s="54">
        <v>376</v>
      </c>
      <c r="E310" s="54">
        <v>261</v>
      </c>
      <c r="F310" s="54">
        <v>3</v>
      </c>
      <c r="G310" s="54">
        <v>0</v>
      </c>
      <c r="H310" s="54">
        <v>0</v>
      </c>
      <c r="I310" s="54">
        <v>0</v>
      </c>
      <c r="J310" s="54">
        <v>0</v>
      </c>
      <c r="K310" s="54">
        <v>10</v>
      </c>
      <c r="L310" s="54">
        <v>0</v>
      </c>
      <c r="M310" s="54">
        <v>0</v>
      </c>
      <c r="N310" s="54">
        <v>0</v>
      </c>
      <c r="O310" s="72">
        <f t="shared" si="9"/>
        <v>663</v>
      </c>
      <c r="P310" s="26">
        <v>0</v>
      </c>
      <c r="Q310" s="26">
        <f t="shared" si="8"/>
        <v>663</v>
      </c>
      <c r="R310" s="26">
        <v>0</v>
      </c>
    </row>
    <row r="311" spans="1:18" ht="22.5">
      <c r="A311" s="41">
        <v>302</v>
      </c>
      <c r="B311" s="61" t="s">
        <v>427</v>
      </c>
      <c r="C311" s="54">
        <v>14</v>
      </c>
      <c r="D311" s="54">
        <v>643</v>
      </c>
      <c r="E311" s="54">
        <v>12</v>
      </c>
      <c r="F311" s="54">
        <v>11</v>
      </c>
      <c r="G311" s="54">
        <v>0</v>
      </c>
      <c r="H311" s="54">
        <v>0</v>
      </c>
      <c r="I311" s="54">
        <v>0</v>
      </c>
      <c r="J311" s="54">
        <v>0</v>
      </c>
      <c r="K311" s="54">
        <v>15</v>
      </c>
      <c r="L311" s="54">
        <v>0</v>
      </c>
      <c r="M311" s="54">
        <v>1</v>
      </c>
      <c r="N311" s="54">
        <v>2</v>
      </c>
      <c r="O311" s="72">
        <f t="shared" si="9"/>
        <v>698</v>
      </c>
      <c r="P311" s="26">
        <v>0</v>
      </c>
      <c r="Q311" s="26">
        <f t="shared" si="8"/>
        <v>698</v>
      </c>
      <c r="R311" s="26">
        <v>0</v>
      </c>
    </row>
    <row r="312" spans="1:18" ht="22.5">
      <c r="A312" s="41">
        <v>303</v>
      </c>
      <c r="B312" s="61" t="s">
        <v>428</v>
      </c>
      <c r="C312" s="54">
        <v>28</v>
      </c>
      <c r="D312" s="54">
        <v>482</v>
      </c>
      <c r="E312" s="54">
        <v>10</v>
      </c>
      <c r="F312" s="54">
        <v>5</v>
      </c>
      <c r="G312" s="54">
        <v>0</v>
      </c>
      <c r="H312" s="54">
        <v>1</v>
      </c>
      <c r="I312" s="54">
        <v>0</v>
      </c>
      <c r="J312" s="54">
        <v>1</v>
      </c>
      <c r="K312" s="54">
        <v>10</v>
      </c>
      <c r="L312" s="54">
        <v>1</v>
      </c>
      <c r="M312" s="54">
        <v>0</v>
      </c>
      <c r="N312" s="54">
        <v>3</v>
      </c>
      <c r="O312" s="72">
        <f t="shared" si="9"/>
        <v>541</v>
      </c>
      <c r="P312" s="26">
        <v>0</v>
      </c>
      <c r="Q312" s="26">
        <f t="shared" si="8"/>
        <v>541</v>
      </c>
      <c r="R312" s="26">
        <v>0</v>
      </c>
    </row>
    <row r="313" spans="1:18" ht="22.5">
      <c r="A313" s="41">
        <v>304</v>
      </c>
      <c r="B313" s="61" t="s">
        <v>429</v>
      </c>
      <c r="C313" s="54">
        <v>11</v>
      </c>
      <c r="D313" s="54">
        <v>482</v>
      </c>
      <c r="E313" s="54">
        <v>23</v>
      </c>
      <c r="F313" s="54">
        <v>10</v>
      </c>
      <c r="G313" s="54">
        <v>1</v>
      </c>
      <c r="H313" s="54">
        <v>0</v>
      </c>
      <c r="I313" s="54">
        <v>1</v>
      </c>
      <c r="J313" s="54">
        <v>0</v>
      </c>
      <c r="K313" s="54">
        <v>7</v>
      </c>
      <c r="L313" s="54">
        <v>3</v>
      </c>
      <c r="M313" s="54">
        <v>2</v>
      </c>
      <c r="N313" s="54">
        <v>4</v>
      </c>
      <c r="O313" s="72">
        <f t="shared" si="9"/>
        <v>544</v>
      </c>
      <c r="P313" s="26">
        <v>0</v>
      </c>
      <c r="Q313" s="26">
        <f t="shared" si="8"/>
        <v>544</v>
      </c>
      <c r="R313" s="26">
        <v>0</v>
      </c>
    </row>
    <row r="314" spans="1:18" ht="22.5">
      <c r="A314" s="41">
        <v>305</v>
      </c>
      <c r="B314" s="61" t="s">
        <v>430</v>
      </c>
      <c r="C314" s="54">
        <v>27</v>
      </c>
      <c r="D314" s="54">
        <v>399</v>
      </c>
      <c r="E314" s="54">
        <v>135</v>
      </c>
      <c r="F314" s="54">
        <v>4</v>
      </c>
      <c r="G314" s="54">
        <v>1</v>
      </c>
      <c r="H314" s="54">
        <v>2</v>
      </c>
      <c r="I314" s="54">
        <v>0</v>
      </c>
      <c r="J314" s="54">
        <v>0</v>
      </c>
      <c r="K314" s="54">
        <v>7</v>
      </c>
      <c r="L314" s="54">
        <v>4</v>
      </c>
      <c r="M314" s="54">
        <v>0</v>
      </c>
      <c r="N314" s="54">
        <v>0</v>
      </c>
      <c r="O314" s="72">
        <f t="shared" si="9"/>
        <v>579</v>
      </c>
      <c r="P314" s="26">
        <v>0</v>
      </c>
      <c r="Q314" s="26">
        <f t="shared" si="8"/>
        <v>579</v>
      </c>
      <c r="R314" s="26">
        <v>0</v>
      </c>
    </row>
    <row r="315" spans="1:18" ht="22.5">
      <c r="A315" s="41">
        <v>306</v>
      </c>
      <c r="B315" s="61" t="s">
        <v>431</v>
      </c>
      <c r="C315" s="54">
        <v>12</v>
      </c>
      <c r="D315" s="54">
        <v>405</v>
      </c>
      <c r="E315" s="54">
        <v>7</v>
      </c>
      <c r="F315" s="54">
        <v>31</v>
      </c>
      <c r="G315" s="54">
        <v>0</v>
      </c>
      <c r="H315" s="54">
        <v>0</v>
      </c>
      <c r="I315" s="54">
        <v>1</v>
      </c>
      <c r="J315" s="54">
        <v>2</v>
      </c>
      <c r="K315" s="54">
        <v>11</v>
      </c>
      <c r="L315" s="54">
        <v>0</v>
      </c>
      <c r="M315" s="54">
        <v>3</v>
      </c>
      <c r="N315" s="54">
        <v>2</v>
      </c>
      <c r="O315" s="72">
        <f t="shared" si="9"/>
        <v>474</v>
      </c>
      <c r="P315" s="26">
        <v>0</v>
      </c>
      <c r="Q315" s="26">
        <f t="shared" si="8"/>
        <v>474</v>
      </c>
      <c r="R315" s="26">
        <v>0</v>
      </c>
    </row>
    <row r="316" spans="1:18" ht="22.5">
      <c r="A316" s="41">
        <v>307</v>
      </c>
      <c r="B316" s="61" t="s">
        <v>432</v>
      </c>
      <c r="C316" s="54">
        <v>26</v>
      </c>
      <c r="D316" s="54">
        <v>473</v>
      </c>
      <c r="E316" s="54">
        <v>12</v>
      </c>
      <c r="F316" s="54">
        <v>19</v>
      </c>
      <c r="G316" s="54">
        <v>1</v>
      </c>
      <c r="H316" s="54">
        <v>0</v>
      </c>
      <c r="I316" s="54">
        <v>0</v>
      </c>
      <c r="J316" s="54">
        <v>0</v>
      </c>
      <c r="K316" s="54">
        <v>27</v>
      </c>
      <c r="L316" s="54">
        <v>2</v>
      </c>
      <c r="M316" s="54">
        <v>0</v>
      </c>
      <c r="N316" s="54">
        <v>2</v>
      </c>
      <c r="O316" s="72">
        <f t="shared" si="9"/>
        <v>562</v>
      </c>
      <c r="P316" s="26">
        <v>0</v>
      </c>
      <c r="Q316" s="26">
        <f t="shared" si="8"/>
        <v>562</v>
      </c>
      <c r="R316" s="26">
        <v>0</v>
      </c>
    </row>
    <row r="317" spans="1:18" ht="22.5">
      <c r="A317" s="41">
        <v>308</v>
      </c>
      <c r="B317" s="61" t="s">
        <v>433</v>
      </c>
      <c r="C317" s="54">
        <v>18</v>
      </c>
      <c r="D317" s="54">
        <v>550</v>
      </c>
      <c r="E317" s="54">
        <v>11</v>
      </c>
      <c r="F317" s="54">
        <v>11</v>
      </c>
      <c r="G317" s="54">
        <v>0</v>
      </c>
      <c r="H317" s="54">
        <v>0</v>
      </c>
      <c r="I317" s="54">
        <v>0</v>
      </c>
      <c r="J317" s="54">
        <v>1</v>
      </c>
      <c r="K317" s="54">
        <v>7</v>
      </c>
      <c r="L317" s="54">
        <v>7</v>
      </c>
      <c r="M317" s="54">
        <v>1</v>
      </c>
      <c r="N317" s="54">
        <v>0</v>
      </c>
      <c r="O317" s="72">
        <f t="shared" si="9"/>
        <v>606</v>
      </c>
      <c r="P317" s="26">
        <v>0</v>
      </c>
      <c r="Q317" s="26">
        <f t="shared" si="8"/>
        <v>606</v>
      </c>
      <c r="R317" s="26">
        <v>0</v>
      </c>
    </row>
    <row r="318" spans="1:18" ht="22.5">
      <c r="A318" s="41">
        <v>309</v>
      </c>
      <c r="B318" s="61" t="s">
        <v>434</v>
      </c>
      <c r="C318" s="54">
        <f t="array" ref="C318:N331">TRANSPOSE(Constiuence!C748:P759)</f>
        <v>23</v>
      </c>
      <c r="D318" s="54">
        <v>520</v>
      </c>
      <c r="E318" s="54">
        <v>1</v>
      </c>
      <c r="F318" s="54">
        <v>21</v>
      </c>
      <c r="G318" s="54">
        <v>1</v>
      </c>
      <c r="H318" s="54">
        <v>0</v>
      </c>
      <c r="I318" s="54">
        <v>1</v>
      </c>
      <c r="J318" s="54">
        <v>0</v>
      </c>
      <c r="K318" s="54">
        <v>24</v>
      </c>
      <c r="L318" s="54">
        <v>5</v>
      </c>
      <c r="M318" s="54">
        <v>5</v>
      </c>
      <c r="N318" s="54">
        <v>3</v>
      </c>
      <c r="O318" s="72">
        <f t="shared" si="9"/>
        <v>604</v>
      </c>
      <c r="P318" s="26">
        <v>0</v>
      </c>
      <c r="Q318" s="26">
        <f t="shared" si="8"/>
        <v>604</v>
      </c>
      <c r="R318" s="26">
        <v>0</v>
      </c>
    </row>
    <row r="319" spans="1:18" ht="22.5">
      <c r="A319" s="41">
        <v>310</v>
      </c>
      <c r="B319" s="61" t="s">
        <v>435</v>
      </c>
      <c r="C319" s="54">
        <v>26</v>
      </c>
      <c r="D319" s="54">
        <v>94</v>
      </c>
      <c r="E319" s="54">
        <v>549</v>
      </c>
      <c r="F319" s="54">
        <v>3</v>
      </c>
      <c r="G319" s="54">
        <v>1</v>
      </c>
      <c r="H319" s="54">
        <v>0</v>
      </c>
      <c r="I319" s="54">
        <v>1</v>
      </c>
      <c r="J319" s="54">
        <v>1</v>
      </c>
      <c r="K319" s="54">
        <v>1</v>
      </c>
      <c r="L319" s="54">
        <v>1</v>
      </c>
      <c r="M319" s="54">
        <v>1</v>
      </c>
      <c r="N319" s="54">
        <v>4</v>
      </c>
      <c r="O319" s="72">
        <f t="shared" si="9"/>
        <v>682</v>
      </c>
      <c r="P319" s="26">
        <v>0</v>
      </c>
      <c r="Q319" s="26">
        <f t="shared" si="8"/>
        <v>682</v>
      </c>
      <c r="R319" s="26">
        <v>0</v>
      </c>
    </row>
    <row r="320" spans="1:18" ht="22.5">
      <c r="A320" s="41">
        <v>311</v>
      </c>
      <c r="B320" s="61" t="s">
        <v>436</v>
      </c>
      <c r="C320" s="54">
        <v>23</v>
      </c>
      <c r="D320" s="54">
        <v>102</v>
      </c>
      <c r="E320" s="54">
        <v>658</v>
      </c>
      <c r="F320" s="54">
        <v>4</v>
      </c>
      <c r="G320" s="54">
        <v>1</v>
      </c>
      <c r="H320" s="54">
        <v>0</v>
      </c>
      <c r="I320" s="54">
        <v>0</v>
      </c>
      <c r="J320" s="54">
        <v>2</v>
      </c>
      <c r="K320" s="54">
        <v>0</v>
      </c>
      <c r="L320" s="54">
        <v>0</v>
      </c>
      <c r="M320" s="54">
        <v>1</v>
      </c>
      <c r="N320" s="54">
        <v>1</v>
      </c>
      <c r="O320" s="72">
        <f t="shared" si="9"/>
        <v>792</v>
      </c>
      <c r="P320" s="26">
        <v>0</v>
      </c>
      <c r="Q320" s="26">
        <f t="shared" si="8"/>
        <v>792</v>
      </c>
      <c r="R320" s="26">
        <v>0</v>
      </c>
    </row>
    <row r="321" spans="1:18" ht="22.5">
      <c r="A321" s="41">
        <v>312</v>
      </c>
      <c r="B321" s="61" t="s">
        <v>437</v>
      </c>
      <c r="C321" s="54">
        <v>19</v>
      </c>
      <c r="D321" s="54">
        <v>17</v>
      </c>
      <c r="E321" s="54">
        <v>369</v>
      </c>
      <c r="F321" s="54">
        <v>12</v>
      </c>
      <c r="G321" s="54">
        <v>0</v>
      </c>
      <c r="H321" s="54">
        <v>0</v>
      </c>
      <c r="I321" s="54">
        <v>0</v>
      </c>
      <c r="J321" s="54">
        <v>0</v>
      </c>
      <c r="K321" s="54">
        <v>1</v>
      </c>
      <c r="L321" s="54">
        <v>3</v>
      </c>
      <c r="M321" s="54">
        <v>1</v>
      </c>
      <c r="N321" s="54">
        <v>2</v>
      </c>
      <c r="O321" s="72">
        <f t="shared" si="9"/>
        <v>424</v>
      </c>
      <c r="P321" s="26">
        <v>0</v>
      </c>
      <c r="Q321" s="26">
        <f t="shared" si="8"/>
        <v>424</v>
      </c>
      <c r="R321" s="26">
        <v>0</v>
      </c>
    </row>
    <row r="322" spans="1:18" ht="22.5">
      <c r="A322" s="41">
        <v>313</v>
      </c>
      <c r="B322" s="61" t="s">
        <v>438</v>
      </c>
      <c r="C322" s="54">
        <v>57</v>
      </c>
      <c r="D322" s="54">
        <v>20</v>
      </c>
      <c r="E322" s="54">
        <v>422</v>
      </c>
      <c r="F322" s="54">
        <v>2</v>
      </c>
      <c r="G322" s="54">
        <v>0</v>
      </c>
      <c r="H322" s="54">
        <v>1</v>
      </c>
      <c r="I322" s="54">
        <v>0</v>
      </c>
      <c r="J322" s="54">
        <v>1</v>
      </c>
      <c r="K322" s="54">
        <v>1</v>
      </c>
      <c r="L322" s="54">
        <v>2</v>
      </c>
      <c r="M322" s="54">
        <v>0</v>
      </c>
      <c r="N322" s="54">
        <v>1</v>
      </c>
      <c r="O322" s="72">
        <f t="shared" si="9"/>
        <v>507</v>
      </c>
      <c r="P322" s="26">
        <v>0</v>
      </c>
      <c r="Q322" s="26">
        <f t="shared" si="8"/>
        <v>507</v>
      </c>
      <c r="R322" s="26">
        <v>0</v>
      </c>
    </row>
    <row r="323" spans="1:18" ht="22.5">
      <c r="A323" s="41">
        <v>314</v>
      </c>
      <c r="B323" s="62" t="s">
        <v>439</v>
      </c>
      <c r="C323" s="54">
        <v>17</v>
      </c>
      <c r="D323" s="54">
        <v>134</v>
      </c>
      <c r="E323" s="54">
        <v>610</v>
      </c>
      <c r="F323" s="54">
        <v>5</v>
      </c>
      <c r="G323" s="54">
        <v>0</v>
      </c>
      <c r="H323" s="54">
        <v>0</v>
      </c>
      <c r="I323" s="54">
        <v>0</v>
      </c>
      <c r="J323" s="54">
        <v>1</v>
      </c>
      <c r="K323" s="54">
        <v>0</v>
      </c>
      <c r="L323" s="54">
        <v>1</v>
      </c>
      <c r="M323" s="54">
        <v>1</v>
      </c>
      <c r="N323" s="54">
        <v>5</v>
      </c>
      <c r="O323" s="72">
        <f t="shared" si="9"/>
        <v>774</v>
      </c>
      <c r="P323" s="26">
        <v>0</v>
      </c>
      <c r="Q323" s="26">
        <f t="shared" si="8"/>
        <v>774</v>
      </c>
      <c r="R323" s="26">
        <v>0</v>
      </c>
    </row>
    <row r="324" spans="1:18" ht="22.5">
      <c r="A324" s="41">
        <v>315</v>
      </c>
      <c r="B324" s="62" t="s">
        <v>440</v>
      </c>
      <c r="C324" s="54">
        <v>19</v>
      </c>
      <c r="D324" s="54">
        <v>68</v>
      </c>
      <c r="E324" s="54">
        <v>610</v>
      </c>
      <c r="F324" s="54">
        <v>7</v>
      </c>
      <c r="G324" s="54">
        <v>0</v>
      </c>
      <c r="H324" s="54">
        <v>0</v>
      </c>
      <c r="I324" s="54">
        <v>0</v>
      </c>
      <c r="J324" s="54">
        <v>1</v>
      </c>
      <c r="K324" s="54">
        <v>0</v>
      </c>
      <c r="L324" s="54">
        <v>9</v>
      </c>
      <c r="M324" s="54">
        <v>3</v>
      </c>
      <c r="N324" s="54">
        <v>2</v>
      </c>
      <c r="O324" s="72">
        <f t="shared" si="9"/>
        <v>719</v>
      </c>
      <c r="P324" s="26">
        <v>0</v>
      </c>
      <c r="Q324" s="26">
        <f t="shared" si="8"/>
        <v>719</v>
      </c>
      <c r="R324" s="26">
        <v>0</v>
      </c>
    </row>
    <row r="325" spans="1:18">
      <c r="A325" s="41">
        <v>316</v>
      </c>
      <c r="B325" s="61" t="s">
        <v>441</v>
      </c>
      <c r="C325" s="54">
        <v>31</v>
      </c>
      <c r="D325" s="54">
        <v>185</v>
      </c>
      <c r="E325" s="54">
        <v>397</v>
      </c>
      <c r="F325" s="54">
        <v>6</v>
      </c>
      <c r="G325" s="54">
        <v>1</v>
      </c>
      <c r="H325" s="54">
        <v>0</v>
      </c>
      <c r="I325" s="54">
        <v>1</v>
      </c>
      <c r="J325" s="54">
        <v>3</v>
      </c>
      <c r="K325" s="54">
        <v>4</v>
      </c>
      <c r="L325" s="54">
        <v>3</v>
      </c>
      <c r="M325" s="54">
        <v>1</v>
      </c>
      <c r="N325" s="54">
        <v>4</v>
      </c>
      <c r="O325" s="72">
        <f t="shared" si="9"/>
        <v>636</v>
      </c>
      <c r="P325" s="26">
        <v>0</v>
      </c>
      <c r="Q325" s="26">
        <f t="shared" si="8"/>
        <v>636</v>
      </c>
      <c r="R325" s="26">
        <v>0</v>
      </c>
    </row>
    <row r="326" spans="1:18">
      <c r="A326" s="41">
        <v>317</v>
      </c>
      <c r="B326" s="61" t="s">
        <v>442</v>
      </c>
      <c r="C326" s="54">
        <v>271</v>
      </c>
      <c r="D326" s="54">
        <v>32</v>
      </c>
      <c r="E326" s="54">
        <v>264</v>
      </c>
      <c r="F326" s="54">
        <v>3</v>
      </c>
      <c r="G326" s="54">
        <v>4</v>
      </c>
      <c r="H326" s="54">
        <v>0</v>
      </c>
      <c r="I326" s="54">
        <v>2</v>
      </c>
      <c r="J326" s="54">
        <v>1</v>
      </c>
      <c r="K326" s="54">
        <v>1</v>
      </c>
      <c r="L326" s="54">
        <v>3</v>
      </c>
      <c r="M326" s="54">
        <v>2</v>
      </c>
      <c r="N326" s="54">
        <v>11</v>
      </c>
      <c r="O326" s="72">
        <f t="shared" si="9"/>
        <v>594</v>
      </c>
      <c r="P326" s="26">
        <v>0</v>
      </c>
      <c r="Q326" s="26">
        <f t="shared" si="8"/>
        <v>594</v>
      </c>
      <c r="R326" s="26">
        <v>0</v>
      </c>
    </row>
    <row r="327" spans="1:18">
      <c r="A327" s="41">
        <v>318</v>
      </c>
      <c r="B327" s="61" t="s">
        <v>443</v>
      </c>
      <c r="C327" s="54">
        <v>109</v>
      </c>
      <c r="D327" s="54">
        <v>42</v>
      </c>
      <c r="E327" s="54">
        <v>342</v>
      </c>
      <c r="F327" s="54">
        <v>3</v>
      </c>
      <c r="G327" s="54">
        <v>5</v>
      </c>
      <c r="H327" s="54">
        <v>0</v>
      </c>
      <c r="I327" s="54">
        <v>0</v>
      </c>
      <c r="J327" s="54">
        <v>0</v>
      </c>
      <c r="K327" s="54">
        <v>2</v>
      </c>
      <c r="L327" s="54">
        <v>2</v>
      </c>
      <c r="M327" s="54">
        <v>2</v>
      </c>
      <c r="N327" s="54">
        <v>0</v>
      </c>
      <c r="O327" s="72">
        <f t="shared" si="9"/>
        <v>507</v>
      </c>
      <c r="P327" s="26">
        <v>0</v>
      </c>
      <c r="Q327" s="26">
        <f t="shared" si="8"/>
        <v>507</v>
      </c>
      <c r="R327" s="26">
        <v>0</v>
      </c>
    </row>
    <row r="328" spans="1:18">
      <c r="A328" s="41">
        <v>319</v>
      </c>
      <c r="B328" s="61" t="s">
        <v>444</v>
      </c>
      <c r="C328" s="54">
        <v>55</v>
      </c>
      <c r="D328" s="54">
        <v>41</v>
      </c>
      <c r="E328" s="54">
        <v>346</v>
      </c>
      <c r="F328" s="54">
        <v>2</v>
      </c>
      <c r="G328" s="54">
        <v>1</v>
      </c>
      <c r="H328" s="54">
        <v>0</v>
      </c>
      <c r="I328" s="54">
        <v>1</v>
      </c>
      <c r="J328" s="54">
        <v>1</v>
      </c>
      <c r="K328" s="54">
        <v>1</v>
      </c>
      <c r="L328" s="54">
        <v>7</v>
      </c>
      <c r="M328" s="54">
        <v>1</v>
      </c>
      <c r="N328" s="54">
        <v>4</v>
      </c>
      <c r="O328" s="72">
        <f t="shared" si="9"/>
        <v>460</v>
      </c>
      <c r="P328" s="26">
        <v>0</v>
      </c>
      <c r="Q328" s="26">
        <f t="shared" si="8"/>
        <v>460</v>
      </c>
      <c r="R328" s="26">
        <v>0</v>
      </c>
    </row>
    <row r="329" spans="1:18">
      <c r="A329" s="41">
        <v>320</v>
      </c>
      <c r="B329" s="61" t="s">
        <v>445</v>
      </c>
      <c r="C329" s="54">
        <v>296</v>
      </c>
      <c r="D329" s="54">
        <v>34</v>
      </c>
      <c r="E329" s="54">
        <v>159</v>
      </c>
      <c r="F329" s="54">
        <v>6</v>
      </c>
      <c r="G329" s="54">
        <v>0</v>
      </c>
      <c r="H329" s="54">
        <v>1</v>
      </c>
      <c r="I329" s="54">
        <v>0</v>
      </c>
      <c r="J329" s="54">
        <v>0</v>
      </c>
      <c r="K329" s="54">
        <v>0</v>
      </c>
      <c r="L329" s="54">
        <v>1</v>
      </c>
      <c r="M329" s="54">
        <v>0</v>
      </c>
      <c r="N329" s="54">
        <v>6</v>
      </c>
      <c r="O329" s="72">
        <f t="shared" si="9"/>
        <v>503</v>
      </c>
      <c r="P329" s="26">
        <v>0</v>
      </c>
      <c r="Q329" s="26">
        <f t="shared" si="8"/>
        <v>503</v>
      </c>
      <c r="R329" s="26">
        <v>0</v>
      </c>
    </row>
    <row r="330" spans="1:18">
      <c r="A330" s="41">
        <v>321</v>
      </c>
      <c r="B330" s="61" t="s">
        <v>446</v>
      </c>
      <c r="C330" s="54">
        <v>23</v>
      </c>
      <c r="D330" s="54">
        <v>28</v>
      </c>
      <c r="E330" s="54">
        <v>383</v>
      </c>
      <c r="F330" s="54">
        <v>6</v>
      </c>
      <c r="G330" s="54">
        <v>0</v>
      </c>
      <c r="H330" s="54">
        <v>0</v>
      </c>
      <c r="I330" s="54">
        <v>0</v>
      </c>
      <c r="J330" s="54">
        <v>3</v>
      </c>
      <c r="K330" s="54">
        <v>0</v>
      </c>
      <c r="L330" s="54">
        <v>6</v>
      </c>
      <c r="M330" s="54">
        <v>0</v>
      </c>
      <c r="N330" s="54">
        <v>3</v>
      </c>
      <c r="O330" s="72">
        <f t="shared" si="9"/>
        <v>452</v>
      </c>
      <c r="P330" s="26">
        <v>0</v>
      </c>
      <c r="Q330" s="26">
        <f t="shared" ref="Q330:Q393" si="10">O330-P330</f>
        <v>452</v>
      </c>
      <c r="R330" s="26">
        <v>0</v>
      </c>
    </row>
    <row r="331" spans="1:18">
      <c r="A331" s="41">
        <v>322</v>
      </c>
      <c r="B331" s="61" t="s">
        <v>447</v>
      </c>
      <c r="C331" s="54">
        <v>0</v>
      </c>
      <c r="D331" s="54">
        <v>8</v>
      </c>
      <c r="E331" s="54">
        <v>433</v>
      </c>
      <c r="F331" s="54">
        <v>0</v>
      </c>
      <c r="G331" s="54">
        <v>1</v>
      </c>
      <c r="H331" s="54">
        <v>1</v>
      </c>
      <c r="I331" s="54">
        <v>1</v>
      </c>
      <c r="J331" s="54">
        <v>0</v>
      </c>
      <c r="K331" s="54">
        <v>0</v>
      </c>
      <c r="L331" s="54">
        <v>1</v>
      </c>
      <c r="M331" s="54">
        <v>0</v>
      </c>
      <c r="N331" s="54">
        <v>1</v>
      </c>
      <c r="O331" s="72">
        <f t="shared" ref="O331:O394" si="11">C331+D331+E331+F331+G331+H331+I331+J331+K331+L331+M331+N331</f>
        <v>446</v>
      </c>
      <c r="P331" s="26">
        <v>0</v>
      </c>
      <c r="Q331" s="26">
        <f t="shared" si="10"/>
        <v>446</v>
      </c>
      <c r="R331" s="26">
        <v>0</v>
      </c>
    </row>
    <row r="332" spans="1:18">
      <c r="A332" s="41">
        <v>323</v>
      </c>
      <c r="B332" s="61" t="s">
        <v>448</v>
      </c>
      <c r="C332" s="54">
        <f t="array" ref="C332:N345">TRANSPOSE(Constiuence!C782:P793)</f>
        <v>169</v>
      </c>
      <c r="D332" s="54">
        <v>25</v>
      </c>
      <c r="E332" s="54">
        <v>483</v>
      </c>
      <c r="F332" s="54">
        <v>3</v>
      </c>
      <c r="G332" s="54">
        <v>1</v>
      </c>
      <c r="H332" s="54">
        <v>0</v>
      </c>
      <c r="I332" s="54">
        <v>0</v>
      </c>
      <c r="J332" s="54">
        <v>2</v>
      </c>
      <c r="K332" s="54">
        <v>0</v>
      </c>
      <c r="L332" s="54">
        <v>5</v>
      </c>
      <c r="M332" s="54">
        <v>2</v>
      </c>
      <c r="N332" s="54">
        <v>2</v>
      </c>
      <c r="O332" s="72">
        <f t="shared" si="11"/>
        <v>692</v>
      </c>
      <c r="P332" s="26">
        <v>0</v>
      </c>
      <c r="Q332" s="26">
        <f t="shared" si="10"/>
        <v>692</v>
      </c>
      <c r="R332" s="26">
        <v>0</v>
      </c>
    </row>
    <row r="333" spans="1:18">
      <c r="A333" s="41">
        <v>324</v>
      </c>
      <c r="B333" s="61" t="s">
        <v>449</v>
      </c>
      <c r="C333" s="54">
        <v>201</v>
      </c>
      <c r="D333" s="54">
        <v>74</v>
      </c>
      <c r="E333" s="54">
        <v>285</v>
      </c>
      <c r="F333" s="54">
        <v>5</v>
      </c>
      <c r="G333" s="54">
        <v>12</v>
      </c>
      <c r="H333" s="54">
        <v>3</v>
      </c>
      <c r="I333" s="54">
        <v>0</v>
      </c>
      <c r="J333" s="54">
        <v>1</v>
      </c>
      <c r="K333" s="54">
        <v>0</v>
      </c>
      <c r="L333" s="54">
        <v>8</v>
      </c>
      <c r="M333" s="54">
        <v>2</v>
      </c>
      <c r="N333" s="54">
        <v>5</v>
      </c>
      <c r="O333" s="72">
        <f t="shared" si="11"/>
        <v>596</v>
      </c>
      <c r="P333" s="26">
        <v>0</v>
      </c>
      <c r="Q333" s="26">
        <f t="shared" si="10"/>
        <v>596</v>
      </c>
      <c r="R333" s="26">
        <v>0</v>
      </c>
    </row>
    <row r="334" spans="1:18">
      <c r="A334" s="41">
        <v>325</v>
      </c>
      <c r="B334" s="61" t="s">
        <v>450</v>
      </c>
      <c r="C334" s="54">
        <v>118</v>
      </c>
      <c r="D334" s="54">
        <v>30</v>
      </c>
      <c r="E334" s="54">
        <v>181</v>
      </c>
      <c r="F334" s="54">
        <v>1</v>
      </c>
      <c r="G334" s="54">
        <v>11</v>
      </c>
      <c r="H334" s="54">
        <v>0</v>
      </c>
      <c r="I334" s="54">
        <v>0</v>
      </c>
      <c r="J334" s="54">
        <v>0</v>
      </c>
      <c r="K334" s="54">
        <v>0</v>
      </c>
      <c r="L334" s="54">
        <v>2</v>
      </c>
      <c r="M334" s="54">
        <v>1</v>
      </c>
      <c r="N334" s="54">
        <v>1</v>
      </c>
      <c r="O334" s="72">
        <f t="shared" si="11"/>
        <v>345</v>
      </c>
      <c r="P334" s="26">
        <v>0</v>
      </c>
      <c r="Q334" s="26">
        <f t="shared" si="10"/>
        <v>345</v>
      </c>
      <c r="R334" s="26">
        <v>0</v>
      </c>
    </row>
    <row r="335" spans="1:18">
      <c r="A335" s="41">
        <v>326</v>
      </c>
      <c r="B335" s="61" t="s">
        <v>451</v>
      </c>
      <c r="C335" s="54">
        <v>119</v>
      </c>
      <c r="D335" s="54">
        <v>27</v>
      </c>
      <c r="E335" s="54">
        <v>490</v>
      </c>
      <c r="F335" s="54">
        <v>3</v>
      </c>
      <c r="G335" s="54">
        <v>10</v>
      </c>
      <c r="H335" s="54">
        <v>0</v>
      </c>
      <c r="I335" s="54">
        <v>1</v>
      </c>
      <c r="J335" s="54">
        <v>0</v>
      </c>
      <c r="K335" s="54">
        <v>1</v>
      </c>
      <c r="L335" s="54">
        <v>3</v>
      </c>
      <c r="M335" s="54">
        <v>2</v>
      </c>
      <c r="N335" s="54">
        <v>3</v>
      </c>
      <c r="O335" s="72">
        <f t="shared" si="11"/>
        <v>659</v>
      </c>
      <c r="P335" s="26">
        <v>0</v>
      </c>
      <c r="Q335" s="26">
        <f t="shared" si="10"/>
        <v>659</v>
      </c>
      <c r="R335" s="26">
        <v>0</v>
      </c>
    </row>
    <row r="336" spans="1:18">
      <c r="A336" s="41">
        <v>327</v>
      </c>
      <c r="B336" s="61" t="s">
        <v>452</v>
      </c>
      <c r="C336" s="54">
        <v>168</v>
      </c>
      <c r="D336" s="54">
        <v>34</v>
      </c>
      <c r="E336" s="54">
        <v>385</v>
      </c>
      <c r="F336" s="54">
        <v>1</v>
      </c>
      <c r="G336" s="54">
        <v>5</v>
      </c>
      <c r="H336" s="54">
        <v>0</v>
      </c>
      <c r="I336" s="54">
        <v>0</v>
      </c>
      <c r="J336" s="54">
        <v>1</v>
      </c>
      <c r="K336" s="54">
        <v>0</v>
      </c>
      <c r="L336" s="54">
        <v>1</v>
      </c>
      <c r="M336" s="54">
        <v>1</v>
      </c>
      <c r="N336" s="54">
        <v>1</v>
      </c>
      <c r="O336" s="72">
        <f t="shared" si="11"/>
        <v>597</v>
      </c>
      <c r="P336" s="26">
        <v>0</v>
      </c>
      <c r="Q336" s="26">
        <f t="shared" si="10"/>
        <v>597</v>
      </c>
      <c r="R336" s="26">
        <v>0</v>
      </c>
    </row>
    <row r="337" spans="1:18">
      <c r="A337" s="41">
        <v>328</v>
      </c>
      <c r="B337" s="61" t="s">
        <v>453</v>
      </c>
      <c r="C337" s="54">
        <v>12</v>
      </c>
      <c r="D337" s="54">
        <v>97</v>
      </c>
      <c r="E337" s="54">
        <v>264</v>
      </c>
      <c r="F337" s="54">
        <v>2</v>
      </c>
      <c r="G337" s="54">
        <v>0</v>
      </c>
      <c r="H337" s="54">
        <v>0</v>
      </c>
      <c r="I337" s="54">
        <v>0</v>
      </c>
      <c r="J337" s="54">
        <v>1</v>
      </c>
      <c r="K337" s="54">
        <v>0</v>
      </c>
      <c r="L337" s="54">
        <v>1</v>
      </c>
      <c r="M337" s="54">
        <v>0</v>
      </c>
      <c r="N337" s="54">
        <v>1</v>
      </c>
      <c r="O337" s="72">
        <f t="shared" si="11"/>
        <v>378</v>
      </c>
      <c r="P337" s="26">
        <v>0</v>
      </c>
      <c r="Q337" s="26">
        <f t="shared" si="10"/>
        <v>378</v>
      </c>
      <c r="R337" s="26">
        <v>0</v>
      </c>
    </row>
    <row r="338" spans="1:18">
      <c r="A338" s="41">
        <v>329</v>
      </c>
      <c r="B338" s="61" t="s">
        <v>454</v>
      </c>
      <c r="C338" s="54">
        <v>5</v>
      </c>
      <c r="D338" s="54">
        <v>140</v>
      </c>
      <c r="E338" s="54">
        <v>256</v>
      </c>
      <c r="F338" s="54">
        <v>3</v>
      </c>
      <c r="G338" s="54">
        <v>0</v>
      </c>
      <c r="H338" s="54">
        <v>0</v>
      </c>
      <c r="I338" s="54">
        <v>0</v>
      </c>
      <c r="J338" s="54">
        <v>0</v>
      </c>
      <c r="K338" s="54">
        <v>0</v>
      </c>
      <c r="L338" s="54">
        <v>0</v>
      </c>
      <c r="M338" s="54">
        <v>0</v>
      </c>
      <c r="N338" s="54">
        <v>1</v>
      </c>
      <c r="O338" s="72">
        <f t="shared" si="11"/>
        <v>405</v>
      </c>
      <c r="P338" s="26">
        <v>0</v>
      </c>
      <c r="Q338" s="26">
        <f t="shared" si="10"/>
        <v>405</v>
      </c>
      <c r="R338" s="26">
        <v>0</v>
      </c>
    </row>
    <row r="339" spans="1:18">
      <c r="A339" s="41">
        <v>330</v>
      </c>
      <c r="B339" s="61" t="s">
        <v>455</v>
      </c>
      <c r="C339" s="54">
        <v>1</v>
      </c>
      <c r="D339" s="54">
        <v>69</v>
      </c>
      <c r="E339" s="54">
        <v>321</v>
      </c>
      <c r="F339" s="54">
        <v>1</v>
      </c>
      <c r="G339" s="54">
        <v>0</v>
      </c>
      <c r="H339" s="54">
        <v>0</v>
      </c>
      <c r="I339" s="54">
        <v>0</v>
      </c>
      <c r="J339" s="54">
        <v>0</v>
      </c>
      <c r="K339" s="54">
        <v>0</v>
      </c>
      <c r="L339" s="54">
        <v>2</v>
      </c>
      <c r="M339" s="54">
        <v>0</v>
      </c>
      <c r="N339" s="54">
        <v>2</v>
      </c>
      <c r="O339" s="72">
        <f t="shared" si="11"/>
        <v>396</v>
      </c>
      <c r="P339" s="26">
        <v>0</v>
      </c>
      <c r="Q339" s="26">
        <f t="shared" si="10"/>
        <v>396</v>
      </c>
      <c r="R339" s="26">
        <v>0</v>
      </c>
    </row>
    <row r="340" spans="1:18">
      <c r="A340" s="41">
        <v>331</v>
      </c>
      <c r="B340" s="61" t="s">
        <v>456</v>
      </c>
      <c r="C340" s="54">
        <v>162</v>
      </c>
      <c r="D340" s="54">
        <v>62</v>
      </c>
      <c r="E340" s="54">
        <v>298</v>
      </c>
      <c r="F340" s="54">
        <v>5</v>
      </c>
      <c r="G340" s="54">
        <v>2</v>
      </c>
      <c r="H340" s="54">
        <v>1</v>
      </c>
      <c r="I340" s="54">
        <v>0</v>
      </c>
      <c r="J340" s="54">
        <v>3</v>
      </c>
      <c r="K340" s="54">
        <v>1</v>
      </c>
      <c r="L340" s="54">
        <v>2</v>
      </c>
      <c r="M340" s="54">
        <v>2</v>
      </c>
      <c r="N340" s="54">
        <v>9</v>
      </c>
      <c r="O340" s="72">
        <f t="shared" si="11"/>
        <v>547</v>
      </c>
      <c r="P340" s="26">
        <v>0</v>
      </c>
      <c r="Q340" s="26">
        <f t="shared" si="10"/>
        <v>547</v>
      </c>
      <c r="R340" s="26">
        <v>0</v>
      </c>
    </row>
    <row r="341" spans="1:18">
      <c r="A341" s="41">
        <v>332</v>
      </c>
      <c r="B341" s="61" t="s">
        <v>457</v>
      </c>
      <c r="C341" s="54">
        <v>181</v>
      </c>
      <c r="D341" s="54">
        <v>35</v>
      </c>
      <c r="E341" s="54">
        <v>142</v>
      </c>
      <c r="F341" s="54">
        <v>3</v>
      </c>
      <c r="G341" s="54">
        <v>1</v>
      </c>
      <c r="H341" s="54">
        <v>0</v>
      </c>
      <c r="I341" s="54">
        <v>0</v>
      </c>
      <c r="J341" s="54">
        <v>0</v>
      </c>
      <c r="K341" s="54">
        <v>2</v>
      </c>
      <c r="L341" s="54">
        <v>1</v>
      </c>
      <c r="M341" s="54">
        <v>0</v>
      </c>
      <c r="N341" s="54">
        <v>5</v>
      </c>
      <c r="O341" s="72">
        <f t="shared" si="11"/>
        <v>370</v>
      </c>
      <c r="P341" s="26">
        <v>0</v>
      </c>
      <c r="Q341" s="26">
        <f t="shared" si="10"/>
        <v>370</v>
      </c>
      <c r="R341" s="26">
        <v>0</v>
      </c>
    </row>
    <row r="342" spans="1:18">
      <c r="A342" s="41">
        <v>333</v>
      </c>
      <c r="B342" s="61" t="s">
        <v>458</v>
      </c>
      <c r="C342" s="54">
        <v>492</v>
      </c>
      <c r="D342" s="54">
        <v>15</v>
      </c>
      <c r="E342" s="54">
        <v>85</v>
      </c>
      <c r="F342" s="54">
        <v>2</v>
      </c>
      <c r="G342" s="54">
        <v>0</v>
      </c>
      <c r="H342" s="54">
        <v>0</v>
      </c>
      <c r="I342" s="54">
        <v>0</v>
      </c>
      <c r="J342" s="54">
        <v>1</v>
      </c>
      <c r="K342" s="54">
        <v>1</v>
      </c>
      <c r="L342" s="54">
        <v>0</v>
      </c>
      <c r="M342" s="54">
        <v>2</v>
      </c>
      <c r="N342" s="54">
        <v>12</v>
      </c>
      <c r="O342" s="72">
        <f t="shared" si="11"/>
        <v>610</v>
      </c>
      <c r="P342" s="26">
        <v>0</v>
      </c>
      <c r="Q342" s="26">
        <f t="shared" si="10"/>
        <v>610</v>
      </c>
      <c r="R342" s="26">
        <v>0</v>
      </c>
    </row>
    <row r="343" spans="1:18">
      <c r="A343" s="41">
        <v>334</v>
      </c>
      <c r="B343" s="61" t="s">
        <v>459</v>
      </c>
      <c r="C343" s="54">
        <v>69</v>
      </c>
      <c r="D343" s="54">
        <v>320</v>
      </c>
      <c r="E343" s="54">
        <v>79</v>
      </c>
      <c r="F343" s="54">
        <v>1</v>
      </c>
      <c r="G343" s="54">
        <v>0</v>
      </c>
      <c r="H343" s="54">
        <v>0</v>
      </c>
      <c r="I343" s="54">
        <v>0</v>
      </c>
      <c r="J343" s="54">
        <v>1</v>
      </c>
      <c r="K343" s="54">
        <v>2</v>
      </c>
      <c r="L343" s="54">
        <v>2</v>
      </c>
      <c r="M343" s="54">
        <v>3</v>
      </c>
      <c r="N343" s="54">
        <v>2</v>
      </c>
      <c r="O343" s="72">
        <f t="shared" si="11"/>
        <v>479</v>
      </c>
      <c r="P343" s="26">
        <v>0</v>
      </c>
      <c r="Q343" s="26">
        <f t="shared" si="10"/>
        <v>479</v>
      </c>
      <c r="R343" s="26">
        <v>0</v>
      </c>
    </row>
    <row r="344" spans="1:18">
      <c r="A344" s="41">
        <v>335</v>
      </c>
      <c r="B344" s="61" t="s">
        <v>460</v>
      </c>
      <c r="C344" s="54">
        <v>320</v>
      </c>
      <c r="D344" s="54">
        <v>115</v>
      </c>
      <c r="E344" s="54">
        <v>53</v>
      </c>
      <c r="F344" s="54">
        <v>3</v>
      </c>
      <c r="G344" s="54">
        <v>0</v>
      </c>
      <c r="H344" s="54">
        <v>0</v>
      </c>
      <c r="I344" s="54">
        <v>0</v>
      </c>
      <c r="J344" s="54">
        <v>1</v>
      </c>
      <c r="K344" s="54">
        <v>2</v>
      </c>
      <c r="L344" s="54">
        <v>1</v>
      </c>
      <c r="M344" s="54">
        <v>0</v>
      </c>
      <c r="N344" s="54">
        <v>8</v>
      </c>
      <c r="O344" s="72">
        <f t="shared" si="11"/>
        <v>503</v>
      </c>
      <c r="P344" s="26">
        <v>0</v>
      </c>
      <c r="Q344" s="26">
        <f t="shared" si="10"/>
        <v>503</v>
      </c>
      <c r="R344" s="26">
        <v>0</v>
      </c>
    </row>
    <row r="345" spans="1:18">
      <c r="A345" s="41">
        <v>336</v>
      </c>
      <c r="B345" s="61" t="s">
        <v>461</v>
      </c>
      <c r="C345" s="54">
        <v>80</v>
      </c>
      <c r="D345" s="54">
        <v>236</v>
      </c>
      <c r="E345" s="54">
        <v>392</v>
      </c>
      <c r="F345" s="54">
        <v>3</v>
      </c>
      <c r="G345" s="54">
        <v>1</v>
      </c>
      <c r="H345" s="54">
        <v>2</v>
      </c>
      <c r="I345" s="54">
        <v>2</v>
      </c>
      <c r="J345" s="54">
        <v>2</v>
      </c>
      <c r="K345" s="54">
        <v>1</v>
      </c>
      <c r="L345" s="54">
        <v>7</v>
      </c>
      <c r="M345" s="54">
        <v>2</v>
      </c>
      <c r="N345" s="54">
        <v>3</v>
      </c>
      <c r="O345" s="72">
        <f t="shared" si="11"/>
        <v>731</v>
      </c>
      <c r="P345" s="26">
        <v>0</v>
      </c>
      <c r="Q345" s="26">
        <f t="shared" si="10"/>
        <v>731</v>
      </c>
      <c r="R345" s="26">
        <v>0</v>
      </c>
    </row>
    <row r="346" spans="1:18">
      <c r="A346" s="41">
        <v>337</v>
      </c>
      <c r="B346" s="61" t="s">
        <v>462</v>
      </c>
      <c r="C346" s="54">
        <f t="array" ref="C346:N359">TRANSPOSE(Constiuence!C816:P827)</f>
        <v>63</v>
      </c>
      <c r="D346" s="54">
        <v>118</v>
      </c>
      <c r="E346" s="54">
        <v>286</v>
      </c>
      <c r="F346" s="54">
        <v>5</v>
      </c>
      <c r="G346" s="54">
        <v>0</v>
      </c>
      <c r="H346" s="54">
        <v>0</v>
      </c>
      <c r="I346" s="54">
        <v>0</v>
      </c>
      <c r="J346" s="54">
        <v>0</v>
      </c>
      <c r="K346" s="54">
        <v>0</v>
      </c>
      <c r="L346" s="54">
        <v>2</v>
      </c>
      <c r="M346" s="54">
        <v>1</v>
      </c>
      <c r="N346" s="54">
        <v>0</v>
      </c>
      <c r="O346" s="72">
        <f t="shared" si="11"/>
        <v>475</v>
      </c>
      <c r="P346" s="26">
        <v>0</v>
      </c>
      <c r="Q346" s="26">
        <f t="shared" si="10"/>
        <v>475</v>
      </c>
      <c r="R346" s="26">
        <v>0</v>
      </c>
    </row>
    <row r="347" spans="1:18">
      <c r="A347" s="41">
        <v>338</v>
      </c>
      <c r="B347" s="61" t="s">
        <v>463</v>
      </c>
      <c r="C347" s="54">
        <v>27</v>
      </c>
      <c r="D347" s="54">
        <v>279</v>
      </c>
      <c r="E347" s="54">
        <v>313</v>
      </c>
      <c r="F347" s="54">
        <v>12</v>
      </c>
      <c r="G347" s="54">
        <v>1</v>
      </c>
      <c r="H347" s="54">
        <v>1</v>
      </c>
      <c r="I347" s="54">
        <v>2</v>
      </c>
      <c r="J347" s="54">
        <v>0</v>
      </c>
      <c r="K347" s="54">
        <v>0</v>
      </c>
      <c r="L347" s="54">
        <v>4</v>
      </c>
      <c r="M347" s="54">
        <v>5</v>
      </c>
      <c r="N347" s="54">
        <v>6</v>
      </c>
      <c r="O347" s="72">
        <f t="shared" si="11"/>
        <v>650</v>
      </c>
      <c r="P347" s="26">
        <v>0</v>
      </c>
      <c r="Q347" s="26">
        <f t="shared" si="10"/>
        <v>650</v>
      </c>
      <c r="R347" s="26">
        <v>0</v>
      </c>
    </row>
    <row r="348" spans="1:18">
      <c r="A348" s="41">
        <v>339</v>
      </c>
      <c r="B348" s="61" t="s">
        <v>464</v>
      </c>
      <c r="C348" s="54">
        <v>118</v>
      </c>
      <c r="D348" s="54">
        <v>385</v>
      </c>
      <c r="E348" s="54">
        <v>172</v>
      </c>
      <c r="F348" s="54">
        <v>1</v>
      </c>
      <c r="G348" s="54">
        <v>3</v>
      </c>
      <c r="H348" s="54">
        <v>0</v>
      </c>
      <c r="I348" s="54">
        <v>0</v>
      </c>
      <c r="J348" s="54">
        <v>1</v>
      </c>
      <c r="K348" s="54">
        <v>4</v>
      </c>
      <c r="L348" s="54">
        <v>5</v>
      </c>
      <c r="M348" s="54">
        <v>7</v>
      </c>
      <c r="N348" s="54">
        <v>2</v>
      </c>
      <c r="O348" s="72">
        <f t="shared" si="11"/>
        <v>698</v>
      </c>
      <c r="P348" s="26">
        <v>0</v>
      </c>
      <c r="Q348" s="26">
        <f t="shared" si="10"/>
        <v>698</v>
      </c>
      <c r="R348" s="26">
        <v>0</v>
      </c>
    </row>
    <row r="349" spans="1:18">
      <c r="A349" s="41">
        <v>340</v>
      </c>
      <c r="B349" s="61" t="s">
        <v>465</v>
      </c>
      <c r="C349" s="54">
        <v>183</v>
      </c>
      <c r="D349" s="54">
        <v>500</v>
      </c>
      <c r="E349" s="54">
        <v>30</v>
      </c>
      <c r="F349" s="54">
        <v>6</v>
      </c>
      <c r="G349" s="54">
        <v>2</v>
      </c>
      <c r="H349" s="54">
        <v>1</v>
      </c>
      <c r="I349" s="54">
        <v>2</v>
      </c>
      <c r="J349" s="54">
        <v>0</v>
      </c>
      <c r="K349" s="54">
        <v>3</v>
      </c>
      <c r="L349" s="54">
        <v>6</v>
      </c>
      <c r="M349" s="54">
        <v>1</v>
      </c>
      <c r="N349" s="54">
        <v>6</v>
      </c>
      <c r="O349" s="72">
        <f t="shared" si="11"/>
        <v>740</v>
      </c>
      <c r="P349" s="26">
        <v>0</v>
      </c>
      <c r="Q349" s="26">
        <f t="shared" si="10"/>
        <v>740</v>
      </c>
      <c r="R349" s="26">
        <v>0</v>
      </c>
    </row>
    <row r="350" spans="1:18">
      <c r="A350" s="41">
        <v>341</v>
      </c>
      <c r="B350" s="61" t="s">
        <v>466</v>
      </c>
      <c r="C350" s="54">
        <v>170</v>
      </c>
      <c r="D350" s="54">
        <v>445</v>
      </c>
      <c r="E350" s="54">
        <v>51</v>
      </c>
      <c r="F350" s="54">
        <v>4</v>
      </c>
      <c r="G350" s="54">
        <v>1</v>
      </c>
      <c r="H350" s="54">
        <v>1</v>
      </c>
      <c r="I350" s="54">
        <v>0</v>
      </c>
      <c r="J350" s="54">
        <v>0</v>
      </c>
      <c r="K350" s="54">
        <v>2</v>
      </c>
      <c r="L350" s="54">
        <v>1</v>
      </c>
      <c r="M350" s="54">
        <v>0</v>
      </c>
      <c r="N350" s="54">
        <v>6</v>
      </c>
      <c r="O350" s="72">
        <f t="shared" si="11"/>
        <v>681</v>
      </c>
      <c r="P350" s="26">
        <v>0</v>
      </c>
      <c r="Q350" s="26">
        <f t="shared" si="10"/>
        <v>681</v>
      </c>
      <c r="R350" s="26">
        <v>0</v>
      </c>
    </row>
    <row r="351" spans="1:18">
      <c r="A351" s="41">
        <v>342</v>
      </c>
      <c r="B351" s="61" t="s">
        <v>467</v>
      </c>
      <c r="C351" s="54">
        <v>23</v>
      </c>
      <c r="D351" s="54">
        <v>206</v>
      </c>
      <c r="E351" s="54">
        <v>73</v>
      </c>
      <c r="F351" s="54">
        <v>2</v>
      </c>
      <c r="G351" s="54">
        <v>2</v>
      </c>
      <c r="H351" s="54">
        <v>0</v>
      </c>
      <c r="I351" s="54">
        <v>0</v>
      </c>
      <c r="J351" s="54">
        <v>1</v>
      </c>
      <c r="K351" s="54">
        <v>0</v>
      </c>
      <c r="L351" s="54">
        <v>2</v>
      </c>
      <c r="M351" s="54">
        <v>0</v>
      </c>
      <c r="N351" s="54">
        <v>1</v>
      </c>
      <c r="O351" s="72">
        <f t="shared" si="11"/>
        <v>310</v>
      </c>
      <c r="P351" s="26">
        <v>0</v>
      </c>
      <c r="Q351" s="26">
        <f t="shared" si="10"/>
        <v>310</v>
      </c>
      <c r="R351" s="26">
        <v>0</v>
      </c>
    </row>
    <row r="352" spans="1:18">
      <c r="A352" s="41">
        <v>343</v>
      </c>
      <c r="B352" s="62" t="s">
        <v>468</v>
      </c>
      <c r="C352" s="54">
        <v>157</v>
      </c>
      <c r="D352" s="54">
        <v>44</v>
      </c>
      <c r="E352" s="54">
        <v>313</v>
      </c>
      <c r="F352" s="54">
        <v>1</v>
      </c>
      <c r="G352" s="54">
        <v>0</v>
      </c>
      <c r="H352" s="54">
        <v>0</v>
      </c>
      <c r="I352" s="54">
        <v>0</v>
      </c>
      <c r="J352" s="54">
        <v>0</v>
      </c>
      <c r="K352" s="54">
        <v>0</v>
      </c>
      <c r="L352" s="54">
        <v>0</v>
      </c>
      <c r="M352" s="54">
        <v>2</v>
      </c>
      <c r="N352" s="54">
        <v>7</v>
      </c>
      <c r="O352" s="72">
        <f t="shared" si="11"/>
        <v>524</v>
      </c>
      <c r="P352" s="26">
        <v>0</v>
      </c>
      <c r="Q352" s="26">
        <f t="shared" si="10"/>
        <v>524</v>
      </c>
      <c r="R352" s="26">
        <v>0</v>
      </c>
    </row>
    <row r="353" spans="1:18">
      <c r="A353" s="41">
        <v>344</v>
      </c>
      <c r="B353" s="61" t="s">
        <v>469</v>
      </c>
      <c r="C353" s="54">
        <v>272</v>
      </c>
      <c r="D353" s="54">
        <v>196</v>
      </c>
      <c r="E353" s="54">
        <v>64</v>
      </c>
      <c r="F353" s="54">
        <v>2</v>
      </c>
      <c r="G353" s="54">
        <v>0</v>
      </c>
      <c r="H353" s="54">
        <v>0</v>
      </c>
      <c r="I353" s="54">
        <v>1</v>
      </c>
      <c r="J353" s="54">
        <v>0</v>
      </c>
      <c r="K353" s="54">
        <v>0</v>
      </c>
      <c r="L353" s="54">
        <v>0</v>
      </c>
      <c r="M353" s="54">
        <v>2</v>
      </c>
      <c r="N353" s="54">
        <v>2</v>
      </c>
      <c r="O353" s="72">
        <f t="shared" si="11"/>
        <v>539</v>
      </c>
      <c r="P353" s="26">
        <v>0</v>
      </c>
      <c r="Q353" s="26">
        <f t="shared" si="10"/>
        <v>539</v>
      </c>
      <c r="R353" s="26">
        <v>0</v>
      </c>
    </row>
    <row r="354" spans="1:18" ht="22.5">
      <c r="A354" s="41">
        <v>345</v>
      </c>
      <c r="B354" s="61" t="s">
        <v>470</v>
      </c>
      <c r="C354" s="54">
        <v>5</v>
      </c>
      <c r="D354" s="54">
        <v>97</v>
      </c>
      <c r="E354" s="54">
        <v>414</v>
      </c>
      <c r="F354" s="54">
        <v>9</v>
      </c>
      <c r="G354" s="54">
        <v>0</v>
      </c>
      <c r="H354" s="54">
        <v>1</v>
      </c>
      <c r="I354" s="54">
        <v>1</v>
      </c>
      <c r="J354" s="54">
        <v>1</v>
      </c>
      <c r="K354" s="54">
        <v>2</v>
      </c>
      <c r="L354" s="54">
        <v>1</v>
      </c>
      <c r="M354" s="54">
        <v>3</v>
      </c>
      <c r="N354" s="54">
        <v>9</v>
      </c>
      <c r="O354" s="72">
        <f t="shared" si="11"/>
        <v>543</v>
      </c>
      <c r="P354" s="26">
        <v>0</v>
      </c>
      <c r="Q354" s="26">
        <f t="shared" si="10"/>
        <v>543</v>
      </c>
      <c r="R354" s="26">
        <v>0</v>
      </c>
    </row>
    <row r="355" spans="1:18" ht="22.5">
      <c r="A355" s="41">
        <v>346</v>
      </c>
      <c r="B355" s="61" t="s">
        <v>471</v>
      </c>
      <c r="C355" s="54">
        <v>177</v>
      </c>
      <c r="D355" s="54">
        <v>293</v>
      </c>
      <c r="E355" s="54">
        <v>137</v>
      </c>
      <c r="F355" s="54">
        <v>1</v>
      </c>
      <c r="G355" s="54">
        <v>1</v>
      </c>
      <c r="H355" s="54">
        <v>0</v>
      </c>
      <c r="I355" s="54">
        <v>2</v>
      </c>
      <c r="J355" s="54">
        <v>0</v>
      </c>
      <c r="K355" s="54">
        <v>1</v>
      </c>
      <c r="L355" s="54">
        <v>3</v>
      </c>
      <c r="M355" s="54">
        <v>4</v>
      </c>
      <c r="N355" s="54">
        <v>7</v>
      </c>
      <c r="O355" s="72">
        <f t="shared" si="11"/>
        <v>626</v>
      </c>
      <c r="P355" s="26">
        <v>0</v>
      </c>
      <c r="Q355" s="26">
        <f t="shared" si="10"/>
        <v>626</v>
      </c>
      <c r="R355" s="26">
        <v>0</v>
      </c>
    </row>
    <row r="356" spans="1:18" ht="22.5">
      <c r="A356" s="41">
        <v>347</v>
      </c>
      <c r="B356" s="61" t="s">
        <v>472</v>
      </c>
      <c r="C356" s="54">
        <v>132</v>
      </c>
      <c r="D356" s="54">
        <v>241</v>
      </c>
      <c r="E356" s="54">
        <v>129</v>
      </c>
      <c r="F356" s="54">
        <v>3</v>
      </c>
      <c r="G356" s="54">
        <v>0</v>
      </c>
      <c r="H356" s="54">
        <v>0</v>
      </c>
      <c r="I356" s="54">
        <v>1</v>
      </c>
      <c r="J356" s="54">
        <v>0</v>
      </c>
      <c r="K356" s="54">
        <v>1</v>
      </c>
      <c r="L356" s="54">
        <v>3</v>
      </c>
      <c r="M356" s="54">
        <v>0</v>
      </c>
      <c r="N356" s="54">
        <v>4</v>
      </c>
      <c r="O356" s="72">
        <f t="shared" si="11"/>
        <v>514</v>
      </c>
      <c r="P356" s="26">
        <v>0</v>
      </c>
      <c r="Q356" s="26">
        <f t="shared" si="10"/>
        <v>514</v>
      </c>
      <c r="R356" s="26">
        <v>0</v>
      </c>
    </row>
    <row r="357" spans="1:18">
      <c r="A357" s="41">
        <v>348</v>
      </c>
      <c r="B357" s="61" t="s">
        <v>473</v>
      </c>
      <c r="C357" s="54">
        <v>6</v>
      </c>
      <c r="D357" s="54">
        <v>543</v>
      </c>
      <c r="E357" s="54">
        <v>87</v>
      </c>
      <c r="F357" s="54">
        <v>5</v>
      </c>
      <c r="G357" s="54">
        <v>0</v>
      </c>
      <c r="H357" s="54">
        <v>0</v>
      </c>
      <c r="I357" s="54">
        <v>0</v>
      </c>
      <c r="J357" s="54">
        <v>1</v>
      </c>
      <c r="K357" s="54">
        <v>6</v>
      </c>
      <c r="L357" s="54">
        <v>1</v>
      </c>
      <c r="M357" s="54">
        <v>5</v>
      </c>
      <c r="N357" s="54">
        <v>3</v>
      </c>
      <c r="O357" s="72">
        <f t="shared" si="11"/>
        <v>657</v>
      </c>
      <c r="P357" s="26">
        <v>0</v>
      </c>
      <c r="Q357" s="26">
        <f t="shared" si="10"/>
        <v>657</v>
      </c>
      <c r="R357" s="26">
        <v>0</v>
      </c>
    </row>
    <row r="358" spans="1:18">
      <c r="A358" s="41">
        <v>349</v>
      </c>
      <c r="B358" s="61" t="s">
        <v>474</v>
      </c>
      <c r="C358" s="54">
        <v>20</v>
      </c>
      <c r="D358" s="54">
        <v>417</v>
      </c>
      <c r="E358" s="54">
        <v>141</v>
      </c>
      <c r="F358" s="54">
        <v>1</v>
      </c>
      <c r="G358" s="54">
        <v>0</v>
      </c>
      <c r="H358" s="54">
        <v>0</v>
      </c>
      <c r="I358" s="54">
        <v>0</v>
      </c>
      <c r="J358" s="54">
        <v>0</v>
      </c>
      <c r="K358" s="54">
        <v>0</v>
      </c>
      <c r="L358" s="54">
        <v>1</v>
      </c>
      <c r="M358" s="54">
        <v>3</v>
      </c>
      <c r="N358" s="54">
        <v>2</v>
      </c>
      <c r="O358" s="72">
        <f t="shared" si="11"/>
        <v>585</v>
      </c>
      <c r="P358" s="26">
        <v>0</v>
      </c>
      <c r="Q358" s="26">
        <f t="shared" si="10"/>
        <v>585</v>
      </c>
      <c r="R358" s="26">
        <v>0</v>
      </c>
    </row>
    <row r="359" spans="1:18">
      <c r="A359" s="41">
        <v>350</v>
      </c>
      <c r="B359" s="61" t="s">
        <v>475</v>
      </c>
      <c r="C359" s="54">
        <v>76</v>
      </c>
      <c r="D359" s="54">
        <v>137</v>
      </c>
      <c r="E359" s="54">
        <v>417</v>
      </c>
      <c r="F359" s="54">
        <v>4</v>
      </c>
      <c r="G359" s="54">
        <v>0</v>
      </c>
      <c r="H359" s="54">
        <v>0</v>
      </c>
      <c r="I359" s="54">
        <v>1</v>
      </c>
      <c r="J359" s="54">
        <v>0</v>
      </c>
      <c r="K359" s="54">
        <v>1</v>
      </c>
      <c r="L359" s="54">
        <v>3</v>
      </c>
      <c r="M359" s="54">
        <v>4</v>
      </c>
      <c r="N359" s="54">
        <v>0</v>
      </c>
      <c r="O359" s="72">
        <f t="shared" si="11"/>
        <v>643</v>
      </c>
      <c r="P359" s="26">
        <v>0</v>
      </c>
      <c r="Q359" s="26">
        <f t="shared" si="10"/>
        <v>643</v>
      </c>
      <c r="R359" s="26">
        <v>0</v>
      </c>
    </row>
    <row r="360" spans="1:18">
      <c r="A360" s="41">
        <v>351</v>
      </c>
      <c r="B360" s="61" t="s">
        <v>476</v>
      </c>
      <c r="C360" s="54">
        <f t="array" ref="C360:N373">TRANSPOSE(Constiuence!C850:P861)</f>
        <v>118</v>
      </c>
      <c r="D360" s="54">
        <v>334</v>
      </c>
      <c r="E360" s="54">
        <v>331</v>
      </c>
      <c r="F360" s="54">
        <v>8</v>
      </c>
      <c r="G360" s="54">
        <v>2</v>
      </c>
      <c r="H360" s="54">
        <v>1</v>
      </c>
      <c r="I360" s="54">
        <v>1</v>
      </c>
      <c r="J360" s="54">
        <v>6</v>
      </c>
      <c r="K360" s="54">
        <v>2</v>
      </c>
      <c r="L360" s="54">
        <v>6</v>
      </c>
      <c r="M360" s="54">
        <v>3</v>
      </c>
      <c r="N360" s="54">
        <v>4</v>
      </c>
      <c r="O360" s="72">
        <f t="shared" si="11"/>
        <v>816</v>
      </c>
      <c r="P360" s="26">
        <v>0</v>
      </c>
      <c r="Q360" s="26">
        <f t="shared" si="10"/>
        <v>816</v>
      </c>
      <c r="R360" s="26">
        <v>0</v>
      </c>
    </row>
    <row r="361" spans="1:18" ht="22.5">
      <c r="A361" s="41">
        <v>352</v>
      </c>
      <c r="B361" s="61" t="s">
        <v>477</v>
      </c>
      <c r="C361" s="54">
        <v>66</v>
      </c>
      <c r="D361" s="54">
        <v>75</v>
      </c>
      <c r="E361" s="54">
        <v>478</v>
      </c>
      <c r="F361" s="54">
        <v>4</v>
      </c>
      <c r="G361" s="54">
        <v>0</v>
      </c>
      <c r="H361" s="54">
        <v>0</v>
      </c>
      <c r="I361" s="54">
        <v>1</v>
      </c>
      <c r="J361" s="54">
        <v>0</v>
      </c>
      <c r="K361" s="54">
        <v>0</v>
      </c>
      <c r="L361" s="54">
        <v>1</v>
      </c>
      <c r="M361" s="54">
        <v>1</v>
      </c>
      <c r="N361" s="54">
        <v>2</v>
      </c>
      <c r="O361" s="72">
        <f t="shared" si="11"/>
        <v>628</v>
      </c>
      <c r="P361" s="26">
        <v>0</v>
      </c>
      <c r="Q361" s="26">
        <f t="shared" si="10"/>
        <v>628</v>
      </c>
      <c r="R361" s="26">
        <v>0</v>
      </c>
    </row>
    <row r="362" spans="1:18" ht="22.5">
      <c r="A362" s="41">
        <v>353</v>
      </c>
      <c r="B362" s="61" t="s">
        <v>478</v>
      </c>
      <c r="C362" s="54">
        <v>197</v>
      </c>
      <c r="D362" s="54">
        <v>32</v>
      </c>
      <c r="E362" s="54">
        <v>349</v>
      </c>
      <c r="F362" s="54">
        <v>4</v>
      </c>
      <c r="G362" s="54">
        <v>0</v>
      </c>
      <c r="H362" s="54">
        <v>1</v>
      </c>
      <c r="I362" s="54">
        <v>0</v>
      </c>
      <c r="J362" s="54">
        <v>0</v>
      </c>
      <c r="K362" s="54">
        <v>3</v>
      </c>
      <c r="L362" s="54">
        <v>2</v>
      </c>
      <c r="M362" s="54">
        <v>5</v>
      </c>
      <c r="N362" s="54">
        <v>7</v>
      </c>
      <c r="O362" s="72">
        <f t="shared" si="11"/>
        <v>600</v>
      </c>
      <c r="P362" s="26">
        <v>0</v>
      </c>
      <c r="Q362" s="26">
        <f t="shared" si="10"/>
        <v>600</v>
      </c>
      <c r="R362" s="26">
        <v>0</v>
      </c>
    </row>
    <row r="363" spans="1:18">
      <c r="A363" s="41">
        <v>354</v>
      </c>
      <c r="B363" s="61" t="s">
        <v>479</v>
      </c>
      <c r="C363" s="54">
        <v>61</v>
      </c>
      <c r="D363" s="54">
        <v>45</v>
      </c>
      <c r="E363" s="54">
        <v>267</v>
      </c>
      <c r="F363" s="54">
        <v>0</v>
      </c>
      <c r="G363" s="54">
        <v>0</v>
      </c>
      <c r="H363" s="54">
        <v>0</v>
      </c>
      <c r="I363" s="54">
        <v>0</v>
      </c>
      <c r="J363" s="54">
        <v>2</v>
      </c>
      <c r="K363" s="54">
        <v>0</v>
      </c>
      <c r="L363" s="54">
        <v>4</v>
      </c>
      <c r="M363" s="54">
        <v>2</v>
      </c>
      <c r="N363" s="54">
        <v>0</v>
      </c>
      <c r="O363" s="72">
        <f t="shared" si="11"/>
        <v>381</v>
      </c>
      <c r="P363" s="26">
        <v>0</v>
      </c>
      <c r="Q363" s="26">
        <f t="shared" si="10"/>
        <v>381</v>
      </c>
      <c r="R363" s="26">
        <v>0</v>
      </c>
    </row>
    <row r="364" spans="1:18">
      <c r="A364" s="41">
        <v>355</v>
      </c>
      <c r="B364" s="61" t="s">
        <v>480</v>
      </c>
      <c r="C364" s="54">
        <v>123</v>
      </c>
      <c r="D364" s="54">
        <v>9</v>
      </c>
      <c r="E364" s="54">
        <v>437</v>
      </c>
      <c r="F364" s="54">
        <v>0</v>
      </c>
      <c r="G364" s="54">
        <v>0</v>
      </c>
      <c r="H364" s="54">
        <v>0</v>
      </c>
      <c r="I364" s="54">
        <v>0</v>
      </c>
      <c r="J364" s="54">
        <v>0</v>
      </c>
      <c r="K364" s="54">
        <v>0</v>
      </c>
      <c r="L364" s="54">
        <v>7</v>
      </c>
      <c r="M364" s="54">
        <v>0</v>
      </c>
      <c r="N364" s="54">
        <v>1</v>
      </c>
      <c r="O364" s="72">
        <f t="shared" si="11"/>
        <v>577</v>
      </c>
      <c r="P364" s="26">
        <v>0</v>
      </c>
      <c r="Q364" s="26">
        <f t="shared" si="10"/>
        <v>577</v>
      </c>
      <c r="R364" s="26">
        <v>0</v>
      </c>
    </row>
    <row r="365" spans="1:18" ht="22.5">
      <c r="A365" s="41">
        <v>356</v>
      </c>
      <c r="B365" s="61" t="s">
        <v>481</v>
      </c>
      <c r="C365" s="54">
        <v>15</v>
      </c>
      <c r="D365" s="54">
        <v>237</v>
      </c>
      <c r="E365" s="54">
        <v>456</v>
      </c>
      <c r="F365" s="54">
        <v>1</v>
      </c>
      <c r="G365" s="54">
        <v>0</v>
      </c>
      <c r="H365" s="54">
        <v>1</v>
      </c>
      <c r="I365" s="54">
        <v>2</v>
      </c>
      <c r="J365" s="54">
        <v>1</v>
      </c>
      <c r="K365" s="54">
        <v>1</v>
      </c>
      <c r="L365" s="54">
        <v>6</v>
      </c>
      <c r="M365" s="54">
        <v>1</v>
      </c>
      <c r="N365" s="54">
        <v>1</v>
      </c>
      <c r="O365" s="72">
        <f t="shared" si="11"/>
        <v>722</v>
      </c>
      <c r="P365" s="26">
        <v>0</v>
      </c>
      <c r="Q365" s="26">
        <f t="shared" si="10"/>
        <v>722</v>
      </c>
      <c r="R365" s="26">
        <v>0</v>
      </c>
    </row>
    <row r="366" spans="1:18" ht="22.5">
      <c r="A366" s="41">
        <v>357</v>
      </c>
      <c r="B366" s="61" t="s">
        <v>482</v>
      </c>
      <c r="C366" s="54">
        <v>389</v>
      </c>
      <c r="D366" s="54">
        <v>85</v>
      </c>
      <c r="E366" s="54">
        <v>304</v>
      </c>
      <c r="F366" s="54">
        <v>3</v>
      </c>
      <c r="G366" s="54">
        <v>0</v>
      </c>
      <c r="H366" s="54">
        <v>0</v>
      </c>
      <c r="I366" s="54">
        <v>1</v>
      </c>
      <c r="J366" s="54">
        <v>0</v>
      </c>
      <c r="K366" s="54">
        <v>3</v>
      </c>
      <c r="L366" s="54">
        <v>2</v>
      </c>
      <c r="M366" s="54">
        <v>1</v>
      </c>
      <c r="N366" s="54">
        <v>6</v>
      </c>
      <c r="O366" s="72">
        <f t="shared" si="11"/>
        <v>794</v>
      </c>
      <c r="P366" s="26">
        <v>0</v>
      </c>
      <c r="Q366" s="26">
        <f t="shared" si="10"/>
        <v>794</v>
      </c>
      <c r="R366" s="26">
        <v>0</v>
      </c>
    </row>
    <row r="367" spans="1:18">
      <c r="A367" s="41">
        <v>358</v>
      </c>
      <c r="B367" s="61" t="s">
        <v>483</v>
      </c>
      <c r="C367" s="54">
        <v>3</v>
      </c>
      <c r="D367" s="54">
        <v>4</v>
      </c>
      <c r="E367" s="54">
        <v>338</v>
      </c>
      <c r="F367" s="54">
        <v>2</v>
      </c>
      <c r="G367" s="54">
        <v>0</v>
      </c>
      <c r="H367" s="54">
        <v>1</v>
      </c>
      <c r="I367" s="54">
        <v>0</v>
      </c>
      <c r="J367" s="54">
        <v>0</v>
      </c>
      <c r="K367" s="54">
        <v>0</v>
      </c>
      <c r="L367" s="54">
        <v>0</v>
      </c>
      <c r="M367" s="54">
        <v>0</v>
      </c>
      <c r="N367" s="54">
        <v>1</v>
      </c>
      <c r="O367" s="72">
        <f t="shared" si="11"/>
        <v>349</v>
      </c>
      <c r="P367" s="26">
        <v>0</v>
      </c>
      <c r="Q367" s="26">
        <f t="shared" si="10"/>
        <v>349</v>
      </c>
      <c r="R367" s="26">
        <v>0</v>
      </c>
    </row>
    <row r="368" spans="1:18">
      <c r="A368" s="41">
        <v>359</v>
      </c>
      <c r="B368" s="61" t="s">
        <v>484</v>
      </c>
      <c r="C368" s="54">
        <v>219</v>
      </c>
      <c r="D368" s="54">
        <v>64</v>
      </c>
      <c r="E368" s="54">
        <v>382</v>
      </c>
      <c r="F368" s="54">
        <v>1</v>
      </c>
      <c r="G368" s="54">
        <v>0</v>
      </c>
      <c r="H368" s="54">
        <v>0</v>
      </c>
      <c r="I368" s="54">
        <v>0</v>
      </c>
      <c r="J368" s="54">
        <v>3</v>
      </c>
      <c r="K368" s="54">
        <v>0</v>
      </c>
      <c r="L368" s="54">
        <v>0</v>
      </c>
      <c r="M368" s="54">
        <v>0</v>
      </c>
      <c r="N368" s="54">
        <v>4</v>
      </c>
      <c r="O368" s="72">
        <f t="shared" si="11"/>
        <v>673</v>
      </c>
      <c r="P368" s="26">
        <v>0</v>
      </c>
      <c r="Q368" s="26">
        <f t="shared" si="10"/>
        <v>673</v>
      </c>
      <c r="R368" s="26">
        <v>0</v>
      </c>
    </row>
    <row r="369" spans="1:18">
      <c r="A369" s="41">
        <v>360</v>
      </c>
      <c r="B369" s="61" t="s">
        <v>485</v>
      </c>
      <c r="C369" s="54">
        <v>11</v>
      </c>
      <c r="D369" s="54">
        <v>121</v>
      </c>
      <c r="E369" s="54">
        <v>660</v>
      </c>
      <c r="F369" s="54">
        <v>4</v>
      </c>
      <c r="G369" s="54">
        <v>1</v>
      </c>
      <c r="H369" s="54">
        <v>0</v>
      </c>
      <c r="I369" s="54">
        <v>0</v>
      </c>
      <c r="J369" s="54">
        <v>0</v>
      </c>
      <c r="K369" s="54">
        <v>2</v>
      </c>
      <c r="L369" s="54">
        <v>7</v>
      </c>
      <c r="M369" s="54">
        <v>3</v>
      </c>
      <c r="N369" s="54">
        <v>4</v>
      </c>
      <c r="O369" s="72">
        <f t="shared" si="11"/>
        <v>813</v>
      </c>
      <c r="P369" s="26">
        <v>0</v>
      </c>
      <c r="Q369" s="26">
        <f t="shared" si="10"/>
        <v>813</v>
      </c>
      <c r="R369" s="26">
        <v>0</v>
      </c>
    </row>
    <row r="370" spans="1:18">
      <c r="A370" s="41">
        <v>361</v>
      </c>
      <c r="B370" s="61" t="s">
        <v>486</v>
      </c>
      <c r="C370" s="54">
        <v>49</v>
      </c>
      <c r="D370" s="54">
        <v>115</v>
      </c>
      <c r="E370" s="54">
        <v>566</v>
      </c>
      <c r="F370" s="54">
        <v>6</v>
      </c>
      <c r="G370" s="54">
        <v>2</v>
      </c>
      <c r="H370" s="54">
        <v>0</v>
      </c>
      <c r="I370" s="54">
        <v>1</v>
      </c>
      <c r="J370" s="54">
        <v>0</v>
      </c>
      <c r="K370" s="54">
        <v>1</v>
      </c>
      <c r="L370" s="54">
        <v>3</v>
      </c>
      <c r="M370" s="54">
        <v>1</v>
      </c>
      <c r="N370" s="54">
        <v>3</v>
      </c>
      <c r="O370" s="72">
        <f t="shared" si="11"/>
        <v>747</v>
      </c>
      <c r="P370" s="26">
        <v>0</v>
      </c>
      <c r="Q370" s="26">
        <f t="shared" si="10"/>
        <v>747</v>
      </c>
      <c r="R370" s="26">
        <v>0</v>
      </c>
    </row>
    <row r="371" spans="1:18">
      <c r="A371" s="41">
        <v>362</v>
      </c>
      <c r="B371" s="61" t="s">
        <v>487</v>
      </c>
      <c r="C371" s="54">
        <v>74</v>
      </c>
      <c r="D371" s="54">
        <v>164</v>
      </c>
      <c r="E371" s="54">
        <v>499</v>
      </c>
      <c r="F371" s="54">
        <v>3</v>
      </c>
      <c r="G371" s="54">
        <v>0</v>
      </c>
      <c r="H371" s="54">
        <v>0</v>
      </c>
      <c r="I371" s="54">
        <v>0</v>
      </c>
      <c r="J371" s="54">
        <v>2</v>
      </c>
      <c r="K371" s="54">
        <v>0</v>
      </c>
      <c r="L371" s="54">
        <v>2</v>
      </c>
      <c r="M371" s="54">
        <v>1</v>
      </c>
      <c r="N371" s="54">
        <v>0</v>
      </c>
      <c r="O371" s="72">
        <f t="shared" si="11"/>
        <v>745</v>
      </c>
      <c r="P371" s="26">
        <v>0</v>
      </c>
      <c r="Q371" s="26">
        <f t="shared" si="10"/>
        <v>745</v>
      </c>
      <c r="R371" s="26">
        <v>0</v>
      </c>
    </row>
    <row r="372" spans="1:18">
      <c r="A372" s="41">
        <v>363</v>
      </c>
      <c r="B372" s="61" t="s">
        <v>488</v>
      </c>
      <c r="C372" s="54">
        <v>50</v>
      </c>
      <c r="D372" s="54">
        <v>33</v>
      </c>
      <c r="E372" s="54">
        <v>296</v>
      </c>
      <c r="F372" s="54">
        <v>1</v>
      </c>
      <c r="G372" s="54">
        <v>0</v>
      </c>
      <c r="H372" s="54">
        <v>0</v>
      </c>
      <c r="I372" s="54">
        <v>1</v>
      </c>
      <c r="J372" s="54">
        <v>2</v>
      </c>
      <c r="K372" s="54">
        <v>0</v>
      </c>
      <c r="L372" s="54">
        <v>4</v>
      </c>
      <c r="M372" s="54">
        <v>2</v>
      </c>
      <c r="N372" s="54">
        <v>0</v>
      </c>
      <c r="O372" s="72">
        <f t="shared" si="11"/>
        <v>389</v>
      </c>
      <c r="P372" s="26">
        <v>0</v>
      </c>
      <c r="Q372" s="26">
        <f t="shared" si="10"/>
        <v>389</v>
      </c>
      <c r="R372" s="26">
        <v>0</v>
      </c>
    </row>
    <row r="373" spans="1:18" ht="22.5">
      <c r="A373" s="41">
        <v>364</v>
      </c>
      <c r="B373" s="61" t="s">
        <v>489</v>
      </c>
      <c r="C373" s="54">
        <v>4</v>
      </c>
      <c r="D373" s="54">
        <v>113</v>
      </c>
      <c r="E373" s="54">
        <v>419</v>
      </c>
      <c r="F373" s="54">
        <v>3</v>
      </c>
      <c r="G373" s="54">
        <v>1</v>
      </c>
      <c r="H373" s="54">
        <v>0</v>
      </c>
      <c r="I373" s="54">
        <v>0</v>
      </c>
      <c r="J373" s="54">
        <v>0</v>
      </c>
      <c r="K373" s="54">
        <v>1</v>
      </c>
      <c r="L373" s="54">
        <v>5</v>
      </c>
      <c r="M373" s="54">
        <v>0</v>
      </c>
      <c r="N373" s="54">
        <v>2</v>
      </c>
      <c r="O373" s="72">
        <f t="shared" si="11"/>
        <v>548</v>
      </c>
      <c r="P373" s="26">
        <v>0</v>
      </c>
      <c r="Q373" s="26">
        <f t="shared" si="10"/>
        <v>548</v>
      </c>
      <c r="R373" s="26">
        <v>0</v>
      </c>
    </row>
    <row r="374" spans="1:18" ht="22.5">
      <c r="A374" s="41">
        <v>365</v>
      </c>
      <c r="B374" s="61" t="s">
        <v>490</v>
      </c>
      <c r="C374" s="54">
        <f t="array" ref="C374:N387">TRANSPOSE(Constiuence!C883:P894)</f>
        <v>98</v>
      </c>
      <c r="D374" s="54">
        <v>297</v>
      </c>
      <c r="E374" s="54">
        <v>137</v>
      </c>
      <c r="F374" s="54">
        <v>1</v>
      </c>
      <c r="G374" s="54">
        <v>1</v>
      </c>
      <c r="H374" s="54">
        <v>0</v>
      </c>
      <c r="I374" s="54">
        <v>0</v>
      </c>
      <c r="J374" s="54">
        <v>0</v>
      </c>
      <c r="K374" s="54">
        <v>17</v>
      </c>
      <c r="L374" s="54">
        <v>2</v>
      </c>
      <c r="M374" s="54">
        <v>3</v>
      </c>
      <c r="N374" s="54">
        <v>4</v>
      </c>
      <c r="O374" s="72">
        <f t="shared" si="11"/>
        <v>560</v>
      </c>
      <c r="P374" s="26">
        <v>0</v>
      </c>
      <c r="Q374" s="26">
        <f t="shared" si="10"/>
        <v>560</v>
      </c>
      <c r="R374" s="26">
        <v>0</v>
      </c>
    </row>
    <row r="375" spans="1:18" ht="22.5">
      <c r="A375" s="41">
        <v>366</v>
      </c>
      <c r="B375" s="61" t="s">
        <v>491</v>
      </c>
      <c r="C375" s="54">
        <v>13</v>
      </c>
      <c r="D375" s="54">
        <v>315</v>
      </c>
      <c r="E375" s="54">
        <v>302</v>
      </c>
      <c r="F375" s="54">
        <v>5</v>
      </c>
      <c r="G375" s="54">
        <v>0</v>
      </c>
      <c r="H375" s="54">
        <v>2</v>
      </c>
      <c r="I375" s="54">
        <v>1</v>
      </c>
      <c r="J375" s="54">
        <v>1</v>
      </c>
      <c r="K375" s="54">
        <v>5</v>
      </c>
      <c r="L375" s="54">
        <v>1</v>
      </c>
      <c r="M375" s="54">
        <v>3</v>
      </c>
      <c r="N375" s="54">
        <v>3</v>
      </c>
      <c r="O375" s="72">
        <f t="shared" si="11"/>
        <v>651</v>
      </c>
      <c r="P375" s="26">
        <v>0</v>
      </c>
      <c r="Q375" s="26">
        <f t="shared" si="10"/>
        <v>651</v>
      </c>
      <c r="R375" s="26">
        <v>0</v>
      </c>
    </row>
    <row r="376" spans="1:18" ht="22.5">
      <c r="A376" s="41">
        <v>367</v>
      </c>
      <c r="B376" s="61" t="s">
        <v>492</v>
      </c>
      <c r="C376" s="54">
        <v>8</v>
      </c>
      <c r="D376" s="54">
        <v>224</v>
      </c>
      <c r="E376" s="54">
        <v>411</v>
      </c>
      <c r="F376" s="54">
        <v>7</v>
      </c>
      <c r="G376" s="54">
        <v>2</v>
      </c>
      <c r="H376" s="54">
        <v>1</v>
      </c>
      <c r="I376" s="54">
        <v>0</v>
      </c>
      <c r="J376" s="54">
        <v>1</v>
      </c>
      <c r="K376" s="54">
        <v>0</v>
      </c>
      <c r="L376" s="54">
        <v>3</v>
      </c>
      <c r="M376" s="54">
        <v>2</v>
      </c>
      <c r="N376" s="54">
        <v>4</v>
      </c>
      <c r="O376" s="72">
        <f t="shared" si="11"/>
        <v>663</v>
      </c>
      <c r="P376" s="26">
        <v>0</v>
      </c>
      <c r="Q376" s="26">
        <f t="shared" si="10"/>
        <v>663</v>
      </c>
      <c r="R376" s="26">
        <v>0</v>
      </c>
    </row>
    <row r="377" spans="1:18" ht="22.5">
      <c r="A377" s="41">
        <v>368</v>
      </c>
      <c r="B377" s="61" t="s">
        <v>493</v>
      </c>
      <c r="C377" s="54">
        <v>254</v>
      </c>
      <c r="D377" s="54">
        <v>207</v>
      </c>
      <c r="E377" s="54">
        <v>97</v>
      </c>
      <c r="F377" s="54">
        <v>1</v>
      </c>
      <c r="G377" s="54">
        <v>0</v>
      </c>
      <c r="H377" s="54">
        <v>0</v>
      </c>
      <c r="I377" s="54">
        <v>1</v>
      </c>
      <c r="J377" s="54">
        <v>0</v>
      </c>
      <c r="K377" s="54">
        <v>0</v>
      </c>
      <c r="L377" s="54">
        <v>2</v>
      </c>
      <c r="M377" s="54">
        <v>2</v>
      </c>
      <c r="N377" s="54">
        <v>4</v>
      </c>
      <c r="O377" s="72">
        <f t="shared" si="11"/>
        <v>568</v>
      </c>
      <c r="P377" s="26">
        <v>0</v>
      </c>
      <c r="Q377" s="26">
        <f t="shared" si="10"/>
        <v>568</v>
      </c>
      <c r="R377" s="26">
        <v>0</v>
      </c>
    </row>
    <row r="378" spans="1:18">
      <c r="A378" s="41">
        <v>369</v>
      </c>
      <c r="B378" s="61" t="s">
        <v>494</v>
      </c>
      <c r="C378" s="54">
        <v>203</v>
      </c>
      <c r="D378" s="54">
        <v>39</v>
      </c>
      <c r="E378" s="54">
        <v>349</v>
      </c>
      <c r="F378" s="54">
        <v>1</v>
      </c>
      <c r="G378" s="54">
        <v>0</v>
      </c>
      <c r="H378" s="54">
        <v>0</v>
      </c>
      <c r="I378" s="54">
        <v>0</v>
      </c>
      <c r="J378" s="54">
        <v>2</v>
      </c>
      <c r="K378" s="54">
        <v>1</v>
      </c>
      <c r="L378" s="54">
        <v>6</v>
      </c>
      <c r="M378" s="54">
        <v>0</v>
      </c>
      <c r="N378" s="54">
        <v>2</v>
      </c>
      <c r="O378" s="72">
        <f t="shared" si="11"/>
        <v>603</v>
      </c>
      <c r="P378" s="26">
        <v>0</v>
      </c>
      <c r="Q378" s="26">
        <f t="shared" si="10"/>
        <v>603</v>
      </c>
      <c r="R378" s="26">
        <v>0</v>
      </c>
    </row>
    <row r="379" spans="1:18" ht="22.5">
      <c r="A379" s="41">
        <v>370</v>
      </c>
      <c r="B379" s="62" t="s">
        <v>495</v>
      </c>
      <c r="C379" s="54">
        <v>156</v>
      </c>
      <c r="D379" s="54">
        <v>37</v>
      </c>
      <c r="E379" s="54">
        <v>449</v>
      </c>
      <c r="F379" s="54">
        <v>1</v>
      </c>
      <c r="G379" s="54">
        <v>1</v>
      </c>
      <c r="H379" s="54">
        <v>0</v>
      </c>
      <c r="I379" s="54">
        <v>1</v>
      </c>
      <c r="J379" s="54">
        <v>1</v>
      </c>
      <c r="K379" s="54">
        <v>0</v>
      </c>
      <c r="L379" s="54">
        <v>1</v>
      </c>
      <c r="M379" s="54">
        <v>6</v>
      </c>
      <c r="N379" s="54">
        <v>0</v>
      </c>
      <c r="O379" s="72">
        <f t="shared" si="11"/>
        <v>653</v>
      </c>
      <c r="P379" s="26">
        <v>0</v>
      </c>
      <c r="Q379" s="26">
        <f t="shared" si="10"/>
        <v>653</v>
      </c>
      <c r="R379" s="26">
        <v>0</v>
      </c>
    </row>
    <row r="380" spans="1:18" ht="22.5">
      <c r="A380" s="41">
        <v>371</v>
      </c>
      <c r="B380" s="62" t="s">
        <v>496</v>
      </c>
      <c r="C380" s="54">
        <v>54</v>
      </c>
      <c r="D380" s="54">
        <v>169</v>
      </c>
      <c r="E380" s="54">
        <v>479</v>
      </c>
      <c r="F380" s="54">
        <v>6</v>
      </c>
      <c r="G380" s="54">
        <v>0</v>
      </c>
      <c r="H380" s="54">
        <v>1</v>
      </c>
      <c r="I380" s="54">
        <v>1</v>
      </c>
      <c r="J380" s="54">
        <v>1</v>
      </c>
      <c r="K380" s="54">
        <v>2</v>
      </c>
      <c r="L380" s="54">
        <v>5</v>
      </c>
      <c r="M380" s="54">
        <v>0</v>
      </c>
      <c r="N380" s="54">
        <v>1</v>
      </c>
      <c r="O380" s="72">
        <f t="shared" si="11"/>
        <v>719</v>
      </c>
      <c r="P380" s="26">
        <v>0</v>
      </c>
      <c r="Q380" s="26">
        <f t="shared" si="10"/>
        <v>719</v>
      </c>
      <c r="R380" s="26">
        <v>0</v>
      </c>
    </row>
    <row r="381" spans="1:18" ht="22.5">
      <c r="A381" s="41">
        <v>372</v>
      </c>
      <c r="B381" s="62" t="s">
        <v>497</v>
      </c>
      <c r="C381" s="54">
        <v>238</v>
      </c>
      <c r="D381" s="54">
        <v>27</v>
      </c>
      <c r="E381" s="54">
        <v>339</v>
      </c>
      <c r="F381" s="54">
        <v>3</v>
      </c>
      <c r="G381" s="54">
        <v>0</v>
      </c>
      <c r="H381" s="54">
        <v>0</v>
      </c>
      <c r="I381" s="54">
        <v>0</v>
      </c>
      <c r="J381" s="54">
        <v>1</v>
      </c>
      <c r="K381" s="54">
        <v>0</v>
      </c>
      <c r="L381" s="54">
        <v>1</v>
      </c>
      <c r="M381" s="54">
        <v>0</v>
      </c>
      <c r="N381" s="54">
        <v>4</v>
      </c>
      <c r="O381" s="72">
        <f t="shared" si="11"/>
        <v>613</v>
      </c>
      <c r="P381" s="26">
        <v>0</v>
      </c>
      <c r="Q381" s="26">
        <f t="shared" si="10"/>
        <v>613</v>
      </c>
      <c r="R381" s="26">
        <v>0</v>
      </c>
    </row>
    <row r="382" spans="1:18">
      <c r="A382" s="41">
        <v>373</v>
      </c>
      <c r="B382" s="61" t="s">
        <v>498</v>
      </c>
      <c r="C382" s="54">
        <v>66</v>
      </c>
      <c r="D382" s="54">
        <v>134</v>
      </c>
      <c r="E382" s="54">
        <v>504</v>
      </c>
      <c r="F382" s="54">
        <v>7</v>
      </c>
      <c r="G382" s="54">
        <v>0</v>
      </c>
      <c r="H382" s="54">
        <v>0</v>
      </c>
      <c r="I382" s="54">
        <v>0</v>
      </c>
      <c r="J382" s="54">
        <v>2</v>
      </c>
      <c r="K382" s="54">
        <v>0</v>
      </c>
      <c r="L382" s="54">
        <v>2</v>
      </c>
      <c r="M382" s="54">
        <v>1</v>
      </c>
      <c r="N382" s="54">
        <v>3</v>
      </c>
      <c r="O382" s="72">
        <f t="shared" si="11"/>
        <v>719</v>
      </c>
      <c r="P382" s="26">
        <v>0</v>
      </c>
      <c r="Q382" s="26">
        <f t="shared" si="10"/>
        <v>719</v>
      </c>
      <c r="R382" s="26">
        <v>0</v>
      </c>
    </row>
    <row r="383" spans="1:18" ht="22.5">
      <c r="A383" s="41">
        <v>374</v>
      </c>
      <c r="B383" s="61" t="s">
        <v>499</v>
      </c>
      <c r="C383" s="54">
        <v>41</v>
      </c>
      <c r="D383" s="54">
        <v>126</v>
      </c>
      <c r="E383" s="54">
        <v>531</v>
      </c>
      <c r="F383" s="54">
        <v>3</v>
      </c>
      <c r="G383" s="54">
        <v>0</v>
      </c>
      <c r="H383" s="54">
        <v>0</v>
      </c>
      <c r="I383" s="54">
        <v>0</v>
      </c>
      <c r="J383" s="54">
        <v>2</v>
      </c>
      <c r="K383" s="54">
        <v>0</v>
      </c>
      <c r="L383" s="54">
        <v>1</v>
      </c>
      <c r="M383" s="54">
        <v>2</v>
      </c>
      <c r="N383" s="54">
        <v>0</v>
      </c>
      <c r="O383" s="72">
        <f t="shared" si="11"/>
        <v>706</v>
      </c>
      <c r="P383" s="26">
        <v>0</v>
      </c>
      <c r="Q383" s="26">
        <f t="shared" si="10"/>
        <v>706</v>
      </c>
      <c r="R383" s="26">
        <v>0</v>
      </c>
    </row>
    <row r="384" spans="1:18">
      <c r="A384" s="41">
        <v>375</v>
      </c>
      <c r="B384" s="61" t="s">
        <v>500</v>
      </c>
      <c r="C384" s="54">
        <v>43</v>
      </c>
      <c r="D384" s="54">
        <v>144</v>
      </c>
      <c r="E384" s="54">
        <v>312</v>
      </c>
      <c r="F384" s="54">
        <v>7</v>
      </c>
      <c r="G384" s="54">
        <v>3</v>
      </c>
      <c r="H384" s="54">
        <v>1</v>
      </c>
      <c r="I384" s="54">
        <v>0</v>
      </c>
      <c r="J384" s="54">
        <v>2</v>
      </c>
      <c r="K384" s="54">
        <v>8</v>
      </c>
      <c r="L384" s="54">
        <v>6</v>
      </c>
      <c r="M384" s="54">
        <v>2</v>
      </c>
      <c r="N384" s="54">
        <v>4</v>
      </c>
      <c r="O384" s="72">
        <f t="shared" si="11"/>
        <v>532</v>
      </c>
      <c r="P384" s="26">
        <v>0</v>
      </c>
      <c r="Q384" s="26">
        <f t="shared" si="10"/>
        <v>532</v>
      </c>
      <c r="R384" s="26">
        <v>0</v>
      </c>
    </row>
    <row r="385" spans="1:18">
      <c r="A385" s="41">
        <v>376</v>
      </c>
      <c r="B385" s="61" t="s">
        <v>501</v>
      </c>
      <c r="C385" s="54">
        <v>58</v>
      </c>
      <c r="D385" s="54">
        <v>99</v>
      </c>
      <c r="E385" s="54">
        <v>376</v>
      </c>
      <c r="F385" s="54">
        <v>1</v>
      </c>
      <c r="G385" s="54">
        <v>1</v>
      </c>
      <c r="H385" s="54">
        <v>1</v>
      </c>
      <c r="I385" s="54">
        <v>1</v>
      </c>
      <c r="J385" s="54">
        <v>10</v>
      </c>
      <c r="K385" s="54">
        <v>0</v>
      </c>
      <c r="L385" s="54">
        <v>0</v>
      </c>
      <c r="M385" s="54">
        <v>1</v>
      </c>
      <c r="N385" s="54">
        <v>2</v>
      </c>
      <c r="O385" s="72">
        <f t="shared" si="11"/>
        <v>550</v>
      </c>
      <c r="P385" s="26">
        <v>0</v>
      </c>
      <c r="Q385" s="26">
        <f t="shared" si="10"/>
        <v>550</v>
      </c>
      <c r="R385" s="26">
        <v>0</v>
      </c>
    </row>
    <row r="386" spans="1:18" ht="22.5">
      <c r="A386" s="41">
        <v>377</v>
      </c>
      <c r="B386" s="61" t="s">
        <v>502</v>
      </c>
      <c r="C386" s="54">
        <v>353</v>
      </c>
      <c r="D386" s="54">
        <v>75</v>
      </c>
      <c r="E386" s="54">
        <v>126</v>
      </c>
      <c r="F386" s="54">
        <v>4</v>
      </c>
      <c r="G386" s="54">
        <v>1</v>
      </c>
      <c r="H386" s="54">
        <v>1</v>
      </c>
      <c r="I386" s="54">
        <v>1</v>
      </c>
      <c r="J386" s="54">
        <v>0</v>
      </c>
      <c r="K386" s="54">
        <v>1</v>
      </c>
      <c r="L386" s="54">
        <v>1</v>
      </c>
      <c r="M386" s="54">
        <v>0</v>
      </c>
      <c r="N386" s="54">
        <v>1</v>
      </c>
      <c r="O386" s="72">
        <f t="shared" si="11"/>
        <v>564</v>
      </c>
      <c r="P386" s="26">
        <v>0</v>
      </c>
      <c r="Q386" s="26">
        <f t="shared" si="10"/>
        <v>564</v>
      </c>
      <c r="R386" s="26">
        <v>0</v>
      </c>
    </row>
    <row r="387" spans="1:18" ht="22.5">
      <c r="A387" s="41">
        <v>378</v>
      </c>
      <c r="B387" s="61" t="s">
        <v>503</v>
      </c>
      <c r="C387" s="54">
        <v>11</v>
      </c>
      <c r="D387" s="54">
        <v>69</v>
      </c>
      <c r="E387" s="54">
        <v>461</v>
      </c>
      <c r="F387" s="54">
        <v>10</v>
      </c>
      <c r="G387" s="54">
        <v>0</v>
      </c>
      <c r="H387" s="54">
        <v>1</v>
      </c>
      <c r="I387" s="54">
        <v>1</v>
      </c>
      <c r="J387" s="54">
        <v>1</v>
      </c>
      <c r="K387" s="54">
        <v>1</v>
      </c>
      <c r="L387" s="54">
        <v>0</v>
      </c>
      <c r="M387" s="54">
        <v>0</v>
      </c>
      <c r="N387" s="54">
        <v>2</v>
      </c>
      <c r="O387" s="72">
        <f t="shared" si="11"/>
        <v>557</v>
      </c>
      <c r="P387" s="26">
        <v>0</v>
      </c>
      <c r="Q387" s="26">
        <f t="shared" si="10"/>
        <v>557</v>
      </c>
      <c r="R387" s="26">
        <v>0</v>
      </c>
    </row>
    <row r="388" spans="1:18">
      <c r="A388" s="41">
        <v>379</v>
      </c>
      <c r="B388" s="61" t="s">
        <v>504</v>
      </c>
      <c r="C388" s="54">
        <f t="array" ref="C388:N401">TRANSPOSE(Constiuence!C916:P927)</f>
        <v>246</v>
      </c>
      <c r="D388" s="54">
        <v>32</v>
      </c>
      <c r="E388" s="54">
        <v>419</v>
      </c>
      <c r="F388" s="54">
        <v>7</v>
      </c>
      <c r="G388" s="54">
        <v>1</v>
      </c>
      <c r="H388" s="54">
        <v>0</v>
      </c>
      <c r="I388" s="54">
        <v>0</v>
      </c>
      <c r="J388" s="54">
        <v>4</v>
      </c>
      <c r="K388" s="54">
        <v>2</v>
      </c>
      <c r="L388" s="54">
        <v>0</v>
      </c>
      <c r="M388" s="54">
        <v>1</v>
      </c>
      <c r="N388" s="54">
        <v>5</v>
      </c>
      <c r="O388" s="72">
        <f t="shared" si="11"/>
        <v>717</v>
      </c>
      <c r="P388" s="26">
        <v>0</v>
      </c>
      <c r="Q388" s="26">
        <f t="shared" si="10"/>
        <v>717</v>
      </c>
      <c r="R388" s="26">
        <v>0</v>
      </c>
    </row>
    <row r="389" spans="1:18">
      <c r="A389" s="41">
        <v>380</v>
      </c>
      <c r="B389" s="61" t="s">
        <v>505</v>
      </c>
      <c r="C389" s="54">
        <v>3</v>
      </c>
      <c r="D389" s="54">
        <v>14</v>
      </c>
      <c r="E389" s="54">
        <v>406</v>
      </c>
      <c r="F389" s="54">
        <v>2</v>
      </c>
      <c r="G389" s="54">
        <v>0</v>
      </c>
      <c r="H389" s="54">
        <v>0</v>
      </c>
      <c r="I389" s="54">
        <v>0</v>
      </c>
      <c r="J389" s="54">
        <v>0</v>
      </c>
      <c r="K389" s="54">
        <v>0</v>
      </c>
      <c r="L389" s="54">
        <v>2</v>
      </c>
      <c r="M389" s="54">
        <v>0</v>
      </c>
      <c r="N389" s="54">
        <v>0</v>
      </c>
      <c r="O389" s="72">
        <f t="shared" si="11"/>
        <v>427</v>
      </c>
      <c r="P389" s="26">
        <v>0</v>
      </c>
      <c r="Q389" s="26">
        <f t="shared" si="10"/>
        <v>427</v>
      </c>
      <c r="R389" s="26">
        <v>0</v>
      </c>
    </row>
    <row r="390" spans="1:18">
      <c r="A390" s="41">
        <v>381</v>
      </c>
      <c r="B390" s="61" t="s">
        <v>506</v>
      </c>
      <c r="C390" s="54">
        <v>40</v>
      </c>
      <c r="D390" s="54">
        <v>45</v>
      </c>
      <c r="E390" s="54">
        <v>426</v>
      </c>
      <c r="F390" s="54">
        <v>5</v>
      </c>
      <c r="G390" s="54">
        <v>0</v>
      </c>
      <c r="H390" s="54">
        <v>0</v>
      </c>
      <c r="I390" s="54">
        <v>0</v>
      </c>
      <c r="J390" s="54">
        <v>0</v>
      </c>
      <c r="K390" s="54">
        <v>1</v>
      </c>
      <c r="L390" s="54">
        <v>2</v>
      </c>
      <c r="M390" s="54">
        <v>0</v>
      </c>
      <c r="N390" s="54">
        <v>1</v>
      </c>
      <c r="O390" s="72">
        <f t="shared" si="11"/>
        <v>520</v>
      </c>
      <c r="P390" s="26">
        <v>0</v>
      </c>
      <c r="Q390" s="26">
        <f t="shared" si="10"/>
        <v>520</v>
      </c>
      <c r="R390" s="26">
        <v>0</v>
      </c>
    </row>
    <row r="391" spans="1:18">
      <c r="A391" s="41">
        <v>382</v>
      </c>
      <c r="B391" s="61" t="s">
        <v>507</v>
      </c>
      <c r="C391" s="54">
        <v>78</v>
      </c>
      <c r="D391" s="54">
        <v>115</v>
      </c>
      <c r="E391" s="54">
        <v>487</v>
      </c>
      <c r="F391" s="54">
        <v>4</v>
      </c>
      <c r="G391" s="54">
        <v>0</v>
      </c>
      <c r="H391" s="54">
        <v>1</v>
      </c>
      <c r="I391" s="54">
        <v>1</v>
      </c>
      <c r="J391" s="54">
        <v>3</v>
      </c>
      <c r="K391" s="54">
        <v>0</v>
      </c>
      <c r="L391" s="54">
        <v>6</v>
      </c>
      <c r="M391" s="54">
        <v>2</v>
      </c>
      <c r="N391" s="54">
        <v>1</v>
      </c>
      <c r="O391" s="72">
        <f t="shared" si="11"/>
        <v>698</v>
      </c>
      <c r="P391" s="26">
        <v>0</v>
      </c>
      <c r="Q391" s="26">
        <f t="shared" si="10"/>
        <v>698</v>
      </c>
      <c r="R391" s="26">
        <v>0</v>
      </c>
    </row>
    <row r="392" spans="1:18">
      <c r="A392" s="41">
        <v>383</v>
      </c>
      <c r="B392" s="61" t="s">
        <v>508</v>
      </c>
      <c r="C392" s="54">
        <v>8</v>
      </c>
      <c r="D392" s="54">
        <v>93</v>
      </c>
      <c r="E392" s="54">
        <v>682</v>
      </c>
      <c r="F392" s="54">
        <v>11</v>
      </c>
      <c r="G392" s="54">
        <v>0</v>
      </c>
      <c r="H392" s="54">
        <v>1</v>
      </c>
      <c r="I392" s="54">
        <v>1</v>
      </c>
      <c r="J392" s="54">
        <v>0</v>
      </c>
      <c r="K392" s="54">
        <v>0</v>
      </c>
      <c r="L392" s="54">
        <v>3</v>
      </c>
      <c r="M392" s="54">
        <v>0</v>
      </c>
      <c r="N392" s="54">
        <v>1</v>
      </c>
      <c r="O392" s="72">
        <f t="shared" si="11"/>
        <v>800</v>
      </c>
      <c r="P392" s="26">
        <v>0</v>
      </c>
      <c r="Q392" s="26">
        <f t="shared" si="10"/>
        <v>800</v>
      </c>
      <c r="R392" s="26">
        <v>0</v>
      </c>
    </row>
    <row r="393" spans="1:18">
      <c r="A393" s="41">
        <v>384</v>
      </c>
      <c r="B393" s="61" t="s">
        <v>509</v>
      </c>
      <c r="C393" s="54">
        <v>193</v>
      </c>
      <c r="D393" s="54">
        <v>194</v>
      </c>
      <c r="E393" s="54">
        <v>367</v>
      </c>
      <c r="F393" s="54">
        <v>6</v>
      </c>
      <c r="G393" s="54">
        <v>1</v>
      </c>
      <c r="H393" s="54">
        <v>1</v>
      </c>
      <c r="I393" s="54">
        <v>0</v>
      </c>
      <c r="J393" s="54">
        <v>1</v>
      </c>
      <c r="K393" s="54">
        <v>0</v>
      </c>
      <c r="L393" s="54">
        <v>1</v>
      </c>
      <c r="M393" s="54">
        <v>1</v>
      </c>
      <c r="N393" s="54">
        <v>3</v>
      </c>
      <c r="O393" s="72">
        <f t="shared" si="11"/>
        <v>768</v>
      </c>
      <c r="P393" s="26">
        <v>0</v>
      </c>
      <c r="Q393" s="26">
        <f t="shared" si="10"/>
        <v>768</v>
      </c>
      <c r="R393" s="26">
        <v>0</v>
      </c>
    </row>
    <row r="394" spans="1:18">
      <c r="A394" s="41">
        <v>385</v>
      </c>
      <c r="B394" s="61" t="s">
        <v>510</v>
      </c>
      <c r="C394" s="54">
        <v>57</v>
      </c>
      <c r="D394" s="54">
        <v>42</v>
      </c>
      <c r="E394" s="54">
        <v>743</v>
      </c>
      <c r="F394" s="54">
        <v>7</v>
      </c>
      <c r="G394" s="54">
        <v>0</v>
      </c>
      <c r="H394" s="54">
        <v>0</v>
      </c>
      <c r="I394" s="54">
        <v>0</v>
      </c>
      <c r="J394" s="54">
        <v>1</v>
      </c>
      <c r="K394" s="54">
        <v>0</v>
      </c>
      <c r="L394" s="54">
        <v>7</v>
      </c>
      <c r="M394" s="54">
        <v>0</v>
      </c>
      <c r="N394" s="54">
        <v>0</v>
      </c>
      <c r="O394" s="72">
        <f t="shared" si="11"/>
        <v>857</v>
      </c>
      <c r="P394" s="26">
        <v>0</v>
      </c>
      <c r="Q394" s="26">
        <f t="shared" ref="Q394:Q457" si="12">O394-P394</f>
        <v>857</v>
      </c>
      <c r="R394" s="26">
        <v>0</v>
      </c>
    </row>
    <row r="395" spans="1:18">
      <c r="A395" s="41">
        <v>386</v>
      </c>
      <c r="B395" s="61" t="s">
        <v>511</v>
      </c>
      <c r="C395" s="54">
        <v>58</v>
      </c>
      <c r="D395" s="54">
        <v>70</v>
      </c>
      <c r="E395" s="54">
        <v>294</v>
      </c>
      <c r="F395" s="54">
        <v>1</v>
      </c>
      <c r="G395" s="54">
        <v>0</v>
      </c>
      <c r="H395" s="54">
        <v>2</v>
      </c>
      <c r="I395" s="54">
        <v>0</v>
      </c>
      <c r="J395" s="54">
        <v>0</v>
      </c>
      <c r="K395" s="54">
        <v>1</v>
      </c>
      <c r="L395" s="54">
        <v>3</v>
      </c>
      <c r="M395" s="54">
        <v>0</v>
      </c>
      <c r="N395" s="54">
        <v>2</v>
      </c>
      <c r="O395" s="72">
        <f t="shared" ref="O395:O458" si="13">C395+D395+E395+F395+G395+H395+I395+J395+K395+L395+M395+N395</f>
        <v>431</v>
      </c>
      <c r="P395" s="26">
        <v>0</v>
      </c>
      <c r="Q395" s="26">
        <f t="shared" si="12"/>
        <v>431</v>
      </c>
      <c r="R395" s="26">
        <v>0</v>
      </c>
    </row>
    <row r="396" spans="1:18">
      <c r="A396" s="41">
        <v>387</v>
      </c>
      <c r="B396" s="61" t="s">
        <v>512</v>
      </c>
      <c r="C396" s="54">
        <v>465</v>
      </c>
      <c r="D396" s="54">
        <v>14</v>
      </c>
      <c r="E396" s="54">
        <v>235</v>
      </c>
      <c r="F396" s="54">
        <v>3</v>
      </c>
      <c r="G396" s="54">
        <v>1</v>
      </c>
      <c r="H396" s="54">
        <v>0</v>
      </c>
      <c r="I396" s="54">
        <v>1</v>
      </c>
      <c r="J396" s="54">
        <v>0</v>
      </c>
      <c r="K396" s="54">
        <v>1</v>
      </c>
      <c r="L396" s="54">
        <v>1</v>
      </c>
      <c r="M396" s="54">
        <v>3</v>
      </c>
      <c r="N396" s="54">
        <v>4</v>
      </c>
      <c r="O396" s="72">
        <f t="shared" si="13"/>
        <v>728</v>
      </c>
      <c r="P396" s="26">
        <v>0</v>
      </c>
      <c r="Q396" s="26">
        <f t="shared" si="12"/>
        <v>728</v>
      </c>
      <c r="R396" s="26">
        <v>0</v>
      </c>
    </row>
    <row r="397" spans="1:18">
      <c r="A397" s="41">
        <v>388</v>
      </c>
      <c r="B397" s="61" t="s">
        <v>513</v>
      </c>
      <c r="C397" s="54">
        <v>171</v>
      </c>
      <c r="D397" s="54">
        <v>101</v>
      </c>
      <c r="E397" s="54">
        <v>574</v>
      </c>
      <c r="F397" s="54">
        <v>5</v>
      </c>
      <c r="G397" s="54">
        <v>0</v>
      </c>
      <c r="H397" s="54">
        <v>1</v>
      </c>
      <c r="I397" s="54">
        <v>0</v>
      </c>
      <c r="J397" s="54">
        <v>0</v>
      </c>
      <c r="K397" s="54">
        <v>0</v>
      </c>
      <c r="L397" s="54">
        <v>1</v>
      </c>
      <c r="M397" s="54">
        <v>1</v>
      </c>
      <c r="N397" s="54">
        <v>4</v>
      </c>
      <c r="O397" s="72">
        <f t="shared" si="13"/>
        <v>858</v>
      </c>
      <c r="P397" s="26">
        <v>0</v>
      </c>
      <c r="Q397" s="26">
        <f t="shared" si="12"/>
        <v>858</v>
      </c>
      <c r="R397" s="26">
        <v>0</v>
      </c>
    </row>
    <row r="398" spans="1:18">
      <c r="A398" s="41">
        <v>389</v>
      </c>
      <c r="B398" s="61" t="s">
        <v>514</v>
      </c>
      <c r="C398" s="54">
        <v>35</v>
      </c>
      <c r="D398" s="54">
        <v>166</v>
      </c>
      <c r="E398" s="54">
        <v>539</v>
      </c>
      <c r="F398" s="54">
        <v>12</v>
      </c>
      <c r="G398" s="54">
        <v>1</v>
      </c>
      <c r="H398" s="54">
        <v>1</v>
      </c>
      <c r="I398" s="54">
        <v>2</v>
      </c>
      <c r="J398" s="54">
        <v>1</v>
      </c>
      <c r="K398" s="54">
        <v>0</v>
      </c>
      <c r="L398" s="54">
        <v>10</v>
      </c>
      <c r="M398" s="54">
        <v>5</v>
      </c>
      <c r="N398" s="54">
        <v>5</v>
      </c>
      <c r="O398" s="72">
        <f t="shared" si="13"/>
        <v>777</v>
      </c>
      <c r="P398" s="26">
        <v>0</v>
      </c>
      <c r="Q398" s="26">
        <f t="shared" si="12"/>
        <v>777</v>
      </c>
      <c r="R398" s="26">
        <v>0</v>
      </c>
    </row>
    <row r="399" spans="1:18">
      <c r="A399" s="41">
        <v>390</v>
      </c>
      <c r="B399" s="61" t="s">
        <v>515</v>
      </c>
      <c r="C399" s="54">
        <v>8</v>
      </c>
      <c r="D399" s="54">
        <v>81</v>
      </c>
      <c r="E399" s="54">
        <v>382</v>
      </c>
      <c r="F399" s="54">
        <v>3</v>
      </c>
      <c r="G399" s="54">
        <v>0</v>
      </c>
      <c r="H399" s="54">
        <v>0</v>
      </c>
      <c r="I399" s="54">
        <v>0</v>
      </c>
      <c r="J399" s="54">
        <v>1</v>
      </c>
      <c r="K399" s="54">
        <v>0</v>
      </c>
      <c r="L399" s="54">
        <v>4</v>
      </c>
      <c r="M399" s="54">
        <v>0</v>
      </c>
      <c r="N399" s="54">
        <v>1</v>
      </c>
      <c r="O399" s="72">
        <f t="shared" si="13"/>
        <v>480</v>
      </c>
      <c r="P399" s="26">
        <v>0</v>
      </c>
      <c r="Q399" s="26">
        <f t="shared" si="12"/>
        <v>480</v>
      </c>
      <c r="R399" s="26">
        <v>0</v>
      </c>
    </row>
    <row r="400" spans="1:18">
      <c r="A400" s="41">
        <v>391</v>
      </c>
      <c r="B400" s="61" t="s">
        <v>516</v>
      </c>
      <c r="C400" s="54">
        <v>54</v>
      </c>
      <c r="D400" s="54">
        <v>79</v>
      </c>
      <c r="E400" s="54">
        <v>455</v>
      </c>
      <c r="F400" s="54">
        <v>1</v>
      </c>
      <c r="G400" s="54">
        <v>1</v>
      </c>
      <c r="H400" s="54">
        <v>0</v>
      </c>
      <c r="I400" s="54">
        <v>0</v>
      </c>
      <c r="J400" s="54">
        <v>2</v>
      </c>
      <c r="K400" s="54">
        <v>0</v>
      </c>
      <c r="L400" s="54">
        <v>4</v>
      </c>
      <c r="M400" s="54">
        <v>1</v>
      </c>
      <c r="N400" s="54">
        <v>3</v>
      </c>
      <c r="O400" s="72">
        <f t="shared" si="13"/>
        <v>600</v>
      </c>
      <c r="P400" s="26">
        <v>0</v>
      </c>
      <c r="Q400" s="26">
        <f t="shared" si="12"/>
        <v>600</v>
      </c>
      <c r="R400" s="26">
        <v>0</v>
      </c>
    </row>
    <row r="401" spans="1:18" ht="22.5">
      <c r="A401" s="41">
        <v>392</v>
      </c>
      <c r="B401" s="61" t="s">
        <v>517</v>
      </c>
      <c r="C401" s="54">
        <v>160</v>
      </c>
      <c r="D401" s="54">
        <v>11</v>
      </c>
      <c r="E401" s="54">
        <v>223</v>
      </c>
      <c r="F401" s="54">
        <v>3</v>
      </c>
      <c r="G401" s="54">
        <v>0</v>
      </c>
      <c r="H401" s="54">
        <v>0</v>
      </c>
      <c r="I401" s="54">
        <v>0</v>
      </c>
      <c r="J401" s="54">
        <v>0</v>
      </c>
      <c r="K401" s="54">
        <v>0</v>
      </c>
      <c r="L401" s="54">
        <v>2</v>
      </c>
      <c r="M401" s="54">
        <v>0</v>
      </c>
      <c r="N401" s="54">
        <v>4</v>
      </c>
      <c r="O401" s="72">
        <f t="shared" si="13"/>
        <v>403</v>
      </c>
      <c r="P401" s="26">
        <v>0</v>
      </c>
      <c r="Q401" s="26">
        <f t="shared" si="12"/>
        <v>403</v>
      </c>
      <c r="R401" s="26">
        <v>0</v>
      </c>
    </row>
    <row r="402" spans="1:18">
      <c r="A402" s="41">
        <v>393</v>
      </c>
      <c r="B402" s="61" t="s">
        <v>518</v>
      </c>
      <c r="C402" s="54">
        <f t="array" ref="C402:N415">TRANSPOSE(Constiuence!C950:P961)</f>
        <v>215</v>
      </c>
      <c r="D402" s="54">
        <v>81</v>
      </c>
      <c r="E402" s="54">
        <v>241</v>
      </c>
      <c r="F402" s="54">
        <v>2</v>
      </c>
      <c r="G402" s="54">
        <v>0</v>
      </c>
      <c r="H402" s="54">
        <v>0</v>
      </c>
      <c r="I402" s="54">
        <v>0</v>
      </c>
      <c r="J402" s="54">
        <v>1</v>
      </c>
      <c r="K402" s="54">
        <v>0</v>
      </c>
      <c r="L402" s="54">
        <v>8</v>
      </c>
      <c r="M402" s="54">
        <v>1</v>
      </c>
      <c r="N402" s="54">
        <v>2</v>
      </c>
      <c r="O402" s="72">
        <f t="shared" si="13"/>
        <v>551</v>
      </c>
      <c r="P402" s="26">
        <v>0</v>
      </c>
      <c r="Q402" s="26">
        <f t="shared" si="12"/>
        <v>551</v>
      </c>
      <c r="R402" s="26">
        <v>0</v>
      </c>
    </row>
    <row r="403" spans="1:18" ht="22.5">
      <c r="A403" s="41">
        <v>394</v>
      </c>
      <c r="B403" s="61" t="s">
        <v>519</v>
      </c>
      <c r="C403" s="54">
        <v>89</v>
      </c>
      <c r="D403" s="54">
        <v>131</v>
      </c>
      <c r="E403" s="54">
        <v>464</v>
      </c>
      <c r="F403" s="54">
        <v>5</v>
      </c>
      <c r="G403" s="54">
        <v>2</v>
      </c>
      <c r="H403" s="54">
        <v>0</v>
      </c>
      <c r="I403" s="54">
        <v>0</v>
      </c>
      <c r="J403" s="54">
        <v>4</v>
      </c>
      <c r="K403" s="54">
        <v>0</v>
      </c>
      <c r="L403" s="54">
        <v>2</v>
      </c>
      <c r="M403" s="54">
        <v>1</v>
      </c>
      <c r="N403" s="54">
        <v>4</v>
      </c>
      <c r="O403" s="72">
        <f t="shared" si="13"/>
        <v>702</v>
      </c>
      <c r="P403" s="26">
        <v>0</v>
      </c>
      <c r="Q403" s="26">
        <f t="shared" si="12"/>
        <v>702</v>
      </c>
      <c r="R403" s="26">
        <v>0</v>
      </c>
    </row>
    <row r="404" spans="1:18" ht="22.5">
      <c r="A404" s="41">
        <v>395</v>
      </c>
      <c r="B404" s="61" t="s">
        <v>520</v>
      </c>
      <c r="C404" s="54">
        <v>71</v>
      </c>
      <c r="D404" s="54">
        <v>280</v>
      </c>
      <c r="E404" s="54">
        <v>280</v>
      </c>
      <c r="F404" s="54">
        <v>5</v>
      </c>
      <c r="G404" s="54">
        <v>1</v>
      </c>
      <c r="H404" s="54">
        <v>1</v>
      </c>
      <c r="I404" s="54">
        <v>1</v>
      </c>
      <c r="J404" s="54">
        <v>2</v>
      </c>
      <c r="K404" s="54">
        <v>9</v>
      </c>
      <c r="L404" s="54">
        <v>2</v>
      </c>
      <c r="M404" s="54">
        <v>2</v>
      </c>
      <c r="N404" s="54">
        <v>5</v>
      </c>
      <c r="O404" s="72">
        <f t="shared" si="13"/>
        <v>659</v>
      </c>
      <c r="P404" s="26">
        <v>0</v>
      </c>
      <c r="Q404" s="26">
        <f t="shared" si="12"/>
        <v>659</v>
      </c>
      <c r="R404" s="26">
        <v>0</v>
      </c>
    </row>
    <row r="405" spans="1:18" ht="22.5">
      <c r="A405" s="41">
        <v>396</v>
      </c>
      <c r="B405" s="61" t="s">
        <v>521</v>
      </c>
      <c r="C405" s="54">
        <v>47</v>
      </c>
      <c r="D405" s="54">
        <v>59</v>
      </c>
      <c r="E405" s="54">
        <v>344</v>
      </c>
      <c r="F405" s="54">
        <v>3</v>
      </c>
      <c r="G405" s="54">
        <v>0</v>
      </c>
      <c r="H405" s="54">
        <v>0</v>
      </c>
      <c r="I405" s="54">
        <v>1</v>
      </c>
      <c r="J405" s="54">
        <v>0</v>
      </c>
      <c r="K405" s="54">
        <v>0</v>
      </c>
      <c r="L405" s="54">
        <v>8</v>
      </c>
      <c r="M405" s="54">
        <v>0</v>
      </c>
      <c r="N405" s="54">
        <v>3</v>
      </c>
      <c r="O405" s="72">
        <f t="shared" si="13"/>
        <v>465</v>
      </c>
      <c r="P405" s="26">
        <v>0</v>
      </c>
      <c r="Q405" s="26">
        <f t="shared" si="12"/>
        <v>465</v>
      </c>
      <c r="R405" s="26">
        <v>0</v>
      </c>
    </row>
    <row r="406" spans="1:18" ht="22.5">
      <c r="A406" s="41">
        <v>397</v>
      </c>
      <c r="B406" s="61" t="s">
        <v>522</v>
      </c>
      <c r="C406" s="54">
        <v>1</v>
      </c>
      <c r="D406" s="54">
        <v>3</v>
      </c>
      <c r="E406" s="54">
        <v>558</v>
      </c>
      <c r="F406" s="54">
        <v>1</v>
      </c>
      <c r="G406" s="54">
        <v>1</v>
      </c>
      <c r="H406" s="54">
        <v>0</v>
      </c>
      <c r="I406" s="54">
        <v>0</v>
      </c>
      <c r="J406" s="54">
        <v>0</v>
      </c>
      <c r="K406" s="54">
        <v>1</v>
      </c>
      <c r="L406" s="54">
        <v>6</v>
      </c>
      <c r="M406" s="54">
        <v>2</v>
      </c>
      <c r="N406" s="54">
        <v>1</v>
      </c>
      <c r="O406" s="72">
        <f t="shared" si="13"/>
        <v>574</v>
      </c>
      <c r="P406" s="26">
        <v>0</v>
      </c>
      <c r="Q406" s="26">
        <f t="shared" si="12"/>
        <v>574</v>
      </c>
      <c r="R406" s="26">
        <v>0</v>
      </c>
    </row>
    <row r="407" spans="1:18" ht="22.5">
      <c r="A407" s="41">
        <v>398</v>
      </c>
      <c r="B407" s="61" t="s">
        <v>523</v>
      </c>
      <c r="C407" s="54">
        <v>5</v>
      </c>
      <c r="D407" s="54">
        <v>34</v>
      </c>
      <c r="E407" s="54">
        <v>466</v>
      </c>
      <c r="F407" s="54">
        <v>6</v>
      </c>
      <c r="G407" s="54">
        <v>0</v>
      </c>
      <c r="H407" s="54">
        <v>0</v>
      </c>
      <c r="I407" s="54">
        <v>1</v>
      </c>
      <c r="J407" s="54">
        <v>0</v>
      </c>
      <c r="K407" s="54">
        <v>1</v>
      </c>
      <c r="L407" s="54">
        <v>20</v>
      </c>
      <c r="M407" s="54">
        <v>0</v>
      </c>
      <c r="N407" s="54">
        <v>3</v>
      </c>
      <c r="O407" s="72">
        <f t="shared" si="13"/>
        <v>536</v>
      </c>
      <c r="P407" s="26">
        <v>0</v>
      </c>
      <c r="Q407" s="26">
        <f t="shared" si="12"/>
        <v>536</v>
      </c>
      <c r="R407" s="26">
        <v>0</v>
      </c>
    </row>
    <row r="408" spans="1:18" ht="22.5">
      <c r="A408" s="41">
        <v>399</v>
      </c>
      <c r="B408" s="61" t="s">
        <v>524</v>
      </c>
      <c r="C408" s="54">
        <v>6</v>
      </c>
      <c r="D408" s="54">
        <v>226</v>
      </c>
      <c r="E408" s="54">
        <v>232</v>
      </c>
      <c r="F408" s="54">
        <v>6</v>
      </c>
      <c r="G408" s="54">
        <v>0</v>
      </c>
      <c r="H408" s="54">
        <v>0</v>
      </c>
      <c r="I408" s="54">
        <v>0</v>
      </c>
      <c r="J408" s="54">
        <v>0</v>
      </c>
      <c r="K408" s="54">
        <v>3</v>
      </c>
      <c r="L408" s="54">
        <v>4</v>
      </c>
      <c r="M408" s="54">
        <v>0</v>
      </c>
      <c r="N408" s="54">
        <v>4</v>
      </c>
      <c r="O408" s="72">
        <f t="shared" si="13"/>
        <v>481</v>
      </c>
      <c r="P408" s="26">
        <v>0</v>
      </c>
      <c r="Q408" s="26">
        <f t="shared" si="12"/>
        <v>481</v>
      </c>
      <c r="R408" s="26">
        <v>0</v>
      </c>
    </row>
    <row r="409" spans="1:18">
      <c r="A409" s="41">
        <v>400</v>
      </c>
      <c r="B409" s="61" t="s">
        <v>525</v>
      </c>
      <c r="C409" s="54">
        <v>8</v>
      </c>
      <c r="D409" s="54">
        <v>353</v>
      </c>
      <c r="E409" s="54">
        <v>156</v>
      </c>
      <c r="F409" s="54">
        <v>6</v>
      </c>
      <c r="G409" s="54">
        <v>1</v>
      </c>
      <c r="H409" s="54">
        <v>0</v>
      </c>
      <c r="I409" s="54">
        <v>0</v>
      </c>
      <c r="J409" s="54">
        <v>0</v>
      </c>
      <c r="K409" s="54">
        <v>3</v>
      </c>
      <c r="L409" s="54">
        <v>1</v>
      </c>
      <c r="M409" s="54">
        <v>0</v>
      </c>
      <c r="N409" s="54">
        <v>2</v>
      </c>
      <c r="O409" s="72">
        <f t="shared" si="13"/>
        <v>530</v>
      </c>
      <c r="P409" s="26">
        <v>0</v>
      </c>
      <c r="Q409" s="26">
        <f t="shared" si="12"/>
        <v>530</v>
      </c>
      <c r="R409" s="26">
        <v>0</v>
      </c>
    </row>
    <row r="410" spans="1:18">
      <c r="A410" s="41">
        <v>401</v>
      </c>
      <c r="B410" s="61" t="s">
        <v>526</v>
      </c>
      <c r="C410" s="54">
        <v>6</v>
      </c>
      <c r="D410" s="54">
        <v>511</v>
      </c>
      <c r="E410" s="54">
        <v>6</v>
      </c>
      <c r="F410" s="54">
        <v>1</v>
      </c>
      <c r="G410" s="54">
        <v>0</v>
      </c>
      <c r="H410" s="54">
        <v>0</v>
      </c>
      <c r="I410" s="54">
        <v>1</v>
      </c>
      <c r="J410" s="54">
        <v>0</v>
      </c>
      <c r="K410" s="54">
        <v>11</v>
      </c>
      <c r="L410" s="54">
        <v>1</v>
      </c>
      <c r="M410" s="54">
        <v>0</v>
      </c>
      <c r="N410" s="54">
        <v>2</v>
      </c>
      <c r="O410" s="72">
        <f t="shared" si="13"/>
        <v>539</v>
      </c>
      <c r="P410" s="26">
        <v>0</v>
      </c>
      <c r="Q410" s="26">
        <f t="shared" si="12"/>
        <v>539</v>
      </c>
      <c r="R410" s="26">
        <v>0</v>
      </c>
    </row>
    <row r="411" spans="1:18">
      <c r="A411" s="41">
        <v>402</v>
      </c>
      <c r="B411" s="61" t="s">
        <v>527</v>
      </c>
      <c r="C411" s="54">
        <v>7</v>
      </c>
      <c r="D411" s="54">
        <v>226</v>
      </c>
      <c r="E411" s="54">
        <v>204</v>
      </c>
      <c r="F411" s="54">
        <v>2</v>
      </c>
      <c r="G411" s="54">
        <v>1</v>
      </c>
      <c r="H411" s="54">
        <v>0</v>
      </c>
      <c r="I411" s="54">
        <v>0</v>
      </c>
      <c r="J411" s="54">
        <v>0</v>
      </c>
      <c r="K411" s="54">
        <v>2</v>
      </c>
      <c r="L411" s="54">
        <v>2</v>
      </c>
      <c r="M411" s="54">
        <v>3</v>
      </c>
      <c r="N411" s="54">
        <v>5</v>
      </c>
      <c r="O411" s="72">
        <f t="shared" si="13"/>
        <v>452</v>
      </c>
      <c r="P411" s="26">
        <v>0</v>
      </c>
      <c r="Q411" s="26">
        <f t="shared" si="12"/>
        <v>452</v>
      </c>
      <c r="R411" s="26">
        <v>0</v>
      </c>
    </row>
    <row r="412" spans="1:18" ht="22.5">
      <c r="A412" s="41">
        <v>403</v>
      </c>
      <c r="B412" s="61" t="s">
        <v>528</v>
      </c>
      <c r="C412" s="54">
        <v>200</v>
      </c>
      <c r="D412" s="54">
        <v>81</v>
      </c>
      <c r="E412" s="54">
        <v>139</v>
      </c>
      <c r="F412" s="54">
        <v>3</v>
      </c>
      <c r="G412" s="54">
        <v>0</v>
      </c>
      <c r="H412" s="54">
        <v>1</v>
      </c>
      <c r="I412" s="54">
        <v>0</v>
      </c>
      <c r="J412" s="54">
        <v>1</v>
      </c>
      <c r="K412" s="54">
        <v>1</v>
      </c>
      <c r="L412" s="54">
        <v>1</v>
      </c>
      <c r="M412" s="54">
        <v>0</v>
      </c>
      <c r="N412" s="54">
        <v>3</v>
      </c>
      <c r="O412" s="72">
        <f t="shared" si="13"/>
        <v>430</v>
      </c>
      <c r="P412" s="26">
        <v>0</v>
      </c>
      <c r="Q412" s="26">
        <f t="shared" si="12"/>
        <v>430</v>
      </c>
      <c r="R412" s="26">
        <v>0</v>
      </c>
    </row>
    <row r="413" spans="1:18" ht="22.5">
      <c r="A413" s="41">
        <v>404</v>
      </c>
      <c r="B413" s="61" t="s">
        <v>529</v>
      </c>
      <c r="C413" s="54">
        <v>2</v>
      </c>
      <c r="D413" s="54">
        <v>22</v>
      </c>
      <c r="E413" s="54">
        <v>487</v>
      </c>
      <c r="F413" s="54">
        <v>6</v>
      </c>
      <c r="G413" s="54">
        <v>0</v>
      </c>
      <c r="H413" s="54">
        <v>0</v>
      </c>
      <c r="I413" s="54">
        <v>0</v>
      </c>
      <c r="J413" s="54">
        <v>0</v>
      </c>
      <c r="K413" s="54">
        <v>0</v>
      </c>
      <c r="L413" s="54">
        <v>1</v>
      </c>
      <c r="M413" s="54">
        <v>0</v>
      </c>
      <c r="N413" s="54">
        <v>1</v>
      </c>
      <c r="O413" s="72">
        <f t="shared" si="13"/>
        <v>519</v>
      </c>
      <c r="P413" s="26">
        <v>0</v>
      </c>
      <c r="Q413" s="26">
        <f t="shared" si="12"/>
        <v>519</v>
      </c>
      <c r="R413" s="26">
        <v>0</v>
      </c>
    </row>
    <row r="414" spans="1:18">
      <c r="A414" s="41">
        <v>405</v>
      </c>
      <c r="B414" s="61" t="s">
        <v>530</v>
      </c>
      <c r="C414" s="54">
        <v>0</v>
      </c>
      <c r="D414" s="54">
        <v>69</v>
      </c>
      <c r="E414" s="54">
        <v>258</v>
      </c>
      <c r="F414" s="54">
        <v>2</v>
      </c>
      <c r="G414" s="54">
        <v>0</v>
      </c>
      <c r="H414" s="54">
        <v>0</v>
      </c>
      <c r="I414" s="54">
        <v>0</v>
      </c>
      <c r="J414" s="54">
        <v>0</v>
      </c>
      <c r="K414" s="54">
        <v>0</v>
      </c>
      <c r="L414" s="54">
        <v>1</v>
      </c>
      <c r="M414" s="54">
        <v>0</v>
      </c>
      <c r="N414" s="54">
        <v>1</v>
      </c>
      <c r="O414" s="72">
        <f t="shared" si="13"/>
        <v>331</v>
      </c>
      <c r="P414" s="26">
        <v>0</v>
      </c>
      <c r="Q414" s="26">
        <f t="shared" si="12"/>
        <v>331</v>
      </c>
      <c r="R414" s="26">
        <v>0</v>
      </c>
    </row>
    <row r="415" spans="1:18">
      <c r="A415" s="41">
        <v>406</v>
      </c>
      <c r="B415" s="61" t="s">
        <v>531</v>
      </c>
      <c r="C415" s="54">
        <v>36</v>
      </c>
      <c r="D415" s="54">
        <v>13</v>
      </c>
      <c r="E415" s="54">
        <v>648</v>
      </c>
      <c r="F415" s="54">
        <v>3</v>
      </c>
      <c r="G415" s="54">
        <v>0</v>
      </c>
      <c r="H415" s="54">
        <v>0</v>
      </c>
      <c r="I415" s="54">
        <v>0</v>
      </c>
      <c r="J415" s="54">
        <v>1</v>
      </c>
      <c r="K415" s="54">
        <v>0</v>
      </c>
      <c r="L415" s="54">
        <v>1</v>
      </c>
      <c r="M415" s="54">
        <v>0</v>
      </c>
      <c r="N415" s="54">
        <v>3</v>
      </c>
      <c r="O415" s="72">
        <f t="shared" si="13"/>
        <v>705</v>
      </c>
      <c r="P415" s="26">
        <v>0</v>
      </c>
      <c r="Q415" s="26">
        <f t="shared" si="12"/>
        <v>705</v>
      </c>
      <c r="R415" s="26">
        <v>0</v>
      </c>
    </row>
    <row r="416" spans="1:18" ht="22.5">
      <c r="A416" s="41">
        <v>407</v>
      </c>
      <c r="B416" s="61" t="s">
        <v>532</v>
      </c>
      <c r="C416" s="54">
        <f t="array" ref="C416:N429">TRANSPOSE(Constiuence!C984:P995)</f>
        <v>8</v>
      </c>
      <c r="D416" s="54">
        <v>42</v>
      </c>
      <c r="E416" s="54">
        <v>533</v>
      </c>
      <c r="F416" s="54">
        <v>6</v>
      </c>
      <c r="G416" s="54">
        <v>1</v>
      </c>
      <c r="H416" s="54">
        <v>0</v>
      </c>
      <c r="I416" s="54">
        <v>0</v>
      </c>
      <c r="J416" s="54">
        <v>2</v>
      </c>
      <c r="K416" s="54">
        <v>0</v>
      </c>
      <c r="L416" s="54">
        <v>3</v>
      </c>
      <c r="M416" s="54">
        <v>0</v>
      </c>
      <c r="N416" s="54">
        <v>3</v>
      </c>
      <c r="O416" s="72">
        <f t="shared" si="13"/>
        <v>598</v>
      </c>
      <c r="P416" s="26">
        <v>0</v>
      </c>
      <c r="Q416" s="26">
        <f t="shared" si="12"/>
        <v>598</v>
      </c>
      <c r="R416" s="26">
        <v>0</v>
      </c>
    </row>
    <row r="417" spans="1:18">
      <c r="A417" s="41">
        <v>408</v>
      </c>
      <c r="B417" s="61" t="s">
        <v>533</v>
      </c>
      <c r="C417" s="54">
        <v>1</v>
      </c>
      <c r="D417" s="54">
        <v>150</v>
      </c>
      <c r="E417" s="54">
        <v>529</v>
      </c>
      <c r="F417" s="54">
        <v>12</v>
      </c>
      <c r="G417" s="54">
        <v>0</v>
      </c>
      <c r="H417" s="54">
        <v>0</v>
      </c>
      <c r="I417" s="54">
        <v>0</v>
      </c>
      <c r="J417" s="54">
        <v>0</v>
      </c>
      <c r="K417" s="54">
        <v>0</v>
      </c>
      <c r="L417" s="54">
        <v>2</v>
      </c>
      <c r="M417" s="54">
        <v>0</v>
      </c>
      <c r="N417" s="54">
        <v>3</v>
      </c>
      <c r="O417" s="72">
        <f t="shared" si="13"/>
        <v>697</v>
      </c>
      <c r="P417" s="26">
        <v>0</v>
      </c>
      <c r="Q417" s="26">
        <f t="shared" si="12"/>
        <v>697</v>
      </c>
      <c r="R417" s="26">
        <v>0</v>
      </c>
    </row>
    <row r="418" spans="1:18">
      <c r="A418" s="41">
        <v>409</v>
      </c>
      <c r="B418" s="61" t="s">
        <v>534</v>
      </c>
      <c r="C418" s="54">
        <v>2</v>
      </c>
      <c r="D418" s="54">
        <v>139</v>
      </c>
      <c r="E418" s="54">
        <v>392</v>
      </c>
      <c r="F418" s="54">
        <v>3</v>
      </c>
      <c r="G418" s="54">
        <v>0</v>
      </c>
      <c r="H418" s="54">
        <v>0</v>
      </c>
      <c r="I418" s="54">
        <v>0</v>
      </c>
      <c r="J418" s="54">
        <v>0</v>
      </c>
      <c r="K418" s="54">
        <v>1</v>
      </c>
      <c r="L418" s="54">
        <v>8</v>
      </c>
      <c r="M418" s="54">
        <v>0</v>
      </c>
      <c r="N418" s="54">
        <v>0</v>
      </c>
      <c r="O418" s="72">
        <f t="shared" si="13"/>
        <v>545</v>
      </c>
      <c r="P418" s="26">
        <v>0</v>
      </c>
      <c r="Q418" s="26">
        <f t="shared" si="12"/>
        <v>545</v>
      </c>
      <c r="R418" s="26">
        <v>0</v>
      </c>
    </row>
    <row r="419" spans="1:18">
      <c r="A419" s="41">
        <v>410</v>
      </c>
      <c r="B419" s="61" t="s">
        <v>535</v>
      </c>
      <c r="C419" s="54">
        <v>6</v>
      </c>
      <c r="D419" s="54">
        <v>54</v>
      </c>
      <c r="E419" s="54">
        <v>415</v>
      </c>
      <c r="F419" s="54">
        <v>6</v>
      </c>
      <c r="G419" s="54">
        <v>0</v>
      </c>
      <c r="H419" s="54">
        <v>0</v>
      </c>
      <c r="I419" s="54">
        <v>0</v>
      </c>
      <c r="J419" s="54">
        <v>0</v>
      </c>
      <c r="K419" s="54">
        <v>0</v>
      </c>
      <c r="L419" s="54">
        <v>6</v>
      </c>
      <c r="M419" s="54">
        <v>1</v>
      </c>
      <c r="N419" s="54">
        <v>1</v>
      </c>
      <c r="O419" s="72">
        <f t="shared" si="13"/>
        <v>489</v>
      </c>
      <c r="P419" s="26">
        <v>0</v>
      </c>
      <c r="Q419" s="26">
        <f t="shared" si="12"/>
        <v>489</v>
      </c>
      <c r="R419" s="26">
        <v>0</v>
      </c>
    </row>
    <row r="420" spans="1:18">
      <c r="A420" s="41">
        <v>411</v>
      </c>
      <c r="B420" s="61" t="s">
        <v>536</v>
      </c>
      <c r="C420" s="54">
        <v>14</v>
      </c>
      <c r="D420" s="54">
        <v>459</v>
      </c>
      <c r="E420" s="54">
        <v>163</v>
      </c>
      <c r="F420" s="54">
        <v>7</v>
      </c>
      <c r="G420" s="54">
        <v>1</v>
      </c>
      <c r="H420" s="54">
        <v>0</v>
      </c>
      <c r="I420" s="54">
        <v>1</v>
      </c>
      <c r="J420" s="54">
        <v>0</v>
      </c>
      <c r="K420" s="54">
        <v>5</v>
      </c>
      <c r="L420" s="54">
        <v>2</v>
      </c>
      <c r="M420" s="54">
        <v>1</v>
      </c>
      <c r="N420" s="54">
        <v>1</v>
      </c>
      <c r="O420" s="72">
        <f t="shared" si="13"/>
        <v>654</v>
      </c>
      <c r="P420" s="26">
        <v>0</v>
      </c>
      <c r="Q420" s="26">
        <f t="shared" si="12"/>
        <v>654</v>
      </c>
      <c r="R420" s="26">
        <v>0</v>
      </c>
    </row>
    <row r="421" spans="1:18">
      <c r="A421" s="41">
        <v>412</v>
      </c>
      <c r="B421" s="61" t="s">
        <v>537</v>
      </c>
      <c r="C421" s="54">
        <v>1</v>
      </c>
      <c r="D421" s="54">
        <v>391</v>
      </c>
      <c r="E421" s="54">
        <v>109</v>
      </c>
      <c r="F421" s="54">
        <v>19</v>
      </c>
      <c r="G421" s="54">
        <v>0</v>
      </c>
      <c r="H421" s="54">
        <v>0</v>
      </c>
      <c r="I421" s="54">
        <v>0</v>
      </c>
      <c r="J421" s="54">
        <v>0</v>
      </c>
      <c r="K421" s="54">
        <v>13</v>
      </c>
      <c r="L421" s="54">
        <v>2</v>
      </c>
      <c r="M421" s="54">
        <v>2</v>
      </c>
      <c r="N421" s="54">
        <v>1</v>
      </c>
      <c r="O421" s="72">
        <f t="shared" si="13"/>
        <v>538</v>
      </c>
      <c r="P421" s="26">
        <v>0</v>
      </c>
      <c r="Q421" s="26">
        <f t="shared" si="12"/>
        <v>538</v>
      </c>
      <c r="R421" s="26">
        <v>0</v>
      </c>
    </row>
    <row r="422" spans="1:18">
      <c r="A422" s="41">
        <v>413</v>
      </c>
      <c r="B422" s="61" t="s">
        <v>538</v>
      </c>
      <c r="C422" s="54">
        <v>7</v>
      </c>
      <c r="D422" s="54">
        <v>557</v>
      </c>
      <c r="E422" s="54">
        <v>19</v>
      </c>
      <c r="F422" s="54">
        <v>4</v>
      </c>
      <c r="G422" s="54">
        <v>0</v>
      </c>
      <c r="H422" s="54">
        <v>0</v>
      </c>
      <c r="I422" s="54">
        <v>0</v>
      </c>
      <c r="J422" s="54">
        <v>0</v>
      </c>
      <c r="K422" s="54">
        <v>44</v>
      </c>
      <c r="L422" s="54">
        <v>3</v>
      </c>
      <c r="M422" s="54">
        <v>1</v>
      </c>
      <c r="N422" s="54">
        <v>4</v>
      </c>
      <c r="O422" s="72">
        <f t="shared" si="13"/>
        <v>639</v>
      </c>
      <c r="P422" s="26">
        <v>0</v>
      </c>
      <c r="Q422" s="26">
        <f t="shared" si="12"/>
        <v>639</v>
      </c>
      <c r="R422" s="26">
        <v>0</v>
      </c>
    </row>
    <row r="423" spans="1:18">
      <c r="A423" s="41">
        <v>414</v>
      </c>
      <c r="B423" s="61" t="s">
        <v>539</v>
      </c>
      <c r="C423" s="54">
        <v>72</v>
      </c>
      <c r="D423" s="54">
        <v>150</v>
      </c>
      <c r="E423" s="54">
        <v>267</v>
      </c>
      <c r="F423" s="54">
        <v>2</v>
      </c>
      <c r="G423" s="54">
        <v>0</v>
      </c>
      <c r="H423" s="54">
        <v>1</v>
      </c>
      <c r="I423" s="54">
        <v>1</v>
      </c>
      <c r="J423" s="54">
        <v>0</v>
      </c>
      <c r="K423" s="54">
        <v>2</v>
      </c>
      <c r="L423" s="54">
        <v>5</v>
      </c>
      <c r="M423" s="54">
        <v>1</v>
      </c>
      <c r="N423" s="54">
        <v>1</v>
      </c>
      <c r="O423" s="72">
        <f t="shared" si="13"/>
        <v>502</v>
      </c>
      <c r="P423" s="26">
        <v>0</v>
      </c>
      <c r="Q423" s="26">
        <f t="shared" si="12"/>
        <v>502</v>
      </c>
      <c r="R423" s="26">
        <v>0</v>
      </c>
    </row>
    <row r="424" spans="1:18">
      <c r="A424" s="41">
        <v>415</v>
      </c>
      <c r="B424" s="61" t="s">
        <v>540</v>
      </c>
      <c r="C424" s="54">
        <v>4</v>
      </c>
      <c r="D424" s="54">
        <v>239</v>
      </c>
      <c r="E424" s="54">
        <v>259</v>
      </c>
      <c r="F424" s="54">
        <v>5</v>
      </c>
      <c r="G424" s="54">
        <v>0</v>
      </c>
      <c r="H424" s="54">
        <v>0</v>
      </c>
      <c r="I424" s="54">
        <v>1</v>
      </c>
      <c r="J424" s="54">
        <v>1</v>
      </c>
      <c r="K424" s="54">
        <v>1</v>
      </c>
      <c r="L424" s="54">
        <v>4</v>
      </c>
      <c r="M424" s="54">
        <v>0</v>
      </c>
      <c r="N424" s="54">
        <v>0</v>
      </c>
      <c r="O424" s="72">
        <f t="shared" si="13"/>
        <v>514</v>
      </c>
      <c r="P424" s="26">
        <v>0</v>
      </c>
      <c r="Q424" s="26">
        <f t="shared" si="12"/>
        <v>514</v>
      </c>
      <c r="R424" s="54">
        <v>0</v>
      </c>
    </row>
    <row r="425" spans="1:18">
      <c r="A425" s="41">
        <v>416</v>
      </c>
      <c r="B425" s="61" t="s">
        <v>541</v>
      </c>
      <c r="C425" s="25">
        <v>167</v>
      </c>
      <c r="D425" s="25">
        <v>49</v>
      </c>
      <c r="E425" s="25">
        <v>186</v>
      </c>
      <c r="F425" s="25">
        <v>2</v>
      </c>
      <c r="G425" s="25">
        <v>2</v>
      </c>
      <c r="H425" s="25">
        <v>0</v>
      </c>
      <c r="I425" s="25">
        <v>0</v>
      </c>
      <c r="J425" s="25">
        <v>1</v>
      </c>
      <c r="K425" s="25">
        <v>1</v>
      </c>
      <c r="L425" s="25">
        <v>0</v>
      </c>
      <c r="M425" s="25">
        <v>0</v>
      </c>
      <c r="N425" s="25">
        <v>1</v>
      </c>
      <c r="O425" s="72">
        <f t="shared" si="13"/>
        <v>409</v>
      </c>
      <c r="P425" s="54">
        <v>0</v>
      </c>
      <c r="Q425" s="54">
        <f t="shared" si="12"/>
        <v>409</v>
      </c>
      <c r="R425" s="54">
        <v>0</v>
      </c>
    </row>
    <row r="426" spans="1:18">
      <c r="A426" s="41">
        <v>417</v>
      </c>
      <c r="B426" s="61" t="s">
        <v>542</v>
      </c>
      <c r="C426" s="25">
        <v>53</v>
      </c>
      <c r="D426" s="25">
        <v>177</v>
      </c>
      <c r="E426" s="25">
        <v>514</v>
      </c>
      <c r="F426" s="25">
        <v>12</v>
      </c>
      <c r="G426" s="25">
        <v>2</v>
      </c>
      <c r="H426" s="25">
        <v>0</v>
      </c>
      <c r="I426" s="25">
        <v>2</v>
      </c>
      <c r="J426" s="25">
        <v>5</v>
      </c>
      <c r="K426" s="25">
        <v>3</v>
      </c>
      <c r="L426" s="25">
        <v>7</v>
      </c>
      <c r="M426" s="25">
        <v>0</v>
      </c>
      <c r="N426" s="25">
        <v>3</v>
      </c>
      <c r="O426" s="72">
        <f t="shared" si="13"/>
        <v>778</v>
      </c>
      <c r="P426" s="54">
        <v>0</v>
      </c>
      <c r="Q426" s="54">
        <f t="shared" si="12"/>
        <v>778</v>
      </c>
      <c r="R426" s="54">
        <v>0</v>
      </c>
    </row>
    <row r="427" spans="1:18">
      <c r="A427" s="41">
        <v>418</v>
      </c>
      <c r="B427" s="61" t="s">
        <v>543</v>
      </c>
      <c r="C427" s="25">
        <v>168</v>
      </c>
      <c r="D427" s="25">
        <v>167</v>
      </c>
      <c r="E427" s="25">
        <v>339</v>
      </c>
      <c r="F427" s="25">
        <v>3</v>
      </c>
      <c r="G427" s="25">
        <v>0</v>
      </c>
      <c r="H427" s="25">
        <v>0</v>
      </c>
      <c r="I427" s="59">
        <v>0</v>
      </c>
      <c r="J427" s="59">
        <v>0</v>
      </c>
      <c r="K427" s="59">
        <v>0</v>
      </c>
      <c r="L427" s="59">
        <v>1</v>
      </c>
      <c r="M427" s="59">
        <v>2</v>
      </c>
      <c r="N427" s="59">
        <v>2</v>
      </c>
      <c r="O427" s="72">
        <f t="shared" si="13"/>
        <v>682</v>
      </c>
      <c r="P427" s="54">
        <v>0</v>
      </c>
      <c r="Q427" s="54">
        <f t="shared" si="12"/>
        <v>682</v>
      </c>
      <c r="R427" s="54">
        <v>0</v>
      </c>
    </row>
    <row r="428" spans="1:18">
      <c r="A428" s="41">
        <v>419</v>
      </c>
      <c r="B428" s="61" t="s">
        <v>544</v>
      </c>
      <c r="C428" s="60">
        <v>42</v>
      </c>
      <c r="D428" s="60">
        <v>7</v>
      </c>
      <c r="E428" s="60">
        <v>554</v>
      </c>
      <c r="F428" s="60">
        <v>2</v>
      </c>
      <c r="G428" s="25">
        <v>0</v>
      </c>
      <c r="H428" s="25">
        <v>0</v>
      </c>
      <c r="I428" s="59">
        <v>0</v>
      </c>
      <c r="J428" s="59">
        <v>0</v>
      </c>
      <c r="K428" s="59">
        <v>0</v>
      </c>
      <c r="L428" s="59">
        <v>2</v>
      </c>
      <c r="M428" s="59">
        <v>2</v>
      </c>
      <c r="N428" s="59">
        <v>2</v>
      </c>
      <c r="O428" s="72">
        <f t="shared" si="13"/>
        <v>611</v>
      </c>
      <c r="P428" s="54">
        <v>0</v>
      </c>
      <c r="Q428" s="54">
        <f t="shared" si="12"/>
        <v>611</v>
      </c>
      <c r="R428" s="54">
        <v>0</v>
      </c>
    </row>
    <row r="429" spans="1:18">
      <c r="A429" s="41">
        <v>420</v>
      </c>
      <c r="B429" s="61" t="s">
        <v>545</v>
      </c>
      <c r="C429" s="25">
        <v>714</v>
      </c>
      <c r="D429" s="25">
        <v>18</v>
      </c>
      <c r="E429" s="25">
        <v>30</v>
      </c>
      <c r="F429" s="25">
        <v>0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5</v>
      </c>
      <c r="O429" s="72">
        <f t="shared" si="13"/>
        <v>767</v>
      </c>
      <c r="P429" s="54">
        <v>0</v>
      </c>
      <c r="Q429" s="54">
        <f t="shared" si="12"/>
        <v>767</v>
      </c>
      <c r="R429" s="54">
        <v>0</v>
      </c>
    </row>
    <row r="430" spans="1:18" ht="22.5">
      <c r="A430" s="41">
        <v>421</v>
      </c>
      <c r="B430" s="61" t="s">
        <v>546</v>
      </c>
      <c r="C430" s="25">
        <f t="array" ref="C430:N443">TRANSPOSE(Constiuence!C1017:P1028)</f>
        <v>200</v>
      </c>
      <c r="D430" s="25">
        <v>48</v>
      </c>
      <c r="E430" s="25">
        <v>142</v>
      </c>
      <c r="F430" s="25">
        <v>5</v>
      </c>
      <c r="G430" s="25">
        <v>0</v>
      </c>
      <c r="H430" s="25">
        <v>0</v>
      </c>
      <c r="I430" s="25">
        <v>0</v>
      </c>
      <c r="J430" s="25">
        <v>1</v>
      </c>
      <c r="K430" s="25">
        <v>1</v>
      </c>
      <c r="L430" s="25">
        <v>4</v>
      </c>
      <c r="M430" s="25">
        <v>0</v>
      </c>
      <c r="N430" s="25">
        <v>3</v>
      </c>
      <c r="O430" s="72">
        <f t="shared" si="13"/>
        <v>404</v>
      </c>
      <c r="P430" s="54">
        <v>0</v>
      </c>
      <c r="Q430" s="54">
        <f t="shared" si="12"/>
        <v>404</v>
      </c>
      <c r="R430" s="54">
        <v>0</v>
      </c>
    </row>
    <row r="431" spans="1:18" ht="22.5">
      <c r="A431" s="41">
        <v>422</v>
      </c>
      <c r="B431" s="61" t="s">
        <v>547</v>
      </c>
      <c r="C431" s="25">
        <v>46</v>
      </c>
      <c r="D431" s="25">
        <v>155</v>
      </c>
      <c r="E431" s="25">
        <v>336</v>
      </c>
      <c r="F431" s="25">
        <v>3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4</v>
      </c>
      <c r="M431" s="25">
        <v>1</v>
      </c>
      <c r="N431" s="25">
        <v>2</v>
      </c>
      <c r="O431" s="72">
        <f t="shared" si="13"/>
        <v>547</v>
      </c>
      <c r="P431" s="54">
        <v>0</v>
      </c>
      <c r="Q431" s="54">
        <f t="shared" si="12"/>
        <v>547</v>
      </c>
      <c r="R431" s="54">
        <v>0</v>
      </c>
    </row>
    <row r="432" spans="1:18" ht="22.5">
      <c r="A432" s="41">
        <v>423</v>
      </c>
      <c r="B432" s="61" t="s">
        <v>548</v>
      </c>
      <c r="C432" s="25">
        <v>18</v>
      </c>
      <c r="D432" s="25">
        <v>114</v>
      </c>
      <c r="E432" s="25">
        <v>341</v>
      </c>
      <c r="F432" s="25">
        <v>2</v>
      </c>
      <c r="G432" s="25">
        <v>1</v>
      </c>
      <c r="H432" s="25">
        <v>1</v>
      </c>
      <c r="I432" s="25">
        <v>0</v>
      </c>
      <c r="J432" s="25">
        <v>0</v>
      </c>
      <c r="K432" s="25">
        <v>0</v>
      </c>
      <c r="L432" s="25">
        <v>2</v>
      </c>
      <c r="M432" s="25">
        <v>1</v>
      </c>
      <c r="N432" s="25">
        <v>3</v>
      </c>
      <c r="O432" s="72">
        <f t="shared" si="13"/>
        <v>483</v>
      </c>
      <c r="P432" s="54">
        <v>0</v>
      </c>
      <c r="Q432" s="54">
        <f t="shared" si="12"/>
        <v>483</v>
      </c>
      <c r="R432" s="54">
        <v>0</v>
      </c>
    </row>
    <row r="433" spans="1:18">
      <c r="A433" s="41">
        <v>424</v>
      </c>
      <c r="B433" s="61" t="s">
        <v>549</v>
      </c>
      <c r="C433" s="25">
        <v>32</v>
      </c>
      <c r="D433" s="25">
        <v>672</v>
      </c>
      <c r="E433" s="25">
        <v>98</v>
      </c>
      <c r="F433" s="25">
        <v>49</v>
      </c>
      <c r="G433" s="25">
        <v>1</v>
      </c>
      <c r="H433" s="25">
        <v>4</v>
      </c>
      <c r="I433" s="25">
        <v>1</v>
      </c>
      <c r="J433" s="25">
        <v>0</v>
      </c>
      <c r="K433" s="25">
        <v>55</v>
      </c>
      <c r="L433" s="25">
        <v>5</v>
      </c>
      <c r="M433" s="25">
        <v>7</v>
      </c>
      <c r="N433" s="25">
        <v>5</v>
      </c>
      <c r="O433" s="72">
        <f t="shared" si="13"/>
        <v>929</v>
      </c>
      <c r="P433" s="54">
        <v>0</v>
      </c>
      <c r="Q433" s="54">
        <f t="shared" si="12"/>
        <v>929</v>
      </c>
      <c r="R433" s="54">
        <v>0</v>
      </c>
    </row>
    <row r="434" spans="1:18">
      <c r="A434" s="41">
        <v>425</v>
      </c>
      <c r="B434" s="61" t="s">
        <v>550</v>
      </c>
      <c r="C434" s="25">
        <v>5</v>
      </c>
      <c r="D434" s="25">
        <v>73</v>
      </c>
      <c r="E434" s="25">
        <v>364</v>
      </c>
      <c r="F434" s="25">
        <v>4</v>
      </c>
      <c r="G434" s="25">
        <v>0</v>
      </c>
      <c r="H434" s="25">
        <v>0</v>
      </c>
      <c r="I434" s="25">
        <v>0</v>
      </c>
      <c r="J434" s="25">
        <v>1</v>
      </c>
      <c r="K434" s="25">
        <v>0</v>
      </c>
      <c r="L434" s="25">
        <v>4</v>
      </c>
      <c r="M434" s="25">
        <v>0</v>
      </c>
      <c r="N434" s="25">
        <v>0</v>
      </c>
      <c r="O434" s="72">
        <f t="shared" si="13"/>
        <v>451</v>
      </c>
      <c r="P434" s="54">
        <v>0</v>
      </c>
      <c r="Q434" s="54">
        <f t="shared" si="12"/>
        <v>451</v>
      </c>
      <c r="R434" s="54">
        <v>0</v>
      </c>
    </row>
    <row r="435" spans="1:18">
      <c r="A435" s="41">
        <v>426</v>
      </c>
      <c r="B435" s="61" t="s">
        <v>551</v>
      </c>
      <c r="C435" s="25">
        <v>159</v>
      </c>
      <c r="D435" s="25">
        <v>137</v>
      </c>
      <c r="E435" s="25">
        <v>207</v>
      </c>
      <c r="F435" s="25">
        <v>0</v>
      </c>
      <c r="G435" s="25">
        <v>0</v>
      </c>
      <c r="H435" s="25">
        <v>0</v>
      </c>
      <c r="I435" s="25">
        <v>0</v>
      </c>
      <c r="J435" s="25">
        <v>1</v>
      </c>
      <c r="K435" s="25">
        <v>0</v>
      </c>
      <c r="L435" s="25">
        <v>1</v>
      </c>
      <c r="M435" s="25">
        <v>0</v>
      </c>
      <c r="N435" s="25">
        <v>3</v>
      </c>
      <c r="O435" s="72">
        <f t="shared" si="13"/>
        <v>508</v>
      </c>
      <c r="P435" s="54">
        <v>0</v>
      </c>
      <c r="Q435" s="54">
        <f t="shared" si="12"/>
        <v>508</v>
      </c>
      <c r="R435" s="54">
        <v>0</v>
      </c>
    </row>
    <row r="436" spans="1:18">
      <c r="A436" s="41">
        <v>427</v>
      </c>
      <c r="B436" s="61" t="s">
        <v>552</v>
      </c>
      <c r="C436" s="25">
        <v>2</v>
      </c>
      <c r="D436" s="25">
        <v>195</v>
      </c>
      <c r="E436" s="25">
        <v>325</v>
      </c>
      <c r="F436" s="25">
        <v>9</v>
      </c>
      <c r="G436" s="25">
        <v>0</v>
      </c>
      <c r="H436" s="25">
        <v>1</v>
      </c>
      <c r="I436" s="25">
        <v>0</v>
      </c>
      <c r="J436" s="25">
        <v>1</v>
      </c>
      <c r="K436" s="25">
        <v>0</v>
      </c>
      <c r="L436" s="25">
        <v>2</v>
      </c>
      <c r="M436" s="25">
        <v>1</v>
      </c>
      <c r="N436" s="25">
        <v>2</v>
      </c>
      <c r="O436" s="72">
        <f t="shared" si="13"/>
        <v>538</v>
      </c>
      <c r="P436" s="54">
        <v>0</v>
      </c>
      <c r="Q436" s="54">
        <f t="shared" si="12"/>
        <v>538</v>
      </c>
      <c r="R436" s="54">
        <v>0</v>
      </c>
    </row>
    <row r="437" spans="1:18">
      <c r="A437" s="41">
        <v>428</v>
      </c>
      <c r="B437" s="61" t="s">
        <v>553</v>
      </c>
      <c r="C437" s="25">
        <v>2</v>
      </c>
      <c r="D437" s="25">
        <v>197</v>
      </c>
      <c r="E437" s="25">
        <v>297</v>
      </c>
      <c r="F437" s="25">
        <v>10</v>
      </c>
      <c r="G437" s="25">
        <v>0</v>
      </c>
      <c r="H437" s="25">
        <v>0</v>
      </c>
      <c r="I437" s="25">
        <v>0</v>
      </c>
      <c r="J437" s="25">
        <v>0</v>
      </c>
      <c r="K437" s="25">
        <v>1</v>
      </c>
      <c r="L437" s="25">
        <v>1</v>
      </c>
      <c r="M437" s="25">
        <v>2</v>
      </c>
      <c r="N437" s="25">
        <v>0</v>
      </c>
      <c r="O437" s="72">
        <f t="shared" si="13"/>
        <v>510</v>
      </c>
      <c r="P437" s="54">
        <v>0</v>
      </c>
      <c r="Q437" s="54">
        <f t="shared" si="12"/>
        <v>510</v>
      </c>
      <c r="R437" s="54">
        <v>0</v>
      </c>
    </row>
    <row r="438" spans="1:18">
      <c r="A438" s="41">
        <v>429</v>
      </c>
      <c r="B438" s="61" t="s">
        <v>554</v>
      </c>
      <c r="C438" s="25">
        <v>4</v>
      </c>
      <c r="D438" s="25">
        <v>132</v>
      </c>
      <c r="E438" s="25">
        <v>409</v>
      </c>
      <c r="F438" s="25">
        <v>6</v>
      </c>
      <c r="G438" s="25">
        <v>1</v>
      </c>
      <c r="H438" s="25">
        <v>0</v>
      </c>
      <c r="I438" s="25">
        <v>0</v>
      </c>
      <c r="J438" s="25">
        <v>0</v>
      </c>
      <c r="K438" s="25">
        <v>0</v>
      </c>
      <c r="L438" s="25">
        <v>0</v>
      </c>
      <c r="M438" s="25">
        <v>2</v>
      </c>
      <c r="N438" s="25">
        <v>3</v>
      </c>
      <c r="O438" s="72">
        <f t="shared" si="13"/>
        <v>557</v>
      </c>
      <c r="P438" s="54">
        <v>0</v>
      </c>
      <c r="Q438" s="54">
        <f t="shared" si="12"/>
        <v>557</v>
      </c>
      <c r="R438" s="54">
        <v>0</v>
      </c>
    </row>
    <row r="439" spans="1:18">
      <c r="A439" s="41">
        <v>430</v>
      </c>
      <c r="B439" s="61" t="s">
        <v>555</v>
      </c>
      <c r="C439" s="25">
        <v>2</v>
      </c>
      <c r="D439" s="25">
        <v>114</v>
      </c>
      <c r="E439" s="25">
        <v>290</v>
      </c>
      <c r="F439" s="25">
        <v>18</v>
      </c>
      <c r="G439" s="25">
        <v>1</v>
      </c>
      <c r="H439" s="25">
        <v>0</v>
      </c>
      <c r="I439" s="25">
        <v>2</v>
      </c>
      <c r="J439" s="25">
        <v>0</v>
      </c>
      <c r="K439" s="25">
        <v>0</v>
      </c>
      <c r="L439" s="25">
        <v>1</v>
      </c>
      <c r="M439" s="25">
        <v>0</v>
      </c>
      <c r="N439" s="25">
        <v>1</v>
      </c>
      <c r="O439" s="72">
        <f t="shared" si="13"/>
        <v>429</v>
      </c>
      <c r="P439" s="54">
        <v>0</v>
      </c>
      <c r="Q439" s="54">
        <f t="shared" si="12"/>
        <v>429</v>
      </c>
      <c r="R439" s="54">
        <v>0</v>
      </c>
    </row>
    <row r="440" spans="1:18">
      <c r="A440" s="41">
        <v>431</v>
      </c>
      <c r="B440" s="61" t="s">
        <v>556</v>
      </c>
      <c r="C440" s="25">
        <v>52</v>
      </c>
      <c r="D440" s="25">
        <v>218</v>
      </c>
      <c r="E440" s="25">
        <v>402</v>
      </c>
      <c r="F440" s="25">
        <v>8</v>
      </c>
      <c r="G440" s="25">
        <v>0</v>
      </c>
      <c r="H440" s="25">
        <v>0</v>
      </c>
      <c r="I440" s="25">
        <v>0</v>
      </c>
      <c r="J440" s="25">
        <v>3</v>
      </c>
      <c r="K440" s="25">
        <v>3</v>
      </c>
      <c r="L440" s="25">
        <v>9</v>
      </c>
      <c r="M440" s="25">
        <v>1</v>
      </c>
      <c r="N440" s="25">
        <v>1</v>
      </c>
      <c r="O440" s="72">
        <f t="shared" si="13"/>
        <v>697</v>
      </c>
      <c r="P440" s="54">
        <v>0</v>
      </c>
      <c r="Q440" s="54">
        <f t="shared" si="12"/>
        <v>697</v>
      </c>
      <c r="R440" s="54">
        <v>0</v>
      </c>
    </row>
    <row r="441" spans="1:18">
      <c r="A441" s="41">
        <v>432</v>
      </c>
      <c r="B441" s="61" t="s">
        <v>557</v>
      </c>
      <c r="C441" s="25">
        <v>0</v>
      </c>
      <c r="D441" s="25">
        <v>0</v>
      </c>
      <c r="E441" s="25">
        <v>0</v>
      </c>
      <c r="F441" s="25">
        <v>0</v>
      </c>
      <c r="G441" s="25">
        <v>0</v>
      </c>
      <c r="H441" s="25">
        <v>0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72">
        <f t="shared" si="13"/>
        <v>0</v>
      </c>
      <c r="P441" s="54">
        <v>0</v>
      </c>
      <c r="Q441" s="54">
        <f t="shared" si="12"/>
        <v>0</v>
      </c>
      <c r="R441" s="54">
        <v>0</v>
      </c>
    </row>
    <row r="442" spans="1:18">
      <c r="A442" s="41">
        <v>433</v>
      </c>
      <c r="B442" s="61" t="s">
        <v>558</v>
      </c>
      <c r="C442" s="25">
        <v>19</v>
      </c>
      <c r="D442" s="25">
        <v>31</v>
      </c>
      <c r="E442" s="25">
        <v>751</v>
      </c>
      <c r="F442" s="25">
        <v>10</v>
      </c>
      <c r="G442" s="25">
        <v>1</v>
      </c>
      <c r="H442" s="25">
        <v>0</v>
      </c>
      <c r="I442" s="25">
        <v>0</v>
      </c>
      <c r="J442" s="25">
        <v>0</v>
      </c>
      <c r="K442" s="25">
        <v>0</v>
      </c>
      <c r="L442" s="25">
        <v>8</v>
      </c>
      <c r="M442" s="25">
        <v>0</v>
      </c>
      <c r="N442" s="25">
        <v>0</v>
      </c>
      <c r="O442" s="72">
        <f t="shared" si="13"/>
        <v>820</v>
      </c>
      <c r="P442" s="54">
        <v>0</v>
      </c>
      <c r="Q442" s="54">
        <f t="shared" si="12"/>
        <v>820</v>
      </c>
      <c r="R442" s="54">
        <v>0</v>
      </c>
    </row>
    <row r="443" spans="1:18" ht="22.5">
      <c r="A443" s="41">
        <v>434</v>
      </c>
      <c r="B443" s="61" t="s">
        <v>559</v>
      </c>
      <c r="C443" s="25">
        <v>51</v>
      </c>
      <c r="D443" s="25">
        <v>143</v>
      </c>
      <c r="E443" s="25">
        <v>283</v>
      </c>
      <c r="F443" s="25">
        <v>2</v>
      </c>
      <c r="G443" s="25">
        <v>0</v>
      </c>
      <c r="H443" s="25">
        <v>0</v>
      </c>
      <c r="I443" s="25">
        <v>0</v>
      </c>
      <c r="J443" s="25">
        <v>0</v>
      </c>
      <c r="K443" s="25">
        <v>0</v>
      </c>
      <c r="L443" s="25">
        <v>2</v>
      </c>
      <c r="M443" s="25">
        <v>0</v>
      </c>
      <c r="N443" s="25">
        <v>0</v>
      </c>
      <c r="O443" s="72">
        <f t="shared" si="13"/>
        <v>481</v>
      </c>
      <c r="P443" s="54">
        <v>0</v>
      </c>
      <c r="Q443" s="54">
        <f t="shared" si="12"/>
        <v>481</v>
      </c>
      <c r="R443" s="54">
        <v>0</v>
      </c>
    </row>
    <row r="444" spans="1:18" ht="22.5">
      <c r="A444" s="41">
        <v>435</v>
      </c>
      <c r="B444" s="61" t="s">
        <v>560</v>
      </c>
      <c r="C444" s="25">
        <f t="array" ref="C444:N457">TRANSPOSE(Constiuence!C1050:P1061)</f>
        <v>96</v>
      </c>
      <c r="D444" s="25">
        <v>217</v>
      </c>
      <c r="E444" s="25">
        <v>180</v>
      </c>
      <c r="F444" s="25">
        <v>1</v>
      </c>
      <c r="G444" s="25">
        <v>1</v>
      </c>
      <c r="H444" s="25">
        <v>0</v>
      </c>
      <c r="I444" s="25">
        <v>0</v>
      </c>
      <c r="J444" s="25">
        <v>0</v>
      </c>
      <c r="K444" s="25">
        <v>1</v>
      </c>
      <c r="L444" s="25">
        <v>0</v>
      </c>
      <c r="M444" s="25">
        <v>3</v>
      </c>
      <c r="N444" s="25">
        <v>0</v>
      </c>
      <c r="O444" s="72">
        <f t="shared" si="13"/>
        <v>499</v>
      </c>
      <c r="P444" s="54">
        <v>0</v>
      </c>
      <c r="Q444" s="54">
        <f t="shared" si="12"/>
        <v>499</v>
      </c>
      <c r="R444" s="54">
        <v>0</v>
      </c>
    </row>
    <row r="445" spans="1:18" ht="22.5">
      <c r="A445" s="41">
        <v>436</v>
      </c>
      <c r="B445" s="61" t="s">
        <v>561</v>
      </c>
      <c r="C445" s="25">
        <v>526</v>
      </c>
      <c r="D445" s="25">
        <v>100</v>
      </c>
      <c r="E445" s="25">
        <v>271</v>
      </c>
      <c r="F445" s="25">
        <v>9</v>
      </c>
      <c r="G445" s="25">
        <v>2</v>
      </c>
      <c r="H445" s="25">
        <v>0</v>
      </c>
      <c r="I445" s="25">
        <v>5</v>
      </c>
      <c r="J445" s="25">
        <v>7</v>
      </c>
      <c r="K445" s="25">
        <v>0</v>
      </c>
      <c r="L445" s="25">
        <v>9</v>
      </c>
      <c r="M445" s="25">
        <v>1</v>
      </c>
      <c r="N445" s="25">
        <v>4</v>
      </c>
      <c r="O445" s="72">
        <f t="shared" si="13"/>
        <v>934</v>
      </c>
      <c r="P445" s="54">
        <v>0</v>
      </c>
      <c r="Q445" s="54">
        <f t="shared" si="12"/>
        <v>934</v>
      </c>
      <c r="R445" s="54">
        <v>0</v>
      </c>
    </row>
    <row r="446" spans="1:18" ht="22.5">
      <c r="A446" s="41">
        <v>437</v>
      </c>
      <c r="B446" s="61" t="s">
        <v>562</v>
      </c>
      <c r="C446" s="25">
        <v>229</v>
      </c>
      <c r="D446" s="25">
        <v>97</v>
      </c>
      <c r="E446" s="25">
        <v>217</v>
      </c>
      <c r="F446" s="25">
        <v>5</v>
      </c>
      <c r="G446" s="25">
        <v>1</v>
      </c>
      <c r="H446" s="25">
        <v>0</v>
      </c>
      <c r="I446" s="25">
        <v>1</v>
      </c>
      <c r="J446" s="25">
        <v>0</v>
      </c>
      <c r="K446" s="25">
        <v>0</v>
      </c>
      <c r="L446" s="25">
        <v>3</v>
      </c>
      <c r="M446" s="25">
        <v>2</v>
      </c>
      <c r="N446" s="25">
        <v>3</v>
      </c>
      <c r="O446" s="72">
        <f t="shared" si="13"/>
        <v>558</v>
      </c>
      <c r="P446" s="54">
        <v>0</v>
      </c>
      <c r="Q446" s="54">
        <f t="shared" si="12"/>
        <v>558</v>
      </c>
      <c r="R446" s="54">
        <v>0</v>
      </c>
    </row>
    <row r="447" spans="1:18" ht="22.5">
      <c r="A447" s="41">
        <v>438</v>
      </c>
      <c r="B447" s="61" t="s">
        <v>563</v>
      </c>
      <c r="C447" s="25">
        <v>26</v>
      </c>
      <c r="D447" s="25">
        <v>70</v>
      </c>
      <c r="E447" s="25">
        <v>394</v>
      </c>
      <c r="F447" s="25">
        <v>1</v>
      </c>
      <c r="G447" s="25">
        <v>0</v>
      </c>
      <c r="H447" s="25">
        <v>1</v>
      </c>
      <c r="I447" s="25">
        <v>1</v>
      </c>
      <c r="J447" s="25">
        <v>0</v>
      </c>
      <c r="K447" s="25">
        <v>0</v>
      </c>
      <c r="L447" s="25">
        <v>6</v>
      </c>
      <c r="M447" s="25">
        <v>0</v>
      </c>
      <c r="N447" s="25">
        <v>1</v>
      </c>
      <c r="O447" s="72">
        <f t="shared" si="13"/>
        <v>500</v>
      </c>
      <c r="P447" s="54">
        <v>0</v>
      </c>
      <c r="Q447" s="54">
        <f t="shared" si="12"/>
        <v>500</v>
      </c>
      <c r="R447" s="54">
        <v>0</v>
      </c>
    </row>
    <row r="448" spans="1:18">
      <c r="A448" s="41">
        <v>439</v>
      </c>
      <c r="B448" s="61" t="s">
        <v>564</v>
      </c>
      <c r="C448" s="25">
        <v>327</v>
      </c>
      <c r="D448" s="25">
        <v>55</v>
      </c>
      <c r="E448" s="25">
        <v>220</v>
      </c>
      <c r="F448" s="25">
        <v>0</v>
      </c>
      <c r="G448" s="25">
        <v>0</v>
      </c>
      <c r="H448" s="25">
        <v>0</v>
      </c>
      <c r="I448" s="25">
        <v>0</v>
      </c>
      <c r="J448" s="25">
        <v>1</v>
      </c>
      <c r="K448" s="25">
        <v>1</v>
      </c>
      <c r="L448" s="25">
        <v>4</v>
      </c>
      <c r="M448" s="25">
        <v>1</v>
      </c>
      <c r="N448" s="25">
        <v>5</v>
      </c>
      <c r="O448" s="72">
        <f t="shared" si="13"/>
        <v>614</v>
      </c>
      <c r="P448" s="54">
        <v>0</v>
      </c>
      <c r="Q448" s="54">
        <f t="shared" si="12"/>
        <v>614</v>
      </c>
      <c r="R448" s="54">
        <v>0</v>
      </c>
    </row>
    <row r="449" spans="1:18">
      <c r="A449" s="41">
        <v>440</v>
      </c>
      <c r="B449" s="61" t="s">
        <v>565</v>
      </c>
      <c r="C449" s="25">
        <v>78</v>
      </c>
      <c r="D449" s="25">
        <v>72</v>
      </c>
      <c r="E449" s="25">
        <v>447</v>
      </c>
      <c r="F449" s="25">
        <v>4</v>
      </c>
      <c r="G449" s="25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2</v>
      </c>
      <c r="M449" s="25">
        <v>0</v>
      </c>
      <c r="N449" s="25">
        <v>2</v>
      </c>
      <c r="O449" s="72">
        <f t="shared" si="13"/>
        <v>605</v>
      </c>
      <c r="P449" s="54">
        <v>0</v>
      </c>
      <c r="Q449" s="54">
        <f t="shared" si="12"/>
        <v>605</v>
      </c>
      <c r="R449" s="54">
        <v>0</v>
      </c>
    </row>
    <row r="450" spans="1:18">
      <c r="A450" s="41">
        <v>441</v>
      </c>
      <c r="B450" s="61" t="s">
        <v>566</v>
      </c>
      <c r="C450" s="25">
        <v>62</v>
      </c>
      <c r="D450" s="25">
        <v>115</v>
      </c>
      <c r="E450" s="25">
        <v>401</v>
      </c>
      <c r="F450" s="25">
        <v>1</v>
      </c>
      <c r="G450" s="25">
        <v>0</v>
      </c>
      <c r="H450" s="25">
        <v>0</v>
      </c>
      <c r="I450" s="25">
        <v>0</v>
      </c>
      <c r="J450" s="25">
        <v>0</v>
      </c>
      <c r="K450" s="25">
        <v>0</v>
      </c>
      <c r="L450" s="25">
        <v>2</v>
      </c>
      <c r="M450" s="25">
        <v>2</v>
      </c>
      <c r="N450" s="25">
        <v>2</v>
      </c>
      <c r="O450" s="72">
        <f t="shared" si="13"/>
        <v>585</v>
      </c>
      <c r="P450" s="54">
        <v>0</v>
      </c>
      <c r="Q450" s="54">
        <f t="shared" si="12"/>
        <v>585</v>
      </c>
      <c r="R450" s="54">
        <v>0</v>
      </c>
    </row>
    <row r="451" spans="1:18" ht="22.5">
      <c r="A451" s="41">
        <v>442</v>
      </c>
      <c r="B451" s="61" t="s">
        <v>567</v>
      </c>
      <c r="C451" s="25">
        <v>102</v>
      </c>
      <c r="D451" s="25">
        <v>545</v>
      </c>
      <c r="E451" s="25">
        <v>126</v>
      </c>
      <c r="F451" s="25">
        <v>4</v>
      </c>
      <c r="G451" s="25">
        <v>0</v>
      </c>
      <c r="H451" s="25">
        <v>0</v>
      </c>
      <c r="I451" s="25">
        <v>0</v>
      </c>
      <c r="J451" s="25">
        <v>0</v>
      </c>
      <c r="K451" s="25">
        <v>3</v>
      </c>
      <c r="L451" s="25">
        <v>7</v>
      </c>
      <c r="M451" s="25">
        <v>0</v>
      </c>
      <c r="N451" s="25">
        <v>3</v>
      </c>
      <c r="O451" s="72">
        <f t="shared" si="13"/>
        <v>790</v>
      </c>
      <c r="P451" s="54">
        <v>0</v>
      </c>
      <c r="Q451" s="54">
        <f t="shared" si="12"/>
        <v>790</v>
      </c>
      <c r="R451" s="54">
        <v>0</v>
      </c>
    </row>
    <row r="452" spans="1:18" ht="22.5">
      <c r="A452" s="41">
        <v>443</v>
      </c>
      <c r="B452" s="61" t="s">
        <v>568</v>
      </c>
      <c r="C452" s="25">
        <v>7</v>
      </c>
      <c r="D452" s="25">
        <v>404</v>
      </c>
      <c r="E452" s="25">
        <v>310</v>
      </c>
      <c r="F452" s="25">
        <v>3</v>
      </c>
      <c r="G452" s="25">
        <v>0</v>
      </c>
      <c r="H452" s="25">
        <v>0</v>
      </c>
      <c r="I452" s="25">
        <v>0</v>
      </c>
      <c r="J452" s="25">
        <v>1</v>
      </c>
      <c r="K452" s="25">
        <v>2</v>
      </c>
      <c r="L452" s="25">
        <v>7</v>
      </c>
      <c r="M452" s="25">
        <v>4</v>
      </c>
      <c r="N452" s="25">
        <v>12</v>
      </c>
      <c r="O452" s="72">
        <f t="shared" si="13"/>
        <v>750</v>
      </c>
      <c r="P452" s="54">
        <v>0</v>
      </c>
      <c r="Q452" s="54">
        <f t="shared" si="12"/>
        <v>750</v>
      </c>
      <c r="R452" s="54">
        <v>0</v>
      </c>
    </row>
    <row r="453" spans="1:18">
      <c r="A453" s="41">
        <v>444</v>
      </c>
      <c r="B453" s="61" t="s">
        <v>569</v>
      </c>
      <c r="C453" s="25">
        <v>285</v>
      </c>
      <c r="D453" s="25">
        <v>89</v>
      </c>
      <c r="E453" s="25">
        <v>398</v>
      </c>
      <c r="F453" s="25">
        <v>6</v>
      </c>
      <c r="G453" s="25">
        <v>1</v>
      </c>
      <c r="H453" s="25">
        <v>0</v>
      </c>
      <c r="I453" s="25">
        <v>0</v>
      </c>
      <c r="J453" s="25">
        <v>0</v>
      </c>
      <c r="K453" s="25">
        <v>0</v>
      </c>
      <c r="L453" s="25">
        <v>3</v>
      </c>
      <c r="M453" s="25">
        <v>1</v>
      </c>
      <c r="N453" s="25">
        <v>2</v>
      </c>
      <c r="O453" s="72">
        <f t="shared" si="13"/>
        <v>785</v>
      </c>
      <c r="P453" s="54">
        <v>0</v>
      </c>
      <c r="Q453" s="54">
        <f t="shared" si="12"/>
        <v>785</v>
      </c>
      <c r="R453" s="54">
        <v>0</v>
      </c>
    </row>
    <row r="454" spans="1:18">
      <c r="A454" s="41">
        <v>445</v>
      </c>
      <c r="B454" s="61" t="s">
        <v>570</v>
      </c>
      <c r="C454" s="25">
        <v>180</v>
      </c>
      <c r="D454" s="25">
        <v>38</v>
      </c>
      <c r="E454" s="25">
        <v>432</v>
      </c>
      <c r="F454" s="25">
        <v>1</v>
      </c>
      <c r="G454" s="25">
        <v>0</v>
      </c>
      <c r="H454" s="25">
        <v>0</v>
      </c>
      <c r="I454" s="25">
        <v>0</v>
      </c>
      <c r="J454" s="25">
        <v>4</v>
      </c>
      <c r="K454" s="25">
        <v>0</v>
      </c>
      <c r="L454" s="25">
        <v>6</v>
      </c>
      <c r="M454" s="25">
        <v>2</v>
      </c>
      <c r="N454" s="25">
        <v>4</v>
      </c>
      <c r="O454" s="72">
        <f t="shared" si="13"/>
        <v>667</v>
      </c>
      <c r="P454" s="54">
        <v>0</v>
      </c>
      <c r="Q454" s="54">
        <f t="shared" si="12"/>
        <v>667</v>
      </c>
      <c r="R454" s="54">
        <v>0</v>
      </c>
    </row>
    <row r="455" spans="1:18">
      <c r="A455" s="41">
        <v>446</v>
      </c>
      <c r="B455" s="61" t="s">
        <v>571</v>
      </c>
      <c r="C455" s="25">
        <v>69</v>
      </c>
      <c r="D455" s="25">
        <v>140</v>
      </c>
      <c r="E455" s="25">
        <v>470</v>
      </c>
      <c r="F455" s="25">
        <v>2</v>
      </c>
      <c r="G455" s="25">
        <v>1</v>
      </c>
      <c r="H455" s="25">
        <v>0</v>
      </c>
      <c r="I455" s="25">
        <v>2</v>
      </c>
      <c r="J455" s="25">
        <v>4</v>
      </c>
      <c r="K455" s="25">
        <v>1</v>
      </c>
      <c r="L455" s="25">
        <v>5</v>
      </c>
      <c r="M455" s="25">
        <v>0</v>
      </c>
      <c r="N455" s="25">
        <v>1</v>
      </c>
      <c r="O455" s="72">
        <f t="shared" si="13"/>
        <v>695</v>
      </c>
      <c r="P455" s="54">
        <v>0</v>
      </c>
      <c r="Q455" s="54">
        <f t="shared" si="12"/>
        <v>695</v>
      </c>
      <c r="R455" s="54">
        <v>0</v>
      </c>
    </row>
    <row r="456" spans="1:18">
      <c r="A456" s="41">
        <v>447</v>
      </c>
      <c r="B456" s="61" t="s">
        <v>572</v>
      </c>
      <c r="C456" s="25">
        <v>284</v>
      </c>
      <c r="D456" s="25">
        <v>49</v>
      </c>
      <c r="E456" s="25">
        <v>435</v>
      </c>
      <c r="F456" s="25">
        <v>4</v>
      </c>
      <c r="G456" s="25">
        <v>1</v>
      </c>
      <c r="H456" s="25">
        <v>0</v>
      </c>
      <c r="I456" s="25">
        <v>2</v>
      </c>
      <c r="J456" s="25">
        <v>3</v>
      </c>
      <c r="K456" s="25">
        <v>2</v>
      </c>
      <c r="L456" s="25">
        <v>5</v>
      </c>
      <c r="M456" s="25">
        <v>2</v>
      </c>
      <c r="N456" s="25">
        <v>7</v>
      </c>
      <c r="O456" s="72">
        <f t="shared" si="13"/>
        <v>794</v>
      </c>
      <c r="P456" s="54">
        <v>0</v>
      </c>
      <c r="Q456" s="54">
        <f t="shared" si="12"/>
        <v>794</v>
      </c>
      <c r="R456" s="54">
        <v>0</v>
      </c>
    </row>
    <row r="457" spans="1:18">
      <c r="A457" s="41">
        <v>448</v>
      </c>
      <c r="B457" s="61" t="s">
        <v>573</v>
      </c>
      <c r="C457" s="25">
        <v>217</v>
      </c>
      <c r="D457" s="25">
        <v>13</v>
      </c>
      <c r="E457" s="25">
        <v>330</v>
      </c>
      <c r="F457" s="25">
        <v>2</v>
      </c>
      <c r="G457" s="25">
        <v>0</v>
      </c>
      <c r="H457" s="25">
        <v>0</v>
      </c>
      <c r="I457" s="25">
        <v>1</v>
      </c>
      <c r="J457" s="25">
        <v>0</v>
      </c>
      <c r="K457" s="25">
        <v>0</v>
      </c>
      <c r="L457" s="25">
        <v>7</v>
      </c>
      <c r="M457" s="25">
        <v>1</v>
      </c>
      <c r="N457" s="25">
        <v>6</v>
      </c>
      <c r="O457" s="72">
        <f t="shared" si="13"/>
        <v>577</v>
      </c>
      <c r="P457" s="54">
        <v>0</v>
      </c>
      <c r="Q457" s="54">
        <f t="shared" si="12"/>
        <v>577</v>
      </c>
      <c r="R457" s="54">
        <v>0</v>
      </c>
    </row>
    <row r="458" spans="1:18">
      <c r="A458" s="41">
        <v>449</v>
      </c>
      <c r="B458" s="61" t="s">
        <v>574</v>
      </c>
      <c r="C458" s="25">
        <f t="array" ref="C458:N471">TRANSPOSE(Constiuence!C1084:P1095)</f>
        <v>1</v>
      </c>
      <c r="D458" s="25">
        <v>23</v>
      </c>
      <c r="E458" s="25">
        <v>492</v>
      </c>
      <c r="F458" s="25">
        <v>3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1</v>
      </c>
      <c r="M458" s="25">
        <v>1</v>
      </c>
      <c r="N458" s="25">
        <v>1</v>
      </c>
      <c r="O458" s="72">
        <f t="shared" si="13"/>
        <v>522</v>
      </c>
      <c r="P458" s="54">
        <v>0</v>
      </c>
      <c r="Q458" s="54">
        <f t="shared" ref="Q458:Q481" si="14">O458-P458</f>
        <v>522</v>
      </c>
      <c r="R458" s="54">
        <v>0</v>
      </c>
    </row>
    <row r="459" spans="1:18" ht="22.5">
      <c r="A459" s="41">
        <v>450</v>
      </c>
      <c r="B459" s="61" t="s">
        <v>575</v>
      </c>
      <c r="C459" s="25">
        <v>28</v>
      </c>
      <c r="D459" s="25">
        <v>43</v>
      </c>
      <c r="E459" s="25">
        <v>406</v>
      </c>
      <c r="F459" s="25">
        <v>3</v>
      </c>
      <c r="G459" s="25">
        <v>0</v>
      </c>
      <c r="H459" s="25">
        <v>0</v>
      </c>
      <c r="I459" s="25">
        <v>2</v>
      </c>
      <c r="J459" s="25">
        <v>0</v>
      </c>
      <c r="K459" s="25">
        <v>1</v>
      </c>
      <c r="L459" s="25">
        <v>3</v>
      </c>
      <c r="M459" s="25">
        <v>1</v>
      </c>
      <c r="N459" s="25">
        <v>0</v>
      </c>
      <c r="O459" s="72">
        <f t="shared" ref="O459:O481" si="15">C459+D459+E459+F459+G459+H459+I459+J459+K459+L459+M459+N459</f>
        <v>487</v>
      </c>
      <c r="P459" s="54">
        <v>0</v>
      </c>
      <c r="Q459" s="54">
        <f t="shared" si="14"/>
        <v>487</v>
      </c>
      <c r="R459" s="54">
        <v>0</v>
      </c>
    </row>
    <row r="460" spans="1:18" ht="22.5">
      <c r="A460" s="41">
        <v>451</v>
      </c>
      <c r="B460" s="61" t="s">
        <v>576</v>
      </c>
      <c r="C460" s="25">
        <v>149</v>
      </c>
      <c r="D460" s="25">
        <v>18</v>
      </c>
      <c r="E460" s="25">
        <v>295</v>
      </c>
      <c r="F460" s="25">
        <v>8</v>
      </c>
      <c r="G460" s="25">
        <v>2</v>
      </c>
      <c r="H460" s="25">
        <v>1</v>
      </c>
      <c r="I460" s="25">
        <v>0</v>
      </c>
      <c r="J460" s="25">
        <v>0</v>
      </c>
      <c r="K460" s="25">
        <v>2</v>
      </c>
      <c r="L460" s="25">
        <v>5</v>
      </c>
      <c r="M460" s="25">
        <v>2</v>
      </c>
      <c r="N460" s="25">
        <v>5</v>
      </c>
      <c r="O460" s="72">
        <f t="shared" si="15"/>
        <v>487</v>
      </c>
      <c r="P460" s="54">
        <v>0</v>
      </c>
      <c r="Q460" s="54">
        <f t="shared" si="14"/>
        <v>487</v>
      </c>
      <c r="R460" s="54">
        <v>0</v>
      </c>
    </row>
    <row r="461" spans="1:18">
      <c r="A461" s="41">
        <v>452</v>
      </c>
      <c r="B461" s="61" t="s">
        <v>577</v>
      </c>
      <c r="C461" s="25">
        <v>1</v>
      </c>
      <c r="D461" s="25">
        <v>32</v>
      </c>
      <c r="E461" s="25">
        <v>865</v>
      </c>
      <c r="F461" s="25">
        <v>3</v>
      </c>
      <c r="G461" s="25">
        <v>0</v>
      </c>
      <c r="H461" s="25">
        <v>0</v>
      </c>
      <c r="I461" s="25">
        <v>2</v>
      </c>
      <c r="J461" s="25">
        <v>0</v>
      </c>
      <c r="K461" s="25">
        <v>1</v>
      </c>
      <c r="L461" s="25">
        <v>9</v>
      </c>
      <c r="M461" s="25">
        <v>2</v>
      </c>
      <c r="N461" s="25">
        <v>2</v>
      </c>
      <c r="O461" s="72">
        <f t="shared" si="15"/>
        <v>917</v>
      </c>
      <c r="P461" s="54">
        <v>0</v>
      </c>
      <c r="Q461" s="54">
        <f t="shared" si="14"/>
        <v>917</v>
      </c>
      <c r="R461" s="54">
        <v>0</v>
      </c>
    </row>
    <row r="462" spans="1:18">
      <c r="A462" s="41">
        <v>453</v>
      </c>
      <c r="B462" s="61" t="s">
        <v>578</v>
      </c>
      <c r="C462" s="25">
        <v>139</v>
      </c>
      <c r="D462" s="25">
        <v>178</v>
      </c>
      <c r="E462" s="25">
        <v>574</v>
      </c>
      <c r="F462" s="25">
        <v>6</v>
      </c>
      <c r="G462" s="25">
        <v>0</v>
      </c>
      <c r="H462" s="25">
        <v>1</v>
      </c>
      <c r="I462" s="25">
        <v>1</v>
      </c>
      <c r="J462" s="25">
        <v>0</v>
      </c>
      <c r="K462" s="25">
        <v>0</v>
      </c>
      <c r="L462" s="25">
        <v>8</v>
      </c>
      <c r="M462" s="25">
        <v>3</v>
      </c>
      <c r="N462" s="25">
        <v>6</v>
      </c>
      <c r="O462" s="72">
        <f t="shared" si="15"/>
        <v>916</v>
      </c>
      <c r="P462" s="54">
        <v>0</v>
      </c>
      <c r="Q462" s="54">
        <f t="shared" si="14"/>
        <v>916</v>
      </c>
      <c r="R462" s="54">
        <v>0</v>
      </c>
    </row>
    <row r="463" spans="1:18">
      <c r="A463" s="41">
        <v>454</v>
      </c>
      <c r="B463" s="61" t="s">
        <v>579</v>
      </c>
      <c r="C463" s="25">
        <v>7</v>
      </c>
      <c r="D463" s="25">
        <v>29</v>
      </c>
      <c r="E463" s="25">
        <v>659</v>
      </c>
      <c r="F463" s="25">
        <v>1</v>
      </c>
      <c r="G463" s="25">
        <v>0</v>
      </c>
      <c r="H463" s="25">
        <v>0</v>
      </c>
      <c r="I463" s="25">
        <v>1</v>
      </c>
      <c r="J463" s="25">
        <v>3</v>
      </c>
      <c r="K463" s="25">
        <v>2</v>
      </c>
      <c r="L463" s="25">
        <v>4</v>
      </c>
      <c r="M463" s="25">
        <v>1</v>
      </c>
      <c r="N463" s="25">
        <v>2</v>
      </c>
      <c r="O463" s="72">
        <f t="shared" si="15"/>
        <v>709</v>
      </c>
      <c r="P463" s="54">
        <v>0</v>
      </c>
      <c r="Q463" s="54">
        <f t="shared" si="14"/>
        <v>709</v>
      </c>
      <c r="R463" s="54">
        <v>0</v>
      </c>
    </row>
    <row r="464" spans="1:18">
      <c r="A464" s="41">
        <v>455</v>
      </c>
      <c r="B464" s="61" t="s">
        <v>580</v>
      </c>
      <c r="C464" s="25">
        <v>177</v>
      </c>
      <c r="D464" s="25">
        <v>92</v>
      </c>
      <c r="E464" s="25">
        <v>457</v>
      </c>
      <c r="F464" s="25">
        <v>5</v>
      </c>
      <c r="G464" s="25">
        <v>1</v>
      </c>
      <c r="H464" s="25">
        <v>0</v>
      </c>
      <c r="I464" s="25">
        <v>0</v>
      </c>
      <c r="J464" s="25">
        <v>2</v>
      </c>
      <c r="K464" s="25">
        <v>2</v>
      </c>
      <c r="L464" s="25">
        <v>5</v>
      </c>
      <c r="M464" s="25">
        <v>3</v>
      </c>
      <c r="N464" s="25">
        <v>3</v>
      </c>
      <c r="O464" s="72">
        <f t="shared" si="15"/>
        <v>747</v>
      </c>
      <c r="P464" s="54">
        <v>0</v>
      </c>
      <c r="Q464" s="54">
        <f t="shared" si="14"/>
        <v>747</v>
      </c>
      <c r="R464" s="54">
        <v>0</v>
      </c>
    </row>
    <row r="465" spans="1:18" ht="22.5">
      <c r="A465" s="41">
        <v>456</v>
      </c>
      <c r="B465" s="61" t="s">
        <v>581</v>
      </c>
      <c r="C465" s="25">
        <v>72</v>
      </c>
      <c r="D465" s="25">
        <v>32</v>
      </c>
      <c r="E465" s="25">
        <v>238</v>
      </c>
      <c r="F465" s="25">
        <v>3</v>
      </c>
      <c r="G465" s="25">
        <v>0</v>
      </c>
      <c r="H465" s="25">
        <v>0</v>
      </c>
      <c r="I465" s="25">
        <v>0</v>
      </c>
      <c r="J465" s="25">
        <v>0</v>
      </c>
      <c r="K465" s="25">
        <v>1</v>
      </c>
      <c r="L465" s="25">
        <v>2</v>
      </c>
      <c r="M465" s="25">
        <v>1</v>
      </c>
      <c r="N465" s="25">
        <v>2</v>
      </c>
      <c r="O465" s="72">
        <f t="shared" si="15"/>
        <v>351</v>
      </c>
      <c r="P465" s="54">
        <v>0</v>
      </c>
      <c r="Q465" s="54">
        <f t="shared" si="14"/>
        <v>351</v>
      </c>
      <c r="R465" s="54">
        <v>0</v>
      </c>
    </row>
    <row r="466" spans="1:18" ht="22.5">
      <c r="A466" s="41">
        <v>457</v>
      </c>
      <c r="B466" s="61" t="s">
        <v>582</v>
      </c>
      <c r="C466" s="25">
        <v>4</v>
      </c>
      <c r="D466" s="25">
        <v>54</v>
      </c>
      <c r="E466" s="25">
        <v>523</v>
      </c>
      <c r="F466" s="25">
        <v>6</v>
      </c>
      <c r="G466" s="25">
        <v>1</v>
      </c>
      <c r="H466" s="25">
        <v>0</v>
      </c>
      <c r="I466" s="25">
        <v>0</v>
      </c>
      <c r="J466" s="25">
        <v>0</v>
      </c>
      <c r="K466" s="25">
        <v>1</v>
      </c>
      <c r="L466" s="25">
        <v>4</v>
      </c>
      <c r="M466" s="25">
        <v>1</v>
      </c>
      <c r="N466" s="25">
        <v>3</v>
      </c>
      <c r="O466" s="72">
        <f t="shared" si="15"/>
        <v>597</v>
      </c>
      <c r="P466" s="54">
        <v>0</v>
      </c>
      <c r="Q466" s="54">
        <f t="shared" si="14"/>
        <v>597</v>
      </c>
      <c r="R466" s="54">
        <v>0</v>
      </c>
    </row>
    <row r="467" spans="1:18" ht="22.5">
      <c r="A467" s="41">
        <v>458</v>
      </c>
      <c r="B467" s="61" t="s">
        <v>583</v>
      </c>
      <c r="C467" s="25">
        <v>71</v>
      </c>
      <c r="D467" s="25">
        <v>61</v>
      </c>
      <c r="E467" s="25">
        <v>404</v>
      </c>
      <c r="F467" s="25">
        <v>2</v>
      </c>
      <c r="G467" s="25">
        <v>1</v>
      </c>
      <c r="H467" s="25">
        <v>0</v>
      </c>
      <c r="I467" s="25">
        <v>0</v>
      </c>
      <c r="J467" s="25">
        <v>1</v>
      </c>
      <c r="K467" s="25">
        <v>0</v>
      </c>
      <c r="L467" s="25">
        <v>5</v>
      </c>
      <c r="M467" s="25">
        <v>3</v>
      </c>
      <c r="N467" s="25">
        <v>2</v>
      </c>
      <c r="O467" s="72">
        <f t="shared" si="15"/>
        <v>550</v>
      </c>
      <c r="P467" s="54">
        <v>0</v>
      </c>
      <c r="Q467" s="54">
        <f t="shared" si="14"/>
        <v>550</v>
      </c>
      <c r="R467" s="54">
        <v>0</v>
      </c>
    </row>
    <row r="468" spans="1:18">
      <c r="A468" s="41">
        <v>459</v>
      </c>
      <c r="B468" s="61" t="s">
        <v>584</v>
      </c>
      <c r="C468" s="25">
        <v>65</v>
      </c>
      <c r="D468" s="25">
        <v>117</v>
      </c>
      <c r="E468" s="25">
        <v>608</v>
      </c>
      <c r="F468" s="25">
        <v>9</v>
      </c>
      <c r="G468" s="25">
        <v>1</v>
      </c>
      <c r="H468" s="25">
        <v>0</v>
      </c>
      <c r="I468" s="25">
        <v>1</v>
      </c>
      <c r="J468" s="25">
        <v>0</v>
      </c>
      <c r="K468" s="25">
        <v>1</v>
      </c>
      <c r="L468" s="25">
        <v>11</v>
      </c>
      <c r="M468" s="25">
        <v>3</v>
      </c>
      <c r="N468" s="25">
        <v>6</v>
      </c>
      <c r="O468" s="72">
        <f t="shared" si="15"/>
        <v>822</v>
      </c>
      <c r="P468" s="54">
        <v>0</v>
      </c>
      <c r="Q468" s="54">
        <f t="shared" si="14"/>
        <v>822</v>
      </c>
      <c r="R468" s="54">
        <v>0</v>
      </c>
    </row>
    <row r="469" spans="1:18">
      <c r="A469" s="41">
        <v>460</v>
      </c>
      <c r="B469" s="61" t="s">
        <v>585</v>
      </c>
      <c r="C469" s="25">
        <v>32</v>
      </c>
      <c r="D469" s="25">
        <v>72</v>
      </c>
      <c r="E469" s="25">
        <v>458</v>
      </c>
      <c r="F469" s="25">
        <v>6</v>
      </c>
      <c r="G469" s="25">
        <v>0</v>
      </c>
      <c r="H469" s="25">
        <v>0</v>
      </c>
      <c r="I469" s="25">
        <v>2</v>
      </c>
      <c r="J469" s="25">
        <v>4</v>
      </c>
      <c r="K469" s="25">
        <v>0</v>
      </c>
      <c r="L469" s="25">
        <v>4</v>
      </c>
      <c r="M469" s="25">
        <v>0</v>
      </c>
      <c r="N469" s="25">
        <v>2</v>
      </c>
      <c r="O469" s="72">
        <f t="shared" si="15"/>
        <v>580</v>
      </c>
      <c r="P469" s="54">
        <v>0</v>
      </c>
      <c r="Q469" s="54">
        <f t="shared" si="14"/>
        <v>580</v>
      </c>
      <c r="R469" s="54">
        <v>0</v>
      </c>
    </row>
    <row r="470" spans="1:18">
      <c r="A470" s="41">
        <v>461</v>
      </c>
      <c r="B470" s="61" t="s">
        <v>586</v>
      </c>
      <c r="C470" s="25">
        <v>218</v>
      </c>
      <c r="D470" s="25">
        <v>47</v>
      </c>
      <c r="E470" s="25">
        <v>382</v>
      </c>
      <c r="F470" s="25">
        <v>6</v>
      </c>
      <c r="G470" s="25">
        <v>3</v>
      </c>
      <c r="H470" s="25">
        <v>0</v>
      </c>
      <c r="I470" s="25">
        <v>0</v>
      </c>
      <c r="J470" s="25">
        <v>3</v>
      </c>
      <c r="K470" s="25">
        <v>0</v>
      </c>
      <c r="L470" s="25">
        <v>3</v>
      </c>
      <c r="M470" s="25">
        <v>1</v>
      </c>
      <c r="N470" s="25">
        <v>2</v>
      </c>
      <c r="O470" s="72">
        <f t="shared" si="15"/>
        <v>665</v>
      </c>
      <c r="P470" s="54">
        <v>0</v>
      </c>
      <c r="Q470" s="54">
        <f t="shared" si="14"/>
        <v>665</v>
      </c>
      <c r="R470" s="54">
        <v>0</v>
      </c>
    </row>
    <row r="471" spans="1:18">
      <c r="A471" s="41">
        <v>462</v>
      </c>
      <c r="B471" s="61" t="s">
        <v>587</v>
      </c>
      <c r="C471" s="25">
        <v>77</v>
      </c>
      <c r="D471" s="25">
        <v>69</v>
      </c>
      <c r="E471" s="25">
        <v>379</v>
      </c>
      <c r="F471" s="25">
        <v>1</v>
      </c>
      <c r="G471" s="25">
        <v>3</v>
      </c>
      <c r="H471" s="25">
        <v>0</v>
      </c>
      <c r="I471" s="25">
        <v>0</v>
      </c>
      <c r="J471" s="25">
        <v>57</v>
      </c>
      <c r="K471" s="25">
        <v>1</v>
      </c>
      <c r="L471" s="25">
        <v>3</v>
      </c>
      <c r="M471" s="25">
        <v>0</v>
      </c>
      <c r="N471" s="25">
        <v>1</v>
      </c>
      <c r="O471" s="72">
        <f t="shared" si="15"/>
        <v>591</v>
      </c>
      <c r="P471" s="54">
        <v>0</v>
      </c>
      <c r="Q471" s="54">
        <f t="shared" si="14"/>
        <v>591</v>
      </c>
      <c r="R471" s="54">
        <v>0</v>
      </c>
    </row>
    <row r="472" spans="1:18">
      <c r="A472" s="41">
        <v>463</v>
      </c>
      <c r="B472" s="61" t="s">
        <v>588</v>
      </c>
      <c r="C472" s="25">
        <f t="array" ref="C472:N481">TRANSPOSE(Constiuence!C1118:L1129)</f>
        <v>112</v>
      </c>
      <c r="D472" s="25">
        <v>39</v>
      </c>
      <c r="E472" s="25">
        <v>312</v>
      </c>
      <c r="F472" s="25">
        <v>3</v>
      </c>
      <c r="G472" s="25">
        <v>0</v>
      </c>
      <c r="H472" s="25">
        <v>0</v>
      </c>
      <c r="I472" s="25">
        <v>1</v>
      </c>
      <c r="J472" s="25">
        <v>10</v>
      </c>
      <c r="K472" s="25">
        <v>0</v>
      </c>
      <c r="L472" s="25">
        <v>5</v>
      </c>
      <c r="M472" s="25">
        <v>0</v>
      </c>
      <c r="N472" s="25">
        <v>4</v>
      </c>
      <c r="O472" s="72">
        <f t="shared" si="15"/>
        <v>486</v>
      </c>
      <c r="P472" s="54">
        <v>0</v>
      </c>
      <c r="Q472" s="54">
        <f t="shared" si="14"/>
        <v>486</v>
      </c>
      <c r="R472" s="54">
        <v>0</v>
      </c>
    </row>
    <row r="473" spans="1:18">
      <c r="A473" s="41">
        <v>464</v>
      </c>
      <c r="B473" s="61" t="s">
        <v>589</v>
      </c>
      <c r="C473" s="25">
        <v>307</v>
      </c>
      <c r="D473" s="25">
        <v>61</v>
      </c>
      <c r="E473" s="25">
        <v>177</v>
      </c>
      <c r="F473" s="25">
        <v>3</v>
      </c>
      <c r="G473" s="25">
        <v>1</v>
      </c>
      <c r="H473" s="25">
        <v>0</v>
      </c>
      <c r="I473" s="25">
        <v>1</v>
      </c>
      <c r="J473" s="25">
        <v>2</v>
      </c>
      <c r="K473" s="25">
        <v>2</v>
      </c>
      <c r="L473" s="25">
        <v>4</v>
      </c>
      <c r="M473" s="25">
        <v>1</v>
      </c>
      <c r="N473" s="25">
        <v>5</v>
      </c>
      <c r="O473" s="72">
        <f t="shared" si="15"/>
        <v>564</v>
      </c>
      <c r="P473" s="54">
        <v>0</v>
      </c>
      <c r="Q473" s="54">
        <f t="shared" si="14"/>
        <v>564</v>
      </c>
      <c r="R473" s="54">
        <v>0</v>
      </c>
    </row>
    <row r="474" spans="1:18">
      <c r="A474" s="41">
        <v>465</v>
      </c>
      <c r="B474" s="61" t="s">
        <v>590</v>
      </c>
      <c r="C474" s="25">
        <v>269</v>
      </c>
      <c r="D474" s="25">
        <v>38</v>
      </c>
      <c r="E474" s="25">
        <v>490</v>
      </c>
      <c r="F474" s="25">
        <v>6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2</v>
      </c>
      <c r="M474" s="25">
        <v>1</v>
      </c>
      <c r="N474" s="25">
        <v>8</v>
      </c>
      <c r="O474" s="72">
        <f t="shared" si="15"/>
        <v>814</v>
      </c>
      <c r="P474" s="54">
        <v>0</v>
      </c>
      <c r="Q474" s="54">
        <f t="shared" si="14"/>
        <v>814</v>
      </c>
      <c r="R474" s="54">
        <v>0</v>
      </c>
    </row>
    <row r="475" spans="1:18">
      <c r="A475" s="41">
        <v>466</v>
      </c>
      <c r="B475" s="61" t="s">
        <v>591</v>
      </c>
      <c r="C475" s="25">
        <v>175</v>
      </c>
      <c r="D475" s="25">
        <v>81</v>
      </c>
      <c r="E475" s="25">
        <v>272</v>
      </c>
      <c r="F475" s="25">
        <v>4</v>
      </c>
      <c r="G475" s="25">
        <v>0</v>
      </c>
      <c r="H475" s="25">
        <v>0</v>
      </c>
      <c r="I475" s="25">
        <v>0</v>
      </c>
      <c r="J475" s="25">
        <v>1</v>
      </c>
      <c r="K475" s="25">
        <v>0</v>
      </c>
      <c r="L475" s="25">
        <v>3</v>
      </c>
      <c r="M475" s="25">
        <v>0</v>
      </c>
      <c r="N475" s="25">
        <v>2</v>
      </c>
      <c r="O475" s="72">
        <f t="shared" si="15"/>
        <v>538</v>
      </c>
      <c r="P475" s="54">
        <v>0</v>
      </c>
      <c r="Q475" s="54">
        <f t="shared" si="14"/>
        <v>538</v>
      </c>
      <c r="R475" s="54">
        <v>0</v>
      </c>
    </row>
    <row r="476" spans="1:18" ht="22.5">
      <c r="A476" s="41">
        <v>467</v>
      </c>
      <c r="B476" s="61" t="s">
        <v>592</v>
      </c>
      <c r="C476" s="25">
        <v>245</v>
      </c>
      <c r="D476" s="25">
        <v>93</v>
      </c>
      <c r="E476" s="25">
        <v>164</v>
      </c>
      <c r="F476" s="25">
        <v>3</v>
      </c>
      <c r="G476" s="25">
        <v>0</v>
      </c>
      <c r="H476" s="25">
        <v>0</v>
      </c>
      <c r="I476" s="25">
        <v>1</v>
      </c>
      <c r="J476" s="25">
        <v>4</v>
      </c>
      <c r="K476" s="25">
        <v>0</v>
      </c>
      <c r="L476" s="25">
        <v>3</v>
      </c>
      <c r="M476" s="25">
        <v>1</v>
      </c>
      <c r="N476" s="25">
        <v>0</v>
      </c>
      <c r="O476" s="72">
        <f t="shared" si="15"/>
        <v>514</v>
      </c>
      <c r="P476" s="54">
        <v>0</v>
      </c>
      <c r="Q476" s="54">
        <f t="shared" si="14"/>
        <v>514</v>
      </c>
      <c r="R476" s="54">
        <v>0</v>
      </c>
    </row>
    <row r="477" spans="1:18">
      <c r="A477" s="41">
        <v>468</v>
      </c>
      <c r="B477" s="61" t="s">
        <v>593</v>
      </c>
      <c r="C477" s="25">
        <v>4</v>
      </c>
      <c r="D477" s="25">
        <v>50</v>
      </c>
      <c r="E477" s="25">
        <v>399</v>
      </c>
      <c r="F477" s="25">
        <v>4</v>
      </c>
      <c r="G477" s="25">
        <v>2</v>
      </c>
      <c r="H477" s="25">
        <v>1</v>
      </c>
      <c r="I477" s="25">
        <v>0</v>
      </c>
      <c r="J477" s="25">
        <v>0</v>
      </c>
      <c r="K477" s="25">
        <v>1</v>
      </c>
      <c r="L477" s="25">
        <v>0</v>
      </c>
      <c r="M477" s="25">
        <v>0</v>
      </c>
      <c r="N477" s="25">
        <v>1</v>
      </c>
      <c r="O477" s="72">
        <f t="shared" si="15"/>
        <v>462</v>
      </c>
      <c r="P477" s="54">
        <v>0</v>
      </c>
      <c r="Q477" s="54">
        <f t="shared" si="14"/>
        <v>462</v>
      </c>
      <c r="R477" s="54">
        <v>0</v>
      </c>
    </row>
    <row r="478" spans="1:18">
      <c r="A478" s="41">
        <v>469</v>
      </c>
      <c r="B478" s="61" t="s">
        <v>594</v>
      </c>
      <c r="C478" s="25">
        <v>264</v>
      </c>
      <c r="D478" s="25">
        <v>8</v>
      </c>
      <c r="E478" s="25">
        <v>118</v>
      </c>
      <c r="F478" s="25">
        <v>2</v>
      </c>
      <c r="G478" s="25">
        <v>1</v>
      </c>
      <c r="H478" s="25">
        <v>0</v>
      </c>
      <c r="I478" s="25">
        <v>0</v>
      </c>
      <c r="J478" s="25">
        <v>2</v>
      </c>
      <c r="K478" s="25">
        <v>0</v>
      </c>
      <c r="L478" s="25">
        <v>1</v>
      </c>
      <c r="M478" s="25">
        <v>1</v>
      </c>
      <c r="N478" s="25">
        <v>3</v>
      </c>
      <c r="O478" s="72">
        <f t="shared" si="15"/>
        <v>400</v>
      </c>
      <c r="P478" s="54">
        <v>0</v>
      </c>
      <c r="Q478" s="54">
        <f t="shared" si="14"/>
        <v>400</v>
      </c>
      <c r="R478" s="54">
        <v>0</v>
      </c>
    </row>
    <row r="479" spans="1:18" ht="22.5">
      <c r="A479" s="41">
        <v>470</v>
      </c>
      <c r="B479" s="61" t="s">
        <v>595</v>
      </c>
      <c r="C479" s="25">
        <v>9</v>
      </c>
      <c r="D479" s="25">
        <v>78</v>
      </c>
      <c r="E479" s="25">
        <v>436</v>
      </c>
      <c r="F479" s="25">
        <v>6</v>
      </c>
      <c r="G479" s="25">
        <v>0</v>
      </c>
      <c r="H479" s="25">
        <v>0</v>
      </c>
      <c r="I479" s="25">
        <v>2</v>
      </c>
      <c r="J479" s="25">
        <v>0</v>
      </c>
      <c r="K479" s="25">
        <v>0</v>
      </c>
      <c r="L479" s="25">
        <v>10</v>
      </c>
      <c r="M479" s="25">
        <v>1</v>
      </c>
      <c r="N479" s="25">
        <v>0</v>
      </c>
      <c r="O479" s="72">
        <f t="shared" si="15"/>
        <v>542</v>
      </c>
      <c r="P479" s="54">
        <v>0</v>
      </c>
      <c r="Q479" s="54">
        <f t="shared" si="14"/>
        <v>542</v>
      </c>
      <c r="R479" s="54">
        <v>0</v>
      </c>
    </row>
    <row r="480" spans="1:18" ht="22.5">
      <c r="A480" s="41">
        <v>471</v>
      </c>
      <c r="B480" s="61" t="s">
        <v>596</v>
      </c>
      <c r="C480" s="25">
        <v>27</v>
      </c>
      <c r="D480" s="25">
        <v>127</v>
      </c>
      <c r="E480" s="25">
        <v>339</v>
      </c>
      <c r="F480" s="25">
        <v>3</v>
      </c>
      <c r="G480" s="25">
        <v>2</v>
      </c>
      <c r="H480" s="25">
        <v>0</v>
      </c>
      <c r="I480" s="25">
        <v>2</v>
      </c>
      <c r="J480" s="25">
        <v>13</v>
      </c>
      <c r="K480" s="25">
        <v>0</v>
      </c>
      <c r="L480" s="25">
        <v>2</v>
      </c>
      <c r="M480" s="25">
        <v>2</v>
      </c>
      <c r="N480" s="25">
        <v>0</v>
      </c>
      <c r="O480" s="72">
        <f t="shared" si="15"/>
        <v>517</v>
      </c>
      <c r="P480" s="54">
        <v>0</v>
      </c>
      <c r="Q480" s="54">
        <f t="shared" si="14"/>
        <v>517</v>
      </c>
      <c r="R480" s="54">
        <v>0</v>
      </c>
    </row>
    <row r="481" spans="1:18">
      <c r="A481" s="41">
        <v>472</v>
      </c>
      <c r="B481" s="61" t="s">
        <v>597</v>
      </c>
      <c r="C481" s="25">
        <v>36</v>
      </c>
      <c r="D481" s="25">
        <v>83</v>
      </c>
      <c r="E481" s="25">
        <v>398</v>
      </c>
      <c r="F481" s="25">
        <v>4</v>
      </c>
      <c r="G481" s="25">
        <v>0</v>
      </c>
      <c r="H481" s="25">
        <v>2</v>
      </c>
      <c r="I481" s="25">
        <v>0</v>
      </c>
      <c r="J481" s="25">
        <v>1</v>
      </c>
      <c r="K481" s="25">
        <v>0</v>
      </c>
      <c r="L481" s="25">
        <v>2</v>
      </c>
      <c r="M481" s="25">
        <v>0</v>
      </c>
      <c r="N481" s="25">
        <v>0</v>
      </c>
      <c r="O481" s="72">
        <f t="shared" si="15"/>
        <v>526</v>
      </c>
      <c r="P481" s="54">
        <v>0</v>
      </c>
      <c r="Q481" s="54">
        <f t="shared" si="14"/>
        <v>526</v>
      </c>
      <c r="R481" s="54">
        <v>0</v>
      </c>
    </row>
    <row r="482" spans="1:18" s="148" customFormat="1">
      <c r="A482" s="41">
        <v>432</v>
      </c>
      <c r="B482" s="61" t="s">
        <v>557</v>
      </c>
      <c r="C482" s="150">
        <f t="array" ref="C482:N482">TRANSPOSE(Constiuence!C1152:C1163)</f>
        <v>493</v>
      </c>
      <c r="D482" s="150">
        <v>26</v>
      </c>
      <c r="E482" s="150">
        <v>54</v>
      </c>
      <c r="F482" s="150">
        <v>2</v>
      </c>
      <c r="G482" s="150">
        <v>0</v>
      </c>
      <c r="H482" s="150">
        <v>2</v>
      </c>
      <c r="I482" s="150">
        <v>1</v>
      </c>
      <c r="J482" s="150">
        <v>1</v>
      </c>
      <c r="K482" s="150">
        <v>2</v>
      </c>
      <c r="L482" s="150">
        <v>2</v>
      </c>
      <c r="M482" s="150">
        <v>0</v>
      </c>
      <c r="N482" s="150">
        <v>6</v>
      </c>
      <c r="O482" s="151">
        <f t="shared" ref="O482" si="16">C482+D482+E482+F482+G482+H482+I482+J482+K482+L482+M482+N482</f>
        <v>589</v>
      </c>
      <c r="P482" s="149">
        <v>0</v>
      </c>
      <c r="Q482" s="149">
        <f t="shared" ref="Q482" si="17">O482-P482</f>
        <v>589</v>
      </c>
      <c r="R482" s="149">
        <v>0</v>
      </c>
    </row>
    <row r="483" spans="1:18">
      <c r="C483" s="25">
        <f>SUM(C10:C482)</f>
        <v>42351</v>
      </c>
      <c r="D483" s="150">
        <f t="shared" ref="D483:R483" si="18">SUM(D10:D482)</f>
        <v>95674</v>
      </c>
      <c r="E483" s="150">
        <f t="shared" si="18"/>
        <v>124620</v>
      </c>
      <c r="F483" s="150">
        <f t="shared" si="18"/>
        <v>2267</v>
      </c>
      <c r="G483" s="150">
        <f t="shared" si="18"/>
        <v>681</v>
      </c>
      <c r="H483" s="150">
        <f t="shared" si="18"/>
        <v>117</v>
      </c>
      <c r="I483" s="150">
        <f t="shared" si="18"/>
        <v>202</v>
      </c>
      <c r="J483" s="150">
        <f t="shared" si="18"/>
        <v>467</v>
      </c>
      <c r="K483" s="150">
        <f t="shared" si="18"/>
        <v>1731</v>
      </c>
      <c r="L483" s="150">
        <f t="shared" si="18"/>
        <v>1340</v>
      </c>
      <c r="M483" s="150">
        <f t="shared" si="18"/>
        <v>527</v>
      </c>
      <c r="N483" s="150">
        <f t="shared" si="18"/>
        <v>1194</v>
      </c>
      <c r="O483" s="150">
        <f t="shared" si="18"/>
        <v>271171</v>
      </c>
      <c r="P483" s="150">
        <f t="shared" si="18"/>
        <v>0</v>
      </c>
      <c r="Q483" s="150">
        <f t="shared" si="18"/>
        <v>271171</v>
      </c>
      <c r="R483" s="150">
        <f t="shared" si="18"/>
        <v>0</v>
      </c>
    </row>
    <row r="488" spans="1:18">
      <c r="N488" s="206" t="s">
        <v>1084</v>
      </c>
      <c r="O488" s="206"/>
      <c r="P488" s="206"/>
    </row>
    <row r="489" spans="1:18">
      <c r="N489" s="206" t="s">
        <v>1085</v>
      </c>
      <c r="O489" s="206"/>
      <c r="P489" s="206"/>
    </row>
  </sheetData>
  <mergeCells count="18">
    <mergeCell ref="N488:P488"/>
    <mergeCell ref="N489:P489"/>
    <mergeCell ref="O8:O9"/>
    <mergeCell ref="P8:P9"/>
    <mergeCell ref="Q8:Q9"/>
    <mergeCell ref="R8:R9"/>
    <mergeCell ref="A1:R1"/>
    <mergeCell ref="A2:R2"/>
    <mergeCell ref="A3:R3"/>
    <mergeCell ref="A4:R4"/>
    <mergeCell ref="C5:R5"/>
    <mergeCell ref="C7:R7"/>
    <mergeCell ref="A8:A9"/>
    <mergeCell ref="N8:N9"/>
    <mergeCell ref="H6:R6"/>
    <mergeCell ref="A6:G6"/>
    <mergeCell ref="B8:B9"/>
    <mergeCell ref="C8:M8"/>
  </mergeCells>
  <pageMargins left="0.51" right="0.18" top="0.46" bottom="0.33" header="0.3" footer="0.3"/>
  <pageSetup paperSize="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selection activeCell="B3" sqref="B3:H3"/>
    </sheetView>
  </sheetViews>
  <sheetFormatPr defaultRowHeight="15"/>
  <cols>
    <col min="1" max="1" width="5.140625" style="128" customWidth="1"/>
    <col min="2" max="2" width="10.140625" customWidth="1"/>
    <col min="3" max="3" width="11.7109375" customWidth="1"/>
    <col min="4" max="4" width="11.140625" customWidth="1"/>
    <col min="5" max="5" width="12" customWidth="1"/>
    <col min="6" max="6" width="11.7109375" customWidth="1"/>
    <col min="7" max="8" width="11.42578125" customWidth="1"/>
    <col min="9" max="9" width="11.7109375" customWidth="1"/>
    <col min="10" max="10" width="11.5703125" customWidth="1"/>
    <col min="11" max="12" width="11.140625" customWidth="1"/>
    <col min="13" max="14" width="11.7109375" customWidth="1"/>
    <col min="15" max="15" width="11" customWidth="1"/>
  </cols>
  <sheetData>
    <row r="1" spans="1:15" ht="28.5">
      <c r="A1" s="273" t="s">
        <v>1223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4"/>
    </row>
    <row r="2" spans="1:15" ht="26.25">
      <c r="A2" s="275" t="s">
        <v>1185</v>
      </c>
      <c r="B2" s="276" t="s">
        <v>1171</v>
      </c>
      <c r="C2" s="276"/>
      <c r="D2" s="276"/>
      <c r="E2" s="276"/>
      <c r="F2" s="276"/>
      <c r="G2" s="276"/>
      <c r="H2" s="276"/>
      <c r="I2" s="276" t="s">
        <v>1172</v>
      </c>
      <c r="J2" s="276"/>
      <c r="K2" s="276"/>
      <c r="L2" s="276"/>
      <c r="M2" s="276"/>
      <c r="N2" s="276"/>
      <c r="O2" s="276"/>
    </row>
    <row r="3" spans="1:15" ht="28.5">
      <c r="A3" s="275"/>
      <c r="B3" s="277" t="s">
        <v>1173</v>
      </c>
      <c r="C3" s="277"/>
      <c r="D3" s="277"/>
      <c r="E3" s="277"/>
      <c r="F3" s="277"/>
      <c r="G3" s="277"/>
      <c r="H3" s="277"/>
      <c r="I3" s="277" t="s">
        <v>1174</v>
      </c>
      <c r="J3" s="277"/>
      <c r="K3" s="277"/>
      <c r="L3" s="277"/>
      <c r="M3" s="277"/>
      <c r="N3" s="277"/>
      <c r="O3" s="277"/>
    </row>
    <row r="4" spans="1:15" s="130" customFormat="1" ht="18.75">
      <c r="A4" s="272" t="s">
        <v>1189</v>
      </c>
      <c r="B4" s="129">
        <v>1</v>
      </c>
      <c r="C4" s="129">
        <v>2</v>
      </c>
      <c r="D4" s="129">
        <v>3</v>
      </c>
      <c r="E4" s="129">
        <v>4</v>
      </c>
      <c r="F4" s="129">
        <v>5</v>
      </c>
      <c r="G4" s="129">
        <v>6</v>
      </c>
      <c r="H4" s="129">
        <v>7</v>
      </c>
      <c r="I4" s="129">
        <v>8</v>
      </c>
      <c r="J4" s="129">
        <v>9</v>
      </c>
      <c r="K4" s="129">
        <v>10</v>
      </c>
      <c r="L4" s="129">
        <v>11</v>
      </c>
      <c r="M4" s="129">
        <v>12</v>
      </c>
      <c r="N4" s="129">
        <v>13</v>
      </c>
      <c r="O4" s="129">
        <v>14</v>
      </c>
    </row>
    <row r="5" spans="1:15" s="130" customFormat="1" ht="60" customHeight="1">
      <c r="A5" s="272"/>
      <c r="B5" s="134" t="s">
        <v>126</v>
      </c>
      <c r="C5" s="134" t="s">
        <v>127</v>
      </c>
      <c r="D5" s="134" t="s">
        <v>128</v>
      </c>
      <c r="E5" s="135" t="s">
        <v>129</v>
      </c>
      <c r="F5" s="135" t="s">
        <v>130</v>
      </c>
      <c r="G5" s="134" t="s">
        <v>131</v>
      </c>
      <c r="H5" s="134" t="s">
        <v>132</v>
      </c>
      <c r="I5" s="134" t="s">
        <v>133</v>
      </c>
      <c r="J5" s="134" t="s">
        <v>134</v>
      </c>
      <c r="K5" s="134" t="s">
        <v>135</v>
      </c>
      <c r="L5" s="135" t="s">
        <v>136</v>
      </c>
      <c r="M5" s="135" t="s">
        <v>137</v>
      </c>
      <c r="N5" s="134" t="s">
        <v>138</v>
      </c>
      <c r="O5" s="134" t="s">
        <v>139</v>
      </c>
    </row>
    <row r="6" spans="1:15" ht="22.5">
      <c r="A6" s="272"/>
      <c r="B6" s="132" t="s">
        <v>99</v>
      </c>
      <c r="C6" s="132" t="s">
        <v>100</v>
      </c>
      <c r="D6" s="132" t="s">
        <v>101</v>
      </c>
      <c r="E6" s="132" t="s">
        <v>102</v>
      </c>
      <c r="F6" s="132" t="s">
        <v>103</v>
      </c>
      <c r="G6" s="132" t="s">
        <v>104</v>
      </c>
      <c r="H6" s="132" t="s">
        <v>105</v>
      </c>
      <c r="I6" s="132" t="s">
        <v>106</v>
      </c>
      <c r="J6" s="132" t="s">
        <v>107</v>
      </c>
      <c r="K6" s="132" t="s">
        <v>108</v>
      </c>
      <c r="L6" s="132" t="s">
        <v>109</v>
      </c>
      <c r="M6" s="132" t="s">
        <v>110</v>
      </c>
      <c r="N6" s="132" t="s">
        <v>111</v>
      </c>
      <c r="O6" s="132" t="s">
        <v>112</v>
      </c>
    </row>
    <row r="7" spans="1:15" ht="18.75">
      <c r="A7" s="272" t="s">
        <v>1190</v>
      </c>
      <c r="B7" s="136">
        <v>15</v>
      </c>
      <c r="C7" s="136">
        <v>16</v>
      </c>
      <c r="D7" s="136">
        <v>17</v>
      </c>
      <c r="E7" s="136">
        <v>18</v>
      </c>
      <c r="F7" s="136">
        <v>19</v>
      </c>
      <c r="G7" s="136">
        <v>20</v>
      </c>
      <c r="H7" s="136">
        <v>21</v>
      </c>
      <c r="I7" s="136">
        <v>22</v>
      </c>
      <c r="J7" s="136">
        <v>23</v>
      </c>
      <c r="K7" s="136">
        <v>24</v>
      </c>
      <c r="L7" s="136">
        <v>25</v>
      </c>
      <c r="M7" s="136">
        <v>26</v>
      </c>
      <c r="N7" s="136">
        <v>27</v>
      </c>
      <c r="O7" s="136">
        <v>28</v>
      </c>
    </row>
    <row r="8" spans="1:15" s="131" customFormat="1" ht="52.5" customHeight="1">
      <c r="A8" s="272"/>
      <c r="B8" s="134" t="s">
        <v>140</v>
      </c>
      <c r="C8" s="134" t="s">
        <v>141</v>
      </c>
      <c r="D8" s="134" t="s">
        <v>142</v>
      </c>
      <c r="E8" s="134" t="s">
        <v>143</v>
      </c>
      <c r="F8" s="134" t="s">
        <v>144</v>
      </c>
      <c r="G8" s="134" t="s">
        <v>145</v>
      </c>
      <c r="H8" s="134" t="s">
        <v>146</v>
      </c>
      <c r="I8" s="134" t="s">
        <v>147</v>
      </c>
      <c r="J8" s="134" t="s">
        <v>148</v>
      </c>
      <c r="K8" s="134" t="s">
        <v>149</v>
      </c>
      <c r="L8" s="134" t="s">
        <v>150</v>
      </c>
      <c r="M8" s="134" t="s">
        <v>151</v>
      </c>
      <c r="N8" s="134" t="s">
        <v>152</v>
      </c>
      <c r="O8" s="134" t="s">
        <v>153</v>
      </c>
    </row>
    <row r="9" spans="1:15">
      <c r="A9" s="272"/>
      <c r="B9" s="132" t="s">
        <v>612</v>
      </c>
      <c r="C9" s="132" t="s">
        <v>613</v>
      </c>
      <c r="D9" s="132" t="s">
        <v>614</v>
      </c>
      <c r="E9" s="132" t="s">
        <v>615</v>
      </c>
      <c r="F9" s="132" t="s">
        <v>616</v>
      </c>
      <c r="G9" s="132" t="s">
        <v>617</v>
      </c>
      <c r="H9" s="132" t="s">
        <v>618</v>
      </c>
      <c r="I9" s="132" t="s">
        <v>619</v>
      </c>
      <c r="J9" s="132" t="s">
        <v>620</v>
      </c>
      <c r="K9" s="132" t="s">
        <v>621</v>
      </c>
      <c r="L9" s="132" t="s">
        <v>622</v>
      </c>
      <c r="M9" s="132" t="s">
        <v>623</v>
      </c>
      <c r="N9" s="132" t="s">
        <v>624</v>
      </c>
      <c r="O9" s="132" t="s">
        <v>625</v>
      </c>
    </row>
    <row r="10" spans="1:15" ht="18.75">
      <c r="A10" s="272" t="s">
        <v>1191</v>
      </c>
      <c r="B10" s="136">
        <v>29</v>
      </c>
      <c r="C10" s="136">
        <v>30</v>
      </c>
      <c r="D10" s="136">
        <v>31</v>
      </c>
      <c r="E10" s="136">
        <v>32</v>
      </c>
      <c r="F10" s="136">
        <v>33</v>
      </c>
      <c r="G10" s="136">
        <v>34</v>
      </c>
      <c r="H10" s="136">
        <v>35</v>
      </c>
      <c r="I10" s="136">
        <v>36</v>
      </c>
      <c r="J10" s="136">
        <v>37</v>
      </c>
      <c r="K10" s="136">
        <v>38</v>
      </c>
      <c r="L10" s="136">
        <v>39</v>
      </c>
      <c r="M10" s="136">
        <v>40</v>
      </c>
      <c r="N10" s="136">
        <v>41</v>
      </c>
      <c r="O10" s="136">
        <v>42</v>
      </c>
    </row>
    <row r="11" spans="1:15" s="131" customFormat="1" ht="49.5" customHeight="1">
      <c r="A11" s="272"/>
      <c r="B11" s="134" t="s">
        <v>154</v>
      </c>
      <c r="C11" s="134" t="s">
        <v>155</v>
      </c>
      <c r="D11" s="134" t="s">
        <v>156</v>
      </c>
      <c r="E11" s="134" t="s">
        <v>157</v>
      </c>
      <c r="F11" s="134" t="s">
        <v>158</v>
      </c>
      <c r="G11" s="134" t="s">
        <v>159</v>
      </c>
      <c r="H11" s="134" t="s">
        <v>160</v>
      </c>
      <c r="I11" s="134" t="s">
        <v>161</v>
      </c>
      <c r="J11" s="134" t="s">
        <v>162</v>
      </c>
      <c r="K11" s="134" t="s">
        <v>163</v>
      </c>
      <c r="L11" s="134" t="s">
        <v>164</v>
      </c>
      <c r="M11" s="134" t="s">
        <v>165</v>
      </c>
      <c r="N11" s="134" t="s">
        <v>166</v>
      </c>
      <c r="O11" s="134" t="s">
        <v>167</v>
      </c>
    </row>
    <row r="12" spans="1:15" ht="22.5">
      <c r="A12" s="272"/>
      <c r="B12" s="132" t="s">
        <v>626</v>
      </c>
      <c r="C12" s="132" t="s">
        <v>627</v>
      </c>
      <c r="D12" s="132" t="s">
        <v>628</v>
      </c>
      <c r="E12" s="132" t="s">
        <v>629</v>
      </c>
      <c r="F12" s="132" t="s">
        <v>630</v>
      </c>
      <c r="G12" s="132" t="s">
        <v>631</v>
      </c>
      <c r="H12" s="132" t="s">
        <v>632</v>
      </c>
      <c r="I12" s="132" t="s">
        <v>633</v>
      </c>
      <c r="J12" s="132" t="s">
        <v>634</v>
      </c>
      <c r="K12" s="132" t="s">
        <v>635</v>
      </c>
      <c r="L12" s="132" t="s">
        <v>636</v>
      </c>
      <c r="M12" s="132" t="s">
        <v>637</v>
      </c>
      <c r="N12" s="132" t="s">
        <v>638</v>
      </c>
      <c r="O12" s="132" t="s">
        <v>639</v>
      </c>
    </row>
    <row r="13" spans="1:15" ht="18.75">
      <c r="A13" s="272" t="s">
        <v>1192</v>
      </c>
      <c r="B13" s="136">
        <v>43</v>
      </c>
      <c r="C13" s="136">
        <v>44</v>
      </c>
      <c r="D13" s="136">
        <v>45</v>
      </c>
      <c r="E13" s="136">
        <v>46</v>
      </c>
      <c r="F13" s="136">
        <v>47</v>
      </c>
      <c r="G13" s="136">
        <v>48</v>
      </c>
      <c r="H13" s="136">
        <v>49</v>
      </c>
      <c r="I13" s="136">
        <v>50</v>
      </c>
      <c r="J13" s="136">
        <v>51</v>
      </c>
      <c r="K13" s="136">
        <v>52</v>
      </c>
      <c r="L13" s="136">
        <v>53</v>
      </c>
      <c r="M13" s="136">
        <v>54</v>
      </c>
      <c r="N13" s="136">
        <v>55</v>
      </c>
      <c r="O13" s="136">
        <v>56</v>
      </c>
    </row>
    <row r="14" spans="1:15" s="131" customFormat="1" ht="61.5" customHeight="1">
      <c r="A14" s="272"/>
      <c r="B14" s="134" t="s">
        <v>168</v>
      </c>
      <c r="C14" s="134" t="s">
        <v>169</v>
      </c>
      <c r="D14" s="134" t="s">
        <v>170</v>
      </c>
      <c r="E14" s="134" t="s">
        <v>171</v>
      </c>
      <c r="F14" s="134" t="s">
        <v>172</v>
      </c>
      <c r="G14" s="134" t="s">
        <v>173</v>
      </c>
      <c r="H14" s="134" t="s">
        <v>174</v>
      </c>
      <c r="I14" s="134" t="s">
        <v>175</v>
      </c>
      <c r="J14" s="134" t="s">
        <v>176</v>
      </c>
      <c r="K14" s="134" t="s">
        <v>177</v>
      </c>
      <c r="L14" s="134" t="s">
        <v>178</v>
      </c>
      <c r="M14" s="134" t="s">
        <v>179</v>
      </c>
      <c r="N14" s="134" t="s">
        <v>180</v>
      </c>
      <c r="O14" s="134" t="s">
        <v>181</v>
      </c>
    </row>
    <row r="15" spans="1:15" ht="22.5">
      <c r="A15" s="272"/>
      <c r="B15" s="132" t="s">
        <v>640</v>
      </c>
      <c r="C15" s="132" t="s">
        <v>641</v>
      </c>
      <c r="D15" s="132" t="s">
        <v>642</v>
      </c>
      <c r="E15" s="132" t="s">
        <v>643</v>
      </c>
      <c r="F15" s="132" t="s">
        <v>644</v>
      </c>
      <c r="G15" s="132" t="s">
        <v>645</v>
      </c>
      <c r="H15" s="132" t="s">
        <v>646</v>
      </c>
      <c r="I15" s="132" t="s">
        <v>647</v>
      </c>
      <c r="J15" s="132" t="s">
        <v>648</v>
      </c>
      <c r="K15" s="132" t="s">
        <v>649</v>
      </c>
      <c r="L15" s="132" t="s">
        <v>650</v>
      </c>
      <c r="M15" s="132" t="s">
        <v>651</v>
      </c>
      <c r="N15" s="132" t="s">
        <v>652</v>
      </c>
      <c r="O15" s="132" t="s">
        <v>653</v>
      </c>
    </row>
    <row r="16" spans="1:15" ht="18.75">
      <c r="A16" s="272" t="s">
        <v>1193</v>
      </c>
      <c r="B16" s="136">
        <v>57</v>
      </c>
      <c r="C16" s="136">
        <v>58</v>
      </c>
      <c r="D16" s="136">
        <v>59</v>
      </c>
      <c r="E16" s="136">
        <v>60</v>
      </c>
      <c r="F16" s="136">
        <v>61</v>
      </c>
      <c r="G16" s="136">
        <v>62</v>
      </c>
      <c r="H16" s="136">
        <v>63</v>
      </c>
      <c r="I16" s="136">
        <v>64</v>
      </c>
      <c r="J16" s="136">
        <v>65</v>
      </c>
      <c r="K16" s="136">
        <v>66</v>
      </c>
      <c r="L16" s="136">
        <v>67</v>
      </c>
      <c r="M16" s="136">
        <v>68</v>
      </c>
      <c r="N16" s="136">
        <v>69</v>
      </c>
      <c r="O16" s="136">
        <v>70</v>
      </c>
    </row>
    <row r="17" spans="1:15" s="131" customFormat="1" ht="54" customHeight="1">
      <c r="A17" s="272"/>
      <c r="B17" s="134" t="s">
        <v>182</v>
      </c>
      <c r="C17" s="134" t="s">
        <v>183</v>
      </c>
      <c r="D17" s="134" t="s">
        <v>184</v>
      </c>
      <c r="E17" s="134" t="s">
        <v>185</v>
      </c>
      <c r="F17" s="134" t="s">
        <v>186</v>
      </c>
      <c r="G17" s="134" t="s">
        <v>187</v>
      </c>
      <c r="H17" s="135" t="s">
        <v>188</v>
      </c>
      <c r="I17" s="135" t="s">
        <v>189</v>
      </c>
      <c r="J17" s="134" t="s">
        <v>190</v>
      </c>
      <c r="K17" s="134" t="s">
        <v>191</v>
      </c>
      <c r="L17" s="134" t="s">
        <v>192</v>
      </c>
      <c r="M17" s="134" t="s">
        <v>193</v>
      </c>
      <c r="N17" s="134" t="s">
        <v>194</v>
      </c>
      <c r="O17" s="134" t="s">
        <v>195</v>
      </c>
    </row>
    <row r="18" spans="1:15" ht="22.5">
      <c r="A18" s="272"/>
      <c r="B18" s="132" t="s">
        <v>654</v>
      </c>
      <c r="C18" s="132" t="s">
        <v>655</v>
      </c>
      <c r="D18" s="132" t="s">
        <v>656</v>
      </c>
      <c r="E18" s="132" t="s">
        <v>657</v>
      </c>
      <c r="F18" s="132" t="s">
        <v>658</v>
      </c>
      <c r="G18" s="132" t="s">
        <v>659</v>
      </c>
      <c r="H18" s="132" t="s">
        <v>660</v>
      </c>
      <c r="I18" s="132" t="s">
        <v>661</v>
      </c>
      <c r="J18" s="132" t="s">
        <v>662</v>
      </c>
      <c r="K18" s="132" t="s">
        <v>663</v>
      </c>
      <c r="L18" s="132" t="s">
        <v>664</v>
      </c>
      <c r="M18" s="132" t="s">
        <v>665</v>
      </c>
      <c r="N18" s="132" t="s">
        <v>666</v>
      </c>
      <c r="O18" s="132" t="s">
        <v>667</v>
      </c>
    </row>
    <row r="19" spans="1:15" ht="18.75">
      <c r="A19" s="272" t="s">
        <v>1194</v>
      </c>
      <c r="B19" s="136">
        <v>71</v>
      </c>
      <c r="C19" s="136">
        <v>72</v>
      </c>
      <c r="D19" s="136">
        <v>73</v>
      </c>
      <c r="E19" s="136">
        <v>74</v>
      </c>
      <c r="F19" s="136">
        <v>75</v>
      </c>
      <c r="G19" s="136">
        <v>76</v>
      </c>
      <c r="H19" s="136">
        <v>77</v>
      </c>
      <c r="I19" s="136">
        <v>78</v>
      </c>
      <c r="J19" s="136">
        <v>79</v>
      </c>
      <c r="K19" s="136">
        <v>80</v>
      </c>
      <c r="L19" s="136">
        <v>81</v>
      </c>
      <c r="M19" s="136">
        <v>82</v>
      </c>
      <c r="N19" s="136">
        <v>83</v>
      </c>
      <c r="O19" s="136">
        <v>84</v>
      </c>
    </row>
    <row r="20" spans="1:15" s="131" customFormat="1" ht="57.75" customHeight="1">
      <c r="A20" s="272"/>
      <c r="B20" s="134" t="s">
        <v>196</v>
      </c>
      <c r="C20" s="134" t="s">
        <v>197</v>
      </c>
      <c r="D20" s="134" t="s">
        <v>198</v>
      </c>
      <c r="E20" s="134" t="s">
        <v>199</v>
      </c>
      <c r="F20" s="134" t="s">
        <v>200</v>
      </c>
      <c r="G20" s="134" t="s">
        <v>201</v>
      </c>
      <c r="H20" s="134" t="s">
        <v>202</v>
      </c>
      <c r="I20" s="134" t="s">
        <v>203</v>
      </c>
      <c r="J20" s="134" t="s">
        <v>204</v>
      </c>
      <c r="K20" s="134" t="s">
        <v>205</v>
      </c>
      <c r="L20" s="134" t="s">
        <v>206</v>
      </c>
      <c r="M20" s="134" t="s">
        <v>207</v>
      </c>
      <c r="N20" s="134" t="s">
        <v>208</v>
      </c>
      <c r="O20" s="134" t="s">
        <v>209</v>
      </c>
    </row>
    <row r="21" spans="1:15" ht="15" customHeight="1">
      <c r="A21" s="272"/>
      <c r="B21" s="270" t="s">
        <v>668</v>
      </c>
      <c r="C21" s="270" t="s">
        <v>669</v>
      </c>
      <c r="D21" s="270" t="s">
        <v>670</v>
      </c>
      <c r="E21" s="270" t="s">
        <v>671</v>
      </c>
      <c r="F21" s="270" t="s">
        <v>672</v>
      </c>
      <c r="G21" s="270" t="s">
        <v>673</v>
      </c>
      <c r="H21" s="270" t="s">
        <v>674</v>
      </c>
      <c r="I21" s="270" t="s">
        <v>1175</v>
      </c>
      <c r="J21" s="270" t="s">
        <v>676</v>
      </c>
      <c r="K21" s="270" t="s">
        <v>677</v>
      </c>
      <c r="L21" s="133" t="s">
        <v>1186</v>
      </c>
      <c r="M21" s="270" t="s">
        <v>678</v>
      </c>
      <c r="N21" s="270" t="s">
        <v>679</v>
      </c>
      <c r="O21" s="270" t="s">
        <v>680</v>
      </c>
    </row>
    <row r="22" spans="1:15">
      <c r="A22" s="272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133" t="s">
        <v>1176</v>
      </c>
      <c r="M22" s="270"/>
      <c r="N22" s="270"/>
      <c r="O22" s="270"/>
    </row>
    <row r="23" spans="1:15" ht="18" customHeight="1">
      <c r="A23" s="272" t="s">
        <v>1195</v>
      </c>
      <c r="B23" s="136">
        <v>85</v>
      </c>
      <c r="C23" s="136">
        <v>86</v>
      </c>
      <c r="D23" s="136">
        <v>87</v>
      </c>
      <c r="E23" s="136">
        <v>88</v>
      </c>
      <c r="F23" s="136">
        <v>89</v>
      </c>
      <c r="G23" s="136">
        <v>90</v>
      </c>
      <c r="H23" s="136">
        <v>91</v>
      </c>
      <c r="I23" s="136">
        <v>92</v>
      </c>
      <c r="J23" s="136">
        <v>93</v>
      </c>
      <c r="K23" s="136">
        <v>94</v>
      </c>
      <c r="L23" s="136">
        <v>95</v>
      </c>
      <c r="M23" s="136">
        <v>96</v>
      </c>
      <c r="N23" s="136">
        <v>97</v>
      </c>
      <c r="O23" s="136">
        <v>98</v>
      </c>
    </row>
    <row r="24" spans="1:15" s="131" customFormat="1" ht="62.25" customHeight="1">
      <c r="A24" s="272"/>
      <c r="B24" s="134" t="s">
        <v>210</v>
      </c>
      <c r="C24" s="134" t="s">
        <v>211</v>
      </c>
      <c r="D24" s="134" t="s">
        <v>212</v>
      </c>
      <c r="E24" s="134" t="s">
        <v>213</v>
      </c>
      <c r="F24" s="134" t="s">
        <v>214</v>
      </c>
      <c r="G24" s="134" t="s">
        <v>215</v>
      </c>
      <c r="H24" s="134" t="s">
        <v>216</v>
      </c>
      <c r="I24" s="134" t="s">
        <v>217</v>
      </c>
      <c r="J24" s="134" t="s">
        <v>218</v>
      </c>
      <c r="K24" s="134" t="s">
        <v>219</v>
      </c>
      <c r="L24" s="134" t="s">
        <v>220</v>
      </c>
      <c r="M24" s="134" t="s">
        <v>221</v>
      </c>
      <c r="N24" s="134" t="s">
        <v>222</v>
      </c>
      <c r="O24" s="134" t="s">
        <v>223</v>
      </c>
    </row>
    <row r="25" spans="1:15" ht="22.5">
      <c r="A25" s="272"/>
      <c r="B25" s="132" t="s">
        <v>681</v>
      </c>
      <c r="C25" s="132" t="s">
        <v>682</v>
      </c>
      <c r="D25" s="132" t="s">
        <v>683</v>
      </c>
      <c r="E25" s="132" t="s">
        <v>684</v>
      </c>
      <c r="F25" s="132" t="s">
        <v>685</v>
      </c>
      <c r="G25" s="132" t="s">
        <v>686</v>
      </c>
      <c r="H25" s="132" t="s">
        <v>687</v>
      </c>
      <c r="I25" s="132" t="s">
        <v>688</v>
      </c>
      <c r="J25" s="132" t="s">
        <v>689</v>
      </c>
      <c r="K25" s="132" t="s">
        <v>690</v>
      </c>
      <c r="L25" s="132" t="s">
        <v>691</v>
      </c>
      <c r="M25" s="132" t="s">
        <v>692</v>
      </c>
      <c r="N25" s="132" t="s">
        <v>693</v>
      </c>
      <c r="O25" s="132" t="s">
        <v>694</v>
      </c>
    </row>
    <row r="26" spans="1:15" ht="18.75">
      <c r="A26" s="272" t="s">
        <v>1196</v>
      </c>
      <c r="B26" s="136">
        <v>99</v>
      </c>
      <c r="C26" s="136">
        <v>100</v>
      </c>
      <c r="D26" s="136">
        <v>101</v>
      </c>
      <c r="E26" s="136">
        <v>102</v>
      </c>
      <c r="F26" s="136">
        <v>103</v>
      </c>
      <c r="G26" s="136">
        <v>104</v>
      </c>
      <c r="H26" s="136">
        <v>105</v>
      </c>
      <c r="I26" s="136">
        <v>106</v>
      </c>
      <c r="J26" s="136">
        <v>107</v>
      </c>
      <c r="K26" s="136">
        <v>108</v>
      </c>
      <c r="L26" s="136">
        <v>109</v>
      </c>
      <c r="M26" s="136">
        <v>110</v>
      </c>
      <c r="N26" s="136">
        <v>111</v>
      </c>
      <c r="O26" s="136">
        <v>112</v>
      </c>
    </row>
    <row r="27" spans="1:15" s="131" customFormat="1" ht="58.5" customHeight="1">
      <c r="A27" s="272"/>
      <c r="B27" s="134" t="s">
        <v>224</v>
      </c>
      <c r="C27" s="134" t="s">
        <v>225</v>
      </c>
      <c r="D27" s="134" t="s">
        <v>226</v>
      </c>
      <c r="E27" s="134" t="s">
        <v>227</v>
      </c>
      <c r="F27" s="134" t="s">
        <v>228</v>
      </c>
      <c r="G27" s="134" t="s">
        <v>229</v>
      </c>
      <c r="H27" s="134" t="s">
        <v>230</v>
      </c>
      <c r="I27" s="134" t="s">
        <v>231</v>
      </c>
      <c r="J27" s="134" t="s">
        <v>232</v>
      </c>
      <c r="K27" s="134" t="s">
        <v>233</v>
      </c>
      <c r="L27" s="134" t="s">
        <v>234</v>
      </c>
      <c r="M27" s="134" t="s">
        <v>235</v>
      </c>
      <c r="N27" s="134" t="s">
        <v>236</v>
      </c>
      <c r="O27" s="134" t="s">
        <v>237</v>
      </c>
    </row>
    <row r="28" spans="1:15" ht="22.5">
      <c r="A28" s="272"/>
      <c r="B28" s="132" t="s">
        <v>1177</v>
      </c>
      <c r="C28" s="132" t="s">
        <v>1178</v>
      </c>
      <c r="D28" s="132" t="s">
        <v>697</v>
      </c>
      <c r="E28" s="132" t="s">
        <v>698</v>
      </c>
      <c r="F28" s="132" t="s">
        <v>699</v>
      </c>
      <c r="G28" s="132" t="s">
        <v>700</v>
      </c>
      <c r="H28" s="132" t="s">
        <v>701</v>
      </c>
      <c r="I28" s="132" t="s">
        <v>702</v>
      </c>
      <c r="J28" s="132" t="s">
        <v>703</v>
      </c>
      <c r="K28" s="132" t="s">
        <v>704</v>
      </c>
      <c r="L28" s="132" t="s">
        <v>705</v>
      </c>
      <c r="M28" s="132" t="s">
        <v>706</v>
      </c>
      <c r="N28" s="132" t="s">
        <v>707</v>
      </c>
      <c r="O28" s="132" t="s">
        <v>708</v>
      </c>
    </row>
    <row r="29" spans="1:15" ht="18.75">
      <c r="A29" s="272" t="s">
        <v>1197</v>
      </c>
      <c r="B29" s="136">
        <v>113</v>
      </c>
      <c r="C29" s="136">
        <v>114</v>
      </c>
      <c r="D29" s="136">
        <v>115</v>
      </c>
      <c r="E29" s="136">
        <v>116</v>
      </c>
      <c r="F29" s="136">
        <v>117</v>
      </c>
      <c r="G29" s="136">
        <v>118</v>
      </c>
      <c r="H29" s="136">
        <v>119</v>
      </c>
      <c r="I29" s="136">
        <v>120</v>
      </c>
      <c r="J29" s="136">
        <v>121</v>
      </c>
      <c r="K29" s="136">
        <v>122</v>
      </c>
      <c r="L29" s="136">
        <v>123</v>
      </c>
      <c r="M29" s="136">
        <v>124</v>
      </c>
      <c r="N29" s="136">
        <v>125</v>
      </c>
      <c r="O29" s="136">
        <v>126</v>
      </c>
    </row>
    <row r="30" spans="1:15" s="131" customFormat="1" ht="72" customHeight="1">
      <c r="A30" s="272"/>
      <c r="B30" s="134" t="s">
        <v>238</v>
      </c>
      <c r="C30" s="134" t="s">
        <v>239</v>
      </c>
      <c r="D30" s="134" t="s">
        <v>240</v>
      </c>
      <c r="E30" s="134" t="s">
        <v>241</v>
      </c>
      <c r="F30" s="134" t="s">
        <v>242</v>
      </c>
      <c r="G30" s="134" t="s">
        <v>243</v>
      </c>
      <c r="H30" s="134" t="s">
        <v>244</v>
      </c>
      <c r="I30" s="134" t="s">
        <v>245</v>
      </c>
      <c r="J30" s="134" t="s">
        <v>246</v>
      </c>
      <c r="K30" s="134" t="s">
        <v>247</v>
      </c>
      <c r="L30" s="134" t="s">
        <v>248</v>
      </c>
      <c r="M30" s="134" t="s">
        <v>249</v>
      </c>
      <c r="N30" s="134" t="s">
        <v>250</v>
      </c>
      <c r="O30" s="134" t="s">
        <v>251</v>
      </c>
    </row>
    <row r="31" spans="1:15" ht="22.5">
      <c r="A31" s="272"/>
      <c r="B31" s="132" t="s">
        <v>709</v>
      </c>
      <c r="C31" s="132" t="s">
        <v>710</v>
      </c>
      <c r="D31" s="132" t="s">
        <v>711</v>
      </c>
      <c r="E31" s="132" t="s">
        <v>712</v>
      </c>
      <c r="F31" s="132" t="s">
        <v>713</v>
      </c>
      <c r="G31" s="132" t="s">
        <v>714</v>
      </c>
      <c r="H31" s="132" t="s">
        <v>715</v>
      </c>
      <c r="I31" s="132" t="s">
        <v>716</v>
      </c>
      <c r="J31" s="132" t="s">
        <v>717</v>
      </c>
      <c r="K31" s="132" t="s">
        <v>718</v>
      </c>
      <c r="L31" s="132" t="s">
        <v>719</v>
      </c>
      <c r="M31" s="132" t="s">
        <v>720</v>
      </c>
      <c r="N31" s="132" t="s">
        <v>721</v>
      </c>
      <c r="O31" s="132" t="s">
        <v>722</v>
      </c>
    </row>
    <row r="32" spans="1:15" ht="18.75">
      <c r="A32" s="272" t="s">
        <v>1198</v>
      </c>
      <c r="B32" s="136">
        <v>127</v>
      </c>
      <c r="C32" s="136">
        <v>128</v>
      </c>
      <c r="D32" s="136">
        <v>129</v>
      </c>
      <c r="E32" s="136">
        <v>130</v>
      </c>
      <c r="F32" s="136">
        <v>131</v>
      </c>
      <c r="G32" s="136">
        <v>132</v>
      </c>
      <c r="H32" s="136">
        <v>133</v>
      </c>
      <c r="I32" s="136">
        <v>134</v>
      </c>
      <c r="J32" s="136">
        <v>135</v>
      </c>
      <c r="K32" s="136">
        <v>136</v>
      </c>
      <c r="L32" s="136">
        <v>137</v>
      </c>
      <c r="M32" s="136">
        <v>138</v>
      </c>
      <c r="N32" s="136">
        <v>139</v>
      </c>
      <c r="O32" s="136">
        <v>140</v>
      </c>
    </row>
    <row r="33" spans="1:15" s="131" customFormat="1" ht="74.25" customHeight="1">
      <c r="A33" s="272"/>
      <c r="B33" s="134" t="s">
        <v>252</v>
      </c>
      <c r="C33" s="134" t="s">
        <v>253</v>
      </c>
      <c r="D33" s="134" t="s">
        <v>254</v>
      </c>
      <c r="E33" s="134" t="s">
        <v>255</v>
      </c>
      <c r="F33" s="134" t="s">
        <v>256</v>
      </c>
      <c r="G33" s="134" t="s">
        <v>257</v>
      </c>
      <c r="H33" s="134" t="s">
        <v>258</v>
      </c>
      <c r="I33" s="134" t="s">
        <v>259</v>
      </c>
      <c r="J33" s="134" t="s">
        <v>260</v>
      </c>
      <c r="K33" s="134" t="s">
        <v>261</v>
      </c>
      <c r="L33" s="134" t="s">
        <v>262</v>
      </c>
      <c r="M33" s="134" t="s">
        <v>263</v>
      </c>
      <c r="N33" s="134" t="s">
        <v>264</v>
      </c>
      <c r="O33" s="134" t="s">
        <v>265</v>
      </c>
    </row>
    <row r="34" spans="1:15" ht="18.75" customHeight="1">
      <c r="A34" s="272"/>
      <c r="B34" s="132" t="s">
        <v>723</v>
      </c>
      <c r="C34" s="132" t="s">
        <v>724</v>
      </c>
      <c r="D34" s="132" t="s">
        <v>725</v>
      </c>
      <c r="E34" s="132" t="s">
        <v>726</v>
      </c>
      <c r="F34" s="132" t="s">
        <v>727</v>
      </c>
      <c r="G34" s="132" t="s">
        <v>728</v>
      </c>
      <c r="H34" s="132" t="s">
        <v>729</v>
      </c>
      <c r="I34" s="132" t="s">
        <v>730</v>
      </c>
      <c r="J34" s="132" t="s">
        <v>731</v>
      </c>
      <c r="K34" s="132" t="s">
        <v>732</v>
      </c>
      <c r="L34" s="132" t="s">
        <v>733</v>
      </c>
      <c r="M34" s="132" t="s">
        <v>734</v>
      </c>
      <c r="N34" s="132" t="s">
        <v>735</v>
      </c>
      <c r="O34" s="132" t="s">
        <v>736</v>
      </c>
    </row>
    <row r="35" spans="1:15" ht="18.75">
      <c r="A35" s="272" t="s">
        <v>1199</v>
      </c>
      <c r="B35" s="136">
        <v>141</v>
      </c>
      <c r="C35" s="136">
        <v>142</v>
      </c>
      <c r="D35" s="136">
        <v>143</v>
      </c>
      <c r="E35" s="136">
        <v>144</v>
      </c>
      <c r="F35" s="136">
        <v>145</v>
      </c>
      <c r="G35" s="136">
        <v>146</v>
      </c>
      <c r="H35" s="136">
        <v>147</v>
      </c>
      <c r="I35" s="136">
        <v>148</v>
      </c>
      <c r="J35" s="136">
        <v>149</v>
      </c>
      <c r="K35" s="136">
        <v>150</v>
      </c>
      <c r="L35" s="136">
        <v>151</v>
      </c>
      <c r="M35" s="136">
        <v>152</v>
      </c>
      <c r="N35" s="136">
        <v>153</v>
      </c>
      <c r="O35" s="136">
        <v>154</v>
      </c>
    </row>
    <row r="36" spans="1:15" s="131" customFormat="1" ht="60.75" customHeight="1">
      <c r="A36" s="272"/>
      <c r="B36" s="134" t="s">
        <v>266</v>
      </c>
      <c r="C36" s="134" t="s">
        <v>267</v>
      </c>
      <c r="D36" s="134" t="s">
        <v>268</v>
      </c>
      <c r="E36" s="135" t="s">
        <v>269</v>
      </c>
      <c r="F36" s="135" t="s">
        <v>270</v>
      </c>
      <c r="G36" s="135" t="s">
        <v>271</v>
      </c>
      <c r="H36" s="135" t="s">
        <v>272</v>
      </c>
      <c r="I36" s="134" t="s">
        <v>273</v>
      </c>
      <c r="J36" s="134" t="s">
        <v>274</v>
      </c>
      <c r="K36" s="134" t="s">
        <v>275</v>
      </c>
      <c r="L36" s="134" t="s">
        <v>276</v>
      </c>
      <c r="M36" s="134" t="s">
        <v>277</v>
      </c>
      <c r="N36" s="134" t="s">
        <v>278</v>
      </c>
      <c r="O36" s="134" t="s">
        <v>279</v>
      </c>
    </row>
    <row r="37" spans="1:15" ht="22.5">
      <c r="A37" s="272"/>
      <c r="B37" s="132" t="s">
        <v>737</v>
      </c>
      <c r="C37" s="132" t="s">
        <v>738</v>
      </c>
      <c r="D37" s="132" t="s">
        <v>739</v>
      </c>
      <c r="E37" s="132" t="s">
        <v>740</v>
      </c>
      <c r="F37" s="132" t="s">
        <v>741</v>
      </c>
      <c r="G37" s="132" t="s">
        <v>742</v>
      </c>
      <c r="H37" s="132" t="s">
        <v>743</v>
      </c>
      <c r="I37" s="132" t="s">
        <v>744</v>
      </c>
      <c r="J37" s="132" t="s">
        <v>745</v>
      </c>
      <c r="K37" s="132" t="s">
        <v>746</v>
      </c>
      <c r="L37" s="132" t="s">
        <v>747</v>
      </c>
      <c r="M37" s="132" t="s">
        <v>748</v>
      </c>
      <c r="N37" s="132" t="s">
        <v>749</v>
      </c>
      <c r="O37" s="132" t="s">
        <v>750</v>
      </c>
    </row>
    <row r="38" spans="1:15" ht="18.75">
      <c r="A38" s="272" t="s">
        <v>1200</v>
      </c>
      <c r="B38" s="136">
        <v>155</v>
      </c>
      <c r="C38" s="136">
        <v>156</v>
      </c>
      <c r="D38" s="136">
        <v>157</v>
      </c>
      <c r="E38" s="136">
        <v>158</v>
      </c>
      <c r="F38" s="136">
        <v>159</v>
      </c>
      <c r="G38" s="136">
        <v>160</v>
      </c>
      <c r="H38" s="136">
        <v>161</v>
      </c>
      <c r="I38" s="136">
        <v>162</v>
      </c>
      <c r="J38" s="136">
        <v>163</v>
      </c>
      <c r="K38" s="136">
        <v>164</v>
      </c>
      <c r="L38" s="136">
        <v>165</v>
      </c>
      <c r="M38" s="136">
        <v>166</v>
      </c>
      <c r="N38" s="136">
        <v>167</v>
      </c>
      <c r="O38" s="136">
        <v>168</v>
      </c>
    </row>
    <row r="39" spans="1:15" s="131" customFormat="1" ht="60.75" customHeight="1">
      <c r="A39" s="272"/>
      <c r="B39" s="134" t="s">
        <v>280</v>
      </c>
      <c r="C39" s="135" t="s">
        <v>281</v>
      </c>
      <c r="D39" s="134" t="s">
        <v>282</v>
      </c>
      <c r="E39" s="134" t="s">
        <v>283</v>
      </c>
      <c r="F39" s="134" t="s">
        <v>284</v>
      </c>
      <c r="G39" s="134" t="s">
        <v>285</v>
      </c>
      <c r="H39" s="134" t="s">
        <v>286</v>
      </c>
      <c r="I39" s="134" t="s">
        <v>287</v>
      </c>
      <c r="J39" s="134" t="s">
        <v>288</v>
      </c>
      <c r="K39" s="134" t="s">
        <v>289</v>
      </c>
      <c r="L39" s="134" t="s">
        <v>290</v>
      </c>
      <c r="M39" s="134" t="s">
        <v>291</v>
      </c>
      <c r="N39" s="134" t="s">
        <v>292</v>
      </c>
      <c r="O39" s="134" t="s">
        <v>293</v>
      </c>
    </row>
    <row r="40" spans="1:15" ht="22.5">
      <c r="A40" s="272"/>
      <c r="B40" s="132" t="s">
        <v>751</v>
      </c>
      <c r="C40" s="132" t="s">
        <v>752</v>
      </c>
      <c r="D40" s="132" t="s">
        <v>753</v>
      </c>
      <c r="E40" s="132" t="s">
        <v>754</v>
      </c>
      <c r="F40" s="132" t="s">
        <v>755</v>
      </c>
      <c r="G40" s="132" t="s">
        <v>756</v>
      </c>
      <c r="H40" s="132" t="s">
        <v>757</v>
      </c>
      <c r="I40" s="132" t="s">
        <v>758</v>
      </c>
      <c r="J40" s="132" t="s">
        <v>759</v>
      </c>
      <c r="K40" s="132" t="s">
        <v>760</v>
      </c>
      <c r="L40" s="132" t="s">
        <v>761</v>
      </c>
      <c r="M40" s="132" t="s">
        <v>762</v>
      </c>
      <c r="N40" s="132" t="s">
        <v>763</v>
      </c>
      <c r="O40" s="132" t="s">
        <v>764</v>
      </c>
    </row>
    <row r="41" spans="1:15" ht="18.75">
      <c r="A41" s="272" t="s">
        <v>1201</v>
      </c>
      <c r="B41" s="136">
        <v>169</v>
      </c>
      <c r="C41" s="136">
        <v>170</v>
      </c>
      <c r="D41" s="136">
        <v>171</v>
      </c>
      <c r="E41" s="136">
        <v>172</v>
      </c>
      <c r="F41" s="136">
        <v>173</v>
      </c>
      <c r="G41" s="136">
        <v>174</v>
      </c>
      <c r="H41" s="136">
        <v>175</v>
      </c>
      <c r="I41" s="136">
        <v>176</v>
      </c>
      <c r="J41" s="136">
        <v>177</v>
      </c>
      <c r="K41" s="136">
        <v>178</v>
      </c>
      <c r="L41" s="136">
        <v>179</v>
      </c>
      <c r="M41" s="136">
        <v>180</v>
      </c>
      <c r="N41" s="136">
        <v>181</v>
      </c>
      <c r="O41" s="136">
        <v>182</v>
      </c>
    </row>
    <row r="42" spans="1:15" s="131" customFormat="1" ht="59.25" customHeight="1">
      <c r="A42" s="272"/>
      <c r="B42" s="134" t="s">
        <v>294</v>
      </c>
      <c r="C42" s="134" t="s">
        <v>295</v>
      </c>
      <c r="D42" s="134" t="s">
        <v>296</v>
      </c>
      <c r="E42" s="134" t="s">
        <v>297</v>
      </c>
      <c r="F42" s="134" t="s">
        <v>298</v>
      </c>
      <c r="G42" s="134" t="s">
        <v>299</v>
      </c>
      <c r="H42" s="134" t="s">
        <v>300</v>
      </c>
      <c r="I42" s="134" t="s">
        <v>301</v>
      </c>
      <c r="J42" s="134" t="s">
        <v>302</v>
      </c>
      <c r="K42" s="134" t="s">
        <v>303</v>
      </c>
      <c r="L42" s="134" t="s">
        <v>304</v>
      </c>
      <c r="M42" s="134" t="s">
        <v>305</v>
      </c>
      <c r="N42" s="134" t="s">
        <v>306</v>
      </c>
      <c r="O42" s="134" t="s">
        <v>307</v>
      </c>
    </row>
    <row r="43" spans="1:15" ht="22.5">
      <c r="A43" s="272"/>
      <c r="B43" s="132" t="s">
        <v>765</v>
      </c>
      <c r="C43" s="132" t="s">
        <v>766</v>
      </c>
      <c r="D43" s="132" t="s">
        <v>767</v>
      </c>
      <c r="E43" s="132" t="s">
        <v>768</v>
      </c>
      <c r="F43" s="132" t="s">
        <v>769</v>
      </c>
      <c r="G43" s="132" t="s">
        <v>770</v>
      </c>
      <c r="H43" s="132" t="s">
        <v>771</v>
      </c>
      <c r="I43" s="132" t="s">
        <v>772</v>
      </c>
      <c r="J43" s="132" t="s">
        <v>773</v>
      </c>
      <c r="K43" s="132" t="s">
        <v>774</v>
      </c>
      <c r="L43" s="132" t="s">
        <v>775</v>
      </c>
      <c r="M43" s="132" t="s">
        <v>1179</v>
      </c>
      <c r="N43" s="132" t="s">
        <v>1180</v>
      </c>
      <c r="O43" s="132" t="s">
        <v>778</v>
      </c>
    </row>
    <row r="44" spans="1:15" ht="18.75">
      <c r="A44" s="272" t="s">
        <v>1202</v>
      </c>
      <c r="B44" s="136">
        <v>183</v>
      </c>
      <c r="C44" s="136">
        <v>184</v>
      </c>
      <c r="D44" s="136">
        <v>185</v>
      </c>
      <c r="E44" s="136">
        <v>186</v>
      </c>
      <c r="F44" s="136">
        <v>187</v>
      </c>
      <c r="G44" s="136">
        <v>188</v>
      </c>
      <c r="H44" s="136">
        <v>189</v>
      </c>
      <c r="I44" s="136">
        <v>190</v>
      </c>
      <c r="J44" s="136">
        <v>191</v>
      </c>
      <c r="K44" s="136">
        <v>192</v>
      </c>
      <c r="L44" s="136">
        <v>193</v>
      </c>
      <c r="M44" s="136">
        <v>194</v>
      </c>
      <c r="N44" s="136">
        <v>195</v>
      </c>
      <c r="O44" s="136">
        <v>196</v>
      </c>
    </row>
    <row r="45" spans="1:15" s="131" customFormat="1" ht="59.25" customHeight="1">
      <c r="A45" s="272"/>
      <c r="B45" s="134" t="s">
        <v>308</v>
      </c>
      <c r="C45" s="134" t="s">
        <v>309</v>
      </c>
      <c r="D45" s="134" t="s">
        <v>310</v>
      </c>
      <c r="E45" s="134" t="s">
        <v>311</v>
      </c>
      <c r="F45" s="134" t="s">
        <v>312</v>
      </c>
      <c r="G45" s="134" t="s">
        <v>313</v>
      </c>
      <c r="H45" s="134" t="s">
        <v>314</v>
      </c>
      <c r="I45" s="134" t="s">
        <v>315</v>
      </c>
      <c r="J45" s="134" t="s">
        <v>316</v>
      </c>
      <c r="K45" s="134" t="s">
        <v>317</v>
      </c>
      <c r="L45" s="134" t="s">
        <v>318</v>
      </c>
      <c r="M45" s="134" t="s">
        <v>319</v>
      </c>
      <c r="N45" s="134" t="s">
        <v>320</v>
      </c>
      <c r="O45" s="134" t="s">
        <v>321</v>
      </c>
    </row>
    <row r="46" spans="1:15" ht="22.5">
      <c r="A46" s="272"/>
      <c r="B46" s="132" t="s">
        <v>779</v>
      </c>
      <c r="C46" s="132" t="s">
        <v>780</v>
      </c>
      <c r="D46" s="132" t="s">
        <v>781</v>
      </c>
      <c r="E46" s="132" t="s">
        <v>782</v>
      </c>
      <c r="F46" s="132" t="s">
        <v>783</v>
      </c>
      <c r="G46" s="132" t="s">
        <v>784</v>
      </c>
      <c r="H46" s="132" t="s">
        <v>785</v>
      </c>
      <c r="I46" s="132" t="s">
        <v>786</v>
      </c>
      <c r="J46" s="132" t="s">
        <v>787</v>
      </c>
      <c r="K46" s="132" t="s">
        <v>788</v>
      </c>
      <c r="L46" s="132" t="s">
        <v>789</v>
      </c>
      <c r="M46" s="132" t="s">
        <v>790</v>
      </c>
      <c r="N46" s="132" t="s">
        <v>791</v>
      </c>
      <c r="O46" s="132" t="s">
        <v>792</v>
      </c>
    </row>
    <row r="47" spans="1:15" ht="18.75">
      <c r="A47" s="272" t="s">
        <v>1203</v>
      </c>
      <c r="B47" s="136">
        <v>197</v>
      </c>
      <c r="C47" s="136">
        <v>198</v>
      </c>
      <c r="D47" s="136">
        <v>199</v>
      </c>
      <c r="E47" s="136">
        <v>200</v>
      </c>
      <c r="F47" s="136">
        <v>201</v>
      </c>
      <c r="G47" s="136">
        <v>202</v>
      </c>
      <c r="H47" s="136">
        <v>203</v>
      </c>
      <c r="I47" s="136">
        <v>204</v>
      </c>
      <c r="J47" s="136">
        <v>205</v>
      </c>
      <c r="K47" s="136">
        <v>206</v>
      </c>
      <c r="L47" s="136">
        <v>207</v>
      </c>
      <c r="M47" s="136">
        <v>208</v>
      </c>
      <c r="N47" s="136">
        <v>209</v>
      </c>
      <c r="O47" s="136">
        <v>210</v>
      </c>
    </row>
    <row r="48" spans="1:15" s="131" customFormat="1" ht="61.5" customHeight="1">
      <c r="A48" s="272"/>
      <c r="B48" s="134" t="s">
        <v>322</v>
      </c>
      <c r="C48" s="134" t="s">
        <v>323</v>
      </c>
      <c r="D48" s="134" t="s">
        <v>324</v>
      </c>
      <c r="E48" s="135" t="s">
        <v>325</v>
      </c>
      <c r="F48" s="134" t="s">
        <v>326</v>
      </c>
      <c r="G48" s="134" t="s">
        <v>327</v>
      </c>
      <c r="H48" s="134" t="s">
        <v>328</v>
      </c>
      <c r="I48" s="134" t="s">
        <v>329</v>
      </c>
      <c r="J48" s="134" t="s">
        <v>330</v>
      </c>
      <c r="K48" s="134" t="s">
        <v>331</v>
      </c>
      <c r="L48" s="134" t="s">
        <v>332</v>
      </c>
      <c r="M48" s="134" t="s">
        <v>333</v>
      </c>
      <c r="N48" s="134" t="s">
        <v>334</v>
      </c>
      <c r="O48" s="134" t="s">
        <v>335</v>
      </c>
    </row>
    <row r="49" spans="1:15" ht="22.5">
      <c r="A49" s="272"/>
      <c r="B49" s="132" t="s">
        <v>793</v>
      </c>
      <c r="C49" s="132" t="s">
        <v>794</v>
      </c>
      <c r="D49" s="132" t="s">
        <v>795</v>
      </c>
      <c r="E49" s="132" t="s">
        <v>796</v>
      </c>
      <c r="F49" s="132" t="s">
        <v>797</v>
      </c>
      <c r="G49" s="132" t="s">
        <v>798</v>
      </c>
      <c r="H49" s="132" t="s">
        <v>799</v>
      </c>
      <c r="I49" s="132" t="s">
        <v>800</v>
      </c>
      <c r="J49" s="132" t="s">
        <v>801</v>
      </c>
      <c r="K49" s="132" t="s">
        <v>802</v>
      </c>
      <c r="L49" s="132" t="s">
        <v>803</v>
      </c>
      <c r="M49" s="132" t="s">
        <v>804</v>
      </c>
      <c r="N49" s="132" t="s">
        <v>805</v>
      </c>
      <c r="O49" s="132" t="s">
        <v>806</v>
      </c>
    </row>
    <row r="50" spans="1:15" ht="18.75">
      <c r="A50" s="272" t="s">
        <v>1204</v>
      </c>
      <c r="B50" s="136">
        <v>211</v>
      </c>
      <c r="C50" s="136">
        <v>212</v>
      </c>
      <c r="D50" s="136">
        <v>213</v>
      </c>
      <c r="E50" s="136">
        <v>214</v>
      </c>
      <c r="F50" s="136">
        <v>215</v>
      </c>
      <c r="G50" s="136">
        <v>216</v>
      </c>
      <c r="H50" s="136">
        <v>217</v>
      </c>
      <c r="I50" s="136">
        <v>218</v>
      </c>
      <c r="J50" s="136">
        <v>219</v>
      </c>
      <c r="K50" s="136">
        <v>220</v>
      </c>
      <c r="L50" s="136">
        <v>221</v>
      </c>
      <c r="M50" s="136">
        <v>222</v>
      </c>
      <c r="N50" s="136">
        <v>223</v>
      </c>
      <c r="O50" s="136">
        <v>224</v>
      </c>
    </row>
    <row r="51" spans="1:15" s="131" customFormat="1" ht="62.25" customHeight="1">
      <c r="A51" s="272"/>
      <c r="B51" s="134" t="s">
        <v>336</v>
      </c>
      <c r="C51" s="134" t="s">
        <v>337</v>
      </c>
      <c r="D51" s="134" t="s">
        <v>338</v>
      </c>
      <c r="E51" s="134" t="s">
        <v>339</v>
      </c>
      <c r="F51" s="134" t="s">
        <v>340</v>
      </c>
      <c r="G51" s="134" t="s">
        <v>341</v>
      </c>
      <c r="H51" s="134" t="s">
        <v>342</v>
      </c>
      <c r="I51" s="134" t="s">
        <v>343</v>
      </c>
      <c r="J51" s="134" t="s">
        <v>344</v>
      </c>
      <c r="K51" s="134" t="s">
        <v>345</v>
      </c>
      <c r="L51" s="134" t="s">
        <v>346</v>
      </c>
      <c r="M51" s="134" t="s">
        <v>347</v>
      </c>
      <c r="N51" s="134" t="s">
        <v>348</v>
      </c>
      <c r="O51" s="134" t="s">
        <v>349</v>
      </c>
    </row>
    <row r="52" spans="1:15" ht="22.5">
      <c r="A52" s="272"/>
      <c r="B52" s="132" t="s">
        <v>807</v>
      </c>
      <c r="C52" s="132" t="s">
        <v>808</v>
      </c>
      <c r="D52" s="132" t="s">
        <v>809</v>
      </c>
      <c r="E52" s="132" t="s">
        <v>810</v>
      </c>
      <c r="F52" s="132" t="s">
        <v>811</v>
      </c>
      <c r="G52" s="132" t="s">
        <v>812</v>
      </c>
      <c r="H52" s="132" t="s">
        <v>813</v>
      </c>
      <c r="I52" s="132" t="s">
        <v>814</v>
      </c>
      <c r="J52" s="132" t="s">
        <v>815</v>
      </c>
      <c r="K52" s="132" t="s">
        <v>816</v>
      </c>
      <c r="L52" s="132" t="s">
        <v>817</v>
      </c>
      <c r="M52" s="132" t="s">
        <v>818</v>
      </c>
      <c r="N52" s="132" t="s">
        <v>819</v>
      </c>
      <c r="O52" s="132" t="s">
        <v>820</v>
      </c>
    </row>
    <row r="53" spans="1:15" ht="18.75">
      <c r="A53" s="272" t="s">
        <v>1205</v>
      </c>
      <c r="B53" s="136">
        <v>225</v>
      </c>
      <c r="C53" s="136">
        <v>226</v>
      </c>
      <c r="D53" s="136">
        <v>227</v>
      </c>
      <c r="E53" s="136">
        <v>228</v>
      </c>
      <c r="F53" s="136">
        <v>229</v>
      </c>
      <c r="G53" s="136">
        <v>230</v>
      </c>
      <c r="H53" s="136">
        <v>231</v>
      </c>
      <c r="I53" s="136">
        <v>232</v>
      </c>
      <c r="J53" s="136">
        <v>233</v>
      </c>
      <c r="K53" s="136">
        <v>234</v>
      </c>
      <c r="L53" s="136">
        <v>235</v>
      </c>
      <c r="M53" s="136">
        <v>236</v>
      </c>
      <c r="N53" s="136">
        <v>237</v>
      </c>
      <c r="O53" s="136">
        <v>238</v>
      </c>
    </row>
    <row r="54" spans="1:15" s="131" customFormat="1" ht="57.75" customHeight="1">
      <c r="A54" s="272"/>
      <c r="B54" s="134" t="s">
        <v>350</v>
      </c>
      <c r="C54" s="134" t="s">
        <v>351</v>
      </c>
      <c r="D54" s="134" t="s">
        <v>352</v>
      </c>
      <c r="E54" s="134" t="s">
        <v>353</v>
      </c>
      <c r="F54" s="134" t="s">
        <v>354</v>
      </c>
      <c r="G54" s="134" t="s">
        <v>355</v>
      </c>
      <c r="H54" s="134" t="s">
        <v>356</v>
      </c>
      <c r="I54" s="134" t="s">
        <v>357</v>
      </c>
      <c r="J54" s="134" t="s">
        <v>358</v>
      </c>
      <c r="K54" s="134" t="s">
        <v>359</v>
      </c>
      <c r="L54" s="134" t="s">
        <v>360</v>
      </c>
      <c r="M54" s="134" t="s">
        <v>361</v>
      </c>
      <c r="N54" s="134" t="s">
        <v>362</v>
      </c>
      <c r="O54" s="134" t="s">
        <v>363</v>
      </c>
    </row>
    <row r="55" spans="1:15" ht="22.5">
      <c r="A55" s="272"/>
      <c r="B55" s="132" t="s">
        <v>821</v>
      </c>
      <c r="C55" s="132" t="s">
        <v>822</v>
      </c>
      <c r="D55" s="132" t="s">
        <v>823</v>
      </c>
      <c r="E55" s="132" t="s">
        <v>824</v>
      </c>
      <c r="F55" s="132" t="s">
        <v>825</v>
      </c>
      <c r="G55" s="132" t="s">
        <v>826</v>
      </c>
      <c r="H55" s="132" t="s">
        <v>827</v>
      </c>
      <c r="I55" s="132" t="s">
        <v>828</v>
      </c>
      <c r="J55" s="132" t="s">
        <v>829</v>
      </c>
      <c r="K55" s="132" t="s">
        <v>830</v>
      </c>
      <c r="L55" s="132" t="s">
        <v>831</v>
      </c>
      <c r="M55" s="132" t="s">
        <v>832</v>
      </c>
      <c r="N55" s="132" t="s">
        <v>833</v>
      </c>
      <c r="O55" s="132" t="s">
        <v>834</v>
      </c>
    </row>
    <row r="56" spans="1:15" ht="18.75">
      <c r="A56" s="272" t="s">
        <v>1206</v>
      </c>
      <c r="B56" s="136">
        <v>239</v>
      </c>
      <c r="C56" s="136">
        <v>240</v>
      </c>
      <c r="D56" s="136">
        <v>241</v>
      </c>
      <c r="E56" s="136">
        <v>242</v>
      </c>
      <c r="F56" s="136">
        <v>243</v>
      </c>
      <c r="G56" s="136">
        <v>244</v>
      </c>
      <c r="H56" s="136">
        <v>245</v>
      </c>
      <c r="I56" s="136">
        <v>246</v>
      </c>
      <c r="J56" s="136">
        <v>247</v>
      </c>
      <c r="K56" s="136">
        <v>248</v>
      </c>
      <c r="L56" s="136">
        <v>249</v>
      </c>
      <c r="M56" s="136">
        <v>250</v>
      </c>
      <c r="N56" s="136">
        <v>251</v>
      </c>
      <c r="O56" s="136">
        <v>252</v>
      </c>
    </row>
    <row r="57" spans="1:15" s="131" customFormat="1" ht="57" customHeight="1">
      <c r="A57" s="272"/>
      <c r="B57" s="134" t="s">
        <v>364</v>
      </c>
      <c r="C57" s="134" t="s">
        <v>365</v>
      </c>
      <c r="D57" s="134" t="s">
        <v>366</v>
      </c>
      <c r="E57" s="134" t="s">
        <v>367</v>
      </c>
      <c r="F57" s="134" t="s">
        <v>368</v>
      </c>
      <c r="G57" s="134" t="s">
        <v>369</v>
      </c>
      <c r="H57" s="134" t="s">
        <v>370</v>
      </c>
      <c r="I57" s="134" t="s">
        <v>371</v>
      </c>
      <c r="J57" s="134" t="s">
        <v>372</v>
      </c>
      <c r="K57" s="134" t="s">
        <v>373</v>
      </c>
      <c r="L57" s="134" t="s">
        <v>374</v>
      </c>
      <c r="M57" s="134" t="s">
        <v>375</v>
      </c>
      <c r="N57" s="134" t="s">
        <v>376</v>
      </c>
      <c r="O57" s="134" t="s">
        <v>377</v>
      </c>
    </row>
    <row r="58" spans="1:15" ht="22.5">
      <c r="A58" s="272"/>
      <c r="B58" s="132" t="s">
        <v>835</v>
      </c>
      <c r="C58" s="132" t="s">
        <v>1181</v>
      </c>
      <c r="D58" s="132" t="s">
        <v>1182</v>
      </c>
      <c r="E58" s="132" t="s">
        <v>838</v>
      </c>
      <c r="F58" s="132" t="s">
        <v>839</v>
      </c>
      <c r="G58" s="132" t="s">
        <v>840</v>
      </c>
      <c r="H58" s="132" t="s">
        <v>841</v>
      </c>
      <c r="I58" s="132" t="s">
        <v>842</v>
      </c>
      <c r="J58" s="132" t="s">
        <v>843</v>
      </c>
      <c r="K58" s="132" t="s">
        <v>844</v>
      </c>
      <c r="L58" s="132" t="s">
        <v>845</v>
      </c>
      <c r="M58" s="132" t="s">
        <v>846</v>
      </c>
      <c r="N58" s="132" t="s">
        <v>847</v>
      </c>
      <c r="O58" s="132" t="s">
        <v>848</v>
      </c>
    </row>
    <row r="59" spans="1:15" ht="18.75">
      <c r="A59" s="272" t="s">
        <v>1207</v>
      </c>
      <c r="B59" s="136">
        <v>253</v>
      </c>
      <c r="C59" s="136">
        <v>254</v>
      </c>
      <c r="D59" s="136">
        <v>255</v>
      </c>
      <c r="E59" s="136">
        <v>256</v>
      </c>
      <c r="F59" s="136">
        <v>257</v>
      </c>
      <c r="G59" s="136">
        <v>258</v>
      </c>
      <c r="H59" s="136">
        <v>259</v>
      </c>
      <c r="I59" s="136">
        <v>260</v>
      </c>
      <c r="J59" s="136">
        <v>261</v>
      </c>
      <c r="K59" s="136">
        <v>262</v>
      </c>
      <c r="L59" s="136">
        <v>263</v>
      </c>
      <c r="M59" s="136">
        <v>264</v>
      </c>
      <c r="N59" s="136">
        <v>265</v>
      </c>
      <c r="O59" s="136">
        <v>266</v>
      </c>
    </row>
    <row r="60" spans="1:15" s="131" customFormat="1" ht="59.25" customHeight="1">
      <c r="A60" s="272"/>
      <c r="B60" s="134" t="s">
        <v>378</v>
      </c>
      <c r="C60" s="134" t="s">
        <v>379</v>
      </c>
      <c r="D60" s="134" t="s">
        <v>380</v>
      </c>
      <c r="E60" s="134" t="s">
        <v>381</v>
      </c>
      <c r="F60" s="134" t="s">
        <v>382</v>
      </c>
      <c r="G60" s="134" t="s">
        <v>383</v>
      </c>
      <c r="H60" s="134" t="s">
        <v>384</v>
      </c>
      <c r="I60" s="134" t="s">
        <v>385</v>
      </c>
      <c r="J60" s="134" t="s">
        <v>386</v>
      </c>
      <c r="K60" s="134" t="s">
        <v>387</v>
      </c>
      <c r="L60" s="134" t="s">
        <v>388</v>
      </c>
      <c r="M60" s="134" t="s">
        <v>389</v>
      </c>
      <c r="N60" s="134" t="s">
        <v>390</v>
      </c>
      <c r="O60" s="134" t="s">
        <v>391</v>
      </c>
    </row>
    <row r="61" spans="1:15" ht="22.5">
      <c r="A61" s="272"/>
      <c r="B61" s="132" t="s">
        <v>849</v>
      </c>
      <c r="C61" s="132" t="s">
        <v>850</v>
      </c>
      <c r="D61" s="132" t="s">
        <v>851</v>
      </c>
      <c r="E61" s="132" t="s">
        <v>852</v>
      </c>
      <c r="F61" s="132" t="s">
        <v>853</v>
      </c>
      <c r="G61" s="132" t="s">
        <v>854</v>
      </c>
      <c r="H61" s="132" t="s">
        <v>855</v>
      </c>
      <c r="I61" s="132" t="s">
        <v>856</v>
      </c>
      <c r="J61" s="132" t="s">
        <v>857</v>
      </c>
      <c r="K61" s="132" t="s">
        <v>858</v>
      </c>
      <c r="L61" s="132" t="s">
        <v>859</v>
      </c>
      <c r="M61" s="132" t="s">
        <v>860</v>
      </c>
      <c r="N61" s="132" t="s">
        <v>861</v>
      </c>
      <c r="O61" s="132" t="s">
        <v>862</v>
      </c>
    </row>
    <row r="62" spans="1:15" ht="18.75">
      <c r="A62" s="272" t="s">
        <v>1208</v>
      </c>
      <c r="B62" s="136">
        <v>267</v>
      </c>
      <c r="C62" s="136">
        <v>268</v>
      </c>
      <c r="D62" s="136">
        <v>269</v>
      </c>
      <c r="E62" s="136">
        <v>270</v>
      </c>
      <c r="F62" s="136">
        <v>271</v>
      </c>
      <c r="G62" s="136">
        <v>272</v>
      </c>
      <c r="H62" s="136">
        <v>273</v>
      </c>
      <c r="I62" s="136">
        <v>274</v>
      </c>
      <c r="J62" s="136">
        <v>275</v>
      </c>
      <c r="K62" s="136">
        <v>276</v>
      </c>
      <c r="L62" s="136">
        <v>277</v>
      </c>
      <c r="M62" s="136">
        <v>278</v>
      </c>
      <c r="N62" s="136">
        <v>279</v>
      </c>
      <c r="O62" s="136">
        <v>280</v>
      </c>
    </row>
    <row r="63" spans="1:15" s="131" customFormat="1" ht="62.25" customHeight="1">
      <c r="A63" s="272"/>
      <c r="B63" s="135" t="s">
        <v>392</v>
      </c>
      <c r="C63" s="135" t="s">
        <v>393</v>
      </c>
      <c r="D63" s="135" t="s">
        <v>394</v>
      </c>
      <c r="E63" s="135" t="s">
        <v>395</v>
      </c>
      <c r="F63" s="135" t="s">
        <v>396</v>
      </c>
      <c r="G63" s="134" t="s">
        <v>397</v>
      </c>
      <c r="H63" s="134" t="s">
        <v>398</v>
      </c>
      <c r="I63" s="134" t="s">
        <v>399</v>
      </c>
      <c r="J63" s="134" t="s">
        <v>400</v>
      </c>
      <c r="K63" s="134" t="s">
        <v>401</v>
      </c>
      <c r="L63" s="134" t="s">
        <v>402</v>
      </c>
      <c r="M63" s="134" t="s">
        <v>403</v>
      </c>
      <c r="N63" s="134" t="s">
        <v>404</v>
      </c>
      <c r="O63" s="134" t="s">
        <v>405</v>
      </c>
    </row>
    <row r="64" spans="1:15" ht="22.5">
      <c r="A64" s="272"/>
      <c r="B64" s="132" t="s">
        <v>863</v>
      </c>
      <c r="C64" s="132" t="s">
        <v>864</v>
      </c>
      <c r="D64" s="132" t="s">
        <v>865</v>
      </c>
      <c r="E64" s="132" t="s">
        <v>866</v>
      </c>
      <c r="F64" s="132" t="s">
        <v>867</v>
      </c>
      <c r="G64" s="132" t="s">
        <v>868</v>
      </c>
      <c r="H64" s="132" t="s">
        <v>869</v>
      </c>
      <c r="I64" s="132" t="s">
        <v>870</v>
      </c>
      <c r="J64" s="132" t="s">
        <v>871</v>
      </c>
      <c r="K64" s="132" t="s">
        <v>872</v>
      </c>
      <c r="L64" s="132" t="s">
        <v>873</v>
      </c>
      <c r="M64" s="132" t="s">
        <v>874</v>
      </c>
      <c r="N64" s="132" t="s">
        <v>875</v>
      </c>
      <c r="O64" s="132" t="s">
        <v>876</v>
      </c>
    </row>
    <row r="65" spans="1:15" ht="18.75">
      <c r="A65" s="272" t="s">
        <v>1209</v>
      </c>
      <c r="B65" s="136">
        <v>281</v>
      </c>
      <c r="C65" s="136">
        <v>282</v>
      </c>
      <c r="D65" s="136">
        <v>283</v>
      </c>
      <c r="E65" s="136">
        <v>284</v>
      </c>
      <c r="F65" s="136">
        <v>285</v>
      </c>
      <c r="G65" s="136">
        <v>286</v>
      </c>
      <c r="H65" s="136">
        <v>287</v>
      </c>
      <c r="I65" s="136">
        <v>288</v>
      </c>
      <c r="J65" s="136">
        <v>289</v>
      </c>
      <c r="K65" s="136">
        <v>290</v>
      </c>
      <c r="L65" s="136">
        <v>291</v>
      </c>
      <c r="M65" s="136">
        <v>292</v>
      </c>
      <c r="N65" s="136">
        <v>293</v>
      </c>
      <c r="O65" s="136">
        <v>294</v>
      </c>
    </row>
    <row r="66" spans="1:15" s="131" customFormat="1" ht="57.75" customHeight="1">
      <c r="A66" s="272"/>
      <c r="B66" s="134" t="s">
        <v>406</v>
      </c>
      <c r="C66" s="134" t="s">
        <v>407</v>
      </c>
      <c r="D66" s="134" t="s">
        <v>408</v>
      </c>
      <c r="E66" s="134" t="s">
        <v>409</v>
      </c>
      <c r="F66" s="134" t="s">
        <v>410</v>
      </c>
      <c r="G66" s="134" t="s">
        <v>411</v>
      </c>
      <c r="H66" s="134" t="s">
        <v>412</v>
      </c>
      <c r="I66" s="134" t="s">
        <v>413</v>
      </c>
      <c r="J66" s="135" t="s">
        <v>414</v>
      </c>
      <c r="K66" s="135" t="s">
        <v>415</v>
      </c>
      <c r="L66" s="135" t="s">
        <v>416</v>
      </c>
      <c r="M66" s="135" t="s">
        <v>417</v>
      </c>
      <c r="N66" s="135" t="s">
        <v>418</v>
      </c>
      <c r="O66" s="134" t="s">
        <v>419</v>
      </c>
    </row>
    <row r="67" spans="1:15" ht="22.5">
      <c r="A67" s="272"/>
      <c r="B67" s="132" t="s">
        <v>877</v>
      </c>
      <c r="C67" s="132" t="s">
        <v>878</v>
      </c>
      <c r="D67" s="132" t="s">
        <v>879</v>
      </c>
      <c r="E67" s="132" t="s">
        <v>880</v>
      </c>
      <c r="F67" s="132" t="s">
        <v>881</v>
      </c>
      <c r="G67" s="132" t="s">
        <v>882</v>
      </c>
      <c r="H67" s="132" t="s">
        <v>883</v>
      </c>
      <c r="I67" s="132" t="s">
        <v>884</v>
      </c>
      <c r="J67" s="132" t="s">
        <v>885</v>
      </c>
      <c r="K67" s="132" t="s">
        <v>886</v>
      </c>
      <c r="L67" s="132" t="s">
        <v>887</v>
      </c>
      <c r="M67" s="132" t="s">
        <v>888</v>
      </c>
      <c r="N67" s="132" t="s">
        <v>889</v>
      </c>
      <c r="O67" s="132" t="s">
        <v>890</v>
      </c>
    </row>
    <row r="68" spans="1:15" ht="18.75">
      <c r="A68" s="272" t="s">
        <v>1210</v>
      </c>
      <c r="B68" s="136">
        <v>295</v>
      </c>
      <c r="C68" s="136">
        <v>296</v>
      </c>
      <c r="D68" s="136">
        <v>297</v>
      </c>
      <c r="E68" s="136">
        <v>298</v>
      </c>
      <c r="F68" s="136">
        <v>299</v>
      </c>
      <c r="G68" s="136">
        <v>300</v>
      </c>
      <c r="H68" s="136">
        <v>301</v>
      </c>
      <c r="I68" s="136">
        <v>302</v>
      </c>
      <c r="J68" s="136">
        <v>303</v>
      </c>
      <c r="K68" s="136">
        <v>304</v>
      </c>
      <c r="L68" s="136">
        <v>305</v>
      </c>
      <c r="M68" s="136">
        <v>306</v>
      </c>
      <c r="N68" s="136">
        <v>307</v>
      </c>
      <c r="O68" s="136">
        <v>308</v>
      </c>
    </row>
    <row r="69" spans="1:15" s="131" customFormat="1" ht="64.5" customHeight="1">
      <c r="A69" s="272"/>
      <c r="B69" s="134" t="s">
        <v>420</v>
      </c>
      <c r="C69" s="134" t="s">
        <v>421</v>
      </c>
      <c r="D69" s="134" t="s">
        <v>422</v>
      </c>
      <c r="E69" s="134" t="s">
        <v>423</v>
      </c>
      <c r="F69" s="134" t="s">
        <v>424</v>
      </c>
      <c r="G69" s="134" t="s">
        <v>425</v>
      </c>
      <c r="H69" s="134" t="s">
        <v>426</v>
      </c>
      <c r="I69" s="134" t="s">
        <v>427</v>
      </c>
      <c r="J69" s="134" t="s">
        <v>428</v>
      </c>
      <c r="K69" s="134" t="s">
        <v>429</v>
      </c>
      <c r="L69" s="134" t="s">
        <v>430</v>
      </c>
      <c r="M69" s="134" t="s">
        <v>431</v>
      </c>
      <c r="N69" s="134" t="s">
        <v>432</v>
      </c>
      <c r="O69" s="134" t="s">
        <v>433</v>
      </c>
    </row>
    <row r="70" spans="1:15" ht="28.5" customHeight="1">
      <c r="A70" s="272"/>
      <c r="B70" s="132" t="s">
        <v>891</v>
      </c>
      <c r="C70" s="132" t="s">
        <v>892</v>
      </c>
      <c r="D70" s="132" t="s">
        <v>893</v>
      </c>
      <c r="E70" s="132" t="s">
        <v>894</v>
      </c>
      <c r="F70" s="132" t="s">
        <v>895</v>
      </c>
      <c r="G70" s="132" t="s">
        <v>896</v>
      </c>
      <c r="H70" s="132" t="s">
        <v>897</v>
      </c>
      <c r="I70" s="132" t="s">
        <v>898</v>
      </c>
      <c r="J70" s="132" t="s">
        <v>899</v>
      </c>
      <c r="K70" s="132" t="s">
        <v>900</v>
      </c>
      <c r="L70" s="132" t="s">
        <v>901</v>
      </c>
      <c r="M70" s="132" t="s">
        <v>902</v>
      </c>
      <c r="N70" s="132" t="s">
        <v>903</v>
      </c>
      <c r="O70" s="132" t="s">
        <v>904</v>
      </c>
    </row>
    <row r="71" spans="1:15" ht="18.75">
      <c r="A71" s="272" t="s">
        <v>1211</v>
      </c>
      <c r="B71" s="136">
        <v>309</v>
      </c>
      <c r="C71" s="136">
        <v>310</v>
      </c>
      <c r="D71" s="136">
        <v>311</v>
      </c>
      <c r="E71" s="136">
        <v>312</v>
      </c>
      <c r="F71" s="136">
        <v>313</v>
      </c>
      <c r="G71" s="136">
        <v>314</v>
      </c>
      <c r="H71" s="136">
        <v>315</v>
      </c>
      <c r="I71" s="136">
        <v>316</v>
      </c>
      <c r="J71" s="136">
        <v>317</v>
      </c>
      <c r="K71" s="136">
        <v>318</v>
      </c>
      <c r="L71" s="136">
        <v>319</v>
      </c>
      <c r="M71" s="136">
        <v>320</v>
      </c>
      <c r="N71" s="136">
        <v>321</v>
      </c>
      <c r="O71" s="136">
        <v>322</v>
      </c>
    </row>
    <row r="72" spans="1:15" s="131" customFormat="1" ht="57.75" customHeight="1">
      <c r="A72" s="272"/>
      <c r="B72" s="134" t="s">
        <v>434</v>
      </c>
      <c r="C72" s="134" t="s">
        <v>435</v>
      </c>
      <c r="D72" s="134" t="s">
        <v>436</v>
      </c>
      <c r="E72" s="134" t="s">
        <v>437</v>
      </c>
      <c r="F72" s="134" t="s">
        <v>438</v>
      </c>
      <c r="G72" s="135" t="s">
        <v>439</v>
      </c>
      <c r="H72" s="135" t="s">
        <v>440</v>
      </c>
      <c r="I72" s="134" t="s">
        <v>441</v>
      </c>
      <c r="J72" s="134" t="s">
        <v>442</v>
      </c>
      <c r="K72" s="134" t="s">
        <v>443</v>
      </c>
      <c r="L72" s="134" t="s">
        <v>444</v>
      </c>
      <c r="M72" s="134" t="s">
        <v>445</v>
      </c>
      <c r="N72" s="134" t="s">
        <v>446</v>
      </c>
      <c r="O72" s="134" t="s">
        <v>447</v>
      </c>
    </row>
    <row r="73" spans="1:15" ht="21.75" customHeight="1">
      <c r="A73" s="272"/>
      <c r="B73" s="132" t="s">
        <v>905</v>
      </c>
      <c r="C73" s="132" t="s">
        <v>906</v>
      </c>
      <c r="D73" s="132" t="s">
        <v>907</v>
      </c>
      <c r="E73" s="132" t="s">
        <v>908</v>
      </c>
      <c r="F73" s="132" t="s">
        <v>909</v>
      </c>
      <c r="G73" s="132" t="s">
        <v>910</v>
      </c>
      <c r="H73" s="132" t="s">
        <v>911</v>
      </c>
      <c r="I73" s="132" t="s">
        <v>912</v>
      </c>
      <c r="J73" s="132" t="s">
        <v>913</v>
      </c>
      <c r="K73" s="132" t="s">
        <v>914</v>
      </c>
      <c r="L73" s="132" t="s">
        <v>915</v>
      </c>
      <c r="M73" s="132" t="s">
        <v>916</v>
      </c>
      <c r="N73" s="132" t="s">
        <v>917</v>
      </c>
      <c r="O73" s="132" t="s">
        <v>918</v>
      </c>
    </row>
    <row r="74" spans="1:15" ht="18.75">
      <c r="A74" s="272" t="s">
        <v>1212</v>
      </c>
      <c r="B74" s="136">
        <v>323</v>
      </c>
      <c r="C74" s="136">
        <v>324</v>
      </c>
      <c r="D74" s="136">
        <v>325</v>
      </c>
      <c r="E74" s="136">
        <v>326</v>
      </c>
      <c r="F74" s="136">
        <v>327</v>
      </c>
      <c r="G74" s="136">
        <v>328</v>
      </c>
      <c r="H74" s="136">
        <v>329</v>
      </c>
      <c r="I74" s="136">
        <v>330</v>
      </c>
      <c r="J74" s="136">
        <v>331</v>
      </c>
      <c r="K74" s="136">
        <v>332</v>
      </c>
      <c r="L74" s="136">
        <v>333</v>
      </c>
      <c r="M74" s="136">
        <v>334</v>
      </c>
      <c r="N74" s="136">
        <v>335</v>
      </c>
      <c r="O74" s="136">
        <v>336</v>
      </c>
    </row>
    <row r="75" spans="1:15" s="131" customFormat="1" ht="67.5" customHeight="1">
      <c r="A75" s="272"/>
      <c r="B75" s="134" t="s">
        <v>448</v>
      </c>
      <c r="C75" s="134" t="s">
        <v>449</v>
      </c>
      <c r="D75" s="134" t="s">
        <v>450</v>
      </c>
      <c r="E75" s="134" t="s">
        <v>451</v>
      </c>
      <c r="F75" s="134" t="s">
        <v>452</v>
      </c>
      <c r="G75" s="134" t="s">
        <v>453</v>
      </c>
      <c r="H75" s="134" t="s">
        <v>454</v>
      </c>
      <c r="I75" s="134" t="s">
        <v>455</v>
      </c>
      <c r="J75" s="134" t="s">
        <v>456</v>
      </c>
      <c r="K75" s="134" t="s">
        <v>457</v>
      </c>
      <c r="L75" s="134" t="s">
        <v>458</v>
      </c>
      <c r="M75" s="134" t="s">
        <v>459</v>
      </c>
      <c r="N75" s="134" t="s">
        <v>460</v>
      </c>
      <c r="O75" s="134" t="s">
        <v>461</v>
      </c>
    </row>
    <row r="76" spans="1:15" ht="30" customHeight="1">
      <c r="A76" s="272"/>
      <c r="B76" s="132" t="s">
        <v>919</v>
      </c>
      <c r="C76" s="132" t="s">
        <v>920</v>
      </c>
      <c r="D76" s="132" t="s">
        <v>921</v>
      </c>
      <c r="E76" s="132" t="s">
        <v>922</v>
      </c>
      <c r="F76" s="132" t="s">
        <v>923</v>
      </c>
      <c r="G76" s="132" t="s">
        <v>924</v>
      </c>
      <c r="H76" s="132" t="s">
        <v>925</v>
      </c>
      <c r="I76" s="132" t="s">
        <v>926</v>
      </c>
      <c r="J76" s="132" t="s">
        <v>927</v>
      </c>
      <c r="K76" s="132" t="s">
        <v>928</v>
      </c>
      <c r="L76" s="132" t="s">
        <v>929</v>
      </c>
      <c r="M76" s="132" t="s">
        <v>930</v>
      </c>
      <c r="N76" s="132" t="s">
        <v>931</v>
      </c>
      <c r="O76" s="132" t="s">
        <v>932</v>
      </c>
    </row>
    <row r="77" spans="1:15" ht="18.75">
      <c r="A77" s="272" t="s">
        <v>1213</v>
      </c>
      <c r="B77" s="136">
        <v>337</v>
      </c>
      <c r="C77" s="136">
        <v>338</v>
      </c>
      <c r="D77" s="136">
        <v>339</v>
      </c>
      <c r="E77" s="136">
        <v>340</v>
      </c>
      <c r="F77" s="136">
        <v>341</v>
      </c>
      <c r="G77" s="136">
        <v>342</v>
      </c>
      <c r="H77" s="136">
        <v>343</v>
      </c>
      <c r="I77" s="136">
        <v>344</v>
      </c>
      <c r="J77" s="136">
        <v>345</v>
      </c>
      <c r="K77" s="136">
        <v>346</v>
      </c>
      <c r="L77" s="136">
        <v>347</v>
      </c>
      <c r="M77" s="136">
        <v>348</v>
      </c>
      <c r="N77" s="136">
        <v>349</v>
      </c>
      <c r="O77" s="136">
        <v>350</v>
      </c>
    </row>
    <row r="78" spans="1:15" s="131" customFormat="1" ht="69.75" customHeight="1">
      <c r="A78" s="272"/>
      <c r="B78" s="134" t="s">
        <v>462</v>
      </c>
      <c r="C78" s="134" t="s">
        <v>463</v>
      </c>
      <c r="D78" s="134" t="s">
        <v>464</v>
      </c>
      <c r="E78" s="134" t="s">
        <v>465</v>
      </c>
      <c r="F78" s="134" t="s">
        <v>466</v>
      </c>
      <c r="G78" s="134" t="s">
        <v>467</v>
      </c>
      <c r="H78" s="135" t="s">
        <v>468</v>
      </c>
      <c r="I78" s="134" t="s">
        <v>469</v>
      </c>
      <c r="J78" s="134" t="s">
        <v>470</v>
      </c>
      <c r="K78" s="134" t="s">
        <v>471</v>
      </c>
      <c r="L78" s="134" t="s">
        <v>472</v>
      </c>
      <c r="M78" s="134" t="s">
        <v>473</v>
      </c>
      <c r="N78" s="134" t="s">
        <v>474</v>
      </c>
      <c r="O78" s="134" t="s">
        <v>475</v>
      </c>
    </row>
    <row r="79" spans="1:15">
      <c r="A79" s="272"/>
      <c r="B79" s="132" t="s">
        <v>933</v>
      </c>
      <c r="C79" s="132" t="s">
        <v>934</v>
      </c>
      <c r="D79" s="132" t="s">
        <v>935</v>
      </c>
      <c r="E79" s="132" t="s">
        <v>936</v>
      </c>
      <c r="F79" s="132" t="s">
        <v>937</v>
      </c>
      <c r="G79" s="132" t="s">
        <v>938</v>
      </c>
      <c r="H79" s="132" t="s">
        <v>939</v>
      </c>
      <c r="I79" s="132" t="s">
        <v>940</v>
      </c>
      <c r="J79" s="132" t="s">
        <v>941</v>
      </c>
      <c r="K79" s="132" t="s">
        <v>942</v>
      </c>
      <c r="L79" s="132" t="s">
        <v>943</v>
      </c>
      <c r="M79" s="132" t="s">
        <v>944</v>
      </c>
      <c r="N79" s="132" t="s">
        <v>945</v>
      </c>
      <c r="O79" s="132" t="s">
        <v>946</v>
      </c>
    </row>
    <row r="80" spans="1:15" ht="18.75">
      <c r="A80" s="272" t="s">
        <v>1214</v>
      </c>
      <c r="B80" s="136">
        <v>351</v>
      </c>
      <c r="C80" s="136">
        <v>352</v>
      </c>
      <c r="D80" s="136">
        <v>353</v>
      </c>
      <c r="E80" s="136">
        <v>354</v>
      </c>
      <c r="F80" s="136">
        <v>355</v>
      </c>
      <c r="G80" s="136">
        <v>356</v>
      </c>
      <c r="H80" s="136">
        <v>357</v>
      </c>
      <c r="I80" s="136">
        <v>358</v>
      </c>
      <c r="J80" s="136">
        <v>359</v>
      </c>
      <c r="K80" s="136">
        <v>360</v>
      </c>
      <c r="L80" s="136">
        <v>361</v>
      </c>
      <c r="M80" s="136">
        <v>362</v>
      </c>
      <c r="N80" s="136">
        <v>363</v>
      </c>
      <c r="O80" s="136">
        <v>364</v>
      </c>
    </row>
    <row r="81" spans="1:15" s="131" customFormat="1" ht="60.75" customHeight="1">
      <c r="A81" s="272"/>
      <c r="B81" s="134" t="s">
        <v>476</v>
      </c>
      <c r="C81" s="134" t="s">
        <v>477</v>
      </c>
      <c r="D81" s="134" t="s">
        <v>478</v>
      </c>
      <c r="E81" s="134" t="s">
        <v>479</v>
      </c>
      <c r="F81" s="134" t="s">
        <v>480</v>
      </c>
      <c r="G81" s="134" t="s">
        <v>481</v>
      </c>
      <c r="H81" s="134" t="s">
        <v>482</v>
      </c>
      <c r="I81" s="134" t="s">
        <v>483</v>
      </c>
      <c r="J81" s="134" t="s">
        <v>484</v>
      </c>
      <c r="K81" s="134" t="s">
        <v>485</v>
      </c>
      <c r="L81" s="134" t="s">
        <v>486</v>
      </c>
      <c r="M81" s="134" t="s">
        <v>487</v>
      </c>
      <c r="N81" s="134" t="s">
        <v>488</v>
      </c>
      <c r="O81" s="134" t="s">
        <v>489</v>
      </c>
    </row>
    <row r="82" spans="1:15" ht="22.5">
      <c r="A82" s="272"/>
      <c r="B82" s="132" t="s">
        <v>947</v>
      </c>
      <c r="C82" s="132" t="s">
        <v>948</v>
      </c>
      <c r="D82" s="132" t="s">
        <v>949</v>
      </c>
      <c r="E82" s="132" t="s">
        <v>950</v>
      </c>
      <c r="F82" s="132" t="s">
        <v>951</v>
      </c>
      <c r="G82" s="132" t="s">
        <v>952</v>
      </c>
      <c r="H82" s="132" t="s">
        <v>953</v>
      </c>
      <c r="I82" s="132" t="s">
        <v>954</v>
      </c>
      <c r="J82" s="132" t="s">
        <v>955</v>
      </c>
      <c r="K82" s="132" t="s">
        <v>956</v>
      </c>
      <c r="L82" s="132" t="s">
        <v>957</v>
      </c>
      <c r="M82" s="132" t="s">
        <v>958</v>
      </c>
      <c r="N82" s="132" t="s">
        <v>959</v>
      </c>
      <c r="O82" s="132" t="s">
        <v>960</v>
      </c>
    </row>
    <row r="83" spans="1:15" ht="18.75">
      <c r="A83" s="272" t="s">
        <v>1215</v>
      </c>
      <c r="B83" s="136">
        <v>365</v>
      </c>
      <c r="C83" s="136">
        <v>366</v>
      </c>
      <c r="D83" s="136">
        <v>367</v>
      </c>
      <c r="E83" s="136">
        <v>368</v>
      </c>
      <c r="F83" s="136">
        <v>369</v>
      </c>
      <c r="G83" s="136">
        <v>370</v>
      </c>
      <c r="H83" s="136">
        <v>371</v>
      </c>
      <c r="I83" s="136">
        <v>372</v>
      </c>
      <c r="J83" s="136">
        <v>373</v>
      </c>
      <c r="K83" s="136">
        <v>374</v>
      </c>
      <c r="L83" s="136">
        <v>375</v>
      </c>
      <c r="M83" s="136">
        <v>376</v>
      </c>
      <c r="N83" s="136">
        <v>377</v>
      </c>
      <c r="O83" s="136">
        <v>378</v>
      </c>
    </row>
    <row r="84" spans="1:15" s="131" customFormat="1" ht="54.75" customHeight="1">
      <c r="A84" s="272"/>
      <c r="B84" s="134" t="s">
        <v>490</v>
      </c>
      <c r="C84" s="134" t="s">
        <v>491</v>
      </c>
      <c r="D84" s="134" t="s">
        <v>492</v>
      </c>
      <c r="E84" s="134" t="s">
        <v>493</v>
      </c>
      <c r="F84" s="134" t="s">
        <v>494</v>
      </c>
      <c r="G84" s="135" t="s">
        <v>495</v>
      </c>
      <c r="H84" s="135" t="s">
        <v>496</v>
      </c>
      <c r="I84" s="135" t="s">
        <v>497</v>
      </c>
      <c r="J84" s="134" t="s">
        <v>498</v>
      </c>
      <c r="K84" s="134" t="s">
        <v>499</v>
      </c>
      <c r="L84" s="134" t="s">
        <v>500</v>
      </c>
      <c r="M84" s="134" t="s">
        <v>501</v>
      </c>
      <c r="N84" s="134" t="s">
        <v>502</v>
      </c>
      <c r="O84" s="134" t="s">
        <v>503</v>
      </c>
    </row>
    <row r="85" spans="1:15" ht="15" customHeight="1">
      <c r="A85" s="272"/>
      <c r="B85" s="270" t="s">
        <v>961</v>
      </c>
      <c r="C85" s="270" t="s">
        <v>962</v>
      </c>
      <c r="D85" s="270" t="s">
        <v>963</v>
      </c>
      <c r="E85" s="270" t="s">
        <v>964</v>
      </c>
      <c r="F85" s="270" t="s">
        <v>965</v>
      </c>
      <c r="G85" s="270" t="s">
        <v>966</v>
      </c>
      <c r="H85" s="270" t="s">
        <v>967</v>
      </c>
      <c r="I85" s="270" t="s">
        <v>968</v>
      </c>
      <c r="J85" s="270" t="s">
        <v>969</v>
      </c>
      <c r="K85" s="270" t="s">
        <v>970</v>
      </c>
      <c r="L85" s="270" t="s">
        <v>971</v>
      </c>
      <c r="M85" s="270" t="s">
        <v>972</v>
      </c>
      <c r="N85" s="133" t="s">
        <v>1187</v>
      </c>
      <c r="O85" s="271" t="s">
        <v>973</v>
      </c>
    </row>
    <row r="86" spans="1:15">
      <c r="A86" s="272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133" t="s">
        <v>1183</v>
      </c>
      <c r="O86" s="271"/>
    </row>
    <row r="87" spans="1:15" ht="18.75">
      <c r="A87" s="272" t="s">
        <v>1216</v>
      </c>
      <c r="B87" s="136">
        <v>379</v>
      </c>
      <c r="C87" s="136">
        <v>380</v>
      </c>
      <c r="D87" s="136">
        <v>381</v>
      </c>
      <c r="E87" s="136">
        <v>382</v>
      </c>
      <c r="F87" s="136">
        <v>383</v>
      </c>
      <c r="G87" s="136">
        <v>384</v>
      </c>
      <c r="H87" s="136">
        <v>385</v>
      </c>
      <c r="I87" s="136">
        <v>386</v>
      </c>
      <c r="J87" s="136">
        <v>387</v>
      </c>
      <c r="K87" s="136">
        <v>388</v>
      </c>
      <c r="L87" s="136">
        <v>389</v>
      </c>
      <c r="M87" s="136">
        <v>390</v>
      </c>
      <c r="N87" s="136">
        <v>391</v>
      </c>
      <c r="O87" s="136">
        <v>392</v>
      </c>
    </row>
    <row r="88" spans="1:15" s="131" customFormat="1" ht="61.5" customHeight="1">
      <c r="A88" s="272"/>
      <c r="B88" s="134" t="s">
        <v>504</v>
      </c>
      <c r="C88" s="134" t="s">
        <v>505</v>
      </c>
      <c r="D88" s="134" t="s">
        <v>506</v>
      </c>
      <c r="E88" s="134" t="s">
        <v>507</v>
      </c>
      <c r="F88" s="134" t="s">
        <v>508</v>
      </c>
      <c r="G88" s="134" t="s">
        <v>509</v>
      </c>
      <c r="H88" s="134" t="s">
        <v>510</v>
      </c>
      <c r="I88" s="134" t="s">
        <v>511</v>
      </c>
      <c r="J88" s="134" t="s">
        <v>512</v>
      </c>
      <c r="K88" s="134" t="s">
        <v>513</v>
      </c>
      <c r="L88" s="134" t="s">
        <v>514</v>
      </c>
      <c r="M88" s="134" t="s">
        <v>515</v>
      </c>
      <c r="N88" s="134" t="s">
        <v>516</v>
      </c>
      <c r="O88" s="134" t="s">
        <v>517</v>
      </c>
    </row>
    <row r="89" spans="1:15">
      <c r="A89" s="272"/>
      <c r="B89" s="132" t="s">
        <v>974</v>
      </c>
      <c r="C89" s="132" t="s">
        <v>975</v>
      </c>
      <c r="D89" s="132" t="s">
        <v>976</v>
      </c>
      <c r="E89" s="132" t="s">
        <v>977</v>
      </c>
      <c r="F89" s="132" t="s">
        <v>978</v>
      </c>
      <c r="G89" s="132" t="s">
        <v>979</v>
      </c>
      <c r="H89" s="132" t="s">
        <v>980</v>
      </c>
      <c r="I89" s="132" t="s">
        <v>981</v>
      </c>
      <c r="J89" s="132" t="s">
        <v>982</v>
      </c>
      <c r="K89" s="132" t="s">
        <v>983</v>
      </c>
      <c r="L89" s="132" t="s">
        <v>984</v>
      </c>
      <c r="M89" s="132" t="s">
        <v>985</v>
      </c>
      <c r="N89" s="132" t="s">
        <v>986</v>
      </c>
      <c r="O89" s="132" t="s">
        <v>987</v>
      </c>
    </row>
    <row r="90" spans="1:15" ht="18.75">
      <c r="A90" s="272" t="s">
        <v>1217</v>
      </c>
      <c r="B90" s="136">
        <v>393</v>
      </c>
      <c r="C90" s="136">
        <v>394</v>
      </c>
      <c r="D90" s="136">
        <v>395</v>
      </c>
      <c r="E90" s="136">
        <v>396</v>
      </c>
      <c r="F90" s="136">
        <v>397</v>
      </c>
      <c r="G90" s="136">
        <v>398</v>
      </c>
      <c r="H90" s="136">
        <v>399</v>
      </c>
      <c r="I90" s="136">
        <v>400</v>
      </c>
      <c r="J90" s="136">
        <v>401</v>
      </c>
      <c r="K90" s="136">
        <v>402</v>
      </c>
      <c r="L90" s="136">
        <v>403</v>
      </c>
      <c r="M90" s="136">
        <v>404</v>
      </c>
      <c r="N90" s="136">
        <v>405</v>
      </c>
      <c r="O90" s="136">
        <v>406</v>
      </c>
    </row>
    <row r="91" spans="1:15" s="131" customFormat="1" ht="60" customHeight="1">
      <c r="A91" s="272"/>
      <c r="B91" s="134" t="s">
        <v>518</v>
      </c>
      <c r="C91" s="134" t="s">
        <v>519</v>
      </c>
      <c r="D91" s="134" t="s">
        <v>520</v>
      </c>
      <c r="E91" s="134" t="s">
        <v>521</v>
      </c>
      <c r="F91" s="134" t="s">
        <v>522</v>
      </c>
      <c r="G91" s="134" t="s">
        <v>523</v>
      </c>
      <c r="H91" s="134" t="s">
        <v>524</v>
      </c>
      <c r="I91" s="134" t="s">
        <v>525</v>
      </c>
      <c r="J91" s="134" t="s">
        <v>526</v>
      </c>
      <c r="K91" s="134" t="s">
        <v>527</v>
      </c>
      <c r="L91" s="134" t="s">
        <v>528</v>
      </c>
      <c r="M91" s="134" t="s">
        <v>529</v>
      </c>
      <c r="N91" s="134" t="s">
        <v>530</v>
      </c>
      <c r="O91" s="134" t="s">
        <v>531</v>
      </c>
    </row>
    <row r="92" spans="1:15" ht="22.5">
      <c r="A92" s="272"/>
      <c r="B92" s="132" t="s">
        <v>988</v>
      </c>
      <c r="C92" s="132" t="s">
        <v>989</v>
      </c>
      <c r="D92" s="132" t="s">
        <v>990</v>
      </c>
      <c r="E92" s="132" t="s">
        <v>991</v>
      </c>
      <c r="F92" s="132" t="s">
        <v>992</v>
      </c>
      <c r="G92" s="132" t="s">
        <v>993</v>
      </c>
      <c r="H92" s="132" t="s">
        <v>994</v>
      </c>
      <c r="I92" s="132" t="s">
        <v>995</v>
      </c>
      <c r="J92" s="132" t="s">
        <v>996</v>
      </c>
      <c r="K92" s="132" t="s">
        <v>997</v>
      </c>
      <c r="L92" s="132" t="s">
        <v>998</v>
      </c>
      <c r="M92" s="132" t="s">
        <v>999</v>
      </c>
      <c r="N92" s="132" t="s">
        <v>1000</v>
      </c>
      <c r="O92" s="132" t="s">
        <v>1001</v>
      </c>
    </row>
    <row r="93" spans="1:15" ht="18.75">
      <c r="A93" s="272" t="s">
        <v>1218</v>
      </c>
      <c r="B93" s="136">
        <v>407</v>
      </c>
      <c r="C93" s="136">
        <v>408</v>
      </c>
      <c r="D93" s="136">
        <v>409</v>
      </c>
      <c r="E93" s="136">
        <v>410</v>
      </c>
      <c r="F93" s="136">
        <v>411</v>
      </c>
      <c r="G93" s="136">
        <v>412</v>
      </c>
      <c r="H93" s="136">
        <v>413</v>
      </c>
      <c r="I93" s="136">
        <v>414</v>
      </c>
      <c r="J93" s="136">
        <v>415</v>
      </c>
      <c r="K93" s="136">
        <v>416</v>
      </c>
      <c r="L93" s="136">
        <v>417</v>
      </c>
      <c r="M93" s="136">
        <v>418</v>
      </c>
      <c r="N93" s="136">
        <v>419</v>
      </c>
      <c r="O93" s="136">
        <v>420</v>
      </c>
    </row>
    <row r="94" spans="1:15" s="131" customFormat="1" ht="59.25" customHeight="1">
      <c r="A94" s="272"/>
      <c r="B94" s="134" t="s">
        <v>532</v>
      </c>
      <c r="C94" s="134" t="s">
        <v>533</v>
      </c>
      <c r="D94" s="134" t="s">
        <v>534</v>
      </c>
      <c r="E94" s="134" t="s">
        <v>535</v>
      </c>
      <c r="F94" s="134" t="s">
        <v>536</v>
      </c>
      <c r="G94" s="134" t="s">
        <v>537</v>
      </c>
      <c r="H94" s="134" t="s">
        <v>538</v>
      </c>
      <c r="I94" s="134" t="s">
        <v>539</v>
      </c>
      <c r="J94" s="134" t="s">
        <v>540</v>
      </c>
      <c r="K94" s="134" t="s">
        <v>541</v>
      </c>
      <c r="L94" s="134" t="s">
        <v>542</v>
      </c>
      <c r="M94" s="134" t="s">
        <v>543</v>
      </c>
      <c r="N94" s="134" t="s">
        <v>544</v>
      </c>
      <c r="O94" s="134" t="s">
        <v>545</v>
      </c>
    </row>
    <row r="95" spans="1:15" ht="22.5">
      <c r="A95" s="272"/>
      <c r="B95" s="132" t="s">
        <v>1002</v>
      </c>
      <c r="C95" s="132" t="s">
        <v>1003</v>
      </c>
      <c r="D95" s="132" t="s">
        <v>1004</v>
      </c>
      <c r="E95" s="132" t="s">
        <v>1005</v>
      </c>
      <c r="F95" s="132" t="s">
        <v>1006</v>
      </c>
      <c r="G95" s="132" t="s">
        <v>1007</v>
      </c>
      <c r="H95" s="132" t="s">
        <v>1008</v>
      </c>
      <c r="I95" s="132" t="s">
        <v>1009</v>
      </c>
      <c r="J95" s="132" t="s">
        <v>1010</v>
      </c>
      <c r="K95" s="132" t="s">
        <v>1011</v>
      </c>
      <c r="L95" s="132" t="s">
        <v>1012</v>
      </c>
      <c r="M95" s="132" t="s">
        <v>1013</v>
      </c>
      <c r="N95" s="132" t="s">
        <v>1014</v>
      </c>
      <c r="O95" s="132" t="s">
        <v>1015</v>
      </c>
    </row>
    <row r="96" spans="1:15" ht="18.75">
      <c r="A96" s="272" t="s">
        <v>1219</v>
      </c>
      <c r="B96" s="136">
        <v>421</v>
      </c>
      <c r="C96" s="136">
        <v>422</v>
      </c>
      <c r="D96" s="136">
        <v>423</v>
      </c>
      <c r="E96" s="136">
        <v>424</v>
      </c>
      <c r="F96" s="136">
        <v>425</v>
      </c>
      <c r="G96" s="136">
        <v>426</v>
      </c>
      <c r="H96" s="136">
        <v>427</v>
      </c>
      <c r="I96" s="136">
        <v>428</v>
      </c>
      <c r="J96" s="136">
        <v>429</v>
      </c>
      <c r="K96" s="136">
        <v>430</v>
      </c>
      <c r="L96" s="136">
        <v>431</v>
      </c>
      <c r="M96" s="136">
        <v>432</v>
      </c>
      <c r="N96" s="136">
        <v>433</v>
      </c>
      <c r="O96" s="136">
        <v>434</v>
      </c>
    </row>
    <row r="97" spans="1:15" s="131" customFormat="1" ht="64.5" customHeight="1">
      <c r="A97" s="272"/>
      <c r="B97" s="134" t="s">
        <v>546</v>
      </c>
      <c r="C97" s="134" t="s">
        <v>547</v>
      </c>
      <c r="D97" s="134" t="s">
        <v>548</v>
      </c>
      <c r="E97" s="134" t="s">
        <v>549</v>
      </c>
      <c r="F97" s="134" t="s">
        <v>550</v>
      </c>
      <c r="G97" s="134" t="s">
        <v>551</v>
      </c>
      <c r="H97" s="134" t="s">
        <v>552</v>
      </c>
      <c r="I97" s="134" t="s">
        <v>553</v>
      </c>
      <c r="J97" s="134" t="s">
        <v>554</v>
      </c>
      <c r="K97" s="134" t="s">
        <v>555</v>
      </c>
      <c r="L97" s="134" t="s">
        <v>556</v>
      </c>
      <c r="M97" s="134" t="s">
        <v>557</v>
      </c>
      <c r="N97" s="134" t="s">
        <v>558</v>
      </c>
      <c r="O97" s="134" t="s">
        <v>559</v>
      </c>
    </row>
    <row r="98" spans="1:15" ht="15" customHeight="1">
      <c r="A98" s="272"/>
      <c r="B98" s="270" t="s">
        <v>1016</v>
      </c>
      <c r="C98" s="270" t="s">
        <v>1017</v>
      </c>
      <c r="D98" s="137" t="s">
        <v>1188</v>
      </c>
      <c r="E98" s="271" t="s">
        <v>1018</v>
      </c>
      <c r="F98" s="271" t="s">
        <v>1019</v>
      </c>
      <c r="G98" s="271" t="s">
        <v>1020</v>
      </c>
      <c r="H98" s="271" t="s">
        <v>1021</v>
      </c>
      <c r="I98" s="271" t="s">
        <v>1022</v>
      </c>
      <c r="J98" s="271" t="s">
        <v>1023</v>
      </c>
      <c r="K98" s="271" t="s">
        <v>1024</v>
      </c>
      <c r="L98" s="271" t="s">
        <v>1025</v>
      </c>
      <c r="M98" s="271" t="s">
        <v>1026</v>
      </c>
      <c r="N98" s="271" t="s">
        <v>1027</v>
      </c>
      <c r="O98" s="271" t="s">
        <v>1028</v>
      </c>
    </row>
    <row r="99" spans="1:15">
      <c r="A99" s="272"/>
      <c r="B99" s="270"/>
      <c r="C99" s="270"/>
      <c r="D99" s="137" t="s">
        <v>1184</v>
      </c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</row>
    <row r="100" spans="1:15" ht="18.75">
      <c r="A100" s="272" t="s">
        <v>1220</v>
      </c>
      <c r="B100" s="136">
        <v>435</v>
      </c>
      <c r="C100" s="136">
        <v>436</v>
      </c>
      <c r="D100" s="136">
        <v>437</v>
      </c>
      <c r="E100" s="136">
        <v>438</v>
      </c>
      <c r="F100" s="136">
        <v>439</v>
      </c>
      <c r="G100" s="136">
        <v>440</v>
      </c>
      <c r="H100" s="136">
        <v>441</v>
      </c>
      <c r="I100" s="136">
        <v>442</v>
      </c>
      <c r="J100" s="136">
        <v>443</v>
      </c>
      <c r="K100" s="136">
        <v>444</v>
      </c>
      <c r="L100" s="136">
        <v>445</v>
      </c>
      <c r="M100" s="136">
        <v>446</v>
      </c>
      <c r="N100" s="136">
        <v>447</v>
      </c>
      <c r="O100" s="136">
        <v>448</v>
      </c>
    </row>
    <row r="101" spans="1:15" s="131" customFormat="1" ht="58.5" customHeight="1">
      <c r="A101" s="272"/>
      <c r="B101" s="134" t="s">
        <v>560</v>
      </c>
      <c r="C101" s="134" t="s">
        <v>561</v>
      </c>
      <c r="D101" s="134" t="s">
        <v>562</v>
      </c>
      <c r="E101" s="134" t="s">
        <v>563</v>
      </c>
      <c r="F101" s="134" t="s">
        <v>564</v>
      </c>
      <c r="G101" s="134" t="s">
        <v>565</v>
      </c>
      <c r="H101" s="134" t="s">
        <v>566</v>
      </c>
      <c r="I101" s="134" t="s">
        <v>567</v>
      </c>
      <c r="J101" s="134" t="s">
        <v>568</v>
      </c>
      <c r="K101" s="134" t="s">
        <v>569</v>
      </c>
      <c r="L101" s="134" t="s">
        <v>570</v>
      </c>
      <c r="M101" s="134" t="s">
        <v>571</v>
      </c>
      <c r="N101" s="134" t="s">
        <v>572</v>
      </c>
      <c r="O101" s="134" t="s">
        <v>573</v>
      </c>
    </row>
    <row r="102" spans="1:15" ht="22.5">
      <c r="A102" s="272"/>
      <c r="B102" s="132" t="s">
        <v>1029</v>
      </c>
      <c r="C102" s="132" t="s">
        <v>1030</v>
      </c>
      <c r="D102" s="132" t="s">
        <v>1031</v>
      </c>
      <c r="E102" s="132" t="s">
        <v>1032</v>
      </c>
      <c r="F102" s="132" t="s">
        <v>1033</v>
      </c>
      <c r="G102" s="132" t="s">
        <v>1034</v>
      </c>
      <c r="H102" s="132" t="s">
        <v>1035</v>
      </c>
      <c r="I102" s="132" t="s">
        <v>1036</v>
      </c>
      <c r="J102" s="132" t="s">
        <v>1037</v>
      </c>
      <c r="K102" s="132" t="s">
        <v>1038</v>
      </c>
      <c r="L102" s="132" t="s">
        <v>1039</v>
      </c>
      <c r="M102" s="132" t="s">
        <v>1040</v>
      </c>
      <c r="N102" s="132" t="s">
        <v>1041</v>
      </c>
      <c r="O102" s="132" t="s">
        <v>1042</v>
      </c>
    </row>
    <row r="103" spans="1:15" ht="18.75">
      <c r="A103" s="272" t="s">
        <v>1221</v>
      </c>
      <c r="B103" s="136">
        <v>449</v>
      </c>
      <c r="C103" s="136">
        <v>450</v>
      </c>
      <c r="D103" s="136">
        <v>451</v>
      </c>
      <c r="E103" s="136">
        <v>452</v>
      </c>
      <c r="F103" s="136">
        <v>453</v>
      </c>
      <c r="G103" s="136">
        <v>454</v>
      </c>
      <c r="H103" s="136">
        <v>455</v>
      </c>
      <c r="I103" s="136">
        <v>456</v>
      </c>
      <c r="J103" s="136">
        <v>457</v>
      </c>
      <c r="K103" s="136">
        <v>458</v>
      </c>
      <c r="L103" s="136">
        <v>459</v>
      </c>
      <c r="M103" s="136">
        <v>460</v>
      </c>
      <c r="N103" s="136">
        <v>461</v>
      </c>
      <c r="O103" s="136">
        <v>462</v>
      </c>
    </row>
    <row r="104" spans="1:15" s="131" customFormat="1" ht="57" customHeight="1">
      <c r="A104" s="272"/>
      <c r="B104" s="134" t="s">
        <v>574</v>
      </c>
      <c r="C104" s="134" t="s">
        <v>575</v>
      </c>
      <c r="D104" s="134" t="s">
        <v>576</v>
      </c>
      <c r="E104" s="134" t="s">
        <v>577</v>
      </c>
      <c r="F104" s="134" t="s">
        <v>578</v>
      </c>
      <c r="G104" s="134" t="s">
        <v>579</v>
      </c>
      <c r="H104" s="134" t="s">
        <v>580</v>
      </c>
      <c r="I104" s="134" t="s">
        <v>581</v>
      </c>
      <c r="J104" s="134" t="s">
        <v>582</v>
      </c>
      <c r="K104" s="134" t="s">
        <v>583</v>
      </c>
      <c r="L104" s="134" t="s">
        <v>584</v>
      </c>
      <c r="M104" s="134" t="s">
        <v>585</v>
      </c>
      <c r="N104" s="134" t="s">
        <v>586</v>
      </c>
      <c r="O104" s="134" t="s">
        <v>587</v>
      </c>
    </row>
    <row r="105" spans="1:15" ht="22.5">
      <c r="A105" s="272"/>
      <c r="B105" s="132" t="s">
        <v>1043</v>
      </c>
      <c r="C105" s="132" t="s">
        <v>1044</v>
      </c>
      <c r="D105" s="132" t="s">
        <v>1045</v>
      </c>
      <c r="E105" s="132" t="s">
        <v>1046</v>
      </c>
      <c r="F105" s="132" t="s">
        <v>1047</v>
      </c>
      <c r="G105" s="132" t="s">
        <v>1048</v>
      </c>
      <c r="H105" s="132" t="s">
        <v>1049</v>
      </c>
      <c r="I105" s="132" t="s">
        <v>1050</v>
      </c>
      <c r="J105" s="132" t="s">
        <v>1051</v>
      </c>
      <c r="K105" s="132" t="s">
        <v>1052</v>
      </c>
      <c r="L105" s="132" t="s">
        <v>1053</v>
      </c>
      <c r="M105" s="132" t="s">
        <v>1054</v>
      </c>
      <c r="N105" s="132" t="s">
        <v>1055</v>
      </c>
      <c r="O105" s="132" t="s">
        <v>1056</v>
      </c>
    </row>
    <row r="106" spans="1:15" ht="18.75">
      <c r="A106" s="272" t="s">
        <v>1222</v>
      </c>
      <c r="B106" s="136">
        <v>463</v>
      </c>
      <c r="C106" s="136">
        <v>464</v>
      </c>
      <c r="D106" s="136">
        <v>465</v>
      </c>
      <c r="E106" s="136">
        <v>466</v>
      </c>
      <c r="F106" s="136">
        <v>467</v>
      </c>
      <c r="G106" s="136">
        <v>468</v>
      </c>
      <c r="H106" s="136">
        <v>469</v>
      </c>
      <c r="I106" s="136">
        <v>470</v>
      </c>
      <c r="J106" s="136">
        <v>471</v>
      </c>
      <c r="K106" s="136">
        <v>472</v>
      </c>
      <c r="L106" s="138" t="s">
        <v>9</v>
      </c>
      <c r="M106" s="138" t="s">
        <v>9</v>
      </c>
      <c r="N106" s="138" t="s">
        <v>9</v>
      </c>
      <c r="O106" s="138" t="s">
        <v>9</v>
      </c>
    </row>
    <row r="107" spans="1:15" s="131" customFormat="1" ht="54" customHeight="1">
      <c r="A107" s="272"/>
      <c r="B107" s="134" t="s">
        <v>588</v>
      </c>
      <c r="C107" s="134" t="s">
        <v>589</v>
      </c>
      <c r="D107" s="134" t="s">
        <v>590</v>
      </c>
      <c r="E107" s="134" t="s">
        <v>591</v>
      </c>
      <c r="F107" s="134" t="s">
        <v>592</v>
      </c>
      <c r="G107" s="134" t="s">
        <v>593</v>
      </c>
      <c r="H107" s="134" t="s">
        <v>594</v>
      </c>
      <c r="I107" s="134" t="s">
        <v>595</v>
      </c>
      <c r="J107" s="134" t="s">
        <v>596</v>
      </c>
      <c r="K107" s="134" t="s">
        <v>597</v>
      </c>
      <c r="L107" s="138" t="s">
        <v>9</v>
      </c>
      <c r="M107" s="138" t="s">
        <v>9</v>
      </c>
      <c r="N107" s="138" t="s">
        <v>9</v>
      </c>
      <c r="O107" s="138" t="s">
        <v>9</v>
      </c>
    </row>
    <row r="108" spans="1:15" ht="22.5">
      <c r="A108" s="272"/>
      <c r="B108" s="132" t="s">
        <v>1057</v>
      </c>
      <c r="C108" s="132" t="s">
        <v>1058</v>
      </c>
      <c r="D108" s="132" t="s">
        <v>1059</v>
      </c>
      <c r="E108" s="132" t="s">
        <v>1060</v>
      </c>
      <c r="F108" s="132" t="s">
        <v>1061</v>
      </c>
      <c r="G108" s="132" t="s">
        <v>1062</v>
      </c>
      <c r="H108" s="132" t="s">
        <v>1063</v>
      </c>
      <c r="I108" s="132" t="s">
        <v>1064</v>
      </c>
      <c r="J108" s="132" t="s">
        <v>1065</v>
      </c>
      <c r="K108" s="132" t="s">
        <v>1066</v>
      </c>
      <c r="L108" s="133" t="s">
        <v>9</v>
      </c>
      <c r="M108" s="133" t="s">
        <v>9</v>
      </c>
      <c r="N108" s="133" t="s">
        <v>9</v>
      </c>
      <c r="O108" s="133" t="s">
        <v>9</v>
      </c>
    </row>
  </sheetData>
  <mergeCells count="79">
    <mergeCell ref="A47:A49"/>
    <mergeCell ref="A50:A52"/>
    <mergeCell ref="A53:A55"/>
    <mergeCell ref="A106:A108"/>
    <mergeCell ref="A77:A79"/>
    <mergeCell ref="A80:A82"/>
    <mergeCell ref="A83:A86"/>
    <mergeCell ref="A96:A99"/>
    <mergeCell ref="A100:A102"/>
    <mergeCell ref="A103:A105"/>
    <mergeCell ref="A90:A92"/>
    <mergeCell ref="A93:A95"/>
    <mergeCell ref="A56:A58"/>
    <mergeCell ref="A19:A22"/>
    <mergeCell ref="A23:A25"/>
    <mergeCell ref="A26:A28"/>
    <mergeCell ref="A87:A89"/>
    <mergeCell ref="A65:A67"/>
    <mergeCell ref="A68:A70"/>
    <mergeCell ref="A71:A73"/>
    <mergeCell ref="A74:A76"/>
    <mergeCell ref="A59:A61"/>
    <mergeCell ref="A62:A64"/>
    <mergeCell ref="A29:A31"/>
    <mergeCell ref="A32:A34"/>
    <mergeCell ref="A35:A37"/>
    <mergeCell ref="A38:A40"/>
    <mergeCell ref="A41:A43"/>
    <mergeCell ref="A44:A46"/>
    <mergeCell ref="A13:A15"/>
    <mergeCell ref="A16:A18"/>
    <mergeCell ref="A1:O1"/>
    <mergeCell ref="A2:A3"/>
    <mergeCell ref="A4:A6"/>
    <mergeCell ref="A7:A9"/>
    <mergeCell ref="A10:A12"/>
    <mergeCell ref="B2:H2"/>
    <mergeCell ref="I2:O2"/>
    <mergeCell ref="B3:H3"/>
    <mergeCell ref="I3:O3"/>
    <mergeCell ref="O98:O99"/>
    <mergeCell ref="I98:I99"/>
    <mergeCell ref="J98:J99"/>
    <mergeCell ref="K98:K99"/>
    <mergeCell ref="L98:L99"/>
    <mergeCell ref="M98:M99"/>
    <mergeCell ref="N98:N99"/>
    <mergeCell ref="H98:H99"/>
    <mergeCell ref="B85:B86"/>
    <mergeCell ref="C85:C86"/>
    <mergeCell ref="D85:D86"/>
    <mergeCell ref="E85:E86"/>
    <mergeCell ref="F85:F86"/>
    <mergeCell ref="G85:G86"/>
    <mergeCell ref="B98:B99"/>
    <mergeCell ref="C98:C99"/>
    <mergeCell ref="E98:E99"/>
    <mergeCell ref="F98:F99"/>
    <mergeCell ref="G98:G99"/>
    <mergeCell ref="H85:H86"/>
    <mergeCell ref="I85:I86"/>
    <mergeCell ref="J85:J86"/>
    <mergeCell ref="O21:O22"/>
    <mergeCell ref="H21:H22"/>
    <mergeCell ref="I21:I22"/>
    <mergeCell ref="J21:J22"/>
    <mergeCell ref="K21:K22"/>
    <mergeCell ref="M21:M22"/>
    <mergeCell ref="N21:N22"/>
    <mergeCell ref="K85:K86"/>
    <mergeCell ref="L85:L86"/>
    <mergeCell ref="M85:M86"/>
    <mergeCell ref="O85:O86"/>
    <mergeCell ref="G21:G22"/>
    <mergeCell ref="B21:B22"/>
    <mergeCell ref="C21:C22"/>
    <mergeCell ref="D21:D22"/>
    <mergeCell ref="E21:E22"/>
    <mergeCell ref="F21:F22"/>
  </mergeCells>
  <pageMargins left="0.62" right="0.23" top="0.53" bottom="0.4" header="0.3" footer="0.3"/>
  <pageSetup paperSize="5" orientation="landscape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A7" sqref="A7:H7"/>
    </sheetView>
  </sheetViews>
  <sheetFormatPr defaultRowHeight="15"/>
  <cols>
    <col min="2" max="2" width="14.85546875" customWidth="1"/>
    <col min="4" max="4" width="16.7109375" customWidth="1"/>
    <col min="5" max="5" width="17.85546875" customWidth="1"/>
    <col min="6" max="6" width="23.7109375" customWidth="1"/>
    <col min="7" max="7" width="16.7109375" customWidth="1"/>
    <col min="8" max="8" width="14.85546875" customWidth="1"/>
  </cols>
  <sheetData>
    <row r="1" spans="1:8" ht="18.75">
      <c r="A1" s="243" t="s">
        <v>1087</v>
      </c>
      <c r="B1" s="244"/>
      <c r="C1" s="244"/>
      <c r="D1" s="244"/>
      <c r="E1" s="244"/>
      <c r="F1" s="244"/>
      <c r="G1" s="244"/>
      <c r="H1" s="245"/>
    </row>
    <row r="2" spans="1:8" ht="18.75">
      <c r="A2" s="238" t="s">
        <v>1088</v>
      </c>
      <c r="B2" s="238" t="s">
        <v>1089</v>
      </c>
      <c r="C2" s="238" t="s">
        <v>1090</v>
      </c>
      <c r="D2" s="238"/>
      <c r="E2" s="238"/>
      <c r="F2" s="238" t="s">
        <v>1091</v>
      </c>
      <c r="G2" s="238"/>
      <c r="H2" s="238"/>
    </row>
    <row r="3" spans="1:8" ht="131.25">
      <c r="A3" s="238"/>
      <c r="B3" s="238"/>
      <c r="C3" s="82" t="s">
        <v>1092</v>
      </c>
      <c r="D3" s="82" t="s">
        <v>1093</v>
      </c>
      <c r="E3" s="82" t="s">
        <v>1094</v>
      </c>
      <c r="F3" s="82" t="s">
        <v>1095</v>
      </c>
      <c r="G3" s="82" t="s">
        <v>1096</v>
      </c>
      <c r="H3" s="82" t="s">
        <v>1097</v>
      </c>
    </row>
    <row r="4" spans="1:8" ht="18.75">
      <c r="A4" s="82">
        <v>1</v>
      </c>
      <c r="B4" s="82">
        <v>2</v>
      </c>
      <c r="C4" s="82">
        <v>3</v>
      </c>
      <c r="D4" s="82">
        <v>4</v>
      </c>
      <c r="E4" s="82">
        <v>5</v>
      </c>
      <c r="F4" s="82">
        <v>6</v>
      </c>
      <c r="G4" s="82">
        <v>7</v>
      </c>
      <c r="H4" s="82">
        <v>8</v>
      </c>
    </row>
    <row r="5" spans="1:8" ht="18.75">
      <c r="A5" s="83">
        <v>1</v>
      </c>
      <c r="B5" s="84" t="s">
        <v>1100</v>
      </c>
      <c r="C5" s="83"/>
      <c r="D5" s="83"/>
      <c r="E5" s="83"/>
      <c r="F5" s="83"/>
      <c r="G5" s="83"/>
      <c r="H5" s="83"/>
    </row>
    <row r="6" spans="1:8" ht="18.75">
      <c r="A6" s="243" t="s">
        <v>94</v>
      </c>
      <c r="B6" s="245"/>
      <c r="C6" s="82"/>
      <c r="D6" s="82"/>
      <c r="E6" s="82"/>
      <c r="F6" s="82"/>
      <c r="G6" s="82"/>
      <c r="H6" s="82"/>
    </row>
    <row r="7" spans="1:8" ht="18.75">
      <c r="A7" s="278" t="s">
        <v>1098</v>
      </c>
      <c r="B7" s="279"/>
      <c r="C7" s="279"/>
      <c r="D7" s="279"/>
      <c r="E7" s="279"/>
      <c r="F7" s="279"/>
      <c r="G7" s="279"/>
      <c r="H7" s="279"/>
    </row>
    <row r="8" spans="1:8" ht="18.75">
      <c r="A8" s="280" t="s">
        <v>1099</v>
      </c>
      <c r="B8" s="281"/>
      <c r="C8" s="281"/>
      <c r="D8" s="281"/>
      <c r="E8" s="281"/>
      <c r="F8" s="281"/>
      <c r="G8" s="281"/>
      <c r="H8" s="281"/>
    </row>
    <row r="9" spans="1:8">
      <c r="A9" s="80"/>
      <c r="B9" s="80"/>
      <c r="C9" s="80"/>
      <c r="D9" s="80"/>
      <c r="E9" s="80"/>
      <c r="F9" s="80"/>
      <c r="G9" s="80"/>
      <c r="H9" s="80"/>
    </row>
    <row r="10" spans="1:8">
      <c r="A10" s="80"/>
      <c r="B10" s="80"/>
      <c r="C10" s="80"/>
      <c r="D10" s="80"/>
      <c r="E10" s="80"/>
      <c r="F10" s="80"/>
      <c r="G10" s="80"/>
      <c r="H10" s="80"/>
    </row>
    <row r="11" spans="1:8" ht="18.75">
      <c r="A11" s="80"/>
      <c r="B11" s="80"/>
      <c r="C11" s="80"/>
      <c r="D11" s="80"/>
      <c r="E11" s="80"/>
      <c r="F11" s="80"/>
      <c r="G11" s="282" t="s">
        <v>1084</v>
      </c>
      <c r="H11" s="282"/>
    </row>
    <row r="12" spans="1:8" ht="18.75">
      <c r="A12" s="80"/>
      <c r="B12" s="80"/>
      <c r="C12" s="80"/>
      <c r="D12" s="80"/>
      <c r="E12" s="80"/>
      <c r="F12" s="80"/>
      <c r="G12" s="282" t="s">
        <v>1101</v>
      </c>
      <c r="H12" s="282"/>
    </row>
  </sheetData>
  <mergeCells count="10">
    <mergeCell ref="A7:H7"/>
    <mergeCell ref="A8:H8"/>
    <mergeCell ref="G11:H11"/>
    <mergeCell ref="G12:H12"/>
    <mergeCell ref="A1:H1"/>
    <mergeCell ref="A2:A3"/>
    <mergeCell ref="B2:B3"/>
    <mergeCell ref="C2:E2"/>
    <mergeCell ref="F2:H2"/>
    <mergeCell ref="A6:B6"/>
  </mergeCells>
  <pageMargins left="0.5" right="0.28000000000000003" top="0.75" bottom="0.75" header="0.3" footer="0.3"/>
  <pageSetup orientation="landscape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C7" sqref="C7"/>
    </sheetView>
  </sheetViews>
  <sheetFormatPr defaultRowHeight="15"/>
  <cols>
    <col min="1" max="1" width="20.28515625" customWidth="1"/>
    <col min="2" max="2" width="23.28515625" customWidth="1"/>
    <col min="3" max="3" width="23" customWidth="1"/>
    <col min="4" max="4" width="30.85546875" customWidth="1"/>
    <col min="5" max="5" width="18.140625" customWidth="1"/>
  </cols>
  <sheetData>
    <row r="1" spans="1:5" ht="18.75">
      <c r="A1" s="283" t="s">
        <v>1102</v>
      </c>
      <c r="B1" s="284"/>
      <c r="C1" s="284"/>
      <c r="D1" s="284"/>
      <c r="E1" s="284"/>
    </row>
    <row r="2" spans="1:5" ht="18.75">
      <c r="A2" s="285" t="s">
        <v>1103</v>
      </c>
      <c r="B2" s="286"/>
      <c r="C2" s="286"/>
      <c r="D2" s="286"/>
      <c r="E2" s="286"/>
    </row>
    <row r="3" spans="1:5" ht="18.75">
      <c r="A3" s="287" t="s">
        <v>1112</v>
      </c>
      <c r="B3" s="288"/>
      <c r="C3" s="288"/>
      <c r="D3" s="288"/>
      <c r="E3" s="288"/>
    </row>
    <row r="4" spans="1:5" ht="75">
      <c r="A4" s="85" t="s">
        <v>1104</v>
      </c>
      <c r="B4" s="85" t="s">
        <v>1105</v>
      </c>
      <c r="C4" s="85" t="s">
        <v>1106</v>
      </c>
      <c r="D4" s="86" t="s">
        <v>1107</v>
      </c>
      <c r="E4" s="86" t="s">
        <v>1108</v>
      </c>
    </row>
    <row r="5" spans="1:5" ht="18.75">
      <c r="A5" s="85">
        <v>1</v>
      </c>
      <c r="B5" s="85">
        <v>2</v>
      </c>
      <c r="C5" s="85">
        <v>3</v>
      </c>
      <c r="D5" s="85">
        <v>4</v>
      </c>
      <c r="E5" s="85">
        <v>5</v>
      </c>
    </row>
    <row r="6" spans="1:5" ht="18.75">
      <c r="A6" s="87"/>
      <c r="B6" s="88"/>
      <c r="C6" s="89"/>
      <c r="D6" s="87"/>
      <c r="E6" s="90"/>
    </row>
    <row r="7" spans="1:5" ht="18.75">
      <c r="A7" s="87"/>
      <c r="B7" s="88"/>
      <c r="C7" s="89"/>
      <c r="D7" s="87"/>
      <c r="E7" s="90"/>
    </row>
    <row r="8" spans="1:5" ht="18.75">
      <c r="A8" s="87"/>
      <c r="B8" s="88"/>
      <c r="C8" s="89"/>
      <c r="D8" s="87"/>
      <c r="E8" s="90"/>
    </row>
    <row r="9" spans="1:5" ht="18.75">
      <c r="A9" s="87"/>
      <c r="B9" s="88"/>
      <c r="C9" s="89"/>
      <c r="D9" s="87"/>
      <c r="E9" s="90"/>
    </row>
    <row r="10" spans="1:5" ht="18.75">
      <c r="A10" s="87"/>
      <c r="B10" s="88"/>
      <c r="C10" s="89"/>
      <c r="D10" s="87"/>
      <c r="E10" s="90"/>
    </row>
    <row r="11" spans="1:5" ht="18.75">
      <c r="A11" s="87"/>
      <c r="B11" s="88"/>
      <c r="C11" s="89"/>
      <c r="D11" s="87"/>
      <c r="E11" s="90"/>
    </row>
    <row r="12" spans="1:5" ht="18.75">
      <c r="A12" s="87"/>
      <c r="B12" s="88"/>
      <c r="C12" s="89"/>
      <c r="D12" s="87"/>
      <c r="E12" s="90"/>
    </row>
    <row r="13" spans="1:5" ht="18.75">
      <c r="A13" s="87"/>
      <c r="B13" s="88"/>
      <c r="C13" s="89"/>
      <c r="D13" s="87"/>
      <c r="E13" s="90"/>
    </row>
    <row r="14" spans="1:5" ht="18.75">
      <c r="A14" s="87"/>
      <c r="B14" s="88"/>
      <c r="C14" s="89"/>
      <c r="D14" s="87"/>
      <c r="E14" s="90"/>
    </row>
    <row r="15" spans="1:5" ht="18.75">
      <c r="A15" s="87"/>
      <c r="B15" s="88"/>
      <c r="C15" s="89"/>
      <c r="D15" s="87"/>
      <c r="E15" s="90"/>
    </row>
    <row r="16" spans="1:5" ht="18.75">
      <c r="A16" s="91"/>
      <c r="B16" s="92"/>
      <c r="C16" s="91"/>
      <c r="D16" s="91"/>
      <c r="E16" s="93"/>
    </row>
    <row r="17" spans="1:5" ht="18.75">
      <c r="A17" s="289" t="s">
        <v>1109</v>
      </c>
      <c r="B17" s="289"/>
      <c r="C17" s="289"/>
      <c r="D17" s="289"/>
      <c r="E17" s="94"/>
    </row>
    <row r="18" spans="1:5" ht="18.75">
      <c r="A18" s="289" t="s">
        <v>1110</v>
      </c>
      <c r="B18" s="289"/>
      <c r="C18" s="289"/>
      <c r="D18" s="289"/>
      <c r="E18" s="94"/>
    </row>
    <row r="19" spans="1:5">
      <c r="A19" s="80"/>
      <c r="B19" s="80"/>
      <c r="C19" s="80"/>
      <c r="D19" s="80"/>
      <c r="E19" s="80"/>
    </row>
    <row r="20" spans="1:5">
      <c r="A20" s="80"/>
      <c r="B20" s="80"/>
      <c r="C20" s="80"/>
      <c r="D20" s="80"/>
      <c r="E20" s="80"/>
    </row>
    <row r="21" spans="1:5">
      <c r="A21" s="80"/>
      <c r="B21" s="80"/>
      <c r="C21" s="80"/>
      <c r="D21" s="80"/>
      <c r="E21" s="19" t="s">
        <v>1111</v>
      </c>
    </row>
    <row r="22" spans="1:5">
      <c r="A22" s="80"/>
      <c r="B22" s="80"/>
      <c r="C22" s="80"/>
      <c r="D22" s="80"/>
      <c r="E22" s="19" t="s">
        <v>1113</v>
      </c>
    </row>
  </sheetData>
  <mergeCells count="5">
    <mergeCell ref="A1:E1"/>
    <mergeCell ref="A2:E2"/>
    <mergeCell ref="A3:E3"/>
    <mergeCell ref="A17:D17"/>
    <mergeCell ref="A18:D18"/>
  </mergeCells>
  <pageMargins left="0.7" right="0.7" top="0.75" bottom="0.75" header="0.3" footer="0.3"/>
  <pageSetup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Booth detail</vt:lpstr>
      <vt:lpstr>Candidate List</vt:lpstr>
      <vt:lpstr>Constiuence</vt:lpstr>
      <vt:lpstr>Total Round</vt:lpstr>
      <vt:lpstr>p-20 Hindi</vt:lpstr>
      <vt:lpstr>17G-1</vt:lpstr>
      <vt:lpstr>17G-2</vt:lpstr>
      <vt:lpstr>PB-2</vt:lpstr>
      <vt:lpstr>All Data</vt:lpstr>
      <vt:lpstr>Praroop-20 hindi</vt:lpstr>
      <vt:lpstr>Sheet1</vt:lpstr>
      <vt:lpstr>PB</vt:lpstr>
      <vt:lpstr>PB-1</vt:lpstr>
      <vt:lpstr>Constiuence!Print_Area</vt:lpstr>
      <vt:lpstr>'Praroop-20 hindi'!Print_Titles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2022-03-21T08:21:19Z</dcterms:modified>
</cp:coreProperties>
</file>