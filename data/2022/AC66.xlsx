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7860" tabRatio="810" firstSheet="3" activeTab="9"/>
  </bookViews>
  <sheets>
    <sheet name="POSTAL BALLOT H" sheetId="8" r:id="rId1"/>
    <sheet name="POSTAL BALLOT 1 (2)" sheetId="7" r:id="rId2"/>
    <sheet name="POSTAL BALLOT 1" sheetId="6" r:id="rId3"/>
    <sheet name="PRARUP- 17G- 2" sheetId="4" r:id="rId4"/>
    <sheet name="PRARUP- 17G- 1" sheetId="3" r:id="rId5"/>
    <sheet name="Refer Para 27" sheetId="1" r:id="rId6"/>
    <sheet name="round-wise" sheetId="2" r:id="rId7"/>
    <sheet name="66 SYANA PRAROOP-20" sheetId="9" r:id="rId8"/>
    <sheet name="66 SYANA RESULT BUTH WISE-2022" sheetId="5" r:id="rId9"/>
    <sheet name="All Data" sheetId="15" r:id="rId10"/>
    <sheet name="Annexure-A" sheetId="10" r:id="rId11"/>
    <sheet name="Annexure-B" sheetId="11" r:id="rId12"/>
    <sheet name="Annexure- C" sheetId="12" r:id="rId13"/>
    <sheet name="Annexure- D" sheetId="13" r:id="rId14"/>
    <sheet name="Annexure- E" sheetId="14" r:id="rId15"/>
  </sheets>
  <definedNames>
    <definedName name="_xlnm._FilterDatabase" localSheetId="9" hidden="1">'All Data'!$A$1:$AJ$445</definedName>
    <definedName name="_xlnm._FilterDatabase" localSheetId="12" hidden="1">'Annexure- C'!$A$4:$H$5</definedName>
    <definedName name="_xlnm._FilterDatabase" localSheetId="13" hidden="1">'Annexure- D'!$A$14:$E$23</definedName>
    <definedName name="_xlnm._FilterDatabase" localSheetId="14" hidden="1">'Annexure- E'!#REF!</definedName>
    <definedName name="_xlnm._FilterDatabase" localSheetId="10" hidden="1">'Annexure-A'!$A$4:$H$5</definedName>
    <definedName name="_xlnm._FilterDatabase" localSheetId="11" hidden="1">'Annexure-B'!$A$5:$H$6</definedName>
    <definedName name="_xlnm._FilterDatabase" localSheetId="5" hidden="1">'Refer Para 27'!$A$7:$P$7</definedName>
    <definedName name="_xlnm.Print_Area" localSheetId="13">'Annexure- D'!$A$1:$E$45</definedName>
    <definedName name="_xlnm.Print_Titles" localSheetId="7">'66 SYANA PRAROOP-20'!$7:$7</definedName>
    <definedName name="_xlnm.Print_Titles" localSheetId="8">'66 SYANA RESULT BUTH WISE-2022'!$5:$6</definedName>
    <definedName name="_xlnm.Print_Titles" localSheetId="9">'All Data'!$4:$6</definedName>
    <definedName name="_xlnm.Print_Titles" localSheetId="12">'Annexure- C'!$3:$3</definedName>
    <definedName name="_xlnm.Print_Titles" localSheetId="11">'Annexure-B'!$1:$1</definedName>
    <definedName name="_xlnm.Print_Titles" localSheetId="6">'round-wise'!$1:$8</definedName>
  </definedNames>
  <calcPr calcId="124519"/>
</workbook>
</file>

<file path=xl/calcChain.xml><?xml version="1.0" encoding="utf-8"?>
<calcChain xmlns="http://schemas.openxmlformats.org/spreadsheetml/2006/main">
  <c r="M446" i="5"/>
  <c r="K447" i="9"/>
  <c r="N447" s="1"/>
  <c r="L446"/>
  <c r="L448" s="1"/>
  <c r="L42" i="2"/>
  <c r="N42" s="1"/>
  <c r="D16" i="13"/>
  <c r="D17"/>
  <c r="D18"/>
  <c r="D19"/>
  <c r="D20"/>
  <c r="D21"/>
  <c r="D22"/>
  <c r="D23"/>
  <c r="D15"/>
  <c r="C24"/>
  <c r="Q445" i="5"/>
  <c r="Q447" s="1"/>
  <c r="O446"/>
  <c r="E147" i="9"/>
  <c r="I133"/>
  <c r="C36"/>
  <c r="Q13" i="1"/>
  <c r="M445" i="9"/>
  <c r="O444" i="5" s="1"/>
  <c r="M444" i="9"/>
  <c r="O443" i="5" s="1"/>
  <c r="M443" i="9"/>
  <c r="O442" i="5" s="1"/>
  <c r="M442" i="9"/>
  <c r="O441" i="5" s="1"/>
  <c r="M441" i="9"/>
  <c r="O440" i="5" s="1"/>
  <c r="M440" i="9"/>
  <c r="O439" i="5" s="1"/>
  <c r="M439" i="9"/>
  <c r="O438" i="5" s="1"/>
  <c r="M438" i="9"/>
  <c r="O437" i="5" s="1"/>
  <c r="M437" i="9"/>
  <c r="O436" i="5" s="1"/>
  <c r="M436" i="9"/>
  <c r="O435" i="5" s="1"/>
  <c r="M435" i="9"/>
  <c r="O434" i="5" s="1"/>
  <c r="M434" i="9"/>
  <c r="O433" i="5" s="1"/>
  <c r="M433" i="9"/>
  <c r="O432" i="5" s="1"/>
  <c r="M432" i="9"/>
  <c r="O431" i="5" s="1"/>
  <c r="M431" i="9"/>
  <c r="O430" i="5" s="1"/>
  <c r="M430" i="9"/>
  <c r="O429" i="5" s="1"/>
  <c r="M429" i="9"/>
  <c r="O428" i="5" s="1"/>
  <c r="M428" i="9"/>
  <c r="O427" i="5" s="1"/>
  <c r="M427" i="9"/>
  <c r="O426" i="5" s="1"/>
  <c r="M426" i="9"/>
  <c r="O425" i="5" s="1"/>
  <c r="M425" i="9"/>
  <c r="O424" i="5" s="1"/>
  <c r="M424" i="9"/>
  <c r="O423" i="5" s="1"/>
  <c r="M423" i="9"/>
  <c r="O422" i="5" s="1"/>
  <c r="M422" i="9"/>
  <c r="O421" i="5" s="1"/>
  <c r="M421" i="9"/>
  <c r="O420" i="5" s="1"/>
  <c r="M420" i="9"/>
  <c r="O419" i="5" s="1"/>
  <c r="M419" i="9"/>
  <c r="O418" i="5" s="1"/>
  <c r="M418" i="9"/>
  <c r="O417" i="5" s="1"/>
  <c r="M417" i="9"/>
  <c r="O416" i="5" s="1"/>
  <c r="M416" i="9"/>
  <c r="O415" i="5" s="1"/>
  <c r="M415" i="9"/>
  <c r="O414" i="5" s="1"/>
  <c r="M414" i="9"/>
  <c r="O413" i="5" s="1"/>
  <c r="M413" i="9"/>
  <c r="O412" i="5" s="1"/>
  <c r="M412" i="9"/>
  <c r="O411" i="5" s="1"/>
  <c r="M411" i="9"/>
  <c r="O410" i="5" s="1"/>
  <c r="M410" i="9"/>
  <c r="O409" i="5" s="1"/>
  <c r="M409" i="9"/>
  <c r="O408" i="5" s="1"/>
  <c r="M408" i="9"/>
  <c r="O407" i="5" s="1"/>
  <c r="M407" i="9"/>
  <c r="O406" i="5" s="1"/>
  <c r="M406" i="9"/>
  <c r="O405" i="5" s="1"/>
  <c r="M405" i="9"/>
  <c r="O404" i="5" s="1"/>
  <c r="M404" i="9"/>
  <c r="O403" i="5" s="1"/>
  <c r="M403" i="9"/>
  <c r="O402" i="5" s="1"/>
  <c r="M402" i="9"/>
  <c r="O401" i="5" s="1"/>
  <c r="M401" i="9"/>
  <c r="O400" i="5" s="1"/>
  <c r="M400" i="9"/>
  <c r="O399" i="5" s="1"/>
  <c r="M399" i="9"/>
  <c r="O398" i="5" s="1"/>
  <c r="M398" i="9"/>
  <c r="O397" i="5" s="1"/>
  <c r="M397" i="9"/>
  <c r="O396" i="5" s="1"/>
  <c r="M396" i="9"/>
  <c r="O395" i="5" s="1"/>
  <c r="M395" i="9"/>
  <c r="O394" i="5" s="1"/>
  <c r="M394" i="9"/>
  <c r="O393" i="5" s="1"/>
  <c r="M393" i="9"/>
  <c r="O392" i="5" s="1"/>
  <c r="M392" i="9"/>
  <c r="O391" i="5" s="1"/>
  <c r="M391" i="9"/>
  <c r="O390" i="5" s="1"/>
  <c r="M390" i="9"/>
  <c r="O389" i="5" s="1"/>
  <c r="M389" i="9"/>
  <c r="O388" i="5" s="1"/>
  <c r="M388" i="9"/>
  <c r="O387" i="5" s="1"/>
  <c r="M387" i="9"/>
  <c r="O386" i="5" s="1"/>
  <c r="M386" i="9"/>
  <c r="O385" i="5" s="1"/>
  <c r="M385" i="9"/>
  <c r="O384" i="5" s="1"/>
  <c r="M384" i="9"/>
  <c r="O383" i="5" s="1"/>
  <c r="M383" i="9"/>
  <c r="O382" i="5" s="1"/>
  <c r="M382" i="9"/>
  <c r="O381" i="5" s="1"/>
  <c r="M381" i="9"/>
  <c r="O380" i="5" s="1"/>
  <c r="M380" i="9"/>
  <c r="O379" i="5" s="1"/>
  <c r="M379" i="9"/>
  <c r="O378" i="5" s="1"/>
  <c r="M378" i="9"/>
  <c r="O377" i="5" s="1"/>
  <c r="M377" i="9"/>
  <c r="O376" i="5" s="1"/>
  <c r="M376" i="9"/>
  <c r="O375" i="5" s="1"/>
  <c r="M375" i="9"/>
  <c r="O374" i="5" s="1"/>
  <c r="M374" i="9"/>
  <c r="O373" i="5" s="1"/>
  <c r="M373" i="9"/>
  <c r="O372" i="5" s="1"/>
  <c r="M372" i="9"/>
  <c r="O371" i="5" s="1"/>
  <c r="M371" i="9"/>
  <c r="O370" i="5" s="1"/>
  <c r="M370" i="9"/>
  <c r="O369" i="5" s="1"/>
  <c r="M369" i="9"/>
  <c r="O368" i="5" s="1"/>
  <c r="M368" i="9"/>
  <c r="O367" i="5" s="1"/>
  <c r="M367" i="9"/>
  <c r="O366" i="5" s="1"/>
  <c r="M366" i="9"/>
  <c r="O365" i="5" s="1"/>
  <c r="M365" i="9"/>
  <c r="O364" i="5" s="1"/>
  <c r="M364" i="9"/>
  <c r="O363" i="5" s="1"/>
  <c r="M363" i="9"/>
  <c r="O362" i="5" s="1"/>
  <c r="M362" i="9"/>
  <c r="O361" i="5" s="1"/>
  <c r="M361" i="9"/>
  <c r="O360" i="5" s="1"/>
  <c r="M360" i="9"/>
  <c r="O359" i="5" s="1"/>
  <c r="M359" i="9"/>
  <c r="O358" i="5" s="1"/>
  <c r="M358" i="9"/>
  <c r="O357" i="5" s="1"/>
  <c r="M357" i="9"/>
  <c r="O356" i="5" s="1"/>
  <c r="M356" i="9"/>
  <c r="O355" i="5" s="1"/>
  <c r="M355" i="9"/>
  <c r="O354" i="5" s="1"/>
  <c r="M354" i="9"/>
  <c r="O353" i="5" s="1"/>
  <c r="M353" i="9"/>
  <c r="O352" i="5" s="1"/>
  <c r="M352" i="9"/>
  <c r="O351" i="5" s="1"/>
  <c r="M351" i="9"/>
  <c r="O350" i="5" s="1"/>
  <c r="M350" i="9"/>
  <c r="O349" i="5" s="1"/>
  <c r="M349" i="9"/>
  <c r="O348" i="5" s="1"/>
  <c r="M348" i="9"/>
  <c r="O347" i="5" s="1"/>
  <c r="M347" i="9"/>
  <c r="O346" i="5" s="1"/>
  <c r="M346" i="9"/>
  <c r="O345" i="5" s="1"/>
  <c r="M345" i="9"/>
  <c r="O344" i="5" s="1"/>
  <c r="M344" i="9"/>
  <c r="O343" i="5" s="1"/>
  <c r="M343" i="9"/>
  <c r="O342" i="5" s="1"/>
  <c r="M342" i="9"/>
  <c r="O341" i="5" s="1"/>
  <c r="M341" i="9"/>
  <c r="O340" i="5" s="1"/>
  <c r="M340" i="9"/>
  <c r="O339" i="5" s="1"/>
  <c r="M339" i="9"/>
  <c r="O338" i="5" s="1"/>
  <c r="M338" i="9"/>
  <c r="O337" i="5" s="1"/>
  <c r="M337" i="9"/>
  <c r="O336" i="5" s="1"/>
  <c r="M336" i="9"/>
  <c r="O335" i="5" s="1"/>
  <c r="M335" i="9"/>
  <c r="O334" i="5" s="1"/>
  <c r="M334" i="9"/>
  <c r="O333" i="5" s="1"/>
  <c r="M333" i="9"/>
  <c r="O332" i="5" s="1"/>
  <c r="M332" i="9"/>
  <c r="O331" i="5" s="1"/>
  <c r="M331" i="9"/>
  <c r="O330" i="5" s="1"/>
  <c r="M330" i="9"/>
  <c r="O329" i="5" s="1"/>
  <c r="M329" i="9"/>
  <c r="O328" i="5" s="1"/>
  <c r="M328" i="9"/>
  <c r="O327" i="5" s="1"/>
  <c r="M327" i="9"/>
  <c r="O326" i="5" s="1"/>
  <c r="M326" i="9"/>
  <c r="O325" i="5" s="1"/>
  <c r="M325" i="9"/>
  <c r="O324" i="5" s="1"/>
  <c r="M324" i="9"/>
  <c r="O323" i="5" s="1"/>
  <c r="M323" i="9"/>
  <c r="O322" i="5" s="1"/>
  <c r="M322" i="9"/>
  <c r="O321" i="5" s="1"/>
  <c r="M321" i="9"/>
  <c r="O320" i="5" s="1"/>
  <c r="M320" i="9"/>
  <c r="O319" i="5" s="1"/>
  <c r="M319" i="9"/>
  <c r="O318" i="5" s="1"/>
  <c r="M318" i="9"/>
  <c r="O317" i="5" s="1"/>
  <c r="M317" i="9"/>
  <c r="O316" i="5" s="1"/>
  <c r="M316" i="9"/>
  <c r="O315" i="5" s="1"/>
  <c r="M315" i="9"/>
  <c r="O314" i="5" s="1"/>
  <c r="M314" i="9"/>
  <c r="O313" i="5" s="1"/>
  <c r="M313" i="9"/>
  <c r="O312" i="5" s="1"/>
  <c r="M312" i="9"/>
  <c r="O311" i="5" s="1"/>
  <c r="M311" i="9"/>
  <c r="O310" i="5" s="1"/>
  <c r="M310" i="9"/>
  <c r="O309" i="5" s="1"/>
  <c r="M309" i="9"/>
  <c r="O308" i="5" s="1"/>
  <c r="M308" i="9"/>
  <c r="O307" i="5" s="1"/>
  <c r="M307" i="9"/>
  <c r="O306" i="5" s="1"/>
  <c r="M306" i="9"/>
  <c r="O305" i="5" s="1"/>
  <c r="M305" i="9"/>
  <c r="O304" i="5" s="1"/>
  <c r="M304" i="9"/>
  <c r="O303" i="5" s="1"/>
  <c r="M303" i="9"/>
  <c r="O302" i="5" s="1"/>
  <c r="M302" i="9"/>
  <c r="O301" i="5" s="1"/>
  <c r="M301" i="9"/>
  <c r="O300" i="5" s="1"/>
  <c r="M300" i="9"/>
  <c r="O299" i="5" s="1"/>
  <c r="M299" i="9"/>
  <c r="O298" i="5" s="1"/>
  <c r="M298" i="9"/>
  <c r="O297" i="5" s="1"/>
  <c r="M297" i="9"/>
  <c r="O296" i="5" s="1"/>
  <c r="M296" i="9"/>
  <c r="O295" i="5" s="1"/>
  <c r="M295" i="9"/>
  <c r="O294" i="5" s="1"/>
  <c r="M294" i="9"/>
  <c r="O293" i="5" s="1"/>
  <c r="M293" i="9"/>
  <c r="O292" i="5" s="1"/>
  <c r="M292" i="9"/>
  <c r="O291" i="5" s="1"/>
  <c r="M291" i="9"/>
  <c r="O290" i="5" s="1"/>
  <c r="M290" i="9"/>
  <c r="O289" i="5" s="1"/>
  <c r="M289" i="9"/>
  <c r="O288" i="5" s="1"/>
  <c r="M288" i="9"/>
  <c r="O287" i="5" s="1"/>
  <c r="M287" i="9"/>
  <c r="O286" i="5" s="1"/>
  <c r="M286" i="9"/>
  <c r="O285" i="5" s="1"/>
  <c r="M285" i="9"/>
  <c r="O284" i="5" s="1"/>
  <c r="M284" i="9"/>
  <c r="O283" i="5" s="1"/>
  <c r="M283" i="9"/>
  <c r="O282" i="5" s="1"/>
  <c r="M282" i="9"/>
  <c r="O281" i="5" s="1"/>
  <c r="M281" i="9"/>
  <c r="O280" i="5" s="1"/>
  <c r="M280" i="9"/>
  <c r="O279" i="5" s="1"/>
  <c r="M279" i="9"/>
  <c r="O278" i="5" s="1"/>
  <c r="M278" i="9"/>
  <c r="O277" i="5" s="1"/>
  <c r="M277" i="9"/>
  <c r="O276" i="5" s="1"/>
  <c r="M276" i="9"/>
  <c r="O275" i="5" s="1"/>
  <c r="M275" i="9"/>
  <c r="O274" i="5" s="1"/>
  <c r="M274" i="9"/>
  <c r="O273" i="5" s="1"/>
  <c r="M273" i="9"/>
  <c r="O272" i="5" s="1"/>
  <c r="M272" i="9"/>
  <c r="O271" i="5" s="1"/>
  <c r="M271" i="9"/>
  <c r="O270" i="5" s="1"/>
  <c r="M270" i="9"/>
  <c r="O269" i="5" s="1"/>
  <c r="M269" i="9"/>
  <c r="O268" i="5" s="1"/>
  <c r="M268" i="9"/>
  <c r="O267" i="5" s="1"/>
  <c r="M267" i="9"/>
  <c r="O266" i="5" s="1"/>
  <c r="M266" i="9"/>
  <c r="O265" i="5" s="1"/>
  <c r="M265" i="9"/>
  <c r="O264" i="5" s="1"/>
  <c r="M264" i="9"/>
  <c r="O263" i="5" s="1"/>
  <c r="M263" i="9"/>
  <c r="O262" i="5" s="1"/>
  <c r="M262" i="9"/>
  <c r="O261" i="5" s="1"/>
  <c r="M261" i="9"/>
  <c r="O260" i="5" s="1"/>
  <c r="M260" i="9"/>
  <c r="O259" i="5" s="1"/>
  <c r="M259" i="9"/>
  <c r="O258" i="5" s="1"/>
  <c r="M258" i="9"/>
  <c r="O257" i="5" s="1"/>
  <c r="M257" i="9"/>
  <c r="O256" i="5" s="1"/>
  <c r="M256" i="9"/>
  <c r="O255" i="5" s="1"/>
  <c r="M255" i="9"/>
  <c r="O254" i="5" s="1"/>
  <c r="M254" i="9"/>
  <c r="O253" i="5" s="1"/>
  <c r="M253" i="9"/>
  <c r="O252" i="5" s="1"/>
  <c r="M252" i="9"/>
  <c r="O251" i="5" s="1"/>
  <c r="M251" i="9"/>
  <c r="O250" i="5" s="1"/>
  <c r="M250" i="9"/>
  <c r="O249" i="5" s="1"/>
  <c r="M249" i="9"/>
  <c r="O248" i="5" s="1"/>
  <c r="M248" i="9"/>
  <c r="O247" i="5" s="1"/>
  <c r="M247" i="9"/>
  <c r="O246" i="5" s="1"/>
  <c r="M246" i="9"/>
  <c r="O245" i="5" s="1"/>
  <c r="M245" i="9"/>
  <c r="O244" i="5" s="1"/>
  <c r="M244" i="9"/>
  <c r="O243" i="5" s="1"/>
  <c r="M243" i="9"/>
  <c r="O242" i="5" s="1"/>
  <c r="M242" i="9"/>
  <c r="O241" i="5" s="1"/>
  <c r="M241" i="9"/>
  <c r="O240" i="5" s="1"/>
  <c r="M240" i="9"/>
  <c r="O239" i="5" s="1"/>
  <c r="M239" i="9"/>
  <c r="O238" i="5" s="1"/>
  <c r="M238" i="9"/>
  <c r="O237" i="5" s="1"/>
  <c r="M237" i="9"/>
  <c r="O236" i="5" s="1"/>
  <c r="M236" i="9"/>
  <c r="O235" i="5" s="1"/>
  <c r="M235" i="9"/>
  <c r="O234" i="5" s="1"/>
  <c r="M234" i="9"/>
  <c r="O233" i="5" s="1"/>
  <c r="M233" i="9"/>
  <c r="O232" i="5" s="1"/>
  <c r="M232" i="9"/>
  <c r="O231" i="5" s="1"/>
  <c r="M231" i="9"/>
  <c r="O230" i="5" s="1"/>
  <c r="M230" i="9"/>
  <c r="O229" i="5" s="1"/>
  <c r="M229" i="9"/>
  <c r="O228" i="5" s="1"/>
  <c r="M228" i="9"/>
  <c r="O227" i="5" s="1"/>
  <c r="M227" i="9"/>
  <c r="O226" i="5" s="1"/>
  <c r="M226" i="9"/>
  <c r="O225" i="5" s="1"/>
  <c r="M225" i="9"/>
  <c r="O224" i="5" s="1"/>
  <c r="M224" i="9"/>
  <c r="O223" i="5" s="1"/>
  <c r="M223" i="9"/>
  <c r="O222" i="5" s="1"/>
  <c r="M222" i="9"/>
  <c r="O221" i="5" s="1"/>
  <c r="M221" i="9"/>
  <c r="O220" i="5" s="1"/>
  <c r="M220" i="9"/>
  <c r="O219" i="5" s="1"/>
  <c r="M219" i="9"/>
  <c r="O218" i="5" s="1"/>
  <c r="M218" i="9"/>
  <c r="O217" i="5" s="1"/>
  <c r="M217" i="9"/>
  <c r="O216" i="5" s="1"/>
  <c r="M216" i="9"/>
  <c r="O215" i="5" s="1"/>
  <c r="M215" i="9"/>
  <c r="O214" i="5" s="1"/>
  <c r="M214" i="9"/>
  <c r="O213" i="5" s="1"/>
  <c r="M213" i="9"/>
  <c r="O212" i="5" s="1"/>
  <c r="M212" i="9"/>
  <c r="O211" i="5" s="1"/>
  <c r="M211" i="9"/>
  <c r="O210" i="5" s="1"/>
  <c r="M210" i="9"/>
  <c r="O209" i="5" s="1"/>
  <c r="M209" i="9"/>
  <c r="O208" i="5" s="1"/>
  <c r="M208" i="9"/>
  <c r="O207" i="5" s="1"/>
  <c r="M207" i="9"/>
  <c r="O206" i="5" s="1"/>
  <c r="M206" i="9"/>
  <c r="O205" i="5" s="1"/>
  <c r="M205" i="9"/>
  <c r="O204" i="5" s="1"/>
  <c r="M204" i="9"/>
  <c r="O203" i="5" s="1"/>
  <c r="M203" i="9"/>
  <c r="O202" i="5" s="1"/>
  <c r="M202" i="9"/>
  <c r="O201" i="5" s="1"/>
  <c r="M201" i="9"/>
  <c r="O200" i="5" s="1"/>
  <c r="M200" i="9"/>
  <c r="O199" i="5" s="1"/>
  <c r="M199" i="9"/>
  <c r="O198" i="5" s="1"/>
  <c r="M198" i="9"/>
  <c r="O197" i="5" s="1"/>
  <c r="M197" i="9"/>
  <c r="O196" i="5" s="1"/>
  <c r="M196" i="9"/>
  <c r="O195" i="5" s="1"/>
  <c r="M195" i="9"/>
  <c r="O194" i="5" s="1"/>
  <c r="M194" i="9"/>
  <c r="O193" i="5" s="1"/>
  <c r="M193" i="9"/>
  <c r="O192" i="5" s="1"/>
  <c r="M192" i="9"/>
  <c r="O191" i="5" s="1"/>
  <c r="M191" i="9"/>
  <c r="O190" i="5" s="1"/>
  <c r="M190" i="9"/>
  <c r="O189" i="5" s="1"/>
  <c r="M189" i="9"/>
  <c r="O188" i="5" s="1"/>
  <c r="M188" i="9"/>
  <c r="O187" i="5" s="1"/>
  <c r="M187" i="9"/>
  <c r="O186" i="5" s="1"/>
  <c r="M186" i="9"/>
  <c r="O185" i="5" s="1"/>
  <c r="M185" i="9"/>
  <c r="O184" i="5" s="1"/>
  <c r="M184" i="9"/>
  <c r="O183" i="5" s="1"/>
  <c r="M183" i="9"/>
  <c r="O182" i="5" s="1"/>
  <c r="M182" i="9"/>
  <c r="O181" i="5" s="1"/>
  <c r="M181" i="9"/>
  <c r="O180" i="5" s="1"/>
  <c r="M180" i="9"/>
  <c r="O179" i="5" s="1"/>
  <c r="M179" i="9"/>
  <c r="O178" i="5" s="1"/>
  <c r="M178" i="9"/>
  <c r="O177" i="5" s="1"/>
  <c r="M177" i="9"/>
  <c r="O176" i="5" s="1"/>
  <c r="M176" i="9"/>
  <c r="O175" i="5" s="1"/>
  <c r="M175" i="9"/>
  <c r="O174" i="5" s="1"/>
  <c r="M174" i="9"/>
  <c r="O173" i="5" s="1"/>
  <c r="M173" i="9"/>
  <c r="O172" i="5" s="1"/>
  <c r="M172" i="9"/>
  <c r="O171" i="5" s="1"/>
  <c r="M171" i="9"/>
  <c r="O170" i="5" s="1"/>
  <c r="M170" i="9"/>
  <c r="O169" i="5" s="1"/>
  <c r="M169" i="9"/>
  <c r="O168" i="5" s="1"/>
  <c r="M168" i="9"/>
  <c r="O167" i="5" s="1"/>
  <c r="M167" i="9"/>
  <c r="O166" i="5" s="1"/>
  <c r="M166" i="9"/>
  <c r="O165" i="5" s="1"/>
  <c r="M165" i="9"/>
  <c r="O164" i="5" s="1"/>
  <c r="M164" i="9"/>
  <c r="O163" i="5" s="1"/>
  <c r="M163" i="9"/>
  <c r="O162" i="5" s="1"/>
  <c r="M162" i="9"/>
  <c r="O161" i="5" s="1"/>
  <c r="M161" i="9"/>
  <c r="O160" i="5" s="1"/>
  <c r="M160" i="9"/>
  <c r="O159" i="5" s="1"/>
  <c r="M159" i="9"/>
  <c r="O158" i="5" s="1"/>
  <c r="M158" i="9"/>
  <c r="O157" i="5" s="1"/>
  <c r="M157" i="9"/>
  <c r="O156" i="5" s="1"/>
  <c r="M156" i="9"/>
  <c r="O155" i="5" s="1"/>
  <c r="M155" i="9"/>
  <c r="O154" i="5" s="1"/>
  <c r="M154" i="9"/>
  <c r="O153" i="5" s="1"/>
  <c r="M153" i="9"/>
  <c r="O152" i="5" s="1"/>
  <c r="M152" i="9"/>
  <c r="O151" i="5" s="1"/>
  <c r="M151" i="9"/>
  <c r="O150" i="5" s="1"/>
  <c r="M150" i="9"/>
  <c r="O149" i="5" s="1"/>
  <c r="M149" i="9"/>
  <c r="O148" i="5" s="1"/>
  <c r="M148" i="9"/>
  <c r="O147" i="5" s="1"/>
  <c r="M147" i="9"/>
  <c r="O146" i="5" s="1"/>
  <c r="M146" i="9"/>
  <c r="O145" i="5" s="1"/>
  <c r="M145" i="9"/>
  <c r="O144" i="5" s="1"/>
  <c r="M144" i="9"/>
  <c r="O143" i="5" s="1"/>
  <c r="M143" i="9"/>
  <c r="O142" i="5" s="1"/>
  <c r="M142" i="9"/>
  <c r="O141" i="5" s="1"/>
  <c r="M141" i="9"/>
  <c r="O140" i="5" s="1"/>
  <c r="M140" i="9"/>
  <c r="O139" i="5" s="1"/>
  <c r="M139" i="9"/>
  <c r="O138" i="5" s="1"/>
  <c r="M138" i="9"/>
  <c r="O137" i="5" s="1"/>
  <c r="M137" i="9"/>
  <c r="O136" i="5" s="1"/>
  <c r="M136" i="9"/>
  <c r="O135" i="5" s="1"/>
  <c r="M135" i="9"/>
  <c r="O134" i="5" s="1"/>
  <c r="M134" i="9"/>
  <c r="O133" i="5" s="1"/>
  <c r="M133" i="9"/>
  <c r="O132" i="5" s="1"/>
  <c r="M132" i="9"/>
  <c r="O131" i="5" s="1"/>
  <c r="M131" i="9"/>
  <c r="O130" i="5" s="1"/>
  <c r="M130" i="9"/>
  <c r="O129" i="5" s="1"/>
  <c r="M129" i="9"/>
  <c r="O128" i="5" s="1"/>
  <c r="M128" i="9"/>
  <c r="O127" i="5" s="1"/>
  <c r="M127" i="9"/>
  <c r="O126" i="5" s="1"/>
  <c r="M126" i="9"/>
  <c r="O125" i="5" s="1"/>
  <c r="M125" i="9"/>
  <c r="O124" i="5" s="1"/>
  <c r="M124" i="9"/>
  <c r="O123" i="5" s="1"/>
  <c r="M123" i="9"/>
  <c r="O122" i="5" s="1"/>
  <c r="M122" i="9"/>
  <c r="O121" i="5" s="1"/>
  <c r="M121" i="9"/>
  <c r="O120" i="5" s="1"/>
  <c r="M120" i="9"/>
  <c r="O119" i="5" s="1"/>
  <c r="M119" i="9"/>
  <c r="O118" i="5" s="1"/>
  <c r="M118" i="9"/>
  <c r="O117" i="5" s="1"/>
  <c r="M117" i="9"/>
  <c r="O116" i="5" s="1"/>
  <c r="M116" i="9"/>
  <c r="O115" i="5" s="1"/>
  <c r="M115" i="9"/>
  <c r="O114" i="5" s="1"/>
  <c r="M114" i="9"/>
  <c r="O113" i="5" s="1"/>
  <c r="M113" i="9"/>
  <c r="O112" i="5" s="1"/>
  <c r="M112" i="9"/>
  <c r="O111" i="5" s="1"/>
  <c r="M111" i="9"/>
  <c r="O110" i="5" s="1"/>
  <c r="M110" i="9"/>
  <c r="O109" i="5" s="1"/>
  <c r="M109" i="9"/>
  <c r="O108" i="5" s="1"/>
  <c r="M108" i="9"/>
  <c r="O107" i="5" s="1"/>
  <c r="M107" i="9"/>
  <c r="O106" i="5" s="1"/>
  <c r="M106" i="9"/>
  <c r="O105" i="5" s="1"/>
  <c r="M105" i="9"/>
  <c r="O104" i="5" s="1"/>
  <c r="M104" i="9"/>
  <c r="O103" i="5" s="1"/>
  <c r="M103" i="9"/>
  <c r="O102" i="5" s="1"/>
  <c r="M102" i="9"/>
  <c r="O101" i="5" s="1"/>
  <c r="M101" i="9"/>
  <c r="O100" i="5" s="1"/>
  <c r="M100" i="9"/>
  <c r="O99" i="5" s="1"/>
  <c r="M99" i="9"/>
  <c r="O98" i="5" s="1"/>
  <c r="M98" i="9"/>
  <c r="O97" i="5" s="1"/>
  <c r="M97" i="9"/>
  <c r="O96" i="5" s="1"/>
  <c r="M96" i="9"/>
  <c r="O95" i="5" s="1"/>
  <c r="M95" i="9"/>
  <c r="O94" i="5" s="1"/>
  <c r="M94" i="9"/>
  <c r="O93" i="5" s="1"/>
  <c r="M93" i="9"/>
  <c r="O92" i="5" s="1"/>
  <c r="M92" i="9"/>
  <c r="O91" i="5" s="1"/>
  <c r="M91" i="9"/>
  <c r="O90" i="5" s="1"/>
  <c r="M90" i="9"/>
  <c r="O89" i="5" s="1"/>
  <c r="M89" i="9"/>
  <c r="O88" i="5" s="1"/>
  <c r="M88" i="9"/>
  <c r="O87" i="5" s="1"/>
  <c r="M87" i="9"/>
  <c r="O86" i="5" s="1"/>
  <c r="M86" i="9"/>
  <c r="O85" i="5" s="1"/>
  <c r="M85" i="9"/>
  <c r="O84" i="5" s="1"/>
  <c r="M84" i="9"/>
  <c r="O83" i="5" s="1"/>
  <c r="M83" i="9"/>
  <c r="O82" i="5" s="1"/>
  <c r="M82" i="9"/>
  <c r="O81" i="5" s="1"/>
  <c r="M81" i="9"/>
  <c r="O80" i="5" s="1"/>
  <c r="M80" i="9"/>
  <c r="O79" i="5" s="1"/>
  <c r="M79" i="9"/>
  <c r="O78" i="5" s="1"/>
  <c r="M78" i="9"/>
  <c r="O77" i="5" s="1"/>
  <c r="M77" i="9"/>
  <c r="O76" i="5" s="1"/>
  <c r="M76" i="9"/>
  <c r="O75" i="5" s="1"/>
  <c r="M75" i="9"/>
  <c r="O74" i="5" s="1"/>
  <c r="M74" i="9"/>
  <c r="O73" i="5" s="1"/>
  <c r="M73" i="9"/>
  <c r="O72" i="5" s="1"/>
  <c r="M72" i="9"/>
  <c r="O71" i="5" s="1"/>
  <c r="M71" i="9"/>
  <c r="O70" i="5" s="1"/>
  <c r="M70" i="9"/>
  <c r="O69" i="5" s="1"/>
  <c r="M69" i="9"/>
  <c r="O68" i="5" s="1"/>
  <c r="M68" i="9"/>
  <c r="O67" i="5" s="1"/>
  <c r="M67" i="9"/>
  <c r="O66" i="5" s="1"/>
  <c r="M66" i="9"/>
  <c r="O65" i="5" s="1"/>
  <c r="M65" i="9"/>
  <c r="O64" i="5" s="1"/>
  <c r="M64" i="9"/>
  <c r="O63" i="5" s="1"/>
  <c r="M63" i="9"/>
  <c r="O62" i="5" s="1"/>
  <c r="M62" i="9"/>
  <c r="O61" i="5" s="1"/>
  <c r="M61" i="9"/>
  <c r="O60" i="5" s="1"/>
  <c r="M60" i="9"/>
  <c r="O59" i="5" s="1"/>
  <c r="M59" i="9"/>
  <c r="O58" i="5" s="1"/>
  <c r="M58" i="9"/>
  <c r="O57" i="5" s="1"/>
  <c r="M57" i="9"/>
  <c r="O56" i="5" s="1"/>
  <c r="M56" i="9"/>
  <c r="O55" i="5" s="1"/>
  <c r="M55" i="9"/>
  <c r="O54" i="5" s="1"/>
  <c r="M54" i="9"/>
  <c r="O53" i="5" s="1"/>
  <c r="M53" i="9"/>
  <c r="O52" i="5" s="1"/>
  <c r="M52" i="9"/>
  <c r="O51" i="5" s="1"/>
  <c r="M51" i="9"/>
  <c r="O50" i="5" s="1"/>
  <c r="M50" i="9"/>
  <c r="O49" i="5" s="1"/>
  <c r="M49" i="9"/>
  <c r="O48" i="5" s="1"/>
  <c r="M48" i="9"/>
  <c r="O47" i="5" s="1"/>
  <c r="M47" i="9"/>
  <c r="O46" i="5" s="1"/>
  <c r="M46" i="9"/>
  <c r="O45" i="5" s="1"/>
  <c r="M45" i="9"/>
  <c r="O44" i="5" s="1"/>
  <c r="M44" i="9"/>
  <c r="O43" i="5" s="1"/>
  <c r="M43" i="9"/>
  <c r="O42" i="5" s="1"/>
  <c r="M42" i="9"/>
  <c r="O41" i="5" s="1"/>
  <c r="M41" i="9"/>
  <c r="O40" i="5" s="1"/>
  <c r="M40" i="9"/>
  <c r="O39" i="5" s="1"/>
  <c r="M39" i="9"/>
  <c r="O38" i="5" s="1"/>
  <c r="M38" i="9"/>
  <c r="O37" i="5" s="1"/>
  <c r="M37" i="9"/>
  <c r="O36" i="5" s="1"/>
  <c r="M36" i="9"/>
  <c r="O35" i="5" s="1"/>
  <c r="M35" i="9"/>
  <c r="O34" i="5" s="1"/>
  <c r="M34" i="9"/>
  <c r="O33" i="5" s="1"/>
  <c r="M33" i="9"/>
  <c r="O32" i="5" s="1"/>
  <c r="M32" i="9"/>
  <c r="O31" i="5" s="1"/>
  <c r="M31" i="9"/>
  <c r="O30" i="5" s="1"/>
  <c r="M30" i="9"/>
  <c r="O29" i="5" s="1"/>
  <c r="M29" i="9"/>
  <c r="O28" i="5" s="1"/>
  <c r="M28" i="9"/>
  <c r="O27" i="5" s="1"/>
  <c r="M27" i="9"/>
  <c r="O26" i="5" s="1"/>
  <c r="M26" i="9"/>
  <c r="O25" i="5" s="1"/>
  <c r="M25" i="9"/>
  <c r="O24" i="5" s="1"/>
  <c r="M24" i="9"/>
  <c r="O23" i="5" s="1"/>
  <c r="M23" i="9"/>
  <c r="O22" i="5" s="1"/>
  <c r="M22" i="9"/>
  <c r="O21" i="5" s="1"/>
  <c r="M21" i="9"/>
  <c r="O20" i="5" s="1"/>
  <c r="M20" i="9"/>
  <c r="O19" i="5" s="1"/>
  <c r="M19" i="9"/>
  <c r="O18" i="5" s="1"/>
  <c r="M18" i="9"/>
  <c r="O17" i="5" s="1"/>
  <c r="M17" i="9"/>
  <c r="O16" i="5" s="1"/>
  <c r="M16" i="9"/>
  <c r="O15" i="5" s="1"/>
  <c r="M15" i="9"/>
  <c r="O14" i="5" s="1"/>
  <c r="M14" i="9"/>
  <c r="O13" i="5" s="1"/>
  <c r="M13" i="9"/>
  <c r="O12" i="5" s="1"/>
  <c r="M12" i="9"/>
  <c r="O11" i="5" s="1"/>
  <c r="M11" i="9"/>
  <c r="O10" i="5" s="1"/>
  <c r="M10" i="9"/>
  <c r="O9" i="5" s="1"/>
  <c r="M9" i="9"/>
  <c r="O8" i="5" s="1"/>
  <c r="M8" i="9"/>
  <c r="O7" i="5" s="1"/>
  <c r="J442" i="9"/>
  <c r="J428"/>
  <c r="J414"/>
  <c r="J400"/>
  <c r="J386"/>
  <c r="J372"/>
  <c r="J358"/>
  <c r="J344"/>
  <c r="AH343" i="15" s="1"/>
  <c r="J330" i="9"/>
  <c r="J316"/>
  <c r="J302"/>
  <c r="J288"/>
  <c r="J274"/>
  <c r="J260"/>
  <c r="J246"/>
  <c r="J232"/>
  <c r="AH231" i="15" s="1"/>
  <c r="J218" i="9"/>
  <c r="J204"/>
  <c r="J190"/>
  <c r="J176"/>
  <c r="J162"/>
  <c r="J148"/>
  <c r="J134"/>
  <c r="J120"/>
  <c r="J106"/>
  <c r="J92"/>
  <c r="J78"/>
  <c r="J64"/>
  <c r="AH63" i="15" s="1"/>
  <c r="J50" i="9"/>
  <c r="J36"/>
  <c r="AH35" i="15" s="1"/>
  <c r="J22" i="9"/>
  <c r="J8"/>
  <c r="L7" i="5" s="1"/>
  <c r="J9" i="9"/>
  <c r="J10"/>
  <c r="J11"/>
  <c r="L10" i="5" s="1"/>
  <c r="J12" i="9"/>
  <c r="J13"/>
  <c r="J14"/>
  <c r="J15"/>
  <c r="J16"/>
  <c r="J17"/>
  <c r="J18"/>
  <c r="J19"/>
  <c r="J20"/>
  <c r="J21"/>
  <c r="AH20" i="15" s="1"/>
  <c r="J23" i="9"/>
  <c r="J24"/>
  <c r="J25"/>
  <c r="J26"/>
  <c r="J27"/>
  <c r="J28"/>
  <c r="J29"/>
  <c r="J30"/>
  <c r="AH29" i="15" s="1"/>
  <c r="J31" i="9"/>
  <c r="J32"/>
  <c r="J33"/>
  <c r="J34"/>
  <c r="J35"/>
  <c r="J37"/>
  <c r="J38"/>
  <c r="AH37" i="15" s="1"/>
  <c r="J39" i="9"/>
  <c r="J40"/>
  <c r="AH39" i="15" s="1"/>
  <c r="J41" i="9"/>
  <c r="J42"/>
  <c r="AH41" i="15" s="1"/>
  <c r="J43" i="9"/>
  <c r="J44"/>
  <c r="AH43" i="15" s="1"/>
  <c r="J45" i="9"/>
  <c r="J46"/>
  <c r="J47"/>
  <c r="AH46" i="15" s="1"/>
  <c r="J48" i="9"/>
  <c r="AH47" i="15" s="1"/>
  <c r="J49" i="9"/>
  <c r="J51"/>
  <c r="J52"/>
  <c r="L51" i="5" s="1"/>
  <c r="J53" i="9"/>
  <c r="J54"/>
  <c r="J55"/>
  <c r="J56"/>
  <c r="J57"/>
  <c r="J58"/>
  <c r="J59"/>
  <c r="J60"/>
  <c r="J61"/>
  <c r="J62"/>
  <c r="J63"/>
  <c r="J65"/>
  <c r="AH64" i="15" s="1"/>
  <c r="J66" i="9"/>
  <c r="J67"/>
  <c r="J68"/>
  <c r="AH67" i="15" s="1"/>
  <c r="J69" i="9"/>
  <c r="AH68" i="15" s="1"/>
  <c r="J70" i="9"/>
  <c r="J71"/>
  <c r="J72"/>
  <c r="AH71" i="15" s="1"/>
  <c r="J73" i="9"/>
  <c r="AH72" i="15" s="1"/>
  <c r="J74" i="9"/>
  <c r="AH73" i="15" s="1"/>
  <c r="J75" i="9"/>
  <c r="L74" i="5" s="1"/>
  <c r="J76" i="9"/>
  <c r="J77"/>
  <c r="AH76" i="15" s="1"/>
  <c r="J79" i="9"/>
  <c r="J80"/>
  <c r="J81"/>
  <c r="AH80" i="15" s="1"/>
  <c r="J82" i="9"/>
  <c r="AH81" i="15" s="1"/>
  <c r="J83" i="9"/>
  <c r="J84"/>
  <c r="J85"/>
  <c r="AH84" i="15" s="1"/>
  <c r="J86" i="9"/>
  <c r="J87"/>
  <c r="J88"/>
  <c r="J89"/>
  <c r="AH88" i="15" s="1"/>
  <c r="J90" i="9"/>
  <c r="AH89" i="15" s="1"/>
  <c r="J91" i="9"/>
  <c r="AH90" i="15" s="1"/>
  <c r="J93" i="9"/>
  <c r="J94"/>
  <c r="AH93" i="15" s="1"/>
  <c r="J95" i="9"/>
  <c r="AH94" i="15" s="1"/>
  <c r="J96" i="9"/>
  <c r="AH95" i="15" s="1"/>
  <c r="J97" i="9"/>
  <c r="J98"/>
  <c r="AH97" i="15" s="1"/>
  <c r="J99" i="9"/>
  <c r="J100"/>
  <c r="J101"/>
  <c r="J102"/>
  <c r="AH101" i="15" s="1"/>
  <c r="J103" i="9"/>
  <c r="J104"/>
  <c r="J105"/>
  <c r="J107"/>
  <c r="J108"/>
  <c r="AH107" i="15" s="1"/>
  <c r="J109" i="9"/>
  <c r="J110"/>
  <c r="J111"/>
  <c r="J112"/>
  <c r="J113"/>
  <c r="J114"/>
  <c r="J115"/>
  <c r="AH114" i="15" s="1"/>
  <c r="J116" i="9"/>
  <c r="L115" i="5" s="1"/>
  <c r="J117" i="9"/>
  <c r="J118"/>
  <c r="J119"/>
  <c r="J121"/>
  <c r="J122"/>
  <c r="J123"/>
  <c r="J124"/>
  <c r="AH123" i="15" s="1"/>
  <c r="J125" i="9"/>
  <c r="J126"/>
  <c r="J127"/>
  <c r="J128"/>
  <c r="J129"/>
  <c r="AH128" i="15" s="1"/>
  <c r="J130" i="9"/>
  <c r="J131"/>
  <c r="J132"/>
  <c r="AH131" i="15" s="1"/>
  <c r="J133" i="9"/>
  <c r="AH132" i="15" s="1"/>
  <c r="J135" i="9"/>
  <c r="J136"/>
  <c r="J137"/>
  <c r="J138"/>
  <c r="J139"/>
  <c r="J140"/>
  <c r="J141"/>
  <c r="AH140" i="15" s="1"/>
  <c r="J142" i="9"/>
  <c r="J143"/>
  <c r="J144"/>
  <c r="J145"/>
  <c r="J146"/>
  <c r="AH145" i="15" s="1"/>
  <c r="J147" i="9"/>
  <c r="J149"/>
  <c r="AH148" i="15" s="1"/>
  <c r="J150" i="9"/>
  <c r="AH149" i="15" s="1"/>
  <c r="J151" i="9"/>
  <c r="J152"/>
  <c r="J153"/>
  <c r="J154"/>
  <c r="AH153" i="15" s="1"/>
  <c r="J155" i="9"/>
  <c r="AH154" i="15" s="1"/>
  <c r="J156" i="9"/>
  <c r="J157"/>
  <c r="J158"/>
  <c r="AH157" i="15" s="1"/>
  <c r="J159" i="9"/>
  <c r="L158" i="5" s="1"/>
  <c r="J160" i="9"/>
  <c r="J161"/>
  <c r="J163"/>
  <c r="J164"/>
  <c r="J165"/>
  <c r="J166"/>
  <c r="AH165" i="15" s="1"/>
  <c r="J167" i="9"/>
  <c r="AH166" i="15" s="1"/>
  <c r="J168" i="9"/>
  <c r="J169"/>
  <c r="J170"/>
  <c r="J171"/>
  <c r="AH170" i="15" s="1"/>
  <c r="J172" i="9"/>
  <c r="AH171" i="15" s="1"/>
  <c r="J173" i="9"/>
  <c r="J174"/>
  <c r="J175"/>
  <c r="AH174" i="15" s="1"/>
  <c r="J177" i="9"/>
  <c r="AH176" i="15" s="1"/>
  <c r="J178" i="9"/>
  <c r="J179"/>
  <c r="J180"/>
  <c r="L179" i="5" s="1"/>
  <c r="J181" i="9"/>
  <c r="J182"/>
  <c r="J183"/>
  <c r="J184"/>
  <c r="J185"/>
  <c r="J186"/>
  <c r="J187"/>
  <c r="J188"/>
  <c r="AH187" i="15" s="1"/>
  <c r="J189" i="9"/>
  <c r="AH188" i="15" s="1"/>
  <c r="J191" i="9"/>
  <c r="J192"/>
  <c r="J193"/>
  <c r="AH192" i="15" s="1"/>
  <c r="J194" i="9"/>
  <c r="J195"/>
  <c r="J196"/>
  <c r="J197"/>
  <c r="J198"/>
  <c r="AH197" i="15" s="1"/>
  <c r="J199" i="9"/>
  <c r="J200"/>
  <c r="J201"/>
  <c r="AH200" i="15" s="1"/>
  <c r="J202" i="9"/>
  <c r="J203"/>
  <c r="J205"/>
  <c r="J206"/>
  <c r="J207"/>
  <c r="J208"/>
  <c r="J209"/>
  <c r="J210"/>
  <c r="J211"/>
  <c r="J212"/>
  <c r="J213"/>
  <c r="J214"/>
  <c r="J215"/>
  <c r="J216"/>
  <c r="J217"/>
  <c r="AH216" i="15" s="1"/>
  <c r="J219" i="9"/>
  <c r="AH218" i="15" s="1"/>
  <c r="J220" i="9"/>
  <c r="J221"/>
  <c r="J222"/>
  <c r="J223"/>
  <c r="AH222" i="15" s="1"/>
  <c r="J224" i="9"/>
  <c r="J225"/>
  <c r="J226"/>
  <c r="J227"/>
  <c r="AH226" i="15" s="1"/>
  <c r="J228" i="9"/>
  <c r="J229"/>
  <c r="J230"/>
  <c r="J231"/>
  <c r="J233"/>
  <c r="AH232" i="15" s="1"/>
  <c r="J234" i="9"/>
  <c r="J235"/>
  <c r="J236"/>
  <c r="AH235" i="15" s="1"/>
  <c r="J237" i="9"/>
  <c r="AH236" i="15" s="1"/>
  <c r="J238" i="9"/>
  <c r="J239"/>
  <c r="J240"/>
  <c r="AH239" i="15" s="1"/>
  <c r="J241" i="9"/>
  <c r="AH240" i="15" s="1"/>
  <c r="J242" i="9"/>
  <c r="AH241" i="15" s="1"/>
  <c r="J243" i="9"/>
  <c r="J244"/>
  <c r="J245"/>
  <c r="AH244" i="15" s="1"/>
  <c r="J247" i="9"/>
  <c r="AH246" i="15" s="1"/>
  <c r="J248" i="9"/>
  <c r="J249"/>
  <c r="AH248" i="15" s="1"/>
  <c r="J250" i="9"/>
  <c r="J251"/>
  <c r="J252"/>
  <c r="J253"/>
  <c r="AH252" i="15" s="1"/>
  <c r="J254" i="9"/>
  <c r="J255"/>
  <c r="J256"/>
  <c r="J257"/>
  <c r="AH256" i="15" s="1"/>
  <c r="J258" i="9"/>
  <c r="J259"/>
  <c r="AH258" i="15" s="1"/>
  <c r="J261" i="9"/>
  <c r="J262"/>
  <c r="AH261" i="15" s="1"/>
  <c r="J263" i="9"/>
  <c r="AH262" i="15" s="1"/>
  <c r="J264" i="9"/>
  <c r="AH263" i="15" s="1"/>
  <c r="J265" i="9"/>
  <c r="J266"/>
  <c r="J267"/>
  <c r="AH266" i="15" s="1"/>
  <c r="J268" i="9"/>
  <c r="J269"/>
  <c r="J270"/>
  <c r="AH269" i="15" s="1"/>
  <c r="J271" i="9"/>
  <c r="AH270" i="15" s="1"/>
  <c r="J272" i="9"/>
  <c r="J273"/>
  <c r="J275"/>
  <c r="AH274" i="15" s="1"/>
  <c r="J276" i="9"/>
  <c r="AH275" i="15" s="1"/>
  <c r="J277" i="9"/>
  <c r="J278"/>
  <c r="J279"/>
  <c r="J280"/>
  <c r="J281"/>
  <c r="J282"/>
  <c r="J283"/>
  <c r="AH282" i="15" s="1"/>
  <c r="J284" i="9"/>
  <c r="J285"/>
  <c r="J286"/>
  <c r="J287"/>
  <c r="J289"/>
  <c r="J290"/>
  <c r="J291"/>
  <c r="J292"/>
  <c r="AH291" i="15" s="1"/>
  <c r="J293" i="9"/>
  <c r="J294"/>
  <c r="J295"/>
  <c r="J296"/>
  <c r="J297"/>
  <c r="AH296" i="15" s="1"/>
  <c r="J298" i="9"/>
  <c r="J299"/>
  <c r="J300"/>
  <c r="J301"/>
  <c r="J303"/>
  <c r="J304"/>
  <c r="J305"/>
  <c r="J306"/>
  <c r="J307"/>
  <c r="J308"/>
  <c r="L307" i="5" s="1"/>
  <c r="J309" i="9"/>
  <c r="AH308" i="15" s="1"/>
  <c r="J310" i="9"/>
  <c r="J311"/>
  <c r="J312"/>
  <c r="J313"/>
  <c r="J314"/>
  <c r="J315"/>
  <c r="J317"/>
  <c r="J318"/>
  <c r="AH317" i="15" s="1"/>
  <c r="J319" i="9"/>
  <c r="J320"/>
  <c r="J321"/>
  <c r="J322"/>
  <c r="AH321" i="15" s="1"/>
  <c r="J323" i="9"/>
  <c r="AH322" i="15" s="1"/>
  <c r="J324" i="9"/>
  <c r="J325"/>
  <c r="J326"/>
  <c r="AH325" i="15" s="1"/>
  <c r="J327" i="9"/>
  <c r="J328"/>
  <c r="J329"/>
  <c r="J331"/>
  <c r="AH330" i="15" s="1"/>
  <c r="J332" i="9"/>
  <c r="J333"/>
  <c r="AH332" i="15" s="1"/>
  <c r="J334" i="9"/>
  <c r="J335"/>
  <c r="AH334" i="15" s="1"/>
  <c r="J336" i="9"/>
  <c r="AH335" i="15" s="1"/>
  <c r="J337" i="9"/>
  <c r="AH336" i="15" s="1"/>
  <c r="J338" i="9"/>
  <c r="J339"/>
  <c r="AH338" i="15" s="1"/>
  <c r="J340" i="9"/>
  <c r="J341"/>
  <c r="AH340" i="15" s="1"/>
  <c r="J342" i="9"/>
  <c r="J343"/>
  <c r="AH342" i="15" s="1"/>
  <c r="J345" i="9"/>
  <c r="J346"/>
  <c r="J347"/>
  <c r="J348"/>
  <c r="J349"/>
  <c r="AH348" i="15" s="1"/>
  <c r="J350" i="9"/>
  <c r="AH349" i="15" s="1"/>
  <c r="J351" i="9"/>
  <c r="L350" i="5" s="1"/>
  <c r="J352" i="9"/>
  <c r="AH351" i="15" s="1"/>
  <c r="J353" i="9"/>
  <c r="J354"/>
  <c r="AH353" i="15" s="1"/>
  <c r="J355" i="9"/>
  <c r="J356"/>
  <c r="AH355" i="15" s="1"/>
  <c r="J357" i="9"/>
  <c r="AH356" i="15" s="1"/>
  <c r="J359" i="9"/>
  <c r="J360"/>
  <c r="J361"/>
  <c r="J362"/>
  <c r="J363"/>
  <c r="J364"/>
  <c r="J365"/>
  <c r="J366"/>
  <c r="AH365" i="15" s="1"/>
  <c r="J367" i="9"/>
  <c r="J368"/>
  <c r="J369"/>
  <c r="AH368" i="15" s="1"/>
  <c r="J370" i="9"/>
  <c r="AH369" i="15" s="1"/>
  <c r="J371" i="9"/>
  <c r="J373"/>
  <c r="J374"/>
  <c r="J375"/>
  <c r="J376"/>
  <c r="J377"/>
  <c r="J378"/>
  <c r="J379"/>
  <c r="J380"/>
  <c r="J381"/>
  <c r="J382"/>
  <c r="AH381" i="15" s="1"/>
  <c r="J383" i="9"/>
  <c r="J384"/>
  <c r="J385"/>
  <c r="J387"/>
  <c r="J388"/>
  <c r="J389"/>
  <c r="J390"/>
  <c r="J391"/>
  <c r="J392"/>
  <c r="AH391" i="15" s="1"/>
  <c r="J393" i="9"/>
  <c r="J394"/>
  <c r="J395"/>
  <c r="J396"/>
  <c r="J397"/>
  <c r="J398"/>
  <c r="J399"/>
  <c r="J401"/>
  <c r="J402"/>
  <c r="J403"/>
  <c r="J404"/>
  <c r="AH403" i="15" s="1"/>
  <c r="J405" i="9"/>
  <c r="J406"/>
  <c r="J407"/>
  <c r="J408"/>
  <c r="J409"/>
  <c r="J410"/>
  <c r="J411"/>
  <c r="AH410" i="15" s="1"/>
  <c r="J412" i="9"/>
  <c r="J413"/>
  <c r="J415"/>
  <c r="J416"/>
  <c r="AH415" i="15" s="1"/>
  <c r="J417" i="9"/>
  <c r="J418"/>
  <c r="J419"/>
  <c r="J420"/>
  <c r="J421"/>
  <c r="J422"/>
  <c r="J423"/>
  <c r="J424"/>
  <c r="J425"/>
  <c r="J426"/>
  <c r="J427"/>
  <c r="J429"/>
  <c r="J430"/>
  <c r="J431"/>
  <c r="AH430" i="15" s="1"/>
  <c r="J432" i="9"/>
  <c r="AH431" i="15" s="1"/>
  <c r="J433" i="9"/>
  <c r="J434"/>
  <c r="J435"/>
  <c r="J436"/>
  <c r="L435" i="5" s="1"/>
  <c r="J437" i="9"/>
  <c r="J438"/>
  <c r="AH437" i="15" s="1"/>
  <c r="J439" i="9"/>
  <c r="AH438" i="15" s="1"/>
  <c r="J440" i="9"/>
  <c r="J441"/>
  <c r="J443"/>
  <c r="J444"/>
  <c r="AH443" i="15" s="1"/>
  <c r="J445" i="9"/>
  <c r="I445"/>
  <c r="I444"/>
  <c r="H445"/>
  <c r="H444"/>
  <c r="H442"/>
  <c r="J441" i="5" s="1"/>
  <c r="G445" i="9"/>
  <c r="G444"/>
  <c r="F445"/>
  <c r="F444"/>
  <c r="V443" i="15" s="1"/>
  <c r="F443" i="9"/>
  <c r="E445"/>
  <c r="S444" i="15" s="1"/>
  <c r="E444" i="9"/>
  <c r="S443" i="15" s="1"/>
  <c r="I443" i="9"/>
  <c r="H443"/>
  <c r="G443"/>
  <c r="I442" i="5" s="1"/>
  <c r="E443" i="9"/>
  <c r="S442" i="15" s="1"/>
  <c r="I442" i="9"/>
  <c r="G442"/>
  <c r="F442"/>
  <c r="E442"/>
  <c r="S441" i="15" s="1"/>
  <c r="I428" i="9"/>
  <c r="I414"/>
  <c r="I400"/>
  <c r="I386"/>
  <c r="I372"/>
  <c r="I359"/>
  <c r="I358"/>
  <c r="H358"/>
  <c r="I344"/>
  <c r="I330"/>
  <c r="I316"/>
  <c r="I302"/>
  <c r="I288"/>
  <c r="I274"/>
  <c r="I260"/>
  <c r="I246"/>
  <c r="I232"/>
  <c r="I218"/>
  <c r="I204"/>
  <c r="I190"/>
  <c r="I176"/>
  <c r="I162"/>
  <c r="I148"/>
  <c r="I134"/>
  <c r="AE133" i="15" s="1"/>
  <c r="I120" i="9"/>
  <c r="I106"/>
  <c r="K105" i="5" s="1"/>
  <c r="I92" i="9"/>
  <c r="I78"/>
  <c r="I64"/>
  <c r="I50"/>
  <c r="I36"/>
  <c r="I22"/>
  <c r="K21" i="5" s="1"/>
  <c r="I8" i="9"/>
  <c r="K7" i="5" s="1"/>
  <c r="I9" i="9"/>
  <c r="I10"/>
  <c r="AE9" i="15" s="1"/>
  <c r="I11" i="9"/>
  <c r="I12"/>
  <c r="I13"/>
  <c r="I14"/>
  <c r="I15"/>
  <c r="I16"/>
  <c r="I17"/>
  <c r="I18"/>
  <c r="I19"/>
  <c r="I20"/>
  <c r="I21"/>
  <c r="I23"/>
  <c r="I24"/>
  <c r="AE23" i="15" s="1"/>
  <c r="I25" i="9"/>
  <c r="I26"/>
  <c r="I27"/>
  <c r="I28"/>
  <c r="I29"/>
  <c r="I30"/>
  <c r="I31"/>
  <c r="I32"/>
  <c r="AE31" i="15" s="1"/>
  <c r="I33" i="9"/>
  <c r="I34"/>
  <c r="I35"/>
  <c r="I37"/>
  <c r="I38"/>
  <c r="I39"/>
  <c r="I40"/>
  <c r="I41"/>
  <c r="I42"/>
  <c r="I43"/>
  <c r="I44"/>
  <c r="AE43" i="15" s="1"/>
  <c r="I45" i="9"/>
  <c r="AE44" i="15" s="1"/>
  <c r="I46" i="9"/>
  <c r="I47"/>
  <c r="I48"/>
  <c r="AE47" i="15" s="1"/>
  <c r="I49" i="9"/>
  <c r="I51"/>
  <c r="I52"/>
  <c r="I53"/>
  <c r="I54"/>
  <c r="I55"/>
  <c r="I56"/>
  <c r="I57"/>
  <c r="I58"/>
  <c r="AE57" i="15" s="1"/>
  <c r="I59" i="9"/>
  <c r="I60"/>
  <c r="I61"/>
  <c r="I62"/>
  <c r="I63"/>
  <c r="I65"/>
  <c r="I66"/>
  <c r="AE65" i="15" s="1"/>
  <c r="I67" i="9"/>
  <c r="I68"/>
  <c r="I69"/>
  <c r="I70"/>
  <c r="I71"/>
  <c r="AE70" i="15" s="1"/>
  <c r="I72" i="9"/>
  <c r="I73"/>
  <c r="I74"/>
  <c r="I75"/>
  <c r="I76"/>
  <c r="I77"/>
  <c r="I79"/>
  <c r="AE78" i="15" s="1"/>
  <c r="I80" i="9"/>
  <c r="AE79" i="15" s="1"/>
  <c r="I81" i="9"/>
  <c r="I82"/>
  <c r="I83"/>
  <c r="I84"/>
  <c r="AE83" i="15" s="1"/>
  <c r="I85" i="9"/>
  <c r="I86"/>
  <c r="K85" i="5" s="1"/>
  <c r="I87" i="9"/>
  <c r="AE86" i="15" s="1"/>
  <c r="I88" i="9"/>
  <c r="AE87" i="15" s="1"/>
  <c r="I89" i="9"/>
  <c r="I90"/>
  <c r="I91"/>
  <c r="I93"/>
  <c r="I94"/>
  <c r="I95"/>
  <c r="I96"/>
  <c r="AE95" i="15" s="1"/>
  <c r="I97" i="9"/>
  <c r="AE96" i="15" s="1"/>
  <c r="I98" i="9"/>
  <c r="I99"/>
  <c r="I100"/>
  <c r="I101"/>
  <c r="AE100" i="15" s="1"/>
  <c r="I102" i="9"/>
  <c r="I103"/>
  <c r="I104"/>
  <c r="AE103" i="15" s="1"/>
  <c r="I105" i="9"/>
  <c r="I107"/>
  <c r="I108"/>
  <c r="I109"/>
  <c r="I110"/>
  <c r="I111"/>
  <c r="I112"/>
  <c r="I113"/>
  <c r="I114"/>
  <c r="I115"/>
  <c r="I116"/>
  <c r="I117"/>
  <c r="I118"/>
  <c r="AE117" i="15" s="1"/>
  <c r="I119" i="9"/>
  <c r="I121"/>
  <c r="I122"/>
  <c r="I123"/>
  <c r="I124"/>
  <c r="I125"/>
  <c r="I126"/>
  <c r="I127"/>
  <c r="AE126" i="15" s="1"/>
  <c r="I128" i="9"/>
  <c r="I129"/>
  <c r="I130"/>
  <c r="I131"/>
  <c r="I132"/>
  <c r="I135"/>
  <c r="AE134" i="15" s="1"/>
  <c r="I136" i="9"/>
  <c r="AE135" i="15" s="1"/>
  <c r="I137" i="9"/>
  <c r="I138"/>
  <c r="I139"/>
  <c r="I140"/>
  <c r="AE139" i="15" s="1"/>
  <c r="I141" i="9"/>
  <c r="I142"/>
  <c r="I143"/>
  <c r="AE142" i="15" s="1"/>
  <c r="I144" i="9"/>
  <c r="AE143" i="15" s="1"/>
  <c r="I145" i="9"/>
  <c r="I146"/>
  <c r="I147"/>
  <c r="I149"/>
  <c r="I150"/>
  <c r="K149" i="5" s="1"/>
  <c r="I151" i="9"/>
  <c r="I152"/>
  <c r="AE151" i="15" s="1"/>
  <c r="I153" i="9"/>
  <c r="I154"/>
  <c r="I155"/>
  <c r="I156"/>
  <c r="I157"/>
  <c r="I158"/>
  <c r="I159"/>
  <c r="I160"/>
  <c r="I161"/>
  <c r="I163"/>
  <c r="I164"/>
  <c r="I165"/>
  <c r="I166"/>
  <c r="AE165" i="15" s="1"/>
  <c r="I167" i="9"/>
  <c r="I168"/>
  <c r="I169"/>
  <c r="I170"/>
  <c r="AE169" i="15" s="1"/>
  <c r="I171" i="9"/>
  <c r="I172"/>
  <c r="I173"/>
  <c r="I174"/>
  <c r="AE173" i="15" s="1"/>
  <c r="I175" i="9"/>
  <c r="I177"/>
  <c r="I178"/>
  <c r="AE177" i="15" s="1"/>
  <c r="I179" i="9"/>
  <c r="I180"/>
  <c r="I181"/>
  <c r="I182"/>
  <c r="I183"/>
  <c r="I184"/>
  <c r="I185"/>
  <c r="I186"/>
  <c r="I187"/>
  <c r="I188"/>
  <c r="I189"/>
  <c r="I191"/>
  <c r="AE190" i="15" s="1"/>
  <c r="I192" i="9"/>
  <c r="I193"/>
  <c r="I194"/>
  <c r="I195"/>
  <c r="I196"/>
  <c r="I197"/>
  <c r="I198"/>
  <c r="I199"/>
  <c r="AE198" i="15" s="1"/>
  <c r="I200" i="9"/>
  <c r="I201"/>
  <c r="I202"/>
  <c r="I203"/>
  <c r="I205"/>
  <c r="I206"/>
  <c r="I207"/>
  <c r="I208"/>
  <c r="AE207" i="15" s="1"/>
  <c r="I209" i="9"/>
  <c r="I210"/>
  <c r="AE209" i="15" s="1"/>
  <c r="I211" i="9"/>
  <c r="I212"/>
  <c r="I213"/>
  <c r="I214"/>
  <c r="K213" i="5" s="1"/>
  <c r="I215" i="9"/>
  <c r="I216"/>
  <c r="AE215" i="15" s="1"/>
  <c r="I217" i="9"/>
  <c r="I219"/>
  <c r="I220"/>
  <c r="I221"/>
  <c r="I222"/>
  <c r="I223"/>
  <c r="I224"/>
  <c r="I225"/>
  <c r="I226"/>
  <c r="AE225" i="15" s="1"/>
  <c r="I227" i="9"/>
  <c r="I228"/>
  <c r="I229"/>
  <c r="AE228" i="15" s="1"/>
  <c r="I230" i="9"/>
  <c r="I231"/>
  <c r="I233"/>
  <c r="I234"/>
  <c r="AE233" i="15" s="1"/>
  <c r="I235" i="9"/>
  <c r="I236"/>
  <c r="I237"/>
  <c r="I238"/>
  <c r="AE237" i="15" s="1"/>
  <c r="I239" i="9"/>
  <c r="AE238" i="15" s="1"/>
  <c r="I240" i="9"/>
  <c r="I241"/>
  <c r="I242"/>
  <c r="AE241" i="15" s="1"/>
  <c r="I243" i="9"/>
  <c r="I244"/>
  <c r="I245"/>
  <c r="I247"/>
  <c r="AE246" i="15" s="1"/>
  <c r="I248" i="9"/>
  <c r="AE247" i="15" s="1"/>
  <c r="I249" i="9"/>
  <c r="AE248" i="15" s="1"/>
  <c r="I250" i="9"/>
  <c r="I251"/>
  <c r="I252"/>
  <c r="AE251" i="15" s="1"/>
  <c r="I253" i="9"/>
  <c r="I254"/>
  <c r="I255"/>
  <c r="K254" i="5" s="1"/>
  <c r="I256" i="9"/>
  <c r="AE255" i="15" s="1"/>
  <c r="I257" i="9"/>
  <c r="I258"/>
  <c r="I259"/>
  <c r="I261"/>
  <c r="I262"/>
  <c r="I263"/>
  <c r="I264"/>
  <c r="AE263" i="15" s="1"/>
  <c r="I265" i="9"/>
  <c r="I266"/>
  <c r="I267"/>
  <c r="I268"/>
  <c r="I269"/>
  <c r="I270"/>
  <c r="I271"/>
  <c r="I272"/>
  <c r="I273"/>
  <c r="I275"/>
  <c r="I276"/>
  <c r="I277"/>
  <c r="I278"/>
  <c r="AE277" i="15" s="1"/>
  <c r="I279" i="9"/>
  <c r="I280"/>
  <c r="I281"/>
  <c r="I282"/>
  <c r="AE281" i="15" s="1"/>
  <c r="I283" i="9"/>
  <c r="I284"/>
  <c r="I285"/>
  <c r="I286"/>
  <c r="AE285" i="15" s="1"/>
  <c r="I287" i="9"/>
  <c r="I289"/>
  <c r="I290"/>
  <c r="AE289" i="15" s="1"/>
  <c r="I291" i="9"/>
  <c r="I292"/>
  <c r="I293"/>
  <c r="I294"/>
  <c r="AE293" i="15" s="1"/>
  <c r="I295" i="9"/>
  <c r="I296"/>
  <c r="I297"/>
  <c r="I298"/>
  <c r="K297" i="5" s="1"/>
  <c r="I299" i="9"/>
  <c r="I300"/>
  <c r="I301"/>
  <c r="I303"/>
  <c r="I304"/>
  <c r="AE303" i="15" s="1"/>
  <c r="I305" i="9"/>
  <c r="I306"/>
  <c r="I307"/>
  <c r="I308"/>
  <c r="AE307" i="15" s="1"/>
  <c r="I309" i="9"/>
  <c r="I310"/>
  <c r="I311"/>
  <c r="I312"/>
  <c r="AE311" i="15" s="1"/>
  <c r="I313" i="9"/>
  <c r="I314"/>
  <c r="I315"/>
  <c r="I317"/>
  <c r="I318"/>
  <c r="I319"/>
  <c r="I320"/>
  <c r="I321"/>
  <c r="I322"/>
  <c r="I323"/>
  <c r="I324"/>
  <c r="I325"/>
  <c r="I326"/>
  <c r="I327"/>
  <c r="I328"/>
  <c r="AE327" i="15" s="1"/>
  <c r="I329" i="9"/>
  <c r="I331"/>
  <c r="I332"/>
  <c r="I333"/>
  <c r="I334"/>
  <c r="AE333" i="15" s="1"/>
  <c r="I335" i="9"/>
  <c r="I336"/>
  <c r="I337"/>
  <c r="I338"/>
  <c r="I339"/>
  <c r="I340"/>
  <c r="I341"/>
  <c r="I342"/>
  <c r="AE341" i="15" s="1"/>
  <c r="I343" i="9"/>
  <c r="I345"/>
  <c r="I346"/>
  <c r="I347"/>
  <c r="I348"/>
  <c r="I349"/>
  <c r="I350"/>
  <c r="AE349" i="15" s="1"/>
  <c r="I351" i="9"/>
  <c r="AE350" i="15" s="1"/>
  <c r="I352" i="9"/>
  <c r="I353"/>
  <c r="I354"/>
  <c r="AE353" i="15" s="1"/>
  <c r="I355" i="9"/>
  <c r="I356"/>
  <c r="I357"/>
  <c r="I360"/>
  <c r="AE359" i="15" s="1"/>
  <c r="I361" i="9"/>
  <c r="I362"/>
  <c r="K361" i="5" s="1"/>
  <c r="I363" i="9"/>
  <c r="I364"/>
  <c r="AE363" i="15" s="1"/>
  <c r="I365" i="9"/>
  <c r="I366"/>
  <c r="AE365" i="15" s="1"/>
  <c r="I367" i="9"/>
  <c r="I368"/>
  <c r="AE367" i="15" s="1"/>
  <c r="I369" i="9"/>
  <c r="I370"/>
  <c r="I371"/>
  <c r="I373"/>
  <c r="I374"/>
  <c r="AE373" i="15" s="1"/>
  <c r="I375" i="9"/>
  <c r="I376"/>
  <c r="I377"/>
  <c r="AE376" i="15" s="1"/>
  <c r="I378" i="9"/>
  <c r="I379"/>
  <c r="I380"/>
  <c r="I381"/>
  <c r="I382"/>
  <c r="AE381" i="15" s="1"/>
  <c r="I383" i="9"/>
  <c r="K382" i="5" s="1"/>
  <c r="I384" i="9"/>
  <c r="I385"/>
  <c r="AE384" i="15" s="1"/>
  <c r="I387" i="9"/>
  <c r="AE386" i="15" s="1"/>
  <c r="I388" i="9"/>
  <c r="I389"/>
  <c r="I390"/>
  <c r="I391"/>
  <c r="I392"/>
  <c r="AE391" i="15" s="1"/>
  <c r="I393" i="9"/>
  <c r="I394"/>
  <c r="AE393" i="15" s="1"/>
  <c r="I395" i="9"/>
  <c r="AE394" i="15" s="1"/>
  <c r="I396" i="9"/>
  <c r="I397"/>
  <c r="I398"/>
  <c r="I399"/>
  <c r="I401"/>
  <c r="I402"/>
  <c r="I403"/>
  <c r="I404"/>
  <c r="I405"/>
  <c r="I406"/>
  <c r="I407"/>
  <c r="I408"/>
  <c r="I409"/>
  <c r="I410"/>
  <c r="I411"/>
  <c r="AE410" i="15" s="1"/>
  <c r="I412" i="9"/>
  <c r="I413"/>
  <c r="I415"/>
  <c r="I416"/>
  <c r="AE415" i="15" s="1"/>
  <c r="I417" i="9"/>
  <c r="I418"/>
  <c r="I419"/>
  <c r="I420"/>
  <c r="AE419" i="15" s="1"/>
  <c r="I421" i="9"/>
  <c r="I422"/>
  <c r="I423"/>
  <c r="I424"/>
  <c r="AE423" i="15" s="1"/>
  <c r="I425" i="9"/>
  <c r="I426"/>
  <c r="K425" i="5" s="1"/>
  <c r="I427" i="9"/>
  <c r="I429"/>
  <c r="I430"/>
  <c r="AE429" i="15" s="1"/>
  <c r="I431" i="9"/>
  <c r="I432"/>
  <c r="I433"/>
  <c r="I434"/>
  <c r="I435"/>
  <c r="I436"/>
  <c r="I437"/>
  <c r="I438"/>
  <c r="AE437" i="15" s="1"/>
  <c r="I439" i="9"/>
  <c r="I440"/>
  <c r="I441"/>
  <c r="H428"/>
  <c r="H414"/>
  <c r="H400"/>
  <c r="J399" i="5" s="1"/>
  <c r="H386" i="9"/>
  <c r="H372"/>
  <c r="H344"/>
  <c r="H330"/>
  <c r="AB329" i="15" s="1"/>
  <c r="H316" i="9"/>
  <c r="H302"/>
  <c r="H288"/>
  <c r="H274"/>
  <c r="H260"/>
  <c r="H246"/>
  <c r="H233"/>
  <c r="H232"/>
  <c r="G232"/>
  <c r="Y231" i="15" s="1"/>
  <c r="H218" i="9"/>
  <c r="J217" i="5" s="1"/>
  <c r="H204" i="9"/>
  <c r="H190"/>
  <c r="H176"/>
  <c r="H162"/>
  <c r="H148"/>
  <c r="H134"/>
  <c r="H120"/>
  <c r="H106"/>
  <c r="H92"/>
  <c r="H78"/>
  <c r="H64"/>
  <c r="H50"/>
  <c r="H36"/>
  <c r="H22"/>
  <c r="AB21" i="15" s="1"/>
  <c r="H8" i="9"/>
  <c r="J7" i="5" s="1"/>
  <c r="H9" i="9"/>
  <c r="H10"/>
  <c r="H11"/>
  <c r="H12"/>
  <c r="H13"/>
  <c r="H14"/>
  <c r="H15"/>
  <c r="H16"/>
  <c r="H17"/>
  <c r="H18"/>
  <c r="H19"/>
  <c r="H20"/>
  <c r="H21"/>
  <c r="H23"/>
  <c r="H24"/>
  <c r="H25"/>
  <c r="H26"/>
  <c r="H27"/>
  <c r="H28"/>
  <c r="H29"/>
  <c r="H30"/>
  <c r="H31"/>
  <c r="H32"/>
  <c r="AB31" i="15" s="1"/>
  <c r="H33" i="9"/>
  <c r="J32" i="5" s="1"/>
  <c r="H34" i="9"/>
  <c r="H35"/>
  <c r="H37"/>
  <c r="H38"/>
  <c r="H39"/>
  <c r="H40"/>
  <c r="H41"/>
  <c r="H42"/>
  <c r="H43"/>
  <c r="H44"/>
  <c r="H45"/>
  <c r="H46"/>
  <c r="AB45" i="15" s="1"/>
  <c r="H47" i="9"/>
  <c r="H48"/>
  <c r="H49"/>
  <c r="H51"/>
  <c r="H52"/>
  <c r="AB51" i="15" s="1"/>
  <c r="H53" i="9"/>
  <c r="H54"/>
  <c r="H55"/>
  <c r="H56"/>
  <c r="AB55" i="15" s="1"/>
  <c r="H57" i="9"/>
  <c r="H58"/>
  <c r="H59"/>
  <c r="H60"/>
  <c r="AB59" i="15" s="1"/>
  <c r="H61" i="9"/>
  <c r="H62"/>
  <c r="H63"/>
  <c r="H65"/>
  <c r="H66"/>
  <c r="H67"/>
  <c r="H68"/>
  <c r="AB67" i="15" s="1"/>
  <c r="H69" i="9"/>
  <c r="H70"/>
  <c r="H71"/>
  <c r="H72"/>
  <c r="H73"/>
  <c r="H74"/>
  <c r="J73" i="5" s="1"/>
  <c r="H75" i="9"/>
  <c r="H76"/>
  <c r="H77"/>
  <c r="H79"/>
  <c r="H80"/>
  <c r="AB79" i="15" s="1"/>
  <c r="H81" i="9"/>
  <c r="H82"/>
  <c r="H83"/>
  <c r="H84"/>
  <c r="H85"/>
  <c r="H86"/>
  <c r="H87"/>
  <c r="AB86" i="15" s="1"/>
  <c r="H88" i="9"/>
  <c r="AB87" i="15" s="1"/>
  <c r="H89" i="9"/>
  <c r="H90"/>
  <c r="H91"/>
  <c r="H93"/>
  <c r="H94"/>
  <c r="H95"/>
  <c r="H96"/>
  <c r="H97"/>
  <c r="J96" i="5" s="1"/>
  <c r="H98" i="9"/>
  <c r="H99"/>
  <c r="H100"/>
  <c r="H101"/>
  <c r="H102"/>
  <c r="H103"/>
  <c r="H104"/>
  <c r="H105"/>
  <c r="H107"/>
  <c r="H108"/>
  <c r="H109"/>
  <c r="H110"/>
  <c r="AB109" i="15" s="1"/>
  <c r="H111" i="9"/>
  <c r="H112"/>
  <c r="AB111" i="15" s="1"/>
  <c r="H113" i="9"/>
  <c r="H114"/>
  <c r="H115"/>
  <c r="H116"/>
  <c r="H117"/>
  <c r="H118"/>
  <c r="AB117" i="15" s="1"/>
  <c r="H119" i="9"/>
  <c r="H121"/>
  <c r="H122"/>
  <c r="H123"/>
  <c r="H124"/>
  <c r="H125"/>
  <c r="J124" i="5" s="1"/>
  <c r="H126" i="9"/>
  <c r="H127"/>
  <c r="H128"/>
  <c r="H129"/>
  <c r="H130"/>
  <c r="H131"/>
  <c r="H132"/>
  <c r="AB131" i="15" s="1"/>
  <c r="H133" i="9"/>
  <c r="H135"/>
  <c r="H136"/>
  <c r="AB135" i="15" s="1"/>
  <c r="H137" i="9"/>
  <c r="H138"/>
  <c r="H139"/>
  <c r="J138" i="5" s="1"/>
  <c r="H140" i="9"/>
  <c r="AB139" i="15" s="1"/>
  <c r="H141" i="9"/>
  <c r="H142"/>
  <c r="H143"/>
  <c r="AB142" i="15" s="1"/>
  <c r="H144" i="9"/>
  <c r="H145"/>
  <c r="H146"/>
  <c r="H147"/>
  <c r="H149"/>
  <c r="H150"/>
  <c r="H151"/>
  <c r="H152"/>
  <c r="H153"/>
  <c r="J152" i="5" s="1"/>
  <c r="H154" i="9"/>
  <c r="H155"/>
  <c r="H156"/>
  <c r="H157"/>
  <c r="H158"/>
  <c r="AB157" i="15" s="1"/>
  <c r="H159" i="9"/>
  <c r="H160"/>
  <c r="H161"/>
  <c r="H163"/>
  <c r="H164"/>
  <c r="H165"/>
  <c r="J164" i="5" s="1"/>
  <c r="H166" i="9"/>
  <c r="AB165" i="15" s="1"/>
  <c r="H167" i="9"/>
  <c r="H168"/>
  <c r="H169"/>
  <c r="H170"/>
  <c r="H171"/>
  <c r="H172"/>
  <c r="H173"/>
  <c r="H174"/>
  <c r="AB173" i="15" s="1"/>
  <c r="H175" i="9"/>
  <c r="H177"/>
  <c r="H178"/>
  <c r="H179"/>
  <c r="H180"/>
  <c r="H181"/>
  <c r="H182"/>
  <c r="H183"/>
  <c r="AB182" i="15" s="1"/>
  <c r="H184" i="9"/>
  <c r="H185"/>
  <c r="H186"/>
  <c r="J185" i="5" s="1"/>
  <c r="H187" i="9"/>
  <c r="H188"/>
  <c r="H189"/>
  <c r="H191"/>
  <c r="H192"/>
  <c r="H193"/>
  <c r="H194"/>
  <c r="H195"/>
  <c r="H196"/>
  <c r="H197"/>
  <c r="H198"/>
  <c r="AB197" i="15" s="1"/>
  <c r="H199" i="9"/>
  <c r="H200"/>
  <c r="H201"/>
  <c r="H202"/>
  <c r="H203"/>
  <c r="H205"/>
  <c r="H206"/>
  <c r="AB205" i="15" s="1"/>
  <c r="H207" i="9"/>
  <c r="H208"/>
  <c r="J207" i="5" s="1"/>
  <c r="H209" i="9"/>
  <c r="H210"/>
  <c r="H211"/>
  <c r="H212"/>
  <c r="H213"/>
  <c r="H214"/>
  <c r="H215"/>
  <c r="H216"/>
  <c r="H217"/>
  <c r="H219"/>
  <c r="H220"/>
  <c r="AB219" i="15" s="1"/>
  <c r="H221" i="9"/>
  <c r="H222"/>
  <c r="H223"/>
  <c r="H224"/>
  <c r="H225"/>
  <c r="H226"/>
  <c r="H227"/>
  <c r="H228"/>
  <c r="H229"/>
  <c r="J228" i="5" s="1"/>
  <c r="H230" i="9"/>
  <c r="H231"/>
  <c r="H234"/>
  <c r="H235"/>
  <c r="H236"/>
  <c r="H237"/>
  <c r="H238"/>
  <c r="AB237" i="15" s="1"/>
  <c r="H239" i="9"/>
  <c r="H240"/>
  <c r="J239" i="5" s="1"/>
  <c r="H241" i="9"/>
  <c r="H242"/>
  <c r="H243"/>
  <c r="H244"/>
  <c r="H245"/>
  <c r="H247"/>
  <c r="H248"/>
  <c r="AB247" i="15" s="1"/>
  <c r="H249" i="9"/>
  <c r="H250"/>
  <c r="J249" i="5" s="1"/>
  <c r="H251" i="9"/>
  <c r="H252"/>
  <c r="H253"/>
  <c r="H254"/>
  <c r="H255"/>
  <c r="H256"/>
  <c r="H257"/>
  <c r="AB256" i="15" s="1"/>
  <c r="H258" i="9"/>
  <c r="H259"/>
  <c r="H261"/>
  <c r="H262"/>
  <c r="AB261" i="15" s="1"/>
  <c r="H263" i="9"/>
  <c r="H264"/>
  <c r="H265"/>
  <c r="H266"/>
  <c r="H267"/>
  <c r="H268"/>
  <c r="AB267" i="15" s="1"/>
  <c r="H269" i="9"/>
  <c r="H270"/>
  <c r="H271"/>
  <c r="H272"/>
  <c r="J271" i="5" s="1"/>
  <c r="H273" i="9"/>
  <c r="H275"/>
  <c r="H276"/>
  <c r="AB275" i="15" s="1"/>
  <c r="H277" i="9"/>
  <c r="H278"/>
  <c r="H279"/>
  <c r="AB278" i="15" s="1"/>
  <c r="H280" i="9"/>
  <c r="H281"/>
  <c r="AB280" i="15" s="1"/>
  <c r="H282" i="9"/>
  <c r="H283"/>
  <c r="H284"/>
  <c r="H285"/>
  <c r="H286"/>
  <c r="H287"/>
  <c r="H289"/>
  <c r="H290"/>
  <c r="H291"/>
  <c r="H292"/>
  <c r="H293"/>
  <c r="J292" i="5" s="1"/>
  <c r="H294" i="9"/>
  <c r="H295"/>
  <c r="H296"/>
  <c r="H297"/>
  <c r="H298"/>
  <c r="H299"/>
  <c r="H300"/>
  <c r="H301"/>
  <c r="H303"/>
  <c r="AB302" i="15" s="1"/>
  <c r="H304" i="9"/>
  <c r="AB303" i="15" s="1"/>
  <c r="H305" i="9"/>
  <c r="AB304" i="15" s="1"/>
  <c r="H306" i="9"/>
  <c r="H307"/>
  <c r="H308"/>
  <c r="H309"/>
  <c r="H310"/>
  <c r="H311"/>
  <c r="H312"/>
  <c r="H313"/>
  <c r="H314"/>
  <c r="J313" i="5" s="1"/>
  <c r="H315" i="9"/>
  <c r="H317"/>
  <c r="H318"/>
  <c r="H319"/>
  <c r="H320"/>
  <c r="H321"/>
  <c r="H322"/>
  <c r="H323"/>
  <c r="H324"/>
  <c r="AB323" i="15" s="1"/>
  <c r="H325" i="9"/>
  <c r="H326"/>
  <c r="H327"/>
  <c r="H328"/>
  <c r="H329"/>
  <c r="H331"/>
  <c r="H332"/>
  <c r="AB331" i="15" s="1"/>
  <c r="H333" i="9"/>
  <c r="H334"/>
  <c r="H335"/>
  <c r="H336"/>
  <c r="AB335" i="15" s="1"/>
  <c r="H337" i="9"/>
  <c r="AB336" i="15" s="1"/>
  <c r="H338" i="9"/>
  <c r="H339"/>
  <c r="H340"/>
  <c r="H341"/>
  <c r="H342"/>
  <c r="AB341" i="15" s="1"/>
  <c r="H343" i="9"/>
  <c r="H345"/>
  <c r="H346"/>
  <c r="H347"/>
  <c r="H348"/>
  <c r="H349"/>
  <c r="H350"/>
  <c r="H351"/>
  <c r="H352"/>
  <c r="AB351" i="15" s="1"/>
  <c r="H353" i="9"/>
  <c r="H354"/>
  <c r="AB353" i="15" s="1"/>
  <c r="H355" i="9"/>
  <c r="H356"/>
  <c r="H357"/>
  <c r="J356" i="5" s="1"/>
  <c r="H359" i="9"/>
  <c r="H360"/>
  <c r="H361"/>
  <c r="H362"/>
  <c r="H363"/>
  <c r="H364"/>
  <c r="AB363" i="15" s="1"/>
  <c r="H365" i="9"/>
  <c r="H366"/>
  <c r="H367"/>
  <c r="H368"/>
  <c r="H369"/>
  <c r="H370"/>
  <c r="H371"/>
  <c r="H373"/>
  <c r="H374"/>
  <c r="H375"/>
  <c r="H376"/>
  <c r="H377"/>
  <c r="H378"/>
  <c r="J377" i="5" s="1"/>
  <c r="H379" i="9"/>
  <c r="AB378" i="15" s="1"/>
  <c r="H380" i="9"/>
  <c r="H381"/>
  <c r="H382"/>
  <c r="H383"/>
  <c r="H384"/>
  <c r="H385"/>
  <c r="H387"/>
  <c r="H388"/>
  <c r="H389"/>
  <c r="H390"/>
  <c r="H391"/>
  <c r="H392"/>
  <c r="H393"/>
  <c r="H394"/>
  <c r="H395"/>
  <c r="H396"/>
  <c r="AB395" i="15" s="1"/>
  <c r="H397" i="9"/>
  <c r="H398"/>
  <c r="H399"/>
  <c r="H401"/>
  <c r="H402"/>
  <c r="AB401" i="15" s="1"/>
  <c r="H403" i="9"/>
  <c r="H404"/>
  <c r="H405"/>
  <c r="H406"/>
  <c r="H407"/>
  <c r="H408"/>
  <c r="H409"/>
  <c r="H410"/>
  <c r="H411"/>
  <c r="AB410" i="15" s="1"/>
  <c r="H412" i="9"/>
  <c r="H413"/>
  <c r="H415"/>
  <c r="H416"/>
  <c r="H417"/>
  <c r="H418"/>
  <c r="AB417" i="15" s="1"/>
  <c r="H419" i="9"/>
  <c r="H420"/>
  <c r="AB419" i="15" s="1"/>
  <c r="H421" i="9"/>
  <c r="J420" i="5" s="1"/>
  <c r="H422" i="9"/>
  <c r="H423"/>
  <c r="H424"/>
  <c r="H425"/>
  <c r="H426"/>
  <c r="H427"/>
  <c r="H429"/>
  <c r="H430"/>
  <c r="H431"/>
  <c r="H432"/>
  <c r="H433"/>
  <c r="H434"/>
  <c r="H435"/>
  <c r="H436"/>
  <c r="H437"/>
  <c r="H438"/>
  <c r="H439"/>
  <c r="H440"/>
  <c r="H441"/>
  <c r="G428"/>
  <c r="G414"/>
  <c r="G400"/>
  <c r="Y399" i="15" s="1"/>
  <c r="G386" i="9"/>
  <c r="G372"/>
  <c r="G358"/>
  <c r="I357" i="5" s="1"/>
  <c r="G344" i="9"/>
  <c r="G330"/>
  <c r="G316"/>
  <c r="G302"/>
  <c r="G288"/>
  <c r="G274"/>
  <c r="G260"/>
  <c r="G246"/>
  <c r="G218"/>
  <c r="G204"/>
  <c r="G190"/>
  <c r="G176"/>
  <c r="Y175" i="15" s="1"/>
  <c r="G162" i="9"/>
  <c r="G148"/>
  <c r="G134"/>
  <c r="Y133" i="15" s="1"/>
  <c r="G120" i="9"/>
  <c r="G106"/>
  <c r="G93"/>
  <c r="G92"/>
  <c r="F92"/>
  <c r="V91" i="15" s="1"/>
  <c r="G78" i="9"/>
  <c r="G64"/>
  <c r="G51"/>
  <c r="G50"/>
  <c r="F50"/>
  <c r="G36"/>
  <c r="G22"/>
  <c r="G8"/>
  <c r="I7" i="5" s="1"/>
  <c r="G9" i="9"/>
  <c r="G10"/>
  <c r="G11"/>
  <c r="G12"/>
  <c r="G13"/>
  <c r="G14"/>
  <c r="G15"/>
  <c r="G16"/>
  <c r="G17"/>
  <c r="G18"/>
  <c r="G19"/>
  <c r="G20"/>
  <c r="G21"/>
  <c r="G23"/>
  <c r="Y22" i="15" s="1"/>
  <c r="G24" i="9"/>
  <c r="G25"/>
  <c r="G26"/>
  <c r="G27"/>
  <c r="Y26" i="15" s="1"/>
  <c r="G28" i="9"/>
  <c r="G29"/>
  <c r="G30"/>
  <c r="G31"/>
  <c r="Y30" i="15" s="1"/>
  <c r="G32" i="9"/>
  <c r="G33"/>
  <c r="G34"/>
  <c r="G35"/>
  <c r="Y34" i="15" s="1"/>
  <c r="G37" i="9"/>
  <c r="G38"/>
  <c r="G39"/>
  <c r="G40"/>
  <c r="G41"/>
  <c r="G42"/>
  <c r="G43"/>
  <c r="G44"/>
  <c r="G45"/>
  <c r="G46"/>
  <c r="G47"/>
  <c r="Y46" i="15" s="1"/>
  <c r="G48" i="9"/>
  <c r="I47" i="5" s="1"/>
  <c r="G49" i="9"/>
  <c r="G52"/>
  <c r="G53"/>
  <c r="G54"/>
  <c r="G55"/>
  <c r="G56"/>
  <c r="G57"/>
  <c r="G58"/>
  <c r="Y57" i="15" s="1"/>
  <c r="G59" i="9"/>
  <c r="G60"/>
  <c r="G61"/>
  <c r="G62"/>
  <c r="G63"/>
  <c r="G65"/>
  <c r="G66"/>
  <c r="G67"/>
  <c r="G68"/>
  <c r="G69"/>
  <c r="I68" i="5" s="1"/>
  <c r="G70" i="9"/>
  <c r="G71"/>
  <c r="G72"/>
  <c r="Y71" i="15" s="1"/>
  <c r="G73" i="9"/>
  <c r="G74"/>
  <c r="G75"/>
  <c r="Y74" i="15" s="1"/>
  <c r="G76" i="9"/>
  <c r="G77"/>
  <c r="G79"/>
  <c r="G80"/>
  <c r="Y79" i="15" s="1"/>
  <c r="G81" i="9"/>
  <c r="G82"/>
  <c r="G83"/>
  <c r="G84"/>
  <c r="Y83" i="15" s="1"/>
  <c r="G85" i="9"/>
  <c r="G86"/>
  <c r="G87"/>
  <c r="G88"/>
  <c r="Y87" i="15" s="1"/>
  <c r="G89" i="9"/>
  <c r="G90"/>
  <c r="G91"/>
  <c r="I90" i="5" s="1"/>
  <c r="G94" i="9"/>
  <c r="G95"/>
  <c r="G96"/>
  <c r="Y95" i="15" s="1"/>
  <c r="G97" i="9"/>
  <c r="G98"/>
  <c r="Y97" i="15" s="1"/>
  <c r="G99" i="9"/>
  <c r="Y98" i="15" s="1"/>
  <c r="G100" i="9"/>
  <c r="Y99" i="15" s="1"/>
  <c r="G101" i="9"/>
  <c r="G102"/>
  <c r="Y101" i="15" s="1"/>
  <c r="G103" i="9"/>
  <c r="G104"/>
  <c r="Y103" i="15" s="1"/>
  <c r="G105" i="9"/>
  <c r="Y104" i="15" s="1"/>
  <c r="G107" i="9"/>
  <c r="Y106" i="15" s="1"/>
  <c r="G108" i="9"/>
  <c r="G109"/>
  <c r="G110"/>
  <c r="G111"/>
  <c r="Y110" i="15" s="1"/>
  <c r="G112" i="9"/>
  <c r="G113"/>
  <c r="G114"/>
  <c r="G115"/>
  <c r="Y114" i="15" s="1"/>
  <c r="G116" i="9"/>
  <c r="G117"/>
  <c r="G118"/>
  <c r="G119"/>
  <c r="Y118" i="15" s="1"/>
  <c r="G121" i="9"/>
  <c r="G122"/>
  <c r="G123"/>
  <c r="G124"/>
  <c r="Y123" i="15" s="1"/>
  <c r="G125" i="9"/>
  <c r="G126"/>
  <c r="G127"/>
  <c r="G128"/>
  <c r="Y127" i="15" s="1"/>
  <c r="G129" i="9"/>
  <c r="G130"/>
  <c r="G131"/>
  <c r="G132"/>
  <c r="Y131" i="15" s="1"/>
  <c r="G133" i="9"/>
  <c r="I132" i="5" s="1"/>
  <c r="G135" i="9"/>
  <c r="G136"/>
  <c r="G137"/>
  <c r="G138"/>
  <c r="G139"/>
  <c r="G140"/>
  <c r="G141"/>
  <c r="G142"/>
  <c r="G143"/>
  <c r="G144"/>
  <c r="G145"/>
  <c r="G146"/>
  <c r="G147"/>
  <c r="Y146" i="15" s="1"/>
  <c r="G149" i="9"/>
  <c r="G150"/>
  <c r="G151"/>
  <c r="G152"/>
  <c r="Y151" i="15" s="1"/>
  <c r="G153" i="9"/>
  <c r="G154"/>
  <c r="G155"/>
  <c r="G156"/>
  <c r="Y155" i="15" s="1"/>
  <c r="G157" i="9"/>
  <c r="G158"/>
  <c r="G159"/>
  <c r="G160"/>
  <c r="Y159" i="15" s="1"/>
  <c r="G161" i="9"/>
  <c r="G163"/>
  <c r="G164"/>
  <c r="G165"/>
  <c r="G166"/>
  <c r="Y165" i="15" s="1"/>
  <c r="G167" i="9"/>
  <c r="G168"/>
  <c r="Y167" i="15" s="1"/>
  <c r="G169" i="9"/>
  <c r="G170"/>
  <c r="G171"/>
  <c r="G172"/>
  <c r="G173"/>
  <c r="G174"/>
  <c r="G175"/>
  <c r="Y174" i="15" s="1"/>
  <c r="G177" i="9"/>
  <c r="G178"/>
  <c r="G179"/>
  <c r="G180"/>
  <c r="G181"/>
  <c r="G182"/>
  <c r="G183"/>
  <c r="G184"/>
  <c r="Y183" i="15" s="1"/>
  <c r="G185" i="9"/>
  <c r="G186"/>
  <c r="G187"/>
  <c r="G188"/>
  <c r="G189"/>
  <c r="G191"/>
  <c r="G192"/>
  <c r="G193"/>
  <c r="G194"/>
  <c r="Y193" i="15" s="1"/>
  <c r="G195" i="9"/>
  <c r="G196"/>
  <c r="G197"/>
  <c r="I196" i="5" s="1"/>
  <c r="G198" i="9"/>
  <c r="G199"/>
  <c r="G200"/>
  <c r="G201"/>
  <c r="G202"/>
  <c r="G203"/>
  <c r="G205"/>
  <c r="G206"/>
  <c r="G207"/>
  <c r="G208"/>
  <c r="Y207" i="15" s="1"/>
  <c r="G209" i="9"/>
  <c r="G210"/>
  <c r="G211"/>
  <c r="G212"/>
  <c r="Y211" i="15" s="1"/>
  <c r="G213" i="9"/>
  <c r="G214"/>
  <c r="Y213" i="15" s="1"/>
  <c r="G215" i="9"/>
  <c r="Y214" i="15" s="1"/>
  <c r="G216" i="9"/>
  <c r="Y215" i="15" s="1"/>
  <c r="G217" i="9"/>
  <c r="G219"/>
  <c r="Y218" i="15" s="1"/>
  <c r="G220" i="9"/>
  <c r="G221"/>
  <c r="G222"/>
  <c r="G223"/>
  <c r="G224"/>
  <c r="G225"/>
  <c r="G226"/>
  <c r="G227"/>
  <c r="Y226" i="15" s="1"/>
  <c r="G228" i="9"/>
  <c r="G229"/>
  <c r="G230"/>
  <c r="G231"/>
  <c r="G233"/>
  <c r="G234"/>
  <c r="G235"/>
  <c r="Y234" i="15" s="1"/>
  <c r="G236" i="9"/>
  <c r="G237"/>
  <c r="G238"/>
  <c r="G239"/>
  <c r="G240"/>
  <c r="G241"/>
  <c r="G242"/>
  <c r="G243"/>
  <c r="G244"/>
  <c r="G245"/>
  <c r="G247"/>
  <c r="G248"/>
  <c r="G249"/>
  <c r="G250"/>
  <c r="G251"/>
  <c r="Y250" i="15" s="1"/>
  <c r="G252" i="9"/>
  <c r="G253"/>
  <c r="G254"/>
  <c r="G255"/>
  <c r="G256"/>
  <c r="G257"/>
  <c r="G258"/>
  <c r="G259"/>
  <c r="G261"/>
  <c r="G262"/>
  <c r="I261" i="5" s="1"/>
  <c r="G263" i="9"/>
  <c r="G264"/>
  <c r="G265"/>
  <c r="G266"/>
  <c r="Y265" i="15" s="1"/>
  <c r="G267" i="9"/>
  <c r="G268"/>
  <c r="G269"/>
  <c r="G270"/>
  <c r="G271"/>
  <c r="G272"/>
  <c r="I271" i="5" s="1"/>
  <c r="G273" i="9"/>
  <c r="G275"/>
  <c r="Y274" i="15" s="1"/>
  <c r="G276" i="9"/>
  <c r="G277"/>
  <c r="G278"/>
  <c r="G279"/>
  <c r="Y278" i="15" s="1"/>
  <c r="G280" i="9"/>
  <c r="G281"/>
  <c r="G282"/>
  <c r="G283"/>
  <c r="Y282" i="15" s="1"/>
  <c r="G284" i="9"/>
  <c r="G285"/>
  <c r="G286"/>
  <c r="G287"/>
  <c r="Y286" i="15" s="1"/>
  <c r="G289" i="9"/>
  <c r="G290"/>
  <c r="G291"/>
  <c r="G292"/>
  <c r="G293"/>
  <c r="G294"/>
  <c r="I293" i="5" s="1"/>
  <c r="G295" i="9"/>
  <c r="Y294" i="15" s="1"/>
  <c r="G296" i="9"/>
  <c r="Y295" i="15" s="1"/>
  <c r="G297" i="9"/>
  <c r="G298"/>
  <c r="G299"/>
  <c r="G300"/>
  <c r="G301"/>
  <c r="G303"/>
  <c r="G304"/>
  <c r="G305"/>
  <c r="Y304" i="15" s="1"/>
  <c r="G306" i="9"/>
  <c r="G307"/>
  <c r="G308"/>
  <c r="G309"/>
  <c r="G310"/>
  <c r="G311"/>
  <c r="G312"/>
  <c r="G313"/>
  <c r="G314"/>
  <c r="G315"/>
  <c r="I314" i="5" s="1"/>
  <c r="G317" i="9"/>
  <c r="G318"/>
  <c r="Y317" i="15" s="1"/>
  <c r="G319" i="9"/>
  <c r="G320"/>
  <c r="G321"/>
  <c r="G322"/>
  <c r="G323"/>
  <c r="G324"/>
  <c r="G325"/>
  <c r="G326"/>
  <c r="I325" i="5" s="1"/>
  <c r="G327" i="9"/>
  <c r="G328"/>
  <c r="G329"/>
  <c r="G331"/>
  <c r="Y330" i="15" s="1"/>
  <c r="G332" i="9"/>
  <c r="G333"/>
  <c r="G334"/>
  <c r="G335"/>
  <c r="Y334" i="15" s="1"/>
  <c r="G336" i="9"/>
  <c r="I335" i="5" s="1"/>
  <c r="G337" i="9"/>
  <c r="G338"/>
  <c r="G339"/>
  <c r="Y338" i="15" s="1"/>
  <c r="G340" i="9"/>
  <c r="G341"/>
  <c r="G342"/>
  <c r="G343"/>
  <c r="Y342" i="15" s="1"/>
  <c r="G345" i="9"/>
  <c r="G346"/>
  <c r="G347"/>
  <c r="G348"/>
  <c r="G349"/>
  <c r="G350"/>
  <c r="G351"/>
  <c r="G352"/>
  <c r="G353"/>
  <c r="G354"/>
  <c r="G355"/>
  <c r="G356"/>
  <c r="G357"/>
  <c r="G359"/>
  <c r="G360"/>
  <c r="G361"/>
  <c r="G362"/>
  <c r="G363"/>
  <c r="Y362" i="15" s="1"/>
  <c r="G364" i="9"/>
  <c r="G365"/>
  <c r="Y364" i="15" s="1"/>
  <c r="G366" i="9"/>
  <c r="G367"/>
  <c r="G368"/>
  <c r="G369"/>
  <c r="G370"/>
  <c r="Y369" i="15" s="1"/>
  <c r="G371" i="9"/>
  <c r="Y370" i="15" s="1"/>
  <c r="G373" i="9"/>
  <c r="Y372" i="15" s="1"/>
  <c r="G374" i="9"/>
  <c r="G375"/>
  <c r="G376"/>
  <c r="G377"/>
  <c r="G378"/>
  <c r="G379"/>
  <c r="I378" i="5" s="1"/>
  <c r="G380" i="9"/>
  <c r="G381"/>
  <c r="G382"/>
  <c r="G383"/>
  <c r="G384"/>
  <c r="G385"/>
  <c r="G387"/>
  <c r="G388"/>
  <c r="Y387" i="15" s="1"/>
  <c r="G389" i="9"/>
  <c r="G390"/>
  <c r="G391"/>
  <c r="G392"/>
  <c r="G393"/>
  <c r="G394"/>
  <c r="G395"/>
  <c r="G396"/>
  <c r="G397"/>
  <c r="G398"/>
  <c r="G399"/>
  <c r="Y398" i="15" s="1"/>
  <c r="G401" i="9"/>
  <c r="G402"/>
  <c r="G403"/>
  <c r="G404"/>
  <c r="Y403" i="15" s="1"/>
  <c r="G405" i="9"/>
  <c r="G406"/>
  <c r="G407"/>
  <c r="G408"/>
  <c r="G409"/>
  <c r="G410"/>
  <c r="G411"/>
  <c r="G412"/>
  <c r="G413"/>
  <c r="G415"/>
  <c r="G416"/>
  <c r="G417"/>
  <c r="G418"/>
  <c r="G419"/>
  <c r="G420"/>
  <c r="G421"/>
  <c r="Y420" i="15" s="1"/>
  <c r="G422" i="9"/>
  <c r="I421" i="5" s="1"/>
  <c r="G423" i="9"/>
  <c r="G424"/>
  <c r="G425"/>
  <c r="G426"/>
  <c r="G427"/>
  <c r="G429"/>
  <c r="G430"/>
  <c r="G431"/>
  <c r="G432"/>
  <c r="I431" i="5" s="1"/>
  <c r="G433" i="9"/>
  <c r="G434"/>
  <c r="G435"/>
  <c r="G436"/>
  <c r="G437"/>
  <c r="G438"/>
  <c r="G439"/>
  <c r="G440"/>
  <c r="G441"/>
  <c r="I304" i="5"/>
  <c r="F429" i="9"/>
  <c r="F428"/>
  <c r="E428"/>
  <c r="F415"/>
  <c r="F414"/>
  <c r="H413" i="5" s="1"/>
  <c r="E414" i="9"/>
  <c r="F400"/>
  <c r="F386"/>
  <c r="V385" i="15" s="1"/>
  <c r="F372" i="9"/>
  <c r="F358"/>
  <c r="H357" i="5" s="1"/>
  <c r="F344" i="9"/>
  <c r="F330"/>
  <c r="F316"/>
  <c r="F302"/>
  <c r="H301" i="5" s="1"/>
  <c r="F288" i="9"/>
  <c r="F274"/>
  <c r="F260"/>
  <c r="F246"/>
  <c r="H245" i="5" s="1"/>
  <c r="F232" i="9"/>
  <c r="F218"/>
  <c r="F204"/>
  <c r="V203" i="15" s="1"/>
  <c r="F190" i="9"/>
  <c r="H189" i="5" s="1"/>
  <c r="F176" i="9"/>
  <c r="F162"/>
  <c r="F148"/>
  <c r="V147" i="15" s="1"/>
  <c r="F134" i="9"/>
  <c r="H133" i="5" s="1"/>
  <c r="F120" i="9"/>
  <c r="F106"/>
  <c r="F78"/>
  <c r="H77" i="5" s="1"/>
  <c r="F64" i="9"/>
  <c r="V63" i="15" s="1"/>
  <c r="F36" i="9"/>
  <c r="V35" i="15" s="1"/>
  <c r="F22" i="9"/>
  <c r="F8"/>
  <c r="H7" i="5" s="1"/>
  <c r="F9" i="9"/>
  <c r="F10"/>
  <c r="V9" i="15" s="1"/>
  <c r="F11" i="9"/>
  <c r="F12"/>
  <c r="F13"/>
  <c r="F14"/>
  <c r="F15"/>
  <c r="V14" i="15" s="1"/>
  <c r="F16" i="9"/>
  <c r="V15" i="15" s="1"/>
  <c r="F17" i="9"/>
  <c r="H16" i="5" s="1"/>
  <c r="F18" i="9"/>
  <c r="F19"/>
  <c r="F20"/>
  <c r="F21"/>
  <c r="F23"/>
  <c r="F24"/>
  <c r="V23" i="15" s="1"/>
  <c r="F25" i="9"/>
  <c r="F26"/>
  <c r="F27"/>
  <c r="H26" i="5" s="1"/>
  <c r="F28" i="9"/>
  <c r="V27" i="15" s="1"/>
  <c r="F29" i="9"/>
  <c r="F30"/>
  <c r="F31"/>
  <c r="F32"/>
  <c r="V31" i="15" s="1"/>
  <c r="F33" i="9"/>
  <c r="F34"/>
  <c r="F35"/>
  <c r="F37"/>
  <c r="F38"/>
  <c r="F39"/>
  <c r="F40"/>
  <c r="F41"/>
  <c r="F42"/>
  <c r="F43"/>
  <c r="F44"/>
  <c r="F45"/>
  <c r="F46"/>
  <c r="H45" i="5" s="1"/>
  <c r="F47" i="9"/>
  <c r="F48"/>
  <c r="F49"/>
  <c r="V48" i="15" s="1"/>
  <c r="F51" i="9"/>
  <c r="F52"/>
  <c r="V51" i="15" s="1"/>
  <c r="F53" i="9"/>
  <c r="F54"/>
  <c r="H53" i="5" s="1"/>
  <c r="F55" i="9"/>
  <c r="F56"/>
  <c r="F57"/>
  <c r="V56" i="15" s="1"/>
  <c r="F58" i="9"/>
  <c r="F59"/>
  <c r="F60"/>
  <c r="V59" i="15" s="1"/>
  <c r="F61" i="9"/>
  <c r="F62"/>
  <c r="H61" i="5" s="1"/>
  <c r="F63" i="9"/>
  <c r="F65"/>
  <c r="F66"/>
  <c r="V65" i="15" s="1"/>
  <c r="F67" i="9"/>
  <c r="F68"/>
  <c r="V67" i="15" s="1"/>
  <c r="F69" i="9"/>
  <c r="F70"/>
  <c r="F71"/>
  <c r="V70" i="15" s="1"/>
  <c r="F72" i="9"/>
  <c r="V71" i="15" s="1"/>
  <c r="F73" i="9"/>
  <c r="F74"/>
  <c r="V73" i="15" s="1"/>
  <c r="F75" i="9"/>
  <c r="F76"/>
  <c r="F77"/>
  <c r="F79"/>
  <c r="V78" i="15" s="1"/>
  <c r="F80" i="9"/>
  <c r="V79" i="15" s="1"/>
  <c r="F81" i="9"/>
  <c r="F82"/>
  <c r="F83"/>
  <c r="F84"/>
  <c r="V83" i="15" s="1"/>
  <c r="F85" i="9"/>
  <c r="F86"/>
  <c r="H85" i="5" s="1"/>
  <c r="F87" i="9"/>
  <c r="F88"/>
  <c r="V87" i="15" s="1"/>
  <c r="F89" i="9"/>
  <c r="F90"/>
  <c r="F91"/>
  <c r="F93"/>
  <c r="F94"/>
  <c r="H93" i="5" s="1"/>
  <c r="F95" i="9"/>
  <c r="F96"/>
  <c r="F97"/>
  <c r="F98"/>
  <c r="F99"/>
  <c r="F100"/>
  <c r="F101"/>
  <c r="F102"/>
  <c r="F103"/>
  <c r="F104"/>
  <c r="V103" i="15" s="1"/>
  <c r="F105" i="9"/>
  <c r="F107"/>
  <c r="F108"/>
  <c r="V107" i="15" s="1"/>
  <c r="F109" i="9"/>
  <c r="F110"/>
  <c r="H109" i="5" s="1"/>
  <c r="F111" i="9"/>
  <c r="F112"/>
  <c r="V111" i="15" s="1"/>
  <c r="F113" i="9"/>
  <c r="F114"/>
  <c r="V113" i="15" s="1"/>
  <c r="F115" i="9"/>
  <c r="F116"/>
  <c r="V115" i="15" s="1"/>
  <c r="F117" i="9"/>
  <c r="F118"/>
  <c r="H117" i="5" s="1"/>
  <c r="F119" i="9"/>
  <c r="F121"/>
  <c r="F122"/>
  <c r="V121" i="15" s="1"/>
  <c r="F123" i="9"/>
  <c r="V122" i="15" s="1"/>
  <c r="F124" i="9"/>
  <c r="F125"/>
  <c r="F126"/>
  <c r="H125" i="5" s="1"/>
  <c r="F127" i="9"/>
  <c r="F128"/>
  <c r="F129"/>
  <c r="F130"/>
  <c r="F131"/>
  <c r="V130" i="15" s="1"/>
  <c r="F132" i="9"/>
  <c r="F133"/>
  <c r="F135"/>
  <c r="F136"/>
  <c r="V135" i="15" s="1"/>
  <c r="F137" i="9"/>
  <c r="F138"/>
  <c r="F139"/>
  <c r="F140"/>
  <c r="V139" i="15" s="1"/>
  <c r="F141" i="9"/>
  <c r="F142"/>
  <c r="H141" i="5" s="1"/>
  <c r="F143" i="9"/>
  <c r="F144"/>
  <c r="V143" i="15" s="1"/>
  <c r="F145" i="9"/>
  <c r="F146"/>
  <c r="F147"/>
  <c r="V146" i="15" s="1"/>
  <c r="F149" i="9"/>
  <c r="F150"/>
  <c r="F151"/>
  <c r="F152"/>
  <c r="F153"/>
  <c r="F154"/>
  <c r="F155"/>
  <c r="F156"/>
  <c r="F157"/>
  <c r="F158"/>
  <c r="H157" i="5" s="1"/>
  <c r="F159" i="9"/>
  <c r="F160"/>
  <c r="V159" i="15" s="1"/>
  <c r="F161" i="9"/>
  <c r="F163"/>
  <c r="F164"/>
  <c r="V163" i="15" s="1"/>
  <c r="F165" i="9"/>
  <c r="F166"/>
  <c r="H165" i="5" s="1"/>
  <c r="F167" i="9"/>
  <c r="F168"/>
  <c r="V167" i="15" s="1"/>
  <c r="F169" i="9"/>
  <c r="F170"/>
  <c r="V169" i="15" s="1"/>
  <c r="F171" i="9"/>
  <c r="F172"/>
  <c r="V171" i="15" s="1"/>
  <c r="F173" i="9"/>
  <c r="F174"/>
  <c r="H173" i="5" s="1"/>
  <c r="F175" i="9"/>
  <c r="F177"/>
  <c r="F178"/>
  <c r="F179"/>
  <c r="V178" i="15" s="1"/>
  <c r="F180" i="9"/>
  <c r="F181"/>
  <c r="F182"/>
  <c r="F183"/>
  <c r="F184"/>
  <c r="V183" i="15" s="1"/>
  <c r="F185" i="9"/>
  <c r="F186"/>
  <c r="F187"/>
  <c r="V186" i="15" s="1"/>
  <c r="F188" i="9"/>
  <c r="V187" i="15" s="1"/>
  <c r="F189" i="9"/>
  <c r="F191"/>
  <c r="F192"/>
  <c r="V191" i="15" s="1"/>
  <c r="F193" i="9"/>
  <c r="F194"/>
  <c r="F195"/>
  <c r="F196"/>
  <c r="F197"/>
  <c r="F198"/>
  <c r="H197" i="5" s="1"/>
  <c r="F199" i="9"/>
  <c r="F200"/>
  <c r="V199" i="15" s="1"/>
  <c r="F201" i="9"/>
  <c r="F202"/>
  <c r="F203"/>
  <c r="V202" i="15" s="1"/>
  <c r="F205" i="9"/>
  <c r="F206"/>
  <c r="H205" i="5" s="1"/>
  <c r="F207" i="9"/>
  <c r="F208"/>
  <c r="V207" i="15" s="1"/>
  <c r="F209" i="9"/>
  <c r="F210"/>
  <c r="F211"/>
  <c r="F212"/>
  <c r="V211" i="15" s="1"/>
  <c r="F213" i="9"/>
  <c r="F214"/>
  <c r="F215"/>
  <c r="F216"/>
  <c r="V215" i="15" s="1"/>
  <c r="F217" i="9"/>
  <c r="F219"/>
  <c r="F220"/>
  <c r="F221"/>
  <c r="F222"/>
  <c r="H221" i="5" s="1"/>
  <c r="F223" i="9"/>
  <c r="F224"/>
  <c r="V223" i="15" s="1"/>
  <c r="F225" i="9"/>
  <c r="F226"/>
  <c r="V225" i="15" s="1"/>
  <c r="F227" i="9"/>
  <c r="F228"/>
  <c r="F229"/>
  <c r="F230"/>
  <c r="H229" i="5" s="1"/>
  <c r="F231" i="9"/>
  <c r="F233"/>
  <c r="F234"/>
  <c r="F235"/>
  <c r="F236"/>
  <c r="F237"/>
  <c r="F238"/>
  <c r="H237" i="5" s="1"/>
  <c r="F239" i="9"/>
  <c r="V238" i="15" s="1"/>
  <c r="F240" i="9"/>
  <c r="V239" i="15" s="1"/>
  <c r="F241" i="9"/>
  <c r="F242"/>
  <c r="F243"/>
  <c r="F244"/>
  <c r="F245"/>
  <c r="F247"/>
  <c r="F248"/>
  <c r="F249"/>
  <c r="F250"/>
  <c r="F251"/>
  <c r="F252"/>
  <c r="V251" i="15" s="1"/>
  <c r="F253" i="9"/>
  <c r="F254"/>
  <c r="H253" i="5" s="1"/>
  <c r="F255" i="9"/>
  <c r="V254" i="15" s="1"/>
  <c r="F256" i="9"/>
  <c r="F257"/>
  <c r="F258"/>
  <c r="F259"/>
  <c r="F261"/>
  <c r="F262"/>
  <c r="F263"/>
  <c r="V262" i="15" s="1"/>
  <c r="F264" i="9"/>
  <c r="F265"/>
  <c r="V264" i="15" s="1"/>
  <c r="F266" i="9"/>
  <c r="F267"/>
  <c r="F268"/>
  <c r="V267" i="15" s="1"/>
  <c r="F269" i="9"/>
  <c r="F270"/>
  <c r="H269" i="5" s="1"/>
  <c r="F271" i="9"/>
  <c r="F272"/>
  <c r="F273"/>
  <c r="F275"/>
  <c r="F276"/>
  <c r="F277"/>
  <c r="F278"/>
  <c r="H277" i="5" s="1"/>
  <c r="F279" i="9"/>
  <c r="F280"/>
  <c r="F281"/>
  <c r="F282"/>
  <c r="F283"/>
  <c r="F284"/>
  <c r="F285"/>
  <c r="F286"/>
  <c r="H285" i="5" s="1"/>
  <c r="F287" i="9"/>
  <c r="F289"/>
  <c r="F290"/>
  <c r="F291"/>
  <c r="V290" i="15" s="1"/>
  <c r="F292" i="9"/>
  <c r="F293"/>
  <c r="F294"/>
  <c r="F295"/>
  <c r="V294" i="15" s="1"/>
  <c r="F296" i="9"/>
  <c r="F297"/>
  <c r="F298"/>
  <c r="V297" i="15" s="1"/>
  <c r="F299" i="9"/>
  <c r="F300"/>
  <c r="F301"/>
  <c r="F303"/>
  <c r="F304"/>
  <c r="F305"/>
  <c r="F306"/>
  <c r="F307"/>
  <c r="F308"/>
  <c r="V307" i="15" s="1"/>
  <c r="F309" i="9"/>
  <c r="F310"/>
  <c r="H309" i="5" s="1"/>
  <c r="F311" i="9"/>
  <c r="F312"/>
  <c r="V311" i="15" s="1"/>
  <c r="F313" i="9"/>
  <c r="F314"/>
  <c r="F315"/>
  <c r="F317"/>
  <c r="F318"/>
  <c r="H317" i="5" s="1"/>
  <c r="F319" i="9"/>
  <c r="F320"/>
  <c r="F321"/>
  <c r="F322"/>
  <c r="F323"/>
  <c r="F324"/>
  <c r="F325"/>
  <c r="F326"/>
  <c r="F327"/>
  <c r="F328"/>
  <c r="F329"/>
  <c r="F331"/>
  <c r="F332"/>
  <c r="F333"/>
  <c r="F334"/>
  <c r="H333" i="5" s="1"/>
  <c r="F335" i="9"/>
  <c r="F336"/>
  <c r="F337"/>
  <c r="F338"/>
  <c r="V337" i="15" s="1"/>
  <c r="F339" i="9"/>
  <c r="F340"/>
  <c r="F341"/>
  <c r="F342"/>
  <c r="H341" i="5" s="1"/>
  <c r="F343" i="9"/>
  <c r="F345"/>
  <c r="F346"/>
  <c r="V345" i="15" s="1"/>
  <c r="F347" i="9"/>
  <c r="F348"/>
  <c r="F349"/>
  <c r="F350"/>
  <c r="H349" i="5" s="1"/>
  <c r="F351" i="9"/>
  <c r="F352"/>
  <c r="F353"/>
  <c r="F354"/>
  <c r="V353" i="15" s="1"/>
  <c r="F355" i="9"/>
  <c r="F356"/>
  <c r="F357"/>
  <c r="F359"/>
  <c r="F360"/>
  <c r="V359" i="15" s="1"/>
  <c r="F361" i="9"/>
  <c r="F362"/>
  <c r="F363"/>
  <c r="F364"/>
  <c r="F365"/>
  <c r="F366"/>
  <c r="H365" i="5" s="1"/>
  <c r="F367" i="9"/>
  <c r="F368"/>
  <c r="V367" i="15" s="1"/>
  <c r="F369" i="9"/>
  <c r="F370"/>
  <c r="F371"/>
  <c r="F373"/>
  <c r="F374"/>
  <c r="F375"/>
  <c r="V374" i="15" s="1"/>
  <c r="F376" i="9"/>
  <c r="F377"/>
  <c r="F378"/>
  <c r="F379"/>
  <c r="V378" i="15" s="1"/>
  <c r="F380" i="9"/>
  <c r="V379" i="15" s="1"/>
  <c r="F381" i="9"/>
  <c r="F382"/>
  <c r="H381" i="5" s="1"/>
  <c r="F383" i="9"/>
  <c r="F384"/>
  <c r="V383" i="15" s="1"/>
  <c r="F385" i="9"/>
  <c r="F387"/>
  <c r="F388"/>
  <c r="F389"/>
  <c r="F390"/>
  <c r="H389" i="5" s="1"/>
  <c r="F391" i="9"/>
  <c r="F392"/>
  <c r="F393"/>
  <c r="F394"/>
  <c r="F395"/>
  <c r="F396"/>
  <c r="F397"/>
  <c r="F398"/>
  <c r="H397" i="5" s="1"/>
  <c r="F399" i="9"/>
  <c r="F401"/>
  <c r="F402"/>
  <c r="V401" i="15" s="1"/>
  <c r="F403" i="9"/>
  <c r="F404"/>
  <c r="F405"/>
  <c r="F406"/>
  <c r="F407"/>
  <c r="F408"/>
  <c r="F409"/>
  <c r="F410"/>
  <c r="V409" i="15" s="1"/>
  <c r="F411" i="9"/>
  <c r="V410" i="15" s="1"/>
  <c r="F412" i="9"/>
  <c r="F413"/>
  <c r="F416"/>
  <c r="F417"/>
  <c r="V416" i="15" s="1"/>
  <c r="F418" i="9"/>
  <c r="F419"/>
  <c r="F420"/>
  <c r="V419" i="15" s="1"/>
  <c r="F421" i="9"/>
  <c r="F422"/>
  <c r="F423"/>
  <c r="V422" i="15" s="1"/>
  <c r="F424" i="9"/>
  <c r="V423" i="15" s="1"/>
  <c r="F425" i="9"/>
  <c r="F426"/>
  <c r="F427"/>
  <c r="F430"/>
  <c r="H429" i="5" s="1"/>
  <c r="F431" i="9"/>
  <c r="F432"/>
  <c r="F433"/>
  <c r="F434"/>
  <c r="V433" i="15" s="1"/>
  <c r="F435" i="9"/>
  <c r="F436"/>
  <c r="F437"/>
  <c r="F438"/>
  <c r="F439"/>
  <c r="F440"/>
  <c r="F441"/>
  <c r="E441"/>
  <c r="G440" i="5" s="1"/>
  <c r="E440" i="9"/>
  <c r="E439"/>
  <c r="S438" i="15" s="1"/>
  <c r="E438" i="9"/>
  <c r="E437"/>
  <c r="S436" i="15" s="1"/>
  <c r="E436" i="9"/>
  <c r="E435"/>
  <c r="S434" i="15" s="1"/>
  <c r="E434" i="9"/>
  <c r="E433"/>
  <c r="S432" i="15" s="1"/>
  <c r="E432" i="9"/>
  <c r="E431"/>
  <c r="S430" i="15" s="1"/>
  <c r="E430" i="9"/>
  <c r="E429"/>
  <c r="S428" i="15" s="1"/>
  <c r="E427" i="9"/>
  <c r="E426"/>
  <c r="E425"/>
  <c r="E424"/>
  <c r="E423"/>
  <c r="E422"/>
  <c r="E421"/>
  <c r="E420"/>
  <c r="E419"/>
  <c r="E418"/>
  <c r="E417"/>
  <c r="E416"/>
  <c r="E415"/>
  <c r="E413"/>
  <c r="S412" i="15" s="1"/>
  <c r="E412" i="9"/>
  <c r="E411"/>
  <c r="S410" i="15" s="1"/>
  <c r="E410" i="9"/>
  <c r="E409"/>
  <c r="S408" i="15" s="1"/>
  <c r="E408" i="9"/>
  <c r="E407"/>
  <c r="S406" i="15" s="1"/>
  <c r="E406" i="9"/>
  <c r="E405"/>
  <c r="S404" i="15" s="1"/>
  <c r="E404" i="9"/>
  <c r="E403"/>
  <c r="S402" i="15" s="1"/>
  <c r="E402" i="9"/>
  <c r="E401"/>
  <c r="S400" i="15" s="1"/>
  <c r="E400" i="9"/>
  <c r="E399"/>
  <c r="S398" i="15" s="1"/>
  <c r="E398" i="9"/>
  <c r="E397"/>
  <c r="S396" i="15" s="1"/>
  <c r="E396" i="9"/>
  <c r="E395"/>
  <c r="S394" i="15" s="1"/>
  <c r="E394" i="9"/>
  <c r="E393"/>
  <c r="G392" i="5" s="1"/>
  <c r="E392" i="9"/>
  <c r="E391"/>
  <c r="S390" i="15" s="1"/>
  <c r="E390" i="9"/>
  <c r="E389"/>
  <c r="S388" i="15" s="1"/>
  <c r="E388" i="9"/>
  <c r="E387"/>
  <c r="S386" i="15" s="1"/>
  <c r="E386" i="9"/>
  <c r="E385"/>
  <c r="S384" i="15" s="1"/>
  <c r="E384" i="9"/>
  <c r="E383"/>
  <c r="S382" i="15" s="1"/>
  <c r="E382" i="9"/>
  <c r="E381"/>
  <c r="S380" i="15" s="1"/>
  <c r="E380" i="9"/>
  <c r="E379"/>
  <c r="S378" i="15" s="1"/>
  <c r="E378" i="9"/>
  <c r="E377"/>
  <c r="S376" i="15" s="1"/>
  <c r="E376" i="9"/>
  <c r="E375"/>
  <c r="S374" i="15" s="1"/>
  <c r="E374" i="9"/>
  <c r="E373"/>
  <c r="S372" i="15" s="1"/>
  <c r="E372" i="9"/>
  <c r="E371"/>
  <c r="S370" i="15" s="1"/>
  <c r="E370" i="9"/>
  <c r="E369"/>
  <c r="S368" i="15" s="1"/>
  <c r="E368" i="9"/>
  <c r="E367"/>
  <c r="S366" i="15" s="1"/>
  <c r="E366" i="9"/>
  <c r="E365"/>
  <c r="S364" i="15" s="1"/>
  <c r="E364" i="9"/>
  <c r="E363"/>
  <c r="S362" i="15" s="1"/>
  <c r="E362" i="9"/>
  <c r="E361"/>
  <c r="S360" i="15" s="1"/>
  <c r="E360" i="9"/>
  <c r="E359"/>
  <c r="S358" i="15" s="1"/>
  <c r="E358" i="9"/>
  <c r="E357"/>
  <c r="S356" i="15" s="1"/>
  <c r="E356" i="9"/>
  <c r="E355"/>
  <c r="S354" i="15" s="1"/>
  <c r="E354" i="9"/>
  <c r="E353"/>
  <c r="S352" i="15" s="1"/>
  <c r="E352" i="9"/>
  <c r="E351"/>
  <c r="S350" i="15" s="1"/>
  <c r="E350" i="9"/>
  <c r="E349"/>
  <c r="S348" i="15" s="1"/>
  <c r="E348" i="9"/>
  <c r="E347"/>
  <c r="S346" i="15" s="1"/>
  <c r="E346" i="9"/>
  <c r="E345"/>
  <c r="S344" i="15" s="1"/>
  <c r="E344" i="9"/>
  <c r="E343"/>
  <c r="S342" i="15" s="1"/>
  <c r="E342" i="9"/>
  <c r="E341"/>
  <c r="S340" i="15" s="1"/>
  <c r="E340" i="9"/>
  <c r="E339"/>
  <c r="S338" i="15" s="1"/>
  <c r="E338" i="9"/>
  <c r="E337"/>
  <c r="S336" i="15" s="1"/>
  <c r="E336" i="9"/>
  <c r="E335"/>
  <c r="S334" i="15" s="1"/>
  <c r="E334" i="9"/>
  <c r="E333"/>
  <c r="S332" i="15" s="1"/>
  <c r="E332" i="9"/>
  <c r="E331"/>
  <c r="S330" i="15" s="1"/>
  <c r="E330" i="9"/>
  <c r="E329"/>
  <c r="S328" i="15" s="1"/>
  <c r="E328" i="9"/>
  <c r="E327"/>
  <c r="S326" i="15" s="1"/>
  <c r="E326" i="9"/>
  <c r="E325"/>
  <c r="S324" i="15" s="1"/>
  <c r="E324" i="9"/>
  <c r="E323"/>
  <c r="S322" i="15" s="1"/>
  <c r="E322" i="9"/>
  <c r="E321"/>
  <c r="S320" i="15" s="1"/>
  <c r="E320" i="9"/>
  <c r="E319"/>
  <c r="S318" i="15" s="1"/>
  <c r="E318" i="9"/>
  <c r="E317"/>
  <c r="S316" i="15" s="1"/>
  <c r="E316" i="9"/>
  <c r="E315"/>
  <c r="S314" i="15" s="1"/>
  <c r="E314" i="9"/>
  <c r="E313"/>
  <c r="S312" i="15" s="1"/>
  <c r="E312" i="9"/>
  <c r="E311"/>
  <c r="S310" i="15" s="1"/>
  <c r="E310" i="9"/>
  <c r="E309"/>
  <c r="S308" i="15" s="1"/>
  <c r="E308" i="9"/>
  <c r="E307"/>
  <c r="S306" i="15" s="1"/>
  <c r="E306" i="9"/>
  <c r="E305"/>
  <c r="S304" i="15" s="1"/>
  <c r="E304" i="9"/>
  <c r="E303"/>
  <c r="S302" i="15" s="1"/>
  <c r="E302" i="9"/>
  <c r="E301"/>
  <c r="S300" i="15" s="1"/>
  <c r="E300" i="9"/>
  <c r="E299"/>
  <c r="S298" i="15" s="1"/>
  <c r="E298" i="9"/>
  <c r="E297"/>
  <c r="S296" i="15" s="1"/>
  <c r="E296" i="9"/>
  <c r="E295"/>
  <c r="S294" i="15" s="1"/>
  <c r="E294" i="9"/>
  <c r="E293"/>
  <c r="S292" i="15" s="1"/>
  <c r="E292" i="9"/>
  <c r="E291"/>
  <c r="S290" i="15" s="1"/>
  <c r="E290" i="9"/>
  <c r="E289"/>
  <c r="S288" i="15" s="1"/>
  <c r="E288" i="9"/>
  <c r="E287"/>
  <c r="S286" i="15" s="1"/>
  <c r="E286" i="9"/>
  <c r="E285"/>
  <c r="S284" i="15" s="1"/>
  <c r="E284" i="9"/>
  <c r="E283"/>
  <c r="S282" i="15" s="1"/>
  <c r="E282" i="9"/>
  <c r="E281"/>
  <c r="G280" i="5" s="1"/>
  <c r="E280" i="9"/>
  <c r="E279"/>
  <c r="S278" i="15" s="1"/>
  <c r="E278" i="9"/>
  <c r="E277"/>
  <c r="S276" i="15" s="1"/>
  <c r="E276" i="9"/>
  <c r="E275"/>
  <c r="S274" i="15" s="1"/>
  <c r="E274" i="9"/>
  <c r="E273"/>
  <c r="S272" i="15" s="1"/>
  <c r="E272" i="9"/>
  <c r="E271"/>
  <c r="S270" i="15" s="1"/>
  <c r="E270" i="9"/>
  <c r="E269"/>
  <c r="S268" i="15" s="1"/>
  <c r="E268" i="9"/>
  <c r="E267"/>
  <c r="S266" i="15" s="1"/>
  <c r="E266" i="9"/>
  <c r="E265"/>
  <c r="G264" i="5" s="1"/>
  <c r="E264" i="9"/>
  <c r="E263"/>
  <c r="S262" i="15" s="1"/>
  <c r="E262" i="9"/>
  <c r="E261"/>
  <c r="S260" i="15" s="1"/>
  <c r="E260" i="9"/>
  <c r="E259"/>
  <c r="S258" i="15" s="1"/>
  <c r="E258" i="9"/>
  <c r="E257"/>
  <c r="S256" i="15" s="1"/>
  <c r="E256" i="9"/>
  <c r="E255"/>
  <c r="S254" i="15" s="1"/>
  <c r="E254" i="9"/>
  <c r="E253"/>
  <c r="S252" i="15" s="1"/>
  <c r="E252" i="9"/>
  <c r="E251"/>
  <c r="S250" i="15" s="1"/>
  <c r="E250" i="9"/>
  <c r="E249"/>
  <c r="G248" i="5" s="1"/>
  <c r="E248" i="9"/>
  <c r="E247"/>
  <c r="S246" i="15" s="1"/>
  <c r="E246" i="9"/>
  <c r="E245"/>
  <c r="S244" i="15" s="1"/>
  <c r="E244" i="9"/>
  <c r="E243"/>
  <c r="S242" i="15" s="1"/>
  <c r="E242" i="9"/>
  <c r="E241"/>
  <c r="S240" i="15" s="1"/>
  <c r="E240" i="9"/>
  <c r="E239"/>
  <c r="S238" i="15" s="1"/>
  <c r="E238" i="9"/>
  <c r="E237"/>
  <c r="S236" i="15" s="1"/>
  <c r="E236" i="9"/>
  <c r="E235"/>
  <c r="S234" i="15" s="1"/>
  <c r="E234" i="9"/>
  <c r="E233"/>
  <c r="G232" i="5" s="1"/>
  <c r="E232" i="9"/>
  <c r="E231"/>
  <c r="S230" i="15" s="1"/>
  <c r="E230" i="9"/>
  <c r="E229"/>
  <c r="S228" i="15" s="1"/>
  <c r="E228" i="9"/>
  <c r="E227"/>
  <c r="S226" i="15" s="1"/>
  <c r="E226" i="9"/>
  <c r="E225"/>
  <c r="S224" i="15" s="1"/>
  <c r="E224" i="9"/>
  <c r="E223"/>
  <c r="S222" i="15" s="1"/>
  <c r="E222" i="9"/>
  <c r="E221"/>
  <c r="S220" i="15" s="1"/>
  <c r="E220" i="9"/>
  <c r="E219"/>
  <c r="S218" i="15" s="1"/>
  <c r="E218" i="9"/>
  <c r="E217"/>
  <c r="G216" i="5" s="1"/>
  <c r="E216" i="9"/>
  <c r="E215"/>
  <c r="S214" i="15" s="1"/>
  <c r="E214" i="9"/>
  <c r="E213"/>
  <c r="S212" i="15" s="1"/>
  <c r="E212" i="9"/>
  <c r="E211"/>
  <c r="S210" i="15" s="1"/>
  <c r="E210" i="9"/>
  <c r="E209"/>
  <c r="S208" i="15" s="1"/>
  <c r="E208" i="9"/>
  <c r="E207"/>
  <c r="S206" i="15" s="1"/>
  <c r="E206" i="9"/>
  <c r="E205"/>
  <c r="S204" i="15" s="1"/>
  <c r="E204" i="9"/>
  <c r="E203"/>
  <c r="S202" i="15" s="1"/>
  <c r="E202" i="9"/>
  <c r="E201"/>
  <c r="G200" i="5" s="1"/>
  <c r="E200" i="9"/>
  <c r="E199"/>
  <c r="S198" i="15" s="1"/>
  <c r="E198" i="9"/>
  <c r="E197"/>
  <c r="S196" i="15" s="1"/>
  <c r="E196" i="9"/>
  <c r="E195"/>
  <c r="S194" i="15" s="1"/>
  <c r="E194" i="9"/>
  <c r="E193"/>
  <c r="S192" i="15" s="1"/>
  <c r="E192" i="9"/>
  <c r="E191"/>
  <c r="S190" i="15" s="1"/>
  <c r="E190" i="9"/>
  <c r="E189"/>
  <c r="S188" i="15" s="1"/>
  <c r="E188" i="9"/>
  <c r="E187"/>
  <c r="S186" i="15" s="1"/>
  <c r="E186" i="9"/>
  <c r="E185"/>
  <c r="S184" i="15" s="1"/>
  <c r="E184" i="9"/>
  <c r="E183"/>
  <c r="S182" i="15" s="1"/>
  <c r="E182" i="9"/>
  <c r="E181"/>
  <c r="S180" i="15" s="1"/>
  <c r="E180" i="9"/>
  <c r="E179"/>
  <c r="S178" i="15" s="1"/>
  <c r="E178" i="9"/>
  <c r="E177"/>
  <c r="S176" i="15" s="1"/>
  <c r="E176" i="9"/>
  <c r="E175"/>
  <c r="S174" i="15" s="1"/>
  <c r="E174" i="9"/>
  <c r="E173"/>
  <c r="S172" i="15" s="1"/>
  <c r="E172" i="9"/>
  <c r="E171"/>
  <c r="S170" i="15" s="1"/>
  <c r="E170" i="9"/>
  <c r="E169"/>
  <c r="S168" i="15" s="1"/>
  <c r="E168" i="9"/>
  <c r="E167"/>
  <c r="S166" i="15" s="1"/>
  <c r="E166" i="9"/>
  <c r="E165"/>
  <c r="S164" i="15" s="1"/>
  <c r="E164" i="9"/>
  <c r="E163"/>
  <c r="S162" i="15" s="1"/>
  <c r="E162" i="9"/>
  <c r="E161"/>
  <c r="S160" i="15" s="1"/>
  <c r="E160" i="9"/>
  <c r="E159"/>
  <c r="S158" i="15" s="1"/>
  <c r="E158" i="9"/>
  <c r="E157"/>
  <c r="S156" i="15" s="1"/>
  <c r="E156" i="9"/>
  <c r="E155"/>
  <c r="S154" i="15" s="1"/>
  <c r="E154" i="9"/>
  <c r="E153"/>
  <c r="S152" i="15" s="1"/>
  <c r="E152" i="9"/>
  <c r="E151"/>
  <c r="S150" i="15" s="1"/>
  <c r="E150" i="9"/>
  <c r="E149"/>
  <c r="S148" i="15" s="1"/>
  <c r="E148" i="9"/>
  <c r="E146"/>
  <c r="E145"/>
  <c r="E144"/>
  <c r="E143"/>
  <c r="E142"/>
  <c r="E141"/>
  <c r="E140"/>
  <c r="E139"/>
  <c r="E138"/>
  <c r="E137"/>
  <c r="E136"/>
  <c r="E135"/>
  <c r="E134"/>
  <c r="E133"/>
  <c r="E132"/>
  <c r="E131"/>
  <c r="E130"/>
  <c r="E129"/>
  <c r="E128"/>
  <c r="E127"/>
  <c r="E126"/>
  <c r="E125"/>
  <c r="E124"/>
  <c r="E123"/>
  <c r="E122"/>
  <c r="E121"/>
  <c r="E120"/>
  <c r="E119"/>
  <c r="E118"/>
  <c r="E117"/>
  <c r="E116"/>
  <c r="E115"/>
  <c r="E114"/>
  <c r="E113"/>
  <c r="E112"/>
  <c r="E111"/>
  <c r="E110"/>
  <c r="E109"/>
  <c r="E108"/>
  <c r="E107"/>
  <c r="E106"/>
  <c r="E105"/>
  <c r="E104"/>
  <c r="E103"/>
  <c r="E102"/>
  <c r="E101"/>
  <c r="E100"/>
  <c r="E99"/>
  <c r="E98"/>
  <c r="E97"/>
  <c r="E96"/>
  <c r="E95"/>
  <c r="E94"/>
  <c r="E93"/>
  <c r="E86"/>
  <c r="E92"/>
  <c r="E91"/>
  <c r="S90" i="15" s="1"/>
  <c r="E90" i="9"/>
  <c r="E89"/>
  <c r="S88" i="15" s="1"/>
  <c r="E88" i="9"/>
  <c r="E87"/>
  <c r="S86" i="15" s="1"/>
  <c r="E85" i="9"/>
  <c r="E84"/>
  <c r="E83"/>
  <c r="E82"/>
  <c r="E80"/>
  <c r="E81"/>
  <c r="S80" i="15" s="1"/>
  <c r="E79" i="9"/>
  <c r="E77"/>
  <c r="S76" i="15" s="1"/>
  <c r="E76" i="9"/>
  <c r="E75"/>
  <c r="E74"/>
  <c r="E73"/>
  <c r="S72" i="15" s="1"/>
  <c r="E72" i="9"/>
  <c r="E71"/>
  <c r="E78"/>
  <c r="E70"/>
  <c r="E69"/>
  <c r="E68"/>
  <c r="E67"/>
  <c r="E66"/>
  <c r="E65"/>
  <c r="E64"/>
  <c r="E63"/>
  <c r="E62"/>
  <c r="E61"/>
  <c r="E60"/>
  <c r="E59"/>
  <c r="E58"/>
  <c r="E57"/>
  <c r="E56"/>
  <c r="E55"/>
  <c r="E54"/>
  <c r="E53"/>
  <c r="E52"/>
  <c r="E51"/>
  <c r="E50"/>
  <c r="E49"/>
  <c r="E48"/>
  <c r="E47"/>
  <c r="E46"/>
  <c r="E45"/>
  <c r="E44"/>
  <c r="E43"/>
  <c r="E42"/>
  <c r="E41"/>
  <c r="E40"/>
  <c r="E39"/>
  <c r="E38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E9"/>
  <c r="E8"/>
  <c r="G7" i="5" s="1"/>
  <c r="D442" i="9"/>
  <c r="D428"/>
  <c r="D414"/>
  <c r="D400"/>
  <c r="D386"/>
  <c r="D372"/>
  <c r="F371" i="5" s="1"/>
  <c r="D358" i="9"/>
  <c r="D344"/>
  <c r="D330"/>
  <c r="D316"/>
  <c r="D302"/>
  <c r="D288"/>
  <c r="D274"/>
  <c r="D260"/>
  <c r="F259" i="5" s="1"/>
  <c r="D246" i="9"/>
  <c r="D232"/>
  <c r="D218"/>
  <c r="D204"/>
  <c r="D190"/>
  <c r="D176"/>
  <c r="D162"/>
  <c r="D148"/>
  <c r="P147" i="15" s="1"/>
  <c r="D134" i="9"/>
  <c r="P133" i="15" s="1"/>
  <c r="D120" i="9"/>
  <c r="P119" i="15" s="1"/>
  <c r="D106" i="9"/>
  <c r="P105" i="15" s="1"/>
  <c r="D92" i="9"/>
  <c r="P91" i="15" s="1"/>
  <c r="D78" i="9"/>
  <c r="P77" i="15" s="1"/>
  <c r="D64" i="9"/>
  <c r="P63" i="15" s="1"/>
  <c r="D50" i="9"/>
  <c r="P49" i="15" s="1"/>
  <c r="D36" i="9"/>
  <c r="P35" i="15" s="1"/>
  <c r="D22" i="9"/>
  <c r="P21" i="15" s="1"/>
  <c r="D8" i="9"/>
  <c r="F7" i="5" s="1"/>
  <c r="D9" i="9"/>
  <c r="D10"/>
  <c r="D11"/>
  <c r="D12"/>
  <c r="D13"/>
  <c r="D14"/>
  <c r="D15"/>
  <c r="D16"/>
  <c r="D17"/>
  <c r="D18"/>
  <c r="D19"/>
  <c r="D20"/>
  <c r="F19" i="5" s="1"/>
  <c r="D21" i="9"/>
  <c r="D23"/>
  <c r="D24"/>
  <c r="P23" i="15" s="1"/>
  <c r="D25" i="9"/>
  <c r="D26"/>
  <c r="D27"/>
  <c r="D28"/>
  <c r="P27" i="15" s="1"/>
  <c r="D29" i="9"/>
  <c r="D30"/>
  <c r="D31"/>
  <c r="D32"/>
  <c r="P31" i="15" s="1"/>
  <c r="D33" i="9"/>
  <c r="P32" i="15" s="1"/>
  <c r="D34" i="9"/>
  <c r="D35"/>
  <c r="D37"/>
  <c r="D38"/>
  <c r="D39"/>
  <c r="D40"/>
  <c r="D41"/>
  <c r="D42"/>
  <c r="D43"/>
  <c r="D44"/>
  <c r="D45"/>
  <c r="D46"/>
  <c r="P45" i="15" s="1"/>
  <c r="D47" i="9"/>
  <c r="D48"/>
  <c r="D49"/>
  <c r="D51"/>
  <c r="D52"/>
  <c r="D53"/>
  <c r="D54"/>
  <c r="D55"/>
  <c r="D56"/>
  <c r="D57"/>
  <c r="P56" i="15" s="1"/>
  <c r="D58" i="9"/>
  <c r="D59"/>
  <c r="D60"/>
  <c r="D61"/>
  <c r="P60" i="15" s="1"/>
  <c r="D62" i="9"/>
  <c r="D63"/>
  <c r="D65"/>
  <c r="D66"/>
  <c r="P65" i="15" s="1"/>
  <c r="D67" i="9"/>
  <c r="D68"/>
  <c r="F67" i="5" s="1"/>
  <c r="D69" i="9"/>
  <c r="D70"/>
  <c r="D71"/>
  <c r="D72"/>
  <c r="D73"/>
  <c r="D74"/>
  <c r="D75"/>
  <c r="D76"/>
  <c r="D77"/>
  <c r="D79"/>
  <c r="D80"/>
  <c r="P79" i="15" s="1"/>
  <c r="D81" i="9"/>
  <c r="P80" i="15" s="1"/>
  <c r="D82" i="9"/>
  <c r="D83"/>
  <c r="D84"/>
  <c r="P83" i="15" s="1"/>
  <c r="D85" i="9"/>
  <c r="D86"/>
  <c r="D87"/>
  <c r="D88"/>
  <c r="P87" i="15" s="1"/>
  <c r="D89" i="9"/>
  <c r="D90"/>
  <c r="D91"/>
  <c r="P90" i="15" s="1"/>
  <c r="D93" i="9"/>
  <c r="D94"/>
  <c r="D95"/>
  <c r="D96"/>
  <c r="D97"/>
  <c r="D98"/>
  <c r="D99"/>
  <c r="D100"/>
  <c r="F99" i="5" s="1"/>
  <c r="D101" i="9"/>
  <c r="D102"/>
  <c r="D103"/>
  <c r="D104"/>
  <c r="D105"/>
  <c r="D107"/>
  <c r="D108"/>
  <c r="D109"/>
  <c r="D110"/>
  <c r="D111"/>
  <c r="D112"/>
  <c r="D113"/>
  <c r="D114"/>
  <c r="D115"/>
  <c r="D116"/>
  <c r="D117"/>
  <c r="P116" i="15" s="1"/>
  <c r="D118" i="9"/>
  <c r="D119"/>
  <c r="P118" i="15" s="1"/>
  <c r="D121" i="9"/>
  <c r="D122"/>
  <c r="D123"/>
  <c r="D124"/>
  <c r="D125"/>
  <c r="D126"/>
  <c r="D127"/>
  <c r="D128"/>
  <c r="D129"/>
  <c r="D130"/>
  <c r="D131"/>
  <c r="P130" i="15" s="1"/>
  <c r="D132" i="9"/>
  <c r="F131" i="5" s="1"/>
  <c r="D133" i="9"/>
  <c r="P132" i="15" s="1"/>
  <c r="D135" i="9"/>
  <c r="D136"/>
  <c r="P135" i="15" s="1"/>
  <c r="D137" i="9"/>
  <c r="D138"/>
  <c r="D139"/>
  <c r="D140"/>
  <c r="P139" i="15" s="1"/>
  <c r="D141" i="9"/>
  <c r="P140" i="15" s="1"/>
  <c r="D142" i="9"/>
  <c r="P141" i="15" s="1"/>
  <c r="D143" i="9"/>
  <c r="D144"/>
  <c r="P143" i="15" s="1"/>
  <c r="D145" i="9"/>
  <c r="D146"/>
  <c r="P145" i="15" s="1"/>
  <c r="D147" i="9"/>
  <c r="D149"/>
  <c r="D150"/>
  <c r="D151"/>
  <c r="D152"/>
  <c r="D153"/>
  <c r="P152" i="15" s="1"/>
  <c r="D154" i="9"/>
  <c r="D155"/>
  <c r="D156"/>
  <c r="D157"/>
  <c r="D158"/>
  <c r="D159"/>
  <c r="D160"/>
  <c r="D161"/>
  <c r="P160" i="15" s="1"/>
  <c r="D163" i="9"/>
  <c r="D164"/>
  <c r="D165"/>
  <c r="D166"/>
  <c r="D167"/>
  <c r="P166" i="15" s="1"/>
  <c r="D168" i="9"/>
  <c r="D169"/>
  <c r="P168" i="15" s="1"/>
  <c r="D170" i="9"/>
  <c r="D171"/>
  <c r="D172"/>
  <c r="D173"/>
  <c r="P172" i="15" s="1"/>
  <c r="D174" i="9"/>
  <c r="D175"/>
  <c r="D177"/>
  <c r="D178"/>
  <c r="D179"/>
  <c r="D180"/>
  <c r="F179" i="5" s="1"/>
  <c r="D181" i="9"/>
  <c r="P180" i="15" s="1"/>
  <c r="D182" i="9"/>
  <c r="D183"/>
  <c r="P182" i="15" s="1"/>
  <c r="D184" i="9"/>
  <c r="D185"/>
  <c r="D186"/>
  <c r="D187"/>
  <c r="D188"/>
  <c r="D189"/>
  <c r="D191"/>
  <c r="D192"/>
  <c r="P191" i="15" s="1"/>
  <c r="D193" i="9"/>
  <c r="D194"/>
  <c r="D195"/>
  <c r="D196"/>
  <c r="P195" i="15" s="1"/>
  <c r="D197" i="9"/>
  <c r="D198"/>
  <c r="D199"/>
  <c r="D200"/>
  <c r="P199" i="15" s="1"/>
  <c r="D201" i="9"/>
  <c r="D202"/>
  <c r="D203"/>
  <c r="P202" i="15" s="1"/>
  <c r="D205" i="9"/>
  <c r="P204" i="15" s="1"/>
  <c r="D206" i="9"/>
  <c r="D207"/>
  <c r="D208"/>
  <c r="D209"/>
  <c r="D210"/>
  <c r="D211"/>
  <c r="D212"/>
  <c r="F211" i="5" s="1"/>
  <c r="D213" i="9"/>
  <c r="D214"/>
  <c r="D215"/>
  <c r="D216"/>
  <c r="P215" i="15" s="1"/>
  <c r="D217" i="9"/>
  <c r="D219"/>
  <c r="D220"/>
  <c r="D221"/>
  <c r="P220" i="15" s="1"/>
  <c r="D222" i="9"/>
  <c r="D223"/>
  <c r="D224"/>
  <c r="D225"/>
  <c r="D226"/>
  <c r="D227"/>
  <c r="D228"/>
  <c r="D229"/>
  <c r="D230"/>
  <c r="D231"/>
  <c r="D233"/>
  <c r="D234"/>
  <c r="P233" i="15" s="1"/>
  <c r="D235" i="9"/>
  <c r="D236"/>
  <c r="D237"/>
  <c r="D238"/>
  <c r="D239"/>
  <c r="D240"/>
  <c r="D241"/>
  <c r="D242"/>
  <c r="D243"/>
  <c r="D244"/>
  <c r="F243" i="5" s="1"/>
  <c r="D245" i="9"/>
  <c r="D247"/>
  <c r="D248"/>
  <c r="P247" i="15" s="1"/>
  <c r="D249" i="9"/>
  <c r="P248" i="15" s="1"/>
  <c r="D250" i="9"/>
  <c r="D251"/>
  <c r="D252"/>
  <c r="P251" i="15" s="1"/>
  <c r="D253" i="9"/>
  <c r="P252" i="15" s="1"/>
  <c r="D254" i="9"/>
  <c r="D255"/>
  <c r="D256"/>
  <c r="P255" i="15" s="1"/>
  <c r="D257" i="9"/>
  <c r="P256" i="15" s="1"/>
  <c r="D258" i="9"/>
  <c r="D259"/>
  <c r="D261"/>
  <c r="D262"/>
  <c r="D263"/>
  <c r="D264"/>
  <c r="D265"/>
  <c r="D266"/>
  <c r="D267"/>
  <c r="D268"/>
  <c r="D269"/>
  <c r="D270"/>
  <c r="P269" i="15" s="1"/>
  <c r="D271" i="9"/>
  <c r="D272"/>
  <c r="P271" i="15" s="1"/>
  <c r="D273" i="9"/>
  <c r="D275"/>
  <c r="D276"/>
  <c r="D277"/>
  <c r="D278"/>
  <c r="D279"/>
  <c r="D280"/>
  <c r="D281"/>
  <c r="D282"/>
  <c r="D283"/>
  <c r="D284"/>
  <c r="D285"/>
  <c r="P284" i="15" s="1"/>
  <c r="D286" i="9"/>
  <c r="D287"/>
  <c r="D289"/>
  <c r="D290"/>
  <c r="D291"/>
  <c r="D292"/>
  <c r="F291" i="5" s="1"/>
  <c r="D293" i="9"/>
  <c r="P292" i="15" s="1"/>
  <c r="D294" i="9"/>
  <c r="D295"/>
  <c r="D296"/>
  <c r="D297"/>
  <c r="D298"/>
  <c r="D299"/>
  <c r="P298" i="15" s="1"/>
  <c r="D300" i="9"/>
  <c r="D301"/>
  <c r="D303"/>
  <c r="D304"/>
  <c r="D305"/>
  <c r="D306"/>
  <c r="D307"/>
  <c r="D308"/>
  <c r="D309"/>
  <c r="P308" i="15" s="1"/>
  <c r="D310" i="9"/>
  <c r="D311"/>
  <c r="D312"/>
  <c r="D313"/>
  <c r="D314"/>
  <c r="D315"/>
  <c r="D317"/>
  <c r="D318"/>
  <c r="D319"/>
  <c r="D320"/>
  <c r="D321"/>
  <c r="D322"/>
  <c r="P321" i="15" s="1"/>
  <c r="D323" i="9"/>
  <c r="D324"/>
  <c r="P323" i="15" s="1"/>
  <c r="D325" i="9"/>
  <c r="D326"/>
  <c r="D327"/>
  <c r="D328"/>
  <c r="D329"/>
  <c r="D331"/>
  <c r="D332"/>
  <c r="D333"/>
  <c r="D334"/>
  <c r="D335"/>
  <c r="D336"/>
  <c r="P335" i="15" s="1"/>
  <c r="D337" i="9"/>
  <c r="D338"/>
  <c r="D339"/>
  <c r="D340"/>
  <c r="D341"/>
  <c r="D342"/>
  <c r="D343"/>
  <c r="D345"/>
  <c r="D346"/>
  <c r="D347"/>
  <c r="P346" i="15" s="1"/>
  <c r="D348" i="9"/>
  <c r="D349"/>
  <c r="D350"/>
  <c r="P349" i="15" s="1"/>
  <c r="D351" i="9"/>
  <c r="D352"/>
  <c r="D353"/>
  <c r="P352" i="15" s="1"/>
  <c r="D354" i="9"/>
  <c r="D355"/>
  <c r="P354" i="15" s="1"/>
  <c r="D356" i="9"/>
  <c r="P355" i="15" s="1"/>
  <c r="D357" i="9"/>
  <c r="D359"/>
  <c r="D360"/>
  <c r="D361"/>
  <c r="D362"/>
  <c r="D363"/>
  <c r="P362" i="15" s="1"/>
  <c r="D364" i="9"/>
  <c r="D365"/>
  <c r="D366"/>
  <c r="D367"/>
  <c r="D368"/>
  <c r="D369"/>
  <c r="D370"/>
  <c r="D371"/>
  <c r="D373"/>
  <c r="D374"/>
  <c r="D375"/>
  <c r="D376"/>
  <c r="D377"/>
  <c r="P376" i="15" s="1"/>
  <c r="D378" i="9"/>
  <c r="D379"/>
  <c r="D380"/>
  <c r="P379" i="15" s="1"/>
  <c r="D381" i="9"/>
  <c r="D382"/>
  <c r="P381" i="15" s="1"/>
  <c r="D383" i="9"/>
  <c r="D384"/>
  <c r="D385"/>
  <c r="D387"/>
  <c r="P386" i="15" s="1"/>
  <c r="D388" i="9"/>
  <c r="D389"/>
  <c r="P388" i="15" s="1"/>
  <c r="D390" i="9"/>
  <c r="D391"/>
  <c r="D392"/>
  <c r="D393"/>
  <c r="D394"/>
  <c r="D395"/>
  <c r="D396"/>
  <c r="D397"/>
  <c r="P396" i="15" s="1"/>
  <c r="D398" i="9"/>
  <c r="D399"/>
  <c r="D401"/>
  <c r="D402"/>
  <c r="P401" i="15" s="1"/>
  <c r="D403" i="9"/>
  <c r="P402" i="15" s="1"/>
  <c r="D404" i="9"/>
  <c r="F403" i="5" s="1"/>
  <c r="D405" i="9"/>
  <c r="P404" i="15" s="1"/>
  <c r="D406" i="9"/>
  <c r="D407"/>
  <c r="D408"/>
  <c r="D409"/>
  <c r="D410"/>
  <c r="D411"/>
  <c r="P410" i="15" s="1"/>
  <c r="D412" i="9"/>
  <c r="D413"/>
  <c r="D415"/>
  <c r="D416"/>
  <c r="D417"/>
  <c r="P416" i="15" s="1"/>
  <c r="D418" i="9"/>
  <c r="P417" i="15" s="1"/>
  <c r="D419" i="9"/>
  <c r="D420"/>
  <c r="D421"/>
  <c r="P420" i="15" s="1"/>
  <c r="D422" i="9"/>
  <c r="D423"/>
  <c r="D424"/>
  <c r="D425"/>
  <c r="D426"/>
  <c r="D427"/>
  <c r="P426" i="15" s="1"/>
  <c r="D429" i="9"/>
  <c r="D430"/>
  <c r="D431"/>
  <c r="D432"/>
  <c r="D433"/>
  <c r="P432" i="15" s="1"/>
  <c r="D434" i="9"/>
  <c r="D435"/>
  <c r="D436"/>
  <c r="P435" i="15" s="1"/>
  <c r="D437" i="9"/>
  <c r="D438"/>
  <c r="D439"/>
  <c r="D440"/>
  <c r="D441"/>
  <c r="D443"/>
  <c r="D444"/>
  <c r="D445"/>
  <c r="F376" i="5"/>
  <c r="C445" i="9"/>
  <c r="M444" i="15" s="1"/>
  <c r="C444" i="9"/>
  <c r="C443"/>
  <c r="M442" i="15" s="1"/>
  <c r="C442" i="9"/>
  <c r="M441" i="15" s="1"/>
  <c r="C441" i="9"/>
  <c r="C440"/>
  <c r="C439"/>
  <c r="C438"/>
  <c r="C437"/>
  <c r="C436"/>
  <c r="M435" i="15" s="1"/>
  <c r="C435" i="9"/>
  <c r="C434"/>
  <c r="C433"/>
  <c r="M432" i="15" s="1"/>
  <c r="C432" i="9"/>
  <c r="C431"/>
  <c r="C430"/>
  <c r="C429"/>
  <c r="M428" i="15" s="1"/>
  <c r="C428" i="9"/>
  <c r="M427" i="15" s="1"/>
  <c r="C427" i="9"/>
  <c r="M426" i="15" s="1"/>
  <c r="C426" i="9"/>
  <c r="M425" i="15" s="1"/>
  <c r="C425" i="9"/>
  <c r="M424" i="15" s="1"/>
  <c r="C424" i="9"/>
  <c r="E423" i="5" s="1"/>
  <c r="C423" i="9"/>
  <c r="M422" i="15" s="1"/>
  <c r="C422" i="9"/>
  <c r="M421" i="15" s="1"/>
  <c r="C421" i="9"/>
  <c r="M420" i="15" s="1"/>
  <c r="C420" i="9"/>
  <c r="C419"/>
  <c r="M418" i="15" s="1"/>
  <c r="C418" i="9"/>
  <c r="M417" i="15" s="1"/>
  <c r="C417" i="9"/>
  <c r="M416" i="15" s="1"/>
  <c r="C416" i="9"/>
  <c r="E415" i="5" s="1"/>
  <c r="C415" i="9"/>
  <c r="M414" i="15" s="1"/>
  <c r="C414" i="9"/>
  <c r="M413" i="15" s="1"/>
  <c r="C413" i="9"/>
  <c r="M412" i="15" s="1"/>
  <c r="C412" i="9"/>
  <c r="C411"/>
  <c r="C410"/>
  <c r="M409" i="15" s="1"/>
  <c r="C409" i="9"/>
  <c r="M408" i="15" s="1"/>
  <c r="C408" i="9"/>
  <c r="E407" i="5" s="1"/>
  <c r="C407" i="9"/>
  <c r="M406" i="15" s="1"/>
  <c r="C406" i="9"/>
  <c r="M405" i="15" s="1"/>
  <c r="C405" i="9"/>
  <c r="M404" i="15" s="1"/>
  <c r="C404" i="9"/>
  <c r="C403"/>
  <c r="C402"/>
  <c r="M401" i="15" s="1"/>
  <c r="C401" i="9"/>
  <c r="M400" i="15" s="1"/>
  <c r="C400" i="9"/>
  <c r="M399" i="15" s="1"/>
  <c r="C399" i="9"/>
  <c r="C398"/>
  <c r="C397"/>
  <c r="C396"/>
  <c r="M395" i="15" s="1"/>
  <c r="C395" i="9"/>
  <c r="M394" i="15" s="1"/>
  <c r="C394" i="9"/>
  <c r="C393"/>
  <c r="C392"/>
  <c r="M391" i="15" s="1"/>
  <c r="C391" i="9"/>
  <c r="C390"/>
  <c r="C389"/>
  <c r="C388"/>
  <c r="M387" i="15" s="1"/>
  <c r="C387" i="9"/>
  <c r="M386" i="15" s="1"/>
  <c r="C386" i="9"/>
  <c r="M385" i="15" s="1"/>
  <c r="C385" i="9"/>
  <c r="C384"/>
  <c r="M383" i="15" s="1"/>
  <c r="C383" i="9"/>
  <c r="C382"/>
  <c r="C381"/>
  <c r="M380" i="15" s="1"/>
  <c r="C380" i="9"/>
  <c r="M379" i="15" s="1"/>
  <c r="C379" i="9"/>
  <c r="M378" i="15" s="1"/>
  <c r="C378" i="9"/>
  <c r="M377" i="15" s="1"/>
  <c r="C377" i="9"/>
  <c r="M376" i="15" s="1"/>
  <c r="C376" i="9"/>
  <c r="M375" i="15" s="1"/>
  <c r="C375" i="9"/>
  <c r="C374"/>
  <c r="C373"/>
  <c r="C372"/>
  <c r="M371" i="15" s="1"/>
  <c r="C371" i="9"/>
  <c r="M370" i="15" s="1"/>
  <c r="C370" i="9"/>
  <c r="C369"/>
  <c r="M368" i="15" s="1"/>
  <c r="C368" i="9"/>
  <c r="M367" i="15" s="1"/>
  <c r="C367" i="9"/>
  <c r="M366" i="15" s="1"/>
  <c r="C366" i="9"/>
  <c r="C365"/>
  <c r="M364" i="15" s="1"/>
  <c r="C364" i="9"/>
  <c r="M363" i="15" s="1"/>
  <c r="C363" i="9"/>
  <c r="M362" i="15" s="1"/>
  <c r="C362" i="9"/>
  <c r="C361"/>
  <c r="M360" i="15" s="1"/>
  <c r="C360" i="9"/>
  <c r="M359" i="15" s="1"/>
  <c r="C359" i="9"/>
  <c r="C358"/>
  <c r="C357"/>
  <c r="M356" i="15" s="1"/>
  <c r="C356" i="9"/>
  <c r="M355" i="15" s="1"/>
  <c r="C355" i="9"/>
  <c r="M354" i="15" s="1"/>
  <c r="C354" i="9"/>
  <c r="C353"/>
  <c r="M352" i="15" s="1"/>
  <c r="C352" i="9"/>
  <c r="M351" i="15" s="1"/>
  <c r="C351" i="9"/>
  <c r="C350"/>
  <c r="C349"/>
  <c r="M348" i="15" s="1"/>
  <c r="C348" i="9"/>
  <c r="M347" i="15" s="1"/>
  <c r="C347" i="9"/>
  <c r="C346"/>
  <c r="M345" i="15" s="1"/>
  <c r="C345" i="9"/>
  <c r="C344"/>
  <c r="M343" i="15" s="1"/>
  <c r="C343" i="9"/>
  <c r="M342" i="15" s="1"/>
  <c r="C342" i="9"/>
  <c r="C341"/>
  <c r="M340" i="15" s="1"/>
  <c r="C340" i="9"/>
  <c r="M339" i="15" s="1"/>
  <c r="C339" i="9"/>
  <c r="M338" i="15" s="1"/>
  <c r="C338" i="9"/>
  <c r="C337"/>
  <c r="M336" i="15" s="1"/>
  <c r="C336" i="9"/>
  <c r="M335" i="15" s="1"/>
  <c r="C335" i="9"/>
  <c r="M334" i="15" s="1"/>
  <c r="C334" i="9"/>
  <c r="M333" i="15" s="1"/>
  <c r="C333" i="9"/>
  <c r="M332" i="15" s="1"/>
  <c r="C332" i="9"/>
  <c r="M331" i="15" s="1"/>
  <c r="C331" i="9"/>
  <c r="M330" i="15" s="1"/>
  <c r="C330" i="9"/>
  <c r="M329" i="15" s="1"/>
  <c r="C329" i="9"/>
  <c r="M328" i="15" s="1"/>
  <c r="C328" i="9"/>
  <c r="M327" i="15" s="1"/>
  <c r="C327" i="9"/>
  <c r="C326"/>
  <c r="C325"/>
  <c r="M324" i="15" s="1"/>
  <c r="C324" i="9"/>
  <c r="M323" i="15" s="1"/>
  <c r="C323" i="9"/>
  <c r="C322"/>
  <c r="C321"/>
  <c r="M320" i="15" s="1"/>
  <c r="C320" i="9"/>
  <c r="M319" i="15" s="1"/>
  <c r="C319" i="9"/>
  <c r="C318"/>
  <c r="C317"/>
  <c r="M316" i="15" s="1"/>
  <c r="C316" i="9"/>
  <c r="M315" i="15" s="1"/>
  <c r="C315" i="9"/>
  <c r="C314"/>
  <c r="M313" i="15" s="1"/>
  <c r="C313" i="9"/>
  <c r="M312" i="15" s="1"/>
  <c r="C312" i="9"/>
  <c r="M311" i="15" s="1"/>
  <c r="C311" i="9"/>
  <c r="C310"/>
  <c r="C309"/>
  <c r="M308" i="15" s="1"/>
  <c r="C308" i="9"/>
  <c r="M307" i="15" s="1"/>
  <c r="C307" i="9"/>
  <c r="M306" i="15" s="1"/>
  <c r="C306" i="9"/>
  <c r="M305" i="15" s="1"/>
  <c r="C305" i="9"/>
  <c r="M304" i="15" s="1"/>
  <c r="C304" i="9"/>
  <c r="E303" i="5" s="1"/>
  <c r="C303" i="9"/>
  <c r="C302"/>
  <c r="C301"/>
  <c r="M300" i="15" s="1"/>
  <c r="C300" i="9"/>
  <c r="M299" i="15" s="1"/>
  <c r="C299" i="9"/>
  <c r="M298" i="15" s="1"/>
  <c r="C298" i="9"/>
  <c r="C297"/>
  <c r="M296" i="15" s="1"/>
  <c r="C296" i="9"/>
  <c r="M295" i="15" s="1"/>
  <c r="C295" i="9"/>
  <c r="C294"/>
  <c r="C293"/>
  <c r="C292"/>
  <c r="M291" i="15" s="1"/>
  <c r="C291" i="9"/>
  <c r="C290"/>
  <c r="C289"/>
  <c r="M288" i="15" s="1"/>
  <c r="C288" i="9"/>
  <c r="M287" i="15" s="1"/>
  <c r="C287" i="9"/>
  <c r="C286"/>
  <c r="M285" i="15" s="1"/>
  <c r="C285" i="9"/>
  <c r="M284" i="15" s="1"/>
  <c r="C284" i="9"/>
  <c r="M283" i="15" s="1"/>
  <c r="C283" i="9"/>
  <c r="C282"/>
  <c r="M281" i="15" s="1"/>
  <c r="C281" i="9"/>
  <c r="M280" i="15" s="1"/>
  <c r="C280" i="9"/>
  <c r="M279" i="15" s="1"/>
  <c r="C279" i="9"/>
  <c r="C278"/>
  <c r="M277" i="15" s="1"/>
  <c r="C277" i="9"/>
  <c r="M276" i="15" s="1"/>
  <c r="C276" i="9"/>
  <c r="M275" i="15" s="1"/>
  <c r="C275" i="9"/>
  <c r="C274"/>
  <c r="M273" i="15" s="1"/>
  <c r="C273" i="9"/>
  <c r="M272" i="15" s="1"/>
  <c r="C272" i="9"/>
  <c r="M271" i="15" s="1"/>
  <c r="C271" i="9"/>
  <c r="C270"/>
  <c r="C269"/>
  <c r="M268" i="15" s="1"/>
  <c r="C268" i="9"/>
  <c r="M267" i="15" s="1"/>
  <c r="C267" i="9"/>
  <c r="C266"/>
  <c r="C265"/>
  <c r="M264" i="15" s="1"/>
  <c r="C264" i="9"/>
  <c r="M263" i="15" s="1"/>
  <c r="C263" i="9"/>
  <c r="C262"/>
  <c r="C261"/>
  <c r="M260" i="15" s="1"/>
  <c r="C260" i="9"/>
  <c r="M259" i="15" s="1"/>
  <c r="C259" i="9"/>
  <c r="C258"/>
  <c r="M257" i="15" s="1"/>
  <c r="C257" i="9"/>
  <c r="M256" i="15" s="1"/>
  <c r="C256" i="9"/>
  <c r="E255" i="5" s="1"/>
  <c r="C255" i="9"/>
  <c r="C254"/>
  <c r="M253" i="15" s="1"/>
  <c r="C253" i="9"/>
  <c r="M252" i="15" s="1"/>
  <c r="C252" i="9"/>
  <c r="M251" i="15" s="1"/>
  <c r="C251" i="9"/>
  <c r="C250"/>
  <c r="M249" i="15" s="1"/>
  <c r="C249" i="9"/>
  <c r="M248" i="15" s="1"/>
  <c r="C248" i="9"/>
  <c r="E247" i="5" s="1"/>
  <c r="C247" i="9"/>
  <c r="C246"/>
  <c r="M245" i="15" s="1"/>
  <c r="C245" i="9"/>
  <c r="C244"/>
  <c r="C243"/>
  <c r="C242"/>
  <c r="M241" i="15" s="1"/>
  <c r="C241" i="9"/>
  <c r="C240"/>
  <c r="E239" i="5" s="1"/>
  <c r="C239" i="9"/>
  <c r="C238"/>
  <c r="M237" i="15" s="1"/>
  <c r="C237" i="9"/>
  <c r="C236"/>
  <c r="C235"/>
  <c r="M234" i="15" s="1"/>
  <c r="C234" i="9"/>
  <c r="M233" i="15" s="1"/>
  <c r="C233" i="9"/>
  <c r="C232"/>
  <c r="E231" i="5" s="1"/>
  <c r="C231" i="9"/>
  <c r="C230"/>
  <c r="M229" i="15" s="1"/>
  <c r="C229" i="9"/>
  <c r="M228" i="15" s="1"/>
  <c r="C228" i="9"/>
  <c r="C227"/>
  <c r="C226"/>
  <c r="M225" i="15" s="1"/>
  <c r="C225" i="9"/>
  <c r="M224" i="15" s="1"/>
  <c r="C224" i="9"/>
  <c r="M223" i="15" s="1"/>
  <c r="C223" i="9"/>
  <c r="M222" i="15" s="1"/>
  <c r="C222" i="9"/>
  <c r="M221" i="15" s="1"/>
  <c r="C221" i="9"/>
  <c r="M220" i="15" s="1"/>
  <c r="C220" i="9"/>
  <c r="C219"/>
  <c r="C218"/>
  <c r="M217" i="15" s="1"/>
  <c r="C217" i="9"/>
  <c r="M216" i="15" s="1"/>
  <c r="C216" i="9"/>
  <c r="C215"/>
  <c r="C214"/>
  <c r="C213"/>
  <c r="M212" i="15" s="1"/>
  <c r="C212" i="9"/>
  <c r="C211"/>
  <c r="C210"/>
  <c r="C209"/>
  <c r="M208" i="15" s="1"/>
  <c r="C208" i="9"/>
  <c r="M207" i="15" s="1"/>
  <c r="C207" i="9"/>
  <c r="C206"/>
  <c r="C205"/>
  <c r="M204" i="15" s="1"/>
  <c r="C204" i="9"/>
  <c r="M203" i="15" s="1"/>
  <c r="C203" i="9"/>
  <c r="C202"/>
  <c r="M201" i="15" s="1"/>
  <c r="C201" i="9"/>
  <c r="M200" i="15" s="1"/>
  <c r="C200" i="9"/>
  <c r="C199"/>
  <c r="C198"/>
  <c r="M197" i="15" s="1"/>
  <c r="C197" i="9"/>
  <c r="M196" i="15" s="1"/>
  <c r="C196" i="9"/>
  <c r="C195"/>
  <c r="C194"/>
  <c r="M193" i="15" s="1"/>
  <c r="C193" i="9"/>
  <c r="M192" i="15" s="1"/>
  <c r="C192" i="9"/>
  <c r="C191"/>
  <c r="M190" i="15" s="1"/>
  <c r="C190" i="9"/>
  <c r="M189" i="15" s="1"/>
  <c r="C189" i="9"/>
  <c r="M188" i="15" s="1"/>
  <c r="C188" i="9"/>
  <c r="C187"/>
  <c r="E186" i="5" s="1"/>
  <c r="C186" i="9"/>
  <c r="M185" i="15" s="1"/>
  <c r="C185" i="9"/>
  <c r="C184"/>
  <c r="C183"/>
  <c r="C182"/>
  <c r="M181" i="15" s="1"/>
  <c r="C181" i="9"/>
  <c r="C180"/>
  <c r="C179"/>
  <c r="C178"/>
  <c r="M177" i="15" s="1"/>
  <c r="C177" i="9"/>
  <c r="E176" i="5" s="1"/>
  <c r="C176" i="9"/>
  <c r="C175"/>
  <c r="M174" i="15" s="1"/>
  <c r="C174" i="9"/>
  <c r="M173" i="15" s="1"/>
  <c r="C173" i="9"/>
  <c r="M172" i="15" s="1"/>
  <c r="C172" i="9"/>
  <c r="C171"/>
  <c r="M170" i="15" s="1"/>
  <c r="C170" i="9"/>
  <c r="M169" i="15" s="1"/>
  <c r="C169" i="9"/>
  <c r="C168"/>
  <c r="C167"/>
  <c r="C166"/>
  <c r="M165" i="15" s="1"/>
  <c r="C165" i="9"/>
  <c r="C164"/>
  <c r="C163"/>
  <c r="M162" i="15" s="1"/>
  <c r="C162" i="9"/>
  <c r="M161" i="15" s="1"/>
  <c r="C161" i="9"/>
  <c r="C160"/>
  <c r="C159"/>
  <c r="C158"/>
  <c r="M157" i="15" s="1"/>
  <c r="C157" i="9"/>
  <c r="C156"/>
  <c r="C155"/>
  <c r="E154" i="5" s="1"/>
  <c r="C154" i="9"/>
  <c r="M153" i="15" s="1"/>
  <c r="C153" i="9"/>
  <c r="C152"/>
  <c r="C151"/>
  <c r="C150"/>
  <c r="M149" i="15" s="1"/>
  <c r="C149" i="9"/>
  <c r="C148"/>
  <c r="C147"/>
  <c r="M146" i="15" s="1"/>
  <c r="C146" i="9"/>
  <c r="M145" i="15" s="1"/>
  <c r="C145" i="9"/>
  <c r="M144" i="15" s="1"/>
  <c r="C144" i="9"/>
  <c r="C143"/>
  <c r="C142"/>
  <c r="M141" i="15" s="1"/>
  <c r="C141" i="9"/>
  <c r="C140"/>
  <c r="C139"/>
  <c r="M138" i="15" s="1"/>
  <c r="C138" i="9"/>
  <c r="M137" i="15" s="1"/>
  <c r="C137" i="9"/>
  <c r="C136"/>
  <c r="C135"/>
  <c r="C134"/>
  <c r="M133" i="15" s="1"/>
  <c r="C133" i="9"/>
  <c r="M132" i="15" s="1"/>
  <c r="C132" i="9"/>
  <c r="M131" i="15" s="1"/>
  <c r="C131" i="9"/>
  <c r="M130" i="15" s="1"/>
  <c r="C130" i="9"/>
  <c r="C129"/>
  <c r="M128" i="15" s="1"/>
  <c r="C128" i="9"/>
  <c r="M127" i="15" s="1"/>
  <c r="C127" i="9"/>
  <c r="C126"/>
  <c r="C125"/>
  <c r="M124" i="15" s="1"/>
  <c r="C124" i="9"/>
  <c r="M123" i="15" s="1"/>
  <c r="C123" i="9"/>
  <c r="E122" i="5" s="1"/>
  <c r="C122" i="9"/>
  <c r="C121"/>
  <c r="M120" i="15" s="1"/>
  <c r="C120" i="9"/>
  <c r="M119" i="15" s="1"/>
  <c r="C119" i="9"/>
  <c r="C118"/>
  <c r="M117" i="15" s="1"/>
  <c r="C117" i="9"/>
  <c r="C116"/>
  <c r="C115"/>
  <c r="M114" i="15" s="1"/>
  <c r="C114" i="9"/>
  <c r="M113" i="15" s="1"/>
  <c r="C113" i="9"/>
  <c r="M112" i="15" s="1"/>
  <c r="C112" i="9"/>
  <c r="M111" i="15" s="1"/>
  <c r="C111" i="9"/>
  <c r="M110" i="15" s="1"/>
  <c r="C110" i="9"/>
  <c r="M109" i="15" s="1"/>
  <c r="C109" i="9"/>
  <c r="C108"/>
  <c r="C107"/>
  <c r="M106" i="15" s="1"/>
  <c r="C106" i="9"/>
  <c r="M105" i="15" s="1"/>
  <c r="C105" i="9"/>
  <c r="C104"/>
  <c r="C103"/>
  <c r="C102"/>
  <c r="M101" i="15" s="1"/>
  <c r="C101" i="9"/>
  <c r="C100"/>
  <c r="C99"/>
  <c r="C98"/>
  <c r="M97" i="15" s="1"/>
  <c r="C97" i="9"/>
  <c r="M96" i="15" s="1"/>
  <c r="C96" i="9"/>
  <c r="C95"/>
  <c r="M94" i="15" s="1"/>
  <c r="C94" i="9"/>
  <c r="M93" i="15" s="1"/>
  <c r="C93" i="9"/>
  <c r="M92" i="15" s="1"/>
  <c r="C92" i="9"/>
  <c r="C91"/>
  <c r="M90" i="15" s="1"/>
  <c r="C90" i="9"/>
  <c r="M89" i="15" s="1"/>
  <c r="C89" i="9"/>
  <c r="C88"/>
  <c r="M87" i="15" s="1"/>
  <c r="C87" i="9"/>
  <c r="C86"/>
  <c r="M85" i="15" s="1"/>
  <c r="C85" i="9"/>
  <c r="C84"/>
  <c r="C83"/>
  <c r="C82"/>
  <c r="M81" i="15" s="1"/>
  <c r="C81" i="9"/>
  <c r="C80"/>
  <c r="C79"/>
  <c r="E78" i="5" s="1"/>
  <c r="C78" i="9"/>
  <c r="M77" i="15" s="1"/>
  <c r="C77" i="9"/>
  <c r="C76"/>
  <c r="C75"/>
  <c r="C74"/>
  <c r="C73"/>
  <c r="M72" i="15" s="1"/>
  <c r="C72" i="9"/>
  <c r="C71"/>
  <c r="C70"/>
  <c r="M69" i="15" s="1"/>
  <c r="C69" i="9"/>
  <c r="C68"/>
  <c r="C67"/>
  <c r="M66" i="15" s="1"/>
  <c r="C66" i="9"/>
  <c r="M65" i="15" s="1"/>
  <c r="C65" i="9"/>
  <c r="M64" i="15" s="1"/>
  <c r="C64" i="9"/>
  <c r="C63"/>
  <c r="M62" i="15" s="1"/>
  <c r="C62" i="9"/>
  <c r="M61" i="15" s="1"/>
  <c r="C61" i="9"/>
  <c r="C60"/>
  <c r="C59"/>
  <c r="C58"/>
  <c r="M57" i="15" s="1"/>
  <c r="C57" i="9"/>
  <c r="C56"/>
  <c r="C55"/>
  <c r="M54" i="15" s="1"/>
  <c r="C54" i="9"/>
  <c r="M53" i="15" s="1"/>
  <c r="C53" i="9"/>
  <c r="M52" i="15" s="1"/>
  <c r="C52" i="9"/>
  <c r="C51"/>
  <c r="C50"/>
  <c r="M49" i="15" s="1"/>
  <c r="C49" i="9"/>
  <c r="C48"/>
  <c r="C47"/>
  <c r="M46" i="15" s="1"/>
  <c r="C46" i="9"/>
  <c r="M45" i="15" s="1"/>
  <c r="C45" i="9"/>
  <c r="C44"/>
  <c r="C43"/>
  <c r="C42"/>
  <c r="M41" i="15" s="1"/>
  <c r="C41" i="9"/>
  <c r="C40"/>
  <c r="C39"/>
  <c r="C38"/>
  <c r="M37" i="15" s="1"/>
  <c r="C37" i="9"/>
  <c r="C35"/>
  <c r="M34" i="15" s="1"/>
  <c r="C34" i="9"/>
  <c r="M33" i="15" s="1"/>
  <c r="C33" i="9"/>
  <c r="C32"/>
  <c r="C31"/>
  <c r="M30" i="15" s="1"/>
  <c r="C30" i="9"/>
  <c r="M29" i="15" s="1"/>
  <c r="C29" i="9"/>
  <c r="C28"/>
  <c r="C27"/>
  <c r="C26"/>
  <c r="M25" i="15" s="1"/>
  <c r="C25" i="9"/>
  <c r="C24"/>
  <c r="C23"/>
  <c r="M22" i="15" s="1"/>
  <c r="C22" i="9"/>
  <c r="M21" i="15" s="1"/>
  <c r="C21" i="9"/>
  <c r="M20" i="15" s="1"/>
  <c r="C20" i="9"/>
  <c r="C19"/>
  <c r="M18" i="15" s="1"/>
  <c r="C18" i="9"/>
  <c r="M17" i="15" s="1"/>
  <c r="C17" i="9"/>
  <c r="C16"/>
  <c r="C15"/>
  <c r="M14" i="15" s="1"/>
  <c r="C14" i="9"/>
  <c r="M13" i="15" s="1"/>
  <c r="C13" i="9"/>
  <c r="C12"/>
  <c r="M11" i="15" s="1"/>
  <c r="C11" i="9"/>
  <c r="M10" i="15" s="1"/>
  <c r="C10" i="9"/>
  <c r="M9" i="15" s="1"/>
  <c r="C9" i="9"/>
  <c r="C8"/>
  <c r="M7" i="15" s="1"/>
  <c r="H436"/>
  <c r="H437"/>
  <c r="H438"/>
  <c r="H439"/>
  <c r="H440"/>
  <c r="H441"/>
  <c r="H442"/>
  <c r="H443"/>
  <c r="H444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H78"/>
  <c r="H79"/>
  <c r="H80"/>
  <c r="H81"/>
  <c r="H82"/>
  <c r="H83"/>
  <c r="H84"/>
  <c r="H85"/>
  <c r="H86"/>
  <c r="H87"/>
  <c r="H88"/>
  <c r="H89"/>
  <c r="H90"/>
  <c r="H91"/>
  <c r="H92"/>
  <c r="H93"/>
  <c r="H94"/>
  <c r="H95"/>
  <c r="H96"/>
  <c r="H97"/>
  <c r="H98"/>
  <c r="H99"/>
  <c r="H100"/>
  <c r="H101"/>
  <c r="H102"/>
  <c r="H103"/>
  <c r="H104"/>
  <c r="H105"/>
  <c r="H106"/>
  <c r="H107"/>
  <c r="H108"/>
  <c r="H109"/>
  <c r="H110"/>
  <c r="H111"/>
  <c r="H112"/>
  <c r="H113"/>
  <c r="H114"/>
  <c r="H115"/>
  <c r="H116"/>
  <c r="H117"/>
  <c r="H118"/>
  <c r="H119"/>
  <c r="H120"/>
  <c r="H121"/>
  <c r="H122"/>
  <c r="H123"/>
  <c r="H124"/>
  <c r="H125"/>
  <c r="H126"/>
  <c r="H127"/>
  <c r="H128"/>
  <c r="H129"/>
  <c r="H130"/>
  <c r="H131"/>
  <c r="H132"/>
  <c r="H133"/>
  <c r="H134"/>
  <c r="H135"/>
  <c r="H136"/>
  <c r="H137"/>
  <c r="H138"/>
  <c r="H139"/>
  <c r="H140"/>
  <c r="H141"/>
  <c r="H142"/>
  <c r="H143"/>
  <c r="H144"/>
  <c r="H145"/>
  <c r="H146"/>
  <c r="H147"/>
  <c r="H148"/>
  <c r="H149"/>
  <c r="H150"/>
  <c r="H151"/>
  <c r="H152"/>
  <c r="H153"/>
  <c r="H154"/>
  <c r="H155"/>
  <c r="H156"/>
  <c r="H157"/>
  <c r="H158"/>
  <c r="H159"/>
  <c r="H160"/>
  <c r="H161"/>
  <c r="H162"/>
  <c r="H163"/>
  <c r="H164"/>
  <c r="H165"/>
  <c r="H166"/>
  <c r="H167"/>
  <c r="H168"/>
  <c r="H169"/>
  <c r="H170"/>
  <c r="H171"/>
  <c r="H172"/>
  <c r="H173"/>
  <c r="H174"/>
  <c r="H175"/>
  <c r="H176"/>
  <c r="H177"/>
  <c r="H178"/>
  <c r="H179"/>
  <c r="H180"/>
  <c r="H181"/>
  <c r="H182"/>
  <c r="H183"/>
  <c r="H184"/>
  <c r="H185"/>
  <c r="H186"/>
  <c r="H187"/>
  <c r="H188"/>
  <c r="H189"/>
  <c r="H190"/>
  <c r="H191"/>
  <c r="H192"/>
  <c r="H193"/>
  <c r="H194"/>
  <c r="H195"/>
  <c r="H196"/>
  <c r="H197"/>
  <c r="H198"/>
  <c r="H199"/>
  <c r="H200"/>
  <c r="H201"/>
  <c r="H202"/>
  <c r="H203"/>
  <c r="H204"/>
  <c r="H205"/>
  <c r="H206"/>
  <c r="H207"/>
  <c r="H208"/>
  <c r="H209"/>
  <c r="H210"/>
  <c r="H211"/>
  <c r="H212"/>
  <c r="H213"/>
  <c r="H214"/>
  <c r="H215"/>
  <c r="H216"/>
  <c r="H217"/>
  <c r="H218"/>
  <c r="H219"/>
  <c r="H220"/>
  <c r="H221"/>
  <c r="H222"/>
  <c r="H223"/>
  <c r="H224"/>
  <c r="H225"/>
  <c r="H226"/>
  <c r="H227"/>
  <c r="H228"/>
  <c r="H229"/>
  <c r="H230"/>
  <c r="H231"/>
  <c r="H232"/>
  <c r="H233"/>
  <c r="H234"/>
  <c r="H235"/>
  <c r="H236"/>
  <c r="H237"/>
  <c r="H238"/>
  <c r="H239"/>
  <c r="H240"/>
  <c r="H241"/>
  <c r="H242"/>
  <c r="H243"/>
  <c r="H244"/>
  <c r="H245"/>
  <c r="H246"/>
  <c r="H247"/>
  <c r="H248"/>
  <c r="H249"/>
  <c r="H250"/>
  <c r="H251"/>
  <c r="H252"/>
  <c r="H253"/>
  <c r="H254"/>
  <c r="H255"/>
  <c r="H256"/>
  <c r="H257"/>
  <c r="H258"/>
  <c r="H259"/>
  <c r="H260"/>
  <c r="H261"/>
  <c r="H262"/>
  <c r="H263"/>
  <c r="H264"/>
  <c r="H265"/>
  <c r="H266"/>
  <c r="H267"/>
  <c r="H268"/>
  <c r="H269"/>
  <c r="H270"/>
  <c r="H271"/>
  <c r="H272"/>
  <c r="H273"/>
  <c r="H274"/>
  <c r="H275"/>
  <c r="H276"/>
  <c r="H277"/>
  <c r="H278"/>
  <c r="H279"/>
  <c r="H280"/>
  <c r="H281"/>
  <c r="H282"/>
  <c r="H283"/>
  <c r="H284"/>
  <c r="H285"/>
  <c r="H286"/>
  <c r="H287"/>
  <c r="H288"/>
  <c r="H289"/>
  <c r="H290"/>
  <c r="H291"/>
  <c r="H292"/>
  <c r="H293"/>
  <c r="H294"/>
  <c r="H295"/>
  <c r="H296"/>
  <c r="H297"/>
  <c r="H298"/>
  <c r="H299"/>
  <c r="H300"/>
  <c r="H301"/>
  <c r="H302"/>
  <c r="H303"/>
  <c r="H304"/>
  <c r="H305"/>
  <c r="H306"/>
  <c r="H307"/>
  <c r="H308"/>
  <c r="H309"/>
  <c r="H310"/>
  <c r="H311"/>
  <c r="H312"/>
  <c r="H313"/>
  <c r="H314"/>
  <c r="H315"/>
  <c r="H316"/>
  <c r="H317"/>
  <c r="H318"/>
  <c r="H319"/>
  <c r="H320"/>
  <c r="H321"/>
  <c r="H322"/>
  <c r="H323"/>
  <c r="H324"/>
  <c r="H325"/>
  <c r="H326"/>
  <c r="H327"/>
  <c r="H328"/>
  <c r="H329"/>
  <c r="H330"/>
  <c r="H331"/>
  <c r="H332"/>
  <c r="H333"/>
  <c r="H334"/>
  <c r="H335"/>
  <c r="H336"/>
  <c r="H337"/>
  <c r="H338"/>
  <c r="H339"/>
  <c r="H340"/>
  <c r="H341"/>
  <c r="H342"/>
  <c r="H343"/>
  <c r="H344"/>
  <c r="H345"/>
  <c r="H346"/>
  <c r="H347"/>
  <c r="H348"/>
  <c r="H349"/>
  <c r="H350"/>
  <c r="H351"/>
  <c r="H352"/>
  <c r="H353"/>
  <c r="H354"/>
  <c r="H355"/>
  <c r="H356"/>
  <c r="H357"/>
  <c r="H358"/>
  <c r="H359"/>
  <c r="H360"/>
  <c r="H361"/>
  <c r="H362"/>
  <c r="H363"/>
  <c r="H364"/>
  <c r="H365"/>
  <c r="H366"/>
  <c r="H367"/>
  <c r="H368"/>
  <c r="H369"/>
  <c r="H370"/>
  <c r="H371"/>
  <c r="H372"/>
  <c r="H373"/>
  <c r="H374"/>
  <c r="H375"/>
  <c r="H376"/>
  <c r="H377"/>
  <c r="H378"/>
  <c r="H379"/>
  <c r="H380"/>
  <c r="H381"/>
  <c r="H382"/>
  <c r="H383"/>
  <c r="H384"/>
  <c r="H385"/>
  <c r="H386"/>
  <c r="H387"/>
  <c r="H388"/>
  <c r="H389"/>
  <c r="H390"/>
  <c r="H391"/>
  <c r="H392"/>
  <c r="H393"/>
  <c r="H394"/>
  <c r="H395"/>
  <c r="H396"/>
  <c r="H397"/>
  <c r="H398"/>
  <c r="H399"/>
  <c r="H400"/>
  <c r="H401"/>
  <c r="H402"/>
  <c r="H403"/>
  <c r="H404"/>
  <c r="H405"/>
  <c r="H406"/>
  <c r="H407"/>
  <c r="H408"/>
  <c r="H409"/>
  <c r="H410"/>
  <c r="H411"/>
  <c r="H412"/>
  <c r="H413"/>
  <c r="H414"/>
  <c r="H415"/>
  <c r="H416"/>
  <c r="H417"/>
  <c r="H418"/>
  <c r="H419"/>
  <c r="H420"/>
  <c r="H421"/>
  <c r="H422"/>
  <c r="H423"/>
  <c r="H424"/>
  <c r="H425"/>
  <c r="H426"/>
  <c r="H427"/>
  <c r="H428"/>
  <c r="H429"/>
  <c r="H430"/>
  <c r="H431"/>
  <c r="H432"/>
  <c r="H433"/>
  <c r="H434"/>
  <c r="H435"/>
  <c r="H7"/>
  <c r="E445"/>
  <c r="F445"/>
  <c r="G445"/>
  <c r="I445"/>
  <c r="J445"/>
  <c r="D445"/>
  <c r="E18" i="14"/>
  <c r="C18"/>
  <c r="C569" i="1"/>
  <c r="C424"/>
  <c r="D445" i="5"/>
  <c r="D447" s="1"/>
  <c r="M41" i="2"/>
  <c r="M43" s="1"/>
  <c r="O41"/>
  <c r="O43" s="1"/>
  <c r="P917" i="1"/>
  <c r="O917"/>
  <c r="N917"/>
  <c r="M917"/>
  <c r="L917"/>
  <c r="K917"/>
  <c r="J917"/>
  <c r="I917"/>
  <c r="H917"/>
  <c r="G917"/>
  <c r="F917"/>
  <c r="E917"/>
  <c r="D917"/>
  <c r="C917"/>
  <c r="Q916"/>
  <c r="Q915"/>
  <c r="K40" i="2" s="1"/>
  <c r="Q914" i="1"/>
  <c r="J40" i="2" s="1"/>
  <c r="Q913" i="1"/>
  <c r="I40" i="2" s="1"/>
  <c r="Q912" i="1"/>
  <c r="H40" i="2" s="1"/>
  <c r="Q911" i="1"/>
  <c r="G40" i="2" s="1"/>
  <c r="Q910" i="1"/>
  <c r="F40" i="2" s="1"/>
  <c r="Q909" i="1"/>
  <c r="E40" i="2" s="1"/>
  <c r="Q908" i="1"/>
  <c r="D40" i="2" s="1"/>
  <c r="Q907" i="1"/>
  <c r="C40" i="2" s="1"/>
  <c r="P888" i="1"/>
  <c r="O888"/>
  <c r="N888"/>
  <c r="M888"/>
  <c r="L888"/>
  <c r="K888"/>
  <c r="J888"/>
  <c r="I888"/>
  <c r="H888"/>
  <c r="G888"/>
  <c r="F888"/>
  <c r="E888"/>
  <c r="D888"/>
  <c r="C888"/>
  <c r="Q887"/>
  <c r="Q886"/>
  <c r="K39" i="2" s="1"/>
  <c r="Q885" i="1"/>
  <c r="J39" i="2" s="1"/>
  <c r="Q884" i="1"/>
  <c r="I39" i="2" s="1"/>
  <c r="Q883" i="1"/>
  <c r="H39" i="2" s="1"/>
  <c r="Q882" i="1"/>
  <c r="G39" i="2" s="1"/>
  <c r="Q881" i="1"/>
  <c r="F39" i="2" s="1"/>
  <c r="Q880" i="1"/>
  <c r="E39" i="2" s="1"/>
  <c r="Q879" i="1"/>
  <c r="D39" i="2" s="1"/>
  <c r="Q878" i="1"/>
  <c r="C39" i="2" s="1"/>
  <c r="P859" i="1"/>
  <c r="O859"/>
  <c r="N859"/>
  <c r="M859"/>
  <c r="L859"/>
  <c r="K859"/>
  <c r="J859"/>
  <c r="I859"/>
  <c r="H859"/>
  <c r="G859"/>
  <c r="F859"/>
  <c r="E859"/>
  <c r="D859"/>
  <c r="C859"/>
  <c r="Q858"/>
  <c r="Q857"/>
  <c r="K38" i="2" s="1"/>
  <c r="Q856" i="1"/>
  <c r="J38" i="2" s="1"/>
  <c r="Q855" i="1"/>
  <c r="I38" i="2" s="1"/>
  <c r="Q854" i="1"/>
  <c r="H38" i="2" s="1"/>
  <c r="Q853" i="1"/>
  <c r="G38" i="2" s="1"/>
  <c r="Q852" i="1"/>
  <c r="F38" i="2" s="1"/>
  <c r="Q851" i="1"/>
  <c r="E38" i="2" s="1"/>
  <c r="Q850" i="1"/>
  <c r="D38" i="2" s="1"/>
  <c r="Q849" i="1"/>
  <c r="C38" i="2" s="1"/>
  <c r="P830" i="1"/>
  <c r="O830"/>
  <c r="N830"/>
  <c r="M830"/>
  <c r="L830"/>
  <c r="K830"/>
  <c r="J830"/>
  <c r="I830"/>
  <c r="H830"/>
  <c r="G830"/>
  <c r="F830"/>
  <c r="E830"/>
  <c r="D830"/>
  <c r="C830"/>
  <c r="Q829"/>
  <c r="Q828"/>
  <c r="K37" i="2" s="1"/>
  <c r="Q827" i="1"/>
  <c r="J37" i="2" s="1"/>
  <c r="Q826" i="1"/>
  <c r="I37" i="2" s="1"/>
  <c r="Q825" i="1"/>
  <c r="H37" i="2" s="1"/>
  <c r="Q824" i="1"/>
  <c r="G37" i="2" s="1"/>
  <c r="Q823" i="1"/>
  <c r="F37" i="2" s="1"/>
  <c r="Q822" i="1"/>
  <c r="E37" i="2" s="1"/>
  <c r="Q821" i="1"/>
  <c r="D37" i="2" s="1"/>
  <c r="Q820" i="1"/>
  <c r="C37" i="2" s="1"/>
  <c r="P801" i="1"/>
  <c r="O801"/>
  <c r="N801"/>
  <c r="M801"/>
  <c r="L801"/>
  <c r="K801"/>
  <c r="J801"/>
  <c r="I801"/>
  <c r="H801"/>
  <c r="G801"/>
  <c r="F801"/>
  <c r="E801"/>
  <c r="D801"/>
  <c r="C801"/>
  <c r="Q800"/>
  <c r="Q799"/>
  <c r="K36" i="2" s="1"/>
  <c r="Q798" i="1"/>
  <c r="J36" i="2" s="1"/>
  <c r="Q797" i="1"/>
  <c r="I36" i="2" s="1"/>
  <c r="Q796" i="1"/>
  <c r="H36" i="2" s="1"/>
  <c r="Q795" i="1"/>
  <c r="G36" i="2" s="1"/>
  <c r="Q794" i="1"/>
  <c r="F36" i="2" s="1"/>
  <c r="Q793" i="1"/>
  <c r="E36" i="2" s="1"/>
  <c r="Q792" i="1"/>
  <c r="D36" i="2" s="1"/>
  <c r="Q791" i="1"/>
  <c r="C36" i="2" s="1"/>
  <c r="P772" i="1"/>
  <c r="O772"/>
  <c r="N772"/>
  <c r="M772"/>
  <c r="L772"/>
  <c r="K772"/>
  <c r="J772"/>
  <c r="I772"/>
  <c r="H772"/>
  <c r="G772"/>
  <c r="F772"/>
  <c r="E772"/>
  <c r="D772"/>
  <c r="C772"/>
  <c r="Q771"/>
  <c r="Q770"/>
  <c r="K35" i="2" s="1"/>
  <c r="Q769" i="1"/>
  <c r="J35" i="2" s="1"/>
  <c r="Q768" i="1"/>
  <c r="I35" i="2" s="1"/>
  <c r="Q767" i="1"/>
  <c r="H35" i="2" s="1"/>
  <c r="Q766" i="1"/>
  <c r="G35" i="2" s="1"/>
  <c r="Q765" i="1"/>
  <c r="F35" i="2" s="1"/>
  <c r="Q764" i="1"/>
  <c r="E35" i="2" s="1"/>
  <c r="Q763" i="1"/>
  <c r="D35" i="2" s="1"/>
  <c r="Q762" i="1"/>
  <c r="C35" i="2" s="1"/>
  <c r="L154" i="5"/>
  <c r="L369"/>
  <c r="N445"/>
  <c r="N447" s="1"/>
  <c r="O446" i="9"/>
  <c r="O448" s="1"/>
  <c r="K126" i="5" l="1"/>
  <c r="P446"/>
  <c r="H146"/>
  <c r="L188"/>
  <c r="H409"/>
  <c r="L68"/>
  <c r="L76"/>
  <c r="L171"/>
  <c r="K169"/>
  <c r="K238"/>
  <c r="L197"/>
  <c r="K281"/>
  <c r="L232"/>
  <c r="J323"/>
  <c r="L266"/>
  <c r="I234"/>
  <c r="L275"/>
  <c r="L94"/>
  <c r="H73"/>
  <c r="L335"/>
  <c r="L145"/>
  <c r="L148"/>
  <c r="H130"/>
  <c r="J51"/>
  <c r="L165"/>
  <c r="J395"/>
  <c r="J261"/>
  <c r="D24" i="13"/>
  <c r="H345" i="5"/>
  <c r="J59"/>
  <c r="J111"/>
  <c r="L29"/>
  <c r="J197"/>
  <c r="K103"/>
  <c r="J267"/>
  <c r="L107"/>
  <c r="E72"/>
  <c r="H422"/>
  <c r="F269"/>
  <c r="J303"/>
  <c r="J79"/>
  <c r="J87"/>
  <c r="I274"/>
  <c r="J139"/>
  <c r="J165"/>
  <c r="H251"/>
  <c r="F65"/>
  <c r="K31"/>
  <c r="H359"/>
  <c r="L216"/>
  <c r="K133"/>
  <c r="I286"/>
  <c r="K23"/>
  <c r="F220"/>
  <c r="H31"/>
  <c r="I97"/>
  <c r="J117"/>
  <c r="L415"/>
  <c r="H67"/>
  <c r="I106"/>
  <c r="K57"/>
  <c r="I114"/>
  <c r="J21"/>
  <c r="K83"/>
  <c r="I398"/>
  <c r="H143"/>
  <c r="I218"/>
  <c r="I226"/>
  <c r="K117"/>
  <c r="F90"/>
  <c r="F435"/>
  <c r="I282"/>
  <c r="I110"/>
  <c r="H79"/>
  <c r="K70"/>
  <c r="I317"/>
  <c r="J363"/>
  <c r="H113"/>
  <c r="K365"/>
  <c r="I30"/>
  <c r="I342"/>
  <c r="I57"/>
  <c r="I118"/>
  <c r="H139"/>
  <c r="H191"/>
  <c r="H27"/>
  <c r="I22"/>
  <c r="I334"/>
  <c r="H199"/>
  <c r="I265"/>
  <c r="I101"/>
  <c r="E296"/>
  <c r="E188"/>
  <c r="F386"/>
  <c r="K246"/>
  <c r="I146"/>
  <c r="L368"/>
  <c r="K410"/>
  <c r="E387"/>
  <c r="K263"/>
  <c r="L274"/>
  <c r="L187"/>
  <c r="L101"/>
  <c r="K419"/>
  <c r="L41"/>
  <c r="K289"/>
  <c r="K142"/>
  <c r="L282"/>
  <c r="L67"/>
  <c r="I370"/>
  <c r="I250"/>
  <c r="K349"/>
  <c r="K151"/>
  <c r="L317"/>
  <c r="K359"/>
  <c r="L334"/>
  <c r="L437"/>
  <c r="K237"/>
  <c r="L248"/>
  <c r="L84"/>
  <c r="H337"/>
  <c r="K367"/>
  <c r="L343"/>
  <c r="L256"/>
  <c r="L170"/>
  <c r="L93"/>
  <c r="K393"/>
  <c r="E251"/>
  <c r="F45"/>
  <c r="I123"/>
  <c r="F202"/>
  <c r="J86"/>
  <c r="H169"/>
  <c r="H83"/>
  <c r="H385"/>
  <c r="H307"/>
  <c r="L71"/>
  <c r="H410"/>
  <c r="H23"/>
  <c r="H135"/>
  <c r="J335"/>
  <c r="J135"/>
  <c r="J31"/>
  <c r="K96"/>
  <c r="K293"/>
  <c r="J419"/>
  <c r="J341"/>
  <c r="K233"/>
  <c r="J329"/>
  <c r="J109"/>
  <c r="L174"/>
  <c r="L114"/>
  <c r="H353"/>
  <c r="H103"/>
  <c r="H9"/>
  <c r="K327"/>
  <c r="F417"/>
  <c r="K384"/>
  <c r="L330"/>
  <c r="H423"/>
  <c r="H207"/>
  <c r="L80"/>
  <c r="H215"/>
  <c r="H121"/>
  <c r="K353"/>
  <c r="K241"/>
  <c r="L261"/>
  <c r="L192"/>
  <c r="L149"/>
  <c r="K228"/>
  <c r="K190"/>
  <c r="H267"/>
  <c r="K363"/>
  <c r="K198"/>
  <c r="L269"/>
  <c r="L63"/>
  <c r="I403"/>
  <c r="K207"/>
  <c r="L218"/>
  <c r="K423"/>
  <c r="F204"/>
  <c r="K215"/>
  <c r="L226"/>
  <c r="H433"/>
  <c r="K100"/>
  <c r="AH350" i="15"/>
  <c r="H178" i="5"/>
  <c r="S232" i="15"/>
  <c r="H48" i="5"/>
  <c r="I79"/>
  <c r="J256"/>
  <c r="H14"/>
  <c r="I71"/>
  <c r="J142"/>
  <c r="G284"/>
  <c r="J157"/>
  <c r="L262"/>
  <c r="F346"/>
  <c r="H159"/>
  <c r="K303"/>
  <c r="K78"/>
  <c r="L349"/>
  <c r="L263"/>
  <c r="L132"/>
  <c r="L81"/>
  <c r="L46"/>
  <c r="L443"/>
  <c r="H70"/>
  <c r="K44"/>
  <c r="L296"/>
  <c r="L176"/>
  <c r="K373"/>
  <c r="H56"/>
  <c r="H297"/>
  <c r="K139"/>
  <c r="L64"/>
  <c r="L348"/>
  <c r="K311"/>
  <c r="K79"/>
  <c r="L322"/>
  <c r="F166"/>
  <c r="J219"/>
  <c r="L236"/>
  <c r="L89"/>
  <c r="K381"/>
  <c r="F182"/>
  <c r="J237"/>
  <c r="J45"/>
  <c r="K277"/>
  <c r="K225"/>
  <c r="K86"/>
  <c r="L270"/>
  <c r="L244"/>
  <c r="K391"/>
  <c r="F355"/>
  <c r="H254"/>
  <c r="H35"/>
  <c r="J131"/>
  <c r="K87"/>
  <c r="H202"/>
  <c r="K251"/>
  <c r="L356"/>
  <c r="H211"/>
  <c r="H65"/>
  <c r="J55"/>
  <c r="K285"/>
  <c r="K165"/>
  <c r="K95"/>
  <c r="L340"/>
  <c r="L20"/>
  <c r="H401"/>
  <c r="L391"/>
  <c r="K65"/>
  <c r="L353"/>
  <c r="E444"/>
  <c r="F388"/>
  <c r="H238"/>
  <c r="G220"/>
  <c r="M154" i="15"/>
  <c r="V173"/>
  <c r="AH10"/>
  <c r="K341" i="5"/>
  <c r="G276"/>
  <c r="V397" i="15"/>
  <c r="AH307"/>
  <c r="I369" i="5"/>
  <c r="J205"/>
  <c r="K350"/>
  <c r="L336"/>
  <c r="K429"/>
  <c r="F323"/>
  <c r="G404"/>
  <c r="S264" i="15"/>
  <c r="AB185"/>
  <c r="E359" i="5"/>
  <c r="J351"/>
  <c r="K135"/>
  <c r="K437"/>
  <c r="H416"/>
  <c r="G444"/>
  <c r="S392" i="15"/>
  <c r="Y47"/>
  <c r="F284" i="5"/>
  <c r="K247"/>
  <c r="K386"/>
  <c r="H290"/>
  <c r="H187"/>
  <c r="K47"/>
  <c r="H264"/>
  <c r="J410"/>
  <c r="G160"/>
  <c r="P211" i="15"/>
  <c r="F362" i="5"/>
  <c r="J67"/>
  <c r="K255"/>
  <c r="K143"/>
  <c r="F379"/>
  <c r="F404"/>
  <c r="L430"/>
  <c r="G180"/>
  <c r="P243" i="15"/>
  <c r="V26"/>
  <c r="G442" i="5"/>
  <c r="S440" i="15"/>
  <c r="G436" i="5"/>
  <c r="G432"/>
  <c r="F432"/>
  <c r="E432"/>
  <c r="G428"/>
  <c r="F426"/>
  <c r="AE425" i="15"/>
  <c r="M423"/>
  <c r="I420" i="5"/>
  <c r="H419"/>
  <c r="J417"/>
  <c r="F416"/>
  <c r="K415"/>
  <c r="V413" i="15"/>
  <c r="G412" i="5"/>
  <c r="L410"/>
  <c r="G408"/>
  <c r="M407" i="15"/>
  <c r="P403"/>
  <c r="J401" i="5"/>
  <c r="F401"/>
  <c r="G400"/>
  <c r="AB399" i="15"/>
  <c r="G396" i="5"/>
  <c r="K394"/>
  <c r="G388"/>
  <c r="I387"/>
  <c r="G384"/>
  <c r="H383"/>
  <c r="AE382" i="15"/>
  <c r="V381"/>
  <c r="G380" i="5"/>
  <c r="J378"/>
  <c r="G376"/>
  <c r="G372"/>
  <c r="P371" i="15"/>
  <c r="G368" i="5"/>
  <c r="H367"/>
  <c r="L365"/>
  <c r="V365" i="15"/>
  <c r="I364" i="5"/>
  <c r="G364"/>
  <c r="G360"/>
  <c r="AB356" i="15"/>
  <c r="G356" i="5"/>
  <c r="G352"/>
  <c r="V349" i="15"/>
  <c r="G348" i="5"/>
  <c r="G344"/>
  <c r="G340"/>
  <c r="I338"/>
  <c r="J336"/>
  <c r="G336"/>
  <c r="F335"/>
  <c r="K333"/>
  <c r="V333" i="15"/>
  <c r="G332" i="5"/>
  <c r="J331"/>
  <c r="I330"/>
  <c r="G328"/>
  <c r="G324"/>
  <c r="G320"/>
  <c r="V317" i="15"/>
  <c r="G316" i="5"/>
  <c r="K307"/>
  <c r="J304"/>
  <c r="G304"/>
  <c r="J302"/>
  <c r="V301" i="15"/>
  <c r="Y314"/>
  <c r="AB313"/>
  <c r="G312" i="5"/>
  <c r="H311"/>
  <c r="G308"/>
  <c r="H294"/>
  <c r="I295"/>
  <c r="G296"/>
  <c r="AE297" i="15"/>
  <c r="G300" i="5"/>
  <c r="Y293" i="15"/>
  <c r="G292" i="5"/>
  <c r="G288"/>
  <c r="J280"/>
  <c r="S280" i="15"/>
  <c r="V285"/>
  <c r="J278" i="5"/>
  <c r="I278"/>
  <c r="J275"/>
  <c r="G268"/>
  <c r="AB271" i="15"/>
  <c r="Y271"/>
  <c r="F271" i="5"/>
  <c r="G272"/>
  <c r="H262"/>
  <c r="G260"/>
  <c r="G256"/>
  <c r="AE254" i="15"/>
  <c r="V253"/>
  <c r="G252" i="5"/>
  <c r="F252"/>
  <c r="K248"/>
  <c r="S248" i="15"/>
  <c r="J247" i="5"/>
  <c r="M247" i="15"/>
  <c r="L240" i="5"/>
  <c r="G240"/>
  <c r="G244"/>
  <c r="G236"/>
  <c r="E233"/>
  <c r="I231"/>
  <c r="M231" i="15"/>
  <c r="G224" i="5"/>
  <c r="H225"/>
  <c r="AB228" i="15"/>
  <c r="G228" i="5"/>
  <c r="V221" i="15"/>
  <c r="G212" i="5"/>
  <c r="AE213" i="15"/>
  <c r="I213" i="5"/>
  <c r="S216" i="15"/>
  <c r="K209" i="5"/>
  <c r="G208"/>
  <c r="G204"/>
  <c r="G196"/>
  <c r="L200"/>
  <c r="S200" i="15"/>
  <c r="G192" i="5"/>
  <c r="V189" i="15"/>
  <c r="J182" i="5"/>
  <c r="I183"/>
  <c r="G184"/>
  <c r="H186"/>
  <c r="G188"/>
  <c r="P179" i="15"/>
  <c r="K177" i="5"/>
  <c r="G176"/>
  <c r="M176" i="15"/>
  <c r="I174" i="5"/>
  <c r="K173"/>
  <c r="J173"/>
  <c r="G172"/>
  <c r="F172"/>
  <c r="G168"/>
  <c r="I167"/>
  <c r="V157" i="15"/>
  <c r="G152" i="5"/>
  <c r="V141" i="15"/>
  <c r="AB138"/>
  <c r="K134" i="5"/>
  <c r="I131"/>
  <c r="L128"/>
  <c r="I127"/>
  <c r="V125" i="15"/>
  <c r="H122" i="5"/>
  <c r="V109" i="15"/>
  <c r="V93"/>
  <c r="L95" i="5"/>
  <c r="G80"/>
  <c r="H78"/>
  <c r="AE85" i="15"/>
  <c r="I87" i="5"/>
  <c r="H87"/>
  <c r="G88"/>
  <c r="I83"/>
  <c r="L73"/>
  <c r="AB73" i="15"/>
  <c r="L72" i="5"/>
  <c r="G72"/>
  <c r="I74"/>
  <c r="G76"/>
  <c r="V61" i="15"/>
  <c r="AH51"/>
  <c r="K43" i="5"/>
  <c r="I26"/>
  <c r="I34"/>
  <c r="K9"/>
  <c r="P19" i="15"/>
  <c r="AB441"/>
  <c r="E183" i="5"/>
  <c r="M183" i="15"/>
  <c r="E26" i="5"/>
  <c r="M26" i="15"/>
  <c r="E39" i="5"/>
  <c r="M39" i="15"/>
  <c r="E43" i="5"/>
  <c r="M43" i="15"/>
  <c r="E47" i="5"/>
  <c r="M47" i="15"/>
  <c r="E51" i="5"/>
  <c r="M51" i="15"/>
  <c r="E55" i="5"/>
  <c r="M55" i="15"/>
  <c r="E59" i="5"/>
  <c r="M59" i="15"/>
  <c r="E63" i="5"/>
  <c r="M63" i="15"/>
  <c r="E67" i="5"/>
  <c r="M67" i="15"/>
  <c r="E71" i="5"/>
  <c r="M71" i="15"/>
  <c r="E75" i="5"/>
  <c r="M75" i="15"/>
  <c r="E79" i="5"/>
  <c r="M79" i="15"/>
  <c r="E83" i="5"/>
  <c r="M83" i="15"/>
  <c r="E91" i="5"/>
  <c r="M91" i="15"/>
  <c r="E95" i="5"/>
  <c r="M95" i="15"/>
  <c r="E99" i="5"/>
  <c r="M99" i="15"/>
  <c r="E103" i="5"/>
  <c r="M103" i="15"/>
  <c r="E107" i="5"/>
  <c r="M107" i="15"/>
  <c r="E115" i="5"/>
  <c r="M115" i="15"/>
  <c r="M135"/>
  <c r="E135" i="5"/>
  <c r="E139"/>
  <c r="M139" i="15"/>
  <c r="E143" i="5"/>
  <c r="M143" i="15"/>
  <c r="E147" i="5"/>
  <c r="M147" i="15"/>
  <c r="E151" i="5"/>
  <c r="M151" i="15"/>
  <c r="E155" i="5"/>
  <c r="M155" i="15"/>
  <c r="E159" i="5"/>
  <c r="M159" i="15"/>
  <c r="E163" i="5"/>
  <c r="M163" i="15"/>
  <c r="E167" i="5"/>
  <c r="M167" i="15"/>
  <c r="E171" i="5"/>
  <c r="M171" i="15"/>
  <c r="E175" i="5"/>
  <c r="M175" i="15"/>
  <c r="E179" i="5"/>
  <c r="M179" i="15"/>
  <c r="E187" i="5"/>
  <c r="M187" i="15"/>
  <c r="M191"/>
  <c r="E191" i="5"/>
  <c r="E195"/>
  <c r="M195" i="15"/>
  <c r="M199"/>
  <c r="E199" i="5"/>
  <c r="E211"/>
  <c r="M211" i="15"/>
  <c r="E215" i="5"/>
  <c r="M215" i="15"/>
  <c r="E218" i="5"/>
  <c r="M218" i="15"/>
  <c r="M226"/>
  <c r="E226" i="5"/>
  <c r="E230"/>
  <c r="M230" i="15"/>
  <c r="E238" i="5"/>
  <c r="M238" i="15"/>
  <c r="E242" i="5"/>
  <c r="M242" i="15"/>
  <c r="E246" i="5"/>
  <c r="M246" i="15"/>
  <c r="E250" i="5"/>
  <c r="M250" i="15"/>
  <c r="E254" i="5"/>
  <c r="M254" i="15"/>
  <c r="E258" i="5"/>
  <c r="M258" i="15"/>
  <c r="E262" i="5"/>
  <c r="M262" i="15"/>
  <c r="E266" i="5"/>
  <c r="M266" i="15"/>
  <c r="E270" i="5"/>
  <c r="M270" i="15"/>
  <c r="E274" i="5"/>
  <c r="M274" i="15"/>
  <c r="E278" i="5"/>
  <c r="M278" i="15"/>
  <c r="E282" i="5"/>
  <c r="M282" i="15"/>
  <c r="E286" i="5"/>
  <c r="M286" i="15"/>
  <c r="E290" i="5"/>
  <c r="M290" i="15"/>
  <c r="E294" i="5"/>
  <c r="M294" i="15"/>
  <c r="E302" i="5"/>
  <c r="M302" i="15"/>
  <c r="M310"/>
  <c r="E310" i="5"/>
  <c r="E314"/>
  <c r="M314" i="15"/>
  <c r="E318" i="5"/>
  <c r="M318" i="15"/>
  <c r="E322" i="5"/>
  <c r="M322" i="15"/>
  <c r="E326" i="5"/>
  <c r="M326" i="15"/>
  <c r="E346" i="5"/>
  <c r="M346" i="15"/>
  <c r="E350" i="5"/>
  <c r="M350" i="15"/>
  <c r="E358" i="5"/>
  <c r="M358" i="15"/>
  <c r="E374" i="5"/>
  <c r="M374" i="15"/>
  <c r="E382" i="5"/>
  <c r="M382" i="15"/>
  <c r="E390" i="5"/>
  <c r="M390" i="15"/>
  <c r="E398" i="5"/>
  <c r="M398" i="15"/>
  <c r="E402" i="5"/>
  <c r="M402" i="15"/>
  <c r="E410" i="5"/>
  <c r="M410" i="15"/>
  <c r="E429" i="5"/>
  <c r="M429" i="15"/>
  <c r="E433" i="5"/>
  <c r="M433" i="15"/>
  <c r="E437" i="5"/>
  <c r="M437" i="15"/>
  <c r="F443" i="5"/>
  <c r="P443" i="15"/>
  <c r="F438" i="5"/>
  <c r="P438" i="15"/>
  <c r="F434" i="5"/>
  <c r="P434" i="15"/>
  <c r="F430" i="5"/>
  <c r="P430" i="15"/>
  <c r="F425" i="5"/>
  <c r="P425" i="15"/>
  <c r="F421" i="5"/>
  <c r="P421" i="15"/>
  <c r="F412" i="5"/>
  <c r="P412" i="15"/>
  <c r="F408" i="5"/>
  <c r="P408" i="15"/>
  <c r="F400" i="5"/>
  <c r="P400" i="15"/>
  <c r="P395"/>
  <c r="F395" i="5"/>
  <c r="F391"/>
  <c r="P391" i="15"/>
  <c r="F387" i="5"/>
  <c r="P387" i="15"/>
  <c r="F382" i="5"/>
  <c r="P382" i="15"/>
  <c r="F378" i="5"/>
  <c r="P378" i="15"/>
  <c r="F374" i="5"/>
  <c r="P374" i="15"/>
  <c r="F369" i="5"/>
  <c r="P369" i="15"/>
  <c r="F365" i="5"/>
  <c r="P365" i="15"/>
  <c r="F361" i="5"/>
  <c r="P361" i="15"/>
  <c r="F356" i="5"/>
  <c r="P356" i="15"/>
  <c r="P348"/>
  <c r="F348" i="5"/>
  <c r="F344"/>
  <c r="P344" i="15"/>
  <c r="F339" i="5"/>
  <c r="P339" i="15"/>
  <c r="F331" i="5"/>
  <c r="P331" i="15"/>
  <c r="F326" i="5"/>
  <c r="P326" i="15"/>
  <c r="F322" i="5"/>
  <c r="P322" i="15"/>
  <c r="F318" i="5"/>
  <c r="P318" i="15"/>
  <c r="F313" i="5"/>
  <c r="P313" i="15"/>
  <c r="F309" i="5"/>
  <c r="P309" i="15"/>
  <c r="F305" i="5"/>
  <c r="P305" i="15"/>
  <c r="P300"/>
  <c r="F300" i="5"/>
  <c r="F296"/>
  <c r="P296" i="15"/>
  <c r="F288" i="5"/>
  <c r="P288" i="15"/>
  <c r="F283" i="5"/>
  <c r="P283" i="15"/>
  <c r="F279" i="5"/>
  <c r="P279" i="15"/>
  <c r="F275" i="5"/>
  <c r="P275" i="15"/>
  <c r="F270" i="5"/>
  <c r="P270" i="15"/>
  <c r="F266" i="5"/>
  <c r="P266" i="15"/>
  <c r="F262" i="5"/>
  <c r="P262" i="15"/>
  <c r="P257"/>
  <c r="F257" i="5"/>
  <c r="F253"/>
  <c r="P253" i="15"/>
  <c r="F249" i="5"/>
  <c r="P249" i="15"/>
  <c r="F244" i="5"/>
  <c r="P244" i="15"/>
  <c r="F240" i="5"/>
  <c r="P240" i="15"/>
  <c r="P236"/>
  <c r="F236" i="5"/>
  <c r="F232"/>
  <c r="P232" i="15"/>
  <c r="F227" i="5"/>
  <c r="P227" i="15"/>
  <c r="F223" i="5"/>
  <c r="P223" i="15"/>
  <c r="F219" i="5"/>
  <c r="P219" i="15"/>
  <c r="F214" i="5"/>
  <c r="P214" i="15"/>
  <c r="F210" i="5"/>
  <c r="P210" i="15"/>
  <c r="P206"/>
  <c r="F206" i="5"/>
  <c r="F201"/>
  <c r="P201" i="15"/>
  <c r="F197" i="5"/>
  <c r="P197" i="15"/>
  <c r="F193" i="5"/>
  <c r="P193" i="15"/>
  <c r="F188" i="5"/>
  <c r="P188" i="15"/>
  <c r="F184" i="5"/>
  <c r="P184" i="15"/>
  <c r="F176" i="5"/>
  <c r="P176" i="15"/>
  <c r="F171" i="5"/>
  <c r="P171" i="15"/>
  <c r="F167" i="5"/>
  <c r="P167" i="15"/>
  <c r="F163" i="5"/>
  <c r="P163" i="15"/>
  <c r="F158" i="5"/>
  <c r="P158" i="15"/>
  <c r="F154" i="5"/>
  <c r="P154" i="15"/>
  <c r="F150" i="5"/>
  <c r="P150" i="15"/>
  <c r="F137" i="5"/>
  <c r="P137" i="15"/>
  <c r="F128" i="5"/>
  <c r="P128" i="15"/>
  <c r="F124" i="5"/>
  <c r="P124" i="15"/>
  <c r="F120" i="5"/>
  <c r="P120" i="15"/>
  <c r="F115" i="5"/>
  <c r="P115" i="15"/>
  <c r="F111" i="5"/>
  <c r="P111" i="15"/>
  <c r="F107" i="5"/>
  <c r="P107" i="15"/>
  <c r="F102" i="5"/>
  <c r="P102" i="15"/>
  <c r="F98" i="5"/>
  <c r="P98" i="15"/>
  <c r="F94" i="5"/>
  <c r="P94" i="15"/>
  <c r="F89" i="5"/>
  <c r="P89" i="15"/>
  <c r="F85" i="5"/>
  <c r="P85" i="15"/>
  <c r="F81" i="5"/>
  <c r="P81" i="15"/>
  <c r="F76" i="5"/>
  <c r="P76" i="15"/>
  <c r="F72" i="5"/>
  <c r="P72" i="15"/>
  <c r="F68" i="5"/>
  <c r="P68" i="15"/>
  <c r="F64" i="5"/>
  <c r="P64" i="15"/>
  <c r="F59" i="5"/>
  <c r="P59" i="15"/>
  <c r="F55" i="5"/>
  <c r="P55" i="15"/>
  <c r="F51" i="5"/>
  <c r="P51" i="15"/>
  <c r="F46" i="5"/>
  <c r="P46" i="15"/>
  <c r="F42" i="5"/>
  <c r="P42" i="15"/>
  <c r="F38" i="5"/>
  <c r="P38" i="15"/>
  <c r="F33" i="5"/>
  <c r="P33" i="15"/>
  <c r="F29" i="5"/>
  <c r="P29" i="15"/>
  <c r="F25" i="5"/>
  <c r="P25" i="15"/>
  <c r="F20" i="5"/>
  <c r="P20" i="15"/>
  <c r="F16" i="5"/>
  <c r="P16" i="15"/>
  <c r="F12" i="5"/>
  <c r="P12" i="15"/>
  <c r="F8" i="5"/>
  <c r="P8" i="15"/>
  <c r="F161" i="5"/>
  <c r="P161" i="15"/>
  <c r="F217" i="5"/>
  <c r="P217" i="15"/>
  <c r="F273" i="5"/>
  <c r="P273" i="15"/>
  <c r="F329" i="5"/>
  <c r="P329" i="15"/>
  <c r="P385"/>
  <c r="F385" i="5"/>
  <c r="F441"/>
  <c r="P441" i="15"/>
  <c r="G10" i="5"/>
  <c r="S10" i="15"/>
  <c r="G14" i="5"/>
  <c r="S14" i="15"/>
  <c r="G18" i="5"/>
  <c r="S18" i="15"/>
  <c r="S22"/>
  <c r="G22" i="5"/>
  <c r="S26" i="15"/>
  <c r="G26" i="5"/>
  <c r="S30" i="15"/>
  <c r="G30" i="5"/>
  <c r="S34" i="15"/>
  <c r="G34" i="5"/>
  <c r="S38" i="15"/>
  <c r="G38" i="5"/>
  <c r="S42" i="15"/>
  <c r="G42" i="5"/>
  <c r="S46" i="15"/>
  <c r="G46" i="5"/>
  <c r="S50" i="15"/>
  <c r="G50" i="5"/>
  <c r="S54" i="15"/>
  <c r="G54" i="5"/>
  <c r="S58" i="15"/>
  <c r="G58" i="5"/>
  <c r="S62" i="15"/>
  <c r="G62" i="5"/>
  <c r="S66" i="15"/>
  <c r="G66" i="5"/>
  <c r="S77" i="15"/>
  <c r="G77" i="5"/>
  <c r="S73" i="15"/>
  <c r="G73" i="5"/>
  <c r="S78" i="15"/>
  <c r="G78" i="5"/>
  <c r="S82" i="15"/>
  <c r="G82" i="5"/>
  <c r="S87" i="15"/>
  <c r="G87" i="5"/>
  <c r="S91" i="15"/>
  <c r="G91" i="5"/>
  <c r="S94" i="15"/>
  <c r="G94" i="5"/>
  <c r="S98" i="15"/>
  <c r="G98" i="5"/>
  <c r="S102" i="15"/>
  <c r="G102" i="5"/>
  <c r="S106" i="15"/>
  <c r="G106" i="5"/>
  <c r="S110" i="15"/>
  <c r="G110" i="5"/>
  <c r="S114" i="15"/>
  <c r="G114" i="5"/>
  <c r="S118" i="15"/>
  <c r="G118" i="5"/>
  <c r="S122" i="15"/>
  <c r="G122" i="5"/>
  <c r="S126" i="15"/>
  <c r="G126" i="5"/>
  <c r="S130" i="15"/>
  <c r="G130" i="5"/>
  <c r="S134" i="15"/>
  <c r="G134" i="5"/>
  <c r="S138" i="15"/>
  <c r="G138" i="5"/>
  <c r="S142" i="15"/>
  <c r="G142" i="5"/>
  <c r="S147" i="15"/>
  <c r="G147" i="5"/>
  <c r="S151" i="15"/>
  <c r="G151" i="5"/>
  <c r="S155" i="15"/>
  <c r="G155" i="5"/>
  <c r="S159" i="15"/>
  <c r="G159" i="5"/>
  <c r="S163" i="15"/>
  <c r="G163" i="5"/>
  <c r="S167" i="15"/>
  <c r="G167" i="5"/>
  <c r="S171" i="15"/>
  <c r="G171" i="5"/>
  <c r="S175" i="15"/>
  <c r="G175" i="5"/>
  <c r="S183" i="15"/>
  <c r="G183" i="5"/>
  <c r="S191" i="15"/>
  <c r="G191" i="5"/>
  <c r="S199" i="15"/>
  <c r="G199" i="5"/>
  <c r="S207" i="15"/>
  <c r="G207" i="5"/>
  <c r="S215" i="15"/>
  <c r="G215" i="5"/>
  <c r="S223" i="15"/>
  <c r="G223" i="5"/>
  <c r="S231" i="15"/>
  <c r="G231" i="5"/>
  <c r="S239" i="15"/>
  <c r="G239" i="5"/>
  <c r="S247" i="15"/>
  <c r="G247" i="5"/>
  <c r="S255" i="15"/>
  <c r="G255" i="5"/>
  <c r="S263" i="15"/>
  <c r="G263" i="5"/>
  <c r="S271" i="15"/>
  <c r="G271" i="5"/>
  <c r="S279" i="15"/>
  <c r="G279" i="5"/>
  <c r="S287" i="15"/>
  <c r="G287" i="5"/>
  <c r="S295" i="15"/>
  <c r="G295" i="5"/>
  <c r="S303" i="15"/>
  <c r="G303" i="5"/>
  <c r="S311" i="15"/>
  <c r="G311" i="5"/>
  <c r="S319" i="15"/>
  <c r="G319" i="5"/>
  <c r="S327" i="15"/>
  <c r="G327" i="5"/>
  <c r="S335" i="15"/>
  <c r="G335" i="5"/>
  <c r="S343" i="15"/>
  <c r="G343" i="5"/>
  <c r="S351" i="15"/>
  <c r="G351" i="5"/>
  <c r="S359" i="15"/>
  <c r="G359" i="5"/>
  <c r="S367" i="15"/>
  <c r="G367" i="5"/>
  <c r="S375" i="15"/>
  <c r="G375" i="5"/>
  <c r="S383" i="15"/>
  <c r="G383" i="5"/>
  <c r="S391" i="15"/>
  <c r="G391" i="5"/>
  <c r="S399" i="15"/>
  <c r="G399" i="5"/>
  <c r="S407" i="15"/>
  <c r="G407" i="5"/>
  <c r="S416" i="15"/>
  <c r="G416" i="5"/>
  <c r="S424" i="15"/>
  <c r="G424" i="5"/>
  <c r="I440"/>
  <c r="Y440" i="15"/>
  <c r="I432" i="5"/>
  <c r="Y432" i="15"/>
  <c r="I423" i="5"/>
  <c r="Y423" i="15"/>
  <c r="I415" i="5"/>
  <c r="Y415" i="15"/>
  <c r="I406" i="5"/>
  <c r="Y406" i="15"/>
  <c r="I397" i="5"/>
  <c r="Y397" i="15"/>
  <c r="Y389"/>
  <c r="I389" i="5"/>
  <c r="Y380" i="15"/>
  <c r="I380" i="5"/>
  <c r="I363"/>
  <c r="Y363" i="15"/>
  <c r="I359" i="5"/>
  <c r="Y359" i="15"/>
  <c r="Y354"/>
  <c r="I354" i="5"/>
  <c r="I350"/>
  <c r="Y350" i="15"/>
  <c r="E8" i="5"/>
  <c r="M8" i="15"/>
  <c r="E12" i="5"/>
  <c r="M12" i="15"/>
  <c r="E16" i="5"/>
  <c r="M16" i="15"/>
  <c r="E24" i="5"/>
  <c r="M24" i="15"/>
  <c r="E28" i="5"/>
  <c r="M28" i="15"/>
  <c r="E32" i="5"/>
  <c r="M32" i="15"/>
  <c r="E73" i="5"/>
  <c r="M73" i="15"/>
  <c r="E121" i="5"/>
  <c r="M121" i="15"/>
  <c r="E125" i="5"/>
  <c r="M125" i="15"/>
  <c r="E129" i="5"/>
  <c r="M129" i="15"/>
  <c r="E205" i="5"/>
  <c r="M205" i="15"/>
  <c r="E209" i="5"/>
  <c r="M209" i="15"/>
  <c r="E213" i="5"/>
  <c r="M213" i="15"/>
  <c r="E232" i="5"/>
  <c r="M232" i="15"/>
  <c r="E236" i="5"/>
  <c r="M236" i="15"/>
  <c r="E240" i="5"/>
  <c r="M240" i="15"/>
  <c r="E244" i="5"/>
  <c r="M244" i="15"/>
  <c r="E292" i="5"/>
  <c r="M292" i="15"/>
  <c r="E344" i="5"/>
  <c r="M344" i="15"/>
  <c r="E372" i="5"/>
  <c r="M372" i="15"/>
  <c r="E384" i="5"/>
  <c r="M384" i="15"/>
  <c r="E388" i="5"/>
  <c r="M388" i="15"/>
  <c r="E392" i="5"/>
  <c r="M392" i="15"/>
  <c r="E396" i="5"/>
  <c r="M396" i="15"/>
  <c r="E431" i="5"/>
  <c r="M431" i="15"/>
  <c r="E439" i="5"/>
  <c r="M439" i="15"/>
  <c r="F440" i="5"/>
  <c r="P440" i="15"/>
  <c r="F436" i="5"/>
  <c r="P436" i="15"/>
  <c r="F428" i="5"/>
  <c r="P428" i="15"/>
  <c r="F423" i="5"/>
  <c r="P423" i="15"/>
  <c r="F419" i="5"/>
  <c r="P419" i="15"/>
  <c r="F415" i="5"/>
  <c r="P415" i="15"/>
  <c r="P406"/>
  <c r="F406" i="5"/>
  <c r="F397"/>
  <c r="P397" i="15"/>
  <c r="F393" i="5"/>
  <c r="P393" i="15"/>
  <c r="F389" i="5"/>
  <c r="P389" i="15"/>
  <c r="F384" i="5"/>
  <c r="P384" i="15"/>
  <c r="F380" i="5"/>
  <c r="P380" i="15"/>
  <c r="F372" i="5"/>
  <c r="P372" i="15"/>
  <c r="F367" i="5"/>
  <c r="P367" i="15"/>
  <c r="F363" i="5"/>
  <c r="P363" i="15"/>
  <c r="F359" i="5"/>
  <c r="P359" i="15"/>
  <c r="F350" i="5"/>
  <c r="P350" i="15"/>
  <c r="F341" i="5"/>
  <c r="P341" i="15"/>
  <c r="F337" i="5"/>
  <c r="P337" i="15"/>
  <c r="F333" i="5"/>
  <c r="P333" i="15"/>
  <c r="F328" i="5"/>
  <c r="P328" i="15"/>
  <c r="F324" i="5"/>
  <c r="P324" i="15"/>
  <c r="F320" i="5"/>
  <c r="P320" i="15"/>
  <c r="F316" i="5"/>
  <c r="P316" i="15"/>
  <c r="F311" i="5"/>
  <c r="P311" i="15"/>
  <c r="F307" i="5"/>
  <c r="P307" i="15"/>
  <c r="F303" i="5"/>
  <c r="P303" i="15"/>
  <c r="F294" i="5"/>
  <c r="P294" i="15"/>
  <c r="F290" i="5"/>
  <c r="P290" i="15"/>
  <c r="F285" i="5"/>
  <c r="P285" i="15"/>
  <c r="F281" i="5"/>
  <c r="P281" i="15"/>
  <c r="F277" i="5"/>
  <c r="P277" i="15"/>
  <c r="F272" i="5"/>
  <c r="P272" i="15"/>
  <c r="F268" i="5"/>
  <c r="P268" i="15"/>
  <c r="F264" i="5"/>
  <c r="P264" i="15"/>
  <c r="F260" i="5"/>
  <c r="P260" i="15"/>
  <c r="P242"/>
  <c r="F242" i="5"/>
  <c r="F238"/>
  <c r="P238" i="15"/>
  <c r="F234" i="5"/>
  <c r="P234" i="15"/>
  <c r="F229" i="5"/>
  <c r="P229" i="15"/>
  <c r="P225"/>
  <c r="F225" i="5"/>
  <c r="F221"/>
  <c r="P221" i="15"/>
  <c r="F216" i="5"/>
  <c r="P216" i="15"/>
  <c r="F212" i="5"/>
  <c r="P212" i="15"/>
  <c r="F208" i="5"/>
  <c r="P208" i="15"/>
  <c r="F186" i="5"/>
  <c r="P186" i="15"/>
  <c r="P178"/>
  <c r="F178" i="5"/>
  <c r="F173"/>
  <c r="P173" i="15"/>
  <c r="F169" i="5"/>
  <c r="P169" i="15"/>
  <c r="F165" i="5"/>
  <c r="P165" i="15"/>
  <c r="F156" i="5"/>
  <c r="P156" i="15"/>
  <c r="F148" i="5"/>
  <c r="P148" i="15"/>
  <c r="F126" i="5"/>
  <c r="P126" i="15"/>
  <c r="F122" i="5"/>
  <c r="P122" i="15"/>
  <c r="F117" i="5"/>
  <c r="P117" i="15"/>
  <c r="F113" i="5"/>
  <c r="P113" i="15"/>
  <c r="F109" i="5"/>
  <c r="P109" i="15"/>
  <c r="F104" i="5"/>
  <c r="P104" i="15"/>
  <c r="F100" i="5"/>
  <c r="P100" i="15"/>
  <c r="F96" i="5"/>
  <c r="P96" i="15"/>
  <c r="F92" i="5"/>
  <c r="P92" i="15"/>
  <c r="F74" i="5"/>
  <c r="P74" i="15"/>
  <c r="P70"/>
  <c r="F70" i="5"/>
  <c r="F66"/>
  <c r="P66" i="15"/>
  <c r="F61" i="5"/>
  <c r="P61" i="15"/>
  <c r="F57" i="5"/>
  <c r="P57" i="15"/>
  <c r="F53" i="5"/>
  <c r="P53" i="15"/>
  <c r="F48" i="5"/>
  <c r="P48" i="15"/>
  <c r="F44" i="5"/>
  <c r="P44" i="15"/>
  <c r="F40" i="5"/>
  <c r="P40" i="15"/>
  <c r="F36" i="5"/>
  <c r="P36" i="15"/>
  <c r="F18" i="5"/>
  <c r="P18" i="15"/>
  <c r="F14" i="5"/>
  <c r="P14" i="15"/>
  <c r="F10" i="5"/>
  <c r="P10" i="15"/>
  <c r="F189" i="5"/>
  <c r="P189" i="15"/>
  <c r="F245" i="5"/>
  <c r="P245" i="15"/>
  <c r="P301"/>
  <c r="F301" i="5"/>
  <c r="F357"/>
  <c r="P357" i="15"/>
  <c r="F413" i="5"/>
  <c r="P413" i="15"/>
  <c r="G8" i="5"/>
  <c r="S8" i="15"/>
  <c r="G12" i="5"/>
  <c r="S12" i="15"/>
  <c r="G16" i="5"/>
  <c r="S16" i="15"/>
  <c r="G20" i="5"/>
  <c r="S20" i="15"/>
  <c r="G24" i="5"/>
  <c r="S24" i="15"/>
  <c r="S28"/>
  <c r="G28" i="5"/>
  <c r="S32" i="15"/>
  <c r="G32" i="5"/>
  <c r="S36" i="15"/>
  <c r="G36" i="5"/>
  <c r="S40" i="15"/>
  <c r="G40" i="5"/>
  <c r="S44" i="15"/>
  <c r="G44" i="5"/>
  <c r="S48" i="15"/>
  <c r="G48" i="5"/>
  <c r="S52" i="15"/>
  <c r="G52" i="5"/>
  <c r="S56" i="15"/>
  <c r="G56" i="5"/>
  <c r="S60" i="15"/>
  <c r="G60" i="5"/>
  <c r="S64" i="15"/>
  <c r="G64" i="5"/>
  <c r="S68" i="15"/>
  <c r="G68" i="5"/>
  <c r="S71" i="15"/>
  <c r="G71" i="5"/>
  <c r="S75" i="15"/>
  <c r="G75" i="5"/>
  <c r="S79" i="15"/>
  <c r="G79" i="5"/>
  <c r="S84" i="15"/>
  <c r="G84" i="5"/>
  <c r="S89" i="15"/>
  <c r="G89" i="5"/>
  <c r="S92" i="15"/>
  <c r="G92" i="5"/>
  <c r="S96" i="15"/>
  <c r="G96" i="5"/>
  <c r="S100" i="15"/>
  <c r="G100" i="5"/>
  <c r="S104" i="15"/>
  <c r="G104" i="5"/>
  <c r="S108" i="15"/>
  <c r="G108" i="5"/>
  <c r="S112" i="15"/>
  <c r="G112" i="5"/>
  <c r="S116" i="15"/>
  <c r="G116" i="5"/>
  <c r="S120" i="15"/>
  <c r="G120" i="5"/>
  <c r="S124" i="15"/>
  <c r="G124" i="5"/>
  <c r="S128" i="15"/>
  <c r="G128" i="5"/>
  <c r="S132" i="15"/>
  <c r="G132" i="5"/>
  <c r="G136"/>
  <c r="S136" i="15"/>
  <c r="S140"/>
  <c r="G140" i="5"/>
  <c r="S144" i="15"/>
  <c r="G144" i="5"/>
  <c r="S149" i="15"/>
  <c r="G149" i="5"/>
  <c r="S153" i="15"/>
  <c r="G153" i="5"/>
  <c r="S157" i="15"/>
  <c r="G157" i="5"/>
  <c r="S161" i="15"/>
  <c r="G161" i="5"/>
  <c r="S165" i="15"/>
  <c r="G165" i="5"/>
  <c r="S169" i="15"/>
  <c r="G169" i="5"/>
  <c r="S173" i="15"/>
  <c r="G173" i="5"/>
  <c r="S177" i="15"/>
  <c r="G177" i="5"/>
  <c r="S181" i="15"/>
  <c r="G181" i="5"/>
  <c r="S185" i="15"/>
  <c r="G185" i="5"/>
  <c r="S189" i="15"/>
  <c r="G189" i="5"/>
  <c r="S193" i="15"/>
  <c r="G193" i="5"/>
  <c r="S197" i="15"/>
  <c r="G197" i="5"/>
  <c r="S201" i="15"/>
  <c r="G201" i="5"/>
  <c r="S205" i="15"/>
  <c r="G205" i="5"/>
  <c r="S209" i="15"/>
  <c r="G209" i="5"/>
  <c r="S213" i="15"/>
  <c r="G213" i="5"/>
  <c r="S217" i="15"/>
  <c r="G217" i="5"/>
  <c r="S221" i="15"/>
  <c r="G221" i="5"/>
  <c r="S225" i="15"/>
  <c r="G225" i="5"/>
  <c r="S229" i="15"/>
  <c r="G229" i="5"/>
  <c r="S233" i="15"/>
  <c r="G233" i="5"/>
  <c r="S237" i="15"/>
  <c r="G237" i="5"/>
  <c r="S241" i="15"/>
  <c r="G241" i="5"/>
  <c r="S245" i="15"/>
  <c r="G245" i="5"/>
  <c r="S249" i="15"/>
  <c r="G249" i="5"/>
  <c r="S253" i="15"/>
  <c r="G253" i="5"/>
  <c r="S257" i="15"/>
  <c r="G257" i="5"/>
  <c r="S261" i="15"/>
  <c r="G261" i="5"/>
  <c r="S265" i="15"/>
  <c r="G265" i="5"/>
  <c r="S269" i="15"/>
  <c r="G269" i="5"/>
  <c r="S273" i="15"/>
  <c r="G273" i="5"/>
  <c r="S277" i="15"/>
  <c r="G277" i="5"/>
  <c r="S281" i="15"/>
  <c r="G281" i="5"/>
  <c r="S285" i="15"/>
  <c r="G285" i="5"/>
  <c r="S289" i="15"/>
  <c r="G289" i="5"/>
  <c r="S293" i="15"/>
  <c r="G293" i="5"/>
  <c r="S297" i="15"/>
  <c r="G297" i="5"/>
  <c r="S301" i="15"/>
  <c r="G301" i="5"/>
  <c r="S305" i="15"/>
  <c r="G305" i="5"/>
  <c r="S309" i="15"/>
  <c r="G309" i="5"/>
  <c r="S313" i="15"/>
  <c r="G313" i="5"/>
  <c r="S317" i="15"/>
  <c r="G317" i="5"/>
  <c r="S321" i="15"/>
  <c r="G321" i="5"/>
  <c r="S325" i="15"/>
  <c r="G325" i="5"/>
  <c r="S329" i="15"/>
  <c r="G329" i="5"/>
  <c r="S333" i="15"/>
  <c r="G333" i="5"/>
  <c r="S337" i="15"/>
  <c r="G337" i="5"/>
  <c r="S341" i="15"/>
  <c r="G341" i="5"/>
  <c r="S345" i="15"/>
  <c r="G345" i="5"/>
  <c r="S349" i="15"/>
  <c r="G349" i="5"/>
  <c r="S353" i="15"/>
  <c r="G353" i="5"/>
  <c r="S357" i="15"/>
  <c r="G357" i="5"/>
  <c r="S361" i="15"/>
  <c r="G361" i="5"/>
  <c r="S365" i="15"/>
  <c r="G365" i="5"/>
  <c r="S369" i="15"/>
  <c r="G369" i="5"/>
  <c r="S373" i="15"/>
  <c r="G373" i="5"/>
  <c r="S377" i="15"/>
  <c r="G377" i="5"/>
  <c r="S381" i="15"/>
  <c r="G381" i="5"/>
  <c r="S385" i="15"/>
  <c r="G385" i="5"/>
  <c r="S389" i="15"/>
  <c r="G389" i="5"/>
  <c r="S393" i="15"/>
  <c r="G393" i="5"/>
  <c r="S397" i="15"/>
  <c r="G397" i="5"/>
  <c r="S401" i="15"/>
  <c r="G401" i="5"/>
  <c r="S405" i="15"/>
  <c r="G405" i="5"/>
  <c r="S409" i="15"/>
  <c r="G409" i="5"/>
  <c r="S414" i="15"/>
  <c r="G414" i="5"/>
  <c r="S418" i="15"/>
  <c r="G418" i="5"/>
  <c r="S422" i="15"/>
  <c r="G422" i="5"/>
  <c r="S426" i="15"/>
  <c r="G426" i="5"/>
  <c r="S431" i="15"/>
  <c r="G431" i="5"/>
  <c r="S435" i="15"/>
  <c r="G435" i="5"/>
  <c r="S439" i="15"/>
  <c r="G439" i="5"/>
  <c r="S179" i="15"/>
  <c r="G179" i="5"/>
  <c r="S187" i="15"/>
  <c r="G187" i="5"/>
  <c r="S195" i="15"/>
  <c r="G195" i="5"/>
  <c r="S203" i="15"/>
  <c r="G203" i="5"/>
  <c r="S211" i="15"/>
  <c r="G211" i="5"/>
  <c r="S219" i="15"/>
  <c r="G219" i="5"/>
  <c r="S227" i="15"/>
  <c r="G227" i="5"/>
  <c r="S235" i="15"/>
  <c r="G235" i="5"/>
  <c r="S243" i="15"/>
  <c r="G243" i="5"/>
  <c r="S251" i="15"/>
  <c r="G251" i="5"/>
  <c r="S259" i="15"/>
  <c r="G259" i="5"/>
  <c r="S267" i="15"/>
  <c r="G267" i="5"/>
  <c r="S275" i="15"/>
  <c r="G275" i="5"/>
  <c r="S283" i="15"/>
  <c r="G283" i="5"/>
  <c r="S291" i="15"/>
  <c r="G291" i="5"/>
  <c r="S299" i="15"/>
  <c r="G299" i="5"/>
  <c r="S307" i="15"/>
  <c r="G307" i="5"/>
  <c r="S315" i="15"/>
  <c r="G315" i="5"/>
  <c r="S323" i="15"/>
  <c r="G323" i="5"/>
  <c r="S331" i="15"/>
  <c r="G331" i="5"/>
  <c r="S339" i="15"/>
  <c r="G339" i="5"/>
  <c r="S347" i="15"/>
  <c r="G347" i="5"/>
  <c r="S355" i="15"/>
  <c r="G355" i="5"/>
  <c r="S363" i="15"/>
  <c r="G363" i="5"/>
  <c r="S371" i="15"/>
  <c r="G371" i="5"/>
  <c r="S379" i="15"/>
  <c r="G379" i="5"/>
  <c r="S387" i="15"/>
  <c r="G387" i="5"/>
  <c r="S395" i="15"/>
  <c r="G395" i="5"/>
  <c r="S403" i="15"/>
  <c r="G403" i="5"/>
  <c r="S411" i="15"/>
  <c r="G411" i="5"/>
  <c r="S420" i="15"/>
  <c r="G420" i="5"/>
  <c r="I436"/>
  <c r="Y436" i="15"/>
  <c r="I428" i="5"/>
  <c r="Y428" i="15"/>
  <c r="I419" i="5"/>
  <c r="Y419" i="15"/>
  <c r="I410" i="5"/>
  <c r="Y410" i="15"/>
  <c r="Y402"/>
  <c r="I402" i="5"/>
  <c r="I393"/>
  <c r="Y393" i="15"/>
  <c r="I384" i="5"/>
  <c r="Y384" i="15"/>
  <c r="I376" i="5"/>
  <c r="Y376" i="15"/>
  <c r="I367" i="5"/>
  <c r="Y367" i="15"/>
  <c r="I346" i="5"/>
  <c r="Y346" i="15"/>
  <c r="I372" i="5"/>
  <c r="S429" i="15"/>
  <c r="G429" i="5"/>
  <c r="S433" i="15"/>
  <c r="G433" i="5"/>
  <c r="S437" i="15"/>
  <c r="G437" i="5"/>
  <c r="I438"/>
  <c r="Y438" i="15"/>
  <c r="I434" i="5"/>
  <c r="Y434" i="15"/>
  <c r="I430" i="5"/>
  <c r="Y430" i="15"/>
  <c r="I425" i="5"/>
  <c r="Y425" i="15"/>
  <c r="I417" i="5"/>
  <c r="Y417" i="15"/>
  <c r="I412" i="5"/>
  <c r="Y412" i="15"/>
  <c r="I408" i="5"/>
  <c r="Y408" i="15"/>
  <c r="I404" i="5"/>
  <c r="Y404" i="15"/>
  <c r="I400" i="5"/>
  <c r="Y400" i="15"/>
  <c r="I395" i="5"/>
  <c r="Y395" i="15"/>
  <c r="I391" i="5"/>
  <c r="Y391" i="15"/>
  <c r="I382" i="5"/>
  <c r="Y382" i="15"/>
  <c r="I374" i="5"/>
  <c r="Y374" i="15"/>
  <c r="I365" i="5"/>
  <c r="Y365" i="15"/>
  <c r="I361" i="5"/>
  <c r="Y361" i="15"/>
  <c r="I356" i="5"/>
  <c r="Y356" i="15"/>
  <c r="I352" i="5"/>
  <c r="Y352" i="15"/>
  <c r="I348" i="5"/>
  <c r="Y348" i="15"/>
  <c r="I344" i="5"/>
  <c r="Y344" i="15"/>
  <c r="I339" i="5"/>
  <c r="Y339" i="15"/>
  <c r="I331" i="5"/>
  <c r="Y331" i="15"/>
  <c r="I326" i="5"/>
  <c r="Y326" i="15"/>
  <c r="I322" i="5"/>
  <c r="Y322" i="15"/>
  <c r="I318" i="5"/>
  <c r="Y318" i="15"/>
  <c r="I313" i="5"/>
  <c r="Y313" i="15"/>
  <c r="I309" i="5"/>
  <c r="Y309" i="15"/>
  <c r="I305" i="5"/>
  <c r="Y305" i="15"/>
  <c r="I300" i="5"/>
  <c r="Y300" i="15"/>
  <c r="I296" i="5"/>
  <c r="Y296" i="15"/>
  <c r="I292" i="5"/>
  <c r="Y292" i="15"/>
  <c r="I288" i="5"/>
  <c r="Y288" i="15"/>
  <c r="I283" i="5"/>
  <c r="Y283" i="15"/>
  <c r="I279" i="5"/>
  <c r="Y279" i="15"/>
  <c r="I275" i="5"/>
  <c r="Y275" i="15"/>
  <c r="I270" i="5"/>
  <c r="Y270" i="15"/>
  <c r="I266" i="5"/>
  <c r="Y266" i="15"/>
  <c r="I262" i="5"/>
  <c r="Y262" i="15"/>
  <c r="I257" i="5"/>
  <c r="Y257" i="15"/>
  <c r="I253" i="5"/>
  <c r="Y253" i="15"/>
  <c r="I249" i="5"/>
  <c r="Y249" i="15"/>
  <c r="I244" i="5"/>
  <c r="Y244" i="15"/>
  <c r="I240" i="5"/>
  <c r="Y240" i="15"/>
  <c r="I236" i="5"/>
  <c r="Y236" i="15"/>
  <c r="I232" i="5"/>
  <c r="Y232" i="15"/>
  <c r="I227" i="5"/>
  <c r="Y227" i="15"/>
  <c r="I223" i="5"/>
  <c r="Y223" i="15"/>
  <c r="I219" i="5"/>
  <c r="Y219" i="15"/>
  <c r="I210" i="5"/>
  <c r="Y210" i="15"/>
  <c r="I206" i="5"/>
  <c r="Y206" i="15"/>
  <c r="I201" i="5"/>
  <c r="Y201" i="15"/>
  <c r="I197" i="5"/>
  <c r="Y197" i="15"/>
  <c r="I188" i="5"/>
  <c r="Y188" i="15"/>
  <c r="I184" i="5"/>
  <c r="Y184" i="15"/>
  <c r="I180" i="5"/>
  <c r="Y180" i="15"/>
  <c r="I176" i="5"/>
  <c r="Y176" i="15"/>
  <c r="I171" i="5"/>
  <c r="Y171" i="15"/>
  <c r="I163" i="5"/>
  <c r="Y163" i="15"/>
  <c r="I158" i="5"/>
  <c r="Y158" i="15"/>
  <c r="I154" i="5"/>
  <c r="Y154" i="15"/>
  <c r="I150" i="5"/>
  <c r="Y150" i="15"/>
  <c r="I145" i="5"/>
  <c r="Y145" i="15"/>
  <c r="I141" i="5"/>
  <c r="Y141" i="15"/>
  <c r="I137" i="5"/>
  <c r="Y137" i="15"/>
  <c r="I128" i="5"/>
  <c r="Y128" i="15"/>
  <c r="I124" i="5"/>
  <c r="Y124" i="15"/>
  <c r="I120" i="5"/>
  <c r="Y120" i="15"/>
  <c r="I115" i="5"/>
  <c r="Y115" i="15"/>
  <c r="I111" i="5"/>
  <c r="Y111" i="15"/>
  <c r="I107" i="5"/>
  <c r="Y107" i="15"/>
  <c r="I102" i="5"/>
  <c r="Y102" i="15"/>
  <c r="I94" i="5"/>
  <c r="Y94" i="15"/>
  <c r="I88" i="5"/>
  <c r="Y88" i="15"/>
  <c r="I84" i="5"/>
  <c r="Y84" i="15"/>
  <c r="I80" i="5"/>
  <c r="Y80" i="15"/>
  <c r="I75" i="5"/>
  <c r="Y75" i="15"/>
  <c r="I67" i="5"/>
  <c r="Y67" i="15"/>
  <c r="I62" i="5"/>
  <c r="Y62" i="15"/>
  <c r="I58" i="5"/>
  <c r="Y58" i="15"/>
  <c r="I54" i="5"/>
  <c r="Y54" i="15"/>
  <c r="I48" i="5"/>
  <c r="Y48" i="15"/>
  <c r="I44" i="5"/>
  <c r="Y44" i="15"/>
  <c r="Y40"/>
  <c r="I40" i="5"/>
  <c r="I36"/>
  <c r="Y36" i="15"/>
  <c r="I31" i="5"/>
  <c r="Y31" i="15"/>
  <c r="I27" i="5"/>
  <c r="Y27" i="15"/>
  <c r="I23" i="5"/>
  <c r="Y23" i="15"/>
  <c r="I18" i="5"/>
  <c r="Y18" i="15"/>
  <c r="I14" i="5"/>
  <c r="Y14" i="15"/>
  <c r="I10" i="5"/>
  <c r="Y10" i="15"/>
  <c r="I21" i="5"/>
  <c r="Y21" i="15"/>
  <c r="I50" i="5"/>
  <c r="Y50" i="15"/>
  <c r="Y91"/>
  <c r="I91" i="5"/>
  <c r="I189"/>
  <c r="Y189" i="15"/>
  <c r="I245" i="5"/>
  <c r="Y245" i="15"/>
  <c r="I301" i="5"/>
  <c r="Y301" i="15"/>
  <c r="I413" i="5"/>
  <c r="Y413" i="15"/>
  <c r="L442" i="5"/>
  <c r="AH442" i="15"/>
  <c r="L433" i="5"/>
  <c r="AH433" i="15"/>
  <c r="L429" i="5"/>
  <c r="AH429" i="15"/>
  <c r="L424" i="5"/>
  <c r="AH424" i="15"/>
  <c r="L420" i="5"/>
  <c r="AH420" i="15"/>
  <c r="L416" i="5"/>
  <c r="AH416" i="15"/>
  <c r="L411" i="5"/>
  <c r="AH411" i="15"/>
  <c r="L407" i="5"/>
  <c r="AH407" i="15"/>
  <c r="AH398"/>
  <c r="L398" i="5"/>
  <c r="L394"/>
  <c r="AH394" i="15"/>
  <c r="L390" i="5"/>
  <c r="AH390" i="15"/>
  <c r="AH386"/>
  <c r="L386" i="5"/>
  <c r="L377"/>
  <c r="AH377" i="15"/>
  <c r="L373" i="5"/>
  <c r="AH373" i="15"/>
  <c r="L364" i="5"/>
  <c r="AH364" i="15"/>
  <c r="L360" i="5"/>
  <c r="AH360" i="15"/>
  <c r="L347" i="5"/>
  <c r="AH347" i="15"/>
  <c r="L312" i="5"/>
  <c r="AH312" i="15"/>
  <c r="L304" i="5"/>
  <c r="AH304" i="15"/>
  <c r="L299" i="5"/>
  <c r="AH299" i="15"/>
  <c r="L295" i="5"/>
  <c r="AH295" i="15"/>
  <c r="L286" i="5"/>
  <c r="AH286" i="15"/>
  <c r="L278" i="5"/>
  <c r="AH278" i="15"/>
  <c r="L265" i="5"/>
  <c r="AH265" i="15"/>
  <c r="L243" i="5"/>
  <c r="AH243" i="15"/>
  <c r="L230" i="5"/>
  <c r="AH230" i="15"/>
  <c r="L213" i="5"/>
  <c r="AH213" i="15"/>
  <c r="L209" i="5"/>
  <c r="AH209" i="15"/>
  <c r="L205" i="5"/>
  <c r="AH205" i="15"/>
  <c r="L196" i="5"/>
  <c r="AH196" i="15"/>
  <c r="L183" i="5"/>
  <c r="AH183" i="15"/>
  <c r="L162" i="5"/>
  <c r="AH162" i="15"/>
  <c r="L144" i="5"/>
  <c r="AH144" i="15"/>
  <c r="L136" i="5"/>
  <c r="AH136" i="15"/>
  <c r="L127" i="5"/>
  <c r="AH127" i="15"/>
  <c r="L118" i="5"/>
  <c r="AH118" i="15"/>
  <c r="L110" i="5"/>
  <c r="AH110" i="15"/>
  <c r="L106" i="5"/>
  <c r="AH106" i="15"/>
  <c r="L75" i="5"/>
  <c r="AH75" i="15"/>
  <c r="L62" i="5"/>
  <c r="AH62" i="15"/>
  <c r="L58" i="5"/>
  <c r="AH58" i="15"/>
  <c r="L54" i="5"/>
  <c r="AH54" i="15"/>
  <c r="L50" i="5"/>
  <c r="AH50" i="15"/>
  <c r="L45" i="5"/>
  <c r="AH45" i="15"/>
  <c r="L32" i="5"/>
  <c r="AH32" i="15"/>
  <c r="L28" i="5"/>
  <c r="AH28" i="15"/>
  <c r="L24" i="5"/>
  <c r="AH24" i="15"/>
  <c r="L19" i="5"/>
  <c r="AH19" i="15"/>
  <c r="L15" i="5"/>
  <c r="AH15" i="15"/>
  <c r="L11" i="5"/>
  <c r="AH11" i="15"/>
  <c r="L119" i="5"/>
  <c r="AH119" i="15"/>
  <c r="L175" i="5"/>
  <c r="AH175" i="15"/>
  <c r="L287" i="5"/>
  <c r="AH287" i="15"/>
  <c r="L399" i="5"/>
  <c r="AH399" i="15"/>
  <c r="E35" i="5"/>
  <c r="M35" i="15"/>
  <c r="E38" i="5"/>
  <c r="M38" i="15"/>
  <c r="E42" i="5"/>
  <c r="M42" i="15"/>
  <c r="K51" i="9"/>
  <c r="N51" s="1"/>
  <c r="M50" i="15"/>
  <c r="E58" i="5"/>
  <c r="M58" i="15"/>
  <c r="E70" i="5"/>
  <c r="M70" i="15"/>
  <c r="E74" i="5"/>
  <c r="M74" i="15"/>
  <c r="E82" i="5"/>
  <c r="M82" i="15"/>
  <c r="E86" i="5"/>
  <c r="M86" i="15"/>
  <c r="K99" i="9"/>
  <c r="M98" i="15"/>
  <c r="E102" i="5"/>
  <c r="M102" i="15"/>
  <c r="E118" i="5"/>
  <c r="M118" i="15"/>
  <c r="E126" i="5"/>
  <c r="M126" i="15"/>
  <c r="E134" i="5"/>
  <c r="M134" i="15"/>
  <c r="E142" i="5"/>
  <c r="M142" i="15"/>
  <c r="E150" i="5"/>
  <c r="M150" i="15"/>
  <c r="E158" i="5"/>
  <c r="M158" i="15"/>
  <c r="E166" i="5"/>
  <c r="M166" i="15"/>
  <c r="E178" i="5"/>
  <c r="M178" i="15"/>
  <c r="E182" i="5"/>
  <c r="M182" i="15"/>
  <c r="E194" i="5"/>
  <c r="M194" i="15"/>
  <c r="E198" i="5"/>
  <c r="M198" i="15"/>
  <c r="E202" i="5"/>
  <c r="M202" i="15"/>
  <c r="E206" i="5"/>
  <c r="M206" i="15"/>
  <c r="E210" i="5"/>
  <c r="M210" i="15"/>
  <c r="E214" i="5"/>
  <c r="M214" i="15"/>
  <c r="E261" i="5"/>
  <c r="M261" i="15"/>
  <c r="E265" i="5"/>
  <c r="M265" i="15"/>
  <c r="E269" i="5"/>
  <c r="M269" i="15"/>
  <c r="E289" i="5"/>
  <c r="M289" i="15"/>
  <c r="E293" i="5"/>
  <c r="M293" i="15"/>
  <c r="E297" i="5"/>
  <c r="M297" i="15"/>
  <c r="E301" i="5"/>
  <c r="M301" i="15"/>
  <c r="E309" i="5"/>
  <c r="M309" i="15"/>
  <c r="E317" i="5"/>
  <c r="M317" i="15"/>
  <c r="E321" i="5"/>
  <c r="M321" i="15"/>
  <c r="E325" i="5"/>
  <c r="M325" i="15"/>
  <c r="E337" i="5"/>
  <c r="M337" i="15"/>
  <c r="E341" i="5"/>
  <c r="M341" i="15"/>
  <c r="E349" i="5"/>
  <c r="M349" i="15"/>
  <c r="E353" i="5"/>
  <c r="M353" i="15"/>
  <c r="E357" i="5"/>
  <c r="M357" i="15"/>
  <c r="E361" i="5"/>
  <c r="M361" i="15"/>
  <c r="E365" i="5"/>
  <c r="M365" i="15"/>
  <c r="E369" i="5"/>
  <c r="M369" i="15"/>
  <c r="E373" i="5"/>
  <c r="M373" i="15"/>
  <c r="E381" i="5"/>
  <c r="M381" i="15"/>
  <c r="E389" i="5"/>
  <c r="M389" i="15"/>
  <c r="E393" i="5"/>
  <c r="M393" i="15"/>
  <c r="E397" i="5"/>
  <c r="M397" i="15"/>
  <c r="E436" i="5"/>
  <c r="M436" i="15"/>
  <c r="E440" i="5"/>
  <c r="M440" i="15"/>
  <c r="E443" i="5"/>
  <c r="M443" i="15"/>
  <c r="F444" i="5"/>
  <c r="P444" i="15"/>
  <c r="F439" i="5"/>
  <c r="P439" i="15"/>
  <c r="F431" i="5"/>
  <c r="P431" i="15"/>
  <c r="F422" i="5"/>
  <c r="P422" i="15"/>
  <c r="F418" i="5"/>
  <c r="P418" i="15"/>
  <c r="F414" i="5"/>
  <c r="P414" i="15"/>
  <c r="F409" i="5"/>
  <c r="P409" i="15"/>
  <c r="F405" i="5"/>
  <c r="P405" i="15"/>
  <c r="F392" i="5"/>
  <c r="P392" i="15"/>
  <c r="F383" i="5"/>
  <c r="P383" i="15"/>
  <c r="F375" i="5"/>
  <c r="P375" i="15"/>
  <c r="F370" i="5"/>
  <c r="P370" i="15"/>
  <c r="F366" i="5"/>
  <c r="P366" i="15"/>
  <c r="F358" i="5"/>
  <c r="P358" i="15"/>
  <c r="F353" i="5"/>
  <c r="P353" i="15"/>
  <c r="F345" i="5"/>
  <c r="P345" i="15"/>
  <c r="F340" i="5"/>
  <c r="P340" i="15"/>
  <c r="F336" i="5"/>
  <c r="P336" i="15"/>
  <c r="F332" i="5"/>
  <c r="P332" i="15"/>
  <c r="F327" i="5"/>
  <c r="P327" i="15"/>
  <c r="F319" i="5"/>
  <c r="P319" i="15"/>
  <c r="F314" i="5"/>
  <c r="P314" i="15"/>
  <c r="F310" i="5"/>
  <c r="P310" i="15"/>
  <c r="F306" i="5"/>
  <c r="P306" i="15"/>
  <c r="F302" i="5"/>
  <c r="P302" i="15"/>
  <c r="F297" i="5"/>
  <c r="P297" i="15"/>
  <c r="F293" i="5"/>
  <c r="P293" i="15"/>
  <c r="F289" i="5"/>
  <c r="P289" i="15"/>
  <c r="F280" i="5"/>
  <c r="P280" i="15"/>
  <c r="F276" i="5"/>
  <c r="P276" i="15"/>
  <c r="F267" i="5"/>
  <c r="P267" i="15"/>
  <c r="F263" i="5"/>
  <c r="P263" i="15"/>
  <c r="F258" i="5"/>
  <c r="P258" i="15"/>
  <c r="F254" i="5"/>
  <c r="P254" i="15"/>
  <c r="F250" i="5"/>
  <c r="P250" i="15"/>
  <c r="F246" i="5"/>
  <c r="P246" i="15"/>
  <c r="F241" i="5"/>
  <c r="P241" i="15"/>
  <c r="F237" i="5"/>
  <c r="P237" i="15"/>
  <c r="F228" i="5"/>
  <c r="P228" i="15"/>
  <c r="F224" i="5"/>
  <c r="P224" i="15"/>
  <c r="F207" i="5"/>
  <c r="P207" i="15"/>
  <c r="F198" i="5"/>
  <c r="P198" i="15"/>
  <c r="F194" i="5"/>
  <c r="P194" i="15"/>
  <c r="F190" i="5"/>
  <c r="P190" i="15"/>
  <c r="F185" i="5"/>
  <c r="P185" i="15"/>
  <c r="F181" i="5"/>
  <c r="P181" i="15"/>
  <c r="F177" i="5"/>
  <c r="P177" i="15"/>
  <c r="F164" i="5"/>
  <c r="P164" i="15"/>
  <c r="F159" i="5"/>
  <c r="P159" i="15"/>
  <c r="F155" i="5"/>
  <c r="P155" i="15"/>
  <c r="F151" i="5"/>
  <c r="P151" i="15"/>
  <c r="F146" i="5"/>
  <c r="P146" i="15"/>
  <c r="F142" i="5"/>
  <c r="P142" i="15"/>
  <c r="F138" i="5"/>
  <c r="P138" i="15"/>
  <c r="F134" i="5"/>
  <c r="P134" i="15"/>
  <c r="F129" i="5"/>
  <c r="P129" i="15"/>
  <c r="F125" i="5"/>
  <c r="P125" i="15"/>
  <c r="F121" i="5"/>
  <c r="P121" i="15"/>
  <c r="F112" i="5"/>
  <c r="P112" i="15"/>
  <c r="F108" i="5"/>
  <c r="P108" i="15"/>
  <c r="F103" i="5"/>
  <c r="P103" i="15"/>
  <c r="F95" i="5"/>
  <c r="P95" i="15"/>
  <c r="F86" i="5"/>
  <c r="P86" i="15"/>
  <c r="F82" i="5"/>
  <c r="P82" i="15"/>
  <c r="F78" i="5"/>
  <c r="P78" i="15"/>
  <c r="F73" i="5"/>
  <c r="P73" i="15"/>
  <c r="F69" i="5"/>
  <c r="P69" i="15"/>
  <c r="F52" i="5"/>
  <c r="P52" i="15"/>
  <c r="F47" i="5"/>
  <c r="P47" i="15"/>
  <c r="F43" i="5"/>
  <c r="P43" i="15"/>
  <c r="F39" i="5"/>
  <c r="P39" i="15"/>
  <c r="F34" i="5"/>
  <c r="P34" i="15"/>
  <c r="F30" i="5"/>
  <c r="P30" i="15"/>
  <c r="F26" i="5"/>
  <c r="P26" i="15"/>
  <c r="F22" i="5"/>
  <c r="P22" i="15"/>
  <c r="F17" i="5"/>
  <c r="P17" i="15"/>
  <c r="F13" i="5"/>
  <c r="P13" i="15"/>
  <c r="F9" i="5"/>
  <c r="P9" i="15"/>
  <c r="F203" i="5"/>
  <c r="P203" i="15"/>
  <c r="F315" i="5"/>
  <c r="P315" i="15"/>
  <c r="F427" i="5"/>
  <c r="P427" i="15"/>
  <c r="H439" i="5"/>
  <c r="V439" i="15"/>
  <c r="H435" i="5"/>
  <c r="V435" i="15"/>
  <c r="H431" i="5"/>
  <c r="V431" i="15"/>
  <c r="H425" i="5"/>
  <c r="V425" i="15"/>
  <c r="H421" i="5"/>
  <c r="V421" i="15"/>
  <c r="H417" i="5"/>
  <c r="V417" i="15"/>
  <c r="H411" i="5"/>
  <c r="V411" i="15"/>
  <c r="H407" i="5"/>
  <c r="V407" i="15"/>
  <c r="H403" i="5"/>
  <c r="V403" i="15"/>
  <c r="H398" i="5"/>
  <c r="V398" i="15"/>
  <c r="H394" i="5"/>
  <c r="V394" i="15"/>
  <c r="H390" i="5"/>
  <c r="V390" i="15"/>
  <c r="H386" i="5"/>
  <c r="V386" i="15"/>
  <c r="H377" i="5"/>
  <c r="V377" i="15"/>
  <c r="H373" i="5"/>
  <c r="V373" i="15"/>
  <c r="H368" i="5"/>
  <c r="V368" i="15"/>
  <c r="H364" i="5"/>
  <c r="V364" i="15"/>
  <c r="H360" i="5"/>
  <c r="V360" i="15"/>
  <c r="H355" i="5"/>
  <c r="V355" i="15"/>
  <c r="H351" i="5"/>
  <c r="V351" i="15"/>
  <c r="H347" i="5"/>
  <c r="V347" i="15"/>
  <c r="H342" i="5"/>
  <c r="V342" i="15"/>
  <c r="H338" i="5"/>
  <c r="V338" i="15"/>
  <c r="H334" i="5"/>
  <c r="V334" i="15"/>
  <c r="H330" i="5"/>
  <c r="V330" i="15"/>
  <c r="H325" i="5"/>
  <c r="V325" i="15"/>
  <c r="H321" i="5"/>
  <c r="V321" i="15"/>
  <c r="H312" i="5"/>
  <c r="V312" i="15"/>
  <c r="H308" i="5"/>
  <c r="V308" i="15"/>
  <c r="H304" i="5"/>
  <c r="V304" i="15"/>
  <c r="H299" i="5"/>
  <c r="V299" i="15"/>
  <c r="H295" i="5"/>
  <c r="V295" i="15"/>
  <c r="H291" i="5"/>
  <c r="V291" i="15"/>
  <c r="H286" i="5"/>
  <c r="V286" i="15"/>
  <c r="H282" i="5"/>
  <c r="V282" i="15"/>
  <c r="H278" i="5"/>
  <c r="V278" i="15"/>
  <c r="H274" i="5"/>
  <c r="V274" i="15"/>
  <c r="H265" i="5"/>
  <c r="V265" i="15"/>
  <c r="H261" i="5"/>
  <c r="V261" i="15"/>
  <c r="H256" i="5"/>
  <c r="V256" i="15"/>
  <c r="H252" i="5"/>
  <c r="V252" i="15"/>
  <c r="H248" i="5"/>
  <c r="V248" i="15"/>
  <c r="H243" i="5"/>
  <c r="V243" i="15"/>
  <c r="H235" i="5"/>
  <c r="V235" i="15"/>
  <c r="H230" i="5"/>
  <c r="V230" i="15"/>
  <c r="H226" i="5"/>
  <c r="V226" i="15"/>
  <c r="H222" i="5"/>
  <c r="V222" i="15"/>
  <c r="H218" i="5"/>
  <c r="V218" i="15"/>
  <c r="H213" i="5"/>
  <c r="V213" i="15"/>
  <c r="H209" i="5"/>
  <c r="V209" i="15"/>
  <c r="H200" i="5"/>
  <c r="V200" i="15"/>
  <c r="H196" i="5"/>
  <c r="V196" i="15"/>
  <c r="H192" i="5"/>
  <c r="V192" i="15"/>
  <c r="H179" i="5"/>
  <c r="V179" i="15"/>
  <c r="H174" i="5"/>
  <c r="V174" i="15"/>
  <c r="H170" i="5"/>
  <c r="V170" i="15"/>
  <c r="H166" i="5"/>
  <c r="V166" i="15"/>
  <c r="H162" i="5"/>
  <c r="V162" i="15"/>
  <c r="H153" i="5"/>
  <c r="V153" i="15"/>
  <c r="H149" i="5"/>
  <c r="V149" i="15"/>
  <c r="H144" i="5"/>
  <c r="V144" i="15"/>
  <c r="H140" i="5"/>
  <c r="V140" i="15"/>
  <c r="H136" i="5"/>
  <c r="V136" i="15"/>
  <c r="H131" i="5"/>
  <c r="V131" i="15"/>
  <c r="H127" i="5"/>
  <c r="V127" i="15"/>
  <c r="H123" i="5"/>
  <c r="V123" i="15"/>
  <c r="H118" i="5"/>
  <c r="V118" i="15"/>
  <c r="H114" i="5"/>
  <c r="V114" i="15"/>
  <c r="H110" i="5"/>
  <c r="V110" i="15"/>
  <c r="H106" i="5"/>
  <c r="V106" i="15"/>
  <c r="H101" i="5"/>
  <c r="V101" i="15"/>
  <c r="H97" i="5"/>
  <c r="V97" i="15"/>
  <c r="H88" i="5"/>
  <c r="V88" i="15"/>
  <c r="H84" i="5"/>
  <c r="V84" i="15"/>
  <c r="H80" i="5"/>
  <c r="V80" i="15"/>
  <c r="H75" i="5"/>
  <c r="V75" i="15"/>
  <c r="H62" i="5"/>
  <c r="V62" i="15"/>
  <c r="H58" i="5"/>
  <c r="V58" i="15"/>
  <c r="H54" i="5"/>
  <c r="V54" i="15"/>
  <c r="V50"/>
  <c r="H50" i="5"/>
  <c r="H41"/>
  <c r="V41" i="15"/>
  <c r="H37" i="5"/>
  <c r="V37" i="15"/>
  <c r="H32" i="5"/>
  <c r="V32" i="15"/>
  <c r="H28" i="5"/>
  <c r="V28" i="15"/>
  <c r="H24" i="5"/>
  <c r="V24" i="15"/>
  <c r="H19" i="5"/>
  <c r="V19" i="15"/>
  <c r="H11" i="5"/>
  <c r="V11" i="15"/>
  <c r="H259" i="5"/>
  <c r="V259" i="15"/>
  <c r="H315" i="5"/>
  <c r="V315" i="15"/>
  <c r="H371" i="5"/>
  <c r="V371" i="15"/>
  <c r="H428" i="5"/>
  <c r="V428" i="15"/>
  <c r="AB438"/>
  <c r="J438" i="5"/>
  <c r="J434"/>
  <c r="AB434" i="15"/>
  <c r="J430" i="5"/>
  <c r="AB430" i="15"/>
  <c r="J425" i="5"/>
  <c r="AB425" i="15"/>
  <c r="J421" i="5"/>
  <c r="AB421" i="15"/>
  <c r="J412" i="5"/>
  <c r="AB412" i="15"/>
  <c r="J408" i="5"/>
  <c r="AB408" i="15"/>
  <c r="J404" i="5"/>
  <c r="AB404" i="15"/>
  <c r="J400" i="5"/>
  <c r="AB400" i="15"/>
  <c r="J391" i="5"/>
  <c r="AB391" i="15"/>
  <c r="J387" i="5"/>
  <c r="AB387" i="15"/>
  <c r="J382" i="5"/>
  <c r="AB382" i="15"/>
  <c r="J374" i="5"/>
  <c r="AB374" i="15"/>
  <c r="J369" i="5"/>
  <c r="AB369" i="15"/>
  <c r="J365" i="5"/>
  <c r="AB365" i="15"/>
  <c r="J361" i="5"/>
  <c r="AB361" i="15"/>
  <c r="J352" i="5"/>
  <c r="AB352" i="15"/>
  <c r="J348" i="5"/>
  <c r="AB348" i="15"/>
  <c r="AB344"/>
  <c r="J344" i="5"/>
  <c r="J339"/>
  <c r="AB339" i="15"/>
  <c r="J327" i="5"/>
  <c r="AB327" i="15"/>
  <c r="J319" i="5"/>
  <c r="AB319" i="15"/>
  <c r="J314" i="5"/>
  <c r="AB314" i="15"/>
  <c r="K439" i="5"/>
  <c r="AE439" i="15"/>
  <c r="K435" i="5"/>
  <c r="AE435" i="15"/>
  <c r="K431" i="5"/>
  <c r="AE431" i="15"/>
  <c r="K426" i="5"/>
  <c r="AE426" i="15"/>
  <c r="K422" i="5"/>
  <c r="AE422" i="15"/>
  <c r="K418" i="5"/>
  <c r="AE418" i="15"/>
  <c r="K414" i="5"/>
  <c r="AE414" i="15"/>
  <c r="K409" i="5"/>
  <c r="AE409" i="15"/>
  <c r="K405" i="5"/>
  <c r="AE405" i="15"/>
  <c r="K401" i="5"/>
  <c r="AE401" i="15"/>
  <c r="K396" i="5"/>
  <c r="AE396" i="15"/>
  <c r="K392" i="5"/>
  <c r="AE392" i="15"/>
  <c r="K388" i="5"/>
  <c r="AE388" i="15"/>
  <c r="K383" i="5"/>
  <c r="AE383" i="15"/>
  <c r="K379" i="5"/>
  <c r="AE379" i="15"/>
  <c r="K375" i="5"/>
  <c r="AE375" i="15"/>
  <c r="K370" i="5"/>
  <c r="AE370" i="15"/>
  <c r="K366" i="5"/>
  <c r="AE366" i="15"/>
  <c r="K362" i="5"/>
  <c r="AE362" i="15"/>
  <c r="K356" i="5"/>
  <c r="AE356" i="15"/>
  <c r="K352" i="5"/>
  <c r="AE352" i="15"/>
  <c r="K348" i="5"/>
  <c r="AE348" i="15"/>
  <c r="K344" i="5"/>
  <c r="AE344" i="15"/>
  <c r="K339" i="5"/>
  <c r="AE339" i="15"/>
  <c r="K335" i="5"/>
  <c r="AE335" i="15"/>
  <c r="K331" i="5"/>
  <c r="AE331" i="15"/>
  <c r="K326" i="5"/>
  <c r="AE326" i="15"/>
  <c r="K322" i="5"/>
  <c r="AE322" i="15"/>
  <c r="K318" i="5"/>
  <c r="AE318" i="15"/>
  <c r="K313" i="5"/>
  <c r="AE313" i="15"/>
  <c r="K309" i="5"/>
  <c r="AE309" i="15"/>
  <c r="K305" i="5"/>
  <c r="AE305" i="15"/>
  <c r="K300" i="5"/>
  <c r="AE300" i="15"/>
  <c r="K296" i="5"/>
  <c r="AE296" i="15"/>
  <c r="K292" i="5"/>
  <c r="AE292" i="15"/>
  <c r="K288" i="5"/>
  <c r="AE288" i="15"/>
  <c r="K283" i="5"/>
  <c r="AE283" i="15"/>
  <c r="K279" i="5"/>
  <c r="AE279" i="15"/>
  <c r="K275" i="5"/>
  <c r="AE275" i="15"/>
  <c r="K270" i="5"/>
  <c r="AE270" i="15"/>
  <c r="K266" i="5"/>
  <c r="AE266" i="15"/>
  <c r="K262" i="5"/>
  <c r="AE262" i="15"/>
  <c r="K257" i="5"/>
  <c r="AE257" i="15"/>
  <c r="K253" i="5"/>
  <c r="AE253" i="15"/>
  <c r="K249" i="5"/>
  <c r="AE249" i="15"/>
  <c r="K244" i="5"/>
  <c r="AE244" i="15"/>
  <c r="K240" i="5"/>
  <c r="AE240" i="15"/>
  <c r="K236" i="5"/>
  <c r="AE236" i="15"/>
  <c r="K232" i="5"/>
  <c r="AE232" i="15"/>
  <c r="K227" i="5"/>
  <c r="AE227" i="15"/>
  <c r="K223" i="5"/>
  <c r="AE223" i="15"/>
  <c r="K219" i="5"/>
  <c r="AE219" i="15"/>
  <c r="K214" i="5"/>
  <c r="AE214" i="15"/>
  <c r="K210" i="5"/>
  <c r="AE210" i="15"/>
  <c r="K206" i="5"/>
  <c r="AE206" i="15"/>
  <c r="K201" i="5"/>
  <c r="AE201" i="15"/>
  <c r="K197" i="5"/>
  <c r="AE197" i="15"/>
  <c r="K193" i="5"/>
  <c r="AE193" i="15"/>
  <c r="K188" i="5"/>
  <c r="AE188" i="15"/>
  <c r="K184" i="5"/>
  <c r="AE184" i="15"/>
  <c r="K180" i="5"/>
  <c r="AE180" i="15"/>
  <c r="K176" i="5"/>
  <c r="AE176" i="15"/>
  <c r="K171" i="5"/>
  <c r="AE171" i="15"/>
  <c r="K167" i="5"/>
  <c r="AE167" i="15"/>
  <c r="K163" i="5"/>
  <c r="AE163" i="15"/>
  <c r="K158" i="5"/>
  <c r="AE158" i="15"/>
  <c r="K154" i="5"/>
  <c r="AE154" i="15"/>
  <c r="K150" i="5"/>
  <c r="AE150" i="15"/>
  <c r="K145" i="5"/>
  <c r="AE145" i="15"/>
  <c r="K141" i="5"/>
  <c r="AE141" i="15"/>
  <c r="K137" i="5"/>
  <c r="AE137" i="15"/>
  <c r="K131" i="5"/>
  <c r="AE131" i="15"/>
  <c r="K127" i="5"/>
  <c r="AE127" i="15"/>
  <c r="K123" i="5"/>
  <c r="AE123" i="15"/>
  <c r="K118" i="5"/>
  <c r="AE118" i="15"/>
  <c r="K114" i="5"/>
  <c r="AE114" i="15"/>
  <c r="K110" i="5"/>
  <c r="AE110" i="15"/>
  <c r="K106" i="5"/>
  <c r="AE106" i="15"/>
  <c r="K101" i="5"/>
  <c r="AE101" i="15"/>
  <c r="K97" i="5"/>
  <c r="AE97" i="15"/>
  <c r="K93" i="5"/>
  <c r="AE93" i="15"/>
  <c r="K88" i="5"/>
  <c r="AE88" i="15"/>
  <c r="K84" i="5"/>
  <c r="AE84" i="15"/>
  <c r="K80" i="5"/>
  <c r="AE80" i="15"/>
  <c r="K75" i="5"/>
  <c r="AE75" i="15"/>
  <c r="K71" i="5"/>
  <c r="AE71" i="15"/>
  <c r="K67" i="5"/>
  <c r="AE67" i="15"/>
  <c r="K62" i="5"/>
  <c r="AE62" i="15"/>
  <c r="K58" i="5"/>
  <c r="AE58" i="15"/>
  <c r="K54" i="5"/>
  <c r="AE54" i="15"/>
  <c r="K50" i="5"/>
  <c r="AE50" i="15"/>
  <c r="K45" i="5"/>
  <c r="AE45" i="15"/>
  <c r="K41" i="5"/>
  <c r="AE41" i="15"/>
  <c r="K37" i="5"/>
  <c r="AE37" i="15"/>
  <c r="K32" i="5"/>
  <c r="AE32" i="15"/>
  <c r="K28" i="5"/>
  <c r="AE28" i="15"/>
  <c r="K24" i="5"/>
  <c r="AE24" i="15"/>
  <c r="K19" i="5"/>
  <c r="AE19" i="15"/>
  <c r="K15" i="5"/>
  <c r="AE15" i="15"/>
  <c r="K11" i="5"/>
  <c r="AE11" i="15"/>
  <c r="K63" i="5"/>
  <c r="AE63" i="15"/>
  <c r="K119" i="5"/>
  <c r="AE119" i="15"/>
  <c r="K175" i="5"/>
  <c r="AE175" i="15"/>
  <c r="K231" i="5"/>
  <c r="AE231" i="15"/>
  <c r="K287" i="5"/>
  <c r="AE287" i="15"/>
  <c r="K343" i="5"/>
  <c r="AE343" i="15"/>
  <c r="K371" i="5"/>
  <c r="AE371" i="15"/>
  <c r="K427" i="5"/>
  <c r="AE427" i="15"/>
  <c r="K441" i="5"/>
  <c r="AE441" i="15"/>
  <c r="K442" i="5"/>
  <c r="AE442" i="15"/>
  <c r="K444" i="5"/>
  <c r="AE444" i="15"/>
  <c r="Y421"/>
  <c r="Y335"/>
  <c r="Y90"/>
  <c r="I214" i="5"/>
  <c r="I165"/>
  <c r="I98"/>
  <c r="I46"/>
  <c r="L355"/>
  <c r="L338"/>
  <c r="L332"/>
  <c r="L321"/>
  <c r="L291"/>
  <c r="L252"/>
  <c r="L241"/>
  <c r="L235"/>
  <c r="L222"/>
  <c r="L166"/>
  <c r="L153"/>
  <c r="L140"/>
  <c r="L123"/>
  <c r="L97"/>
  <c r="L90"/>
  <c r="L37"/>
  <c r="L431"/>
  <c r="L381"/>
  <c r="K63" i="9"/>
  <c r="N63" s="1"/>
  <c r="H379" i="5"/>
  <c r="G164"/>
  <c r="G148"/>
  <c r="M415" i="15"/>
  <c r="M255"/>
  <c r="M186"/>
  <c r="P291"/>
  <c r="P99"/>
  <c r="V269"/>
  <c r="V205"/>
  <c r="V77"/>
  <c r="Y442"/>
  <c r="Y357"/>
  <c r="Y132"/>
  <c r="I341" i="5"/>
  <c r="Y341" i="15"/>
  <c r="I337" i="5"/>
  <c r="Y337" i="15"/>
  <c r="I333" i="5"/>
  <c r="Y333" i="15"/>
  <c r="I328" i="5"/>
  <c r="Y328" i="15"/>
  <c r="I324" i="5"/>
  <c r="Y324" i="15"/>
  <c r="I320" i="5"/>
  <c r="Y320" i="15"/>
  <c r="I316" i="5"/>
  <c r="Y316" i="15"/>
  <c r="I311" i="5"/>
  <c r="Y311" i="15"/>
  <c r="I307" i="5"/>
  <c r="Y307" i="15"/>
  <c r="I303" i="5"/>
  <c r="Y303" i="15"/>
  <c r="I298" i="5"/>
  <c r="Y298" i="15"/>
  <c r="I290" i="5"/>
  <c r="Y290" i="15"/>
  <c r="I285" i="5"/>
  <c r="Y285" i="15"/>
  <c r="I281" i="5"/>
  <c r="Y281" i="15"/>
  <c r="I277" i="5"/>
  <c r="Y277" i="15"/>
  <c r="I272" i="5"/>
  <c r="Y272" i="15"/>
  <c r="I268" i="5"/>
  <c r="Y268" i="15"/>
  <c r="I264" i="5"/>
  <c r="Y264" i="15"/>
  <c r="I260" i="5"/>
  <c r="Y260" i="15"/>
  <c r="I255" i="5"/>
  <c r="Y255" i="15"/>
  <c r="I251" i="5"/>
  <c r="Y251" i="15"/>
  <c r="I247" i="5"/>
  <c r="Y247" i="15"/>
  <c r="I242" i="5"/>
  <c r="Y242" i="15"/>
  <c r="I238" i="5"/>
  <c r="Y238" i="15"/>
  <c r="I229" i="5"/>
  <c r="Y229" i="15"/>
  <c r="I225" i="5"/>
  <c r="Y225" i="15"/>
  <c r="I221" i="5"/>
  <c r="Y221" i="15"/>
  <c r="I216" i="5"/>
  <c r="Y216" i="15"/>
  <c r="I212" i="5"/>
  <c r="Y212" i="15"/>
  <c r="I208" i="5"/>
  <c r="Y208" i="15"/>
  <c r="I204" i="5"/>
  <c r="Y204" i="15"/>
  <c r="I199" i="5"/>
  <c r="Y199" i="15"/>
  <c r="I195" i="5"/>
  <c r="Y195" i="15"/>
  <c r="I191" i="5"/>
  <c r="Y191" i="15"/>
  <c r="I186" i="5"/>
  <c r="Y186" i="15"/>
  <c r="I182" i="5"/>
  <c r="Y182" i="15"/>
  <c r="I178" i="5"/>
  <c r="Y178" i="15"/>
  <c r="I173" i="5"/>
  <c r="Y173" i="15"/>
  <c r="I169" i="5"/>
  <c r="Y169" i="15"/>
  <c r="I160" i="5"/>
  <c r="Y160" i="15"/>
  <c r="I156" i="5"/>
  <c r="Y156" i="15"/>
  <c r="I152" i="5"/>
  <c r="Y152" i="15"/>
  <c r="I148" i="5"/>
  <c r="Y148" i="15"/>
  <c r="Y143"/>
  <c r="I143" i="5"/>
  <c r="I139"/>
  <c r="Y139" i="15"/>
  <c r="I135" i="5"/>
  <c r="Y135" i="15"/>
  <c r="I130" i="5"/>
  <c r="Y130" i="15"/>
  <c r="I126" i="5"/>
  <c r="Y126" i="15"/>
  <c r="I122" i="5"/>
  <c r="Y122" i="15"/>
  <c r="I117" i="5"/>
  <c r="Y117" i="15"/>
  <c r="I113" i="5"/>
  <c r="Y113" i="15"/>
  <c r="I109" i="5"/>
  <c r="Y109" i="15"/>
  <c r="I100" i="5"/>
  <c r="Y100" i="15"/>
  <c r="I96" i="5"/>
  <c r="Y96" i="15"/>
  <c r="I86" i="5"/>
  <c r="Y86" i="15"/>
  <c r="I82" i="5"/>
  <c r="Y82" i="15"/>
  <c r="I78" i="5"/>
  <c r="Y78" i="15"/>
  <c r="I73" i="5"/>
  <c r="Y73" i="15"/>
  <c r="I69" i="5"/>
  <c r="Y69" i="15"/>
  <c r="I65" i="5"/>
  <c r="Y65" i="15"/>
  <c r="I60" i="5"/>
  <c r="Y60" i="15"/>
  <c r="I56" i="5"/>
  <c r="Y56" i="15"/>
  <c r="I52" i="5"/>
  <c r="Y52" i="15"/>
  <c r="I42" i="5"/>
  <c r="Y42" i="15"/>
  <c r="I38" i="5"/>
  <c r="Y38" i="15"/>
  <c r="I33" i="5"/>
  <c r="Y33" i="15"/>
  <c r="I29" i="5"/>
  <c r="Y29" i="15"/>
  <c r="I25" i="5"/>
  <c r="Y25" i="15"/>
  <c r="I20" i="5"/>
  <c r="Y20" i="15"/>
  <c r="I16" i="5"/>
  <c r="Y16" i="15"/>
  <c r="I12" i="5"/>
  <c r="Y12" i="15"/>
  <c r="I8" i="5"/>
  <c r="Y8" i="15"/>
  <c r="H49" i="5"/>
  <c r="V49" i="15"/>
  <c r="I77" i="5"/>
  <c r="Y77" i="15"/>
  <c r="I105" i="5"/>
  <c r="Y105" i="15"/>
  <c r="I161" i="5"/>
  <c r="Y161" i="15"/>
  <c r="I217" i="5"/>
  <c r="Y217" i="15"/>
  <c r="I273" i="5"/>
  <c r="Y273" i="15"/>
  <c r="I329" i="5"/>
  <c r="Y329" i="15"/>
  <c r="I385" i="5"/>
  <c r="Y385" i="15"/>
  <c r="L444" i="5"/>
  <c r="AH444" i="15"/>
  <c r="L439" i="5"/>
  <c r="AH439" i="15"/>
  <c r="L426" i="5"/>
  <c r="AH426" i="15"/>
  <c r="L422" i="5"/>
  <c r="AH422" i="15"/>
  <c r="L418" i="5"/>
  <c r="AH418" i="15"/>
  <c r="L414" i="5"/>
  <c r="AH414" i="15"/>
  <c r="L409" i="5"/>
  <c r="AH409" i="15"/>
  <c r="L405" i="5"/>
  <c r="AH405" i="15"/>
  <c r="L401" i="5"/>
  <c r="AH401" i="15"/>
  <c r="L396" i="5"/>
  <c r="AH396" i="15"/>
  <c r="L392" i="5"/>
  <c r="AH392" i="15"/>
  <c r="L388" i="5"/>
  <c r="AH388" i="15"/>
  <c r="L383" i="5"/>
  <c r="AH383" i="15"/>
  <c r="L379" i="5"/>
  <c r="AH379" i="15"/>
  <c r="L375" i="5"/>
  <c r="AH375" i="15"/>
  <c r="L370" i="5"/>
  <c r="AH370" i="15"/>
  <c r="L366" i="5"/>
  <c r="AH366" i="15"/>
  <c r="L362" i="5"/>
  <c r="AH362" i="15"/>
  <c r="L358" i="5"/>
  <c r="AH358" i="15"/>
  <c r="L345" i="5"/>
  <c r="AH345" i="15"/>
  <c r="L327" i="5"/>
  <c r="AH327" i="15"/>
  <c r="L323" i="5"/>
  <c r="AH323" i="15"/>
  <c r="L319" i="5"/>
  <c r="AH319" i="15"/>
  <c r="L314" i="5"/>
  <c r="AH314" i="15"/>
  <c r="L310" i="5"/>
  <c r="AH310" i="15"/>
  <c r="L306" i="5"/>
  <c r="AH306" i="15"/>
  <c r="L302" i="5"/>
  <c r="AH302" i="15"/>
  <c r="L297" i="5"/>
  <c r="AH297" i="15"/>
  <c r="L293" i="5"/>
  <c r="AH293" i="15"/>
  <c r="L289" i="5"/>
  <c r="AH289" i="15"/>
  <c r="L284" i="5"/>
  <c r="AH284" i="15"/>
  <c r="L280" i="5"/>
  <c r="AH280" i="15"/>
  <c r="L276" i="5"/>
  <c r="AH276" i="15"/>
  <c r="L271" i="5"/>
  <c r="AH271" i="15"/>
  <c r="L267" i="5"/>
  <c r="AH267" i="15"/>
  <c r="L254" i="5"/>
  <c r="AH254" i="15"/>
  <c r="L250" i="5"/>
  <c r="AH250" i="15"/>
  <c r="L237" i="5"/>
  <c r="AH237" i="15"/>
  <c r="L233" i="5"/>
  <c r="AH233" i="15"/>
  <c r="L228" i="5"/>
  <c r="AH228" i="15"/>
  <c r="L224" i="5"/>
  <c r="AH224" i="15"/>
  <c r="L220" i="5"/>
  <c r="AH220" i="15"/>
  <c r="L215" i="5"/>
  <c r="AH215" i="15"/>
  <c r="L211" i="5"/>
  <c r="AH211" i="15"/>
  <c r="L207" i="5"/>
  <c r="AH207" i="15"/>
  <c r="L202" i="5"/>
  <c r="AH202" i="15"/>
  <c r="L198" i="5"/>
  <c r="AH198" i="15"/>
  <c r="L194" i="5"/>
  <c r="AH194" i="15"/>
  <c r="L190" i="5"/>
  <c r="AH190" i="15"/>
  <c r="L185" i="5"/>
  <c r="AH185" i="15"/>
  <c r="L181" i="5"/>
  <c r="AH181" i="15"/>
  <c r="L177" i="5"/>
  <c r="AH177" i="15"/>
  <c r="L172" i="5"/>
  <c r="AH172" i="15"/>
  <c r="L168" i="5"/>
  <c r="AH168" i="15"/>
  <c r="L164" i="5"/>
  <c r="AH164" i="15"/>
  <c r="L159" i="5"/>
  <c r="AH159" i="15"/>
  <c r="L155" i="5"/>
  <c r="AH155" i="15"/>
  <c r="L151" i="5"/>
  <c r="AH151" i="15"/>
  <c r="L146" i="5"/>
  <c r="AH146" i="15"/>
  <c r="L142" i="5"/>
  <c r="AH142" i="15"/>
  <c r="L138" i="5"/>
  <c r="AH138" i="15"/>
  <c r="L134" i="5"/>
  <c r="AH134" i="15"/>
  <c r="L129" i="5"/>
  <c r="AH129" i="15"/>
  <c r="L125" i="5"/>
  <c r="AH125" i="15"/>
  <c r="L121" i="5"/>
  <c r="AH121" i="15"/>
  <c r="L116" i="5"/>
  <c r="AH116" i="15"/>
  <c r="L112" i="5"/>
  <c r="AH112" i="15"/>
  <c r="L108" i="5"/>
  <c r="AH108" i="15"/>
  <c r="L103" i="5"/>
  <c r="AH103" i="15"/>
  <c r="L99" i="5"/>
  <c r="AH99" i="15"/>
  <c r="L86" i="5"/>
  <c r="AH86" i="15"/>
  <c r="L82" i="5"/>
  <c r="AH82" i="15"/>
  <c r="L78" i="5"/>
  <c r="AH78" i="15"/>
  <c r="L69" i="5"/>
  <c r="AH69" i="15"/>
  <c r="L65" i="5"/>
  <c r="AH65" i="15"/>
  <c r="L60" i="5"/>
  <c r="AH60" i="15"/>
  <c r="L56" i="5"/>
  <c r="AH56" i="15"/>
  <c r="L52" i="5"/>
  <c r="AH52" i="15"/>
  <c r="L34" i="5"/>
  <c r="AH34" i="15"/>
  <c r="L30" i="5"/>
  <c r="AH30" i="15"/>
  <c r="L26" i="5"/>
  <c r="AH26" i="15"/>
  <c r="L22" i="5"/>
  <c r="AH22" i="15"/>
  <c r="L17" i="5"/>
  <c r="AH17" i="15"/>
  <c r="L13" i="5"/>
  <c r="AH13" i="15"/>
  <c r="L9" i="5"/>
  <c r="AH9" i="15"/>
  <c r="L91" i="5"/>
  <c r="AH91" i="15"/>
  <c r="L147" i="5"/>
  <c r="AH147" i="15"/>
  <c r="L203" i="5"/>
  <c r="AH203" i="15"/>
  <c r="L259" i="5"/>
  <c r="AH259" i="15"/>
  <c r="L315" i="5"/>
  <c r="AH315" i="15"/>
  <c r="L371" i="5"/>
  <c r="AH371" i="15"/>
  <c r="L427" i="5"/>
  <c r="AH427" i="15"/>
  <c r="S146"/>
  <c r="G146" i="5"/>
  <c r="E15"/>
  <c r="M15" i="15"/>
  <c r="E19" i="5"/>
  <c r="M19" i="15"/>
  <c r="E23" i="5"/>
  <c r="M23" i="15"/>
  <c r="E27" i="5"/>
  <c r="M27" i="15"/>
  <c r="E31" i="5"/>
  <c r="M31" i="15"/>
  <c r="E36" i="5"/>
  <c r="M36" i="15"/>
  <c r="E40" i="5"/>
  <c r="M40" i="15"/>
  <c r="E44" i="5"/>
  <c r="M44" i="15"/>
  <c r="E48" i="5"/>
  <c r="M48" i="15"/>
  <c r="E56" i="5"/>
  <c r="M56" i="15"/>
  <c r="E60" i="5"/>
  <c r="M60" i="15"/>
  <c r="E68" i="5"/>
  <c r="M68" i="15"/>
  <c r="E76" i="5"/>
  <c r="M76" i="15"/>
  <c r="E80" i="5"/>
  <c r="M80" i="15"/>
  <c r="E84" i="5"/>
  <c r="M84" i="15"/>
  <c r="E88" i="5"/>
  <c r="M88" i="15"/>
  <c r="E100" i="5"/>
  <c r="M100" i="15"/>
  <c r="E104" i="5"/>
  <c r="M104" i="15"/>
  <c r="E108" i="5"/>
  <c r="M108" i="15"/>
  <c r="E116" i="5"/>
  <c r="M116" i="15"/>
  <c r="E136" i="5"/>
  <c r="M136" i="15"/>
  <c r="E140" i="5"/>
  <c r="M140" i="15"/>
  <c r="E148" i="5"/>
  <c r="M148" i="15"/>
  <c r="E152" i="5"/>
  <c r="M152" i="15"/>
  <c r="E156" i="5"/>
  <c r="M156" i="15"/>
  <c r="E160" i="5"/>
  <c r="M160" i="15"/>
  <c r="E164" i="5"/>
  <c r="M164" i="15"/>
  <c r="E168" i="5"/>
  <c r="M168" i="15"/>
  <c r="E180" i="5"/>
  <c r="M180" i="15"/>
  <c r="E184" i="5"/>
  <c r="M184" i="15"/>
  <c r="E219" i="5"/>
  <c r="M219" i="15"/>
  <c r="E227" i="5"/>
  <c r="M227" i="15"/>
  <c r="E235" i="5"/>
  <c r="M235" i="15"/>
  <c r="E243" i="5"/>
  <c r="M243" i="15"/>
  <c r="E403" i="5"/>
  <c r="M403" i="15"/>
  <c r="E411" i="5"/>
  <c r="M411" i="15"/>
  <c r="E419" i="5"/>
  <c r="M419" i="15"/>
  <c r="E430" i="5"/>
  <c r="M430" i="15"/>
  <c r="E434" i="5"/>
  <c r="M434" i="15"/>
  <c r="E438" i="5"/>
  <c r="M438" i="15"/>
  <c r="F442" i="5"/>
  <c r="P442" i="15"/>
  <c r="F437" i="5"/>
  <c r="P437" i="15"/>
  <c r="F433" i="5"/>
  <c r="P433" i="15"/>
  <c r="F429" i="5"/>
  <c r="P429" i="15"/>
  <c r="F424" i="5"/>
  <c r="P424" i="15"/>
  <c r="F411" i="5"/>
  <c r="P411" i="15"/>
  <c r="F407" i="5"/>
  <c r="P407" i="15"/>
  <c r="F398" i="5"/>
  <c r="P398" i="15"/>
  <c r="F394" i="5"/>
  <c r="P394" i="15"/>
  <c r="F390" i="5"/>
  <c r="P390" i="15"/>
  <c r="F377" i="5"/>
  <c r="P377" i="15"/>
  <c r="F373" i="5"/>
  <c r="P373" i="15"/>
  <c r="F368" i="5"/>
  <c r="P368" i="15"/>
  <c r="F364" i="5"/>
  <c r="P364" i="15"/>
  <c r="F360" i="5"/>
  <c r="P360" i="15"/>
  <c r="F351" i="5"/>
  <c r="P351" i="15"/>
  <c r="F347" i="5"/>
  <c r="P347" i="15"/>
  <c r="F342" i="5"/>
  <c r="P342" i="15"/>
  <c r="F338" i="5"/>
  <c r="P338" i="15"/>
  <c r="F334" i="5"/>
  <c r="P334" i="15"/>
  <c r="F330" i="5"/>
  <c r="P330" i="15"/>
  <c r="F325" i="5"/>
  <c r="P325" i="15"/>
  <c r="F317" i="5"/>
  <c r="P317" i="15"/>
  <c r="F312" i="5"/>
  <c r="P312" i="15"/>
  <c r="F304" i="5"/>
  <c r="P304" i="15"/>
  <c r="F299" i="5"/>
  <c r="P299" i="15"/>
  <c r="F295" i="5"/>
  <c r="P295" i="15"/>
  <c r="F286" i="5"/>
  <c r="P286" i="15"/>
  <c r="F282" i="5"/>
  <c r="P282" i="15"/>
  <c r="F278" i="5"/>
  <c r="P278" i="15"/>
  <c r="F274" i="5"/>
  <c r="P274" i="15"/>
  <c r="F265" i="5"/>
  <c r="P265" i="15"/>
  <c r="F261" i="5"/>
  <c r="P261" i="15"/>
  <c r="F239" i="5"/>
  <c r="P239" i="15"/>
  <c r="F235" i="5"/>
  <c r="P235" i="15"/>
  <c r="F230" i="5"/>
  <c r="P230" i="15"/>
  <c r="F226" i="5"/>
  <c r="P226" i="15"/>
  <c r="F222" i="5"/>
  <c r="P222" i="15"/>
  <c r="F218" i="5"/>
  <c r="P218" i="15"/>
  <c r="F213" i="5"/>
  <c r="P213" i="15"/>
  <c r="F209" i="5"/>
  <c r="P209" i="15"/>
  <c r="F205" i="5"/>
  <c r="P205" i="15"/>
  <c r="F200" i="5"/>
  <c r="P200" i="15"/>
  <c r="F196" i="5"/>
  <c r="P196" i="15"/>
  <c r="F192" i="5"/>
  <c r="P192" i="15"/>
  <c r="F187" i="5"/>
  <c r="P187" i="15"/>
  <c r="F183" i="5"/>
  <c r="P183" i="15"/>
  <c r="F174" i="5"/>
  <c r="P174" i="15"/>
  <c r="F170" i="5"/>
  <c r="P170" i="15"/>
  <c r="F162" i="5"/>
  <c r="P162" i="15"/>
  <c r="F157" i="5"/>
  <c r="P157" i="15"/>
  <c r="F153" i="5"/>
  <c r="P153" i="15"/>
  <c r="F149" i="5"/>
  <c r="P149" i="15"/>
  <c r="F144" i="5"/>
  <c r="P144" i="15"/>
  <c r="F136" i="5"/>
  <c r="P136" i="15"/>
  <c r="F127" i="5"/>
  <c r="P127" i="15"/>
  <c r="F123" i="5"/>
  <c r="P123" i="15"/>
  <c r="F114" i="5"/>
  <c r="P114" i="15"/>
  <c r="F110" i="5"/>
  <c r="P110" i="15"/>
  <c r="F106" i="5"/>
  <c r="P106" i="15"/>
  <c r="F101" i="5"/>
  <c r="P101" i="15"/>
  <c r="F97" i="5"/>
  <c r="P97" i="15"/>
  <c r="F93" i="5"/>
  <c r="P93" i="15"/>
  <c r="F88" i="5"/>
  <c r="P88" i="15"/>
  <c r="F84" i="5"/>
  <c r="P84" i="15"/>
  <c r="F75" i="5"/>
  <c r="P75" i="15"/>
  <c r="F71" i="5"/>
  <c r="P71" i="15"/>
  <c r="F62" i="5"/>
  <c r="P62" i="15"/>
  <c r="F58" i="5"/>
  <c r="P58" i="15"/>
  <c r="F54" i="5"/>
  <c r="P54" i="15"/>
  <c r="F50" i="5"/>
  <c r="P50" i="15"/>
  <c r="F41" i="5"/>
  <c r="P41" i="15"/>
  <c r="F37" i="5"/>
  <c r="P37" i="15"/>
  <c r="F28" i="5"/>
  <c r="P28" i="15"/>
  <c r="F24" i="5"/>
  <c r="P24" i="15"/>
  <c r="F15" i="5"/>
  <c r="P15" i="15"/>
  <c r="F11" i="5"/>
  <c r="P11" i="15"/>
  <c r="F175" i="5"/>
  <c r="P175" i="15"/>
  <c r="F231" i="5"/>
  <c r="P231" i="15"/>
  <c r="F287" i="5"/>
  <c r="P287" i="15"/>
  <c r="F343" i="5"/>
  <c r="P343" i="15"/>
  <c r="F399" i="5"/>
  <c r="P399" i="15"/>
  <c r="G11" i="5"/>
  <c r="S11" i="15"/>
  <c r="G15" i="5"/>
  <c r="S15" i="15"/>
  <c r="G19" i="5"/>
  <c r="S19" i="15"/>
  <c r="S23"/>
  <c r="G23" i="5"/>
  <c r="S27" i="15"/>
  <c r="G27" i="5"/>
  <c r="S31" i="15"/>
  <c r="G31" i="5"/>
  <c r="S35" i="15"/>
  <c r="G35" i="5"/>
  <c r="S39" i="15"/>
  <c r="G39" i="5"/>
  <c r="S43" i="15"/>
  <c r="G43" i="5"/>
  <c r="S47" i="15"/>
  <c r="G47" i="5"/>
  <c r="S51" i="15"/>
  <c r="G51" i="5"/>
  <c r="S55" i="15"/>
  <c r="G55" i="5"/>
  <c r="S59" i="15"/>
  <c r="G59" i="5"/>
  <c r="S63" i="15"/>
  <c r="G63" i="5"/>
  <c r="S67" i="15"/>
  <c r="G67" i="5"/>
  <c r="S70" i="15"/>
  <c r="G70" i="5"/>
  <c r="S74" i="15"/>
  <c r="G74" i="5"/>
  <c r="S83" i="15"/>
  <c r="G83" i="5"/>
  <c r="S85" i="15"/>
  <c r="G85" i="5"/>
  <c r="S95" i="15"/>
  <c r="G95" i="5"/>
  <c r="S99" i="15"/>
  <c r="G99" i="5"/>
  <c r="S103" i="15"/>
  <c r="G103" i="5"/>
  <c r="S107" i="15"/>
  <c r="G107" i="5"/>
  <c r="S111" i="15"/>
  <c r="G111" i="5"/>
  <c r="S115" i="15"/>
  <c r="G115" i="5"/>
  <c r="S119" i="15"/>
  <c r="G119" i="5"/>
  <c r="S123" i="15"/>
  <c r="G123" i="5"/>
  <c r="S127" i="15"/>
  <c r="G127" i="5"/>
  <c r="S131" i="15"/>
  <c r="G131" i="5"/>
  <c r="S135" i="15"/>
  <c r="G135" i="5"/>
  <c r="S139" i="15"/>
  <c r="G139" i="5"/>
  <c r="S143" i="15"/>
  <c r="G143" i="5"/>
  <c r="H437"/>
  <c r="V437" i="15"/>
  <c r="V415"/>
  <c r="H415" i="5"/>
  <c r="H405"/>
  <c r="V405" i="15"/>
  <c r="H396" i="5"/>
  <c r="V396" i="15"/>
  <c r="H392" i="5"/>
  <c r="V392" i="15"/>
  <c r="H388" i="5"/>
  <c r="V388" i="15"/>
  <c r="V375"/>
  <c r="H375" i="5"/>
  <c r="H370"/>
  <c r="V370" i="15"/>
  <c r="H366" i="5"/>
  <c r="V366" i="15"/>
  <c r="H362" i="5"/>
  <c r="V362" i="15"/>
  <c r="V358"/>
  <c r="H358" i="5"/>
  <c r="H340"/>
  <c r="V340" i="15"/>
  <c r="H336" i="5"/>
  <c r="V336" i="15"/>
  <c r="H332" i="5"/>
  <c r="V332" i="15"/>
  <c r="H327" i="5"/>
  <c r="V327" i="15"/>
  <c r="H323" i="5"/>
  <c r="V323" i="15"/>
  <c r="H319" i="5"/>
  <c r="V319" i="15"/>
  <c r="H314" i="5"/>
  <c r="V314" i="15"/>
  <c r="H310" i="5"/>
  <c r="V310" i="15"/>
  <c r="H306" i="5"/>
  <c r="V306" i="15"/>
  <c r="H302" i="5"/>
  <c r="V302" i="15"/>
  <c r="H293" i="5"/>
  <c r="V293" i="15"/>
  <c r="H289" i="5"/>
  <c r="V289" i="15"/>
  <c r="H284" i="5"/>
  <c r="V284" i="15"/>
  <c r="H280" i="5"/>
  <c r="V280" i="15"/>
  <c r="H276" i="5"/>
  <c r="V276" i="15"/>
  <c r="H271" i="5"/>
  <c r="V271" i="15"/>
  <c r="H263" i="5"/>
  <c r="V263" i="15"/>
  <c r="H258" i="5"/>
  <c r="V258" i="15"/>
  <c r="H250" i="5"/>
  <c r="V250" i="15"/>
  <c r="H246" i="5"/>
  <c r="V246" i="15"/>
  <c r="H241" i="5"/>
  <c r="V241" i="15"/>
  <c r="H233" i="5"/>
  <c r="V233" i="15"/>
  <c r="H228" i="5"/>
  <c r="V228" i="15"/>
  <c r="H224" i="5"/>
  <c r="V224" i="15"/>
  <c r="H220" i="5"/>
  <c r="V220" i="15"/>
  <c r="H198" i="5"/>
  <c r="V198" i="15"/>
  <c r="V194"/>
  <c r="H194" i="5"/>
  <c r="H190"/>
  <c r="V190" i="15"/>
  <c r="H185" i="5"/>
  <c r="V185" i="15"/>
  <c r="H181" i="5"/>
  <c r="V181" i="15"/>
  <c r="H177" i="5"/>
  <c r="V177" i="15"/>
  <c r="H172" i="5"/>
  <c r="V172" i="15"/>
  <c r="H168" i="5"/>
  <c r="V168" i="15"/>
  <c r="H164" i="5"/>
  <c r="V164" i="15"/>
  <c r="H155" i="5"/>
  <c r="V155" i="15"/>
  <c r="H151" i="5"/>
  <c r="V151" i="15"/>
  <c r="H142" i="5"/>
  <c r="V142" i="15"/>
  <c r="H138" i="5"/>
  <c r="V138" i="15"/>
  <c r="H134" i="5"/>
  <c r="V134" i="15"/>
  <c r="H129" i="5"/>
  <c r="V129" i="15"/>
  <c r="H116" i="5"/>
  <c r="V116" i="15"/>
  <c r="H112" i="5"/>
  <c r="V112" i="15"/>
  <c r="H108" i="5"/>
  <c r="V108" i="15"/>
  <c r="H99" i="5"/>
  <c r="V99" i="15"/>
  <c r="H95" i="5"/>
  <c r="V95" i="15"/>
  <c r="V90"/>
  <c r="H90" i="5"/>
  <c r="H86"/>
  <c r="V86" i="15"/>
  <c r="H82" i="5"/>
  <c r="V82" i="15"/>
  <c r="H69" i="5"/>
  <c r="V69" i="15"/>
  <c r="H60" i="5"/>
  <c r="V60" i="15"/>
  <c r="H52" i="5"/>
  <c r="V52" i="15"/>
  <c r="H47" i="5"/>
  <c r="V47" i="15"/>
  <c r="H43" i="5"/>
  <c r="V43" i="15"/>
  <c r="H39" i="5"/>
  <c r="V39" i="15"/>
  <c r="H34" i="5"/>
  <c r="V34" i="15"/>
  <c r="H30" i="5"/>
  <c r="V30" i="15"/>
  <c r="H22" i="5"/>
  <c r="V22" i="15"/>
  <c r="H17" i="5"/>
  <c r="V17" i="15"/>
  <c r="H13" i="5"/>
  <c r="V13" i="15"/>
  <c r="H119" i="5"/>
  <c r="V119" i="15"/>
  <c r="H175" i="5"/>
  <c r="V175" i="15"/>
  <c r="H231" i="5"/>
  <c r="V231" i="15"/>
  <c r="H287" i="5"/>
  <c r="V287" i="15"/>
  <c r="H343" i="5"/>
  <c r="V343" i="15"/>
  <c r="H399" i="5"/>
  <c r="V399" i="15"/>
  <c r="S427"/>
  <c r="G427" i="5"/>
  <c r="J440"/>
  <c r="AB440" i="15"/>
  <c r="J436" i="5"/>
  <c r="AB436" i="15"/>
  <c r="J432" i="5"/>
  <c r="AB432" i="15"/>
  <c r="J428" i="5"/>
  <c r="AB428" i="15"/>
  <c r="J423" i="5"/>
  <c r="AB423" i="15"/>
  <c r="J415" i="5"/>
  <c r="AB415" i="15"/>
  <c r="AB406"/>
  <c r="J406" i="5"/>
  <c r="J402"/>
  <c r="AB402" i="15"/>
  <c r="J397" i="5"/>
  <c r="AB397" i="15"/>
  <c r="J393" i="5"/>
  <c r="AB393" i="15"/>
  <c r="J389" i="5"/>
  <c r="AB389" i="15"/>
  <c r="J384" i="5"/>
  <c r="AB384" i="15"/>
  <c r="J380" i="5"/>
  <c r="AB380" i="15"/>
  <c r="J376" i="5"/>
  <c r="AB376" i="15"/>
  <c r="J372" i="5"/>
  <c r="AB372" i="15"/>
  <c r="J367" i="5"/>
  <c r="AB367" i="15"/>
  <c r="K433" i="5"/>
  <c r="AE433" i="15"/>
  <c r="K424" i="5"/>
  <c r="AE424" i="15"/>
  <c r="K420" i="5"/>
  <c r="AE420" i="15"/>
  <c r="K416" i="5"/>
  <c r="AE416" i="15"/>
  <c r="K411" i="5"/>
  <c r="AE411" i="15"/>
  <c r="K407" i="5"/>
  <c r="AE407" i="15"/>
  <c r="K403" i="5"/>
  <c r="AE403" i="15"/>
  <c r="K398" i="5"/>
  <c r="AE398" i="15"/>
  <c r="K390" i="5"/>
  <c r="AE390" i="15"/>
  <c r="K377" i="5"/>
  <c r="AE377" i="15"/>
  <c r="K368" i="5"/>
  <c r="AE368" i="15"/>
  <c r="K364" i="5"/>
  <c r="AE364" i="15"/>
  <c r="K360" i="5"/>
  <c r="AE360" i="15"/>
  <c r="K354" i="5"/>
  <c r="AE354" i="15"/>
  <c r="K346" i="5"/>
  <c r="AE346" i="15"/>
  <c r="K337" i="5"/>
  <c r="AE337" i="15"/>
  <c r="K328" i="5"/>
  <c r="AE328" i="15"/>
  <c r="AE324"/>
  <c r="K324" i="5"/>
  <c r="AE320" i="15"/>
  <c r="K320" i="5"/>
  <c r="K316"/>
  <c r="AE316" i="15"/>
  <c r="K298" i="5"/>
  <c r="AE298" i="15"/>
  <c r="K294" i="5"/>
  <c r="AE294" i="15"/>
  <c r="K290" i="5"/>
  <c r="AE290" i="15"/>
  <c r="K272" i="5"/>
  <c r="AE272" i="15"/>
  <c r="K268" i="5"/>
  <c r="AE268" i="15"/>
  <c r="K264" i="5"/>
  <c r="AE264" i="15"/>
  <c r="K260" i="5"/>
  <c r="AE260" i="15"/>
  <c r="K242" i="5"/>
  <c r="AE242" i="15"/>
  <c r="K234" i="5"/>
  <c r="AE234" i="15"/>
  <c r="K229" i="5"/>
  <c r="AE229" i="15"/>
  <c r="K221" i="5"/>
  <c r="AE221" i="15"/>
  <c r="K216" i="5"/>
  <c r="AE216" i="15"/>
  <c r="K212" i="5"/>
  <c r="AE212" i="15"/>
  <c r="K208" i="5"/>
  <c r="AE208" i="15"/>
  <c r="K204" i="5"/>
  <c r="AE204" i="15"/>
  <c r="K199" i="5"/>
  <c r="AE199" i="15"/>
  <c r="K195" i="5"/>
  <c r="AE195" i="15"/>
  <c r="K191" i="5"/>
  <c r="AE191" i="15"/>
  <c r="K186" i="5"/>
  <c r="AE186" i="15"/>
  <c r="K182" i="5"/>
  <c r="AE182" i="15"/>
  <c r="K178" i="5"/>
  <c r="AE178" i="15"/>
  <c r="AE160"/>
  <c r="K160" i="5"/>
  <c r="K156"/>
  <c r="AE156" i="15"/>
  <c r="K152" i="5"/>
  <c r="AE152" i="15"/>
  <c r="K148" i="5"/>
  <c r="AE148" i="15"/>
  <c r="K129" i="5"/>
  <c r="AE129" i="15"/>
  <c r="K125" i="5"/>
  <c r="AE125" i="15"/>
  <c r="K121" i="5"/>
  <c r="AE121" i="15"/>
  <c r="K116" i="5"/>
  <c r="AE116" i="15"/>
  <c r="K112" i="5"/>
  <c r="AE112" i="15"/>
  <c r="K108" i="5"/>
  <c r="AE108" i="15"/>
  <c r="K99" i="5"/>
  <c r="AE99" i="15"/>
  <c r="K90" i="5"/>
  <c r="AE90" i="15"/>
  <c r="K82" i="5"/>
  <c r="AE82" i="15"/>
  <c r="K73" i="5"/>
  <c r="AE73" i="15"/>
  <c r="K69" i="5"/>
  <c r="AE69" i="15"/>
  <c r="K60" i="5"/>
  <c r="AE60" i="15"/>
  <c r="AE56"/>
  <c r="K56" i="5"/>
  <c r="K52"/>
  <c r="AE52" i="15"/>
  <c r="K39" i="5"/>
  <c r="AE39" i="15"/>
  <c r="K34" i="5"/>
  <c r="AE34" i="15"/>
  <c r="K30" i="5"/>
  <c r="AE30" i="15"/>
  <c r="K26" i="5"/>
  <c r="AE26" i="15"/>
  <c r="K22" i="5"/>
  <c r="AE22" i="15"/>
  <c r="K17" i="5"/>
  <c r="AE17" i="15"/>
  <c r="K13" i="5"/>
  <c r="AE13" i="15"/>
  <c r="K35" i="5"/>
  <c r="AE35" i="15"/>
  <c r="K91" i="5"/>
  <c r="AE91" i="15"/>
  <c r="K147" i="5"/>
  <c r="AE147" i="15"/>
  <c r="K203" i="5"/>
  <c r="AE203" i="15"/>
  <c r="K259" i="5"/>
  <c r="AE259" i="15"/>
  <c r="K315" i="5"/>
  <c r="AE315" i="15"/>
  <c r="K357" i="5"/>
  <c r="AE357" i="15"/>
  <c r="K399" i="5"/>
  <c r="AE399" i="15"/>
  <c r="H441" i="5"/>
  <c r="V441" i="15"/>
  <c r="I443" i="5"/>
  <c r="Y443" i="15"/>
  <c r="J444" i="5"/>
  <c r="AB444" i="15"/>
  <c r="Y378"/>
  <c r="I294" i="5"/>
  <c r="I193"/>
  <c r="I133"/>
  <c r="L351"/>
  <c r="L342"/>
  <c r="L325"/>
  <c r="L308"/>
  <c r="L258"/>
  <c r="L246"/>
  <c r="L239"/>
  <c r="L231"/>
  <c r="L157"/>
  <c r="L131"/>
  <c r="L88"/>
  <c r="L403"/>
  <c r="I104"/>
  <c r="G156"/>
  <c r="M303" i="15"/>
  <c r="M239"/>
  <c r="M122"/>
  <c r="M78"/>
  <c r="P259"/>
  <c r="P131"/>
  <c r="P67"/>
  <c r="V429"/>
  <c r="V237"/>
  <c r="V45"/>
  <c r="AH435"/>
  <c r="AH179"/>
  <c r="G9" i="5"/>
  <c r="S9" i="15"/>
  <c r="G13" i="5"/>
  <c r="S13" i="15"/>
  <c r="G17" i="5"/>
  <c r="S17" i="15"/>
  <c r="S21"/>
  <c r="G21" i="5"/>
  <c r="S25" i="15"/>
  <c r="G25" i="5"/>
  <c r="S29" i="15"/>
  <c r="G29" i="5"/>
  <c r="S33" i="15"/>
  <c r="G33" i="5"/>
  <c r="S37" i="15"/>
  <c r="G37" i="5"/>
  <c r="S41" i="15"/>
  <c r="G41" i="5"/>
  <c r="S45" i="15"/>
  <c r="G45" i="5"/>
  <c r="S49" i="15"/>
  <c r="G49" i="5"/>
  <c r="S53" i="15"/>
  <c r="G53" i="5"/>
  <c r="S57" i="15"/>
  <c r="G57" i="5"/>
  <c r="S61" i="15"/>
  <c r="G61" i="5"/>
  <c r="S65" i="15"/>
  <c r="G65" i="5"/>
  <c r="S69" i="15"/>
  <c r="G69" i="5"/>
  <c r="S81" i="15"/>
  <c r="G81" i="5"/>
  <c r="S93" i="15"/>
  <c r="G93" i="5"/>
  <c r="S97" i="15"/>
  <c r="G97" i="5"/>
  <c r="S101" i="15"/>
  <c r="G101" i="5"/>
  <c r="S105" i="15"/>
  <c r="G105" i="5"/>
  <c r="S109" i="15"/>
  <c r="G109" i="5"/>
  <c r="S113" i="15"/>
  <c r="G113" i="5"/>
  <c r="S117" i="15"/>
  <c r="G117" i="5"/>
  <c r="S121" i="15"/>
  <c r="G121" i="5"/>
  <c r="S125" i="15"/>
  <c r="G125" i="5"/>
  <c r="S129" i="15"/>
  <c r="G129" i="5"/>
  <c r="S133" i="15"/>
  <c r="G133" i="5"/>
  <c r="S137" i="15"/>
  <c r="G137" i="5"/>
  <c r="S141" i="15"/>
  <c r="G141" i="5"/>
  <c r="S145" i="15"/>
  <c r="G145" i="5"/>
  <c r="S415" i="15"/>
  <c r="G415" i="5"/>
  <c r="S419" i="15"/>
  <c r="G419" i="5"/>
  <c r="S423" i="15"/>
  <c r="G423" i="5"/>
  <c r="H438"/>
  <c r="V438" i="15"/>
  <c r="H434" i="5"/>
  <c r="V434" i="15"/>
  <c r="H430" i="5"/>
  <c r="V430" i="15"/>
  <c r="H424" i="5"/>
  <c r="V424" i="15"/>
  <c r="H420" i="5"/>
  <c r="V420" i="15"/>
  <c r="H406" i="5"/>
  <c r="V406" i="15"/>
  <c r="H402" i="5"/>
  <c r="V402" i="15"/>
  <c r="H393" i="5"/>
  <c r="V393" i="15"/>
  <c r="H384" i="5"/>
  <c r="V384" i="15"/>
  <c r="H380" i="5"/>
  <c r="V380" i="15"/>
  <c r="H376" i="5"/>
  <c r="V376" i="15"/>
  <c r="H372" i="5"/>
  <c r="V372" i="15"/>
  <c r="H363" i="5"/>
  <c r="V363" i="15"/>
  <c r="H354" i="5"/>
  <c r="V354" i="15"/>
  <c r="H350" i="5"/>
  <c r="V350" i="15"/>
  <c r="H346" i="5"/>
  <c r="V346" i="15"/>
  <c r="H328" i="5"/>
  <c r="V328" i="15"/>
  <c r="H324" i="5"/>
  <c r="V324" i="15"/>
  <c r="H320" i="5"/>
  <c r="V320" i="15"/>
  <c r="H316" i="5"/>
  <c r="V316" i="15"/>
  <c r="H303" i="5"/>
  <c r="V303" i="15"/>
  <c r="H298" i="5"/>
  <c r="V298" i="15"/>
  <c r="H281" i="5"/>
  <c r="V281" i="15"/>
  <c r="H272" i="5"/>
  <c r="V272" i="15"/>
  <c r="H268" i="5"/>
  <c r="V268" i="15"/>
  <c r="H260" i="5"/>
  <c r="V260" i="15"/>
  <c r="H255" i="5"/>
  <c r="V255" i="15"/>
  <c r="H247" i="5"/>
  <c r="V247" i="15"/>
  <c r="H242" i="5"/>
  <c r="V242" i="15"/>
  <c r="H234" i="5"/>
  <c r="V234" i="15"/>
  <c r="H216" i="5"/>
  <c r="V216" i="15"/>
  <c r="H212" i="5"/>
  <c r="V212" i="15"/>
  <c r="H208" i="5"/>
  <c r="V208" i="15"/>
  <c r="H204" i="5"/>
  <c r="V204" i="15"/>
  <c r="H195" i="5"/>
  <c r="V195" i="15"/>
  <c r="H182" i="5"/>
  <c r="V182" i="15"/>
  <c r="H160" i="5"/>
  <c r="V160" i="15"/>
  <c r="H156" i="5"/>
  <c r="V156" i="15"/>
  <c r="H152" i="5"/>
  <c r="V152" i="15"/>
  <c r="H148" i="5"/>
  <c r="V148" i="15"/>
  <c r="H126" i="5"/>
  <c r="V126" i="15"/>
  <c r="H104" i="5"/>
  <c r="V104" i="15"/>
  <c r="H100" i="5"/>
  <c r="V100" i="15"/>
  <c r="H96" i="5"/>
  <c r="V96" i="15"/>
  <c r="H92" i="5"/>
  <c r="V92" i="15"/>
  <c r="H74" i="5"/>
  <c r="V74" i="15"/>
  <c r="H66" i="5"/>
  <c r="V66" i="15"/>
  <c r="H57" i="5"/>
  <c r="V57" i="15"/>
  <c r="H44" i="5"/>
  <c r="V44" i="15"/>
  <c r="H40" i="5"/>
  <c r="V40" i="15"/>
  <c r="H36" i="5"/>
  <c r="V36" i="15"/>
  <c r="H18" i="5"/>
  <c r="V18" i="15"/>
  <c r="H10" i="5"/>
  <c r="V10" i="15"/>
  <c r="H21" i="5"/>
  <c r="V21" i="15"/>
  <c r="H105" i="5"/>
  <c r="V105" i="15"/>
  <c r="H161" i="5"/>
  <c r="V161" i="15"/>
  <c r="H217" i="5"/>
  <c r="V217" i="15"/>
  <c r="H273" i="5"/>
  <c r="V273" i="15"/>
  <c r="H329" i="5"/>
  <c r="V329" i="15"/>
  <c r="H414" i="5"/>
  <c r="V414" i="15"/>
  <c r="I437" i="5"/>
  <c r="Y437" i="15"/>
  <c r="I433" i="5"/>
  <c r="Y433" i="15"/>
  <c r="I429" i="5"/>
  <c r="Y429" i="15"/>
  <c r="I424" i="5"/>
  <c r="Y424" i="15"/>
  <c r="I416" i="5"/>
  <c r="Y416" i="15"/>
  <c r="I411" i="5"/>
  <c r="Y411" i="15"/>
  <c r="I407" i="5"/>
  <c r="Y407" i="15"/>
  <c r="I394" i="5"/>
  <c r="Y394" i="15"/>
  <c r="I390" i="5"/>
  <c r="Y390" i="15"/>
  <c r="I386" i="5"/>
  <c r="Y386" i="15"/>
  <c r="I381" i="5"/>
  <c r="Y381" i="15"/>
  <c r="I377" i="5"/>
  <c r="Y377" i="15"/>
  <c r="I373" i="5"/>
  <c r="Y373" i="15"/>
  <c r="I368" i="5"/>
  <c r="Y368" i="15"/>
  <c r="I360" i="5"/>
  <c r="Y360" i="15"/>
  <c r="I355" i="5"/>
  <c r="Y355" i="15"/>
  <c r="I351" i="5"/>
  <c r="Y351" i="15"/>
  <c r="I347" i="5"/>
  <c r="Y347" i="15"/>
  <c r="I321" i="5"/>
  <c r="Y321" i="15"/>
  <c r="I312" i="5"/>
  <c r="Y312" i="15"/>
  <c r="I308" i="5"/>
  <c r="Y308" i="15"/>
  <c r="I299" i="5"/>
  <c r="Y299" i="15"/>
  <c r="I291" i="5"/>
  <c r="Y291" i="15"/>
  <c r="I269" i="5"/>
  <c r="Y269" i="15"/>
  <c r="I256" i="5"/>
  <c r="Y256" i="15"/>
  <c r="I252" i="5"/>
  <c r="Y252" i="15"/>
  <c r="I248" i="5"/>
  <c r="Y248" i="15"/>
  <c r="I243" i="5"/>
  <c r="Y243" i="15"/>
  <c r="I239" i="5"/>
  <c r="Y239" i="15"/>
  <c r="I235" i="5"/>
  <c r="Y235" i="15"/>
  <c r="I230" i="5"/>
  <c r="Y230" i="15"/>
  <c r="I222" i="5"/>
  <c r="Y222" i="15"/>
  <c r="I209" i="5"/>
  <c r="Y209" i="15"/>
  <c r="I205" i="5"/>
  <c r="Y205" i="15"/>
  <c r="I200" i="5"/>
  <c r="Y200" i="15"/>
  <c r="I192" i="5"/>
  <c r="Y192" i="15"/>
  <c r="I187" i="5"/>
  <c r="Y187" i="15"/>
  <c r="I179" i="5"/>
  <c r="Y179" i="15"/>
  <c r="I170" i="5"/>
  <c r="Y170" i="15"/>
  <c r="I166" i="5"/>
  <c r="Y166" i="15"/>
  <c r="I162" i="5"/>
  <c r="Y162" i="15"/>
  <c r="I157" i="5"/>
  <c r="Y157" i="15"/>
  <c r="I153" i="5"/>
  <c r="Y153" i="15"/>
  <c r="I149" i="5"/>
  <c r="Y149" i="15"/>
  <c r="I144" i="5"/>
  <c r="Y144" i="15"/>
  <c r="I140" i="5"/>
  <c r="Y140" i="15"/>
  <c r="I136" i="5"/>
  <c r="Y136" i="15"/>
  <c r="I93" i="5"/>
  <c r="Y93" i="15"/>
  <c r="I70" i="5"/>
  <c r="Y70" i="15"/>
  <c r="I66" i="5"/>
  <c r="Y66" i="15"/>
  <c r="I61" i="5"/>
  <c r="Y61" i="15"/>
  <c r="I53" i="5"/>
  <c r="Y53" i="15"/>
  <c r="I43" i="5"/>
  <c r="Y43" i="15"/>
  <c r="I39" i="5"/>
  <c r="Y39" i="15"/>
  <c r="I17" i="5"/>
  <c r="Y17" i="15"/>
  <c r="I13" i="5"/>
  <c r="Y13" i="15"/>
  <c r="I9" i="5"/>
  <c r="Y9" i="15"/>
  <c r="I35" i="5"/>
  <c r="Y35" i="15"/>
  <c r="I63" i="5"/>
  <c r="Y63" i="15"/>
  <c r="I92" i="5"/>
  <c r="Y92" i="15"/>
  <c r="I147" i="5"/>
  <c r="Y147" i="15"/>
  <c r="I203" i="5"/>
  <c r="Y203" i="15"/>
  <c r="I259" i="5"/>
  <c r="Y259" i="15"/>
  <c r="I315" i="5"/>
  <c r="Y315" i="15"/>
  <c r="I371" i="5"/>
  <c r="Y371" i="15"/>
  <c r="I427" i="5"/>
  <c r="Y427" i="15"/>
  <c r="J439" i="5"/>
  <c r="AB439" i="15"/>
  <c r="J435" i="5"/>
  <c r="AB435" i="15"/>
  <c r="J431" i="5"/>
  <c r="AB431" i="15"/>
  <c r="J426" i="5"/>
  <c r="AB426" i="15"/>
  <c r="J422" i="5"/>
  <c r="AB422" i="15"/>
  <c r="J418" i="5"/>
  <c r="AB418" i="15"/>
  <c r="J414" i="5"/>
  <c r="AB414" i="15"/>
  <c r="J409" i="5"/>
  <c r="AB409" i="15"/>
  <c r="J405" i="5"/>
  <c r="AB405" i="15"/>
  <c r="J396" i="5"/>
  <c r="AB396" i="15"/>
  <c r="J392" i="5"/>
  <c r="AB392" i="15"/>
  <c r="J388" i="5"/>
  <c r="AB388" i="15"/>
  <c r="J383" i="5"/>
  <c r="AB383" i="15"/>
  <c r="J379" i="5"/>
  <c r="AB379" i="15"/>
  <c r="J375" i="5"/>
  <c r="AB375" i="15"/>
  <c r="J370" i="5"/>
  <c r="AB370" i="15"/>
  <c r="J366" i="5"/>
  <c r="AB366" i="15"/>
  <c r="J362" i="5"/>
  <c r="AB362" i="15"/>
  <c r="J358" i="5"/>
  <c r="AB358" i="15"/>
  <c r="J349" i="5"/>
  <c r="AB349" i="15"/>
  <c r="J345" i="5"/>
  <c r="AB345" i="15"/>
  <c r="J340" i="5"/>
  <c r="AB340" i="15"/>
  <c r="J332" i="5"/>
  <c r="AB332" i="15"/>
  <c r="J328" i="5"/>
  <c r="AB328" i="15"/>
  <c r="J324" i="5"/>
  <c r="AB324" i="15"/>
  <c r="J320" i="5"/>
  <c r="AB320" i="15"/>
  <c r="J316" i="5"/>
  <c r="AB316" i="15"/>
  <c r="J311" i="5"/>
  <c r="AB311" i="15"/>
  <c r="J307" i="5"/>
  <c r="AB307" i="15"/>
  <c r="J298" i="5"/>
  <c r="AB298" i="15"/>
  <c r="J294" i="5"/>
  <c r="AB294" i="15"/>
  <c r="J290" i="5"/>
  <c r="AB290" i="15"/>
  <c r="J285" i="5"/>
  <c r="AB285" i="15"/>
  <c r="J281" i="5"/>
  <c r="AB281" i="15"/>
  <c r="J277" i="5"/>
  <c r="AB277" i="15"/>
  <c r="J272" i="5"/>
  <c r="AB272" i="15"/>
  <c r="J268" i="5"/>
  <c r="AB268" i="15"/>
  <c r="J264" i="5"/>
  <c r="AB264" i="15"/>
  <c r="J260" i="5"/>
  <c r="AB260" i="15"/>
  <c r="J255" i="5"/>
  <c r="AB255" i="15"/>
  <c r="J251" i="5"/>
  <c r="AB251" i="15"/>
  <c r="J242" i="5"/>
  <c r="AB242" i="15"/>
  <c r="J238" i="5"/>
  <c r="AB238" i="15"/>
  <c r="J234" i="5"/>
  <c r="AB234" i="15"/>
  <c r="J224" i="5"/>
  <c r="AB224" i="15"/>
  <c r="J220" i="5"/>
  <c r="AB220" i="15"/>
  <c r="J215" i="5"/>
  <c r="AB215" i="15"/>
  <c r="J211" i="5"/>
  <c r="AB211" i="15"/>
  <c r="J202" i="5"/>
  <c r="AB202" i="15"/>
  <c r="J198" i="5"/>
  <c r="AB198" i="15"/>
  <c r="J194" i="5"/>
  <c r="AB194" i="15"/>
  <c r="J190" i="5"/>
  <c r="AB190" i="15"/>
  <c r="J181" i="5"/>
  <c r="AB181" i="15"/>
  <c r="J177" i="5"/>
  <c r="AB177" i="15"/>
  <c r="J172" i="5"/>
  <c r="AB172" i="15"/>
  <c r="J168" i="5"/>
  <c r="AB168" i="15"/>
  <c r="J159" i="5"/>
  <c r="AB159" i="15"/>
  <c r="J155" i="5"/>
  <c r="AB155" i="15"/>
  <c r="J151" i="5"/>
  <c r="AB151" i="15"/>
  <c r="J146" i="5"/>
  <c r="AB146" i="15"/>
  <c r="J134" i="5"/>
  <c r="AB134" i="15"/>
  <c r="J129" i="5"/>
  <c r="AB129" i="15"/>
  <c r="J125" i="5"/>
  <c r="AB125" i="15"/>
  <c r="J121" i="5"/>
  <c r="AB121" i="15"/>
  <c r="J116" i="5"/>
  <c r="AB116" i="15"/>
  <c r="J112" i="5"/>
  <c r="AB112" i="15"/>
  <c r="J108" i="5"/>
  <c r="AB108" i="15"/>
  <c r="J103" i="5"/>
  <c r="AB103" i="15"/>
  <c r="J99" i="5"/>
  <c r="AB99" i="15"/>
  <c r="J95" i="5"/>
  <c r="AB95" i="15"/>
  <c r="J90" i="5"/>
  <c r="AB90" i="15"/>
  <c r="J82" i="5"/>
  <c r="AB82" i="15"/>
  <c r="J78" i="5"/>
  <c r="AB78" i="15"/>
  <c r="J69" i="5"/>
  <c r="AB69" i="15"/>
  <c r="J65" i="5"/>
  <c r="AB65" i="15"/>
  <c r="J60" i="5"/>
  <c r="AB60" i="15"/>
  <c r="J56" i="5"/>
  <c r="AB56" i="15"/>
  <c r="J52" i="5"/>
  <c r="AB52" i="15"/>
  <c r="J47" i="5"/>
  <c r="AB47" i="15"/>
  <c r="J43" i="5"/>
  <c r="AB43" i="15"/>
  <c r="J39" i="5"/>
  <c r="AB39" i="15"/>
  <c r="J34" i="5"/>
  <c r="AB34" i="15"/>
  <c r="J30" i="5"/>
  <c r="AB30" i="15"/>
  <c r="J26" i="5"/>
  <c r="AB26" i="15"/>
  <c r="J22" i="5"/>
  <c r="AB22" i="15"/>
  <c r="J17" i="5"/>
  <c r="AB17" i="15"/>
  <c r="J13" i="5"/>
  <c r="AB13" i="15"/>
  <c r="J9" i="5"/>
  <c r="AB9" i="15"/>
  <c r="J35" i="5"/>
  <c r="AB35" i="15"/>
  <c r="J91" i="5"/>
  <c r="AB91" i="15"/>
  <c r="J147" i="5"/>
  <c r="AB147" i="15"/>
  <c r="J203" i="5"/>
  <c r="AB203" i="15"/>
  <c r="J232" i="5"/>
  <c r="AB232" i="15"/>
  <c r="J287" i="5"/>
  <c r="AB287" i="15"/>
  <c r="J343" i="5"/>
  <c r="AB343" i="15"/>
  <c r="J413" i="5"/>
  <c r="AB413" i="15"/>
  <c r="G434" i="5"/>
  <c r="G410"/>
  <c r="G402"/>
  <c r="G394"/>
  <c r="G386"/>
  <c r="G378"/>
  <c r="G370"/>
  <c r="G362"/>
  <c r="G354"/>
  <c r="G346"/>
  <c r="G338"/>
  <c r="G330"/>
  <c r="G322"/>
  <c r="G314"/>
  <c r="G306"/>
  <c r="G298"/>
  <c r="G290"/>
  <c r="G282"/>
  <c r="G274"/>
  <c r="G266"/>
  <c r="G258"/>
  <c r="G250"/>
  <c r="G242"/>
  <c r="G234"/>
  <c r="G226"/>
  <c r="G218"/>
  <c r="G210"/>
  <c r="G202"/>
  <c r="G194"/>
  <c r="G186"/>
  <c r="G178"/>
  <c r="G170"/>
  <c r="G162"/>
  <c r="G154"/>
  <c r="G90"/>
  <c r="V341" i="15"/>
  <c r="V309"/>
  <c r="V277"/>
  <c r="V245"/>
  <c r="V117"/>
  <c r="V85"/>
  <c r="V53"/>
  <c r="V16"/>
  <c r="Y325"/>
  <c r="Y68"/>
  <c r="AB420"/>
  <c r="AB249"/>
  <c r="AB164"/>
  <c r="AB32"/>
  <c r="S417"/>
  <c r="G417" i="5"/>
  <c r="S421" i="15"/>
  <c r="G421" i="5"/>
  <c r="S425" i="15"/>
  <c r="G425" i="5"/>
  <c r="H440"/>
  <c r="V440" i="15"/>
  <c r="H436" i="5"/>
  <c r="V436" i="15"/>
  <c r="H432" i="5"/>
  <c r="V432" i="15"/>
  <c r="H426" i="5"/>
  <c r="V426" i="15"/>
  <c r="H418" i="5"/>
  <c r="V418" i="15"/>
  <c r="H412" i="5"/>
  <c r="V412" i="15"/>
  <c r="H408" i="5"/>
  <c r="V408" i="15"/>
  <c r="H404" i="5"/>
  <c r="V404" i="15"/>
  <c r="H400" i="5"/>
  <c r="V400" i="15"/>
  <c r="H395" i="5"/>
  <c r="V395" i="15"/>
  <c r="H391" i="5"/>
  <c r="V391" i="15"/>
  <c r="H387" i="5"/>
  <c r="V387" i="15"/>
  <c r="H382" i="5"/>
  <c r="V382" i="15"/>
  <c r="H369" i="5"/>
  <c r="V369" i="15"/>
  <c r="H361" i="5"/>
  <c r="V361" i="15"/>
  <c r="H356" i="5"/>
  <c r="V356" i="15"/>
  <c r="H352" i="5"/>
  <c r="V352" i="15"/>
  <c r="H348" i="5"/>
  <c r="V348" i="15"/>
  <c r="H344" i="5"/>
  <c r="V344" i="15"/>
  <c r="H339" i="5"/>
  <c r="V339" i="15"/>
  <c r="H335" i="5"/>
  <c r="V335" i="15"/>
  <c r="H331" i="5"/>
  <c r="V331" i="15"/>
  <c r="H326" i="5"/>
  <c r="V326" i="15"/>
  <c r="H322" i="5"/>
  <c r="V322" i="15"/>
  <c r="H318" i="5"/>
  <c r="V318" i="15"/>
  <c r="H313" i="5"/>
  <c r="V313" i="15"/>
  <c r="H305" i="5"/>
  <c r="V305" i="15"/>
  <c r="H300" i="5"/>
  <c r="V300" i="15"/>
  <c r="H296" i="5"/>
  <c r="V296" i="15"/>
  <c r="H292" i="5"/>
  <c r="V292" i="15"/>
  <c r="H288" i="5"/>
  <c r="V288" i="15"/>
  <c r="H283" i="5"/>
  <c r="V283" i="15"/>
  <c r="H279" i="5"/>
  <c r="V279" i="15"/>
  <c r="H275" i="5"/>
  <c r="V275" i="15"/>
  <c r="H270" i="5"/>
  <c r="V270" i="15"/>
  <c r="H266" i="5"/>
  <c r="V266" i="15"/>
  <c r="H257" i="5"/>
  <c r="V257" i="15"/>
  <c r="H249" i="5"/>
  <c r="V249" i="15"/>
  <c r="H244" i="5"/>
  <c r="V244" i="15"/>
  <c r="H240" i="5"/>
  <c r="V240" i="15"/>
  <c r="H236" i="5"/>
  <c r="V236" i="15"/>
  <c r="H232" i="5"/>
  <c r="V232" i="15"/>
  <c r="H227" i="5"/>
  <c r="V227" i="15"/>
  <c r="H219" i="5"/>
  <c r="V219" i="15"/>
  <c r="H214" i="5"/>
  <c r="V214" i="15"/>
  <c r="H210" i="5"/>
  <c r="V210" i="15"/>
  <c r="H206" i="5"/>
  <c r="V206" i="15"/>
  <c r="H201" i="5"/>
  <c r="V201" i="15"/>
  <c r="H193" i="5"/>
  <c r="V193" i="15"/>
  <c r="H188" i="5"/>
  <c r="V188" i="15"/>
  <c r="H184" i="5"/>
  <c r="V184" i="15"/>
  <c r="H180" i="5"/>
  <c r="V180" i="15"/>
  <c r="H176" i="5"/>
  <c r="V176" i="15"/>
  <c r="H158" i="5"/>
  <c r="V158" i="15"/>
  <c r="H154" i="5"/>
  <c r="V154" i="15"/>
  <c r="H150" i="5"/>
  <c r="V150" i="15"/>
  <c r="H145" i="5"/>
  <c r="V145" i="15"/>
  <c r="H137" i="5"/>
  <c r="V137" i="15"/>
  <c r="H132" i="5"/>
  <c r="V132" i="15"/>
  <c r="H128" i="5"/>
  <c r="V128" i="15"/>
  <c r="H124" i="5"/>
  <c r="V124" i="15"/>
  <c r="H120" i="5"/>
  <c r="V120" i="15"/>
  <c r="H102" i="5"/>
  <c r="V102" i="15"/>
  <c r="H98" i="5"/>
  <c r="V98" i="15"/>
  <c r="H94" i="5"/>
  <c r="V94" i="15"/>
  <c r="H89" i="5"/>
  <c r="V89" i="15"/>
  <c r="H81" i="5"/>
  <c r="V81" i="15"/>
  <c r="H76" i="5"/>
  <c r="V76" i="15"/>
  <c r="H72" i="5"/>
  <c r="V72" i="15"/>
  <c r="H68" i="5"/>
  <c r="V68" i="15"/>
  <c r="H64" i="5"/>
  <c r="V64" i="15"/>
  <c r="H55" i="5"/>
  <c r="V55" i="15"/>
  <c r="H46" i="5"/>
  <c r="V46" i="15"/>
  <c r="H42" i="5"/>
  <c r="V42" i="15"/>
  <c r="H38" i="5"/>
  <c r="V38" i="15"/>
  <c r="H33" i="5"/>
  <c r="V33" i="15"/>
  <c r="H29" i="5"/>
  <c r="V29" i="15"/>
  <c r="H25" i="5"/>
  <c r="V25" i="15"/>
  <c r="H20" i="5"/>
  <c r="V20" i="15"/>
  <c r="H12" i="5"/>
  <c r="V12" i="15"/>
  <c r="H8" i="5"/>
  <c r="V8" i="15"/>
  <c r="S413"/>
  <c r="G413" i="5"/>
  <c r="H427"/>
  <c r="V427" i="15"/>
  <c r="I439" i="5"/>
  <c r="Y439" i="15"/>
  <c r="I435" i="5"/>
  <c r="Y435" i="15"/>
  <c r="I426" i="5"/>
  <c r="Y426" i="15"/>
  <c r="I422" i="5"/>
  <c r="Y422" i="15"/>
  <c r="I418" i="5"/>
  <c r="Y418" i="15"/>
  <c r="I414" i="5"/>
  <c r="Y414" i="15"/>
  <c r="I409" i="5"/>
  <c r="Y409" i="15"/>
  <c r="I405" i="5"/>
  <c r="Y405" i="15"/>
  <c r="I401" i="5"/>
  <c r="Y401" i="15"/>
  <c r="I396" i="5"/>
  <c r="Y396" i="15"/>
  <c r="I392" i="5"/>
  <c r="Y392" i="15"/>
  <c r="I388" i="5"/>
  <c r="Y388" i="15"/>
  <c r="I383" i="5"/>
  <c r="Y383" i="15"/>
  <c r="I379" i="5"/>
  <c r="Y379" i="15"/>
  <c r="I375" i="5"/>
  <c r="Y375" i="15"/>
  <c r="I366" i="5"/>
  <c r="Y366" i="15"/>
  <c r="I358" i="5"/>
  <c r="Y358" i="15"/>
  <c r="I353" i="5"/>
  <c r="Y353" i="15"/>
  <c r="I349" i="5"/>
  <c r="Y349" i="15"/>
  <c r="I345" i="5"/>
  <c r="Y345" i="15"/>
  <c r="I340" i="5"/>
  <c r="Y340" i="15"/>
  <c r="I336" i="5"/>
  <c r="Y336" i="15"/>
  <c r="I332" i="5"/>
  <c r="Y332" i="15"/>
  <c r="I327" i="5"/>
  <c r="Y327" i="15"/>
  <c r="I323" i="5"/>
  <c r="Y323" i="15"/>
  <c r="I319" i="5"/>
  <c r="Y319" i="15"/>
  <c r="I310" i="5"/>
  <c r="Y310" i="15"/>
  <c r="I306" i="5"/>
  <c r="Y306" i="15"/>
  <c r="I302" i="5"/>
  <c r="Y302" i="15"/>
  <c r="I297" i="5"/>
  <c r="Y297" i="15"/>
  <c r="I289" i="5"/>
  <c r="Y289" i="15"/>
  <c r="I284" i="5"/>
  <c r="Y284" i="15"/>
  <c r="I280" i="5"/>
  <c r="Y280" i="15"/>
  <c r="I276" i="5"/>
  <c r="Y276" i="15"/>
  <c r="I267" i="5"/>
  <c r="Y267" i="15"/>
  <c r="I263" i="5"/>
  <c r="Y263" i="15"/>
  <c r="I258" i="5"/>
  <c r="Y258" i="15"/>
  <c r="I254" i="5"/>
  <c r="Y254" i="15"/>
  <c r="I246" i="5"/>
  <c r="Y246" i="15"/>
  <c r="I241" i="5"/>
  <c r="Y241" i="15"/>
  <c r="I237" i="5"/>
  <c r="Y237" i="15"/>
  <c r="I233" i="5"/>
  <c r="Y233" i="15"/>
  <c r="I228" i="5"/>
  <c r="Y228" i="15"/>
  <c r="I224" i="5"/>
  <c r="Y224" i="15"/>
  <c r="I220" i="5"/>
  <c r="Y220" i="15"/>
  <c r="I202" i="5"/>
  <c r="Y202" i="15"/>
  <c r="I198" i="5"/>
  <c r="Y198" i="15"/>
  <c r="I194" i="5"/>
  <c r="Y194" i="15"/>
  <c r="I190" i="5"/>
  <c r="Y190" i="15"/>
  <c r="I185" i="5"/>
  <c r="Y185" i="15"/>
  <c r="I181" i="5"/>
  <c r="Y181" i="15"/>
  <c r="I177" i="5"/>
  <c r="Y177" i="15"/>
  <c r="I172" i="5"/>
  <c r="Y172" i="15"/>
  <c r="I168" i="5"/>
  <c r="Y168" i="15"/>
  <c r="I164" i="5"/>
  <c r="Y164" i="15"/>
  <c r="I142" i="5"/>
  <c r="Y142" i="15"/>
  <c r="I138" i="5"/>
  <c r="Y138" i="15"/>
  <c r="I134" i="5"/>
  <c r="Y134" i="15"/>
  <c r="I129" i="5"/>
  <c r="Y129" i="15"/>
  <c r="I125" i="5"/>
  <c r="Y125" i="15"/>
  <c r="I121" i="5"/>
  <c r="Y121" i="15"/>
  <c r="I116" i="5"/>
  <c r="Y116" i="15"/>
  <c r="I112" i="5"/>
  <c r="Y112" i="15"/>
  <c r="I108" i="5"/>
  <c r="Y108" i="15"/>
  <c r="I89" i="5"/>
  <c r="Y89" i="15"/>
  <c r="I85" i="5"/>
  <c r="Y85" i="15"/>
  <c r="I81" i="5"/>
  <c r="Y81" i="15"/>
  <c r="I76" i="5"/>
  <c r="Y76" i="15"/>
  <c r="I72" i="5"/>
  <c r="Y72" i="15"/>
  <c r="I64" i="5"/>
  <c r="Y64" i="15"/>
  <c r="I59" i="5"/>
  <c r="Y59" i="15"/>
  <c r="I55" i="5"/>
  <c r="Y55" i="15"/>
  <c r="I51" i="5"/>
  <c r="Y51" i="15"/>
  <c r="I45" i="5"/>
  <c r="Y45" i="15"/>
  <c r="I41" i="5"/>
  <c r="Y41" i="15"/>
  <c r="I37" i="5"/>
  <c r="Y37" i="15"/>
  <c r="I32" i="5"/>
  <c r="Y32" i="15"/>
  <c r="I28" i="5"/>
  <c r="Y28" i="15"/>
  <c r="I24" i="5"/>
  <c r="Y24" i="15"/>
  <c r="I19" i="5"/>
  <c r="Y19" i="15"/>
  <c r="I15" i="5"/>
  <c r="Y15" i="15"/>
  <c r="I11" i="5"/>
  <c r="Y11" i="15"/>
  <c r="I49" i="5"/>
  <c r="Y49" i="15"/>
  <c r="I119" i="5"/>
  <c r="Y119" i="15"/>
  <c r="I287" i="5"/>
  <c r="Y287" i="15"/>
  <c r="I343" i="5"/>
  <c r="Y343" i="15"/>
  <c r="J437" i="5"/>
  <c r="AB437" i="15"/>
  <c r="J433" i="5"/>
  <c r="AB433" i="15"/>
  <c r="J429" i="5"/>
  <c r="AB429" i="15"/>
  <c r="J424" i="5"/>
  <c r="AB424" i="15"/>
  <c r="J416" i="5"/>
  <c r="AB416" i="15"/>
  <c r="J411" i="5"/>
  <c r="AB411" i="15"/>
  <c r="J407" i="5"/>
  <c r="AB407" i="15"/>
  <c r="J403" i="5"/>
  <c r="AB403" i="15"/>
  <c r="J398" i="5"/>
  <c r="AB398" i="15"/>
  <c r="J394" i="5"/>
  <c r="AB394" i="15"/>
  <c r="J390" i="5"/>
  <c r="AB390" i="15"/>
  <c r="J386" i="5"/>
  <c r="AB386" i="15"/>
  <c r="J381" i="5"/>
  <c r="AB381" i="15"/>
  <c r="J373" i="5"/>
  <c r="AB373" i="15"/>
  <c r="J368" i="5"/>
  <c r="AB368" i="15"/>
  <c r="J364" i="5"/>
  <c r="AB364" i="15"/>
  <c r="J360" i="5"/>
  <c r="AB360" i="15"/>
  <c r="J355" i="5"/>
  <c r="AB355" i="15"/>
  <c r="J347" i="5"/>
  <c r="AB347" i="15"/>
  <c r="J342" i="5"/>
  <c r="AB342" i="15"/>
  <c r="J338" i="5"/>
  <c r="AB338" i="15"/>
  <c r="J334" i="5"/>
  <c r="AB334" i="15"/>
  <c r="J330" i="5"/>
  <c r="AB330" i="15"/>
  <c r="J326" i="5"/>
  <c r="AB326" i="15"/>
  <c r="J322" i="5"/>
  <c r="AB322" i="15"/>
  <c r="J318" i="5"/>
  <c r="AB318" i="15"/>
  <c r="J309" i="5"/>
  <c r="AB309" i="15"/>
  <c r="J305" i="5"/>
  <c r="AB305" i="15"/>
  <c r="J300" i="5"/>
  <c r="AB300" i="15"/>
  <c r="J296" i="5"/>
  <c r="AB296" i="15"/>
  <c r="J288" i="5"/>
  <c r="AB288" i="15"/>
  <c r="J283" i="5"/>
  <c r="AB283" i="15"/>
  <c r="J279" i="5"/>
  <c r="AB279" i="15"/>
  <c r="J270" i="5"/>
  <c r="AB270" i="15"/>
  <c r="J266" i="5"/>
  <c r="AB266" i="15"/>
  <c r="J262" i="5"/>
  <c r="AB262" i="15"/>
  <c r="J257" i="5"/>
  <c r="AB257" i="15"/>
  <c r="J253" i="5"/>
  <c r="AB253" i="15"/>
  <c r="J244" i="5"/>
  <c r="AB244" i="15"/>
  <c r="J240" i="5"/>
  <c r="AB240" i="15"/>
  <c r="J236" i="5"/>
  <c r="AB236" i="15"/>
  <c r="J230" i="5"/>
  <c r="AB230" i="15"/>
  <c r="J226" i="5"/>
  <c r="AB226" i="15"/>
  <c r="J222" i="5"/>
  <c r="AB222" i="15"/>
  <c r="J218" i="5"/>
  <c r="AB218" i="15"/>
  <c r="J213" i="5"/>
  <c r="AB213" i="15"/>
  <c r="J209" i="5"/>
  <c r="AB209" i="15"/>
  <c r="J200" i="5"/>
  <c r="AB200" i="15"/>
  <c r="J196" i="5"/>
  <c r="AB196" i="15"/>
  <c r="J192" i="5"/>
  <c r="AB192" i="15"/>
  <c r="J187" i="5"/>
  <c r="AB187" i="15"/>
  <c r="J183" i="5"/>
  <c r="AB183" i="15"/>
  <c r="J179" i="5"/>
  <c r="AB179" i="15"/>
  <c r="J174" i="5"/>
  <c r="AB174" i="15"/>
  <c r="J170" i="5"/>
  <c r="AB170" i="15"/>
  <c r="J166" i="5"/>
  <c r="AB166" i="15"/>
  <c r="J162" i="5"/>
  <c r="AB162" i="15"/>
  <c r="J153" i="5"/>
  <c r="AB153" i="15"/>
  <c r="J149" i="5"/>
  <c r="AB149" i="15"/>
  <c r="J144" i="5"/>
  <c r="AB144" i="15"/>
  <c r="J140" i="5"/>
  <c r="AB140" i="15"/>
  <c r="J136" i="5"/>
  <c r="AB136" i="15"/>
  <c r="J127" i="5"/>
  <c r="AB127" i="15"/>
  <c r="J123" i="5"/>
  <c r="AB123" i="15"/>
  <c r="J118" i="5"/>
  <c r="AB118" i="15"/>
  <c r="J114" i="5"/>
  <c r="AB114" i="15"/>
  <c r="J110" i="5"/>
  <c r="AB110" i="15"/>
  <c r="J106" i="5"/>
  <c r="AB106" i="15"/>
  <c r="J101" i="5"/>
  <c r="AB101" i="15"/>
  <c r="J97" i="5"/>
  <c r="AB97" i="15"/>
  <c r="J93" i="5"/>
  <c r="AB93" i="15"/>
  <c r="J88" i="5"/>
  <c r="AB88" i="15"/>
  <c r="J84" i="5"/>
  <c r="AB84" i="15"/>
  <c r="J80" i="5"/>
  <c r="AB80" i="15"/>
  <c r="J75" i="5"/>
  <c r="AB75" i="15"/>
  <c r="J71" i="5"/>
  <c r="AB71" i="15"/>
  <c r="J62" i="5"/>
  <c r="AB62" i="15"/>
  <c r="J58" i="5"/>
  <c r="AB58" i="15"/>
  <c r="J54" i="5"/>
  <c r="AB54" i="15"/>
  <c r="J50" i="5"/>
  <c r="AB50" i="15"/>
  <c r="J41" i="5"/>
  <c r="AB41" i="15"/>
  <c r="J37" i="5"/>
  <c r="AB37" i="15"/>
  <c r="J28" i="5"/>
  <c r="AB28" i="15"/>
  <c r="J24" i="5"/>
  <c r="AB24" i="15"/>
  <c r="J19" i="5"/>
  <c r="AB19" i="15"/>
  <c r="J15" i="5"/>
  <c r="AB15" i="15"/>
  <c r="J11" i="5"/>
  <c r="AB11" i="15"/>
  <c r="J63" i="5"/>
  <c r="AB63" i="15"/>
  <c r="J119" i="5"/>
  <c r="AB119" i="15"/>
  <c r="J175" i="5"/>
  <c r="AB175" i="15"/>
  <c r="J259" i="5"/>
  <c r="AB259" i="15"/>
  <c r="J315" i="5"/>
  <c r="AB315" i="15"/>
  <c r="J385" i="5"/>
  <c r="AB385" i="15"/>
  <c r="G438" i="5"/>
  <c r="G430"/>
  <c r="G406"/>
  <c r="G398"/>
  <c r="G390"/>
  <c r="G382"/>
  <c r="G374"/>
  <c r="G366"/>
  <c r="G358"/>
  <c r="G350"/>
  <c r="G342"/>
  <c r="G334"/>
  <c r="G326"/>
  <c r="G318"/>
  <c r="G310"/>
  <c r="G302"/>
  <c r="G294"/>
  <c r="G286"/>
  <c r="G278"/>
  <c r="G270"/>
  <c r="G262"/>
  <c r="G254"/>
  <c r="G246"/>
  <c r="G238"/>
  <c r="G230"/>
  <c r="G222"/>
  <c r="G214"/>
  <c r="G206"/>
  <c r="G198"/>
  <c r="G190"/>
  <c r="G182"/>
  <c r="G174"/>
  <c r="G166"/>
  <c r="G158"/>
  <c r="G150"/>
  <c r="G86"/>
  <c r="V389" i="15"/>
  <c r="V357"/>
  <c r="V229"/>
  <c r="V197"/>
  <c r="V165"/>
  <c r="V133"/>
  <c r="Y431"/>
  <c r="Y261"/>
  <c r="Y196"/>
  <c r="AB377"/>
  <c r="AB292"/>
  <c r="AB207"/>
  <c r="J310" i="5"/>
  <c r="AB310" i="15"/>
  <c r="J306" i="5"/>
  <c r="AB306" i="15"/>
  <c r="J297" i="5"/>
  <c r="AB297" i="15"/>
  <c r="J293" i="5"/>
  <c r="AB293" i="15"/>
  <c r="J289" i="5"/>
  <c r="AB289" i="15"/>
  <c r="J284" i="5"/>
  <c r="AB284" i="15"/>
  <c r="J276" i="5"/>
  <c r="AB276" i="15"/>
  <c r="J263" i="5"/>
  <c r="AB263" i="15"/>
  <c r="J258" i="5"/>
  <c r="AB258" i="15"/>
  <c r="J254" i="5"/>
  <c r="AB254" i="15"/>
  <c r="J250" i="5"/>
  <c r="AB250" i="15"/>
  <c r="J246" i="5"/>
  <c r="AB246" i="15"/>
  <c r="J241" i="5"/>
  <c r="AB241" i="15"/>
  <c r="J233" i="5"/>
  <c r="AB233" i="15"/>
  <c r="J227" i="5"/>
  <c r="AB227" i="15"/>
  <c r="J223" i="5"/>
  <c r="AB223" i="15"/>
  <c r="J214" i="5"/>
  <c r="AB214" i="15"/>
  <c r="J210" i="5"/>
  <c r="AB210" i="15"/>
  <c r="J206" i="5"/>
  <c r="AB206" i="15"/>
  <c r="J201" i="5"/>
  <c r="AB201" i="15"/>
  <c r="J193" i="5"/>
  <c r="AB193" i="15"/>
  <c r="J188" i="5"/>
  <c r="AB188" i="15"/>
  <c r="J184" i="5"/>
  <c r="AB184" i="15"/>
  <c r="J180" i="5"/>
  <c r="AB180" i="15"/>
  <c r="J176" i="5"/>
  <c r="AB176" i="15"/>
  <c r="J171" i="5"/>
  <c r="AB171" i="15"/>
  <c r="J167" i="5"/>
  <c r="AB167" i="15"/>
  <c r="J163" i="5"/>
  <c r="AB163" i="15"/>
  <c r="J158" i="5"/>
  <c r="AB158" i="15"/>
  <c r="J154" i="5"/>
  <c r="AB154" i="15"/>
  <c r="J150" i="5"/>
  <c r="AB150" i="15"/>
  <c r="J145" i="5"/>
  <c r="AB145" i="15"/>
  <c r="J141" i="5"/>
  <c r="AB141" i="15"/>
  <c r="J137" i="5"/>
  <c r="AB137" i="15"/>
  <c r="J132" i="5"/>
  <c r="AB132" i="15"/>
  <c r="J128" i="5"/>
  <c r="AB128" i="15"/>
  <c r="J120" i="5"/>
  <c r="AB120" i="15"/>
  <c r="J115" i="5"/>
  <c r="AB115" i="15"/>
  <c r="J107" i="5"/>
  <c r="AB107" i="15"/>
  <c r="J102" i="5"/>
  <c r="AB102" i="15"/>
  <c r="J98" i="5"/>
  <c r="AB98" i="15"/>
  <c r="J94" i="5"/>
  <c r="AB94" i="15"/>
  <c r="J89" i="5"/>
  <c r="AB89" i="15"/>
  <c r="J85" i="5"/>
  <c r="AB85" i="15"/>
  <c r="J81" i="5"/>
  <c r="AB81" i="15"/>
  <c r="J76" i="5"/>
  <c r="AB76" i="15"/>
  <c r="J72" i="5"/>
  <c r="AB72" i="15"/>
  <c r="J68" i="5"/>
  <c r="AB68" i="15"/>
  <c r="J64" i="5"/>
  <c r="AB64" i="15"/>
  <c r="J46" i="5"/>
  <c r="AB46" i="15"/>
  <c r="J42" i="5"/>
  <c r="AB42" i="15"/>
  <c r="J38" i="5"/>
  <c r="AB38" i="15"/>
  <c r="J33" i="5"/>
  <c r="AB33" i="15"/>
  <c r="J29" i="5"/>
  <c r="AB29" i="15"/>
  <c r="J25" i="5"/>
  <c r="AB25" i="15"/>
  <c r="J20" i="5"/>
  <c r="AB20" i="15"/>
  <c r="J16" i="5"/>
  <c r="AB16" i="15"/>
  <c r="J12" i="5"/>
  <c r="AB12" i="15"/>
  <c r="J8" i="5"/>
  <c r="AB8" i="15"/>
  <c r="J49" i="5"/>
  <c r="AB49" i="15"/>
  <c r="J105" i="5"/>
  <c r="AB105" i="15"/>
  <c r="J161" i="5"/>
  <c r="AB161" i="15"/>
  <c r="J245" i="5"/>
  <c r="AB245" i="15"/>
  <c r="J301" i="5"/>
  <c r="AB301" i="15"/>
  <c r="J371" i="5"/>
  <c r="AB371" i="15"/>
  <c r="J427" i="5"/>
  <c r="AB427" i="15"/>
  <c r="K440" i="5"/>
  <c r="AE440" i="15"/>
  <c r="K436" i="5"/>
  <c r="AE436" i="15"/>
  <c r="K432" i="5"/>
  <c r="AE432" i="15"/>
  <c r="K428" i="5"/>
  <c r="AE428" i="15"/>
  <c r="K406" i="5"/>
  <c r="AE406" i="15"/>
  <c r="K402" i="5"/>
  <c r="AE402" i="15"/>
  <c r="K397" i="5"/>
  <c r="AE397" i="15"/>
  <c r="K389" i="5"/>
  <c r="AE389" i="15"/>
  <c r="K380" i="5"/>
  <c r="AE380" i="15"/>
  <c r="K372" i="5"/>
  <c r="AE372" i="15"/>
  <c r="K345" i="5"/>
  <c r="AE345" i="15"/>
  <c r="K340" i="5"/>
  <c r="AE340" i="15"/>
  <c r="K336" i="5"/>
  <c r="AE336" i="15"/>
  <c r="K332" i="5"/>
  <c r="AE332" i="15"/>
  <c r="K323" i="5"/>
  <c r="AE323" i="15"/>
  <c r="K319" i="5"/>
  <c r="AE319" i="15"/>
  <c r="K314" i="5"/>
  <c r="AE314" i="15"/>
  <c r="K310" i="5"/>
  <c r="AE310" i="15"/>
  <c r="K306" i="5"/>
  <c r="AE306" i="15"/>
  <c r="K302" i="5"/>
  <c r="AE302" i="15"/>
  <c r="K284" i="5"/>
  <c r="AE284" i="15"/>
  <c r="K280" i="5"/>
  <c r="AE280" i="15"/>
  <c r="K276" i="5"/>
  <c r="AE276" i="15"/>
  <c r="K271" i="5"/>
  <c r="AE271" i="15"/>
  <c r="K267" i="5"/>
  <c r="AE267" i="15"/>
  <c r="K258" i="5"/>
  <c r="AE258" i="15"/>
  <c r="K250" i="5"/>
  <c r="AE250" i="15"/>
  <c r="K224" i="5"/>
  <c r="AE224" i="15"/>
  <c r="K220" i="5"/>
  <c r="AE220" i="15"/>
  <c r="K211" i="5"/>
  <c r="AE211" i="15"/>
  <c r="K202" i="5"/>
  <c r="AE202" i="15"/>
  <c r="K194" i="5"/>
  <c r="AE194" i="15"/>
  <c r="K185" i="5"/>
  <c r="AE185" i="15"/>
  <c r="K181" i="5"/>
  <c r="AE181" i="15"/>
  <c r="K172" i="5"/>
  <c r="AE172" i="15"/>
  <c r="K168" i="5"/>
  <c r="AE168" i="15"/>
  <c r="K164" i="5"/>
  <c r="AE164" i="15"/>
  <c r="K159" i="5"/>
  <c r="AE159" i="15"/>
  <c r="K155" i="5"/>
  <c r="AE155" i="15"/>
  <c r="K146" i="5"/>
  <c r="AE146" i="15"/>
  <c r="K138" i="5"/>
  <c r="AE138" i="15"/>
  <c r="K128" i="5"/>
  <c r="AE128" i="15"/>
  <c r="K124" i="5"/>
  <c r="AE124" i="15"/>
  <c r="K120" i="5"/>
  <c r="AE120" i="15"/>
  <c r="K115" i="5"/>
  <c r="AE115" i="15"/>
  <c r="K111" i="5"/>
  <c r="AE111" i="15"/>
  <c r="K107" i="5"/>
  <c r="AE107" i="15"/>
  <c r="K102" i="5"/>
  <c r="AE102" i="15"/>
  <c r="K98" i="5"/>
  <c r="AE98" i="15"/>
  <c r="K94" i="5"/>
  <c r="AE94" i="15"/>
  <c r="K89" i="5"/>
  <c r="AE89" i="15"/>
  <c r="K81" i="5"/>
  <c r="AE81" i="15"/>
  <c r="K76" i="5"/>
  <c r="AE76" i="15"/>
  <c r="K72" i="5"/>
  <c r="AE72" i="15"/>
  <c r="K68" i="5"/>
  <c r="AE68" i="15"/>
  <c r="K64" i="5"/>
  <c r="AE64" i="15"/>
  <c r="K59" i="5"/>
  <c r="AE59" i="15"/>
  <c r="K55" i="5"/>
  <c r="AE55" i="15"/>
  <c r="K51" i="5"/>
  <c r="AE51" i="15"/>
  <c r="K46" i="5"/>
  <c r="AE46" i="15"/>
  <c r="K42" i="5"/>
  <c r="AE42" i="15"/>
  <c r="K38" i="5"/>
  <c r="AE38" i="15"/>
  <c r="K33" i="5"/>
  <c r="AE33" i="15"/>
  <c r="K29" i="5"/>
  <c r="AE29" i="15"/>
  <c r="K25" i="5"/>
  <c r="AE25" i="15"/>
  <c r="K20" i="5"/>
  <c r="AE20" i="15"/>
  <c r="K16" i="5"/>
  <c r="AE16" i="15"/>
  <c r="K12" i="5"/>
  <c r="AE12" i="15"/>
  <c r="K8" i="5"/>
  <c r="AE8" i="15"/>
  <c r="K49" i="5"/>
  <c r="AE49" i="15"/>
  <c r="K161" i="5"/>
  <c r="AE161" i="15"/>
  <c r="K217" i="5"/>
  <c r="AE217" i="15"/>
  <c r="K273" i="5"/>
  <c r="AE273" i="15"/>
  <c r="K329" i="5"/>
  <c r="AE329" i="15"/>
  <c r="K358" i="5"/>
  <c r="AE358" i="15"/>
  <c r="K413" i="5"/>
  <c r="AE413" i="15"/>
  <c r="I441" i="5"/>
  <c r="Y441" i="15"/>
  <c r="J442" i="5"/>
  <c r="AB442" i="15"/>
  <c r="H442" i="5"/>
  <c r="V442" i="15"/>
  <c r="I444" i="5"/>
  <c r="Y444" i="15"/>
  <c r="K443" i="5"/>
  <c r="AE443" i="15"/>
  <c r="L434" i="5"/>
  <c r="AH434" i="15"/>
  <c r="L425" i="5"/>
  <c r="AH425" i="15"/>
  <c r="L421" i="5"/>
  <c r="AH421" i="15"/>
  <c r="L417" i="5"/>
  <c r="AH417" i="15"/>
  <c r="L412" i="5"/>
  <c r="AH412" i="15"/>
  <c r="L408" i="5"/>
  <c r="AH408" i="15"/>
  <c r="L404" i="5"/>
  <c r="AH404" i="15"/>
  <c r="L400" i="5"/>
  <c r="AH400" i="15"/>
  <c r="L395" i="5"/>
  <c r="AH395" i="15"/>
  <c r="L387" i="5"/>
  <c r="AH387" i="15"/>
  <c r="L382" i="5"/>
  <c r="AH382" i="15"/>
  <c r="L378" i="5"/>
  <c r="AH378" i="15"/>
  <c r="L374" i="5"/>
  <c r="AH374" i="15"/>
  <c r="L361" i="5"/>
  <c r="AH361" i="15"/>
  <c r="L352" i="5"/>
  <c r="AH352" i="15"/>
  <c r="L344" i="5"/>
  <c r="AH344" i="15"/>
  <c r="L339" i="5"/>
  <c r="AH339" i="15"/>
  <c r="L331" i="5"/>
  <c r="AH331" i="15"/>
  <c r="L326" i="5"/>
  <c r="AH326" i="15"/>
  <c r="L318" i="5"/>
  <c r="AH318" i="15"/>
  <c r="L313" i="5"/>
  <c r="AH313" i="15"/>
  <c r="L309" i="5"/>
  <c r="AH309" i="15"/>
  <c r="L305" i="5"/>
  <c r="AH305" i="15"/>
  <c r="L300" i="5"/>
  <c r="AH300" i="15"/>
  <c r="L292" i="5"/>
  <c r="AH292" i="15"/>
  <c r="L288" i="5"/>
  <c r="AH288" i="15"/>
  <c r="L283" i="5"/>
  <c r="AH283" i="15"/>
  <c r="L279" i="5"/>
  <c r="AH279" i="15"/>
  <c r="L257" i="5"/>
  <c r="AH257" i="15"/>
  <c r="L253" i="5"/>
  <c r="AH253" i="15"/>
  <c r="L249" i="5"/>
  <c r="AH249" i="15"/>
  <c r="L227" i="5"/>
  <c r="AH227" i="15"/>
  <c r="L223" i="5"/>
  <c r="AH223" i="15"/>
  <c r="L219" i="5"/>
  <c r="AH219" i="15"/>
  <c r="L214" i="5"/>
  <c r="AH214" i="15"/>
  <c r="L210" i="5"/>
  <c r="AH210" i="15"/>
  <c r="L206" i="5"/>
  <c r="AH206" i="15"/>
  <c r="L201" i="5"/>
  <c r="AH201" i="15"/>
  <c r="L193" i="5"/>
  <c r="AH193" i="15"/>
  <c r="L184" i="5"/>
  <c r="AH184" i="15"/>
  <c r="L180" i="5"/>
  <c r="AH180" i="15"/>
  <c r="L167" i="5"/>
  <c r="AH167" i="15"/>
  <c r="L163" i="5"/>
  <c r="AH163" i="15"/>
  <c r="L150" i="5"/>
  <c r="AH150" i="15"/>
  <c r="L141" i="5"/>
  <c r="AH141" i="15"/>
  <c r="L137" i="5"/>
  <c r="AH137" i="15"/>
  <c r="L124" i="5"/>
  <c r="AH124" i="15"/>
  <c r="L120" i="5"/>
  <c r="AH120" i="15"/>
  <c r="L111" i="5"/>
  <c r="AH111" i="15"/>
  <c r="L102" i="5"/>
  <c r="AH102" i="15"/>
  <c r="L98" i="5"/>
  <c r="AH98" i="15"/>
  <c r="L85" i="5"/>
  <c r="AH85" i="15"/>
  <c r="L59" i="5"/>
  <c r="AH59" i="15"/>
  <c r="L55" i="5"/>
  <c r="AH55" i="15"/>
  <c r="L42" i="5"/>
  <c r="AH42" i="15"/>
  <c r="L38" i="5"/>
  <c r="AH38" i="15"/>
  <c r="L33" i="5"/>
  <c r="AH33" i="15"/>
  <c r="L25" i="5"/>
  <c r="AH25" i="15"/>
  <c r="L16" i="5"/>
  <c r="AH16" i="15"/>
  <c r="L12" i="5"/>
  <c r="AH12" i="15"/>
  <c r="L8" i="5"/>
  <c r="AH8" i="15"/>
  <c r="L49" i="5"/>
  <c r="AH49" i="15"/>
  <c r="L105" i="5"/>
  <c r="AH105" i="15"/>
  <c r="L161" i="5"/>
  <c r="AH161" i="15"/>
  <c r="L217" i="5"/>
  <c r="AH217" i="15"/>
  <c r="L273" i="5"/>
  <c r="AH273" i="15"/>
  <c r="L329" i="5"/>
  <c r="AH329" i="15"/>
  <c r="L385" i="5"/>
  <c r="AH385" i="15"/>
  <c r="L441" i="5"/>
  <c r="AH441" i="15"/>
  <c r="G441" i="5"/>
  <c r="AB239" i="15"/>
  <c r="AB152"/>
  <c r="AB96"/>
  <c r="AE361"/>
  <c r="AE105"/>
  <c r="AE21"/>
  <c r="AH115"/>
  <c r="J359" i="5"/>
  <c r="AB359" i="15"/>
  <c r="J354" i="5"/>
  <c r="AB354" i="15"/>
  <c r="J350" i="5"/>
  <c r="AB350" i="15"/>
  <c r="J346" i="5"/>
  <c r="AB346" i="15"/>
  <c r="J337" i="5"/>
  <c r="AB337" i="15"/>
  <c r="J333" i="5"/>
  <c r="AB333" i="15"/>
  <c r="J325" i="5"/>
  <c r="AB325" i="15"/>
  <c r="J321" i="5"/>
  <c r="AB321" i="15"/>
  <c r="J317" i="5"/>
  <c r="AB317" i="15"/>
  <c r="J312" i="5"/>
  <c r="AB312" i="15"/>
  <c r="J308" i="5"/>
  <c r="AB308" i="15"/>
  <c r="J299" i="5"/>
  <c r="AB299" i="15"/>
  <c r="J295" i="5"/>
  <c r="AB295" i="15"/>
  <c r="J291" i="5"/>
  <c r="AB291" i="15"/>
  <c r="J286" i="5"/>
  <c r="AB286" i="15"/>
  <c r="J282" i="5"/>
  <c r="AB282" i="15"/>
  <c r="J274" i="5"/>
  <c r="AB274" i="15"/>
  <c r="J269" i="5"/>
  <c r="AB269" i="15"/>
  <c r="J265" i="5"/>
  <c r="AB265" i="15"/>
  <c r="J252" i="5"/>
  <c r="AB252" i="15"/>
  <c r="J248" i="5"/>
  <c r="AB248" i="15"/>
  <c r="J243" i="5"/>
  <c r="AB243" i="15"/>
  <c r="J235" i="5"/>
  <c r="AB235" i="15"/>
  <c r="J229" i="5"/>
  <c r="AB229" i="15"/>
  <c r="J225" i="5"/>
  <c r="AB225" i="15"/>
  <c r="J221" i="5"/>
  <c r="AB221" i="15"/>
  <c r="J216" i="5"/>
  <c r="AB216" i="15"/>
  <c r="J212" i="5"/>
  <c r="AB212" i="15"/>
  <c r="J208" i="5"/>
  <c r="AB208" i="15"/>
  <c r="J204" i="5"/>
  <c r="AB204" i="15"/>
  <c r="J199" i="5"/>
  <c r="AB199" i="15"/>
  <c r="J195" i="5"/>
  <c r="AB195" i="15"/>
  <c r="J191" i="5"/>
  <c r="AB191" i="15"/>
  <c r="J186" i="5"/>
  <c r="AB186" i="15"/>
  <c r="J178" i="5"/>
  <c r="AB178" i="15"/>
  <c r="J169" i="5"/>
  <c r="AB169" i="15"/>
  <c r="J160" i="5"/>
  <c r="AB160" i="15"/>
  <c r="J156" i="5"/>
  <c r="AB156" i="15"/>
  <c r="J148" i="5"/>
  <c r="AB148" i="15"/>
  <c r="J143" i="5"/>
  <c r="AB143" i="15"/>
  <c r="J130" i="5"/>
  <c r="AB130" i="15"/>
  <c r="J126" i="5"/>
  <c r="AB126" i="15"/>
  <c r="J122" i="5"/>
  <c r="AB122" i="15"/>
  <c r="J113" i="5"/>
  <c r="AB113" i="15"/>
  <c r="J104" i="5"/>
  <c r="AB104" i="15"/>
  <c r="J100" i="5"/>
  <c r="AB100" i="15"/>
  <c r="J92" i="5"/>
  <c r="AB92" i="15"/>
  <c r="J83" i="5"/>
  <c r="AB83" i="15"/>
  <c r="J74" i="5"/>
  <c r="AB74" i="15"/>
  <c r="J70" i="5"/>
  <c r="AB70" i="15"/>
  <c r="J66" i="5"/>
  <c r="AB66" i="15"/>
  <c r="J61" i="5"/>
  <c r="AB61" i="15"/>
  <c r="J57" i="5"/>
  <c r="AB57" i="15"/>
  <c r="J53" i="5"/>
  <c r="AB53" i="15"/>
  <c r="J48" i="5"/>
  <c r="AB48" i="15"/>
  <c r="J44" i="5"/>
  <c r="AB44" i="15"/>
  <c r="J40" i="5"/>
  <c r="AB40" i="15"/>
  <c r="J36" i="5"/>
  <c r="AB36" i="15"/>
  <c r="J27" i="5"/>
  <c r="AB27" i="15"/>
  <c r="J23" i="5"/>
  <c r="AB23" i="15"/>
  <c r="J18" i="5"/>
  <c r="AB18" i="15"/>
  <c r="J14" i="5"/>
  <c r="AB14" i="15"/>
  <c r="J10" i="5"/>
  <c r="AB10" i="15"/>
  <c r="J77" i="5"/>
  <c r="AB77" i="15"/>
  <c r="J133" i="5"/>
  <c r="AB133" i="15"/>
  <c r="J189" i="5"/>
  <c r="AB189" i="15"/>
  <c r="J231" i="5"/>
  <c r="AB231" i="15"/>
  <c r="J273" i="5"/>
  <c r="AB273" i="15"/>
  <c r="K438" i="5"/>
  <c r="AE438" i="15"/>
  <c r="K434" i="5"/>
  <c r="AE434" i="15"/>
  <c r="K430" i="5"/>
  <c r="AE430" i="15"/>
  <c r="K421" i="5"/>
  <c r="AE421" i="15"/>
  <c r="K417" i="5"/>
  <c r="AE417" i="15"/>
  <c r="K412" i="5"/>
  <c r="AE412" i="15"/>
  <c r="K408" i="5"/>
  <c r="AE408" i="15"/>
  <c r="K404" i="5"/>
  <c r="AE404" i="15"/>
  <c r="K400" i="5"/>
  <c r="AE400" i="15"/>
  <c r="K395" i="5"/>
  <c r="AE395" i="15"/>
  <c r="K387" i="5"/>
  <c r="AE387" i="15"/>
  <c r="K378" i="5"/>
  <c r="AE378" i="15"/>
  <c r="K374" i="5"/>
  <c r="AE374" i="15"/>
  <c r="K369" i="5"/>
  <c r="AE369" i="15"/>
  <c r="K355" i="5"/>
  <c r="AE355" i="15"/>
  <c r="K351" i="5"/>
  <c r="AE351" i="15"/>
  <c r="K347" i="5"/>
  <c r="AE347" i="15"/>
  <c r="K342" i="5"/>
  <c r="AE342" i="15"/>
  <c r="K338" i="5"/>
  <c r="AE338" i="15"/>
  <c r="K334" i="5"/>
  <c r="AE334" i="15"/>
  <c r="K330" i="5"/>
  <c r="AE330" i="15"/>
  <c r="K325" i="5"/>
  <c r="AE325" i="15"/>
  <c r="K321" i="5"/>
  <c r="AE321" i="15"/>
  <c r="K317" i="5"/>
  <c r="AE317" i="15"/>
  <c r="K312" i="5"/>
  <c r="AE312" i="15"/>
  <c r="K308" i="5"/>
  <c r="AE308" i="15"/>
  <c r="K304" i="5"/>
  <c r="AE304" i="15"/>
  <c r="K299" i="5"/>
  <c r="AE299" i="15"/>
  <c r="K295" i="5"/>
  <c r="AE295" i="15"/>
  <c r="K291" i="5"/>
  <c r="AE291" i="15"/>
  <c r="K286" i="5"/>
  <c r="AE286" i="15"/>
  <c r="K282" i="5"/>
  <c r="AE282" i="15"/>
  <c r="K278" i="5"/>
  <c r="AE278" i="15"/>
  <c r="K274" i="5"/>
  <c r="AE274" i="15"/>
  <c r="K269" i="5"/>
  <c r="AE269" i="15"/>
  <c r="K265" i="5"/>
  <c r="AE265" i="15"/>
  <c r="K261" i="5"/>
  <c r="AE261" i="15"/>
  <c r="K256" i="5"/>
  <c r="AE256" i="15"/>
  <c r="K252" i="5"/>
  <c r="AE252" i="15"/>
  <c r="K243" i="5"/>
  <c r="AE243" i="15"/>
  <c r="K239" i="5"/>
  <c r="AE239" i="15"/>
  <c r="K235" i="5"/>
  <c r="AE235" i="15"/>
  <c r="K230" i="5"/>
  <c r="AE230" i="15"/>
  <c r="K226" i="5"/>
  <c r="AE226" i="15"/>
  <c r="K222" i="5"/>
  <c r="AE222" i="15"/>
  <c r="K218" i="5"/>
  <c r="AE218" i="15"/>
  <c r="K205" i="5"/>
  <c r="AE205" i="15"/>
  <c r="K200" i="5"/>
  <c r="AE200" i="15"/>
  <c r="K196" i="5"/>
  <c r="AE196" i="15"/>
  <c r="K192" i="5"/>
  <c r="AE192" i="15"/>
  <c r="K187" i="5"/>
  <c r="AE187" i="15"/>
  <c r="K183" i="5"/>
  <c r="AE183" i="15"/>
  <c r="K179" i="5"/>
  <c r="AE179" i="15"/>
  <c r="K174" i="5"/>
  <c r="AE174" i="15"/>
  <c r="K170" i="5"/>
  <c r="AE170" i="15"/>
  <c r="K166" i="5"/>
  <c r="AE166" i="15"/>
  <c r="K162" i="5"/>
  <c r="AE162" i="15"/>
  <c r="K157" i="5"/>
  <c r="AE157" i="15"/>
  <c r="K153" i="5"/>
  <c r="AE153" i="15"/>
  <c r="K144" i="5"/>
  <c r="AE144" i="15"/>
  <c r="K140" i="5"/>
  <c r="AE140" i="15"/>
  <c r="K136" i="5"/>
  <c r="AE136" i="15"/>
  <c r="K130" i="5"/>
  <c r="AE130" i="15"/>
  <c r="K122" i="5"/>
  <c r="AE122" i="15"/>
  <c r="K113" i="5"/>
  <c r="AE113" i="15"/>
  <c r="K109" i="5"/>
  <c r="AE109" i="15"/>
  <c r="K104" i="5"/>
  <c r="AE104" i="15"/>
  <c r="K92" i="5"/>
  <c r="AE92" i="15"/>
  <c r="K74" i="5"/>
  <c r="AE74" i="15"/>
  <c r="K66" i="5"/>
  <c r="AE66" i="15"/>
  <c r="K61" i="5"/>
  <c r="AE61" i="15"/>
  <c r="K53" i="5"/>
  <c r="AE53" i="15"/>
  <c r="K48" i="5"/>
  <c r="AE48" i="15"/>
  <c r="K40" i="5"/>
  <c r="AE40" i="15"/>
  <c r="K36" i="5"/>
  <c r="AE36" i="15"/>
  <c r="K27" i="5"/>
  <c r="AE27" i="15"/>
  <c r="K18" i="5"/>
  <c r="AE18" i="15"/>
  <c r="K14" i="5"/>
  <c r="AE14" i="15"/>
  <c r="K10" i="5"/>
  <c r="AE10" i="15"/>
  <c r="K77" i="5"/>
  <c r="AE77" i="15"/>
  <c r="K189" i="5"/>
  <c r="AE189" i="15"/>
  <c r="K245" i="5"/>
  <c r="AE245" i="15"/>
  <c r="K301" i="5"/>
  <c r="AE301" i="15"/>
  <c r="J357" i="5"/>
  <c r="AB357" i="15"/>
  <c r="K385" i="5"/>
  <c r="AE385" i="15"/>
  <c r="H444" i="5"/>
  <c r="V444" i="15"/>
  <c r="J443" i="5"/>
  <c r="AB443" i="15"/>
  <c r="L440" i="5"/>
  <c r="AH440" i="15"/>
  <c r="L436" i="5"/>
  <c r="AH436" i="15"/>
  <c r="L432" i="5"/>
  <c r="AH432" i="15"/>
  <c r="L428" i="5"/>
  <c r="AH428" i="15"/>
  <c r="L423" i="5"/>
  <c r="AH423" i="15"/>
  <c r="L419" i="5"/>
  <c r="AH419" i="15"/>
  <c r="L406" i="5"/>
  <c r="AH406" i="15"/>
  <c r="L402" i="5"/>
  <c r="AH402" i="15"/>
  <c r="L397" i="5"/>
  <c r="AH397" i="15"/>
  <c r="L393" i="5"/>
  <c r="AH393" i="15"/>
  <c r="L389" i="5"/>
  <c r="AH389" i="15"/>
  <c r="L384" i="5"/>
  <c r="AH384" i="15"/>
  <c r="L380" i="5"/>
  <c r="AH380" i="15"/>
  <c r="L376" i="5"/>
  <c r="AH376" i="15"/>
  <c r="L372" i="5"/>
  <c r="AH372" i="15"/>
  <c r="L367" i="5"/>
  <c r="AH367" i="15"/>
  <c r="L363" i="5"/>
  <c r="AH363" i="15"/>
  <c r="L359" i="5"/>
  <c r="AH359" i="15"/>
  <c r="L354" i="5"/>
  <c r="AH354" i="15"/>
  <c r="L346" i="5"/>
  <c r="AH346" i="15"/>
  <c r="L341" i="5"/>
  <c r="AH341" i="15"/>
  <c r="L337" i="5"/>
  <c r="AH337" i="15"/>
  <c r="L333" i="5"/>
  <c r="AH333" i="15"/>
  <c r="L328" i="5"/>
  <c r="AH328" i="15"/>
  <c r="L324" i="5"/>
  <c r="AH324" i="15"/>
  <c r="L320" i="5"/>
  <c r="AH320" i="15"/>
  <c r="L316" i="5"/>
  <c r="AH316" i="15"/>
  <c r="L311" i="5"/>
  <c r="AH311" i="15"/>
  <c r="L303" i="5"/>
  <c r="AH303" i="15"/>
  <c r="L298" i="5"/>
  <c r="AH298" i="15"/>
  <c r="L294" i="5"/>
  <c r="AH294" i="15"/>
  <c r="L290" i="5"/>
  <c r="AH290" i="15"/>
  <c r="L285" i="5"/>
  <c r="AH285" i="15"/>
  <c r="L281" i="5"/>
  <c r="AH281" i="15"/>
  <c r="L277" i="5"/>
  <c r="AH277" i="15"/>
  <c r="L272" i="5"/>
  <c r="AH272" i="15"/>
  <c r="L268" i="5"/>
  <c r="AH268" i="15"/>
  <c r="L264" i="5"/>
  <c r="AH264" i="15"/>
  <c r="L260" i="5"/>
  <c r="AH260" i="15"/>
  <c r="L255" i="5"/>
  <c r="AH255" i="15"/>
  <c r="L251" i="5"/>
  <c r="AH251" i="15"/>
  <c r="L247" i="5"/>
  <c r="AH247" i="15"/>
  <c r="L242" i="5"/>
  <c r="AH242" i="15"/>
  <c r="L238" i="5"/>
  <c r="AH238" i="15"/>
  <c r="L234" i="5"/>
  <c r="AH234" i="15"/>
  <c r="L229" i="5"/>
  <c r="AH229" i="15"/>
  <c r="L225" i="5"/>
  <c r="AH225" i="15"/>
  <c r="L221" i="5"/>
  <c r="AH221" i="15"/>
  <c r="L212" i="5"/>
  <c r="AH212" i="15"/>
  <c r="L208" i="5"/>
  <c r="AH208" i="15"/>
  <c r="L204" i="5"/>
  <c r="AH204" i="15"/>
  <c r="L199" i="5"/>
  <c r="AH199" i="15"/>
  <c r="L195" i="5"/>
  <c r="AH195" i="15"/>
  <c r="L191" i="5"/>
  <c r="AH191" i="15"/>
  <c r="L186" i="5"/>
  <c r="AH186" i="15"/>
  <c r="L182" i="5"/>
  <c r="AH182" i="15"/>
  <c r="L178" i="5"/>
  <c r="AH178" i="15"/>
  <c r="L173" i="5"/>
  <c r="AH173" i="15"/>
  <c r="L169" i="5"/>
  <c r="AH169" i="15"/>
  <c r="L160" i="5"/>
  <c r="AH160" i="15"/>
  <c r="L156" i="5"/>
  <c r="AH156" i="15"/>
  <c r="L152" i="5"/>
  <c r="AH152" i="15"/>
  <c r="L143" i="5"/>
  <c r="AH143" i="15"/>
  <c r="L139" i="5"/>
  <c r="AH139" i="15"/>
  <c r="L135" i="5"/>
  <c r="AH135" i="15"/>
  <c r="L130" i="5"/>
  <c r="AH130" i="15"/>
  <c r="L126" i="5"/>
  <c r="AH126" i="15"/>
  <c r="L122" i="5"/>
  <c r="AH122" i="15"/>
  <c r="L117" i="5"/>
  <c r="AH117" i="15"/>
  <c r="L113" i="5"/>
  <c r="AH113" i="15"/>
  <c r="L109" i="5"/>
  <c r="AH109" i="15"/>
  <c r="L104" i="5"/>
  <c r="AH104" i="15"/>
  <c r="L100" i="5"/>
  <c r="AH100" i="15"/>
  <c r="L96" i="5"/>
  <c r="AH96" i="15"/>
  <c r="L92" i="5"/>
  <c r="AH92" i="15"/>
  <c r="L87" i="5"/>
  <c r="AH87" i="15"/>
  <c r="L83" i="5"/>
  <c r="AH83" i="15"/>
  <c r="L79" i="5"/>
  <c r="AH79" i="15"/>
  <c r="L70" i="5"/>
  <c r="AH70" i="15"/>
  <c r="L66" i="5"/>
  <c r="AH66" i="15"/>
  <c r="L61" i="5"/>
  <c r="AH61" i="15"/>
  <c r="L57" i="5"/>
  <c r="AH57" i="15"/>
  <c r="L53" i="5"/>
  <c r="AH53" i="15"/>
  <c r="L48" i="5"/>
  <c r="AH48" i="15"/>
  <c r="L44" i="5"/>
  <c r="AH44" i="15"/>
  <c r="L40" i="5"/>
  <c r="AH40" i="15"/>
  <c r="L36" i="5"/>
  <c r="AH36" i="15"/>
  <c r="L31" i="5"/>
  <c r="AH31" i="15"/>
  <c r="L27" i="5"/>
  <c r="AH27" i="15"/>
  <c r="L23" i="5"/>
  <c r="AH23" i="15"/>
  <c r="L18" i="5"/>
  <c r="AH18" i="15"/>
  <c r="L14" i="5"/>
  <c r="AH14" i="15"/>
  <c r="L21" i="5"/>
  <c r="AH21" i="15"/>
  <c r="L77" i="5"/>
  <c r="AH77" i="15"/>
  <c r="L133" i="5"/>
  <c r="AH133" i="15"/>
  <c r="L189" i="5"/>
  <c r="AH189" i="15"/>
  <c r="L245" i="5"/>
  <c r="AH245" i="15"/>
  <c r="L301" i="5"/>
  <c r="AH301" i="15"/>
  <c r="L357" i="5"/>
  <c r="AH357" i="15"/>
  <c r="L413" i="5"/>
  <c r="AH413" i="15"/>
  <c r="K132" i="5"/>
  <c r="AE132" i="15"/>
  <c r="K376" i="5"/>
  <c r="L438"/>
  <c r="O445"/>
  <c r="O447" s="1"/>
  <c r="G443"/>
  <c r="AB217" i="15"/>
  <c r="AB124"/>
  <c r="AE149"/>
  <c r="AH158"/>
  <c r="AH74"/>
  <c r="AH7"/>
  <c r="AE7"/>
  <c r="AB7"/>
  <c r="Y7"/>
  <c r="V7"/>
  <c r="S7"/>
  <c r="P7"/>
  <c r="E446" i="9"/>
  <c r="K235"/>
  <c r="N235" s="1"/>
  <c r="K240"/>
  <c r="N240" s="1"/>
  <c r="K163"/>
  <c r="N163" s="1"/>
  <c r="K171"/>
  <c r="N171" s="1"/>
  <c r="K139"/>
  <c r="N139" s="1"/>
  <c r="K147"/>
  <c r="N147" s="1"/>
  <c r="K107"/>
  <c r="N107" s="1"/>
  <c r="K115"/>
  <c r="N115" s="1"/>
  <c r="N99"/>
  <c r="K91"/>
  <c r="N91" s="1"/>
  <c r="K67"/>
  <c r="N67" s="1"/>
  <c r="K31"/>
  <c r="N31" s="1"/>
  <c r="K35"/>
  <c r="N35" s="1"/>
  <c r="M446"/>
  <c r="M448" s="1"/>
  <c r="K424"/>
  <c r="N424" s="1"/>
  <c r="K71"/>
  <c r="N71" s="1"/>
  <c r="H239" i="5"/>
  <c r="K15" i="9"/>
  <c r="N15" s="1"/>
  <c r="K407"/>
  <c r="N407" s="1"/>
  <c r="K183"/>
  <c r="N183" s="1"/>
  <c r="K203"/>
  <c r="N203" s="1"/>
  <c r="K215"/>
  <c r="N215" s="1"/>
  <c r="K251"/>
  <c r="N251" s="1"/>
  <c r="K303"/>
  <c r="N303" s="1"/>
  <c r="K323"/>
  <c r="N323" s="1"/>
  <c r="K327"/>
  <c r="N327" s="1"/>
  <c r="K440"/>
  <c r="N440" s="1"/>
  <c r="K232"/>
  <c r="N232" s="1"/>
  <c r="K127"/>
  <c r="N127" s="1"/>
  <c r="E162" i="5"/>
  <c r="E106"/>
  <c r="E50"/>
  <c r="K375" i="9"/>
  <c r="N375" s="1"/>
  <c r="K168"/>
  <c r="N168" s="1"/>
  <c r="K164"/>
  <c r="N164" s="1"/>
  <c r="K116"/>
  <c r="N116" s="1"/>
  <c r="K56"/>
  <c r="N56" s="1"/>
  <c r="K52"/>
  <c r="N52" s="1"/>
  <c r="K371"/>
  <c r="N371" s="1"/>
  <c r="K363"/>
  <c r="N363" s="1"/>
  <c r="K216"/>
  <c r="N216" s="1"/>
  <c r="E170" i="5"/>
  <c r="K351" i="9"/>
  <c r="N351" s="1"/>
  <c r="K408"/>
  <c r="N408" s="1"/>
  <c r="K195"/>
  <c r="N195" s="1"/>
  <c r="K211"/>
  <c r="N211" s="1"/>
  <c r="K307"/>
  <c r="N307" s="1"/>
  <c r="H378" i="5"/>
  <c r="K379" i="9"/>
  <c r="N379" s="1"/>
  <c r="H111" i="5"/>
  <c r="K112" i="9"/>
  <c r="N112" s="1"/>
  <c r="K60"/>
  <c r="N60" s="1"/>
  <c r="H59" i="5"/>
  <c r="I211"/>
  <c r="K212" i="9"/>
  <c r="N212" s="1"/>
  <c r="I207" i="5"/>
  <c r="K208" i="9"/>
  <c r="N208" s="1"/>
  <c r="I155" i="5"/>
  <c r="K156" i="9"/>
  <c r="N156" s="1"/>
  <c r="I99" i="5"/>
  <c r="K100" i="9"/>
  <c r="N100" s="1"/>
  <c r="H91" i="5"/>
  <c r="K92" i="9"/>
  <c r="N92" s="1"/>
  <c r="I175" i="5"/>
  <c r="K176" i="9"/>
  <c r="N176" s="1"/>
  <c r="E10" i="5"/>
  <c r="K11" i="9"/>
  <c r="N11" s="1"/>
  <c r="E18" i="5"/>
  <c r="K19" i="9"/>
  <c r="N19" s="1"/>
  <c r="E124" i="5"/>
  <c r="K125" i="9"/>
  <c r="N125" s="1"/>
  <c r="E128" i="5"/>
  <c r="K129" i="9"/>
  <c r="N129" s="1"/>
  <c r="K133"/>
  <c r="N133" s="1"/>
  <c r="E132" i="5"/>
  <c r="E263"/>
  <c r="K264" i="9"/>
  <c r="N264" s="1"/>
  <c r="E267" i="5"/>
  <c r="K268" i="9"/>
  <c r="N268" s="1"/>
  <c r="E271" i="5"/>
  <c r="K272" i="9"/>
  <c r="N272" s="1"/>
  <c r="E275" i="5"/>
  <c r="K276" i="9"/>
  <c r="N276" s="1"/>
  <c r="E279" i="5"/>
  <c r="K280" i="9"/>
  <c r="N280" s="1"/>
  <c r="E283" i="5"/>
  <c r="K284" i="9"/>
  <c r="N284" s="1"/>
  <c r="E287" i="5"/>
  <c r="K288" i="9"/>
  <c r="N288" s="1"/>
  <c r="E291" i="5"/>
  <c r="K292" i="9"/>
  <c r="N292" s="1"/>
  <c r="E295" i="5"/>
  <c r="K296" i="9"/>
  <c r="N296" s="1"/>
  <c r="E299" i="5"/>
  <c r="K300" i="9"/>
  <c r="N300" s="1"/>
  <c r="E307" i="5"/>
  <c r="K308" i="9"/>
  <c r="N308" s="1"/>
  <c r="E311" i="5"/>
  <c r="K312" i="9"/>
  <c r="N312" s="1"/>
  <c r="E315" i="5"/>
  <c r="K316" i="9"/>
  <c r="N316" s="1"/>
  <c r="E319" i="5"/>
  <c r="K320" i="9"/>
  <c r="N320" s="1"/>
  <c r="E323" i="5"/>
  <c r="K324" i="9"/>
  <c r="N324" s="1"/>
  <c r="E327" i="5"/>
  <c r="K328" i="9"/>
  <c r="N328" s="1"/>
  <c r="E331" i="5"/>
  <c r="K332" i="9"/>
  <c r="N332" s="1"/>
  <c r="E335" i="5"/>
  <c r="K336" i="9"/>
  <c r="N336" s="1"/>
  <c r="E339" i="5"/>
  <c r="K340" i="9"/>
  <c r="N340" s="1"/>
  <c r="E343" i="5"/>
  <c r="K344" i="9"/>
  <c r="N344" s="1"/>
  <c r="E347" i="5"/>
  <c r="K348" i="9"/>
  <c r="N348" s="1"/>
  <c r="E351" i="5"/>
  <c r="K352" i="9"/>
  <c r="N352" s="1"/>
  <c r="E355" i="5"/>
  <c r="K356" i="9"/>
  <c r="N356" s="1"/>
  <c r="E367" i="5"/>
  <c r="K368" i="9"/>
  <c r="N368" s="1"/>
  <c r="E371" i="5"/>
  <c r="K372" i="9"/>
  <c r="N372" s="1"/>
  <c r="E375" i="5"/>
  <c r="K376" i="9"/>
  <c r="N376" s="1"/>
  <c r="E391" i="5"/>
  <c r="K392" i="9"/>
  <c r="N392" s="1"/>
  <c r="E395" i="5"/>
  <c r="K396" i="9"/>
  <c r="N396" s="1"/>
  <c r="K411"/>
  <c r="N411" s="1"/>
  <c r="F410" i="5"/>
  <c r="F402"/>
  <c r="K403" i="9"/>
  <c r="N403" s="1"/>
  <c r="F354" i="5"/>
  <c r="K355" i="9"/>
  <c r="N355" s="1"/>
  <c r="F298" i="5"/>
  <c r="K299" i="9"/>
  <c r="N299" s="1"/>
  <c r="F255" i="5"/>
  <c r="K256" i="9"/>
  <c r="N256" s="1"/>
  <c r="F251" i="5"/>
  <c r="K252" i="9"/>
  <c r="N252" s="1"/>
  <c r="F247" i="5"/>
  <c r="K248" i="9"/>
  <c r="N248" s="1"/>
  <c r="F199" i="5"/>
  <c r="K200" i="9"/>
  <c r="N200" s="1"/>
  <c r="F195" i="5"/>
  <c r="K196" i="9"/>
  <c r="N196" s="1"/>
  <c r="F191" i="5"/>
  <c r="K192" i="9"/>
  <c r="N192" s="1"/>
  <c r="F143" i="5"/>
  <c r="K144" i="9"/>
  <c r="N144" s="1"/>
  <c r="F139" i="5"/>
  <c r="K140" i="9"/>
  <c r="N140" s="1"/>
  <c r="F135" i="5"/>
  <c r="K136" i="9"/>
  <c r="N136" s="1"/>
  <c r="F130" i="5"/>
  <c r="K131" i="9"/>
  <c r="N131" s="1"/>
  <c r="F87" i="5"/>
  <c r="K88" i="9"/>
  <c r="N88" s="1"/>
  <c r="K84"/>
  <c r="N84" s="1"/>
  <c r="F83" i="5"/>
  <c r="F79"/>
  <c r="K80" i="9"/>
  <c r="N80" s="1"/>
  <c r="F31" i="5"/>
  <c r="K32" i="9"/>
  <c r="N32" s="1"/>
  <c r="F27" i="5"/>
  <c r="K28" i="9"/>
  <c r="N28" s="1"/>
  <c r="F23" i="5"/>
  <c r="K24" i="9"/>
  <c r="N24" s="1"/>
  <c r="L47" i="5"/>
  <c r="K48" i="9"/>
  <c r="N48" s="1"/>
  <c r="K44"/>
  <c r="N44" s="1"/>
  <c r="L43" i="5"/>
  <c r="L39"/>
  <c r="K40" i="9"/>
  <c r="N40" s="1"/>
  <c r="L35" i="5"/>
  <c r="K36" i="9"/>
  <c r="N36" s="1"/>
  <c r="K319"/>
  <c r="N319" s="1"/>
  <c r="K255"/>
  <c r="N255" s="1"/>
  <c r="K191"/>
  <c r="N191" s="1"/>
  <c r="K159"/>
  <c r="N159" s="1"/>
  <c r="K95"/>
  <c r="N95" s="1"/>
  <c r="H374" i="5"/>
  <c r="K228" i="9"/>
  <c r="N228" s="1"/>
  <c r="I215" i="5"/>
  <c r="K431" i="9"/>
  <c r="N431" s="1"/>
  <c r="K415"/>
  <c r="N415" s="1"/>
  <c r="K391"/>
  <c r="N391" s="1"/>
  <c r="K359"/>
  <c r="N359" s="1"/>
  <c r="K295"/>
  <c r="N295" s="1"/>
  <c r="K263"/>
  <c r="N263" s="1"/>
  <c r="K231"/>
  <c r="N231" s="1"/>
  <c r="K199"/>
  <c r="N199" s="1"/>
  <c r="K167"/>
  <c r="N167" s="1"/>
  <c r="K135"/>
  <c r="N135" s="1"/>
  <c r="K103"/>
  <c r="N103" s="1"/>
  <c r="H163" i="5"/>
  <c r="H115"/>
  <c r="K53" i="9"/>
  <c r="N53" s="1"/>
  <c r="K65"/>
  <c r="N65" s="1"/>
  <c r="K69"/>
  <c r="N69" s="1"/>
  <c r="K73"/>
  <c r="N73" s="1"/>
  <c r="K93"/>
  <c r="N93" s="1"/>
  <c r="K97"/>
  <c r="N97" s="1"/>
  <c r="K105"/>
  <c r="N105" s="1"/>
  <c r="K113"/>
  <c r="N113" s="1"/>
  <c r="K121"/>
  <c r="N121" s="1"/>
  <c r="K145"/>
  <c r="N145" s="1"/>
  <c r="K173"/>
  <c r="N173" s="1"/>
  <c r="K181"/>
  <c r="N181" s="1"/>
  <c r="K189"/>
  <c r="N189" s="1"/>
  <c r="K260"/>
  <c r="N260" s="1"/>
  <c r="K304"/>
  <c r="N304" s="1"/>
  <c r="K360"/>
  <c r="N360" s="1"/>
  <c r="K364"/>
  <c r="N364" s="1"/>
  <c r="K380"/>
  <c r="N380" s="1"/>
  <c r="K384"/>
  <c r="N384" s="1"/>
  <c r="K388"/>
  <c r="N388" s="1"/>
  <c r="K429"/>
  <c r="N429" s="1"/>
  <c r="K433"/>
  <c r="N433" s="1"/>
  <c r="K441"/>
  <c r="N441" s="1"/>
  <c r="K420"/>
  <c r="N420" s="1"/>
  <c r="K347"/>
  <c r="N347" s="1"/>
  <c r="K291"/>
  <c r="N291" s="1"/>
  <c r="K123"/>
  <c r="N123" s="1"/>
  <c r="K432"/>
  <c r="N432" s="1"/>
  <c r="K416"/>
  <c r="N416" s="1"/>
  <c r="K399"/>
  <c r="N399" s="1"/>
  <c r="K367"/>
  <c r="N367" s="1"/>
  <c r="K335"/>
  <c r="N335" s="1"/>
  <c r="K271"/>
  <c r="N271" s="1"/>
  <c r="K239"/>
  <c r="N239" s="1"/>
  <c r="K207"/>
  <c r="N207" s="1"/>
  <c r="K175"/>
  <c r="N175" s="1"/>
  <c r="K143"/>
  <c r="N143" s="1"/>
  <c r="K111"/>
  <c r="N111" s="1"/>
  <c r="K79"/>
  <c r="N79" s="1"/>
  <c r="K47"/>
  <c r="N47" s="1"/>
  <c r="K259"/>
  <c r="N259" s="1"/>
  <c r="K267"/>
  <c r="N267" s="1"/>
  <c r="K315"/>
  <c r="N315" s="1"/>
  <c r="K419"/>
  <c r="N419" s="1"/>
  <c r="K427"/>
  <c r="N427" s="1"/>
  <c r="H223" i="5"/>
  <c r="K224" i="9"/>
  <c r="N224" s="1"/>
  <c r="K172"/>
  <c r="N172" s="1"/>
  <c r="H171" i="5"/>
  <c r="K108" i="9"/>
  <c r="N108" s="1"/>
  <c r="H107" i="5"/>
  <c r="H63"/>
  <c r="K64" i="9"/>
  <c r="N64" s="1"/>
  <c r="I159" i="5"/>
  <c r="K160" i="9"/>
  <c r="N160" s="1"/>
  <c r="I151" i="5"/>
  <c r="K152" i="9"/>
  <c r="N152" s="1"/>
  <c r="I103" i="5"/>
  <c r="K104" i="9"/>
  <c r="N104" s="1"/>
  <c r="I95" i="5"/>
  <c r="K96" i="9"/>
  <c r="N96" s="1"/>
  <c r="I399" i="5"/>
  <c r="K400" i="9"/>
  <c r="N400" s="1"/>
  <c r="E119" i="5"/>
  <c r="K120" i="9"/>
  <c r="N120" s="1"/>
  <c r="K124"/>
  <c r="N124" s="1"/>
  <c r="E123" i="5"/>
  <c r="E386"/>
  <c r="K387" i="9"/>
  <c r="N387" s="1"/>
  <c r="E394" i="5"/>
  <c r="K395" i="9"/>
  <c r="N395" s="1"/>
  <c r="K402"/>
  <c r="N402" s="1"/>
  <c r="E401" i="5"/>
  <c r="K406" i="9"/>
  <c r="N406" s="1"/>
  <c r="E405" i="5"/>
  <c r="E425"/>
  <c r="K426" i="9"/>
  <c r="N426" s="1"/>
  <c r="E427" i="5"/>
  <c r="K428" i="9"/>
  <c r="N428" s="1"/>
  <c r="E442" i="5"/>
  <c r="K443" i="9"/>
  <c r="N443" s="1"/>
  <c r="H183" i="5"/>
  <c r="K184" i="9"/>
  <c r="N184" s="1"/>
  <c r="H71" i="5"/>
  <c r="K72" i="9"/>
  <c r="N72" s="1"/>
  <c r="H15" i="5"/>
  <c r="K16" i="9"/>
  <c r="N16" s="1"/>
  <c r="H147" i="5"/>
  <c r="K148" i="9"/>
  <c r="N148" s="1"/>
  <c r="H203" i="5"/>
  <c r="K204" i="9"/>
  <c r="N204" s="1"/>
  <c r="H443" i="5"/>
  <c r="K444" i="9"/>
  <c r="N444" s="1"/>
  <c r="K383"/>
  <c r="N383" s="1"/>
  <c r="K287"/>
  <c r="N287" s="1"/>
  <c r="K223"/>
  <c r="N223" s="1"/>
  <c r="K39"/>
  <c r="N39" s="1"/>
  <c r="H167" i="5"/>
  <c r="H51"/>
  <c r="I362"/>
  <c r="K128" i="9"/>
  <c r="N128" s="1"/>
  <c r="K132"/>
  <c r="N132" s="1"/>
  <c r="K218"/>
  <c r="N218" s="1"/>
  <c r="K222"/>
  <c r="N222" s="1"/>
  <c r="K226"/>
  <c r="N226" s="1"/>
  <c r="K230"/>
  <c r="N230" s="1"/>
  <c r="K410"/>
  <c r="N410" s="1"/>
  <c r="K414"/>
  <c r="N414" s="1"/>
  <c r="K418"/>
  <c r="N418" s="1"/>
  <c r="K422"/>
  <c r="N422" s="1"/>
  <c r="K436"/>
  <c r="N436" s="1"/>
  <c r="K331"/>
  <c r="N331" s="1"/>
  <c r="K227"/>
  <c r="N227" s="1"/>
  <c r="K439"/>
  <c r="N439" s="1"/>
  <c r="K423"/>
  <c r="N423" s="1"/>
  <c r="K343"/>
  <c r="N343" s="1"/>
  <c r="K311"/>
  <c r="N311" s="1"/>
  <c r="K279"/>
  <c r="N279" s="1"/>
  <c r="K247"/>
  <c r="N247" s="1"/>
  <c r="K151"/>
  <c r="N151" s="1"/>
  <c r="K119"/>
  <c r="N119" s="1"/>
  <c r="K87"/>
  <c r="N87" s="1"/>
  <c r="K55"/>
  <c r="N55" s="1"/>
  <c r="K23"/>
  <c r="N23" s="1"/>
  <c r="E13" i="5"/>
  <c r="K14" i="9"/>
  <c r="N14" s="1"/>
  <c r="E17" i="5"/>
  <c r="K18" i="9"/>
  <c r="N18" s="1"/>
  <c r="E189" i="5"/>
  <c r="K190" i="9"/>
  <c r="N190" s="1"/>
  <c r="E193" i="5"/>
  <c r="K194" i="9"/>
  <c r="N194" s="1"/>
  <c r="E197" i="5"/>
  <c r="K198" i="9"/>
  <c r="N198" s="1"/>
  <c r="E220" i="5"/>
  <c r="K221" i="9"/>
  <c r="N221" s="1"/>
  <c r="E224" i="5"/>
  <c r="K225" i="9"/>
  <c r="N225" s="1"/>
  <c r="E228" i="5"/>
  <c r="K229" i="9"/>
  <c r="N229" s="1"/>
  <c r="E400" i="5"/>
  <c r="K401" i="9"/>
  <c r="N401" s="1"/>
  <c r="E404" i="5"/>
  <c r="K405" i="9"/>
  <c r="N405" s="1"/>
  <c r="E408" i="5"/>
  <c r="K409" i="9"/>
  <c r="N409" s="1"/>
  <c r="E412" i="5"/>
  <c r="K413" i="9"/>
  <c r="N413" s="1"/>
  <c r="E416" i="5"/>
  <c r="K417" i="9"/>
  <c r="N417" s="1"/>
  <c r="E420" i="5"/>
  <c r="K421" i="9"/>
  <c r="N421" s="1"/>
  <c r="E424" i="5"/>
  <c r="K425" i="9"/>
  <c r="N425" s="1"/>
  <c r="E441" i="5"/>
  <c r="K442" i="9"/>
  <c r="N442" s="1"/>
  <c r="K10"/>
  <c r="N10" s="1"/>
  <c r="K202"/>
  <c r="N202" s="1"/>
  <c r="K206"/>
  <c r="N206" s="1"/>
  <c r="K210"/>
  <c r="N210" s="1"/>
  <c r="K214"/>
  <c r="N214" s="1"/>
  <c r="K246"/>
  <c r="N246" s="1"/>
  <c r="K250"/>
  <c r="N250" s="1"/>
  <c r="K254"/>
  <c r="N254" s="1"/>
  <c r="K258"/>
  <c r="N258" s="1"/>
  <c r="K262"/>
  <c r="N262" s="1"/>
  <c r="K274"/>
  <c r="N274" s="1"/>
  <c r="K278"/>
  <c r="N278" s="1"/>
  <c r="K282"/>
  <c r="N282" s="1"/>
  <c r="K286"/>
  <c r="N286" s="1"/>
  <c r="K298"/>
  <c r="N298" s="1"/>
  <c r="K306"/>
  <c r="N306" s="1"/>
  <c r="K314"/>
  <c r="N314" s="1"/>
  <c r="K330"/>
  <c r="N330" s="1"/>
  <c r="K334"/>
  <c r="N334" s="1"/>
  <c r="K342"/>
  <c r="N342" s="1"/>
  <c r="K346"/>
  <c r="N346" s="1"/>
  <c r="K374"/>
  <c r="N374" s="1"/>
  <c r="K378"/>
  <c r="N378" s="1"/>
  <c r="K386"/>
  <c r="N386" s="1"/>
  <c r="K435"/>
  <c r="N435" s="1"/>
  <c r="K339"/>
  <c r="N339" s="1"/>
  <c r="K283"/>
  <c r="N283" s="1"/>
  <c r="K275"/>
  <c r="N275" s="1"/>
  <c r="K243"/>
  <c r="N243" s="1"/>
  <c r="K219"/>
  <c r="N219" s="1"/>
  <c r="K187"/>
  <c r="N187" s="1"/>
  <c r="K179"/>
  <c r="N179" s="1"/>
  <c r="K155"/>
  <c r="N155" s="1"/>
  <c r="K83"/>
  <c r="N83" s="1"/>
  <c r="K75"/>
  <c r="N75" s="1"/>
  <c r="K59"/>
  <c r="N59" s="1"/>
  <c r="K43"/>
  <c r="N43" s="1"/>
  <c r="K27"/>
  <c r="N27" s="1"/>
  <c r="E29" i="5"/>
  <c r="K30" i="9"/>
  <c r="N30" s="1"/>
  <c r="E33" i="5"/>
  <c r="K34" i="9"/>
  <c r="N34" s="1"/>
  <c r="E37" i="5"/>
  <c r="K38" i="9"/>
  <c r="N38" s="1"/>
  <c r="E53" i="5"/>
  <c r="K54" i="9"/>
  <c r="N54" s="1"/>
  <c r="E57" i="5"/>
  <c r="K58" i="9"/>
  <c r="N58" s="1"/>
  <c r="E61" i="5"/>
  <c r="K62" i="9"/>
  <c r="N62" s="1"/>
  <c r="E65" i="5"/>
  <c r="K66" i="9"/>
  <c r="N66" s="1"/>
  <c r="E69" i="5"/>
  <c r="K70" i="9"/>
  <c r="N70" s="1"/>
  <c r="E85" i="5"/>
  <c r="K86" i="9"/>
  <c r="N86" s="1"/>
  <c r="E109" i="5"/>
  <c r="K110" i="9"/>
  <c r="N110" s="1"/>
  <c r="E113" i="5"/>
  <c r="K114" i="9"/>
  <c r="N114" s="1"/>
  <c r="E117" i="5"/>
  <c r="K118" i="9"/>
  <c r="N118" s="1"/>
  <c r="E133" i="5"/>
  <c r="K134" i="9"/>
  <c r="N134" s="1"/>
  <c r="E137" i="5"/>
  <c r="K138" i="9"/>
  <c r="N138" s="1"/>
  <c r="E141" i="5"/>
  <c r="K142" i="9"/>
  <c r="N142" s="1"/>
  <c r="E145" i="5"/>
  <c r="K146" i="9"/>
  <c r="N146" s="1"/>
  <c r="E153" i="5"/>
  <c r="K154" i="9"/>
  <c r="N154" s="1"/>
  <c r="E161" i="5"/>
  <c r="K162" i="9"/>
  <c r="N162" s="1"/>
  <c r="E165" i="5"/>
  <c r="K166" i="9"/>
  <c r="N166" s="1"/>
  <c r="E169" i="5"/>
  <c r="K170" i="9"/>
  <c r="N170" s="1"/>
  <c r="E173" i="5"/>
  <c r="K174" i="9"/>
  <c r="N174" s="1"/>
  <c r="E177" i="5"/>
  <c r="K178" i="9"/>
  <c r="N178" s="1"/>
  <c r="E181" i="5"/>
  <c r="K182" i="9"/>
  <c r="N182" s="1"/>
  <c r="E185" i="5"/>
  <c r="K186" i="9"/>
  <c r="N186" s="1"/>
  <c r="E192" i="5"/>
  <c r="K193" i="9"/>
  <c r="N193" s="1"/>
  <c r="E196" i="5"/>
  <c r="K197" i="9"/>
  <c r="N197" s="1"/>
  <c r="E200" i="5"/>
  <c r="K201" i="9"/>
  <c r="N201" s="1"/>
  <c r="E204" i="5"/>
  <c r="K205" i="9"/>
  <c r="N205" s="1"/>
  <c r="E208" i="5"/>
  <c r="K209" i="9"/>
  <c r="N209" s="1"/>
  <c r="E212" i="5"/>
  <c r="K213" i="9"/>
  <c r="N213" s="1"/>
  <c r="E216" i="5"/>
  <c r="K217" i="9"/>
  <c r="N217" s="1"/>
  <c r="E237" i="5"/>
  <c r="K238" i="9"/>
  <c r="N238" s="1"/>
  <c r="E241" i="5"/>
  <c r="K242" i="9"/>
  <c r="N242" s="1"/>
  <c r="E248" i="5"/>
  <c r="K249" i="9"/>
  <c r="N249" s="1"/>
  <c r="E252" i="5"/>
  <c r="K253" i="9"/>
  <c r="N253" s="1"/>
  <c r="E256" i="5"/>
  <c r="K257" i="9"/>
  <c r="N257" s="1"/>
  <c r="E260" i="5"/>
  <c r="K261" i="9"/>
  <c r="N261" s="1"/>
  <c r="E264" i="5"/>
  <c r="K265" i="9"/>
  <c r="N265" s="1"/>
  <c r="E268" i="5"/>
  <c r="K269" i="9"/>
  <c r="N269" s="1"/>
  <c r="K273"/>
  <c r="N273" s="1"/>
  <c r="E272" i="5"/>
  <c r="E276"/>
  <c r="K277" i="9"/>
  <c r="N277" s="1"/>
  <c r="E280" i="5"/>
  <c r="K281" i="9"/>
  <c r="N281" s="1"/>
  <c r="E284" i="5"/>
  <c r="K285" i="9"/>
  <c r="N285" s="1"/>
  <c r="E288" i="5"/>
  <c r="K289" i="9"/>
  <c r="N289" s="1"/>
  <c r="E308" i="5"/>
  <c r="K309" i="9"/>
  <c r="N309" s="1"/>
  <c r="E312" i="5"/>
  <c r="K313" i="9"/>
  <c r="N313" s="1"/>
  <c r="E316" i="5"/>
  <c r="K317" i="9"/>
  <c r="N317" s="1"/>
  <c r="E320" i="5"/>
  <c r="K321" i="9"/>
  <c r="N321" s="1"/>
  <c r="E324" i="5"/>
  <c r="K325" i="9"/>
  <c r="N325" s="1"/>
  <c r="E328" i="5"/>
  <c r="K329" i="9"/>
  <c r="N329" s="1"/>
  <c r="E332" i="5"/>
  <c r="K333" i="9"/>
  <c r="N333" s="1"/>
  <c r="E336" i="5"/>
  <c r="K337" i="9"/>
  <c r="N337" s="1"/>
  <c r="E340" i="5"/>
  <c r="K341" i="9"/>
  <c r="N341" s="1"/>
  <c r="E348" i="5"/>
  <c r="K349" i="9"/>
  <c r="N349" s="1"/>
  <c r="E352" i="5"/>
  <c r="K353" i="9"/>
  <c r="N353" s="1"/>
  <c r="E356" i="5"/>
  <c r="K357" i="9"/>
  <c r="N357" s="1"/>
  <c r="E368" i="5"/>
  <c r="K369" i="9"/>
  <c r="N369" s="1"/>
  <c r="E380" i="5"/>
  <c r="K381" i="9"/>
  <c r="N381" s="1"/>
  <c r="K21"/>
  <c r="N21" s="1"/>
  <c r="K22"/>
  <c r="N22" s="1"/>
  <c r="K26"/>
  <c r="N26" s="1"/>
  <c r="K42"/>
  <c r="N42" s="1"/>
  <c r="K46"/>
  <c r="N46" s="1"/>
  <c r="K50"/>
  <c r="N50" s="1"/>
  <c r="K74"/>
  <c r="N74" s="1"/>
  <c r="K78"/>
  <c r="N78" s="1"/>
  <c r="K82"/>
  <c r="N82" s="1"/>
  <c r="K90"/>
  <c r="N90" s="1"/>
  <c r="K94"/>
  <c r="N94" s="1"/>
  <c r="K98"/>
  <c r="N98" s="1"/>
  <c r="K102"/>
  <c r="N102" s="1"/>
  <c r="K106"/>
  <c r="N106" s="1"/>
  <c r="K150"/>
  <c r="N150" s="1"/>
  <c r="K158"/>
  <c r="N158" s="1"/>
  <c r="K234"/>
  <c r="N234" s="1"/>
  <c r="K293"/>
  <c r="N293" s="1"/>
  <c r="K297"/>
  <c r="N297" s="1"/>
  <c r="K301"/>
  <c r="N301" s="1"/>
  <c r="K305"/>
  <c r="N305" s="1"/>
  <c r="K345"/>
  <c r="N345" s="1"/>
  <c r="K361"/>
  <c r="N361" s="1"/>
  <c r="K365"/>
  <c r="N365" s="1"/>
  <c r="K373"/>
  <c r="N373" s="1"/>
  <c r="K377"/>
  <c r="N377" s="1"/>
  <c r="K385"/>
  <c r="N385" s="1"/>
  <c r="K393"/>
  <c r="N393" s="1"/>
  <c r="K445"/>
  <c r="N445" s="1"/>
  <c r="K412"/>
  <c r="N412" s="1"/>
  <c r="K404"/>
  <c r="N404" s="1"/>
  <c r="K244"/>
  <c r="N244" s="1"/>
  <c r="K236"/>
  <c r="N236" s="1"/>
  <c r="K220"/>
  <c r="N220" s="1"/>
  <c r="K188"/>
  <c r="N188" s="1"/>
  <c r="K180"/>
  <c r="N180" s="1"/>
  <c r="K76"/>
  <c r="N76" s="1"/>
  <c r="K68"/>
  <c r="N68" s="1"/>
  <c r="K20"/>
  <c r="N20" s="1"/>
  <c r="K12"/>
  <c r="N12" s="1"/>
  <c r="K437"/>
  <c r="N437" s="1"/>
  <c r="K397"/>
  <c r="N397" s="1"/>
  <c r="K389"/>
  <c r="N389" s="1"/>
  <c r="K245"/>
  <c r="N245" s="1"/>
  <c r="K241"/>
  <c r="N241" s="1"/>
  <c r="K237"/>
  <c r="N237" s="1"/>
  <c r="K233"/>
  <c r="N233" s="1"/>
  <c r="K185"/>
  <c r="N185" s="1"/>
  <c r="K177"/>
  <c r="N177" s="1"/>
  <c r="K169"/>
  <c r="N169" s="1"/>
  <c r="K165"/>
  <c r="N165" s="1"/>
  <c r="K161"/>
  <c r="N161" s="1"/>
  <c r="K157"/>
  <c r="N157" s="1"/>
  <c r="K153"/>
  <c r="N153" s="1"/>
  <c r="K149"/>
  <c r="N149" s="1"/>
  <c r="K141"/>
  <c r="N141" s="1"/>
  <c r="K137"/>
  <c r="N137" s="1"/>
  <c r="K117"/>
  <c r="N117" s="1"/>
  <c r="K109"/>
  <c r="N109" s="1"/>
  <c r="K101"/>
  <c r="N101" s="1"/>
  <c r="K89"/>
  <c r="N89" s="1"/>
  <c r="K85"/>
  <c r="N85" s="1"/>
  <c r="K81"/>
  <c r="N81" s="1"/>
  <c r="K77"/>
  <c r="N77" s="1"/>
  <c r="K61"/>
  <c r="N61" s="1"/>
  <c r="K57"/>
  <c r="N57" s="1"/>
  <c r="K49"/>
  <c r="N49" s="1"/>
  <c r="K45"/>
  <c r="N45" s="1"/>
  <c r="K41"/>
  <c r="N41" s="1"/>
  <c r="K37"/>
  <c r="N37" s="1"/>
  <c r="K33"/>
  <c r="N33" s="1"/>
  <c r="K29"/>
  <c r="N29" s="1"/>
  <c r="K25"/>
  <c r="N25" s="1"/>
  <c r="K17"/>
  <c r="N17" s="1"/>
  <c r="K13"/>
  <c r="N13" s="1"/>
  <c r="K9"/>
  <c r="N9" s="1"/>
  <c r="E385" i="5"/>
  <c r="K438" i="9"/>
  <c r="N438" s="1"/>
  <c r="K434"/>
  <c r="N434" s="1"/>
  <c r="K430"/>
  <c r="N430" s="1"/>
  <c r="K398"/>
  <c r="N398" s="1"/>
  <c r="K394"/>
  <c r="N394" s="1"/>
  <c r="K390"/>
  <c r="N390" s="1"/>
  <c r="K382"/>
  <c r="N382" s="1"/>
  <c r="K370"/>
  <c r="N370" s="1"/>
  <c r="K366"/>
  <c r="N366" s="1"/>
  <c r="K362"/>
  <c r="N362" s="1"/>
  <c r="K358"/>
  <c r="N358" s="1"/>
  <c r="K354"/>
  <c r="N354" s="1"/>
  <c r="K350"/>
  <c r="N350" s="1"/>
  <c r="K338"/>
  <c r="N338" s="1"/>
  <c r="K326"/>
  <c r="N326" s="1"/>
  <c r="K322"/>
  <c r="N322" s="1"/>
  <c r="K318"/>
  <c r="N318" s="1"/>
  <c r="K310"/>
  <c r="N310" s="1"/>
  <c r="K302"/>
  <c r="N302" s="1"/>
  <c r="K294"/>
  <c r="N294" s="1"/>
  <c r="K290"/>
  <c r="N290" s="1"/>
  <c r="K270"/>
  <c r="N270" s="1"/>
  <c r="K266"/>
  <c r="N266" s="1"/>
  <c r="K130"/>
  <c r="N130" s="1"/>
  <c r="K126"/>
  <c r="N126" s="1"/>
  <c r="K122"/>
  <c r="N122" s="1"/>
  <c r="J446"/>
  <c r="J448" s="1"/>
  <c r="I446"/>
  <c r="I448" s="1"/>
  <c r="H446"/>
  <c r="H448" s="1"/>
  <c r="J353" i="5"/>
  <c r="G446" i="9"/>
  <c r="G448" s="1"/>
  <c r="F446"/>
  <c r="F448" s="1"/>
  <c r="E313" i="5"/>
  <c r="E229"/>
  <c r="E81"/>
  <c r="F118"/>
  <c r="E379"/>
  <c r="F349"/>
  <c r="F321"/>
  <c r="F60"/>
  <c r="F145"/>
  <c r="F140"/>
  <c r="F141"/>
  <c r="F248"/>
  <c r="F152"/>
  <c r="F308"/>
  <c r="F292"/>
  <c r="F233"/>
  <c r="F180"/>
  <c r="F132"/>
  <c r="F116"/>
  <c r="F381"/>
  <c r="F168"/>
  <c r="F56"/>
  <c r="F352"/>
  <c r="F256"/>
  <c r="F160"/>
  <c r="F80"/>
  <c r="F420"/>
  <c r="F396"/>
  <c r="F215"/>
  <c r="E428"/>
  <c r="E435"/>
  <c r="E417"/>
  <c r="E421"/>
  <c r="E413"/>
  <c r="E426"/>
  <c r="E422"/>
  <c r="E418"/>
  <c r="E414"/>
  <c r="E409"/>
  <c r="E406"/>
  <c r="E399"/>
  <c r="E383"/>
  <c r="E378"/>
  <c r="E377"/>
  <c r="E376"/>
  <c r="E370"/>
  <c r="E366"/>
  <c r="E364"/>
  <c r="E363"/>
  <c r="E362"/>
  <c r="E360"/>
  <c r="E354"/>
  <c r="E345"/>
  <c r="E333"/>
  <c r="E329"/>
  <c r="E342"/>
  <c r="E338"/>
  <c r="E334"/>
  <c r="E330"/>
  <c r="E306"/>
  <c r="E305"/>
  <c r="E304"/>
  <c r="E300"/>
  <c r="E298"/>
  <c r="E285"/>
  <c r="E281"/>
  <c r="E277"/>
  <c r="E273"/>
  <c r="E259"/>
  <c r="E257"/>
  <c r="E253"/>
  <c r="E249"/>
  <c r="E245"/>
  <c r="E234"/>
  <c r="E225"/>
  <c r="E223"/>
  <c r="E222"/>
  <c r="E221"/>
  <c r="E217"/>
  <c r="E207"/>
  <c r="E203"/>
  <c r="E201"/>
  <c r="E190"/>
  <c r="E174"/>
  <c r="E172"/>
  <c r="E157"/>
  <c r="E149"/>
  <c r="E144"/>
  <c r="E146"/>
  <c r="E138"/>
  <c r="E131"/>
  <c r="E130"/>
  <c r="E127"/>
  <c r="E120"/>
  <c r="E114"/>
  <c r="E112"/>
  <c r="E111"/>
  <c r="E110"/>
  <c r="E105"/>
  <c r="E92"/>
  <c r="E98"/>
  <c r="E96"/>
  <c r="E94"/>
  <c r="E101"/>
  <c r="E97"/>
  <c r="E93"/>
  <c r="E90"/>
  <c r="E89"/>
  <c r="E87"/>
  <c r="E77"/>
  <c r="E64"/>
  <c r="E66"/>
  <c r="E62"/>
  <c r="E54"/>
  <c r="E52"/>
  <c r="E49"/>
  <c r="E46"/>
  <c r="E45"/>
  <c r="E41"/>
  <c r="F32"/>
  <c r="E25"/>
  <c r="E34"/>
  <c r="E30"/>
  <c r="E22"/>
  <c r="E21"/>
  <c r="K8" i="9"/>
  <c r="E14" i="5"/>
  <c r="E11"/>
  <c r="E9"/>
  <c r="E20"/>
  <c r="E7"/>
  <c r="M7" s="1"/>
  <c r="P7" s="1"/>
  <c r="C446" i="9"/>
  <c r="C448" s="1"/>
  <c r="H445" i="15"/>
  <c r="L37" i="2"/>
  <c r="N37" s="1"/>
  <c r="L36"/>
  <c r="N36" s="1"/>
  <c r="L40"/>
  <c r="N40" s="1"/>
  <c r="L39"/>
  <c r="N39" s="1"/>
  <c r="L38"/>
  <c r="N38" s="1"/>
  <c r="L35"/>
  <c r="N35" s="1"/>
  <c r="Q772" i="1"/>
  <c r="Q888"/>
  <c r="Q859"/>
  <c r="Q830"/>
  <c r="Q801"/>
  <c r="Q917"/>
  <c r="D76"/>
  <c r="E76"/>
  <c r="F76"/>
  <c r="G76"/>
  <c r="H76"/>
  <c r="I76"/>
  <c r="J76"/>
  <c r="K76"/>
  <c r="L76"/>
  <c r="M76"/>
  <c r="N76"/>
  <c r="O76"/>
  <c r="P76"/>
  <c r="C76"/>
  <c r="D47"/>
  <c r="E47"/>
  <c r="F47"/>
  <c r="G47"/>
  <c r="H47"/>
  <c r="I47"/>
  <c r="J47"/>
  <c r="K47"/>
  <c r="L47"/>
  <c r="M47"/>
  <c r="N47"/>
  <c r="O47"/>
  <c r="P47"/>
  <c r="C47"/>
  <c r="C18"/>
  <c r="D18"/>
  <c r="E18"/>
  <c r="F18"/>
  <c r="G18"/>
  <c r="H18"/>
  <c r="I18"/>
  <c r="J18"/>
  <c r="K18"/>
  <c r="L18"/>
  <c r="M18"/>
  <c r="N18"/>
  <c r="O18"/>
  <c r="P18"/>
  <c r="R18"/>
  <c r="Q9"/>
  <c r="Q10"/>
  <c r="Q11"/>
  <c r="Q12"/>
  <c r="Q14"/>
  <c r="Q15"/>
  <c r="Q16"/>
  <c r="K9" i="2" s="1"/>
  <c r="Q17" i="1"/>
  <c r="S17" s="1"/>
  <c r="R46" s="1"/>
  <c r="Q67"/>
  <c r="Q68"/>
  <c r="E11" i="2" s="1"/>
  <c r="Q69" i="1"/>
  <c r="F11" i="2" s="1"/>
  <c r="Q70" i="1"/>
  <c r="G11" i="2" s="1"/>
  <c r="Q71" i="1"/>
  <c r="H11" i="2" s="1"/>
  <c r="Q72" i="1"/>
  <c r="I11" i="2" s="1"/>
  <c r="Q73" i="1"/>
  <c r="J11" i="2" s="1"/>
  <c r="Q74" i="1"/>
  <c r="K11" i="2" s="1"/>
  <c r="Q66" i="1"/>
  <c r="C11" i="2" s="1"/>
  <c r="Q8" i="1"/>
  <c r="C9" i="2" s="1"/>
  <c r="D743" i="1"/>
  <c r="E743"/>
  <c r="F743"/>
  <c r="G743"/>
  <c r="H743"/>
  <c r="I743"/>
  <c r="J743"/>
  <c r="K743"/>
  <c r="L743"/>
  <c r="M743"/>
  <c r="N743"/>
  <c r="O743"/>
  <c r="P743"/>
  <c r="Q733"/>
  <c r="C34" i="2" s="1"/>
  <c r="Q734" i="1"/>
  <c r="D34" i="2" s="1"/>
  <c r="AI197" i="15" l="1"/>
  <c r="AJ197" s="1"/>
  <c r="AI261"/>
  <c r="AJ261" s="1"/>
  <c r="AI136"/>
  <c r="AJ136" s="1"/>
  <c r="M317" i="5"/>
  <c r="P317" s="1"/>
  <c r="AI436" i="15"/>
  <c r="M149" i="5"/>
  <c r="P149" s="1"/>
  <c r="M101"/>
  <c r="P101" s="1"/>
  <c r="M197"/>
  <c r="P197" s="1"/>
  <c r="M264"/>
  <c r="P264" s="1"/>
  <c r="M161"/>
  <c r="P161" s="1"/>
  <c r="AI56" i="15"/>
  <c r="AJ56" s="1"/>
  <c r="M180" i="5"/>
  <c r="P180" s="1"/>
  <c r="M330"/>
  <c r="P330" s="1"/>
  <c r="AI152" i="15"/>
  <c r="AJ152" s="1"/>
  <c r="AI65"/>
  <c r="AJ65" s="1"/>
  <c r="AI184"/>
  <c r="AJ184" s="1"/>
  <c r="AI185"/>
  <c r="AJ185" s="1"/>
  <c r="M290" i="5"/>
  <c r="P290" s="1"/>
  <c r="AI121" i="15"/>
  <c r="AJ121" s="1"/>
  <c r="M84" i="5"/>
  <c r="P84" s="1"/>
  <c r="M250"/>
  <c r="P250" s="1"/>
  <c r="M182"/>
  <c r="P182" s="1"/>
  <c r="M75"/>
  <c r="P75" s="1"/>
  <c r="M154"/>
  <c r="P154" s="1"/>
  <c r="M282"/>
  <c r="P282" s="1"/>
  <c r="AI376" i="15"/>
  <c r="AJ376" s="1"/>
  <c r="AI168"/>
  <c r="AJ168" s="1"/>
  <c r="AI88"/>
  <c r="AJ88" s="1"/>
  <c r="AI360"/>
  <c r="AJ360" s="1"/>
  <c r="AI377"/>
  <c r="AJ377" s="1"/>
  <c r="AI321"/>
  <c r="AJ321" s="1"/>
  <c r="AI241"/>
  <c r="AJ241" s="1"/>
  <c r="AI424"/>
  <c r="AJ424" s="1"/>
  <c r="M55" i="5"/>
  <c r="P55" s="1"/>
  <c r="M125"/>
  <c r="P125" s="1"/>
  <c r="M97"/>
  <c r="P97" s="1"/>
  <c r="M201"/>
  <c r="P201" s="1"/>
  <c r="M334"/>
  <c r="P334" s="1"/>
  <c r="M81"/>
  <c r="P81" s="1"/>
  <c r="M179"/>
  <c r="P179" s="1"/>
  <c r="M274"/>
  <c r="P274" s="1"/>
  <c r="M337"/>
  <c r="P337" s="1"/>
  <c r="M19"/>
  <c r="P19" s="1"/>
  <c r="AI264" i="15"/>
  <c r="AJ264" s="1"/>
  <c r="AI281"/>
  <c r="AJ281" s="1"/>
  <c r="AI312"/>
  <c r="AJ312" s="1"/>
  <c r="M62" i="5"/>
  <c r="P62" s="1"/>
  <c r="M89"/>
  <c r="P89" s="1"/>
  <c r="M237"/>
  <c r="P237" s="1"/>
  <c r="M117"/>
  <c r="P117" s="1"/>
  <c r="AI57" i="15"/>
  <c r="AJ57" s="1"/>
  <c r="AI345"/>
  <c r="AJ345" s="1"/>
  <c r="AI344"/>
  <c r="AJ344" s="1"/>
  <c r="M242" i="5"/>
  <c r="P242" s="1"/>
  <c r="M229"/>
  <c r="P229" s="1"/>
  <c r="M427"/>
  <c r="P427" s="1"/>
  <c r="M123"/>
  <c r="P123" s="1"/>
  <c r="AI193" i="15"/>
  <c r="AJ193" s="1"/>
  <c r="M349" i="5"/>
  <c r="P349" s="1"/>
  <c r="M435"/>
  <c r="P435" s="1"/>
  <c r="M347"/>
  <c r="P347" s="1"/>
  <c r="AI217" i="15"/>
  <c r="AJ217" s="1"/>
  <c r="M235" i="5"/>
  <c r="P235" s="1"/>
  <c r="M210"/>
  <c r="P210" s="1"/>
  <c r="M227"/>
  <c r="P227" s="1"/>
  <c r="M390"/>
  <c r="P390" s="1"/>
  <c r="M185"/>
  <c r="P185" s="1"/>
  <c r="M189"/>
  <c r="P189" s="1"/>
  <c r="M440"/>
  <c r="P440" s="1"/>
  <c r="M169"/>
  <c r="P169" s="1"/>
  <c r="AI232" i="15"/>
  <c r="AJ232" s="1"/>
  <c r="AI320"/>
  <c r="AJ320" s="1"/>
  <c r="AI22"/>
  <c r="AJ22" s="1"/>
  <c r="AI353"/>
  <c r="AJ353" s="1"/>
  <c r="AI82"/>
  <c r="AJ82" s="1"/>
  <c r="AI180"/>
  <c r="AJ180" s="1"/>
  <c r="M429" i="5"/>
  <c r="P429" s="1"/>
  <c r="M24"/>
  <c r="P24" s="1"/>
  <c r="AI263" i="15"/>
  <c r="AJ263" s="1"/>
  <c r="M430" i="5"/>
  <c r="P430" s="1"/>
  <c r="M188"/>
  <c r="P188" s="1"/>
  <c r="AI313" i="15"/>
  <c r="AJ313" s="1"/>
  <c r="M261" i="5"/>
  <c r="P261" s="1"/>
  <c r="M26"/>
  <c r="P26" s="1"/>
  <c r="AI190" i="15"/>
  <c r="AJ190" s="1"/>
  <c r="M214" i="5"/>
  <c r="P214" s="1"/>
  <c r="M365"/>
  <c r="P365" s="1"/>
  <c r="AI381" i="15"/>
  <c r="AJ381" s="1"/>
  <c r="AI76"/>
  <c r="AJ76" s="1"/>
  <c r="AI154"/>
  <c r="AJ154" s="1"/>
  <c r="M411" i="5"/>
  <c r="P411" s="1"/>
  <c r="M164"/>
  <c r="P164" s="1"/>
  <c r="AI8" i="15"/>
  <c r="AJ8" s="1"/>
  <c r="AI440"/>
  <c r="M309" i="5"/>
  <c r="P309" s="1"/>
  <c r="AI342" i="15"/>
  <c r="AJ342" s="1"/>
  <c r="AI309"/>
  <c r="AJ309" s="1"/>
  <c r="AI70"/>
  <c r="AJ70" s="1"/>
  <c r="M437" i="5"/>
  <c r="P437" s="1"/>
  <c r="M12"/>
  <c r="P12" s="1"/>
  <c r="M246"/>
  <c r="P246" s="1"/>
  <c r="AI157" i="15"/>
  <c r="AJ157" s="1"/>
  <c r="AI89"/>
  <c r="AJ89" s="1"/>
  <c r="AI117"/>
  <c r="AJ117" s="1"/>
  <c r="AI101"/>
  <c r="AJ101" s="1"/>
  <c r="M69" i="5"/>
  <c r="P69" s="1"/>
  <c r="M148"/>
  <c r="P148" s="1"/>
  <c r="M108"/>
  <c r="P108" s="1"/>
  <c r="M67"/>
  <c r="P67" s="1"/>
  <c r="M205"/>
  <c r="P205" s="1"/>
  <c r="M393"/>
  <c r="P393" s="1"/>
  <c r="M226"/>
  <c r="P226" s="1"/>
  <c r="M76"/>
  <c r="P76" s="1"/>
  <c r="M418"/>
  <c r="P418" s="1"/>
  <c r="AI406" i="15"/>
  <c r="AJ406" s="1"/>
  <c r="M68" i="5"/>
  <c r="P68" s="1"/>
  <c r="AI109" i="15"/>
  <c r="AJ109" s="1"/>
  <c r="M66" i="5"/>
  <c r="P66" s="1"/>
  <c r="M27"/>
  <c r="P27" s="1"/>
  <c r="M391"/>
  <c r="P391" s="1"/>
  <c r="M323"/>
  <c r="P323" s="1"/>
  <c r="M128"/>
  <c r="P128" s="1"/>
  <c r="M175"/>
  <c r="P175" s="1"/>
  <c r="AI428" i="15"/>
  <c r="AJ428" s="1"/>
  <c r="AI252"/>
  <c r="AJ252" s="1"/>
  <c r="AI387"/>
  <c r="AJ387" s="1"/>
  <c r="AI408"/>
  <c r="AJ408" s="1"/>
  <c r="AI24"/>
  <c r="AJ24" s="1"/>
  <c r="AI386"/>
  <c r="AJ386" s="1"/>
  <c r="AI45"/>
  <c r="AJ45" s="1"/>
  <c r="AI414"/>
  <c r="AJ414" s="1"/>
  <c r="AI296"/>
  <c r="AJ296" s="1"/>
  <c r="AI352"/>
  <c r="AJ352" s="1"/>
  <c r="M102" i="5"/>
  <c r="P102" s="1"/>
  <c r="M295"/>
  <c r="P295" s="1"/>
  <c r="AI444" i="15"/>
  <c r="M443" i="5"/>
  <c r="P443" s="1"/>
  <c r="AI442" i="15"/>
  <c r="AI441"/>
  <c r="M439" i="5"/>
  <c r="P439" s="1"/>
  <c r="M438"/>
  <c r="P438" s="1"/>
  <c r="AI437" i="15"/>
  <c r="M436" i="5"/>
  <c r="P436" s="1"/>
  <c r="AI435" i="15"/>
  <c r="AJ435" s="1"/>
  <c r="M434" i="5"/>
  <c r="P434" s="1"/>
  <c r="M433"/>
  <c r="P433" s="1"/>
  <c r="AI432" i="15"/>
  <c r="AJ432" s="1"/>
  <c r="M432" i="5"/>
  <c r="P432" s="1"/>
  <c r="M431"/>
  <c r="P431" s="1"/>
  <c r="AI429" i="15"/>
  <c r="AJ429" s="1"/>
  <c r="AI427"/>
  <c r="AJ427" s="1"/>
  <c r="AI426"/>
  <c r="AJ426" s="1"/>
  <c r="M426" i="5"/>
  <c r="P426" s="1"/>
  <c r="AI425" i="15"/>
  <c r="AJ425" s="1"/>
  <c r="M424" i="5"/>
  <c r="P424" s="1"/>
  <c r="M423"/>
  <c r="P423" s="1"/>
  <c r="AI423" i="15"/>
  <c r="AJ423" s="1"/>
  <c r="AI422"/>
  <c r="AJ422" s="1"/>
  <c r="M422" i="5"/>
  <c r="P422" s="1"/>
  <c r="AI421" i="15"/>
  <c r="AJ421" s="1"/>
  <c r="AI420"/>
  <c r="AJ420" s="1"/>
  <c r="M419" i="5"/>
  <c r="P419" s="1"/>
  <c r="AI418" i="15"/>
  <c r="AJ418" s="1"/>
  <c r="AI417"/>
  <c r="AJ417" s="1"/>
  <c r="AI416"/>
  <c r="AJ416" s="1"/>
  <c r="M416" i="5"/>
  <c r="P416" s="1"/>
  <c r="M415"/>
  <c r="P415" s="1"/>
  <c r="AI415" i="15"/>
  <c r="AJ415" s="1"/>
  <c r="M414" i="5"/>
  <c r="P414" s="1"/>
  <c r="AI413" i="15"/>
  <c r="AJ413" s="1"/>
  <c r="M413" i="5"/>
  <c r="P413" s="1"/>
  <c r="AI412" i="15"/>
  <c r="AJ412" s="1"/>
  <c r="AI409"/>
  <c r="AJ409" s="1"/>
  <c r="M408" i="5"/>
  <c r="P408" s="1"/>
  <c r="M407"/>
  <c r="P407" s="1"/>
  <c r="AI407" i="15"/>
  <c r="AJ407" s="1"/>
  <c r="AI405"/>
  <c r="AJ405" s="1"/>
  <c r="AI404"/>
  <c r="AJ404" s="1"/>
  <c r="M403" i="5"/>
  <c r="P403" s="1"/>
  <c r="AI401" i="15"/>
  <c r="AJ401" s="1"/>
  <c r="M401" i="5"/>
  <c r="P401" s="1"/>
  <c r="AI400" i="15"/>
  <c r="AJ400" s="1"/>
  <c r="M400" i="5"/>
  <c r="P400" s="1"/>
  <c r="AI399" i="15"/>
  <c r="AJ399" s="1"/>
  <c r="M398" i="5"/>
  <c r="P398" s="1"/>
  <c r="AI397" i="15"/>
  <c r="AJ397" s="1"/>
  <c r="M397" i="5"/>
  <c r="P397" s="1"/>
  <c r="AI396" i="15"/>
  <c r="AJ396" s="1"/>
  <c r="AI395"/>
  <c r="AJ395" s="1"/>
  <c r="M394" i="5"/>
  <c r="P394" s="1"/>
  <c r="AI394" i="15"/>
  <c r="AJ394" s="1"/>
  <c r="AI393"/>
  <c r="AJ393" s="1"/>
  <c r="AI392"/>
  <c r="AJ392" s="1"/>
  <c r="M392" i="5"/>
  <c r="P392" s="1"/>
  <c r="AI391" i="15"/>
  <c r="AJ391" s="1"/>
  <c r="AI389"/>
  <c r="AJ389" s="1"/>
  <c r="M389" i="5"/>
  <c r="P389" s="1"/>
  <c r="M388"/>
  <c r="P388" s="1"/>
  <c r="AI388" i="15"/>
  <c r="AJ388" s="1"/>
  <c r="M387" i="5"/>
  <c r="P387" s="1"/>
  <c r="AI385" i="15"/>
  <c r="AJ385" s="1"/>
  <c r="M384" i="5"/>
  <c r="P384" s="1"/>
  <c r="AI384" i="15"/>
  <c r="AJ384" s="1"/>
  <c r="AI383"/>
  <c r="AJ383" s="1"/>
  <c r="M382" i="5"/>
  <c r="P382" s="1"/>
  <c r="AI380" i="15"/>
  <c r="AJ380" s="1"/>
  <c r="M380" i="5"/>
  <c r="P380" s="1"/>
  <c r="AI379" i="15"/>
  <c r="AJ379" s="1"/>
  <c r="AI378"/>
  <c r="AJ378" s="1"/>
  <c r="M377" i="5"/>
  <c r="P377" s="1"/>
  <c r="AI375" i="15"/>
  <c r="AJ375" s="1"/>
  <c r="AI373"/>
  <c r="AJ373" s="1"/>
  <c r="M373" i="5"/>
  <c r="P373" s="1"/>
  <c r="M372"/>
  <c r="P372" s="1"/>
  <c r="AI372" i="15"/>
  <c r="AJ372" s="1"/>
  <c r="AI371"/>
  <c r="AJ371" s="1"/>
  <c r="AI370"/>
  <c r="AJ370" s="1"/>
  <c r="M369" i="5"/>
  <c r="P369" s="1"/>
  <c r="AI369" i="15"/>
  <c r="AJ369" s="1"/>
  <c r="AI368"/>
  <c r="AJ368" s="1"/>
  <c r="AI367"/>
  <c r="AJ367" s="1"/>
  <c r="M366" i="5"/>
  <c r="P366" s="1"/>
  <c r="AI366" i="15"/>
  <c r="AJ366" s="1"/>
  <c r="AI365"/>
  <c r="AJ365" s="1"/>
  <c r="AI364"/>
  <c r="AJ364" s="1"/>
  <c r="M364" i="5"/>
  <c r="P364" s="1"/>
  <c r="AI363" i="15"/>
  <c r="AJ363" s="1"/>
  <c r="AI362"/>
  <c r="AJ362" s="1"/>
  <c r="M361" i="5"/>
  <c r="P361" s="1"/>
  <c r="AI361" i="15"/>
  <c r="AJ361" s="1"/>
  <c r="M360" i="5"/>
  <c r="P360" s="1"/>
  <c r="AI359" i="15"/>
  <c r="AJ359" s="1"/>
  <c r="M359" i="5"/>
  <c r="P359" s="1"/>
  <c r="M358"/>
  <c r="P358" s="1"/>
  <c r="M357"/>
  <c r="P357" s="1"/>
  <c r="AI357" i="15"/>
  <c r="AJ357" s="1"/>
  <c r="M356" i="5"/>
  <c r="P356" s="1"/>
  <c r="AI356" i="15"/>
  <c r="AJ356" s="1"/>
  <c r="AI355"/>
  <c r="AJ355" s="1"/>
  <c r="M355" i="5"/>
  <c r="P355" s="1"/>
  <c r="AI354" i="15"/>
  <c r="AJ354" s="1"/>
  <c r="AI351"/>
  <c r="AJ351" s="1"/>
  <c r="M350" i="5"/>
  <c r="P350" s="1"/>
  <c r="AI349" i="15"/>
  <c r="AJ349" s="1"/>
  <c r="AI348"/>
  <c r="AJ348" s="1"/>
  <c r="M348" i="5"/>
  <c r="P348" s="1"/>
  <c r="AI347" i="15"/>
  <c r="AJ347" s="1"/>
  <c r="M346" i="5"/>
  <c r="P346" s="1"/>
  <c r="M344"/>
  <c r="P344" s="1"/>
  <c r="AI343" i="15"/>
  <c r="AJ343" s="1"/>
  <c r="M341" i="5"/>
  <c r="P341" s="1"/>
  <c r="AI341" i="15"/>
  <c r="AJ341" s="1"/>
  <c r="AI340"/>
  <c r="AJ340" s="1"/>
  <c r="AI339"/>
  <c r="AJ339" s="1"/>
  <c r="M339" i="5"/>
  <c r="P339" s="1"/>
  <c r="AI338" i="15"/>
  <c r="AJ338" s="1"/>
  <c r="AI337"/>
  <c r="AJ337" s="1"/>
  <c r="AI336"/>
  <c r="AJ336" s="1"/>
  <c r="M336" i="5"/>
  <c r="P336" s="1"/>
  <c r="AI335" i="15"/>
  <c r="AJ335" s="1"/>
  <c r="AI334"/>
  <c r="AJ334" s="1"/>
  <c r="M333" i="5"/>
  <c r="P333" s="1"/>
  <c r="AI333" i="15"/>
  <c r="AJ333" s="1"/>
  <c r="AI332"/>
  <c r="AJ332" s="1"/>
  <c r="M331" i="5"/>
  <c r="P331" s="1"/>
  <c r="AI331" i="15"/>
  <c r="AJ331" s="1"/>
  <c r="AI330"/>
  <c r="AJ330" s="1"/>
  <c r="AI329"/>
  <c r="AJ329" s="1"/>
  <c r="AI328"/>
  <c r="AJ328" s="1"/>
  <c r="M328" i="5"/>
  <c r="P328" s="1"/>
  <c r="AI327" i="15"/>
  <c r="AJ327" s="1"/>
  <c r="M326" i="5"/>
  <c r="P326" s="1"/>
  <c r="M325"/>
  <c r="P325" s="1"/>
  <c r="AI325" i="15"/>
  <c r="AJ325" s="1"/>
  <c r="AI324"/>
  <c r="AJ324" s="1"/>
  <c r="AI323"/>
  <c r="AJ323" s="1"/>
  <c r="M322" i="5"/>
  <c r="P322" s="1"/>
  <c r="M320"/>
  <c r="P320" s="1"/>
  <c r="AI319" i="15"/>
  <c r="AJ319" s="1"/>
  <c r="M318" i="5"/>
  <c r="P318" s="1"/>
  <c r="AI317" i="15"/>
  <c r="AJ317" s="1"/>
  <c r="AI316"/>
  <c r="AJ316" s="1"/>
  <c r="M315" i="5"/>
  <c r="P315" s="1"/>
  <c r="AI315" i="15"/>
  <c r="AJ315" s="1"/>
  <c r="AI307"/>
  <c r="AJ307" s="1"/>
  <c r="AI306"/>
  <c r="AJ306" s="1"/>
  <c r="AI305"/>
  <c r="AJ305" s="1"/>
  <c r="M304" i="5"/>
  <c r="P304" s="1"/>
  <c r="AI304" i="15"/>
  <c r="AJ304" s="1"/>
  <c r="M303" i="5"/>
  <c r="P303" s="1"/>
  <c r="AI303" i="15"/>
  <c r="AJ303" s="1"/>
  <c r="M302" i="5"/>
  <c r="P302" s="1"/>
  <c r="AI301" i="15"/>
  <c r="AJ301" s="1"/>
  <c r="M301" i="5"/>
  <c r="P301" s="1"/>
  <c r="M314"/>
  <c r="P314" s="1"/>
  <c r="AI311" i="15"/>
  <c r="AJ311" s="1"/>
  <c r="M310" i="5"/>
  <c r="P310" s="1"/>
  <c r="AI308" i="15"/>
  <c r="AJ308" s="1"/>
  <c r="M293" i="5"/>
  <c r="P293" s="1"/>
  <c r="M294"/>
  <c r="P294" s="1"/>
  <c r="AI294" i="15"/>
  <c r="AJ294" s="1"/>
  <c r="AI295"/>
  <c r="AJ295" s="1"/>
  <c r="M296" i="5"/>
  <c r="P296" s="1"/>
  <c r="M297"/>
  <c r="P297" s="1"/>
  <c r="AI297" i="15"/>
  <c r="AJ297" s="1"/>
  <c r="AI298"/>
  <c r="AJ298" s="1"/>
  <c r="AI299"/>
  <c r="AJ299" s="1"/>
  <c r="AI300"/>
  <c r="AJ300" s="1"/>
  <c r="AI293"/>
  <c r="AJ293" s="1"/>
  <c r="AI292"/>
  <c r="AJ292" s="1"/>
  <c r="AI291"/>
  <c r="AJ291" s="1"/>
  <c r="AI289"/>
  <c r="AJ289" s="1"/>
  <c r="M289" i="5"/>
  <c r="P289" s="1"/>
  <c r="AI288" i="15"/>
  <c r="AJ288" s="1"/>
  <c r="M288" i="5"/>
  <c r="P288" s="1"/>
  <c r="M287"/>
  <c r="P287" s="1"/>
  <c r="AI287" i="15"/>
  <c r="AJ287" s="1"/>
  <c r="AI280"/>
  <c r="AJ280" s="1"/>
  <c r="M280" i="5"/>
  <c r="P280" s="1"/>
  <c r="AI283" i="15"/>
  <c r="AJ283" s="1"/>
  <c r="AI284"/>
  <c r="AJ284" s="1"/>
  <c r="AI285"/>
  <c r="AJ285" s="1"/>
  <c r="M286" i="5"/>
  <c r="P286" s="1"/>
  <c r="M279"/>
  <c r="P279" s="1"/>
  <c r="AI279" i="15"/>
  <c r="AJ279" s="1"/>
  <c r="M278" i="5"/>
  <c r="P278" s="1"/>
  <c r="AI277" i="15"/>
  <c r="AJ277" s="1"/>
  <c r="AI276"/>
  <c r="AJ276" s="1"/>
  <c r="AI275"/>
  <c r="AJ275" s="1"/>
  <c r="M273" i="5"/>
  <c r="P273" s="1"/>
  <c r="AI273" i="15"/>
  <c r="AJ273" s="1"/>
  <c r="M266" i="5"/>
  <c r="P266" s="1"/>
  <c r="AI267" i="15"/>
  <c r="AJ267" s="1"/>
  <c r="AI268"/>
  <c r="AJ268" s="1"/>
  <c r="AI269"/>
  <c r="AJ269" s="1"/>
  <c r="M269" i="5"/>
  <c r="P269" s="1"/>
  <c r="M270"/>
  <c r="P270" s="1"/>
  <c r="AI271" i="15"/>
  <c r="AJ271" s="1"/>
  <c r="M271" i="5"/>
  <c r="P271" s="1"/>
  <c r="AI272" i="15"/>
  <c r="AJ272" s="1"/>
  <c r="M272" i="5"/>
  <c r="P272" s="1"/>
  <c r="AI265" i="15"/>
  <c r="AJ265" s="1"/>
  <c r="M265" i="5"/>
  <c r="P265" s="1"/>
  <c r="M263"/>
  <c r="P263" s="1"/>
  <c r="M262"/>
  <c r="P262" s="1"/>
  <c r="AI260" i="15"/>
  <c r="AJ260" s="1"/>
  <c r="AI259"/>
  <c r="AJ259" s="1"/>
  <c r="M258" i="5"/>
  <c r="P258" s="1"/>
  <c r="AI257" i="15"/>
  <c r="AJ257" s="1"/>
  <c r="AI256"/>
  <c r="AJ256" s="1"/>
  <c r="M254" i="5"/>
  <c r="P254" s="1"/>
  <c r="M253"/>
  <c r="P253" s="1"/>
  <c r="AI253" i="15"/>
  <c r="AJ253" s="1"/>
  <c r="AI251"/>
  <c r="AJ251" s="1"/>
  <c r="AI249"/>
  <c r="AJ249" s="1"/>
  <c r="AI248"/>
  <c r="AJ248" s="1"/>
  <c r="M247" i="5"/>
  <c r="P247" s="1"/>
  <c r="AI247" i="15"/>
  <c r="AJ247" s="1"/>
  <c r="AI246"/>
  <c r="AJ246" s="1"/>
  <c r="AI245"/>
  <c r="AJ245" s="1"/>
  <c r="M238" i="5"/>
  <c r="P238" s="1"/>
  <c r="M239"/>
  <c r="P239" s="1"/>
  <c r="AI240" i="15"/>
  <c r="AJ240" s="1"/>
  <c r="M240" i="5"/>
  <c r="P240" s="1"/>
  <c r="AI243" i="15"/>
  <c r="AJ243" s="1"/>
  <c r="M243" i="5"/>
  <c r="P243" s="1"/>
  <c r="M244"/>
  <c r="P244" s="1"/>
  <c r="AI244" i="15"/>
  <c r="AJ244" s="1"/>
  <c r="AI237"/>
  <c r="AJ237" s="1"/>
  <c r="AI236"/>
  <c r="AJ236" s="1"/>
  <c r="M236" i="5"/>
  <c r="P236" s="1"/>
  <c r="AI234" i="15"/>
  <c r="AJ234" s="1"/>
  <c r="AI233"/>
  <c r="AJ233" s="1"/>
  <c r="M232" i="5"/>
  <c r="P232" s="1"/>
  <c r="M231"/>
  <c r="P231" s="1"/>
  <c r="AI231" i="15"/>
  <c r="AJ231" s="1"/>
  <c r="AI224"/>
  <c r="AJ224" s="1"/>
  <c r="M224" i="5"/>
  <c r="P224" s="1"/>
  <c r="AI225" i="15"/>
  <c r="AJ225" s="1"/>
  <c r="AI228"/>
  <c r="AJ228" s="1"/>
  <c r="AI229"/>
  <c r="AJ229" s="1"/>
  <c r="M230" i="5"/>
  <c r="P230" s="1"/>
  <c r="AI223" i="15"/>
  <c r="AJ223" s="1"/>
  <c r="AI222"/>
  <c r="AJ222" s="1"/>
  <c r="M222" i="5"/>
  <c r="P222" s="1"/>
  <c r="AI221" i="15"/>
  <c r="AJ221" s="1"/>
  <c r="AI220"/>
  <c r="AJ220" s="1"/>
  <c r="M219" i="5"/>
  <c r="P219" s="1"/>
  <c r="M218"/>
  <c r="P218" s="1"/>
  <c r="AI212" i="15"/>
  <c r="AJ212" s="1"/>
  <c r="M212" i="5"/>
  <c r="P212" s="1"/>
  <c r="AI213" i="15"/>
  <c r="AJ213" s="1"/>
  <c r="M213" i="5"/>
  <c r="P213" s="1"/>
  <c r="AI216" i="15"/>
  <c r="AJ216" s="1"/>
  <c r="M209" i="5"/>
  <c r="P209" s="1"/>
  <c r="AI209" i="15"/>
  <c r="AJ209" s="1"/>
  <c r="AI208"/>
  <c r="AJ208" s="1"/>
  <c r="M208" i="5"/>
  <c r="P208" s="1"/>
  <c r="AI207" i="15"/>
  <c r="AJ207" s="1"/>
  <c r="M206" i="5"/>
  <c r="P206" s="1"/>
  <c r="AI204" i="15"/>
  <c r="AJ204" s="1"/>
  <c r="M204" i="5"/>
  <c r="P204" s="1"/>
  <c r="AI203" i="15"/>
  <c r="AJ203" s="1"/>
  <c r="AI196"/>
  <c r="AJ196" s="1"/>
  <c r="M196" i="5"/>
  <c r="P196" s="1"/>
  <c r="M198"/>
  <c r="P198" s="1"/>
  <c r="AI200" i="15"/>
  <c r="AJ200" s="1"/>
  <c r="AI201"/>
  <c r="AJ201" s="1"/>
  <c r="M202" i="5"/>
  <c r="P202" s="1"/>
  <c r="M195"/>
  <c r="P195" s="1"/>
  <c r="M194"/>
  <c r="P194" s="1"/>
  <c r="AI192" i="15"/>
  <c r="AJ192" s="1"/>
  <c r="AI189"/>
  <c r="AJ189" s="1"/>
  <c r="M183" i="5"/>
  <c r="P183" s="1"/>
  <c r="M184"/>
  <c r="P184" s="1"/>
  <c r="M186"/>
  <c r="P186" s="1"/>
  <c r="M187"/>
  <c r="P187" s="1"/>
  <c r="AI188" i="15"/>
  <c r="AJ188" s="1"/>
  <c r="AI181"/>
  <c r="AJ181" s="1"/>
  <c r="M178" i="5"/>
  <c r="P178" s="1"/>
  <c r="M177"/>
  <c r="P177" s="1"/>
  <c r="M176"/>
  <c r="P176" s="1"/>
  <c r="AI176" i="15"/>
  <c r="AJ176" s="1"/>
  <c r="AI174"/>
  <c r="AJ174" s="1"/>
  <c r="AI173"/>
  <c r="AJ173" s="1"/>
  <c r="AI172"/>
  <c r="AJ172" s="1"/>
  <c r="M172" i="5"/>
  <c r="P172" s="1"/>
  <c r="AI170" i="15"/>
  <c r="AJ170" s="1"/>
  <c r="AI169"/>
  <c r="AJ169" s="1"/>
  <c r="M167" i="5"/>
  <c r="P167" s="1"/>
  <c r="M166"/>
  <c r="P166" s="1"/>
  <c r="AI165" i="15"/>
  <c r="AJ165" s="1"/>
  <c r="AI164"/>
  <c r="AJ164" s="1"/>
  <c r="M163" i="5"/>
  <c r="P163" s="1"/>
  <c r="AI162" i="15"/>
  <c r="AJ162" s="1"/>
  <c r="M162" i="5"/>
  <c r="P162" s="1"/>
  <c r="AI161" i="15"/>
  <c r="AJ161" s="1"/>
  <c r="AI160"/>
  <c r="AJ160" s="1"/>
  <c r="M159" i="5"/>
  <c r="P159" s="1"/>
  <c r="M158"/>
  <c r="P158" s="1"/>
  <c r="M157"/>
  <c r="P157" s="1"/>
  <c r="M156"/>
  <c r="P156" s="1"/>
  <c r="AI156" i="15"/>
  <c r="AJ156" s="1"/>
  <c r="AI153"/>
  <c r="AJ153" s="1"/>
  <c r="M150" i="5"/>
  <c r="P150" s="1"/>
  <c r="AI149" i="15"/>
  <c r="AJ149" s="1"/>
  <c r="AI148"/>
  <c r="AJ148" s="1"/>
  <c r="AI146"/>
  <c r="AJ146" s="1"/>
  <c r="AI145"/>
  <c r="AJ145" s="1"/>
  <c r="M144" i="5"/>
  <c r="P144" s="1"/>
  <c r="AI144" i="15"/>
  <c r="AJ144" s="1"/>
  <c r="M142" i="5"/>
  <c r="P142" s="1"/>
  <c r="AI141" i="15"/>
  <c r="AJ141" s="1"/>
  <c r="AI140"/>
  <c r="AJ140" s="1"/>
  <c r="M139" i="5"/>
  <c r="P139" s="1"/>
  <c r="AI138" i="15"/>
  <c r="AJ138" s="1"/>
  <c r="AI137"/>
  <c r="AJ137" s="1"/>
  <c r="M137" i="5"/>
  <c r="P137" s="1"/>
  <c r="M136"/>
  <c r="P136" s="1"/>
  <c r="AI135" i="15"/>
  <c r="AJ135" s="1"/>
  <c r="M134" i="5"/>
  <c r="P134" s="1"/>
  <c r="AI133" i="15"/>
  <c r="AJ133" s="1"/>
  <c r="AI132"/>
  <c r="AJ132" s="1"/>
  <c r="AI131"/>
  <c r="AJ131" s="1"/>
  <c r="M131" i="5"/>
  <c r="P131" s="1"/>
  <c r="AI130" i="15"/>
  <c r="AJ130" s="1"/>
  <c r="AI129"/>
  <c r="AJ129" s="1"/>
  <c r="M129" i="5"/>
  <c r="P129" s="1"/>
  <c r="AI128" i="15"/>
  <c r="AJ128" s="1"/>
  <c r="AI127"/>
  <c r="AJ127" s="1"/>
  <c r="M126" i="5"/>
  <c r="P126" s="1"/>
  <c r="AI125" i="15"/>
  <c r="AJ125" s="1"/>
  <c r="AI124"/>
  <c r="AJ124" s="1"/>
  <c r="AI123"/>
  <c r="AJ123" s="1"/>
  <c r="M122" i="5"/>
  <c r="P122" s="1"/>
  <c r="M121"/>
  <c r="P121" s="1"/>
  <c r="AI120" i="15"/>
  <c r="AJ120" s="1"/>
  <c r="AI119"/>
  <c r="AJ119" s="1"/>
  <c r="AI112"/>
  <c r="AJ112" s="1"/>
  <c r="M112" i="5"/>
  <c r="P112" s="1"/>
  <c r="AI113" i="15"/>
  <c r="AJ113" s="1"/>
  <c r="M113" i="5"/>
  <c r="P113" s="1"/>
  <c r="AI114" i="15"/>
  <c r="AJ114" s="1"/>
  <c r="M115" i="5"/>
  <c r="P115" s="1"/>
  <c r="AI116" i="15"/>
  <c r="AJ116" s="1"/>
  <c r="AI118"/>
  <c r="AJ118" s="1"/>
  <c r="AI108"/>
  <c r="AJ108" s="1"/>
  <c r="M107" i="5"/>
  <c r="P107" s="1"/>
  <c r="AI106" i="15"/>
  <c r="AJ106" s="1"/>
  <c r="AI105"/>
  <c r="AJ105" s="1"/>
  <c r="AI111"/>
  <c r="AJ111" s="1"/>
  <c r="AI110"/>
  <c r="AJ110" s="1"/>
  <c r="M109" i="5"/>
  <c r="P109" s="1"/>
  <c r="AI104" i="15"/>
  <c r="AJ104" s="1"/>
  <c r="M104" i="5"/>
  <c r="P104" s="1"/>
  <c r="M103"/>
  <c r="P103" s="1"/>
  <c r="M100"/>
  <c r="P100" s="1"/>
  <c r="AI100" i="15"/>
  <c r="AJ100" s="1"/>
  <c r="AI96"/>
  <c r="AJ96" s="1"/>
  <c r="AI93"/>
  <c r="AJ93" s="1"/>
  <c r="M92" i="5"/>
  <c r="P92" s="1"/>
  <c r="AI92" i="15"/>
  <c r="AJ92" s="1"/>
  <c r="AI94"/>
  <c r="AJ94" s="1"/>
  <c r="AI97"/>
  <c r="AJ97" s="1"/>
  <c r="M82" i="5"/>
  <c r="P82" s="1"/>
  <c r="AI80" i="15"/>
  <c r="AJ80" s="1"/>
  <c r="M78" i="5"/>
  <c r="P78" s="1"/>
  <c r="AI77" i="15"/>
  <c r="AJ77" s="1"/>
  <c r="AI84"/>
  <c r="AJ84" s="1"/>
  <c r="AI85"/>
  <c r="AJ85" s="1"/>
  <c r="M86" i="5"/>
  <c r="P86" s="1"/>
  <c r="AI87" i="15"/>
  <c r="AJ87" s="1"/>
  <c r="M88" i="5"/>
  <c r="P88" s="1"/>
  <c r="AI90" i="15"/>
  <c r="AJ90" s="1"/>
  <c r="AI81"/>
  <c r="AJ81" s="1"/>
  <c r="AI83"/>
  <c r="AJ83" s="1"/>
  <c r="M83" i="5"/>
  <c r="P83" s="1"/>
  <c r="AI73" i="15"/>
  <c r="AJ73" s="1"/>
  <c r="M73" i="5"/>
  <c r="P73" s="1"/>
  <c r="AI72" i="15"/>
  <c r="AJ72" s="1"/>
  <c r="M72" i="5"/>
  <c r="P72" s="1"/>
  <c r="M74"/>
  <c r="P74" s="1"/>
  <c r="M70"/>
  <c r="P70" s="1"/>
  <c r="AI66" i="15"/>
  <c r="AJ66" s="1"/>
  <c r="AI64"/>
  <c r="AJ64" s="1"/>
  <c r="AI68"/>
  <c r="AJ68" s="1"/>
  <c r="AI69"/>
  <c r="AJ69" s="1"/>
  <c r="M56" i="5"/>
  <c r="P56" s="1"/>
  <c r="M58"/>
  <c r="P58" s="1"/>
  <c r="AI60" i="15"/>
  <c r="AJ60" s="1"/>
  <c r="M60" i="5"/>
  <c r="P60" s="1"/>
  <c r="AI61" i="15"/>
  <c r="AJ61" s="1"/>
  <c r="M61" i="5"/>
  <c r="P61" s="1"/>
  <c r="AI62" i="15"/>
  <c r="AJ62" s="1"/>
  <c r="AI52"/>
  <c r="AJ52" s="1"/>
  <c r="M50" i="5"/>
  <c r="P50" s="1"/>
  <c r="AI49" i="15"/>
  <c r="AJ49" s="1"/>
  <c r="AI53"/>
  <c r="AJ53" s="1"/>
  <c r="M53" i="5"/>
  <c r="P53" s="1"/>
  <c r="AI54" i="15"/>
  <c r="AJ54" s="1"/>
  <c r="M38" i="5"/>
  <c r="P38" s="1"/>
  <c r="AI37" i="15"/>
  <c r="AJ37" s="1"/>
  <c r="AI36"/>
  <c r="AJ36" s="1"/>
  <c r="M36" i="5"/>
  <c r="P36" s="1"/>
  <c r="M48"/>
  <c r="P48" s="1"/>
  <c r="AI48" i="15"/>
  <c r="AJ48" s="1"/>
  <c r="AI46"/>
  <c r="AJ46" s="1"/>
  <c r="M45" i="5"/>
  <c r="P45" s="1"/>
  <c r="AI44" i="15"/>
  <c r="AJ44" s="1"/>
  <c r="M44" i="5"/>
  <c r="P44" s="1"/>
  <c r="M42"/>
  <c r="P42" s="1"/>
  <c r="AI41" i="15"/>
  <c r="AJ41" s="1"/>
  <c r="AI40"/>
  <c r="AJ40" s="1"/>
  <c r="M40" i="5"/>
  <c r="P40" s="1"/>
  <c r="AI34" i="15"/>
  <c r="AJ34" s="1"/>
  <c r="M33" i="5"/>
  <c r="P33" s="1"/>
  <c r="J445"/>
  <c r="J447" s="1"/>
  <c r="AI33" i="15"/>
  <c r="AJ33" s="1"/>
  <c r="AI32"/>
  <c r="AJ32" s="1"/>
  <c r="AI30"/>
  <c r="AJ30" s="1"/>
  <c r="M30" i="5"/>
  <c r="P30" s="1"/>
  <c r="AI29" i="15"/>
  <c r="AJ29" s="1"/>
  <c r="AI28"/>
  <c r="AJ28" s="1"/>
  <c r="M28" i="5"/>
  <c r="P28" s="1"/>
  <c r="AI25" i="15"/>
  <c r="AJ25" s="1"/>
  <c r="AI21"/>
  <c r="AJ21" s="1"/>
  <c r="AI9"/>
  <c r="AJ9" s="1"/>
  <c r="AI13"/>
  <c r="AJ13" s="1"/>
  <c r="M13" i="5"/>
  <c r="P13" s="1"/>
  <c r="AI11" i="15"/>
  <c r="AJ11" s="1"/>
  <c r="M8" i="5"/>
  <c r="P8" s="1"/>
  <c r="AH445" i="15"/>
  <c r="AI14"/>
  <c r="AJ14" s="1"/>
  <c r="M14" i="5"/>
  <c r="P14" s="1"/>
  <c r="M15"/>
  <c r="P15" s="1"/>
  <c r="AI16" i="15"/>
  <c r="AJ16" s="1"/>
  <c r="M16" i="5"/>
  <c r="P16" s="1"/>
  <c r="AI18" i="15"/>
  <c r="AJ18" s="1"/>
  <c r="AI17"/>
  <c r="AJ17" s="1"/>
  <c r="K445" i="5"/>
  <c r="K447" s="1"/>
  <c r="M20"/>
  <c r="P20" s="1"/>
  <c r="AI20" i="15"/>
  <c r="AJ20" s="1"/>
  <c r="AI12"/>
  <c r="AJ12" s="1"/>
  <c r="AI10"/>
  <c r="AJ10" s="1"/>
  <c r="Y445"/>
  <c r="AI438"/>
  <c r="AI411"/>
  <c r="AJ411" s="1"/>
  <c r="AI227"/>
  <c r="AJ227" s="1"/>
  <c r="AI19"/>
  <c r="AJ19" s="1"/>
  <c r="AI214"/>
  <c r="AJ214" s="1"/>
  <c r="AI198"/>
  <c r="AJ198" s="1"/>
  <c r="AI166"/>
  <c r="AJ166" s="1"/>
  <c r="AI134"/>
  <c r="AJ134" s="1"/>
  <c r="AI98"/>
  <c r="AJ98" s="1"/>
  <c r="AI38"/>
  <c r="AJ38" s="1"/>
  <c r="AI390"/>
  <c r="AJ390" s="1"/>
  <c r="AI350"/>
  <c r="AJ350" s="1"/>
  <c r="AI318"/>
  <c r="AJ318" s="1"/>
  <c r="AI286"/>
  <c r="AJ286" s="1"/>
  <c r="AI270"/>
  <c r="AJ270" s="1"/>
  <c r="AI26"/>
  <c r="AJ26" s="1"/>
  <c r="M32" i="5"/>
  <c r="P32" s="1"/>
  <c r="M98"/>
  <c r="P98" s="1"/>
  <c r="M127"/>
  <c r="P127" s="1"/>
  <c r="M285"/>
  <c r="P285" s="1"/>
  <c r="M376"/>
  <c r="P376" s="1"/>
  <c r="M47"/>
  <c r="P47" s="1"/>
  <c r="M135"/>
  <c r="P135" s="1"/>
  <c r="M18"/>
  <c r="P18" s="1"/>
  <c r="M99"/>
  <c r="P99" s="1"/>
  <c r="V445" i="15"/>
  <c r="AI239"/>
  <c r="AJ239" s="1"/>
  <c r="AI439"/>
  <c r="AI183"/>
  <c r="AJ183" s="1"/>
  <c r="M11" i="5"/>
  <c r="P11" s="1"/>
  <c r="M25"/>
  <c r="P25" s="1"/>
  <c r="M46"/>
  <c r="P46" s="1"/>
  <c r="M54"/>
  <c r="P54" s="1"/>
  <c r="M93"/>
  <c r="P93" s="1"/>
  <c r="M96"/>
  <c r="P96" s="1"/>
  <c r="M110"/>
  <c r="P110" s="1"/>
  <c r="M120"/>
  <c r="P120" s="1"/>
  <c r="M138"/>
  <c r="P138" s="1"/>
  <c r="M190"/>
  <c r="P190" s="1"/>
  <c r="M217"/>
  <c r="P217" s="1"/>
  <c r="M225"/>
  <c r="P225" s="1"/>
  <c r="M245"/>
  <c r="P245" s="1"/>
  <c r="M281"/>
  <c r="P281" s="1"/>
  <c r="M300"/>
  <c r="P300" s="1"/>
  <c r="M306"/>
  <c r="P306" s="1"/>
  <c r="M342"/>
  <c r="P342" s="1"/>
  <c r="M363"/>
  <c r="P363" s="1"/>
  <c r="M383"/>
  <c r="P383" s="1"/>
  <c r="M409"/>
  <c r="P409" s="1"/>
  <c r="M421"/>
  <c r="P421" s="1"/>
  <c r="M80"/>
  <c r="P80" s="1"/>
  <c r="M116"/>
  <c r="P116" s="1"/>
  <c r="M292"/>
  <c r="P292" s="1"/>
  <c r="M152"/>
  <c r="P152" s="1"/>
  <c r="M118"/>
  <c r="P118" s="1"/>
  <c r="M385"/>
  <c r="P385" s="1"/>
  <c r="M368"/>
  <c r="P368" s="1"/>
  <c r="M340"/>
  <c r="P340" s="1"/>
  <c r="M332"/>
  <c r="P332" s="1"/>
  <c r="M324"/>
  <c r="P324" s="1"/>
  <c r="M276"/>
  <c r="P276" s="1"/>
  <c r="M268"/>
  <c r="P268" s="1"/>
  <c r="M260"/>
  <c r="P260" s="1"/>
  <c r="M252"/>
  <c r="P252" s="1"/>
  <c r="M241"/>
  <c r="P241" s="1"/>
  <c r="M216"/>
  <c r="P216" s="1"/>
  <c r="M200"/>
  <c r="P200" s="1"/>
  <c r="M192"/>
  <c r="P192" s="1"/>
  <c r="M173"/>
  <c r="P173" s="1"/>
  <c r="M165"/>
  <c r="P165" s="1"/>
  <c r="M85"/>
  <c r="P85" s="1"/>
  <c r="M65"/>
  <c r="P65" s="1"/>
  <c r="M57"/>
  <c r="P57" s="1"/>
  <c r="M37"/>
  <c r="P37" s="1"/>
  <c r="M29"/>
  <c r="P29" s="1"/>
  <c r="M441"/>
  <c r="P441" s="1"/>
  <c r="M412"/>
  <c r="P412" s="1"/>
  <c r="M404"/>
  <c r="P404" s="1"/>
  <c r="M228"/>
  <c r="P228" s="1"/>
  <c r="M220"/>
  <c r="P220" s="1"/>
  <c r="M17"/>
  <c r="P17" s="1"/>
  <c r="M51"/>
  <c r="P51" s="1"/>
  <c r="M71"/>
  <c r="P71" s="1"/>
  <c r="M442"/>
  <c r="P442" s="1"/>
  <c r="M425"/>
  <c r="P425" s="1"/>
  <c r="M386"/>
  <c r="P386" s="1"/>
  <c r="M151"/>
  <c r="P151" s="1"/>
  <c r="M374"/>
  <c r="P374" s="1"/>
  <c r="M410"/>
  <c r="P410" s="1"/>
  <c r="M59"/>
  <c r="P59" s="1"/>
  <c r="M170"/>
  <c r="P170" s="1"/>
  <c r="S445" i="15"/>
  <c r="AE445"/>
  <c r="AI122"/>
  <c r="AJ122" s="1"/>
  <c r="AI434"/>
  <c r="AJ434" s="1"/>
  <c r="AI419"/>
  <c r="AJ419" s="1"/>
  <c r="AI403"/>
  <c r="AJ403" s="1"/>
  <c r="AI235"/>
  <c r="AJ235" s="1"/>
  <c r="AI219"/>
  <c r="AJ219" s="1"/>
  <c r="AI31"/>
  <c r="AJ31" s="1"/>
  <c r="AI23"/>
  <c r="AJ23" s="1"/>
  <c r="AI15"/>
  <c r="AJ15" s="1"/>
  <c r="AI177"/>
  <c r="AJ177" s="1"/>
  <c r="AI186"/>
  <c r="AJ186" s="1"/>
  <c r="AI443"/>
  <c r="AI210"/>
  <c r="AJ210" s="1"/>
  <c r="AI202"/>
  <c r="AJ202" s="1"/>
  <c r="AI194"/>
  <c r="AJ194" s="1"/>
  <c r="AI178"/>
  <c r="AJ178" s="1"/>
  <c r="AI158"/>
  <c r="AJ158" s="1"/>
  <c r="AI142"/>
  <c r="AJ142" s="1"/>
  <c r="AI126"/>
  <c r="AJ126" s="1"/>
  <c r="AI102"/>
  <c r="AJ102" s="1"/>
  <c r="AI86"/>
  <c r="AJ86" s="1"/>
  <c r="AI74"/>
  <c r="AJ74" s="1"/>
  <c r="AI58"/>
  <c r="AJ58" s="1"/>
  <c r="AI42"/>
  <c r="AJ42" s="1"/>
  <c r="AI35"/>
  <c r="AJ35" s="1"/>
  <c r="AI205"/>
  <c r="AJ205" s="1"/>
  <c r="AI410"/>
  <c r="AJ410" s="1"/>
  <c r="AI398"/>
  <c r="AJ398" s="1"/>
  <c r="AI382"/>
  <c r="AJ382" s="1"/>
  <c r="AI358"/>
  <c r="AJ358" s="1"/>
  <c r="AI346"/>
  <c r="AJ346" s="1"/>
  <c r="AI322"/>
  <c r="AJ322" s="1"/>
  <c r="AI314"/>
  <c r="AJ314" s="1"/>
  <c r="AI302"/>
  <c r="AJ302" s="1"/>
  <c r="AI290"/>
  <c r="AJ290" s="1"/>
  <c r="AI282"/>
  <c r="AJ282" s="1"/>
  <c r="AI274"/>
  <c r="AJ274" s="1"/>
  <c r="AI266"/>
  <c r="AJ266" s="1"/>
  <c r="AI258"/>
  <c r="AJ258" s="1"/>
  <c r="AI250"/>
  <c r="AJ250" s="1"/>
  <c r="AI242"/>
  <c r="AJ242" s="1"/>
  <c r="AI230"/>
  <c r="AJ230" s="1"/>
  <c r="AI218"/>
  <c r="AJ218" s="1"/>
  <c r="AI211"/>
  <c r="AJ211" s="1"/>
  <c r="AI195"/>
  <c r="AJ195" s="1"/>
  <c r="AI187"/>
  <c r="AJ187" s="1"/>
  <c r="AI175"/>
  <c r="AJ175" s="1"/>
  <c r="AI167"/>
  <c r="AJ167" s="1"/>
  <c r="AI159"/>
  <c r="AJ159" s="1"/>
  <c r="AI151"/>
  <c r="AJ151" s="1"/>
  <c r="AI143"/>
  <c r="AJ143" s="1"/>
  <c r="AI107"/>
  <c r="AJ107" s="1"/>
  <c r="AI99"/>
  <c r="AJ99" s="1"/>
  <c r="AI91"/>
  <c r="AJ91" s="1"/>
  <c r="AI79"/>
  <c r="AJ79" s="1"/>
  <c r="AI71"/>
  <c r="AJ71" s="1"/>
  <c r="AI63"/>
  <c r="AJ63" s="1"/>
  <c r="AI55"/>
  <c r="AJ55" s="1"/>
  <c r="AI47"/>
  <c r="AJ47" s="1"/>
  <c r="AI39"/>
  <c r="AJ39" s="1"/>
  <c r="AI430"/>
  <c r="AJ430" s="1"/>
  <c r="AI27"/>
  <c r="AJ27" s="1"/>
  <c r="AI206"/>
  <c r="AJ206" s="1"/>
  <c r="AI182"/>
  <c r="AJ182" s="1"/>
  <c r="AI150"/>
  <c r="AJ150" s="1"/>
  <c r="AI50"/>
  <c r="AJ50" s="1"/>
  <c r="AI433"/>
  <c r="AJ433" s="1"/>
  <c r="AI402"/>
  <c r="AJ402" s="1"/>
  <c r="AI374"/>
  <c r="AJ374" s="1"/>
  <c r="AI326"/>
  <c r="AJ326" s="1"/>
  <c r="AI278"/>
  <c r="AJ278" s="1"/>
  <c r="AI262"/>
  <c r="AJ262" s="1"/>
  <c r="AI254"/>
  <c r="AJ254" s="1"/>
  <c r="AI238"/>
  <c r="AJ238" s="1"/>
  <c r="AI215"/>
  <c r="AJ215" s="1"/>
  <c r="AI179"/>
  <c r="AJ179" s="1"/>
  <c r="AI171"/>
  <c r="AJ171" s="1"/>
  <c r="AI163"/>
  <c r="AJ163" s="1"/>
  <c r="AI155"/>
  <c r="AJ155" s="1"/>
  <c r="AI147"/>
  <c r="AJ147" s="1"/>
  <c r="AI139"/>
  <c r="AJ139" s="1"/>
  <c r="AI115"/>
  <c r="AJ115" s="1"/>
  <c r="AI103"/>
  <c r="AJ103" s="1"/>
  <c r="AI95"/>
  <c r="AJ95" s="1"/>
  <c r="AI75"/>
  <c r="AJ75" s="1"/>
  <c r="AI67"/>
  <c r="AJ67" s="1"/>
  <c r="AI59"/>
  <c r="AJ59" s="1"/>
  <c r="AI51"/>
  <c r="AJ51" s="1"/>
  <c r="AI43"/>
  <c r="AJ43" s="1"/>
  <c r="M22" i="5"/>
  <c r="P22" s="1"/>
  <c r="M111"/>
  <c r="P111" s="1"/>
  <c r="M146"/>
  <c r="P146" s="1"/>
  <c r="M221"/>
  <c r="P221" s="1"/>
  <c r="M259"/>
  <c r="P259" s="1"/>
  <c r="M329"/>
  <c r="P329" s="1"/>
  <c r="M160"/>
  <c r="P160" s="1"/>
  <c r="M248"/>
  <c r="P248" s="1"/>
  <c r="M405"/>
  <c r="P405" s="1"/>
  <c r="M39"/>
  <c r="P39" s="1"/>
  <c r="M143"/>
  <c r="P143" s="1"/>
  <c r="M371"/>
  <c r="P371" s="1"/>
  <c r="M307"/>
  <c r="P307" s="1"/>
  <c r="M445" i="15"/>
  <c r="AI255"/>
  <c r="AJ255" s="1"/>
  <c r="M9" i="5"/>
  <c r="P9" s="1"/>
  <c r="M34"/>
  <c r="P34" s="1"/>
  <c r="M52"/>
  <c r="P52" s="1"/>
  <c r="M64"/>
  <c r="P64" s="1"/>
  <c r="M90"/>
  <c r="P90" s="1"/>
  <c r="M94"/>
  <c r="P94" s="1"/>
  <c r="M114"/>
  <c r="P114" s="1"/>
  <c r="M174"/>
  <c r="P174" s="1"/>
  <c r="M234"/>
  <c r="P234" s="1"/>
  <c r="M277"/>
  <c r="P277" s="1"/>
  <c r="M338"/>
  <c r="P338" s="1"/>
  <c r="M345"/>
  <c r="P345" s="1"/>
  <c r="M370"/>
  <c r="P370" s="1"/>
  <c r="M406"/>
  <c r="P406" s="1"/>
  <c r="M428"/>
  <c r="P428" s="1"/>
  <c r="M396"/>
  <c r="P396" s="1"/>
  <c r="M168"/>
  <c r="P168" s="1"/>
  <c r="M381"/>
  <c r="P381" s="1"/>
  <c r="M233"/>
  <c r="P233" s="1"/>
  <c r="M140"/>
  <c r="P140" s="1"/>
  <c r="M379"/>
  <c r="P379" s="1"/>
  <c r="M171"/>
  <c r="P171" s="1"/>
  <c r="M23"/>
  <c r="P23" s="1"/>
  <c r="M31"/>
  <c r="P31" s="1"/>
  <c r="M191"/>
  <c r="P191" s="1"/>
  <c r="M199"/>
  <c r="P199" s="1"/>
  <c r="M251"/>
  <c r="P251" s="1"/>
  <c r="M402"/>
  <c r="P402" s="1"/>
  <c r="M395"/>
  <c r="P395" s="1"/>
  <c r="M375"/>
  <c r="P375" s="1"/>
  <c r="M367"/>
  <c r="P367" s="1"/>
  <c r="M351"/>
  <c r="P351" s="1"/>
  <c r="M343"/>
  <c r="P343" s="1"/>
  <c r="M335"/>
  <c r="P335" s="1"/>
  <c r="M319"/>
  <c r="P319" s="1"/>
  <c r="M311"/>
  <c r="P311" s="1"/>
  <c r="M299"/>
  <c r="P299" s="1"/>
  <c r="M291"/>
  <c r="P291" s="1"/>
  <c r="M283"/>
  <c r="P283" s="1"/>
  <c r="M275"/>
  <c r="P275" s="1"/>
  <c r="M267"/>
  <c r="P267" s="1"/>
  <c r="M124"/>
  <c r="P124" s="1"/>
  <c r="M10"/>
  <c r="P10" s="1"/>
  <c r="M211"/>
  <c r="P211" s="1"/>
  <c r="M106"/>
  <c r="P106" s="1"/>
  <c r="P445" i="15"/>
  <c r="AB445"/>
  <c r="AI78"/>
  <c r="AJ78" s="1"/>
  <c r="AI431"/>
  <c r="AJ431" s="1"/>
  <c r="AI310"/>
  <c r="AJ310" s="1"/>
  <c r="AI226"/>
  <c r="AJ226" s="1"/>
  <c r="AI199"/>
  <c r="AJ199" s="1"/>
  <c r="AI191"/>
  <c r="AJ191" s="1"/>
  <c r="AI7"/>
  <c r="M257" i="5"/>
  <c r="P257" s="1"/>
  <c r="M207"/>
  <c r="P207" s="1"/>
  <c r="M354"/>
  <c r="P354" s="1"/>
  <c r="M362"/>
  <c r="P362" s="1"/>
  <c r="M145"/>
  <c r="P145" s="1"/>
  <c r="M249"/>
  <c r="P249" s="1"/>
  <c r="M215"/>
  <c r="P215" s="1"/>
  <c r="M193"/>
  <c r="P193" s="1"/>
  <c r="M417"/>
  <c r="P417" s="1"/>
  <c r="M378"/>
  <c r="P378" s="1"/>
  <c r="M312"/>
  <c r="P312" s="1"/>
  <c r="M256"/>
  <c r="P256" s="1"/>
  <c r="M203"/>
  <c r="P203" s="1"/>
  <c r="M87"/>
  <c r="P87" s="1"/>
  <c r="M79"/>
  <c r="P79" s="1"/>
  <c r="M399"/>
  <c r="P399" s="1"/>
  <c r="M321"/>
  <c r="P321" s="1"/>
  <c r="M316"/>
  <c r="P316" s="1"/>
  <c r="M284"/>
  <c r="P284" s="1"/>
  <c r="M255"/>
  <c r="P255" s="1"/>
  <c r="M223"/>
  <c r="P223" s="1"/>
  <c r="I445"/>
  <c r="I447" s="1"/>
  <c r="H445"/>
  <c r="H447" s="1"/>
  <c r="N8" i="9"/>
  <c r="K446"/>
  <c r="K448" s="1"/>
  <c r="M132" i="5"/>
  <c r="P132" s="1"/>
  <c r="M308"/>
  <c r="P308" s="1"/>
  <c r="M43"/>
  <c r="P43" s="1"/>
  <c r="M153"/>
  <c r="P153" s="1"/>
  <c r="M95"/>
  <c r="P95" s="1"/>
  <c r="M181"/>
  <c r="P181" s="1"/>
  <c r="M141"/>
  <c r="P141" s="1"/>
  <c r="L445"/>
  <c r="L447" s="1"/>
  <c r="M420"/>
  <c r="P420" s="1"/>
  <c r="M352"/>
  <c r="P352" s="1"/>
  <c r="M155"/>
  <c r="P155" s="1"/>
  <c r="M313"/>
  <c r="P313" s="1"/>
  <c r="M327"/>
  <c r="P327" s="1"/>
  <c r="M130"/>
  <c r="P130" s="1"/>
  <c r="M298"/>
  <c r="P298" s="1"/>
  <c r="M305"/>
  <c r="P305" s="1"/>
  <c r="M353"/>
  <c r="P353" s="1"/>
  <c r="E448" i="9"/>
  <c r="M444" i="5"/>
  <c r="P444" s="1"/>
  <c r="M41"/>
  <c r="P41" s="1"/>
  <c r="D11" i="2"/>
  <c r="L11" s="1"/>
  <c r="N11" s="1"/>
  <c r="S9" i="1"/>
  <c r="G445" i="5"/>
  <c r="G447" s="1"/>
  <c r="E445"/>
  <c r="E447" s="1"/>
  <c r="Q76" i="1"/>
  <c r="S16"/>
  <c r="R45" s="1"/>
  <c r="S15"/>
  <c r="J9" i="2"/>
  <c r="S14" i="1"/>
  <c r="I9" i="2"/>
  <c r="S13" i="1"/>
  <c r="H9" i="2"/>
  <c r="S12" i="1"/>
  <c r="G9" i="2"/>
  <c r="S11" i="1"/>
  <c r="F9" i="2"/>
  <c r="S10" i="1"/>
  <c r="E9" i="2"/>
  <c r="D9"/>
  <c r="S8" i="1"/>
  <c r="Q18"/>
  <c r="AI445" i="15" l="1"/>
  <c r="AJ445" s="1"/>
  <c r="AJ7"/>
  <c r="F49" i="5"/>
  <c r="M49" s="1"/>
  <c r="P49" s="1"/>
  <c r="F21"/>
  <c r="L9" i="2"/>
  <c r="S18" i="1"/>
  <c r="C743"/>
  <c r="Q742"/>
  <c r="Q741"/>
  <c r="K34" i="2" s="1"/>
  <c r="Q740" i="1"/>
  <c r="J34" i="2" s="1"/>
  <c r="Q739" i="1"/>
  <c r="I34" i="2" s="1"/>
  <c r="Q738" i="1"/>
  <c r="H34" i="2" s="1"/>
  <c r="Q737" i="1"/>
  <c r="G34" i="2" s="1"/>
  <c r="Q736" i="1"/>
  <c r="F34" i="2" s="1"/>
  <c r="Q735" i="1"/>
  <c r="E34" i="2" s="1"/>
  <c r="P714" i="1"/>
  <c r="O714"/>
  <c r="N714"/>
  <c r="M714"/>
  <c r="L714"/>
  <c r="K714"/>
  <c r="J714"/>
  <c r="I714"/>
  <c r="H714"/>
  <c r="G714"/>
  <c r="F714"/>
  <c r="E714"/>
  <c r="D714"/>
  <c r="C714"/>
  <c r="Q713"/>
  <c r="Q712"/>
  <c r="K33" i="2" s="1"/>
  <c r="Q711" i="1"/>
  <c r="J33" i="2" s="1"/>
  <c r="Q710" i="1"/>
  <c r="I33" i="2" s="1"/>
  <c r="Q709" i="1"/>
  <c r="H33" i="2" s="1"/>
  <c r="Q708" i="1"/>
  <c r="G33" i="2" s="1"/>
  <c r="Q707" i="1"/>
  <c r="F33" i="2" s="1"/>
  <c r="Q706" i="1"/>
  <c r="E33" i="2" s="1"/>
  <c r="Q705" i="1"/>
  <c r="D33" i="2" s="1"/>
  <c r="Q704" i="1"/>
  <c r="P685"/>
  <c r="O685"/>
  <c r="N685"/>
  <c r="M685"/>
  <c r="L685"/>
  <c r="K685"/>
  <c r="J685"/>
  <c r="I685"/>
  <c r="H685"/>
  <c r="G685"/>
  <c r="F685"/>
  <c r="E685"/>
  <c r="D685"/>
  <c r="C685"/>
  <c r="Q684"/>
  <c r="Q683"/>
  <c r="K32" i="2" s="1"/>
  <c r="Q682" i="1"/>
  <c r="J32" i="2" s="1"/>
  <c r="Q681" i="1"/>
  <c r="I32" i="2" s="1"/>
  <c r="Q680" i="1"/>
  <c r="H32" i="2" s="1"/>
  <c r="Q679" i="1"/>
  <c r="G32" i="2" s="1"/>
  <c r="Q678" i="1"/>
  <c r="F32" i="2" s="1"/>
  <c r="Q677" i="1"/>
  <c r="E32" i="2" s="1"/>
  <c r="Q676" i="1"/>
  <c r="D32" i="2" s="1"/>
  <c r="Q675" i="1"/>
  <c r="C32" i="2" s="1"/>
  <c r="P656" i="1"/>
  <c r="O656"/>
  <c r="N656"/>
  <c r="M656"/>
  <c r="L656"/>
  <c r="K656"/>
  <c r="J656"/>
  <c r="I656"/>
  <c r="H656"/>
  <c r="G656"/>
  <c r="F656"/>
  <c r="E656"/>
  <c r="D656"/>
  <c r="C656"/>
  <c r="Q655"/>
  <c r="Q654"/>
  <c r="K31" i="2" s="1"/>
  <c r="Q653" i="1"/>
  <c r="J31" i="2" s="1"/>
  <c r="Q652" i="1"/>
  <c r="I31" i="2" s="1"/>
  <c r="Q651" i="1"/>
  <c r="H31" i="2" s="1"/>
  <c r="Q650" i="1"/>
  <c r="G31" i="2" s="1"/>
  <c r="Q649" i="1"/>
  <c r="F31" i="2" s="1"/>
  <c r="Q648" i="1"/>
  <c r="E31" i="2" s="1"/>
  <c r="Q647" i="1"/>
  <c r="D31" i="2" s="1"/>
  <c r="Q646" i="1"/>
  <c r="C31" i="2" s="1"/>
  <c r="P627" i="1"/>
  <c r="O627"/>
  <c r="N627"/>
  <c r="M627"/>
  <c r="L627"/>
  <c r="K627"/>
  <c r="J627"/>
  <c r="I627"/>
  <c r="H627"/>
  <c r="G627"/>
  <c r="F627"/>
  <c r="E627"/>
  <c r="D627"/>
  <c r="C627"/>
  <c r="Q626"/>
  <c r="Q625"/>
  <c r="K30" i="2" s="1"/>
  <c r="Q624" i="1"/>
  <c r="J30" i="2" s="1"/>
  <c r="Q623" i="1"/>
  <c r="I30" i="2" s="1"/>
  <c r="Q622" i="1"/>
  <c r="H30" i="2" s="1"/>
  <c r="Q621" i="1"/>
  <c r="G30" i="2" s="1"/>
  <c r="Q620" i="1"/>
  <c r="F30" i="2" s="1"/>
  <c r="Q619" i="1"/>
  <c r="E30" i="2" s="1"/>
  <c r="Q618" i="1"/>
  <c r="D30" i="2" s="1"/>
  <c r="Q617" i="1"/>
  <c r="C30" i="2" s="1"/>
  <c r="P598" i="1"/>
  <c r="O598"/>
  <c r="N598"/>
  <c r="M598"/>
  <c r="L598"/>
  <c r="K598"/>
  <c r="J598"/>
  <c r="I598"/>
  <c r="H598"/>
  <c r="G598"/>
  <c r="F598"/>
  <c r="E598"/>
  <c r="D598"/>
  <c r="C598"/>
  <c r="Q597"/>
  <c r="Q596"/>
  <c r="K29" i="2" s="1"/>
  <c r="Q595" i="1"/>
  <c r="J29" i="2" s="1"/>
  <c r="Q594" i="1"/>
  <c r="I29" i="2" s="1"/>
  <c r="Q593" i="1"/>
  <c r="H29" i="2" s="1"/>
  <c r="Q592" i="1"/>
  <c r="G29" i="2" s="1"/>
  <c r="Q591" i="1"/>
  <c r="F29" i="2" s="1"/>
  <c r="Q590" i="1"/>
  <c r="E29" i="2" s="1"/>
  <c r="Q589" i="1"/>
  <c r="D29" i="2" s="1"/>
  <c r="Q588" i="1"/>
  <c r="C29" i="2" s="1"/>
  <c r="P569" i="1"/>
  <c r="O569"/>
  <c r="N569"/>
  <c r="M569"/>
  <c r="L569"/>
  <c r="K569"/>
  <c r="J569"/>
  <c r="I569"/>
  <c r="H569"/>
  <c r="G569"/>
  <c r="F569"/>
  <c r="E569"/>
  <c r="D569"/>
  <c r="Q568"/>
  <c r="Q567"/>
  <c r="K28" i="2" s="1"/>
  <c r="Q566" i="1"/>
  <c r="J28" i="2" s="1"/>
  <c r="Q565" i="1"/>
  <c r="I28" i="2" s="1"/>
  <c r="Q564" i="1"/>
  <c r="H28" i="2" s="1"/>
  <c r="Q563" i="1"/>
  <c r="G28" i="2" s="1"/>
  <c r="Q562" i="1"/>
  <c r="F28" i="2" s="1"/>
  <c r="Q561" i="1"/>
  <c r="E28" i="2" s="1"/>
  <c r="Q560" i="1"/>
  <c r="D28" i="2" s="1"/>
  <c r="Q559" i="1"/>
  <c r="C28" i="2" s="1"/>
  <c r="P540" i="1"/>
  <c r="O540"/>
  <c r="N540"/>
  <c r="M540"/>
  <c r="L540"/>
  <c r="K540"/>
  <c r="J540"/>
  <c r="I540"/>
  <c r="H540"/>
  <c r="G540"/>
  <c r="F540"/>
  <c r="E540"/>
  <c r="D540"/>
  <c r="C540"/>
  <c r="Q539"/>
  <c r="Q538"/>
  <c r="K27" i="2" s="1"/>
  <c r="Q537" i="1"/>
  <c r="J27" i="2" s="1"/>
  <c r="Q536" i="1"/>
  <c r="I27" i="2" s="1"/>
  <c r="Q535" i="1"/>
  <c r="H27" i="2" s="1"/>
  <c r="Q534" i="1"/>
  <c r="G27" i="2" s="1"/>
  <c r="Q533" i="1"/>
  <c r="F27" i="2" s="1"/>
  <c r="Q532" i="1"/>
  <c r="E27" i="2" s="1"/>
  <c r="Q531" i="1"/>
  <c r="D27" i="2" s="1"/>
  <c r="Q530" i="1"/>
  <c r="C27" i="2" s="1"/>
  <c r="P511" i="1"/>
  <c r="O511"/>
  <c r="N511"/>
  <c r="M511"/>
  <c r="L511"/>
  <c r="K511"/>
  <c r="J511"/>
  <c r="I511"/>
  <c r="H511"/>
  <c r="G511"/>
  <c r="F511"/>
  <c r="E511"/>
  <c r="D511"/>
  <c r="C511"/>
  <c r="Q510"/>
  <c r="Q509"/>
  <c r="K26" i="2" s="1"/>
  <c r="Q508" i="1"/>
  <c r="J26" i="2" s="1"/>
  <c r="Q507" i="1"/>
  <c r="I26" i="2" s="1"/>
  <c r="Q506" i="1"/>
  <c r="H26" i="2" s="1"/>
  <c r="Q505" i="1"/>
  <c r="G26" i="2" s="1"/>
  <c r="Q504" i="1"/>
  <c r="F26" i="2" s="1"/>
  <c r="Q503" i="1"/>
  <c r="E26" i="2" s="1"/>
  <c r="Q502" i="1"/>
  <c r="D26" i="2" s="1"/>
  <c r="Q501" i="1"/>
  <c r="C26" i="2" s="1"/>
  <c r="P482" i="1"/>
  <c r="O482"/>
  <c r="N482"/>
  <c r="M482"/>
  <c r="L482"/>
  <c r="K482"/>
  <c r="J482"/>
  <c r="I482"/>
  <c r="H482"/>
  <c r="G482"/>
  <c r="F482"/>
  <c r="E482"/>
  <c r="D482"/>
  <c r="C482"/>
  <c r="Q481"/>
  <c r="Q480"/>
  <c r="K25" i="2" s="1"/>
  <c r="Q479" i="1"/>
  <c r="J25" i="2" s="1"/>
  <c r="Q478" i="1"/>
  <c r="I25" i="2" s="1"/>
  <c r="Q477" i="1"/>
  <c r="H25" i="2" s="1"/>
  <c r="Q476" i="1"/>
  <c r="G25" i="2" s="1"/>
  <c r="Q475" i="1"/>
  <c r="F25" i="2" s="1"/>
  <c r="Q474" i="1"/>
  <c r="E25" i="2" s="1"/>
  <c r="Q473" i="1"/>
  <c r="D25" i="2" s="1"/>
  <c r="Q472" i="1"/>
  <c r="C25" i="2" s="1"/>
  <c r="P453" i="1"/>
  <c r="O453"/>
  <c r="N453"/>
  <c r="M453"/>
  <c r="L453"/>
  <c r="K453"/>
  <c r="J453"/>
  <c r="I453"/>
  <c r="H453"/>
  <c r="G453"/>
  <c r="F453"/>
  <c r="E453"/>
  <c r="D453"/>
  <c r="C453"/>
  <c r="Q452"/>
  <c r="Q451"/>
  <c r="K24" i="2" s="1"/>
  <c r="Q450" i="1"/>
  <c r="J24" i="2" s="1"/>
  <c r="Q449" i="1"/>
  <c r="I24" i="2" s="1"/>
  <c r="Q448" i="1"/>
  <c r="H24" i="2" s="1"/>
  <c r="Q447" i="1"/>
  <c r="G24" i="2" s="1"/>
  <c r="Q446" i="1"/>
  <c r="F24" i="2" s="1"/>
  <c r="Q445" i="1"/>
  <c r="E24" i="2" s="1"/>
  <c r="Q444" i="1"/>
  <c r="D24" i="2" s="1"/>
  <c r="Q443" i="1"/>
  <c r="C24" i="2" s="1"/>
  <c r="P424" i="1"/>
  <c r="O424"/>
  <c r="N424"/>
  <c r="M424"/>
  <c r="L424"/>
  <c r="K424"/>
  <c r="J424"/>
  <c r="I424"/>
  <c r="H424"/>
  <c r="G424"/>
  <c r="F424"/>
  <c r="E424"/>
  <c r="D424"/>
  <c r="Q423"/>
  <c r="Q422"/>
  <c r="K23" i="2" s="1"/>
  <c r="Q421" i="1"/>
  <c r="J23" i="2" s="1"/>
  <c r="Q420" i="1"/>
  <c r="I23" i="2" s="1"/>
  <c r="Q419" i="1"/>
  <c r="H23" i="2" s="1"/>
  <c r="Q418" i="1"/>
  <c r="G23" i="2" s="1"/>
  <c r="Q417" i="1"/>
  <c r="F23" i="2" s="1"/>
  <c r="Q416" i="1"/>
  <c r="E23" i="2" s="1"/>
  <c r="Q415" i="1"/>
  <c r="D23" i="2" s="1"/>
  <c r="Q414" i="1"/>
  <c r="C23" i="2" s="1"/>
  <c r="P395" i="1"/>
  <c r="O395"/>
  <c r="N395"/>
  <c r="M395"/>
  <c r="L395"/>
  <c r="K395"/>
  <c r="J395"/>
  <c r="I395"/>
  <c r="H395"/>
  <c r="G395"/>
  <c r="F395"/>
  <c r="E395"/>
  <c r="D395"/>
  <c r="C395"/>
  <c r="Q394"/>
  <c r="Q393"/>
  <c r="K22" i="2" s="1"/>
  <c r="Q392" i="1"/>
  <c r="J22" i="2" s="1"/>
  <c r="Q391" i="1"/>
  <c r="I22" i="2" s="1"/>
  <c r="Q390" i="1"/>
  <c r="H22" i="2" s="1"/>
  <c r="Q389" i="1"/>
  <c r="G22" i="2" s="1"/>
  <c r="Q388" i="1"/>
  <c r="F22" i="2" s="1"/>
  <c r="Q387" i="1"/>
  <c r="E22" i="2" s="1"/>
  <c r="Q386" i="1"/>
  <c r="D22" i="2" s="1"/>
  <c r="Q385" i="1"/>
  <c r="C22" i="2" s="1"/>
  <c r="P366" i="1"/>
  <c r="O366"/>
  <c r="N366"/>
  <c r="M366"/>
  <c r="L366"/>
  <c r="K366"/>
  <c r="J366"/>
  <c r="I366"/>
  <c r="H366"/>
  <c r="G366"/>
  <c r="F366"/>
  <c r="E366"/>
  <c r="D366"/>
  <c r="C366"/>
  <c r="Q365"/>
  <c r="Q364"/>
  <c r="K21" i="2" s="1"/>
  <c r="Q363" i="1"/>
  <c r="J21" i="2" s="1"/>
  <c r="Q362" i="1"/>
  <c r="I21" i="2" s="1"/>
  <c r="Q361" i="1"/>
  <c r="H21" i="2" s="1"/>
  <c r="Q360" i="1"/>
  <c r="G21" i="2" s="1"/>
  <c r="Q359" i="1"/>
  <c r="F21" i="2" s="1"/>
  <c r="Q358" i="1"/>
  <c r="E21" i="2" s="1"/>
  <c r="Q357" i="1"/>
  <c r="D21" i="2" s="1"/>
  <c r="Q356" i="1"/>
  <c r="C21" i="2" s="1"/>
  <c r="P337" i="1"/>
  <c r="O337"/>
  <c r="N337"/>
  <c r="M337"/>
  <c r="L337"/>
  <c r="K337"/>
  <c r="J337"/>
  <c r="I337"/>
  <c r="H337"/>
  <c r="G337"/>
  <c r="F337"/>
  <c r="E337"/>
  <c r="D337"/>
  <c r="C337"/>
  <c r="Q336"/>
  <c r="Q335"/>
  <c r="K20" i="2" s="1"/>
  <c r="Q334" i="1"/>
  <c r="J20" i="2" s="1"/>
  <c r="Q333" i="1"/>
  <c r="I20" i="2" s="1"/>
  <c r="Q332" i="1"/>
  <c r="H20" i="2" s="1"/>
  <c r="Q331" i="1"/>
  <c r="G20" i="2" s="1"/>
  <c r="Q330" i="1"/>
  <c r="F20" i="2" s="1"/>
  <c r="Q329" i="1"/>
  <c r="E20" i="2" s="1"/>
  <c r="Q328" i="1"/>
  <c r="D20" i="2" s="1"/>
  <c r="Q327" i="1"/>
  <c r="C20" i="2" s="1"/>
  <c r="P308" i="1"/>
  <c r="O308"/>
  <c r="N308"/>
  <c r="M308"/>
  <c r="L308"/>
  <c r="K308"/>
  <c r="J308"/>
  <c r="I308"/>
  <c r="H308"/>
  <c r="G308"/>
  <c r="F308"/>
  <c r="E308"/>
  <c r="D308"/>
  <c r="C308"/>
  <c r="Q307"/>
  <c r="Q306"/>
  <c r="K19" i="2" s="1"/>
  <c r="Q305" i="1"/>
  <c r="J19" i="2" s="1"/>
  <c r="Q304" i="1"/>
  <c r="I19" i="2" s="1"/>
  <c r="Q303" i="1"/>
  <c r="H19" i="2" s="1"/>
  <c r="Q302" i="1"/>
  <c r="G19" i="2" s="1"/>
  <c r="Q301" i="1"/>
  <c r="F19" i="2" s="1"/>
  <c r="Q300" i="1"/>
  <c r="E19" i="2" s="1"/>
  <c r="Q299" i="1"/>
  <c r="D19" i="2" s="1"/>
  <c r="Q298" i="1"/>
  <c r="C19" i="2" s="1"/>
  <c r="P279" i="1"/>
  <c r="O279"/>
  <c r="N279"/>
  <c r="M279"/>
  <c r="L279"/>
  <c r="K279"/>
  <c r="J279"/>
  <c r="I279"/>
  <c r="H279"/>
  <c r="G279"/>
  <c r="F279"/>
  <c r="E279"/>
  <c r="D279"/>
  <c r="C279"/>
  <c r="Q278"/>
  <c r="Q277"/>
  <c r="K18" i="2" s="1"/>
  <c r="Q276" i="1"/>
  <c r="J18" i="2" s="1"/>
  <c r="Q275" i="1"/>
  <c r="I18" i="2" s="1"/>
  <c r="Q274" i="1"/>
  <c r="H18" i="2" s="1"/>
  <c r="Q273" i="1"/>
  <c r="G18" i="2" s="1"/>
  <c r="Q272" i="1"/>
  <c r="F18" i="2" s="1"/>
  <c r="Q271" i="1"/>
  <c r="E18" i="2" s="1"/>
  <c r="Q270" i="1"/>
  <c r="Q269"/>
  <c r="C18" i="2" s="1"/>
  <c r="P250" i="1"/>
  <c r="O250"/>
  <c r="N250"/>
  <c r="M250"/>
  <c r="L250"/>
  <c r="K250"/>
  <c r="J250"/>
  <c r="I250"/>
  <c r="H250"/>
  <c r="G250"/>
  <c r="F250"/>
  <c r="E250"/>
  <c r="D250"/>
  <c r="C250"/>
  <c r="Q249"/>
  <c r="Q248"/>
  <c r="K17" i="2" s="1"/>
  <c r="Q247" i="1"/>
  <c r="J17" i="2" s="1"/>
  <c r="Q246" i="1"/>
  <c r="I17" i="2" s="1"/>
  <c r="Q245" i="1"/>
  <c r="H17" i="2" s="1"/>
  <c r="Q244" i="1"/>
  <c r="G17" i="2" s="1"/>
  <c r="Q243" i="1"/>
  <c r="F17" i="2" s="1"/>
  <c r="Q242" i="1"/>
  <c r="E17" i="2" s="1"/>
  <c r="Q241" i="1"/>
  <c r="Q240"/>
  <c r="C17" i="2" s="1"/>
  <c r="P221" i="1"/>
  <c r="O221"/>
  <c r="N221"/>
  <c r="M221"/>
  <c r="L221"/>
  <c r="K221"/>
  <c r="J221"/>
  <c r="I221"/>
  <c r="H221"/>
  <c r="G221"/>
  <c r="F221"/>
  <c r="E221"/>
  <c r="D221"/>
  <c r="C221"/>
  <c r="Q220"/>
  <c r="Q219"/>
  <c r="K16" i="2" s="1"/>
  <c r="Q218" i="1"/>
  <c r="J16" i="2" s="1"/>
  <c r="Q217" i="1"/>
  <c r="I16" i="2" s="1"/>
  <c r="Q216" i="1"/>
  <c r="H16" i="2" s="1"/>
  <c r="Q215" i="1"/>
  <c r="G16" i="2" s="1"/>
  <c r="Q214" i="1"/>
  <c r="F16" i="2" s="1"/>
  <c r="Q213" i="1"/>
  <c r="E16" i="2" s="1"/>
  <c r="Q212" i="1"/>
  <c r="Q211"/>
  <c r="C16" i="2" s="1"/>
  <c r="P192" i="1"/>
  <c r="O192"/>
  <c r="N192"/>
  <c r="M192"/>
  <c r="L192"/>
  <c r="K192"/>
  <c r="J192"/>
  <c r="I192"/>
  <c r="H192"/>
  <c r="G192"/>
  <c r="F192"/>
  <c r="E192"/>
  <c r="D192"/>
  <c r="C192"/>
  <c r="Q191"/>
  <c r="Q190"/>
  <c r="K15" i="2" s="1"/>
  <c r="Q189" i="1"/>
  <c r="J15" i="2" s="1"/>
  <c r="Q188" i="1"/>
  <c r="I15" i="2" s="1"/>
  <c r="Q187" i="1"/>
  <c r="H15" i="2" s="1"/>
  <c r="Q186" i="1"/>
  <c r="G15" i="2" s="1"/>
  <c r="Q185" i="1"/>
  <c r="F15" i="2" s="1"/>
  <c r="Q184" i="1"/>
  <c r="E15" i="2" s="1"/>
  <c r="Q183" i="1"/>
  <c r="Q182"/>
  <c r="C15" i="2" s="1"/>
  <c r="P163" i="1"/>
  <c r="O163"/>
  <c r="N163"/>
  <c r="M163"/>
  <c r="L163"/>
  <c r="K163"/>
  <c r="J163"/>
  <c r="I163"/>
  <c r="H163"/>
  <c r="G163"/>
  <c r="F163"/>
  <c r="E163"/>
  <c r="D163"/>
  <c r="C163"/>
  <c r="Q162"/>
  <c r="Q161"/>
  <c r="K14" i="2" s="1"/>
  <c r="Q160" i="1"/>
  <c r="J14" i="2" s="1"/>
  <c r="Q159" i="1"/>
  <c r="I14" i="2" s="1"/>
  <c r="Q158" i="1"/>
  <c r="H14" i="2" s="1"/>
  <c r="Q157" i="1"/>
  <c r="G14" i="2" s="1"/>
  <c r="Q156" i="1"/>
  <c r="F14" i="2" s="1"/>
  <c r="Q155" i="1"/>
  <c r="E14" i="2" s="1"/>
  <c r="Q154" i="1"/>
  <c r="Q153"/>
  <c r="C14" i="2" s="1"/>
  <c r="P134" i="1"/>
  <c r="O134"/>
  <c r="N134"/>
  <c r="M134"/>
  <c r="L134"/>
  <c r="K134"/>
  <c r="J134"/>
  <c r="I134"/>
  <c r="H134"/>
  <c r="G134"/>
  <c r="F134"/>
  <c r="E134"/>
  <c r="D134"/>
  <c r="C134"/>
  <c r="Q133"/>
  <c r="Q132"/>
  <c r="K13" i="2" s="1"/>
  <c r="Q131" i="1"/>
  <c r="J13" i="2" s="1"/>
  <c r="Q130" i="1"/>
  <c r="I13" i="2" s="1"/>
  <c r="Q129" i="1"/>
  <c r="H13" i="2" s="1"/>
  <c r="Q128" i="1"/>
  <c r="G13" i="2" s="1"/>
  <c r="Q127" i="1"/>
  <c r="F13" i="2" s="1"/>
  <c r="Q126" i="1"/>
  <c r="E13" i="2" s="1"/>
  <c r="Q125" i="1"/>
  <c r="Q124"/>
  <c r="C13" i="2" s="1"/>
  <c r="P105" i="1"/>
  <c r="O105"/>
  <c r="N105"/>
  <c r="M105"/>
  <c r="L105"/>
  <c r="K105"/>
  <c r="J105"/>
  <c r="I105"/>
  <c r="H105"/>
  <c r="G105"/>
  <c r="F105"/>
  <c r="E105"/>
  <c r="D105"/>
  <c r="C105"/>
  <c r="Q104"/>
  <c r="Q103"/>
  <c r="K12" i="2" s="1"/>
  <c r="Q102" i="1"/>
  <c r="J12" i="2" s="1"/>
  <c r="Q101" i="1"/>
  <c r="I12" i="2" s="1"/>
  <c r="Q100" i="1"/>
  <c r="H12" i="2" s="1"/>
  <c r="Q99" i="1"/>
  <c r="G12" i="2" s="1"/>
  <c r="Q98" i="1"/>
  <c r="F12" i="2" s="1"/>
  <c r="Q97" i="1"/>
  <c r="E12" i="2" s="1"/>
  <c r="Q96" i="1"/>
  <c r="Q95"/>
  <c r="C12" i="2" s="1"/>
  <c r="Q75" i="1"/>
  <c r="Q46"/>
  <c r="Q45"/>
  <c r="K10" i="2" s="1"/>
  <c r="Q44" i="1"/>
  <c r="J10" i="2" s="1"/>
  <c r="Q43" i="1"/>
  <c r="I10" i="2" s="1"/>
  <c r="Q42" i="1"/>
  <c r="H10" i="2" s="1"/>
  <c r="Q41" i="1"/>
  <c r="G10" i="2" s="1"/>
  <c r="Q40" i="1"/>
  <c r="F10" i="2" s="1"/>
  <c r="Q39" i="1"/>
  <c r="E10" i="2" s="1"/>
  <c r="Q38" i="1"/>
  <c r="Q37"/>
  <c r="R40"/>
  <c r="R41"/>
  <c r="R42"/>
  <c r="R43"/>
  <c r="R44"/>
  <c r="R39"/>
  <c r="R38"/>
  <c r="D18" i="2" l="1"/>
  <c r="D17"/>
  <c r="L17" s="1"/>
  <c r="N17" s="1"/>
  <c r="D16"/>
  <c r="L16" s="1"/>
  <c r="N16" s="1"/>
  <c r="D15"/>
  <c r="L15" s="1"/>
  <c r="N15" s="1"/>
  <c r="D14"/>
  <c r="L14" s="1"/>
  <c r="N14" s="1"/>
  <c r="D13"/>
  <c r="L13" s="1"/>
  <c r="N13" s="1"/>
  <c r="D12"/>
  <c r="L12" s="1"/>
  <c r="N12" s="1"/>
  <c r="D10"/>
  <c r="M21" i="5"/>
  <c r="P21" s="1"/>
  <c r="F41" i="2"/>
  <c r="F43" s="1"/>
  <c r="E41"/>
  <c r="E43" s="1"/>
  <c r="I41"/>
  <c r="I43" s="1"/>
  <c r="H41"/>
  <c r="H43" s="1"/>
  <c r="G41"/>
  <c r="G43" s="1"/>
  <c r="K41"/>
  <c r="K43" s="1"/>
  <c r="J41"/>
  <c r="J43" s="1"/>
  <c r="L30"/>
  <c r="N30" s="1"/>
  <c r="L32"/>
  <c r="N32" s="1"/>
  <c r="L31"/>
  <c r="N31" s="1"/>
  <c r="L23"/>
  <c r="N23" s="1"/>
  <c r="L24"/>
  <c r="N24" s="1"/>
  <c r="L20"/>
  <c r="N20" s="1"/>
  <c r="L22"/>
  <c r="N22" s="1"/>
  <c r="L25"/>
  <c r="N25" s="1"/>
  <c r="L26"/>
  <c r="N26" s="1"/>
  <c r="L28"/>
  <c r="N28" s="1"/>
  <c r="L34"/>
  <c r="C33"/>
  <c r="L27"/>
  <c r="N27" s="1"/>
  <c r="L21"/>
  <c r="N21" s="1"/>
  <c r="L19"/>
  <c r="N19" s="1"/>
  <c r="C10"/>
  <c r="Q47" i="1"/>
  <c r="N9" i="2"/>
  <c r="Q743" i="1"/>
  <c r="Q714"/>
  <c r="S39"/>
  <c r="S41"/>
  <c r="S43"/>
  <c r="S45"/>
  <c r="Q540"/>
  <c r="Q105"/>
  <c r="Q134"/>
  <c r="Q163"/>
  <c r="Q192"/>
  <c r="Q221"/>
  <c r="Q250"/>
  <c r="Q279"/>
  <c r="Q308"/>
  <c r="Q337"/>
  <c r="Q366"/>
  <c r="Q395"/>
  <c r="Q424"/>
  <c r="Q453"/>
  <c r="Q482"/>
  <c r="Q511"/>
  <c r="Q569"/>
  <c r="Q598"/>
  <c r="Q627"/>
  <c r="Q656"/>
  <c r="Q685"/>
  <c r="S44"/>
  <c r="S38"/>
  <c r="S40"/>
  <c r="S42"/>
  <c r="S46"/>
  <c r="R37"/>
  <c r="F147" i="5" l="1"/>
  <c r="M147" s="1"/>
  <c r="P147" s="1"/>
  <c r="F133"/>
  <c r="M133" s="1"/>
  <c r="P133" s="1"/>
  <c r="F119"/>
  <c r="M119" s="1"/>
  <c r="P119" s="1"/>
  <c r="F105"/>
  <c r="M105" s="1"/>
  <c r="P105" s="1"/>
  <c r="F91"/>
  <c r="M91" s="1"/>
  <c r="P91" s="1"/>
  <c r="F77"/>
  <c r="M77" s="1"/>
  <c r="P77" s="1"/>
  <c r="F63"/>
  <c r="M63" s="1"/>
  <c r="P63" s="1"/>
  <c r="D41" i="2"/>
  <c r="D43" s="1"/>
  <c r="F35" i="5"/>
  <c r="D446" i="9"/>
  <c r="C41" i="2"/>
  <c r="C43" s="1"/>
  <c r="L29"/>
  <c r="N29" s="1"/>
  <c r="L33"/>
  <c r="N33" s="1"/>
  <c r="N34"/>
  <c r="L10"/>
  <c r="R75" i="1"/>
  <c r="S75" s="1"/>
  <c r="R104" s="1"/>
  <c r="S104" s="1"/>
  <c r="R133" s="1"/>
  <c r="S133" s="1"/>
  <c r="R162" s="1"/>
  <c r="S162" s="1"/>
  <c r="R191" s="1"/>
  <c r="S191" s="1"/>
  <c r="R220" s="1"/>
  <c r="S220" s="1"/>
  <c r="R249" s="1"/>
  <c r="S249" s="1"/>
  <c r="R278" s="1"/>
  <c r="S278" s="1"/>
  <c r="R307" s="1"/>
  <c r="S307" s="1"/>
  <c r="R336" s="1"/>
  <c r="S336" s="1"/>
  <c r="R365" s="1"/>
  <c r="S365" s="1"/>
  <c r="R394" s="1"/>
  <c r="S394" s="1"/>
  <c r="R423" s="1"/>
  <c r="S423" s="1"/>
  <c r="R452" s="1"/>
  <c r="S452" s="1"/>
  <c r="R481" s="1"/>
  <c r="S481" s="1"/>
  <c r="R510" s="1"/>
  <c r="S510" s="1"/>
  <c r="R539" s="1"/>
  <c r="S539" s="1"/>
  <c r="R568" s="1"/>
  <c r="S568" s="1"/>
  <c r="R597" s="1"/>
  <c r="S597" s="1"/>
  <c r="R626" s="1"/>
  <c r="S626" s="1"/>
  <c r="R655" s="1"/>
  <c r="S655" s="1"/>
  <c r="R684" s="1"/>
  <c r="S684" s="1"/>
  <c r="R713" s="1"/>
  <c r="S713" s="1"/>
  <c r="R742" s="1"/>
  <c r="S742" s="1"/>
  <c r="R771" s="1"/>
  <c r="S771" s="1"/>
  <c r="R800" s="1"/>
  <c r="S800" s="1"/>
  <c r="R829" s="1"/>
  <c r="S829" s="1"/>
  <c r="R858" s="1"/>
  <c r="S858" s="1"/>
  <c r="R887" s="1"/>
  <c r="S887" s="1"/>
  <c r="R916" s="1"/>
  <c r="S916" s="1"/>
  <c r="R74"/>
  <c r="S74" s="1"/>
  <c r="R103" s="1"/>
  <c r="S103" s="1"/>
  <c r="R132" s="1"/>
  <c r="S132" s="1"/>
  <c r="R161" s="1"/>
  <c r="S161" s="1"/>
  <c r="R190" s="1"/>
  <c r="S190" s="1"/>
  <c r="R219" s="1"/>
  <c r="S219" s="1"/>
  <c r="R248" s="1"/>
  <c r="S248" s="1"/>
  <c r="R277" s="1"/>
  <c r="S277" s="1"/>
  <c r="R306" s="1"/>
  <c r="S306" s="1"/>
  <c r="R335" s="1"/>
  <c r="S335" s="1"/>
  <c r="R364" s="1"/>
  <c r="S364" s="1"/>
  <c r="R393" s="1"/>
  <c r="S393" s="1"/>
  <c r="R422" s="1"/>
  <c r="S422" s="1"/>
  <c r="R451" s="1"/>
  <c r="S451" s="1"/>
  <c r="R480" s="1"/>
  <c r="S480" s="1"/>
  <c r="R509" s="1"/>
  <c r="S509" s="1"/>
  <c r="R538" s="1"/>
  <c r="S538" s="1"/>
  <c r="R567" s="1"/>
  <c r="S567" s="1"/>
  <c r="R596" s="1"/>
  <c r="S596" s="1"/>
  <c r="R625" s="1"/>
  <c r="S625" s="1"/>
  <c r="R654" s="1"/>
  <c r="S654" s="1"/>
  <c r="R683" s="1"/>
  <c r="S683" s="1"/>
  <c r="R712" s="1"/>
  <c r="S712" s="1"/>
  <c r="R741" s="1"/>
  <c r="S741" s="1"/>
  <c r="R770" s="1"/>
  <c r="S770" s="1"/>
  <c r="R799" s="1"/>
  <c r="S799" s="1"/>
  <c r="R828" s="1"/>
  <c r="S828" s="1"/>
  <c r="R857" s="1"/>
  <c r="S857" s="1"/>
  <c r="R886" s="1"/>
  <c r="S886" s="1"/>
  <c r="R915" s="1"/>
  <c r="S915" s="1"/>
  <c r="R73"/>
  <c r="S73" s="1"/>
  <c r="R102" s="1"/>
  <c r="S102" s="1"/>
  <c r="R131" s="1"/>
  <c r="S131" s="1"/>
  <c r="R160" s="1"/>
  <c r="S160" s="1"/>
  <c r="R189" s="1"/>
  <c r="S189" s="1"/>
  <c r="R218" s="1"/>
  <c r="S218" s="1"/>
  <c r="R247" s="1"/>
  <c r="S247" s="1"/>
  <c r="R276" s="1"/>
  <c r="S276" s="1"/>
  <c r="R305" s="1"/>
  <c r="S305" s="1"/>
  <c r="R334" s="1"/>
  <c r="S334" s="1"/>
  <c r="R363" s="1"/>
  <c r="S363" s="1"/>
  <c r="R392" s="1"/>
  <c r="S392" s="1"/>
  <c r="R421" s="1"/>
  <c r="S421" s="1"/>
  <c r="R450" s="1"/>
  <c r="S450" s="1"/>
  <c r="R479" s="1"/>
  <c r="S479" s="1"/>
  <c r="R508" s="1"/>
  <c r="S508" s="1"/>
  <c r="R537" s="1"/>
  <c r="S537" s="1"/>
  <c r="R566" s="1"/>
  <c r="S566" s="1"/>
  <c r="R595" s="1"/>
  <c r="S595" s="1"/>
  <c r="R624" s="1"/>
  <c r="S624" s="1"/>
  <c r="R653" s="1"/>
  <c r="S653" s="1"/>
  <c r="R682" s="1"/>
  <c r="S682" s="1"/>
  <c r="R711" s="1"/>
  <c r="S711" s="1"/>
  <c r="R72"/>
  <c r="S72" s="1"/>
  <c r="R101" s="1"/>
  <c r="S101" s="1"/>
  <c r="R130" s="1"/>
  <c r="S130" s="1"/>
  <c r="R159" s="1"/>
  <c r="S159" s="1"/>
  <c r="R188" s="1"/>
  <c r="S188" s="1"/>
  <c r="R217" s="1"/>
  <c r="S217" s="1"/>
  <c r="R246" s="1"/>
  <c r="S246" s="1"/>
  <c r="R275" s="1"/>
  <c r="S275" s="1"/>
  <c r="R304" s="1"/>
  <c r="S304" s="1"/>
  <c r="R333" s="1"/>
  <c r="S333" s="1"/>
  <c r="R362" s="1"/>
  <c r="S362" s="1"/>
  <c r="R391" s="1"/>
  <c r="S391" s="1"/>
  <c r="R420" s="1"/>
  <c r="S420" s="1"/>
  <c r="R449" s="1"/>
  <c r="S449" s="1"/>
  <c r="R478" s="1"/>
  <c r="S478" s="1"/>
  <c r="R507" s="1"/>
  <c r="S507" s="1"/>
  <c r="R536" s="1"/>
  <c r="S536" s="1"/>
  <c r="R565" s="1"/>
  <c r="S565" s="1"/>
  <c r="R594" s="1"/>
  <c r="S594" s="1"/>
  <c r="R623" s="1"/>
  <c r="S623" s="1"/>
  <c r="R652" s="1"/>
  <c r="S652" s="1"/>
  <c r="R681" s="1"/>
  <c r="S681" s="1"/>
  <c r="R710" s="1"/>
  <c r="S710" s="1"/>
  <c r="R739" s="1"/>
  <c r="S739" s="1"/>
  <c r="R768" s="1"/>
  <c r="S768" s="1"/>
  <c r="R797" s="1"/>
  <c r="S797" s="1"/>
  <c r="R826" s="1"/>
  <c r="S826" s="1"/>
  <c r="R855" s="1"/>
  <c r="S855" s="1"/>
  <c r="R884" s="1"/>
  <c r="S884" s="1"/>
  <c r="R913" s="1"/>
  <c r="S913" s="1"/>
  <c r="R71"/>
  <c r="S71" s="1"/>
  <c r="R100" s="1"/>
  <c r="S100" s="1"/>
  <c r="R129" s="1"/>
  <c r="S129" s="1"/>
  <c r="R158" s="1"/>
  <c r="S158" s="1"/>
  <c r="R187" s="1"/>
  <c r="S187" s="1"/>
  <c r="R216" s="1"/>
  <c r="S216" s="1"/>
  <c r="R245" s="1"/>
  <c r="S245" s="1"/>
  <c r="R274" s="1"/>
  <c r="S274" s="1"/>
  <c r="R303" s="1"/>
  <c r="S303" s="1"/>
  <c r="R332" s="1"/>
  <c r="S332" s="1"/>
  <c r="R361" s="1"/>
  <c r="S361" s="1"/>
  <c r="R390" s="1"/>
  <c r="S390" s="1"/>
  <c r="R419" s="1"/>
  <c r="S419" s="1"/>
  <c r="R448" s="1"/>
  <c r="S448" s="1"/>
  <c r="R477" s="1"/>
  <c r="S477" s="1"/>
  <c r="R506" s="1"/>
  <c r="S506" s="1"/>
  <c r="R535" s="1"/>
  <c r="S535" s="1"/>
  <c r="R564" s="1"/>
  <c r="S564" s="1"/>
  <c r="R593" s="1"/>
  <c r="S593" s="1"/>
  <c r="R622" s="1"/>
  <c r="S622" s="1"/>
  <c r="R651" s="1"/>
  <c r="S651" s="1"/>
  <c r="R680" s="1"/>
  <c r="S680" s="1"/>
  <c r="R709" s="1"/>
  <c r="S709" s="1"/>
  <c r="R738" s="1"/>
  <c r="S738" s="1"/>
  <c r="R767" s="1"/>
  <c r="S767" s="1"/>
  <c r="R796" s="1"/>
  <c r="S796" s="1"/>
  <c r="R825" s="1"/>
  <c r="S825" s="1"/>
  <c r="R854" s="1"/>
  <c r="S854" s="1"/>
  <c r="R883" s="1"/>
  <c r="S883" s="1"/>
  <c r="R912" s="1"/>
  <c r="S912" s="1"/>
  <c r="R70"/>
  <c r="S70" s="1"/>
  <c r="R99" s="1"/>
  <c r="S99" s="1"/>
  <c r="R128" s="1"/>
  <c r="S128" s="1"/>
  <c r="R157" s="1"/>
  <c r="S157" s="1"/>
  <c r="R186" s="1"/>
  <c r="S186" s="1"/>
  <c r="R215" s="1"/>
  <c r="S215" s="1"/>
  <c r="R244" s="1"/>
  <c r="S244" s="1"/>
  <c r="R273" s="1"/>
  <c r="S273" s="1"/>
  <c r="R302" s="1"/>
  <c r="S302" s="1"/>
  <c r="R331" s="1"/>
  <c r="S331" s="1"/>
  <c r="R360" s="1"/>
  <c r="S360" s="1"/>
  <c r="R389" s="1"/>
  <c r="S389" s="1"/>
  <c r="R418" s="1"/>
  <c r="S418" s="1"/>
  <c r="R447" s="1"/>
  <c r="S447" s="1"/>
  <c r="R476" s="1"/>
  <c r="S476" s="1"/>
  <c r="R505" s="1"/>
  <c r="S505" s="1"/>
  <c r="R534" s="1"/>
  <c r="S534" s="1"/>
  <c r="R563" s="1"/>
  <c r="S563" s="1"/>
  <c r="R592" s="1"/>
  <c r="S592" s="1"/>
  <c r="R621" s="1"/>
  <c r="S621" s="1"/>
  <c r="R650" s="1"/>
  <c r="S650" s="1"/>
  <c r="R679" s="1"/>
  <c r="S679" s="1"/>
  <c r="R708" s="1"/>
  <c r="S708" s="1"/>
  <c r="R737" s="1"/>
  <c r="S737" s="1"/>
  <c r="R766" s="1"/>
  <c r="S766" s="1"/>
  <c r="R795" s="1"/>
  <c r="S795" s="1"/>
  <c r="R824" s="1"/>
  <c r="S824" s="1"/>
  <c r="R853" s="1"/>
  <c r="S853" s="1"/>
  <c r="R882" s="1"/>
  <c r="S882" s="1"/>
  <c r="R911" s="1"/>
  <c r="S911" s="1"/>
  <c r="R69"/>
  <c r="S69" s="1"/>
  <c r="R98" s="1"/>
  <c r="S98" s="1"/>
  <c r="R127" s="1"/>
  <c r="S127" s="1"/>
  <c r="R156" s="1"/>
  <c r="S156" s="1"/>
  <c r="R185" s="1"/>
  <c r="S185" s="1"/>
  <c r="R214" s="1"/>
  <c r="S214" s="1"/>
  <c r="R243" s="1"/>
  <c r="S243" s="1"/>
  <c r="R272" s="1"/>
  <c r="S272" s="1"/>
  <c r="R301" s="1"/>
  <c r="S301" s="1"/>
  <c r="R330" s="1"/>
  <c r="S330" s="1"/>
  <c r="R359" s="1"/>
  <c r="S359" s="1"/>
  <c r="R388" s="1"/>
  <c r="S388" s="1"/>
  <c r="R417" s="1"/>
  <c r="S417" s="1"/>
  <c r="R446" s="1"/>
  <c r="S446" s="1"/>
  <c r="R475" s="1"/>
  <c r="S475" s="1"/>
  <c r="R504" s="1"/>
  <c r="S504" s="1"/>
  <c r="R533" s="1"/>
  <c r="S533" s="1"/>
  <c r="R562" s="1"/>
  <c r="S562" s="1"/>
  <c r="R591" s="1"/>
  <c r="S591" s="1"/>
  <c r="R620" s="1"/>
  <c r="S620" s="1"/>
  <c r="R649" s="1"/>
  <c r="S649" s="1"/>
  <c r="R678" s="1"/>
  <c r="S678" s="1"/>
  <c r="R707" s="1"/>
  <c r="S707" s="1"/>
  <c r="R736" s="1"/>
  <c r="S736" s="1"/>
  <c r="R765" s="1"/>
  <c r="S765" s="1"/>
  <c r="R794" s="1"/>
  <c r="S794" s="1"/>
  <c r="R823" s="1"/>
  <c r="S823" s="1"/>
  <c r="R852" s="1"/>
  <c r="S852" s="1"/>
  <c r="R881" s="1"/>
  <c r="S881" s="1"/>
  <c r="R910" s="1"/>
  <c r="S910" s="1"/>
  <c r="R68"/>
  <c r="S68" s="1"/>
  <c r="R97" s="1"/>
  <c r="S97" s="1"/>
  <c r="R126" s="1"/>
  <c r="S126" s="1"/>
  <c r="R155" s="1"/>
  <c r="S155" s="1"/>
  <c r="R184" s="1"/>
  <c r="S184" s="1"/>
  <c r="R213" s="1"/>
  <c r="S213" s="1"/>
  <c r="R242" s="1"/>
  <c r="S242" s="1"/>
  <c r="R271" s="1"/>
  <c r="S271" s="1"/>
  <c r="R300" s="1"/>
  <c r="S300" s="1"/>
  <c r="R329" s="1"/>
  <c r="S329" s="1"/>
  <c r="R358" s="1"/>
  <c r="S358" s="1"/>
  <c r="R387" s="1"/>
  <c r="S387" s="1"/>
  <c r="R416" s="1"/>
  <c r="S416" s="1"/>
  <c r="R445" s="1"/>
  <c r="S445" s="1"/>
  <c r="R474" s="1"/>
  <c r="S474" s="1"/>
  <c r="R503" s="1"/>
  <c r="S503" s="1"/>
  <c r="R532" s="1"/>
  <c r="S532" s="1"/>
  <c r="R561" s="1"/>
  <c r="S561" s="1"/>
  <c r="R590" s="1"/>
  <c r="S590" s="1"/>
  <c r="R619" s="1"/>
  <c r="S619" s="1"/>
  <c r="R648" s="1"/>
  <c r="S648" s="1"/>
  <c r="R677" s="1"/>
  <c r="S677" s="1"/>
  <c r="R706" s="1"/>
  <c r="S706" s="1"/>
  <c r="R735" s="1"/>
  <c r="S735" s="1"/>
  <c r="R764" s="1"/>
  <c r="S764" s="1"/>
  <c r="R793" s="1"/>
  <c r="S793" s="1"/>
  <c r="R822" s="1"/>
  <c r="S822" s="1"/>
  <c r="R851" s="1"/>
  <c r="S851" s="1"/>
  <c r="R880" s="1"/>
  <c r="S880" s="1"/>
  <c r="R909" s="1"/>
  <c r="S909" s="1"/>
  <c r="R67"/>
  <c r="S67" s="1"/>
  <c r="R96" s="1"/>
  <c r="S96" s="1"/>
  <c r="R125" s="1"/>
  <c r="S125" s="1"/>
  <c r="R154" s="1"/>
  <c r="S154" s="1"/>
  <c r="R183" s="1"/>
  <c r="S183" s="1"/>
  <c r="R212" s="1"/>
  <c r="S212" s="1"/>
  <c r="R241" s="1"/>
  <c r="S241" s="1"/>
  <c r="R270" s="1"/>
  <c r="S37"/>
  <c r="R47"/>
  <c r="N446" i="9" l="1"/>
  <c r="N448" s="1"/>
  <c r="M35" i="5"/>
  <c r="P35" s="1"/>
  <c r="P445" s="1"/>
  <c r="P447" s="1"/>
  <c r="F445"/>
  <c r="F447" s="1"/>
  <c r="D448" i="9"/>
  <c r="S270" i="1"/>
  <c r="R299" s="1"/>
  <c r="S299" s="1"/>
  <c r="R328" s="1"/>
  <c r="S328" s="1"/>
  <c r="R357" s="1"/>
  <c r="S357" s="1"/>
  <c r="R386" s="1"/>
  <c r="S386" s="1"/>
  <c r="R415" s="1"/>
  <c r="S415" s="1"/>
  <c r="R444" s="1"/>
  <c r="S444" s="1"/>
  <c r="R473" s="1"/>
  <c r="S473" s="1"/>
  <c r="R502" s="1"/>
  <c r="S502" s="1"/>
  <c r="R531" s="1"/>
  <c r="S531" s="1"/>
  <c r="R560" s="1"/>
  <c r="S560" s="1"/>
  <c r="R589" s="1"/>
  <c r="S589" s="1"/>
  <c r="R618" s="1"/>
  <c r="S618" s="1"/>
  <c r="R647" s="1"/>
  <c r="S647" s="1"/>
  <c r="R676" s="1"/>
  <c r="S676" s="1"/>
  <c r="R705" s="1"/>
  <c r="S705" s="1"/>
  <c r="R734" s="1"/>
  <c r="S734" s="1"/>
  <c r="R763" s="1"/>
  <c r="S763" s="1"/>
  <c r="R792" s="1"/>
  <c r="S792" s="1"/>
  <c r="R821" s="1"/>
  <c r="S821" s="1"/>
  <c r="R850" s="1"/>
  <c r="S850" s="1"/>
  <c r="R879" s="1"/>
  <c r="S879" s="1"/>
  <c r="R908" s="1"/>
  <c r="S908" s="1"/>
  <c r="N10" i="2"/>
  <c r="R66" i="1"/>
  <c r="S47"/>
  <c r="R740"/>
  <c r="S740" s="1"/>
  <c r="R769" s="1"/>
  <c r="S769" s="1"/>
  <c r="R798" s="1"/>
  <c r="S798" s="1"/>
  <c r="R827" s="1"/>
  <c r="S827" s="1"/>
  <c r="R856" s="1"/>
  <c r="S856" s="1"/>
  <c r="R885" s="1"/>
  <c r="S885" s="1"/>
  <c r="R914" s="1"/>
  <c r="S914" s="1"/>
  <c r="M445" i="5" l="1"/>
  <c r="M447" s="1"/>
  <c r="L18" i="2"/>
  <c r="L41" s="1"/>
  <c r="L43" s="1"/>
  <c r="S66" i="1"/>
  <c r="R76"/>
  <c r="N18" i="2" l="1"/>
  <c r="N41" s="1"/>
  <c r="N43" s="1"/>
  <c r="R95" i="1"/>
  <c r="S95" s="1"/>
  <c r="R124" s="1"/>
  <c r="S124" s="1"/>
  <c r="R153" s="1"/>
  <c r="S153" s="1"/>
  <c r="R182" s="1"/>
  <c r="S182" s="1"/>
  <c r="R211" s="1"/>
  <c r="S211" s="1"/>
  <c r="R240" s="1"/>
  <c r="S240" s="1"/>
  <c r="R269" s="1"/>
  <c r="S269" s="1"/>
  <c r="R298" s="1"/>
  <c r="S298" s="1"/>
  <c r="R327" s="1"/>
  <c r="S327" s="1"/>
  <c r="R356" s="1"/>
  <c r="S356" s="1"/>
  <c r="R385" s="1"/>
  <c r="S385" s="1"/>
  <c r="R414" s="1"/>
  <c r="S414" s="1"/>
  <c r="R443" s="1"/>
  <c r="S443" s="1"/>
  <c r="R472" s="1"/>
  <c r="S472" s="1"/>
  <c r="R501" s="1"/>
  <c r="S501" s="1"/>
  <c r="R530" s="1"/>
  <c r="S530" s="1"/>
  <c r="R559" s="1"/>
  <c r="S559" s="1"/>
  <c r="R588" s="1"/>
  <c r="S588" s="1"/>
  <c r="R617" s="1"/>
  <c r="S617" s="1"/>
  <c r="R646" s="1"/>
  <c r="S646" s="1"/>
  <c r="R675" s="1"/>
  <c r="S675" s="1"/>
  <c r="R704" s="1"/>
  <c r="S704" s="1"/>
  <c r="R733" s="1"/>
  <c r="S733" s="1"/>
  <c r="R762" s="1"/>
  <c r="S762" s="1"/>
  <c r="R791" s="1"/>
  <c r="S791" s="1"/>
  <c r="R820" s="1"/>
  <c r="S820" s="1"/>
  <c r="R849" s="1"/>
  <c r="S849" s="1"/>
  <c r="R878" s="1"/>
  <c r="S878" s="1"/>
  <c r="R907" s="1"/>
  <c r="S907" s="1"/>
  <c r="S76"/>
  <c r="R105" s="1"/>
  <c r="S105" s="1"/>
  <c r="R134" s="1"/>
  <c r="S134" s="1"/>
  <c r="R163" s="1"/>
  <c r="S163" s="1"/>
  <c r="R192" s="1"/>
  <c r="S192" s="1"/>
  <c r="R221" s="1"/>
  <c r="S221" s="1"/>
  <c r="R250" s="1"/>
  <c r="S250" s="1"/>
  <c r="R279" s="1"/>
  <c r="S279" s="1"/>
  <c r="R308" s="1"/>
  <c r="S308" s="1"/>
  <c r="R337" s="1"/>
  <c r="S337" s="1"/>
  <c r="R366" s="1"/>
  <c r="S366" s="1"/>
  <c r="R395" s="1"/>
  <c r="S395" s="1"/>
  <c r="R424" s="1"/>
  <c r="S424" s="1"/>
  <c r="R453" s="1"/>
  <c r="S453" s="1"/>
  <c r="R482" s="1"/>
  <c r="S482" s="1"/>
  <c r="R511" s="1"/>
  <c r="S511" s="1"/>
  <c r="R540" s="1"/>
  <c r="S540" s="1"/>
  <c r="R569" s="1"/>
  <c r="S569" s="1"/>
  <c r="R598" s="1"/>
  <c r="S598" s="1"/>
  <c r="R627" s="1"/>
  <c r="S627" s="1"/>
  <c r="R656" s="1"/>
  <c r="S656" s="1"/>
  <c r="R685" s="1"/>
  <c r="S685" s="1"/>
  <c r="R714" s="1"/>
  <c r="S714" s="1"/>
  <c r="R743" s="1"/>
  <c r="S743" s="1"/>
  <c r="R772" s="1"/>
  <c r="S772" s="1"/>
  <c r="R801" s="1"/>
  <c r="S801" s="1"/>
  <c r="R830" s="1"/>
  <c r="S830" s="1"/>
  <c r="R859" s="1"/>
  <c r="S859" s="1"/>
  <c r="R888" s="1"/>
  <c r="S888" s="1"/>
  <c r="R917" s="1"/>
  <c r="S917" s="1"/>
</calcChain>
</file>

<file path=xl/sharedStrings.xml><?xml version="1.0" encoding="utf-8"?>
<sst xmlns="http://schemas.openxmlformats.org/spreadsheetml/2006/main" count="4411" uniqueCount="1172">
  <si>
    <t>Annexure for tabulating round-wise figures (Refer Para 27)</t>
  </si>
  <si>
    <t>Date</t>
  </si>
  <si>
    <t>Table No.</t>
  </si>
  <si>
    <t>Total</t>
  </si>
  <si>
    <t>Brought from Previous Round</t>
  </si>
  <si>
    <t>Cummulative Total</t>
  </si>
  <si>
    <t>Polling Booth No.</t>
  </si>
  <si>
    <t>SI</t>
  </si>
  <si>
    <t>Name of Candidate</t>
  </si>
  <si>
    <t>-</t>
  </si>
  <si>
    <t>NOTA</t>
  </si>
  <si>
    <t>Rejected Votes</t>
  </si>
  <si>
    <t>Total Votes</t>
  </si>
  <si>
    <t>Initial of RO</t>
  </si>
  <si>
    <t>Initial of observer</t>
  </si>
  <si>
    <t>Important :-</t>
  </si>
  <si>
    <t>1. All overwritings/cuttings should be certified by observer.</t>
  </si>
  <si>
    <t>2. Polling station number whose votes are counted should be indicated below the table number.</t>
  </si>
  <si>
    <t>Control Unit No.</t>
  </si>
  <si>
    <t>Round No.1</t>
  </si>
  <si>
    <t>Number of Electors assigned to the polling Station</t>
  </si>
  <si>
    <t>Round No.2</t>
  </si>
  <si>
    <t>Round No.3</t>
  </si>
  <si>
    <t>Round No.4</t>
  </si>
  <si>
    <t>Round No.5</t>
  </si>
  <si>
    <t>Round No.6</t>
  </si>
  <si>
    <t>Round No.7</t>
  </si>
  <si>
    <t>Round No.8</t>
  </si>
  <si>
    <t>Round No.9</t>
  </si>
  <si>
    <t>Round No.10</t>
  </si>
  <si>
    <t>Round No.11</t>
  </si>
  <si>
    <t>Round No.12</t>
  </si>
  <si>
    <t>Round No.13</t>
  </si>
  <si>
    <t>Round No.14</t>
  </si>
  <si>
    <t>Round No.15</t>
  </si>
  <si>
    <t>Round No.16</t>
  </si>
  <si>
    <t>Round No.17</t>
  </si>
  <si>
    <t>Round No.18</t>
  </si>
  <si>
    <t>Round No.19</t>
  </si>
  <si>
    <t>Round No.20</t>
  </si>
  <si>
    <t>Round No.21</t>
  </si>
  <si>
    <t>Round No.22</t>
  </si>
  <si>
    <t>Round No.23</t>
  </si>
  <si>
    <t>Round No.24</t>
  </si>
  <si>
    <t>Round No.25</t>
  </si>
  <si>
    <t>3. The EVM (CU) no. used in the polling station will be specifically verified and tick marked by the form Part II of 17C</t>
  </si>
  <si>
    <t>4. A copy of this is to be kept by observer in a separate folder for cross checking later.</t>
  </si>
  <si>
    <t>Round No.26</t>
  </si>
  <si>
    <t>izk:Ik  &amp; 20</t>
  </si>
  <si>
    <t>vfUre ifj.kke&amp;Ik=</t>
  </si>
  <si>
    <t>fu;e 56 lh ¼2½ lh</t>
  </si>
  <si>
    <t>Hkkx&amp;1</t>
  </si>
  <si>
    <t>jkm.M la[;k</t>
  </si>
  <si>
    <t>dqy fof/kekU; er</t>
  </si>
  <si>
    <t>;ksx</t>
  </si>
  <si>
    <t>¼VsaMj½ fufonRr erksa dh la[;k</t>
  </si>
  <si>
    <t>Round-1</t>
  </si>
  <si>
    <t>Round-2</t>
  </si>
  <si>
    <t>Round-3</t>
  </si>
  <si>
    <t>Round-4</t>
  </si>
  <si>
    <t>Round-5</t>
  </si>
  <si>
    <t>Round-6</t>
  </si>
  <si>
    <t>Round-7</t>
  </si>
  <si>
    <t>Round-8</t>
  </si>
  <si>
    <t>Round-9</t>
  </si>
  <si>
    <t>Round-10</t>
  </si>
  <si>
    <t>Round-11</t>
  </si>
  <si>
    <t>Round-12</t>
  </si>
  <si>
    <t>Round-13</t>
  </si>
  <si>
    <t>Round-14</t>
  </si>
  <si>
    <t>Round-15</t>
  </si>
  <si>
    <t>Round-16</t>
  </si>
  <si>
    <t>Round-17</t>
  </si>
  <si>
    <t>Round-18</t>
  </si>
  <si>
    <t>Round-19</t>
  </si>
  <si>
    <t>Round-20</t>
  </si>
  <si>
    <t>Round-21</t>
  </si>
  <si>
    <t>Round-22</t>
  </si>
  <si>
    <t>Round-23</t>
  </si>
  <si>
    <t>Round-24</t>
  </si>
  <si>
    <t>Round-25</t>
  </si>
  <si>
    <t xml:space="preserve">;ksx </t>
  </si>
  <si>
    <t>Round-26</t>
  </si>
  <si>
    <t>Number &amp; Name of Constituence - 66- SYANA</t>
  </si>
  <si>
    <t>buesa ls dksbZ ugh ¼uksVk½</t>
  </si>
  <si>
    <t>Dilnawaz Khan</t>
  </si>
  <si>
    <t>Dinesh</t>
  </si>
  <si>
    <t>izk:i&amp; 17x dk Hkkx&amp;2</t>
  </si>
  <si>
    <t>erx.kuk dk ifj.kke</t>
  </si>
  <si>
    <t>fo/kku lHkk fuokZpu {ks= dh la[;k o uke &amp; 66 L;kuk</t>
  </si>
  <si>
    <t>Vsfcy la[;k&amp;</t>
  </si>
  <si>
    <t>pdz la[;k&amp;</t>
  </si>
  <si>
    <t>erns; LFky la[;k&amp;</t>
  </si>
  <si>
    <t>dUVªksy ;wfuV dzekad&amp;</t>
  </si>
  <si>
    <t>dza0la0</t>
  </si>
  <si>
    <t>vH;FkhZ dk uke</t>
  </si>
  <si>
    <t>dUVªksy ;wfuV esa fn[kk;s x;s erksa dh la[;k</t>
  </si>
  <si>
    <t>Hkkx&amp;1 dh en la[;k&amp;05 ds vuqlkj ?kVk;s tkus okys ijh{k.k erksa dh la[;k</t>
  </si>
  <si>
    <t>fof/kekU; erksa dh la[;k ¼3&amp;4½</t>
  </si>
  <si>
    <t>dqy ;ksx</t>
  </si>
  <si>
    <t>D;k mij nf'kZr erksa dh dqy la[;k Hkkx&amp;1 dh en la[;k&amp;6 esa fn[kk;s x;sa erksa dk dqy la[;k ls esy [kkrh gS vFkok nksuksa dh dqy la[;k esa dksbZ folaxfr ikbZ x;h gSA</t>
  </si>
  <si>
    <t>LFkku&amp; e.Mh lfefr ifjlj] vuwi'kgj jksM] cqyUn'kgjA</t>
  </si>
  <si>
    <t>x.kuk i;Zos{kd ds gLrk{kj</t>
  </si>
  <si>
    <t>¼iwjk uke&amp;----------------------------------------------------½</t>
  </si>
  <si>
    <t>izekf.kr fd;k tkrk gS fd ge mDr x.kuk i`"B ¼1½ ls iw.kZr;k larq"V gS vkSj gesa x.kuk dk;Z ls fdlh izdkj dh dksbZ vkifr ugh gSA</t>
  </si>
  <si>
    <t>erx.kuk vfHkdrkZ dk uke</t>
  </si>
  <si>
    <t>iwjs gLrk{kj</t>
  </si>
  <si>
    <t>LFkku &amp; e.Mh lfefr ifjlj] vuwi'kgj jksM] cqyUn'kgj</t>
  </si>
  <si>
    <t>fjVfuZax vkWfQlj</t>
  </si>
  <si>
    <t>fo/kkulHkk&amp; 66 L;kuk</t>
  </si>
  <si>
    <t>dUVªksy ;wfuV dh la[;k</t>
  </si>
  <si>
    <t>fuEufyf[kr vH;fFkZ;ksa ds i{k esa fn;s x;s fof/k ekU; erksa dh la[;k</t>
  </si>
  <si>
    <t>Vsfcy la[;k&amp;1</t>
  </si>
  <si>
    <t xml:space="preserve">FORMAT FOR RECORDING OF TALLY OF VOTES POLLED BY POSTAL BALLOT PAPPER WHEN COUNTED IN MORE THAN ONE TABLE </t>
  </si>
  <si>
    <t>Name of State/UT: Uttar Pradesh                                        Table No-----------------</t>
  </si>
  <si>
    <t>No.&amp; Name of Parliamentary/ Assembly Constitueney :   66 Syana</t>
  </si>
  <si>
    <t xml:space="preserve">                                                                                            Round No.----------------       (if Applicable)                         </t>
  </si>
  <si>
    <t>No. of Postal Ballots supplied to this Counting Table for Counting ---------------------</t>
  </si>
  <si>
    <t>S.No.</t>
  </si>
  <si>
    <t xml:space="preserve">Party Affilliation </t>
  </si>
  <si>
    <t>Number of Votes Polled</t>
  </si>
  <si>
    <t>Indian National Congress</t>
  </si>
  <si>
    <t>Rashtriya Lokdal</t>
  </si>
  <si>
    <t>Bahujan Samaj Party</t>
  </si>
  <si>
    <t>Bharatiya Janata Party</t>
  </si>
  <si>
    <t>Independent</t>
  </si>
  <si>
    <t xml:space="preserve">Place- Mandi Samiti Paricer Anoopshahr Road Bulandshahr </t>
  </si>
  <si>
    <t>Returning Officer</t>
  </si>
  <si>
    <t xml:space="preserve">66-Syana </t>
  </si>
  <si>
    <t xml:space="preserve">FORMAT FOR RECORDING OF TALLY OF POSTAL BALLOTS ISSUED TO SERVICE PERSONNEL AND RECEIVED BACK </t>
  </si>
  <si>
    <t xml:space="preserve">Name of State/UT: Uttar Pradesh                                      </t>
  </si>
  <si>
    <t>Total Electors in the last part of electoral Roll</t>
  </si>
  <si>
    <t>No of CSVs if any (who have appointed proxy)</t>
  </si>
  <si>
    <t xml:space="preserve">Total no of PBs issued </t>
  </si>
  <si>
    <t>PBs received back in time (before the date &amp; time fixed for counting of votes)</t>
  </si>
  <si>
    <t>PBs received back undelivered</t>
  </si>
  <si>
    <t>erns; LFky ij Mkys x;s dqy erksa dh la[;k</t>
  </si>
  <si>
    <t>iksfyax LVs'ku dh dze la[;k</t>
  </si>
  <si>
    <t>This is not final.The result of this report is subjected to approval of concern RO and Observer.</t>
  </si>
  <si>
    <t>Note:-</t>
  </si>
  <si>
    <t>fo/kku lHkk fuokZpu {ks= dk uke</t>
  </si>
  <si>
    <t>lsok ernkrkvksa dh dqy la[;k</t>
  </si>
  <si>
    <t>lsok ernkrkvksa ds laca/k esa fooj.k</t>
  </si>
  <si>
    <t>ernku dkfeZdksa ds laca/k esa fooj.k</t>
  </si>
  <si>
    <t>lsok ernkrkvksa dks tkjh fd;s x;s Mkd eri=ksa dh dqy la[;k</t>
  </si>
  <si>
    <t>lsok ernkrkvksa ls okil izkIr gq, Mkd eri=ksa dh dqy la[;k</t>
  </si>
  <si>
    <t>ernku dkfeZdksa dh dqy la[;k ¼flfoy$iqfyl½ tks fuokZpu M;wVh ij rSukr gS ,oa Mkd eri= ds fy, vf/kd`r gSA</t>
  </si>
  <si>
    <t>mDr ernku dkfeZdksa dks tkjh fd;s x;s Mkd eri=ksa dh dqy la[;k</t>
  </si>
  <si>
    <t>mDr ernku dkfeZdksa ls okil izkIr gq, Mkd eri=ksa dh dqy la[;k</t>
  </si>
  <si>
    <t>66 L;kuk</t>
  </si>
  <si>
    <t>Postal Ballot</t>
  </si>
  <si>
    <t>egk;ksx</t>
  </si>
  <si>
    <t>vfUre ifj.kke erns; LFky okj</t>
  </si>
  <si>
    <t>POSTAL BALLOT</t>
  </si>
  <si>
    <t>TOTAL</t>
  </si>
  <si>
    <t>GRAND TOTAL</t>
  </si>
  <si>
    <t>Devendra Singh Lodhi</t>
  </si>
  <si>
    <t xml:space="preserve">Km. Poonam </t>
  </si>
  <si>
    <t>Sunil Kumar</t>
  </si>
  <si>
    <t>Satvir Singh</t>
  </si>
  <si>
    <t>Gyanesh Kumar Chauhan</t>
  </si>
  <si>
    <t>Sangeeta</t>
  </si>
  <si>
    <t>fnukad&amp; 10&amp; ekpZ&amp;2022</t>
  </si>
  <si>
    <t>fo/kku lHkk lkekU; fuokZpu&amp;2022&amp;Mkd eri=ksa dk fooj.k</t>
  </si>
  <si>
    <t>Date: 10-March-2022</t>
  </si>
  <si>
    <t>Km. Poonam</t>
  </si>
  <si>
    <t xml:space="preserve">Gyanesh Kumar Chauhan </t>
  </si>
  <si>
    <t>Aam Aadmi Party</t>
  </si>
  <si>
    <t>Hindustan Uttan Party</t>
  </si>
  <si>
    <t>nsosUnz flag yks/kh</t>
  </si>
  <si>
    <t>dq0 iwue</t>
  </si>
  <si>
    <t>lquhy dqekj</t>
  </si>
  <si>
    <t>lrohj flag</t>
  </si>
  <si>
    <t>Kkus'k dqekj pkSgku</t>
  </si>
  <si>
    <t>fnus'k</t>
  </si>
  <si>
    <t>laxhrk</t>
  </si>
  <si>
    <t>fo/kku lHkk lkekU; fuokZpu&amp;2022</t>
  </si>
  <si>
    <t>fo/kkulHkk fuokZpu {ks= dk lkekU; fuokZpu&amp;2022</t>
  </si>
  <si>
    <r>
      <t xml:space="preserve">fo/kku lHkk fuokZpu {ks= es dqy ernkrkvksa dh la[;k &amp; </t>
    </r>
    <r>
      <rPr>
        <b/>
        <sz val="16"/>
        <rFont val="Kruti Dev 016"/>
      </rPr>
      <t>385012</t>
    </r>
  </si>
  <si>
    <r>
      <t xml:space="preserve">fo/kku lHkk [k.M dk uke &amp; </t>
    </r>
    <r>
      <rPr>
        <sz val="18"/>
        <rFont val="Kruti Dev 010"/>
      </rPr>
      <t>66</t>
    </r>
    <r>
      <rPr>
        <sz val="14"/>
        <rFont val="Kruti Dev 016"/>
      </rPr>
      <t xml:space="preserve"> </t>
    </r>
    <r>
      <rPr>
        <sz val="16"/>
        <rFont val="Kruti Dev 020"/>
      </rPr>
      <t>&amp; L;kuk</t>
    </r>
  </si>
  <si>
    <t>fnyuokt [kku</t>
  </si>
  <si>
    <r>
      <rPr>
        <b/>
        <sz val="12"/>
        <color theme="1"/>
        <rFont val="Arial"/>
        <family val="2"/>
      </rPr>
      <t>(Rejected)</t>
    </r>
    <r>
      <rPr>
        <b/>
        <sz val="12"/>
        <color theme="1"/>
        <rFont val="Kruti Dev 020"/>
      </rPr>
      <t xml:space="preserve"> izfr{ksfir erksa dh la[;k</t>
    </r>
  </si>
  <si>
    <r>
      <t xml:space="preserve">fo/kku lHkk fuokZpu {ks= esa dqy ernkrkvksa dh la[;k&amp; </t>
    </r>
    <r>
      <rPr>
        <b/>
        <sz val="16"/>
        <color theme="1"/>
        <rFont val="Kruti Dev 010"/>
      </rPr>
      <t>385012</t>
    </r>
  </si>
  <si>
    <r>
      <t>fo/kku lHkk lkekU; fuokZpu&amp;</t>
    </r>
    <r>
      <rPr>
        <b/>
        <sz val="16"/>
        <color theme="1"/>
        <rFont val="Kruti Dev 010"/>
      </rPr>
      <t>2022</t>
    </r>
  </si>
  <si>
    <r>
      <rPr>
        <b/>
        <sz val="16"/>
        <color theme="1"/>
        <rFont val="Kruti Dev 010"/>
      </rPr>
      <t>66</t>
    </r>
    <r>
      <rPr>
        <b/>
        <sz val="16"/>
        <color theme="1"/>
        <rFont val="Kruti Dev 020"/>
      </rPr>
      <t>&amp;L;kuk fo/kku lHkk fuokZpu {ks=</t>
    </r>
  </si>
  <si>
    <r>
      <t>66-</t>
    </r>
    <r>
      <rPr>
        <sz val="16"/>
        <color theme="1"/>
        <rFont val="Kruti Dev 020"/>
      </rPr>
      <t>L;kuk</t>
    </r>
  </si>
  <si>
    <r>
      <t xml:space="preserve">fo/kku lHkk fuokZpu {ks= es dqy ernkrkvksa dh la[;k &amp; </t>
    </r>
    <r>
      <rPr>
        <sz val="16"/>
        <rFont val="Kruti Dev 016"/>
      </rPr>
      <t>385012</t>
    </r>
  </si>
  <si>
    <t>Round-27</t>
  </si>
  <si>
    <t>Round-28</t>
  </si>
  <si>
    <t>Round-29</t>
  </si>
  <si>
    <t>Round-30</t>
  </si>
  <si>
    <t>Round-31</t>
  </si>
  <si>
    <t>Round-32</t>
  </si>
  <si>
    <t>Round No.27</t>
  </si>
  <si>
    <t>Round No.32</t>
  </si>
  <si>
    <t>Round No.31</t>
  </si>
  <si>
    <t>Round No.30</t>
  </si>
  <si>
    <t>Round No.29</t>
  </si>
  <si>
    <t>Round No.28</t>
  </si>
  <si>
    <t>dz0la0</t>
  </si>
  <si>
    <r>
      <t>(Rejected)</t>
    </r>
    <r>
      <rPr>
        <b/>
        <sz val="12"/>
        <rFont val="Kruti Dev 020"/>
      </rPr>
      <t xml:space="preserve"> izfr{ksfir erksa dh la[;k</t>
    </r>
  </si>
  <si>
    <t>ECUEC57730</t>
  </si>
  <si>
    <t>ECUEC60998</t>
  </si>
  <si>
    <t>ECUEC54512</t>
  </si>
  <si>
    <t>ECUEC54315</t>
  </si>
  <si>
    <t>ECUEC54992</t>
  </si>
  <si>
    <t>ECUED23745</t>
  </si>
  <si>
    <t>ECUEC64437</t>
  </si>
  <si>
    <t>ECUEC57629</t>
  </si>
  <si>
    <t>ECUED21307</t>
  </si>
  <si>
    <t>ECUED24248</t>
  </si>
  <si>
    <t>ECUEC47814</t>
  </si>
  <si>
    <t>ECUEC54095</t>
  </si>
  <si>
    <t>ECUEC54268</t>
  </si>
  <si>
    <t>ECUED02725</t>
  </si>
  <si>
    <t>ECUEC57731</t>
  </si>
  <si>
    <t>ECUEC67183</t>
  </si>
  <si>
    <t>ECUEC47929</t>
  </si>
  <si>
    <t>ECUEC50247</t>
  </si>
  <si>
    <t>ECUEC57828</t>
  </si>
  <si>
    <t>ECUEC60512</t>
  </si>
  <si>
    <t>ECUEC57060</t>
  </si>
  <si>
    <t>ECUEC50277</t>
  </si>
  <si>
    <t>ECUEC64586</t>
  </si>
  <si>
    <t>ECUEC64297</t>
  </si>
  <si>
    <t>ECUEC57441</t>
  </si>
  <si>
    <t>ECUEC56097</t>
  </si>
  <si>
    <t>ECUEC67396</t>
  </si>
  <si>
    <t>ECUEC64598</t>
  </si>
  <si>
    <t>ECUEC64717</t>
  </si>
  <si>
    <t>ECUEC50297</t>
  </si>
  <si>
    <t>ECUEC64504</t>
  </si>
  <si>
    <t>ECUEC47951</t>
  </si>
  <si>
    <t>ECUEC47975</t>
  </si>
  <si>
    <t>ECUEC63681</t>
  </si>
  <si>
    <t>ECUEC60551</t>
  </si>
  <si>
    <t>ECUED29110</t>
  </si>
  <si>
    <t>ECUEC60672</t>
  </si>
  <si>
    <t>ECUED29359</t>
  </si>
  <si>
    <t>ECUEC57421</t>
  </si>
  <si>
    <t>ECUEC50154</t>
  </si>
  <si>
    <t>ECUEC50196</t>
  </si>
  <si>
    <t>ECUEC51247</t>
  </si>
  <si>
    <t>ECUEC64771</t>
  </si>
  <si>
    <t>ECUEC51220</t>
  </si>
  <si>
    <t>ECUEC64553</t>
  </si>
  <si>
    <t>ECUEC47689</t>
  </si>
  <si>
    <t>ECUEC64333</t>
  </si>
  <si>
    <t>ECUEC50742</t>
  </si>
  <si>
    <t>ECUEC51658</t>
  </si>
  <si>
    <t>ECUEC64760</t>
  </si>
  <si>
    <t>ECUEC67160</t>
  </si>
  <si>
    <t>ECUEC64678</t>
  </si>
  <si>
    <t>ECUEC67531</t>
  </si>
  <si>
    <t>ECUEC57390</t>
  </si>
  <si>
    <t>ECUED00429</t>
  </si>
  <si>
    <t>ECUEC57326</t>
  </si>
  <si>
    <t>ECUEC50803</t>
  </si>
  <si>
    <t>ECUEC54124</t>
  </si>
  <si>
    <t>ECUEC51832</t>
  </si>
  <si>
    <t>ECUEC50149</t>
  </si>
  <si>
    <t>ECUEC50681</t>
  </si>
  <si>
    <t>ECUED03780</t>
  </si>
  <si>
    <t>ECUEC52018</t>
  </si>
  <si>
    <t>ECUED25163</t>
  </si>
  <si>
    <t>ECUEC64772</t>
  </si>
  <si>
    <t>ECUED21727</t>
  </si>
  <si>
    <t>ECUEC67380</t>
  </si>
  <si>
    <t>ECUEC51142</t>
  </si>
  <si>
    <t>ECUED29753</t>
  </si>
  <si>
    <t>ECUEC63890</t>
  </si>
  <si>
    <t>ECUEC64893</t>
  </si>
  <si>
    <t>ECUEC67634</t>
  </si>
  <si>
    <t>ECUEC60788</t>
  </si>
  <si>
    <t>ECUED25889</t>
  </si>
  <si>
    <t>ECUEC47830</t>
  </si>
  <si>
    <t>ECUED24933</t>
  </si>
  <si>
    <t>ECUED11929</t>
  </si>
  <si>
    <t>ECUEC67207</t>
  </si>
  <si>
    <t>ECUEC54000</t>
  </si>
  <si>
    <t>ECUED23166</t>
  </si>
  <si>
    <t>ECUED23257</t>
  </si>
  <si>
    <t>ECUED29410</t>
  </si>
  <si>
    <t>ECUEC50260</t>
  </si>
  <si>
    <t>ECUEC67623</t>
  </si>
  <si>
    <t>ECUED23743</t>
  </si>
  <si>
    <t>ECUEC64068</t>
  </si>
  <si>
    <t>ECUEC99978</t>
  </si>
  <si>
    <t>ECUEC47845</t>
  </si>
  <si>
    <t>ECUEC57551</t>
  </si>
  <si>
    <t>ECUEC60671</t>
  </si>
  <si>
    <t>ECUEC64389</t>
  </si>
  <si>
    <t>ECUEC60449</t>
  </si>
  <si>
    <t>ECUEC57642</t>
  </si>
  <si>
    <t>ECUEC64262</t>
  </si>
  <si>
    <t>ECUEC60999</t>
  </si>
  <si>
    <t>ECUEC54714</t>
  </si>
  <si>
    <t>ECUEC51879</t>
  </si>
  <si>
    <t>ECUEC57593</t>
  </si>
  <si>
    <t>ECUEC50423</t>
  </si>
  <si>
    <t>ECUEC51227</t>
  </si>
  <si>
    <t>ECUEC64479</t>
  </si>
  <si>
    <t>ECUEC67788</t>
  </si>
  <si>
    <t>ECUEC67561</t>
  </si>
  <si>
    <t>ECUEC51617</t>
  </si>
  <si>
    <t>ECUEC60636</t>
  </si>
  <si>
    <t>ECUEC51199</t>
  </si>
  <si>
    <t>ECUEC67679</t>
  </si>
  <si>
    <t>ECUEC64927</t>
  </si>
  <si>
    <t>ECUEC64312</t>
  </si>
  <si>
    <t>ECUEC57729</t>
  </si>
  <si>
    <t>ECUEC57765</t>
  </si>
  <si>
    <t>ECUEC63167</t>
  </si>
  <si>
    <t>ECUEC64009</t>
  </si>
  <si>
    <t>ECUEC50566</t>
  </si>
  <si>
    <t>ECUEC63542</t>
  </si>
  <si>
    <t>ECUEC51154</t>
  </si>
  <si>
    <t>ECUEC52256</t>
  </si>
  <si>
    <t>ECUED29942</t>
  </si>
  <si>
    <t>ECUEC57392</t>
  </si>
  <si>
    <t>ECUEC50804</t>
  </si>
  <si>
    <t>ECUEC60271</t>
  </si>
  <si>
    <t>ECUEC64281</t>
  </si>
  <si>
    <t>ECUEC50308</t>
  </si>
  <si>
    <t>ECUEC67383</t>
  </si>
  <si>
    <t>ECUEC50353</t>
  </si>
  <si>
    <t>ECUEC57946</t>
  </si>
  <si>
    <t>ECUEC47942</t>
  </si>
  <si>
    <t>ECUEC63819</t>
  </si>
  <si>
    <t>ECUEC57717</t>
  </si>
  <si>
    <t>ECUEC50792</t>
  </si>
  <si>
    <t>ECUEC67447</t>
  </si>
  <si>
    <t>ECUEC57863</t>
  </si>
  <si>
    <t>ECUEC64428</t>
  </si>
  <si>
    <t>ECUEC50332</t>
  </si>
  <si>
    <t>ECUEC57894</t>
  </si>
  <si>
    <t>ECUEC54558</t>
  </si>
  <si>
    <t>ECUEC57933</t>
  </si>
  <si>
    <t>ECUEC50928</t>
  </si>
  <si>
    <t>ECUEC57409</t>
  </si>
  <si>
    <t>ECUEC57940</t>
  </si>
  <si>
    <t>ECUEC67352</t>
  </si>
  <si>
    <t>ECUEC67906</t>
  </si>
  <si>
    <t>ECUEC48002</t>
  </si>
  <si>
    <t>ECUEC57654</t>
  </si>
  <si>
    <t>ECUEC57606</t>
  </si>
  <si>
    <t>ECUEC60226</t>
  </si>
  <si>
    <t>ECUEC57277</t>
  </si>
  <si>
    <t>ECUEC52513</t>
  </si>
  <si>
    <t>ECUEC67083</t>
  </si>
  <si>
    <t>ECUEC67453</t>
  </si>
  <si>
    <t>ECUEC67286</t>
  </si>
  <si>
    <t>ECUEC67568</t>
  </si>
  <si>
    <t>ECUEC64919</t>
  </si>
  <si>
    <t>ECUEC54126</t>
  </si>
  <si>
    <t>ECUED23558</t>
  </si>
  <si>
    <t>ECUEC50646</t>
  </si>
  <si>
    <t>ECUEC50599</t>
  </si>
  <si>
    <t>ECUEC57497</t>
  </si>
  <si>
    <t>ECUEC60440</t>
  </si>
  <si>
    <t>ECUEC50381</t>
  </si>
  <si>
    <t>ECUEC50482</t>
  </si>
  <si>
    <t>ECUEC64674</t>
  </si>
  <si>
    <t>ECUEC54395</t>
  </si>
  <si>
    <t>ECUEC55950</t>
  </si>
  <si>
    <t>ECUED12920</t>
  </si>
  <si>
    <t>ECUEC57965</t>
  </si>
  <si>
    <t>ECUEC64200</t>
  </si>
  <si>
    <t>ECUED23687</t>
  </si>
  <si>
    <t>ECUED23776</t>
  </si>
  <si>
    <t>ECUEC57613</t>
  </si>
  <si>
    <t>ECUEC60616</t>
  </si>
  <si>
    <t>ECUEC64076</t>
  </si>
  <si>
    <t>ECUED21400</t>
  </si>
  <si>
    <t>ECUEC98820</t>
  </si>
  <si>
    <t>ECUEC50111</t>
  </si>
  <si>
    <t>ECUEC57681</t>
  </si>
  <si>
    <t>ECUEC48567</t>
  </si>
  <si>
    <t>ECUEC64932</t>
  </si>
  <si>
    <t>ECUEC67602</t>
  </si>
  <si>
    <t>ECUEC57378</t>
  </si>
  <si>
    <t>ECUEC51632</t>
  </si>
  <si>
    <t>ECUEC51421</t>
  </si>
  <si>
    <t>ECUEC67235</t>
  </si>
  <si>
    <t>ECUEC67310</t>
  </si>
  <si>
    <t>ECUEC67348</t>
  </si>
  <si>
    <t>ECUED11643</t>
  </si>
  <si>
    <t>ECUEC50597</t>
  </si>
  <si>
    <t>ECUEC57056</t>
  </si>
  <si>
    <t>ECUEC51072</t>
  </si>
  <si>
    <t>ECUEC99161</t>
  </si>
  <si>
    <t>ECUEC50296</t>
  </si>
  <si>
    <t>ECUEC67534</t>
  </si>
  <si>
    <t>ECUEC50161</t>
  </si>
  <si>
    <t>ECUEC50193</t>
  </si>
  <si>
    <t>ECUEC54224</t>
  </si>
  <si>
    <t>ECUEC57543</t>
  </si>
  <si>
    <t>ECUED29273</t>
  </si>
  <si>
    <t>ECUED23658</t>
  </si>
  <si>
    <t>ECUEC63732</t>
  </si>
  <si>
    <t>ECUEC52716</t>
  </si>
  <si>
    <t>ECUEC51314</t>
  </si>
  <si>
    <t>ECUED23746</t>
  </si>
  <si>
    <t>ECUEC57668</t>
  </si>
  <si>
    <t>ECUEC51860</t>
  </si>
  <si>
    <t>ECUEC51329</t>
  </si>
  <si>
    <t>ECUEC60575</t>
  </si>
  <si>
    <t>ECUED23853</t>
  </si>
  <si>
    <t>ECUEC64520</t>
  </si>
  <si>
    <t>ECUEC60851</t>
  </si>
  <si>
    <t>ECUEC97529</t>
  </si>
  <si>
    <t>ECUEC57142</t>
  </si>
  <si>
    <t>ECUEC47916</t>
  </si>
  <si>
    <t>ECUEC57506</t>
  </si>
  <si>
    <t>ECUEC51523</t>
  </si>
  <si>
    <t>ECUEC67060</t>
  </si>
  <si>
    <t>ECUEC50103</t>
  </si>
  <si>
    <t>ECUEC57264</t>
  </si>
  <si>
    <t>ECUEC64994</t>
  </si>
  <si>
    <t>ECUEC51670</t>
  </si>
  <si>
    <t>ECUEC98566</t>
  </si>
  <si>
    <t>ECUEC64791</t>
  </si>
  <si>
    <t>ECUEC60384</t>
  </si>
  <si>
    <t>ECUEC57536</t>
  </si>
  <si>
    <t>ECUEC54846</t>
  </si>
  <si>
    <t>ECUED25262</t>
  </si>
  <si>
    <t>ECUEC97431</t>
  </si>
  <si>
    <t>ECUED12089</t>
  </si>
  <si>
    <t>ECUEC63887</t>
  </si>
  <si>
    <t>ECUEC63870</t>
  </si>
  <si>
    <t>ECUEC63844</t>
  </si>
  <si>
    <t>ECUED23444</t>
  </si>
  <si>
    <t>ECUEC50120</t>
  </si>
  <si>
    <t>ECUEC60428</t>
  </si>
  <si>
    <t>ECUEC57956</t>
  </si>
  <si>
    <t>ECUEC47690</t>
  </si>
  <si>
    <t>ECUEC60377</t>
  </si>
  <si>
    <t>ECUEC60302</t>
  </si>
  <si>
    <t>ECUEC98506</t>
  </si>
  <si>
    <t>ECUED29573</t>
  </si>
  <si>
    <t>ECUED23448</t>
  </si>
  <si>
    <t>ECUEC50275</t>
  </si>
  <si>
    <t>ECUEC51787</t>
  </si>
  <si>
    <t>ECUEC54740</t>
  </si>
  <si>
    <t>ECUEC64860</t>
  </si>
  <si>
    <t>ECUEC64749</t>
  </si>
  <si>
    <t>ECUEC47795</t>
  </si>
  <si>
    <t>ECUEC60782</t>
  </si>
  <si>
    <t>ECUED25071</t>
  </si>
  <si>
    <t>ECUEC50472</t>
  </si>
  <si>
    <t>ECUEC64948</t>
  </si>
  <si>
    <t>ECUEC57767</t>
  </si>
  <si>
    <t>ECUEC67913</t>
  </si>
  <si>
    <t>ECUEC50273</t>
  </si>
  <si>
    <t>ECUEC64457</t>
  </si>
  <si>
    <t>ECUEC51420</t>
  </si>
  <si>
    <t>ECUEC50861</t>
  </si>
  <si>
    <t>ECUEC50656</t>
  </si>
  <si>
    <t>ECUEC64973</t>
  </si>
  <si>
    <t>ECUEC51376</t>
  </si>
  <si>
    <t>ECUEC64671</t>
  </si>
  <si>
    <t>ECUEC63660</t>
  </si>
  <si>
    <t>ECUEC60207</t>
  </si>
  <si>
    <t>ECUEC50131</t>
  </si>
  <si>
    <t>ECUEC52391</t>
  </si>
  <si>
    <t>ECUEC67740</t>
  </si>
  <si>
    <t>ECUEC50729</t>
  </si>
  <si>
    <t>ECUED24687</t>
  </si>
  <si>
    <t>ECUEC51286</t>
  </si>
  <si>
    <t>ECUED29433</t>
  </si>
  <si>
    <t>ECUEC57602</t>
  </si>
  <si>
    <t>ECUEC67320</t>
  </si>
  <si>
    <t>ECUEC51383</t>
  </si>
  <si>
    <t>ECUED07519</t>
  </si>
  <si>
    <t>ECUEC47685</t>
  </si>
  <si>
    <t>ECUED22296</t>
  </si>
  <si>
    <t>ECUEC57226</t>
  </si>
  <si>
    <t>ECUEC67878</t>
  </si>
  <si>
    <t>ECUEC51050</t>
  </si>
  <si>
    <t>ECUEC60974</t>
  </si>
  <si>
    <t>ECUEC55817</t>
  </si>
  <si>
    <t>ECUEC64294</t>
  </si>
  <si>
    <t>ECUED04105</t>
  </si>
  <si>
    <t>ECUEC57755</t>
  </si>
  <si>
    <t>ECUEC51426</t>
  </si>
  <si>
    <t>ECUEC67084</t>
  </si>
  <si>
    <t>ECUEC60439</t>
  </si>
  <si>
    <t>ECUEC50530</t>
  </si>
  <si>
    <t>ECUEC57950</t>
  </si>
  <si>
    <t>ECUEC51208</t>
  </si>
  <si>
    <t>ECUEC51342</t>
  </si>
  <si>
    <t>ECUEC67455</t>
  </si>
  <si>
    <t>ECUEC50217</t>
  </si>
  <si>
    <t>ECUEC53640</t>
  </si>
  <si>
    <t>ECUEC57529</t>
  </si>
  <si>
    <t>ECUEC57547</t>
  </si>
  <si>
    <t>ECUEC64066</t>
  </si>
  <si>
    <t>ECUEC50552</t>
  </si>
  <si>
    <t>ECUEC57140</t>
  </si>
  <si>
    <t>ECUEC64414</t>
  </si>
  <si>
    <t>ECUED29483</t>
  </si>
  <si>
    <t>ECUEC64758</t>
  </si>
  <si>
    <t>ECUED24820</t>
  </si>
  <si>
    <t>ECUEC64645</t>
  </si>
  <si>
    <t>ECUED24699</t>
  </si>
  <si>
    <t>ECUED22001</t>
  </si>
  <si>
    <t>ECUEC64282</t>
  </si>
  <si>
    <t>ECUEC47859</t>
  </si>
  <si>
    <t>ECUEC67505</t>
  </si>
  <si>
    <t>ECUED29279</t>
  </si>
  <si>
    <t>ECUED12866</t>
  </si>
  <si>
    <t>ECUEC55689</t>
  </si>
  <si>
    <t>ECUEC67444</t>
  </si>
  <si>
    <t>ECUED29815</t>
  </si>
  <si>
    <t>ECUED23373</t>
  </si>
  <si>
    <t>ECUEC52479</t>
  </si>
  <si>
    <t>ECUEC57930</t>
  </si>
  <si>
    <t>ECUEC60798</t>
  </si>
  <si>
    <t>ECUEC64426</t>
  </si>
  <si>
    <t>ECUEC57778</t>
  </si>
  <si>
    <t>ECUEC50387</t>
  </si>
  <si>
    <t>ECUEC50238</t>
  </si>
  <si>
    <t>ECUEC50000</t>
  </si>
  <si>
    <t>ECUEC64753</t>
  </si>
  <si>
    <t>ECUEC52051</t>
  </si>
  <si>
    <t>ECUEC57164</t>
  </si>
  <si>
    <t>ECUEC67057</t>
  </si>
  <si>
    <t>ECUED02687</t>
  </si>
  <si>
    <t>ECUEC64668</t>
  </si>
  <si>
    <t>ECUEC48981</t>
  </si>
  <si>
    <t>ECUEC57545</t>
  </si>
  <si>
    <t>ECUEC50244</t>
  </si>
  <si>
    <t>ECUEC48934</t>
  </si>
  <si>
    <t>ECUEC57757</t>
  </si>
  <si>
    <t>ECUEC50221</t>
  </si>
  <si>
    <t>ECUEC57600</t>
  </si>
  <si>
    <t>ECUEC50924</t>
  </si>
  <si>
    <t>ECUEC54483</t>
  </si>
  <si>
    <t>ECUED12650</t>
  </si>
  <si>
    <t>ECUED22244</t>
  </si>
  <si>
    <t>ECUEC64272</t>
  </si>
  <si>
    <t>ECUEC63100</t>
  </si>
  <si>
    <t>ECUEC67428</t>
  </si>
  <si>
    <t>ECUEC64244</t>
  </si>
  <si>
    <t>ECUEC57475</t>
  </si>
  <si>
    <t>ECUED07240</t>
  </si>
  <si>
    <t>ECUEC53591</t>
  </si>
  <si>
    <t>ECUEC55670</t>
  </si>
  <si>
    <t>ECUEC51413</t>
  </si>
  <si>
    <t>ECUEC50868</t>
  </si>
  <si>
    <t>ECUEC60288</t>
  </si>
  <si>
    <t>ECUEC63649</t>
  </si>
  <si>
    <t>ECUEC54934</t>
  </si>
  <si>
    <t>ECUEC51043</t>
  </si>
  <si>
    <t>ECUEC57603</t>
  </si>
  <si>
    <t>ECUEC64736</t>
  </si>
  <si>
    <t>ECUEC50662</t>
  </si>
  <si>
    <t>ECUEC57284</t>
  </si>
  <si>
    <t>ECUEC64054</t>
  </si>
  <si>
    <t>ECUED14144</t>
  </si>
  <si>
    <t>ECUEC50854</t>
  </si>
  <si>
    <t>ECUEC57488</t>
  </si>
  <si>
    <t>ECUEC57775</t>
  </si>
  <si>
    <t>ECUEC60379</t>
  </si>
  <si>
    <t>ECUEC63811</t>
  </si>
  <si>
    <t>ECUED22020</t>
  </si>
  <si>
    <t>ECUEC57742</t>
  </si>
  <si>
    <t>ECUEC47724</t>
  </si>
  <si>
    <t>ECUEC67129</t>
  </si>
  <si>
    <t>ECUEC63804</t>
  </si>
  <si>
    <t>ECUEC54766</t>
  </si>
  <si>
    <t>ECUEC60138</t>
  </si>
  <si>
    <t>ECUEC54495</t>
  </si>
  <si>
    <t>ECUED02879</t>
  </si>
  <si>
    <t>ECUEC47840</t>
  </si>
  <si>
    <t>ECUEC47854</t>
  </si>
  <si>
    <t>ECUEC64574</t>
  </si>
  <si>
    <t>ECUED12325</t>
  </si>
  <si>
    <t>ECUEC67082</t>
  </si>
  <si>
    <t>ECUEC63642</t>
  </si>
  <si>
    <t>ECUED23556</t>
  </si>
  <si>
    <t>ECUEC64150</t>
  </si>
  <si>
    <t>ECUEC51511</t>
  </si>
  <si>
    <t>ECUEC57404</t>
  </si>
  <si>
    <t>ECUEC57992</t>
  </si>
  <si>
    <t>ECUEC50859</t>
  </si>
  <si>
    <t>ECUEC57822</t>
  </si>
  <si>
    <t>ECUEC62958</t>
  </si>
  <si>
    <t>ECUEC51803</t>
  </si>
  <si>
    <t>ECUEC47773</t>
  </si>
  <si>
    <t>ECUEC64698</t>
  </si>
  <si>
    <t>ECUED22335</t>
  </si>
  <si>
    <t>ECUEC51245</t>
  </si>
  <si>
    <t>ECUEC54298</t>
  </si>
  <si>
    <t>ECUED02138</t>
  </si>
  <si>
    <t>ECUEC57821</t>
  </si>
  <si>
    <t>ECUED29044</t>
  </si>
  <si>
    <t>ECUEC50044</t>
  </si>
  <si>
    <t>ECUEC51516</t>
  </si>
  <si>
    <t>ECUEC67282</t>
  </si>
  <si>
    <t>ECUEC47816</t>
  </si>
  <si>
    <t>ECUEC60617</t>
  </si>
  <si>
    <t>ECUED24433</t>
  </si>
  <si>
    <t>ECUEC51038</t>
  </si>
  <si>
    <t>ECUEC57721</t>
  </si>
  <si>
    <t>ECUEC47919</t>
  </si>
  <si>
    <t>ECUEC57574</t>
  </si>
  <si>
    <t>ECUEC50808</t>
  </si>
  <si>
    <t>ECUEC67664</t>
  </si>
  <si>
    <t>ECUEC50600</t>
  </si>
  <si>
    <t>ECUEC57608</t>
  </si>
  <si>
    <t>ECUEC60094</t>
  </si>
  <si>
    <t>ECUEC60539 ECUEC60430</t>
  </si>
  <si>
    <t>ECUEC52494</t>
  </si>
  <si>
    <t>ECUEC57530</t>
  </si>
  <si>
    <t>ECUEC60248</t>
  </si>
  <si>
    <t>ECUEC64720</t>
  </si>
  <si>
    <t>ECUED29457</t>
  </si>
  <si>
    <t>ECUEC64209</t>
  </si>
  <si>
    <t>ECUEC57623</t>
  </si>
  <si>
    <t>ECUEC64653</t>
  </si>
  <si>
    <t>ECUEC67889</t>
  </si>
  <si>
    <t>ECUEC57996</t>
  </si>
  <si>
    <t>ECUEC64430</t>
  </si>
  <si>
    <t>ECUEC52530</t>
  </si>
  <si>
    <t>ECUEC60350</t>
  </si>
  <si>
    <t>ECUEC64296</t>
  </si>
  <si>
    <t>ECUEC64423</t>
  </si>
  <si>
    <t>ECUEC64767</t>
  </si>
  <si>
    <t>ECUEC52506</t>
  </si>
  <si>
    <t>ECUED21666</t>
  </si>
  <si>
    <t>ECUEC64083</t>
  </si>
  <si>
    <t>ECUEC60385</t>
  </si>
  <si>
    <t>ECUEC64638</t>
  </si>
  <si>
    <t>ECUEC54795</t>
  </si>
  <si>
    <t>ECUEC57285</t>
  </si>
  <si>
    <t>ECUEC47881</t>
  </si>
  <si>
    <t>ECUEC67090</t>
  </si>
  <si>
    <t>ECUEC57812</t>
  </si>
  <si>
    <t>Annexure-a</t>
  </si>
  <si>
    <t xml:space="preserve">CASE 1, FIRST PRIORITY : Details of such cases where the result could not obtained from the CU and the VVPAT slip count was done
</t>
  </si>
  <si>
    <t>Sl.No</t>
  </si>
  <si>
    <t xml:space="preserve">Name of State </t>
  </si>
  <si>
    <t xml:space="preserve">No. and name of Assembly/ Parliamentary Constituency
</t>
  </si>
  <si>
    <t xml:space="preserve">Polling Station Number and Name
</t>
  </si>
  <si>
    <t xml:space="preserve">Unique ID of CU
</t>
  </si>
  <si>
    <t xml:space="preserve">Unique ID of VVPAT(counted)
</t>
  </si>
  <si>
    <t xml:space="preserve">Whether total votes in CU in Po Diary Matched with total Number of VVPAT paper Slips (Yes/No)
</t>
  </si>
  <si>
    <t xml:space="preserve">If No, Details thereof
</t>
  </si>
  <si>
    <t>Uttar Pradesh</t>
  </si>
  <si>
    <t xml:space="preserve">Place- Mandi Samiti Parisar Anoopshahr Road Bulandshahr </t>
  </si>
  <si>
    <t>Annexure-b</t>
  </si>
  <si>
    <t xml:space="preserve">Parliamentary/ Assembly Constituency
</t>
  </si>
  <si>
    <t xml:space="preserve">Request Received under Rule 56D of the Conduct of Elections Rules 1961
</t>
  </si>
  <si>
    <t xml:space="preserve">If Yes Polling Station
</t>
  </si>
  <si>
    <t xml:space="preserve">Unique ID of VVPAT
</t>
  </si>
  <si>
    <t>Discrepancy if any Yes/No</t>
  </si>
  <si>
    <t>If Yes, details thereof</t>
  </si>
  <si>
    <t>No.</t>
  </si>
  <si>
    <t>Name</t>
  </si>
  <si>
    <t>14/66</t>
  </si>
  <si>
    <t>Annexure-c</t>
  </si>
  <si>
    <t>Details of such cases where the Mock Poll data not erased from the CU and therefore, the VVPAT slip count was done</t>
  </si>
  <si>
    <t>Annexure-d</t>
  </si>
  <si>
    <t xml:space="preserve">Mandatory Verification of Paper Slips of VVPAT of 05 (five) randomly selected Polling Station
</t>
  </si>
  <si>
    <t xml:space="preserve">(Separate for each polling station - To be sent only to the CEO concerned)
</t>
  </si>
  <si>
    <t xml:space="preserve">Name of State-                                                                    </t>
  </si>
  <si>
    <t>No. and Name of Assembly/Parliamentary Constituency-</t>
  </si>
  <si>
    <t>14-Bulandshahr (SC)</t>
  </si>
  <si>
    <t xml:space="preserve">No. and Name of Assembly Segment (in case of PC)-      </t>
  </si>
  <si>
    <t>Unique ID of Control Unit-</t>
  </si>
  <si>
    <t>Unique ID of VVPAT-</t>
  </si>
  <si>
    <t xml:space="preserve">It is certify that mandatory verification of paper slips of VVPAT of randomly selected polling station mentioned above has been conducted as per the instructions of the commission.
</t>
  </si>
  <si>
    <t xml:space="preserve">Name of Candidate
</t>
  </si>
  <si>
    <t xml:space="preserve">Discrepancy if any
</t>
  </si>
  <si>
    <t xml:space="preserve">AS per EVM
</t>
  </si>
  <si>
    <t xml:space="preserve">AS per Paper Slips
</t>
  </si>
  <si>
    <t>TOTAL VOTES</t>
  </si>
  <si>
    <t xml:space="preserve">( Present during the mandatory verification of VVPAT slips count )
</t>
  </si>
  <si>
    <t xml:space="preserve">Name of Candidate/ Counting Agent
</t>
  </si>
  <si>
    <t>Mention Candidate/ Counting Agent</t>
  </si>
  <si>
    <t xml:space="preserve">Name of Party
</t>
  </si>
  <si>
    <t xml:space="preserve">Signature
</t>
  </si>
  <si>
    <t>Signature of Assistant Returning Officer</t>
  </si>
  <si>
    <t>Signature of Returning Officer</t>
  </si>
  <si>
    <t>Signature of ECI observer</t>
  </si>
  <si>
    <t>Annexure-e</t>
  </si>
  <si>
    <t xml:space="preserve">Annex-e : Part-00 of from 17-C </t>
  </si>
  <si>
    <t xml:space="preserve">RESULT OF PRINTED PAPER COUNT
Station
</t>
  </si>
  <si>
    <t>Total Number of VVPAT used-1</t>
  </si>
  <si>
    <t>Sl.No of Candidate</t>
  </si>
  <si>
    <t>Number of votes as per count of Printed Paper Slip of VVPAT</t>
  </si>
  <si>
    <t xml:space="preserve">Number of test votes to be deducted as per item 5 of Part I
</t>
  </si>
  <si>
    <t xml:space="preserve">Number of valid votes (3-4)
</t>
  </si>
  <si>
    <t xml:space="preserve">Whether the total number of votes shown above tallies with the total number of votes shown against item 6 of Part 1 or any discrepancy noticed between the two totals. (YES/NO)
</t>
  </si>
  <si>
    <t xml:space="preserve">Signature of Counting Supervisor
</t>
  </si>
  <si>
    <t xml:space="preserve">Name of Candidate/ Election Agent /Counting Agent
</t>
  </si>
  <si>
    <t xml:space="preserve">Full Signature
</t>
  </si>
  <si>
    <t>Ac. No.</t>
  </si>
  <si>
    <t>Polling Station</t>
  </si>
  <si>
    <t>Total No. of Electors</t>
  </si>
  <si>
    <t>Voters Turnout</t>
  </si>
  <si>
    <t>No. of voters identified using EPIC</t>
  </si>
  <si>
    <t>No. of Ten-dered Voters</t>
  </si>
  <si>
    <t>Total voters Secured</t>
  </si>
  <si>
    <t>Male</t>
  </si>
  <si>
    <t>Female</t>
  </si>
  <si>
    <t>Other</t>
  </si>
  <si>
    <t>Party Affiliation</t>
  </si>
  <si>
    <t>Voters Secured</t>
  </si>
  <si>
    <t>KUCHESER R R K K INTER COLLEGE ROOM NO- 1</t>
  </si>
  <si>
    <t xml:space="preserve">Indian National Congrass </t>
  </si>
  <si>
    <t>KUCHESER R R K K INTER COLLEGE ROOM NO- 2</t>
  </si>
  <si>
    <t>KUCHESER R R K K INTER COLLEGE ROOM NO- 3</t>
  </si>
  <si>
    <t>KUCHESER R R K K INTER COLLEGE ROOM NO- 4</t>
  </si>
  <si>
    <t>KUCHESER R R K K INTER COLLEGE ROOM NO- 5</t>
  </si>
  <si>
    <t>LUDHPURA PRIMARY SCHOOL ROOM NO-1</t>
  </si>
  <si>
    <t>LUDHPURA PRIMARY SCHOOL ROOM NO-2</t>
  </si>
  <si>
    <t>SALABAD DHUMERA PRIMARY SCHOOL ROOM NO-1</t>
  </si>
  <si>
    <t>SALABAD DHUMERA PRIMARY SCHOOL ROOM NO-2</t>
  </si>
  <si>
    <t>TIVARA PRIMARY SCHOOL</t>
  </si>
  <si>
    <t>BARKATPUR PRIMARY SCHOOL</t>
  </si>
  <si>
    <t>DHAKAULI PRIMARY SCHOOL ROOM NO-1</t>
  </si>
  <si>
    <t>DHAKAULI PRIMARY SCHOOL ROOM NO-2</t>
  </si>
  <si>
    <t>KHARKALI PRIMARY SCHOOL ROOM N0-1</t>
  </si>
  <si>
    <t>KHARKALI PRIMARY SCHOOL ROOM N0-2</t>
  </si>
  <si>
    <t>SEHRA PRIMARY SCHOOL ROOM-1</t>
  </si>
  <si>
    <t>SEHRA PRIMARY SCHOOL ROOM-2</t>
  </si>
  <si>
    <t>BAINSAKHUR PRIMARY SCHOOL ROOM N0-1</t>
  </si>
  <si>
    <t>BAINSAKHUR PRIMARY SCHOOL ROOM N0-2</t>
  </si>
  <si>
    <t>BAINSAKHUR PRIMARY SCHOOL ROOM N0-3</t>
  </si>
  <si>
    <t>AKAPUR TIYANA PRIMARY SCHOOL ROOM N0-1</t>
  </si>
  <si>
    <t>AKAPUR TIYANA PRIMARY SCHOOL ROOM N0-2</t>
  </si>
  <si>
    <t>AKAPUR TIYANA PRIMARY SCHOOL ROOM N0-3</t>
  </si>
  <si>
    <t>SAIDPUR PRIMARY SCHOOL ROOM NO-1</t>
  </si>
  <si>
    <t>SAIDPUR PRIMARY SCHOOL ROOM NO-2</t>
  </si>
  <si>
    <t>SAIDPUR KANYA PATHSHALA</t>
  </si>
  <si>
    <t>PRIMARY SCHOOL TEJGARHI(SAIDPUR) ROOM NO-1</t>
  </si>
  <si>
    <t>NEEMAPATI MAJRA SAIDPUR PRIMARY SCHOOL</t>
  </si>
  <si>
    <t>KHAIRPUR PRIMARY SCHOOL</t>
  </si>
  <si>
    <t>BHIRAVATI PRIMARY SCHOOL</t>
  </si>
  <si>
    <t>MADONA JAFARABAD PRIMARY SCHOOL</t>
  </si>
  <si>
    <t>SEGA JAGATPUR PRIMARY SCHOOL ROOM NO -1</t>
  </si>
  <si>
    <t>SEGA JAGATPUR PRIMARY SCHOOL ROOM NO -2</t>
  </si>
  <si>
    <t>KHADMOHAN NAGAR PRIMARY SCHOOL ROOM NO-1</t>
  </si>
  <si>
    <t>KHADMOHAN NAGAR PRIMARY SCHOOL ROOM NO-2</t>
  </si>
  <si>
    <t>KHADMOHAN NAGAR KANYA PATHSHALA ROOM N0-1</t>
  </si>
  <si>
    <t>KHADMOHAN NAGAR KANYA PATHSHALA ROOM N0-2</t>
  </si>
  <si>
    <t>MOHANPUR PRIMARY SCHOOL ROOM NO-1</t>
  </si>
  <si>
    <t>MOHANPUR PRIMARY SCHOOL ROOM NO-2</t>
  </si>
  <si>
    <t>CHITSONA ALLIPUR KRISHAK HITKARI I.C.ROOM NO-1</t>
  </si>
  <si>
    <t>CHITSONA ALLIPUR KRISHAK HITKARI I.C.ROOM NO-2</t>
  </si>
  <si>
    <t>CHITSONA ALLIPUR PRIMARY SCHOOL ROOM NO-1</t>
  </si>
  <si>
    <t>CHITSONA ALLIPUR PRIMARY SCHOOL ROOM NO-2</t>
  </si>
  <si>
    <t>B.B.NAGAR PRIMARY SCHOOL ROOM NO-1</t>
  </si>
  <si>
    <t>B.B.NAGAR PRIMARY SCHOOL ROOM NO-2</t>
  </si>
  <si>
    <t>B.B.NAGAR PRIMARY SCHOOL ROOM NO-3</t>
  </si>
  <si>
    <t>B.B NAGAR S.B. I.C ROOM NO -1</t>
  </si>
  <si>
    <t>B.B NAGAR S.B. I.C ROOM NO -2</t>
  </si>
  <si>
    <t>B.B NAGAR S.B. I.C ROOM NO -3</t>
  </si>
  <si>
    <t>B.B.NAGAR RAJKEYA KANYA I.C.ROOM NO -1</t>
  </si>
  <si>
    <t>B.B.NAGAR RAJKEYA KANYA I.C.ROOM NO -2</t>
  </si>
  <si>
    <t>B.B.NAGAR RAJKEYA KANYA I.C.ROOM NO -3</t>
  </si>
  <si>
    <t>BANIPUR PRIMARY SCHOOL ROOM NO -1</t>
  </si>
  <si>
    <t>BANIPUR PRIMARY SCHOOL ROOM NO -2</t>
  </si>
  <si>
    <t>BAHPUR PRIMARY SCHOOL ROOM N0 -1</t>
  </si>
  <si>
    <t>BAHPUR PRIMARY SCHOOL ROOM N0 -2</t>
  </si>
  <si>
    <t>BAHPUR PRIMARY SCHOOL ROOM N0 -3</t>
  </si>
  <si>
    <t>HINGVARA PRIMARY SCHOOL ROOM NO -1</t>
  </si>
  <si>
    <t>HINGVARA PRIMARY SCHOOL ROOM NO -2</t>
  </si>
  <si>
    <t>HINGVARA PRIMARY SCHOOL ROOM NO -3</t>
  </si>
  <si>
    <t>DARAULI PRIMARY SCHOOL</t>
  </si>
  <si>
    <t>IKLEDI PRIMARY SCHOOL</t>
  </si>
  <si>
    <t>VALIPUR PRIMARY SCHOOL ROOM NO-1</t>
  </si>
  <si>
    <t>VALIPUR PRIMARY SCHOOL ROOM NO-2</t>
  </si>
  <si>
    <t>KESHUPUR SATHLA JUNIOR HIGH SCHOOL ROOM NO-1</t>
  </si>
  <si>
    <t>ALABANS BATRI PRIMARY SCHOOL</t>
  </si>
  <si>
    <t>NIKHOB PRIMARY SCHOOL ROOM NO-1</t>
  </si>
  <si>
    <t>NIKHOB PRIMARY SCHOOL ROOM NO-2</t>
  </si>
  <si>
    <t>THALINYATPUR PRIMARY SCHOOL ROOM NO -1</t>
  </si>
  <si>
    <t>THALINYATPUR PRIMARY SCHOOL ROOM NO -2</t>
  </si>
  <si>
    <t>MAHAV PRIMARY SCHOOL ROOM NO-1</t>
  </si>
  <si>
    <t>MAHAV PRIMARY SCHOOL ROOM NO-2</t>
  </si>
  <si>
    <t>VIMLA DEVI KANYA J.H. SCHOOL BARAULI BASDEVPUR ROOM NO -1</t>
  </si>
  <si>
    <t>VIMLA DEVI KANYA J.H. SCHOOL BARAULI BASDEVPUR ROOM NO -2</t>
  </si>
  <si>
    <t>VIMLA DEVI KANYA J.H. SCHOOL BARAULI BASDEVPUR ROOM NO -3</t>
  </si>
  <si>
    <t>BARAULI BASDEVPUR PRIMARY SCHOOL-2 ROOM NO -1</t>
  </si>
  <si>
    <t>BARAULI BASDEVPUR PRIMARY SCHOOL-2 ROOM NO -2</t>
  </si>
  <si>
    <t>HARVANPUR URF BHAGVANPUR PRIMARY SCHOOL</t>
  </si>
  <si>
    <t>NAYA BAS MAJRA SAHANPUR PRIMARY SCHOOL ROOM NO-1</t>
  </si>
  <si>
    <t>NAYA BAS MAJRA SAHANPUR PRIMARY SCHOOL ROOM NO-2</t>
  </si>
  <si>
    <t>NAYA BAS MAJRA SAHANPUR PRIMARY SCHOOL ROOM NO-3</t>
  </si>
  <si>
    <t>KARAUTHI JUNIOR HIGH SCHOOL</t>
  </si>
  <si>
    <t>BADDHA VAJIDPUR PRIMARY SCHOOL ROOM NO-1</t>
  </si>
  <si>
    <t>BADDHA VAJIDPUR PRIMARY SCHOOL ROOM NO-2</t>
  </si>
  <si>
    <t>BADDHA VAJIDPUR PRIMARY SCHOOL ROOM NO-3</t>
  </si>
  <si>
    <t>BEEHTA PRIMARY SCHOOL ROOM NO-1</t>
  </si>
  <si>
    <t>BEEHTA PRIMARY SCHOOL ROOM NO-2</t>
  </si>
  <si>
    <t>NAHCHOLI PRIMARY SCHOOL</t>
  </si>
  <si>
    <t>SIYANA JUNIOR HIGH SCHOOL ROOM NO -1</t>
  </si>
  <si>
    <t>SIYANA JUNIOR HIGH SCHOOL ROOM NO -2</t>
  </si>
  <si>
    <t>SIYANA TEHSIL KARYALYA ROOM NO -1</t>
  </si>
  <si>
    <t>SIYANA TEHSIL KARYALYA ROOM NO -2</t>
  </si>
  <si>
    <t>SIYANA TEHSIL KARYALYA ROOM NO -3</t>
  </si>
  <si>
    <t>SIYANA KANYA PATHSHALA ROOM NO-1</t>
  </si>
  <si>
    <t>SIYANA KANYA PATHSHALA ROOM NO-2</t>
  </si>
  <si>
    <t>SIYANA KANYA PATHSHALA ROOM NO-3</t>
  </si>
  <si>
    <t>SIYANA KANYA PATHSHALA ROOM NO-4</t>
  </si>
  <si>
    <t>SIYANA I.G.K.I.C. ROOM NO -1</t>
  </si>
  <si>
    <t>SIYANA I.G.K.I.C. ROOM NO -2</t>
  </si>
  <si>
    <t>SIYANA I.G.K.I.C. ROOM NO -3</t>
  </si>
  <si>
    <t>SIYANA I.G.K.I.C. ROOM NO -4</t>
  </si>
  <si>
    <t>SIYANA I.G.K.I.C. ROOM NO -5</t>
  </si>
  <si>
    <t>SIYANA KHAND VIKAS KARYALA ROOM NO -1</t>
  </si>
  <si>
    <t>SIYANA KHAND VIKAS KARYALA ROOM NO -2</t>
  </si>
  <si>
    <t>SIYANA KHAND VIKAS KARYALA ROOM NO -3</t>
  </si>
  <si>
    <t>SIYANA VIVEKANAND JUNIOR HIGH SCHOOL ROOM NO -1</t>
  </si>
  <si>
    <t>SIYANA VIVEKANAND JUNIOR HIGH SCHOOL ROOM NO -2</t>
  </si>
  <si>
    <t>SIYANA VIVEKANAND JUNIOR HIGH SCHOOL ROOM NO -3</t>
  </si>
  <si>
    <t>SIYANA ISLAMIYA SCHOOL ROOM NO-1</t>
  </si>
  <si>
    <t>SIYANA ISLAMIYA SCHOOL ROOM NO-2</t>
  </si>
  <si>
    <t>SIYANA ISLAMIYA SCHOOL ROOM NO-3</t>
  </si>
  <si>
    <t>SIYANA ISLAMIYA SCHOOL ROOM NO-4</t>
  </si>
  <si>
    <t>SARAY MAJRA SIYANA PRIMARY SCHOOL ROOM NO-1</t>
  </si>
  <si>
    <t>SARAY MAJRA SIYANA PRIMARY SCHOOL ROOM NO-2</t>
  </si>
  <si>
    <t>LAUNGA PRIMARY SCHOOL ROOM NO-1</t>
  </si>
  <si>
    <t>LAUNGA PRIMARY SCHOOL ROOM NO-2</t>
  </si>
  <si>
    <t>HAJIPUR KANYA PATHSHALA</t>
  </si>
  <si>
    <t>HAJIPUR PRIMARY SCHOOL ROOM NO.-1</t>
  </si>
  <si>
    <t>HAJIPUR PRIMARY SCHOOL ROOM NO.-2</t>
  </si>
  <si>
    <t>HAJIPUR PRIMARY SCHOOL ROOM NO.-3</t>
  </si>
  <si>
    <t>JALALPUR PURV MADHYAMIK VIDHYALAY ROOM NO.-1</t>
  </si>
  <si>
    <t>JALALPUR PURV MADHYAMIK VIDHYALAY ROOM NO.-2</t>
  </si>
  <si>
    <t>JALALPUR PRIMARY SCHOOL NYA BHAWAN ROOM NO.-1</t>
  </si>
  <si>
    <t>JALALPUR PRIMARY SCHOOL NYA BHAWAN ROOM NO.-2</t>
  </si>
  <si>
    <t>JALALPUR PRIMARY SCHOOL NYA BHAWAN ROOM NO.-3</t>
  </si>
  <si>
    <t>RAVANI KATIRI PRIMARY SCHOOL ROOM NO-1</t>
  </si>
  <si>
    <t>RAVANI KATIRI PRIMARY SCHOOL ROOM NO-2</t>
  </si>
  <si>
    <t>MAHIUDDINPUR BUKLANA PRIMARY SCHOOL ROOM NO.-1</t>
  </si>
  <si>
    <t>MAHIUDDINPUR BUKLANA PRIMARY SCHOOL ROOM NO.-2</t>
  </si>
  <si>
    <t>MAHIUDDINPUR BUKLANA PRIMARY SCHOOL ROOM NO.-3</t>
  </si>
  <si>
    <t>MAHIUDDINPUR BUKLANA PRIMARY SCHOOL ROOM NO.-4</t>
  </si>
  <si>
    <t>BARHANA PRIMARY SCHOOL ROOM NO.-1</t>
  </si>
  <si>
    <t>BARHANA PRIMARY SCHOOL ROOM NO.-2</t>
  </si>
  <si>
    <t>BARHANA PRIMARY SCHOOL ROOM NO.-3</t>
  </si>
  <si>
    <t>BUGRASI JANTA INTER COLLEGE ROOM NO.-1 NORTH PART</t>
  </si>
  <si>
    <t>BUGRASI JANTA INTER COLLEGE ROOM NO.-2 NORTH PART</t>
  </si>
  <si>
    <t>BUGRASI JANTA INTER COLLEGE ROOM NO.-3 NORTH PART</t>
  </si>
  <si>
    <t>BUGRASI JANTA INTER COLLEGE ROOM NO.-1 SOUTH PART</t>
  </si>
  <si>
    <t>BUGRASI JANTA INTER COLLEGE ROOM NO.-2 SOUTH PART</t>
  </si>
  <si>
    <t>BUGRASI JANTA INTER COLLEGE ROOM NO.-3 SOUTH PART</t>
  </si>
  <si>
    <t>BUGRASI JANTA INTER COLLEGE ROOM NO.-4 SOUTH PART</t>
  </si>
  <si>
    <t>BUGRASI PRIMARY SCHOOL ROOM NO.-1</t>
  </si>
  <si>
    <t>BUGRASI PRIMARY SCHOOL ROOM NO.-2</t>
  </si>
  <si>
    <t>BUGRASI NAGAR PANCHAYAT KARYALAY ROOM NO. -1</t>
  </si>
  <si>
    <t>BUGRASI NAGAR PANCHAYAT KARYALAY ROOM NO. -2</t>
  </si>
  <si>
    <t>KIRYAWLI PRIMARY SCHOOL ROOM NO. -1</t>
  </si>
  <si>
    <t>KIRYAWLI PRIMARY SCHOOL ROOM NO. -2</t>
  </si>
  <si>
    <t>MAKRI PRIMARY SCHOOL ROOM NO.-1</t>
  </si>
  <si>
    <t>MAKRI PRIMARY SCHOOL ROOM NO.-2</t>
  </si>
  <si>
    <t>MAKRI PRIMARY SCHOOL ROOM NO.-3</t>
  </si>
  <si>
    <t>PRIMARY PATHSHALA LUDHPURA (MAKRI) NO.-3 ROOM N0-1</t>
  </si>
  <si>
    <t>DHANIYAWLI PRIMARY SCHOOL ROOM NO. -1</t>
  </si>
  <si>
    <t>DHANIYAWLI PRIMARY SCHOOL ROOM NO. -2</t>
  </si>
  <si>
    <t>RANAPUR PRIMARY SCHOOL ROOM NO.-1</t>
  </si>
  <si>
    <t>RANAPUR PRIMARY SCHOOL ROOM NO.-2</t>
  </si>
  <si>
    <t>RANAPUR PRIMARY SCHOOL ROOM NO.-3</t>
  </si>
  <si>
    <t>BIGRAU PRIMARY SCHOOL ROOM NO.-1</t>
  </si>
  <si>
    <t>BIGRAU PRIMARY SCHOOL ROOM NO.-2</t>
  </si>
  <si>
    <t>CHANDPUR PUTHI PRIMARY SCHOOL ROOM NO.-1</t>
  </si>
  <si>
    <t>CHANDPUR PUTHI PRIMARY SCHOOL ROOM NO.-3</t>
  </si>
  <si>
    <t>BHARRA PRIMARY SCHOOL ROOM NO-1</t>
  </si>
  <si>
    <t>BHARRA PRIMARY SCHOOL ROOM NO-2</t>
  </si>
  <si>
    <t>GINORA NAGLI PRIMARY SCHOOL ROOM NO.-1</t>
  </si>
  <si>
    <t>GINORA NAGLI PRIMARY SCHOOL ROOM NO.-2</t>
  </si>
  <si>
    <t>LADANA PRIMARY SCHOOL ROOM NO. -1</t>
  </si>
  <si>
    <t>LADANA PRIMARY SCHOOL ROOM NO. -2</t>
  </si>
  <si>
    <t>NAGLA ALAMPUR PRIMARY SCHOOL ROOM NO.-1</t>
  </si>
  <si>
    <t>BHOLIYA MAJRA GIRORA PRIMARY SCHOOL ROOM NO. 1</t>
  </si>
  <si>
    <t>BHOLIYA MAJRA GIRORA PRIMARY SCHOOL ROOM NO. 2</t>
  </si>
  <si>
    <t>NAGLA MAYAPUR MAJRA GIRORA PRIMARY PATHSHALA ROOM NO-1</t>
  </si>
  <si>
    <t>NAGLA MAYAPUR MAJRA GIRORA PRIMARY PATHSHALA ROOM NO-2</t>
  </si>
  <si>
    <t>KACHROT PRIMARY SCHOOL ROOM NO. 1</t>
  </si>
  <si>
    <t>KACHROT PRIMARY SCHOOL ROOM NO. 2</t>
  </si>
  <si>
    <t>THONA PRIMARY SCHOOL ROOM NO. 1</t>
  </si>
  <si>
    <t>THONA PRIMARY SCHOOL ROOM NO. 2</t>
  </si>
  <si>
    <t>KHANPUR PRIMARY SCHOOL ROOM NO. -1</t>
  </si>
  <si>
    <t>KHANPUR PRIMARY SCHOOL ROOM NO. -2</t>
  </si>
  <si>
    <t>KHANPUR PRIMARY SCHOOL ROOM NO. -3</t>
  </si>
  <si>
    <t>KHANPUR PRIMARY SCHOOL ROOM NO. -4</t>
  </si>
  <si>
    <t>KHANPUR PRIMARY SCHOOL ROOM NO. -5</t>
  </si>
  <si>
    <t>KHANPUR S.L. INTER COLLEGE ROOM NO. 1 EAST PART</t>
  </si>
  <si>
    <t>KHANPUR S.L. INTER COLLEGE ROOM NO. 1 WEST PART</t>
  </si>
  <si>
    <t>KHANPUR S.L. INTER COLLEGE ROOM NO. 2 WEST PART</t>
  </si>
  <si>
    <t>KHANPUR S.L. INTER COLLEGE ROOM NO. 3 WEST PART</t>
  </si>
  <si>
    <t>KHANPUR BIJGODAM ROOM NO. 1</t>
  </si>
  <si>
    <t>KHANPUR BIJGODAM ROOM NO. 2</t>
  </si>
  <si>
    <t>SIKRI PRIMARY SCHOOL ROOM NO-1</t>
  </si>
  <si>
    <t>SIKRI PRIMARY SCHOOL ROOM NO-2</t>
  </si>
  <si>
    <t>SIHALI JHAYA PRIMARY SCHOOL</t>
  </si>
  <si>
    <t>DHAKROLI PRIMARY SCHOOL ROOM NO.-1</t>
  </si>
  <si>
    <t>DHAKROLI PRIMARY SCHOOL ROOM NO.-2</t>
  </si>
  <si>
    <t>DHAKROLI PRIMARY SCHOOL ROOM NO.-3</t>
  </si>
  <si>
    <t>IMAMABAD PRIMARY SCHOOL</t>
  </si>
  <si>
    <t>DHAKKA PURV MADHAYMIK VIDHALAY ROOM NO. -1</t>
  </si>
  <si>
    <t>DHAKKA PURV MADHAYMIK VIDHALAY ROOM NO. -2</t>
  </si>
  <si>
    <t>ISHANPUR PRIMARY SCHOOL ROOM NO-1</t>
  </si>
  <si>
    <t>ISHANPUR PRIMARY SCHOOL ROOM NO-2</t>
  </si>
  <si>
    <t>BHAMROLI PRIMARY SCHOOL</t>
  </si>
  <si>
    <t>BHAMROLI JUNIOR HIGH SCHOOL</t>
  </si>
  <si>
    <t>PALI PARTAPUR PANCHAYAT GHAR</t>
  </si>
  <si>
    <t>SOJNA JHAYA JUNIOR HIGH SCHOOL ROOM NO.-1</t>
  </si>
  <si>
    <t>SOJNA JHAYA JUNIOR HIGH SCHOOL ROOM NO.-2</t>
  </si>
  <si>
    <t>ABHAYPUR PRIMARY SCHOOL</t>
  </si>
  <si>
    <t>IMALIYA PRIMARY SCHOOL</t>
  </si>
  <si>
    <t>KHANPUR MAJRA PRIMARY SCHOOL ROOM NO-1</t>
  </si>
  <si>
    <t>KHANPUR MAJRA PRIMARY SCHOOL ROOM NO-2</t>
  </si>
  <si>
    <t>PARWANA MEHMUDPUR PRIMARY SCHOOL ROOM NO. -1</t>
  </si>
  <si>
    <t>PARWANA MEHMUDPUR PRIMARY SCHOOL ROOM NO. -2</t>
  </si>
  <si>
    <t>PARWANA MEHMUDPUR PRIMARY SCHOOL ROOM NO. -3</t>
  </si>
  <si>
    <t>PARWANA MEHMUDPUR PRIMARY SCHOOL ROOM NO. -4</t>
  </si>
  <si>
    <t>PARWANA MEHMUDPUR PRIMARY SCHOOL ROOM NO. -5</t>
  </si>
  <si>
    <t>PARWANA MEHMUDPUR PURV MADHAYMIK VIDALAYA ROOM NO. -1</t>
  </si>
  <si>
    <t>PRIMARY SCHOOL MEHMUDPUR</t>
  </si>
  <si>
    <t>MANPUR PRIMARY SCHOOL</t>
  </si>
  <si>
    <t>KHIJARPUR PRIMARY SCHOOL</t>
  </si>
  <si>
    <t>SURAJPUR TIKRI PRIMARY SCHOOL ROOM NO. -1</t>
  </si>
  <si>
    <t>SURAJPUR TIKRI PRIMARY SCHOOL ROOM NO. -2</t>
  </si>
  <si>
    <t>PEMPUR PRIMARY SCHOOL</t>
  </si>
  <si>
    <t>RATANPUR PURV MADHAYMIK SCHOOL ROOM NO. -1</t>
  </si>
  <si>
    <t>RATANPUR PURV MADHAYMIK SCHOOL ROOM NO. -2</t>
  </si>
  <si>
    <t>KODA SHAMSHABAD PRIMARY SCHOOL ROOM NO-1</t>
  </si>
  <si>
    <t>KODA SHAMSHABAD PRIMARY SCHOOL ROOM NO-2</t>
  </si>
  <si>
    <t>BADSHAHPUR TALAB PRIMARY SCHOOL</t>
  </si>
  <si>
    <t>ILNA PRIMARY SCHOOL ROOM NO.-1</t>
  </si>
  <si>
    <t>ILNA PRIMARY SCHOOL ROOM NO.-2</t>
  </si>
  <si>
    <t>ILNA PRIMARY SCHOOL ROOM NO.-3</t>
  </si>
  <si>
    <t>ILNA PRIMARY SCHOOL ROOM NO.-4</t>
  </si>
  <si>
    <t>TEHGORA PRIMARY SCHOOL</t>
  </si>
  <si>
    <t>BAHEDI KHEDA PRIMARY SCHOOL</t>
  </si>
  <si>
    <t>BAMANPUR TALLUKA PRIMARY SCHOOL</t>
  </si>
  <si>
    <t>JADOL SHIV H.S. SCHOOL ROOM NO. -1 EAST PART</t>
  </si>
  <si>
    <t>JADOL SHIV H.S. SCHOOL ROOM NO. -2 EAST PART</t>
  </si>
  <si>
    <t>JADOL SHIV H.S. SCHOOL ROOM NO. -1 WEST PART</t>
  </si>
  <si>
    <t>JADOL SHIV H.S. SCHOOL ROOM NO. -2 WEST PART</t>
  </si>
  <si>
    <t>JEEWANPURA MAJRA JADOL PRIMARY SCHOOL</t>
  </si>
  <si>
    <t>JADOL PRIMARY SCHOOL ROOM NO-1</t>
  </si>
  <si>
    <t>JADOL PRIMARY SCHOOL ROOM NO-2</t>
  </si>
  <si>
    <t>FATEHPUR PRIMARY SCHOOL</t>
  </si>
  <si>
    <t>KURENA PRIMARY SCHOOL ROOM NO-1</t>
  </si>
  <si>
    <t>KURENA PRIMARY SCHOOL ROOM NO-2</t>
  </si>
  <si>
    <t>KARETHA PRIMARY SCHOOL</t>
  </si>
  <si>
    <t>MULLANI PRIMARY SCHOOL ROOM NO.-1</t>
  </si>
  <si>
    <t>MULLANI PRIMARY SCHOOL ROOM NO.-2</t>
  </si>
  <si>
    <t>GURAWALI PRIMARY SCHOOL ROOM NO. 1</t>
  </si>
  <si>
    <t>GURAWALI PRIMARY SCHOOL ROOM NO. 2</t>
  </si>
  <si>
    <t>SEKHUPURA PRIMARY SCHOOL</t>
  </si>
  <si>
    <t>JADOLI PRIMARY SCHOOL</t>
  </si>
  <si>
    <t>MATHURA NAGAL PRIMARY SCHOOL</t>
  </si>
  <si>
    <t>JAWASA PRIMARY SCHOOL ROOM NO. -1</t>
  </si>
  <si>
    <t>JAWASA PRIMARY SCHOOL ROOM NO. -2</t>
  </si>
  <si>
    <t>JAVASA JUNIOR HIGH SCHOOL ROOM NO. -1</t>
  </si>
  <si>
    <t>MANIYA TIKRI PRIMARY SCHOOL</t>
  </si>
  <si>
    <t>MANIYA TIKRI JUNIOR HIGH SCHOOL</t>
  </si>
  <si>
    <t>KANONA INTER COLLEGE ROOM NO. 1</t>
  </si>
  <si>
    <t>KANONA INTER COLLEGE ROOM NO 2</t>
  </si>
  <si>
    <t>KANONA INTER COLLEGE ROOM NO 3</t>
  </si>
  <si>
    <t>NAGOD PRIMARY SCHOOL</t>
  </si>
  <si>
    <t>REHMATPUR AUGNA PRIMARY SCHOOL</t>
  </si>
  <si>
    <t>CHATHERA PRIMARY SCHOOL</t>
  </si>
  <si>
    <t>BHOPUR PRIMARY SCHOOL</t>
  </si>
  <si>
    <t>PYANA KHURD PRIMARY SCHOOL</t>
  </si>
  <si>
    <t>MIRJAPUR NAGLI PRIMARY SCHOOL</t>
  </si>
  <si>
    <t>PYANA KLA PRIMARY SCHOOL ROOM NO.-1</t>
  </si>
  <si>
    <t>PYANA KLA PRIMARY SCHOOL ROOM NO.-2</t>
  </si>
  <si>
    <t>PYANA KLA PRIMARY SCHOOL ROOM NO.-3</t>
  </si>
  <si>
    <t>KALYANPUR PRIMARY SCHOOL</t>
  </si>
  <si>
    <t>NITYANANDPUR NAGLI PRIMARY SCHOOL ROOM NO.-1</t>
  </si>
  <si>
    <t>NITYANANDPUR NAGLI PRIMARY SCHOOL ROOM NO.-2</t>
  </si>
  <si>
    <t>SHAKARPUR PRIMARY SCHOOL</t>
  </si>
  <si>
    <t>PALI ANANDGADI PRIMARY SCHOOL ROOM NO. -1</t>
  </si>
  <si>
    <t>PALI ANANDGADI PRIMARY SCHOOL ROOM NO. -2</t>
  </si>
  <si>
    <t>PALI ANANDGADI PRIMARY SCHOOL ROOM NO. -3</t>
  </si>
  <si>
    <t>PRIMARY SCHOOL BAIRAL MAJRA AMARGAD</t>
  </si>
  <si>
    <t>AMARGAD JAWAR JYOTI INTER COLLEGE ROOM NO.-1</t>
  </si>
  <si>
    <t>AMARGAD JAWAR JYOTI INTER COLLEGE ROOM NO.-2</t>
  </si>
  <si>
    <t>AMARGAR PRIMARY SCHOOL ROOM NO.-1</t>
  </si>
  <si>
    <t>AMARGAR PRIMARY SCHOOL ROOM NO.-2</t>
  </si>
  <si>
    <t>AMARGAR PRIMARY SCHOOL ROOM NO.-3</t>
  </si>
  <si>
    <t>AMARGAR PRIMARY SCHOOL ROOM NO.-4</t>
  </si>
  <si>
    <t>MADAN GARH PRIMARY SCHOOL</t>
  </si>
  <si>
    <t>RAMPUR URF PITAMPUR PRIMARY SCHOOL</t>
  </si>
  <si>
    <t>ROSLA PRIMARY SCHOOL</t>
  </si>
  <si>
    <t>MANGALPUR PRIMARY SCHOOL</t>
  </si>
  <si>
    <t>DULAKHDA PRIMARY SCHOOL ROOM NO. -1</t>
  </si>
  <si>
    <t>DULAKHDA PRIMARY SCHOOL ROOM NO. -2</t>
  </si>
  <si>
    <t>BHAGWANTPUR PRIMARY SCHOOL</t>
  </si>
  <si>
    <t>MAHUVA KHEDA PRIMARY SCHOOL ROOM NO. -1</t>
  </si>
  <si>
    <t>MAHUVA KHEDA PRIMARY SCHOOL ROOM NO. -2</t>
  </si>
  <si>
    <t>PILAKHNI PRIMARY SCHOOL ROOM NO-1</t>
  </si>
  <si>
    <t>PILAKHNI PRIMARY SCHOOL ROOM NO-2</t>
  </si>
  <si>
    <t>KRIYARI PRIMARY SCHOOL ROOM NO-1</t>
  </si>
  <si>
    <t>KRIYARI PRIMARY SCHOOL ROOM NO-2</t>
  </si>
  <si>
    <t>RAGHUNATHPUR PRIMARY SCHOOL ROOM NO-1</t>
  </si>
  <si>
    <t>RAGHUNATHPUR PRIMARY SCHOOL ROOM NO-2</t>
  </si>
  <si>
    <t>KAMALPUR PRIMARY SCHOOL ROOM NO-1</t>
  </si>
  <si>
    <t>KAMALPUR PRIMARY SCHOOL ROOM NO-2</t>
  </si>
  <si>
    <t>KAMALPUR PRIMARY SCHOOL ROOM NO-3</t>
  </si>
  <si>
    <t>DHALNA PRIMARY SCHOOL ROOM NO-1</t>
  </si>
  <si>
    <t>DHALNA PRIMARY SCHOOL ROOM NO-2</t>
  </si>
  <si>
    <t>TIMARPUR PRIMARY SCHOOL</t>
  </si>
  <si>
    <t>AMARPUR PRIMARY SCHOOL ROOM NO-1</t>
  </si>
  <si>
    <t>AMARPUR PRIMARY SCHOOL ROOM NO-2</t>
  </si>
  <si>
    <t>AMARPUR PRIMARY SCHOOL ROOM NO-3</t>
  </si>
  <si>
    <t>AMARPUR KANYA JUNIOR HIGH SCHOOL ROOM NO-1</t>
  </si>
  <si>
    <t>AMARPUR KANYA JUNIOR HIGH SCHOOL ROOM NO-2</t>
  </si>
  <si>
    <t>BHADKAU PRIMARY SCHOOL ROOM NO-1</t>
  </si>
  <si>
    <t>BHADKAU PRIMARY SCHOOL ROOM NO-2</t>
  </si>
  <si>
    <t>GASUPUR PRIMARY SCHOOL ROOM NO-1</t>
  </si>
  <si>
    <t>GASUPUR PRIMARY SCHOOL ROOM NO-2</t>
  </si>
  <si>
    <t>GASUPUR PRIMARY SCHOOL ROOM NO-3</t>
  </si>
  <si>
    <t>CHANDIYANA PRIMARY SCHOOL ROOM NO-1</t>
  </si>
  <si>
    <t>CHANDIYANA PRIMARY SCHOOL ROOM NO-2</t>
  </si>
  <si>
    <t>CHANDIYANA PRIMARY SCHOOL ROOM NO-3</t>
  </si>
  <si>
    <t>CHANDIYANA PRIMARY SCHOOL ROOM NO-4</t>
  </si>
  <si>
    <t>CHANDIYANA PACHAYAT GHAR</t>
  </si>
  <si>
    <t>GHUNGHRAWALI PRIMARY SCHOOL ROOM NO-1</t>
  </si>
  <si>
    <t>GHUNGHRAWALI PRIMARY SCHOOL ROOM NO-2</t>
  </si>
  <si>
    <t>GHUNGHRAWALI INTER COLLEGE</t>
  </si>
  <si>
    <t>BANBHORA MAJRA GHUNGHRAWALI PRIMARY SCHOOL</t>
  </si>
  <si>
    <t>BASI BANGAR PRIMARY SCHOOL ROOM NO-1</t>
  </si>
  <si>
    <t>BASI BANGAR PRIMARY SCHOOL ROOM NO-2</t>
  </si>
  <si>
    <t>BASI BANGAR PRIMARY SCHOOL ROOM NO-3</t>
  </si>
  <si>
    <t>NIJAMPUR PRIMARY SCHOOL</t>
  </si>
  <si>
    <t>FARIDA BANGAR PRIMARY SCHOOL ROOM NO-1</t>
  </si>
  <si>
    <t>FARIDA BANGAR PRIMARY SCHOOL ROOM NO-2</t>
  </si>
  <si>
    <t>FARIDA BANGAR PRIMARY SCHOOL ROOM NO-3</t>
  </si>
  <si>
    <t>MAVAI PRIMARY SCHOOL ROOM NO-1</t>
  </si>
  <si>
    <t>MAVAI PRIMARY SCHOOL ROOM NO-2</t>
  </si>
  <si>
    <t>MAVAI PRIMARY SCHOOL ROOM NO-3</t>
  </si>
  <si>
    <t>DAULATPUR KALA PRIMARY SCHOOL NYA BHAVAN ROOM NO-1</t>
  </si>
  <si>
    <t>DAULATPUR KALA PRIMARY SCHOOL NYA BHAVAN ROOM NO -2</t>
  </si>
  <si>
    <t>DAULATPUR KALA PRIMARY SCHOOL NYA BHAVAN ROOM NO-3</t>
  </si>
  <si>
    <t>DAULATPUR KALA PRIMARY SCHOOL NYA BHAVAN ROOM NO-4</t>
  </si>
  <si>
    <t>UNISPUR PRIMARY SCHOOL</t>
  </si>
  <si>
    <t>NARSENA GANESH SMARAK INTER COLLEGE ROOM NO. -1</t>
  </si>
  <si>
    <t>NARSENA GANESH SMARAK INTER COLLEGE ROOM NO. -2</t>
  </si>
  <si>
    <t>NARSENA GANESH SMARAK INTER COLLEGE ROOM NO. -3</t>
  </si>
  <si>
    <t>NARSENA GANESH SMARAK INTER COLLEGE ROOM NO. -4</t>
  </si>
  <si>
    <t>NARENDRAPUR PRIMARY SCHOOL ROOM NO.- 1</t>
  </si>
  <si>
    <t>NARENDRAPUR PRIMARY SCHOOL ROOM NO.- 2</t>
  </si>
  <si>
    <t>NAGLA MADARIPUR PRIMARY SCHOOL</t>
  </si>
  <si>
    <t>THANA GAJROLA PRIMARY SCHOOL ROOM NO. -1</t>
  </si>
  <si>
    <t>THANA GAJROLA PRIMARY SCHOOL ROOM NO. -2</t>
  </si>
  <si>
    <t>SOJNA RANI PRIMARY SCHOOL</t>
  </si>
  <si>
    <t>KHANDOI PRIMARY SCHOOL ROOM NO. -1</t>
  </si>
  <si>
    <t>KHANDOI PRIMARY SCHOOL ROOM NO. -2</t>
  </si>
  <si>
    <t>SAFINAGAR PRIMARY SCHOOL ROOM NO-1</t>
  </si>
  <si>
    <t>SAFINAGAR PRIMARY SCHOOL ROOM NO-2</t>
  </si>
  <si>
    <t>CHANSI PRIMARY SCHOOL ROOM NO. -1</t>
  </si>
  <si>
    <t>CHANSI PRIMARY SCHOOL ROOM NO. -2</t>
  </si>
  <si>
    <t>AURANGABAD TAHARPUR PRIMARY SCHOOL ROOM NO. -1</t>
  </si>
  <si>
    <t>AURANGABAD TAHARPUR PRIMARY SCHOOL ROOM NO. -2</t>
  </si>
  <si>
    <t>66-Siyana</t>
  </si>
  <si>
    <t>Bulandshahr(SC)/Syana</t>
  </si>
  <si>
    <t>66 Syana</t>
  </si>
  <si>
    <t xml:space="preserve">Dinesh </t>
  </si>
  <si>
    <t>No. Of Votes Cast</t>
  </si>
  <si>
    <t xml:space="preserve">No. and Name of Polling Station- </t>
  </si>
  <si>
    <t>Rashtriya Lok Dal</t>
  </si>
  <si>
    <t>Snageeta</t>
  </si>
  <si>
    <t>KUCHESAR PRIMARY SCHOOL</t>
  </si>
  <si>
    <t>SAIDPUR MILITARY HIROJ MEMORIAL. I.C.ROOM NO-1</t>
  </si>
  <si>
    <t>SAIDPUR MILITARY HIROJ MEMORIAL. I.C.ROOM NO-2</t>
  </si>
  <si>
    <t>PURV MADHYMIK SCHOOL NISURKHA ROOM NO-1</t>
  </si>
  <si>
    <t>PURV MADHYMIK SCHOOL NISURKHA ROOM NO-2</t>
  </si>
  <si>
    <t>PURV MADHAYAMIK VIDHYALYA NISURKHA ROOM NO-3</t>
  </si>
  <si>
    <t>JUNIOR HIGH SCHOOL MADONA JAFARABAD ROOM NO-1</t>
  </si>
  <si>
    <t>JUNIOR HIGH SCHOOL MADONA JAFARABAD ROOM NO-2</t>
  </si>
  <si>
    <t>JUNIOR HIGH SCHOOL MADONA JAFARABAD ROOM NO-3</t>
  </si>
  <si>
    <t>CHITSONA ALLIPUR KRISHAK HITKARI I.C.ROOM NO-3</t>
  </si>
  <si>
    <t>UPPER PRIMARY SCHOOL POTA KABOOLPUR ROOM NO-1</t>
  </si>
  <si>
    <t>UPPER PRIMARY SCHOOL POTA KABOOLPUR ROOM NO-2</t>
  </si>
  <si>
    <t>UPPER PRIMARY SCHOOL POTA KABOOLPUR ROOM NO-3</t>
  </si>
  <si>
    <t>PANCHAYAT GHAR TAKARRABPUR LADPUR ROOM NO-1</t>
  </si>
  <si>
    <t>PANCHAYAT GHAR TAKARRABPUR LADPUR ROOM NO-2</t>
  </si>
  <si>
    <t>AGANWADI KENDRA TAKARRABPUR LADPUR</t>
  </si>
  <si>
    <t>KESHOPUR SATHLA PRIMARY SCHOOL ROOM NO -1</t>
  </si>
  <si>
    <t>KESHOPUR SATHLA PRIMARY SCHOOL ROOM NO -2</t>
  </si>
  <si>
    <t>BADSHAHPUR GADHIYA PRIMARY SCHOOL</t>
  </si>
  <si>
    <t>CHINGRAVATHI PRIMARY SCHOOL ROOM NO- 1</t>
  </si>
  <si>
    <t>CHINGRAVATHI PRIMARY SCHOOL ROOM NO- 2</t>
  </si>
  <si>
    <t>PURV MADHAYAMIK SCHOOL NAYA GAWN ROOM NO -1</t>
  </si>
  <si>
    <t>PURV MADHAYAMIK SCHOOL NAYA GAWN ROOM NO -2</t>
  </si>
  <si>
    <t>VAIRA FIROJPUR PRIMARY SCHOOL ROOM NO-1</t>
  </si>
  <si>
    <t>VAIRA FIROJPUR PRIMARY SCHOOL ROOM NO-2</t>
  </si>
  <si>
    <t>VAIRA FIROJPUR PRIMARY SCHOOL ROOM NO-3</t>
  </si>
  <si>
    <t>VAIRA FIROJPUR JUNIOR HIGH SCHOOL ROOM NO-1</t>
  </si>
  <si>
    <t>VAIRA FIROJPUR JUNIOR HIGH SCHOOL ROOM NO-2</t>
  </si>
  <si>
    <t>VAIRA FIROJPUR JUNIOR HIGH SCHOOL ROOM NO-3</t>
  </si>
  <si>
    <t>RAMPURA MAJRA VAIRAFIROJPUR PRIMARY SCHOOL</t>
  </si>
  <si>
    <t>SIYANA BHOOKAN SARAN GANGHI MEMORIAL I.C.ROOM NO -1 EAST PART</t>
  </si>
  <si>
    <t>SIYANA BHOOKAN SARAN GANGHI MEMORIAL I.C.ROOM NO -2 EAST PART</t>
  </si>
  <si>
    <t>SIYANA BHOOKAN SARAN GANGHI MEMORIAL I.C.ROOM NO -3 EAST PART</t>
  </si>
  <si>
    <t>SIYANA BHOOKAN SARAN GANGHI MEMORIAL I.C.ROOM NO -4 EAST PART</t>
  </si>
  <si>
    <t>SIYANA BHOOKAN SARAN GANGHI MEMORIAL I.C.ROOM NO -1 WEST PART</t>
  </si>
  <si>
    <t>SIYANA BHOOKAN SARAN GANGHI MEMORIAL I.C.ROOM NO -2 WEST PART</t>
  </si>
  <si>
    <t>SIYANA BHOOKAN SARAN GANGHI MEMORIAL I.C.ROOM NO -3 WEST PART</t>
  </si>
  <si>
    <t>SIYANA BHOOKAN SARAN GANGHI MEMORIAL I.C.ROOM NO -4 WEST PART</t>
  </si>
  <si>
    <t>SIYANA BHOOKAN SARAN GANGHI MEMORIAL I.C.ROOM NO -5 WEST PART</t>
  </si>
  <si>
    <t>SIYANA DEGREE COLLEGE GHANSOORPUR ROOM NO-1</t>
  </si>
  <si>
    <t>SIYANA DEGREE COLLEGE GHANSOORPUR ROOM NO-2</t>
  </si>
  <si>
    <t>BHAINSORA PRIMARY SCHOOL ROOM NO -1</t>
  </si>
  <si>
    <t>BHAINSORA PRIMARY SCHOOL ROOM NO -2</t>
  </si>
  <si>
    <t>BHAINSORA PRIMARY SCHOOL ROOM NO -3</t>
  </si>
  <si>
    <t>KISAULA PRIMARY SCHOOL ROOM NO-1</t>
  </si>
  <si>
    <t>KISAULA PRIMARY SCHOOL ROOM NO-2</t>
  </si>
  <si>
    <t>SULAILA PRIMARY SCHOOL ROOM NO.-1</t>
  </si>
  <si>
    <t>SULAILA PRIMARY SCHOOL ROOM NO.-2</t>
  </si>
  <si>
    <t>ROOKHI MAJRA RAVANI KATIRI PRIMARY SCHOOL ROOM NO-1</t>
  </si>
  <si>
    <t>ROOKHI MAJRA RAVANI KATIRI PRIMARY SCHOOL ROOM NO-2</t>
  </si>
  <si>
    <t>UPPER PRIMARY SCHOOL BHAGWANPUR MAJRA RAVANI KATIRI ROOM NO.-1</t>
  </si>
  <si>
    <t>UPPER PRIMARY SCHOOL BHAGWANPUR MAJRA RAVANI KATIRI ROOM NO.-2</t>
  </si>
  <si>
    <t>BUGRASI JANTA INTER COLLEGE ROOM NO.-4 NORTH PART</t>
  </si>
  <si>
    <t>BIGRAU PRIMARY SCHOOL ROOM NO.-3</t>
  </si>
  <si>
    <t>CHANDPUR PUTHI PRIMARY SCHOOL ROOM NO.-2</t>
  </si>
  <si>
    <t>UPPER PRIMARY SCHOOL DEHRA ROOM NO.-1</t>
  </si>
  <si>
    <t>UPPER PRIMARY SCHOOL DEHRA ROOM NO.-2</t>
  </si>
  <si>
    <t>PURV MADHYAMIK VIDHYALYA GIRORA ROOM NO.-1</t>
  </si>
  <si>
    <t>PURV MADHYAMIK VIDHYALYA GIRORA ROOM NO.-2</t>
  </si>
  <si>
    <t>PURV MADHYAMIK VIDHYALYA GIRORA ROOM NO.-3</t>
  </si>
  <si>
    <t>THONA PRIMARY SCHOOL ROOM NO. 3</t>
  </si>
  <si>
    <t>KHANPUR S.L. INTER COLLEGE ROOM NO. 2 EAST PART</t>
  </si>
  <si>
    <t>KHANPUR S.L. INTER COLLEGE ROOM NO. 3 EAST PART</t>
  </si>
  <si>
    <t>SHYORAMPUR PRIMARY SCHOOL</t>
  </si>
  <si>
    <t>BANSURI PRIMARY SCHOOL</t>
  </si>
  <si>
    <t>PRIMARY SCHOOL BHADORA ROOM NO.-1</t>
  </si>
  <si>
    <t>PRIMARY SCHOOL BHADORA ROOM NO.-2</t>
  </si>
  <si>
    <t>UNCHAGAON VIVEKANAND I.C.ROOM NO -1</t>
  </si>
  <si>
    <t>UNCHAGAON VIVEKANAND I.C.ROOM NO -2</t>
  </si>
  <si>
    <t>UNCHAGAON VIVEKANAND I.C.ROOM NO -3</t>
  </si>
  <si>
    <t>MADHAIYA KHURAD MAJRA UNCHGAON PRIMARY SCHOOL</t>
  </si>
  <si>
    <t>UNCHAGAON PRIMARY SCHOOL ROOM NO-1</t>
  </si>
  <si>
    <t>UNCHAGAON PRIMARY SCHOOL ROOM NO-2</t>
  </si>
  <si>
    <t>SABDALPUR PRIMARY SCHOOL</t>
  </si>
  <si>
    <t>JARIA ALAMPUR PRIMARY SCHOOL ROOM NO-1</t>
  </si>
  <si>
    <t>JARIA ALAMPUR PRIMARY SCHOOL ROOM NO-2</t>
  </si>
  <si>
    <t>PURV MADHYAMIK VIDHYALYA DAULATPUR KALAN ROOM NO-1</t>
  </si>
  <si>
    <t>PURV MADHYAMIK VIDHYALYA DAULATPUR KALAN ROOM NO-2</t>
  </si>
  <si>
    <t>PURV MADHYAMIK VIDHYALYA DAULATPUR KALAN ROOM NO-3</t>
  </si>
  <si>
    <t>MOHAMMADPUR BARWALA PRIMARY SCHOOL ROOM NO-1</t>
  </si>
  <si>
    <t>MOHAMMADPUR BARWALA PRIMARY SCHOOL ROOM NO-2</t>
  </si>
  <si>
    <t>KAPSAI MEHMOODPUR PRIMARY SCHOOL ROOM NO.-1</t>
  </si>
  <si>
    <t>KAPSAI MEHMOODPUR PRIMARY SCHOOL ROOM NO.-2</t>
  </si>
  <si>
    <t>KAPSAI MEHMOODPUR PRIMARY SCHOOL ROOM NO.-3</t>
  </si>
  <si>
    <t>FATEHPUR GURJAR PRIMARY SCHOOL MADHAIYA</t>
  </si>
  <si>
    <t>PRIMARY SCHOOL MADHAIYA FATEHPUR ROOM NO. -1</t>
  </si>
  <si>
    <t>No. &amp; Name Assembly Constituency- 66-Syana</t>
  </si>
  <si>
    <r>
      <rPr>
        <b/>
        <sz val="10"/>
        <color theme="1"/>
        <rFont val="Kruti Dev 020"/>
      </rPr>
      <t>¼</t>
    </r>
    <r>
      <rPr>
        <b/>
        <sz val="10"/>
        <color theme="1"/>
        <rFont val="Akshar Unicode"/>
      </rPr>
      <t>Rejected</t>
    </r>
    <r>
      <rPr>
        <b/>
        <sz val="10"/>
        <color theme="1"/>
        <rFont val="Kruti Dev 020"/>
      </rPr>
      <t>½</t>
    </r>
    <r>
      <rPr>
        <b/>
        <sz val="12"/>
        <color theme="1"/>
        <rFont val="Kruti Dev 020"/>
      </rPr>
      <t xml:space="preserve"> izfr{ksfir erksa dh la[;k</t>
    </r>
  </si>
  <si>
    <t xml:space="preserve">Unique ID of VVPAT- </t>
  </si>
  <si>
    <t>ECUEC60539/ECUEC60430</t>
  </si>
  <si>
    <t xml:space="preserve">Whether Accepted/ Rejected by the RO
</t>
  </si>
  <si>
    <t xml:space="preserve">Sl.No. and Name of Polling Station- </t>
  </si>
  <si>
    <t>436-AURANGABAD TAHARPUR PRIMARY SCHOOL ROOM NO. -1</t>
  </si>
  <si>
    <t>EVTEB96673</t>
  </si>
  <si>
    <t>None</t>
  </si>
  <si>
    <t>NA</t>
  </si>
  <si>
    <t>NONE</t>
  </si>
  <si>
    <t xml:space="preserve">Details of VVPAT Slip Count Under the Provision D of the Conduct of Elections Rules, 1961
</t>
  </si>
  <si>
    <t>66-Syana/14-Bulandshahr(SC)</t>
  </si>
  <si>
    <t>UTTAR PRADESH VIDHAN SABHA GENERAL ELECTION 2022</t>
  </si>
  <si>
    <t>DISTRICT - BULANDSHAHR</t>
  </si>
</sst>
</file>

<file path=xl/styles.xml><?xml version="1.0" encoding="utf-8"?>
<styleSheet xmlns="http://schemas.openxmlformats.org/spreadsheetml/2006/main">
  <numFmts count="1">
    <numFmt numFmtId="164" formatCode="[$-409]d/mmm/yyyy;@"/>
  </numFmts>
  <fonts count="86">
    <font>
      <sz val="11"/>
      <color theme="1"/>
      <name val="Calibri"/>
      <family val="2"/>
      <scheme val="minor"/>
    </font>
    <font>
      <sz val="15"/>
      <name val="Arial"/>
      <family val="2"/>
    </font>
    <font>
      <b/>
      <sz val="15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b/>
      <sz val="14"/>
      <name val="Arial"/>
      <family val="2"/>
    </font>
    <font>
      <sz val="8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b/>
      <sz val="13"/>
      <color rgb="FF000000"/>
      <name val="Calibri"/>
      <family val="2"/>
      <scheme val="minor"/>
    </font>
    <font>
      <sz val="12"/>
      <name val="Kruti Dev 010"/>
    </font>
    <font>
      <sz val="10"/>
      <name val="Arial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name val="Kruti Dev 010"/>
    </font>
    <font>
      <b/>
      <sz val="12"/>
      <name val="Arial"/>
      <family val="2"/>
    </font>
    <font>
      <b/>
      <sz val="8"/>
      <name val="Arial"/>
      <family val="2"/>
    </font>
    <font>
      <b/>
      <sz val="14"/>
      <color theme="1"/>
      <name val="Kruti Dev 010"/>
    </font>
    <font>
      <b/>
      <sz val="13"/>
      <color theme="1"/>
      <name val="Kruti Dev 010"/>
    </font>
    <font>
      <b/>
      <sz val="13"/>
      <color theme="1"/>
      <name val="Times New Roman"/>
      <family val="1"/>
    </font>
    <font>
      <b/>
      <sz val="12"/>
      <color theme="1"/>
      <name val="Times New Roman"/>
      <family val="1"/>
    </font>
    <font>
      <b/>
      <sz val="16"/>
      <color theme="1"/>
      <name val="Kruti Dev 010"/>
    </font>
    <font>
      <b/>
      <sz val="14"/>
      <color theme="1"/>
      <name val="Times New Roman"/>
      <family val="1"/>
    </font>
    <font>
      <sz val="11"/>
      <color theme="1"/>
      <name val="Arial"/>
      <family val="2"/>
    </font>
    <font>
      <sz val="11"/>
      <color theme="1"/>
      <name val="Times New Roman"/>
      <family val="1"/>
    </font>
    <font>
      <sz val="11"/>
      <name val="Times New Roman"/>
      <family val="1"/>
    </font>
    <font>
      <sz val="14"/>
      <color theme="1"/>
      <name val="Times New Roman"/>
      <family val="1"/>
    </font>
    <font>
      <b/>
      <sz val="9"/>
      <name val="Arial"/>
      <family val="2"/>
    </font>
    <font>
      <sz val="12"/>
      <name val="Times New Roman"/>
      <family val="1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Arial"/>
      <family val="2"/>
    </font>
    <font>
      <sz val="11"/>
      <color theme="1"/>
      <name val="Kruti Dev 020"/>
    </font>
    <font>
      <b/>
      <sz val="12"/>
      <color theme="1"/>
      <name val="Kruti Dev 020"/>
    </font>
    <font>
      <b/>
      <sz val="11"/>
      <color rgb="FF000000"/>
      <name val="Kruti Dev 016"/>
    </font>
    <font>
      <b/>
      <sz val="16"/>
      <color rgb="FF000000"/>
      <name val="Kruti Dev 020"/>
    </font>
    <font>
      <sz val="16"/>
      <color theme="1"/>
      <name val="Kruti Dev 010"/>
    </font>
    <font>
      <b/>
      <sz val="14"/>
      <color theme="1"/>
      <name val="Kruti Dev 020"/>
    </font>
    <font>
      <b/>
      <sz val="16"/>
      <color theme="1"/>
      <name val="Kruti Dev 020"/>
    </font>
    <font>
      <b/>
      <sz val="14"/>
      <name val="Kruti Dev 020"/>
    </font>
    <font>
      <sz val="14"/>
      <name val="Kruti Dev 020"/>
    </font>
    <font>
      <b/>
      <sz val="16"/>
      <name val="Kruti Dev 020"/>
    </font>
    <font>
      <i/>
      <sz val="16"/>
      <name val="Kruti Dev 020"/>
    </font>
    <font>
      <sz val="16"/>
      <name val="Kruti Dev 020"/>
    </font>
    <font>
      <b/>
      <sz val="16"/>
      <name val="Kruti Dev 016"/>
    </font>
    <font>
      <sz val="14"/>
      <name val="Kruti Dev 016"/>
    </font>
    <font>
      <sz val="18"/>
      <name val="Kruti Dev 010"/>
    </font>
    <font>
      <sz val="16"/>
      <name val="Arial"/>
      <family val="2"/>
    </font>
    <font>
      <sz val="16"/>
      <color theme="1"/>
      <name val="Arial"/>
      <family val="2"/>
    </font>
    <font>
      <sz val="16"/>
      <color theme="1"/>
      <name val="Kruti Dev 020"/>
    </font>
    <font>
      <sz val="16"/>
      <color theme="1"/>
      <name val="Calibri"/>
      <family val="2"/>
      <scheme val="minor"/>
    </font>
    <font>
      <sz val="16"/>
      <name val="Kruti Dev 016"/>
    </font>
    <font>
      <b/>
      <sz val="12"/>
      <name val="Kruti Dev 020"/>
    </font>
    <font>
      <b/>
      <sz val="11"/>
      <name val="Kruti Dev 020"/>
    </font>
    <font>
      <b/>
      <sz val="18"/>
      <name val="Kruti Dev 020"/>
    </font>
    <font>
      <b/>
      <sz val="9"/>
      <name val="Kruti Dev 010"/>
    </font>
    <font>
      <b/>
      <sz val="11"/>
      <name val="Akshar Unicode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color theme="1"/>
      <name val="Times New Roman"/>
      <family val="1"/>
    </font>
    <font>
      <b/>
      <sz val="16"/>
      <name val="Times New Roman"/>
      <family val="1"/>
    </font>
    <font>
      <b/>
      <sz val="20"/>
      <name val="Times New Roman"/>
      <family val="1"/>
    </font>
    <font>
      <b/>
      <sz val="12"/>
      <color rgb="FF000000"/>
      <name val="Times New Roman"/>
      <family val="1"/>
    </font>
    <font>
      <sz val="9"/>
      <color theme="1"/>
      <name val="Arial"/>
      <family val="2"/>
    </font>
    <font>
      <b/>
      <sz val="11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1"/>
      <name val="Times New Roman"/>
      <family val="1"/>
    </font>
    <font>
      <b/>
      <sz val="14"/>
      <name val="Kruti Dev 010"/>
    </font>
    <font>
      <b/>
      <sz val="18"/>
      <name val="Times New Roman"/>
      <family val="1"/>
    </font>
    <font>
      <sz val="12"/>
      <color rgb="FF000000"/>
      <name val="Times New Roman"/>
      <family val="1"/>
    </font>
    <font>
      <b/>
      <sz val="10"/>
      <color theme="1"/>
      <name val="Kruti Dev 020"/>
    </font>
    <font>
      <b/>
      <sz val="10"/>
      <color theme="1"/>
      <name val="Akshar Unicode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1"/>
      <name val="Akshar Unicode"/>
    </font>
    <font>
      <sz val="11"/>
      <color theme="1"/>
      <name val="Akshar Unicode"/>
    </font>
    <font>
      <sz val="11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7">
    <xf numFmtId="0" fontId="0" fillId="0" borderId="0"/>
    <xf numFmtId="0" fontId="13" fillId="0" borderId="0"/>
    <xf numFmtId="0" fontId="13" fillId="0" borderId="0" applyProtection="0"/>
    <xf numFmtId="0" fontId="13" fillId="0" borderId="0" applyProtection="0"/>
    <xf numFmtId="0" fontId="13" fillId="0" borderId="0" applyProtection="0"/>
    <xf numFmtId="0" fontId="4" fillId="0" borderId="0"/>
    <xf numFmtId="0" fontId="4" fillId="0" borderId="0"/>
  </cellStyleXfs>
  <cellXfs count="320">
    <xf numFmtId="0" fontId="0" fillId="0" borderId="0" xfId="0"/>
    <xf numFmtId="0" fontId="1" fillId="0" borderId="0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0" fontId="8" fillId="0" borderId="0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vertical="center"/>
    </xf>
    <xf numFmtId="0" fontId="16" fillId="0" borderId="1" xfId="0" applyFont="1" applyBorder="1" applyAlignment="1">
      <alignment horizontal="center" vertical="center"/>
    </xf>
    <xf numFmtId="0" fontId="19" fillId="0" borderId="1" xfId="0" applyFont="1" applyBorder="1" applyAlignment="1" applyProtection="1">
      <alignment horizontal="center" vertical="center"/>
      <protection locked="0"/>
    </xf>
    <xf numFmtId="0" fontId="20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0" fillId="0" borderId="0" xfId="0" applyFont="1" applyBorder="1" applyAlignment="1">
      <alignment vertical="center" wrapText="1"/>
    </xf>
    <xf numFmtId="0" fontId="25" fillId="0" borderId="5" xfId="0" applyFont="1" applyBorder="1" applyAlignment="1">
      <alignment horizontal="center" vertical="center" wrapText="1"/>
    </xf>
    <xf numFmtId="0" fontId="26" fillId="0" borderId="1" xfId="0" applyFont="1" applyBorder="1" applyAlignment="1">
      <alignment wrapText="1"/>
    </xf>
    <xf numFmtId="0" fontId="27" fillId="0" borderId="1" xfId="0" applyFont="1" applyBorder="1" applyAlignment="1">
      <alignment vertical="top" wrapText="1"/>
    </xf>
    <xf numFmtId="0" fontId="28" fillId="0" borderId="1" xfId="0" applyFont="1" applyBorder="1" applyAlignment="1">
      <alignment horizontal="left" wrapText="1"/>
    </xf>
    <xf numFmtId="0" fontId="27" fillId="0" borderId="4" xfId="0" applyFont="1" applyBorder="1" applyAlignment="1">
      <alignment vertical="top" wrapText="1"/>
    </xf>
    <xf numFmtId="0" fontId="28" fillId="0" borderId="4" xfId="0" applyFont="1" applyBorder="1" applyAlignment="1">
      <alignment horizontal="left" wrapText="1"/>
    </xf>
    <xf numFmtId="0" fontId="25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5" fillId="0" borderId="1" xfId="0" applyFont="1" applyBorder="1" applyAlignment="1">
      <alignment horizontal="left" vertical="center" wrapText="1"/>
    </xf>
    <xf numFmtId="0" fontId="29" fillId="0" borderId="1" xfId="0" applyFont="1" applyBorder="1" applyAlignment="1">
      <alignment horizontal="center" vertical="center" wrapText="1"/>
    </xf>
    <xf numFmtId="0" fontId="0" fillId="0" borderId="1" xfId="0" applyFont="1" applyBorder="1"/>
    <xf numFmtId="0" fontId="0" fillId="0" borderId="0" xfId="0" applyFont="1"/>
    <xf numFmtId="0" fontId="29" fillId="0" borderId="0" xfId="0" applyFont="1" applyBorder="1" applyAlignment="1">
      <alignment horizontal="center" vertical="center" wrapText="1"/>
    </xf>
    <xf numFmtId="0" fontId="28" fillId="0" borderId="0" xfId="0" applyFont="1" applyBorder="1" applyAlignment="1">
      <alignment horizontal="left" wrapText="1"/>
    </xf>
    <xf numFmtId="0" fontId="0" fillId="0" borderId="0" xfId="0" applyFont="1" applyBorder="1"/>
    <xf numFmtId="0" fontId="20" fillId="0" borderId="1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 wrapText="1"/>
    </xf>
    <xf numFmtId="0" fontId="5" fillId="0" borderId="1" xfId="0" applyFont="1" applyBorder="1" applyAlignment="1">
      <alignment horizontal="right" wrapText="1"/>
    </xf>
    <xf numFmtId="0" fontId="4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5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 applyProtection="1">
      <alignment horizontal="right" vertical="center"/>
      <protection locked="0"/>
    </xf>
    <xf numFmtId="0" fontId="8" fillId="0" borderId="1" xfId="0" applyFont="1" applyBorder="1" applyAlignment="1" applyProtection="1">
      <alignment horizontal="right" vertical="center"/>
      <protection locked="0"/>
    </xf>
    <xf numFmtId="0" fontId="0" fillId="0" borderId="0" xfId="0" applyBorder="1"/>
    <xf numFmtId="0" fontId="0" fillId="0" borderId="0" xfId="0"/>
    <xf numFmtId="0" fontId="33" fillId="0" borderId="0" xfId="0" applyFont="1" applyAlignment="1">
      <alignment textRotation="90"/>
    </xf>
    <xf numFmtId="0" fontId="34" fillId="0" borderId="0" xfId="0" applyFont="1" applyBorder="1" applyAlignment="1">
      <alignment horizontal="left"/>
    </xf>
    <xf numFmtId="0" fontId="26" fillId="0" borderId="0" xfId="0" applyFont="1" applyBorder="1"/>
    <xf numFmtId="0" fontId="36" fillId="0" borderId="1" xfId="0" applyFont="1" applyBorder="1" applyAlignment="1">
      <alignment horizontal="center" vertical="center" textRotation="90"/>
    </xf>
    <xf numFmtId="0" fontId="32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39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0" fillId="0" borderId="0" xfId="0" applyFont="1" applyBorder="1" applyAlignment="1">
      <alignment horizontal="left" vertical="center" wrapText="1"/>
    </xf>
    <xf numFmtId="0" fontId="40" fillId="0" borderId="6" xfId="0" applyFont="1" applyBorder="1" applyAlignment="1">
      <alignment horizontal="center" vertical="center"/>
    </xf>
    <xf numFmtId="0" fontId="41" fillId="0" borderId="1" xfId="0" applyFont="1" applyBorder="1" applyAlignment="1">
      <alignment horizontal="left" vertical="center"/>
    </xf>
    <xf numFmtId="0" fontId="4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top" wrapText="1"/>
    </xf>
    <xf numFmtId="0" fontId="41" fillId="0" borderId="1" xfId="0" applyFont="1" applyBorder="1" applyAlignment="1">
      <alignment horizontal="left" vertical="top"/>
    </xf>
    <xf numFmtId="0" fontId="43" fillId="0" borderId="1" xfId="0" applyFont="1" applyBorder="1" applyAlignment="1">
      <alignment horizontal="left" vertical="center" wrapText="1"/>
    </xf>
    <xf numFmtId="0" fontId="38" fillId="0" borderId="0" xfId="0" applyFont="1"/>
    <xf numFmtId="0" fontId="49" fillId="0" borderId="0" xfId="0" applyFont="1" applyBorder="1" applyAlignment="1"/>
    <xf numFmtId="0" fontId="39" fillId="0" borderId="15" xfId="0" applyFont="1" applyBorder="1" applyAlignment="1">
      <alignment horizontal="center" vertical="center" wrapText="1"/>
    </xf>
    <xf numFmtId="0" fontId="39" fillId="0" borderId="14" xfId="0" applyFont="1" applyBorder="1" applyAlignment="1">
      <alignment horizontal="center" vertical="center" wrapText="1"/>
    </xf>
    <xf numFmtId="0" fontId="39" fillId="0" borderId="16" xfId="0" applyFont="1" applyBorder="1" applyAlignment="1">
      <alignment horizontal="center" vertical="center" wrapText="1"/>
    </xf>
    <xf numFmtId="0" fontId="53" fillId="0" borderId="1" xfId="0" applyFont="1" applyBorder="1" applyAlignment="1" applyProtection="1">
      <alignment horizontal="center" vertical="center"/>
      <protection locked="0"/>
    </xf>
    <xf numFmtId="0" fontId="54" fillId="0" borderId="1" xfId="0" applyFont="1" applyBorder="1" applyAlignment="1">
      <alignment horizontal="center" vertical="center" wrapText="1"/>
    </xf>
    <xf numFmtId="0" fontId="37" fillId="0" borderId="1" xfId="0" applyFont="1" applyBorder="1" applyAlignment="1">
      <alignment horizontal="center" vertical="center" textRotation="90"/>
    </xf>
    <xf numFmtId="0" fontId="32" fillId="0" borderId="1" xfId="0" applyFont="1" applyBorder="1" applyAlignment="1">
      <alignment horizontal="center" vertical="center" textRotation="90" wrapText="1"/>
    </xf>
    <xf numFmtId="0" fontId="35" fillId="0" borderId="1" xfId="0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 wrapText="1"/>
    </xf>
    <xf numFmtId="0" fontId="33" fillId="0" borderId="0" xfId="0" applyFont="1" applyBorder="1" applyAlignment="1">
      <alignment textRotation="90"/>
    </xf>
    <xf numFmtId="0" fontId="0" fillId="0" borderId="0" xfId="0" applyBorder="1" applyAlignment="1">
      <alignment vertical="center"/>
    </xf>
    <xf numFmtId="0" fontId="55" fillId="0" borderId="0" xfId="0" applyFont="1" applyBorder="1" applyAlignment="1">
      <alignment horizontal="center" vertical="center"/>
    </xf>
    <xf numFmtId="0" fontId="56" fillId="0" borderId="0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wrapText="1"/>
    </xf>
    <xf numFmtId="0" fontId="18" fillId="0" borderId="1" xfId="0" applyFont="1" applyBorder="1" applyAlignment="1">
      <alignment horizontal="right" vertical="center"/>
    </xf>
    <xf numFmtId="0" fontId="43" fillId="0" borderId="1" xfId="0" applyFont="1" applyBorder="1" applyAlignment="1">
      <alignment horizontal="center" vertical="center" wrapText="1"/>
    </xf>
    <xf numFmtId="0" fontId="62" fillId="0" borderId="1" xfId="0" applyNumberFormat="1" applyFont="1" applyFill="1" applyBorder="1" applyAlignment="1">
      <alignment horizontal="center" vertical="center" wrapText="1"/>
    </xf>
    <xf numFmtId="0" fontId="25" fillId="0" borderId="0" xfId="0" applyFont="1" applyBorder="1" applyAlignment="1">
      <alignment horizontal="left" vertical="center" wrapText="1"/>
    </xf>
    <xf numFmtId="0" fontId="0" fillId="0" borderId="17" xfId="0" applyFill="1" applyBorder="1" applyAlignment="1" applyProtection="1">
      <alignment horizontal="left"/>
    </xf>
    <xf numFmtId="0" fontId="0" fillId="0" borderId="18" xfId="0" applyFill="1" applyBorder="1" applyAlignment="1" applyProtection="1">
      <alignment horizontal="left"/>
    </xf>
    <xf numFmtId="0" fontId="0" fillId="0" borderId="19" xfId="0" applyFill="1" applyBorder="1" applyAlignment="1" applyProtection="1">
      <alignment horizontal="left"/>
    </xf>
    <xf numFmtId="0" fontId="0" fillId="0" borderId="1" xfId="0" applyFill="1" applyBorder="1" applyAlignment="1" applyProtection="1">
      <alignment horizontal="left"/>
    </xf>
    <xf numFmtId="0" fontId="0" fillId="0" borderId="18" xfId="0" applyFill="1" applyBorder="1" applyAlignment="1" applyProtection="1">
      <alignment horizontal="left" wrapText="1"/>
    </xf>
    <xf numFmtId="0" fontId="63" fillId="0" borderId="1" xfId="0" applyFont="1" applyBorder="1" applyAlignment="1">
      <alignment horizontal="center" vertical="center" wrapText="1"/>
    </xf>
    <xf numFmtId="0" fontId="64" fillId="0" borderId="1" xfId="0" applyFont="1" applyFill="1" applyBorder="1" applyAlignment="1" applyProtection="1">
      <alignment horizontal="left"/>
    </xf>
    <xf numFmtId="0" fontId="0" fillId="2" borderId="18" xfId="0" applyFill="1" applyBorder="1" applyAlignment="1" applyProtection="1">
      <alignment horizontal="left"/>
    </xf>
    <xf numFmtId="0" fontId="63" fillId="0" borderId="1" xfId="0" applyFont="1" applyBorder="1" applyAlignment="1">
      <alignment horizontal="center" wrapText="1"/>
    </xf>
    <xf numFmtId="0" fontId="65" fillId="0" borderId="0" xfId="5" applyFont="1" applyAlignment="1">
      <alignment horizontal="center" vertical="center" wrapText="1"/>
    </xf>
    <xf numFmtId="0" fontId="66" fillId="0" borderId="0" xfId="5" applyFont="1" applyBorder="1" applyAlignment="1">
      <alignment vertical="center" wrapText="1"/>
    </xf>
    <xf numFmtId="0" fontId="65" fillId="0" borderId="0" xfId="5" applyFont="1" applyBorder="1" applyAlignment="1">
      <alignment horizontal="center" vertical="center" wrapText="1"/>
    </xf>
    <xf numFmtId="0" fontId="65" fillId="0" borderId="1" xfId="5" applyFont="1" applyBorder="1" applyAlignment="1">
      <alignment horizontal="center" vertical="center" wrapText="1"/>
    </xf>
    <xf numFmtId="0" fontId="35" fillId="0" borderId="1" xfId="5" applyFont="1" applyBorder="1" applyAlignment="1">
      <alignment horizontal="center" vertical="center" wrapText="1"/>
    </xf>
    <xf numFmtId="0" fontId="67" fillId="2" borderId="1" xfId="0" applyFont="1" applyFill="1" applyBorder="1" applyAlignment="1">
      <alignment horizontal="center" vertical="center" wrapText="1"/>
    </xf>
    <xf numFmtId="0" fontId="69" fillId="0" borderId="1" xfId="5" applyFont="1" applyBorder="1" applyAlignment="1">
      <alignment horizontal="center" vertical="center" wrapText="1"/>
    </xf>
    <xf numFmtId="0" fontId="65" fillId="0" borderId="0" xfId="5" applyFont="1" applyBorder="1" applyAlignment="1">
      <alignment horizontal="left" vertical="center" wrapText="1"/>
    </xf>
    <xf numFmtId="0" fontId="25" fillId="0" borderId="0" xfId="0" applyFont="1" applyBorder="1" applyAlignment="1">
      <alignment vertical="center" wrapText="1"/>
    </xf>
    <xf numFmtId="0" fontId="0" fillId="0" borderId="0" xfId="0" applyBorder="1" applyAlignment="1"/>
    <xf numFmtId="0" fontId="0" fillId="0" borderId="0" xfId="0" applyBorder="1" applyAlignment="1">
      <alignment horizontal="center" vertical="center"/>
    </xf>
    <xf numFmtId="0" fontId="65" fillId="0" borderId="0" xfId="5" applyFont="1" applyAlignment="1">
      <alignment horizontal="left" vertical="center" wrapText="1"/>
    </xf>
    <xf numFmtId="0" fontId="23" fillId="0" borderId="1" xfId="5" applyFont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65" fillId="0" borderId="0" xfId="5" applyFont="1" applyBorder="1" applyAlignment="1">
      <alignment vertical="center" wrapText="1"/>
    </xf>
    <xf numFmtId="0" fontId="66" fillId="0" borderId="0" xfId="5" applyFont="1" applyBorder="1" applyAlignment="1">
      <alignment horizontal="center" vertical="center" wrapText="1"/>
    </xf>
    <xf numFmtId="0" fontId="28" fillId="0" borderId="13" xfId="0" applyFont="1" applyBorder="1" applyAlignment="1">
      <alignment horizontal="left" vertical="center" wrapText="1"/>
    </xf>
    <xf numFmtId="0" fontId="65" fillId="0" borderId="13" xfId="5" applyFont="1" applyBorder="1" applyAlignment="1">
      <alignment horizontal="left" vertical="center" wrapText="1"/>
    </xf>
    <xf numFmtId="0" fontId="65" fillId="0" borderId="13" xfId="5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28" fillId="0" borderId="0" xfId="0" applyFont="1" applyBorder="1" applyAlignment="1">
      <alignment horizontal="left" vertical="center" wrapText="1"/>
    </xf>
    <xf numFmtId="0" fontId="0" fillId="0" borderId="0" xfId="0" applyBorder="1" applyAlignment="1">
      <alignment horizontal="center"/>
    </xf>
    <xf numFmtId="0" fontId="71" fillId="0" borderId="1" xfId="0" applyFont="1" applyBorder="1" applyAlignment="1">
      <alignment horizontal="center" vertical="center" wrapText="1"/>
    </xf>
    <xf numFmtId="0" fontId="28" fillId="0" borderId="4" xfId="0" applyFont="1" applyBorder="1" applyAlignment="1">
      <alignment vertical="center" wrapText="1"/>
    </xf>
    <xf numFmtId="0" fontId="28" fillId="0" borderId="1" xfId="0" applyFont="1" applyBorder="1" applyAlignment="1">
      <alignment vertical="center" wrapText="1"/>
    </xf>
    <xf numFmtId="0" fontId="68" fillId="0" borderId="0" xfId="5" applyFont="1" applyFill="1" applyAlignment="1">
      <alignment horizontal="center" vertical="center" wrapText="1"/>
    </xf>
    <xf numFmtId="0" fontId="68" fillId="0" borderId="0" xfId="5" applyFont="1" applyAlignment="1">
      <alignment horizontal="center" vertical="center" wrapText="1"/>
    </xf>
    <xf numFmtId="0" fontId="65" fillId="0" borderId="0" xfId="5" applyFont="1" applyFill="1" applyAlignment="1">
      <alignment horizontal="center" vertical="center" wrapText="1"/>
    </xf>
    <xf numFmtId="0" fontId="65" fillId="0" borderId="1" xfId="5" applyFont="1" applyFill="1" applyBorder="1" applyAlignment="1">
      <alignment horizontal="center" vertical="center" wrapText="1"/>
    </xf>
    <xf numFmtId="0" fontId="65" fillId="0" borderId="1" xfId="5" applyFont="1" applyFill="1" applyBorder="1" applyAlignment="1">
      <alignment horizontal="left" vertical="center" wrapText="1"/>
    </xf>
    <xf numFmtId="0" fontId="65" fillId="0" borderId="1" xfId="5" applyFont="1" applyFill="1" applyBorder="1" applyAlignment="1">
      <alignment horizontal="center" vertical="center" textRotation="90" wrapText="1"/>
    </xf>
    <xf numFmtId="0" fontId="74" fillId="0" borderId="1" xfId="5" applyFont="1" applyFill="1" applyBorder="1" applyAlignment="1">
      <alignment horizontal="center" vertical="center" textRotation="90" wrapText="1"/>
    </xf>
    <xf numFmtId="0" fontId="75" fillId="0" borderId="1" xfId="6" applyFont="1" applyFill="1" applyBorder="1" applyAlignment="1">
      <alignment horizontal="center" vertical="center" wrapText="1"/>
    </xf>
    <xf numFmtId="0" fontId="67" fillId="0" borderId="1" xfId="0" applyFont="1" applyFill="1" applyBorder="1" applyAlignment="1">
      <alignment horizontal="left" vertical="center" wrapText="1"/>
    </xf>
    <xf numFmtId="0" fontId="65" fillId="0" borderId="5" xfId="5" applyFont="1" applyFill="1" applyBorder="1" applyAlignment="1">
      <alignment horizontal="center" vertical="center" wrapText="1"/>
    </xf>
    <xf numFmtId="0" fontId="23" fillId="0" borderId="1" xfId="5" applyFont="1" applyFill="1" applyBorder="1" applyAlignment="1">
      <alignment horizontal="right" vertical="center" wrapText="1"/>
    </xf>
    <xf numFmtId="0" fontId="65" fillId="0" borderId="1" xfId="5" applyFont="1" applyFill="1" applyBorder="1" applyAlignment="1">
      <alignment horizontal="right" vertical="center" wrapText="1"/>
    </xf>
    <xf numFmtId="0" fontId="65" fillId="0" borderId="0" xfId="5" applyFont="1" applyFill="1" applyBorder="1" applyAlignment="1">
      <alignment horizontal="center" vertical="center" wrapText="1"/>
    </xf>
    <xf numFmtId="0" fontId="76" fillId="0" borderId="20" xfId="5" applyFont="1" applyFill="1" applyBorder="1" applyAlignment="1">
      <alignment vertical="center" textRotation="90" wrapText="1"/>
    </xf>
    <xf numFmtId="0" fontId="75" fillId="0" borderId="1" xfId="6" applyFont="1" applyFill="1" applyBorder="1" applyAlignment="1">
      <alignment horizontal="center" vertical="center" wrapText="1" shrinkToFit="1"/>
    </xf>
    <xf numFmtId="0" fontId="76" fillId="0" borderId="1" xfId="5" applyFont="1" applyFill="1" applyBorder="1" applyAlignment="1">
      <alignment horizontal="center" vertical="center" textRotation="90" wrapText="1"/>
    </xf>
    <xf numFmtId="0" fontId="65" fillId="0" borderId="0" xfId="5" applyFont="1" applyAlignment="1">
      <alignment horizontal="center" vertical="top" wrapText="1"/>
    </xf>
    <xf numFmtId="0" fontId="65" fillId="0" borderId="1" xfId="5" applyFont="1" applyFill="1" applyBorder="1" applyAlignment="1">
      <alignment horizontal="center" vertical="center" wrapText="1"/>
    </xf>
    <xf numFmtId="0" fontId="80" fillId="0" borderId="1" xfId="0" applyFont="1" applyBorder="1" applyAlignment="1">
      <alignment horizontal="center" vertical="center" wrapText="1"/>
    </xf>
    <xf numFmtId="0" fontId="44" fillId="0" borderId="15" xfId="0" applyFont="1" applyBorder="1" applyAlignment="1">
      <alignment horizontal="center" vertical="center" wrapText="1"/>
    </xf>
    <xf numFmtId="0" fontId="65" fillId="0" borderId="1" xfId="5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81" fillId="0" borderId="1" xfId="0" applyFont="1" applyBorder="1" applyAlignment="1">
      <alignment horizontal="center" vertical="center" wrapText="1"/>
    </xf>
    <xf numFmtId="0" fontId="65" fillId="0" borderId="1" xfId="5" applyFont="1" applyBorder="1" applyAlignment="1">
      <alignment horizontal="center" vertical="center" wrapText="1"/>
    </xf>
    <xf numFmtId="0" fontId="82" fillId="0" borderId="1" xfId="0" applyFont="1" applyBorder="1" applyAlignment="1">
      <alignment horizontal="center" vertical="center" wrapText="1"/>
    </xf>
    <xf numFmtId="0" fontId="83" fillId="0" borderId="1" xfId="0" applyFont="1" applyBorder="1" applyAlignment="1">
      <alignment vertical="center" wrapText="1"/>
    </xf>
    <xf numFmtId="0" fontId="82" fillId="0" borderId="6" xfId="0" applyFont="1" applyBorder="1" applyAlignment="1">
      <alignment horizontal="left" vertical="center" wrapText="1"/>
    </xf>
    <xf numFmtId="0" fontId="82" fillId="0" borderId="5" xfId="0" applyFont="1" applyBorder="1" applyAlignment="1">
      <alignment horizontal="right" vertical="center" wrapText="1"/>
    </xf>
    <xf numFmtId="0" fontId="62" fillId="0" borderId="1" xfId="0" applyFont="1" applyBorder="1" applyAlignment="1">
      <alignment horizontal="right" vertical="center" wrapText="1"/>
    </xf>
    <xf numFmtId="0" fontId="82" fillId="0" borderId="1" xfId="0" applyFont="1" applyBorder="1" applyAlignment="1">
      <alignment horizontal="right" vertical="center" wrapText="1"/>
    </xf>
    <xf numFmtId="0" fontId="82" fillId="0" borderId="5" xfId="0" applyFont="1" applyBorder="1" applyAlignment="1">
      <alignment horizontal="right" wrapText="1"/>
    </xf>
    <xf numFmtId="0" fontId="82" fillId="0" borderId="1" xfId="0" applyFont="1" applyBorder="1" applyAlignment="1">
      <alignment horizontal="right" wrapText="1"/>
    </xf>
    <xf numFmtId="0" fontId="83" fillId="0" borderId="0" xfId="0" applyFont="1"/>
    <xf numFmtId="0" fontId="62" fillId="0" borderId="1" xfId="0" applyFont="1" applyBorder="1" applyAlignment="1">
      <alignment vertical="center" wrapText="1"/>
    </xf>
    <xf numFmtId="0" fontId="0" fillId="0" borderId="0" xfId="0" applyFont="1" applyAlignment="1">
      <alignment vertical="center"/>
    </xf>
    <xf numFmtId="0" fontId="82" fillId="0" borderId="1" xfId="0" applyFont="1" applyBorder="1" applyAlignment="1">
      <alignment wrapText="1"/>
    </xf>
    <xf numFmtId="0" fontId="62" fillId="0" borderId="1" xfId="0" applyFont="1" applyBorder="1" applyAlignment="1">
      <alignment horizontal="right" wrapText="1"/>
    </xf>
    <xf numFmtId="0" fontId="62" fillId="0" borderId="5" xfId="0" applyFont="1" applyBorder="1" applyAlignment="1">
      <alignment horizontal="center" vertical="center" wrapText="1"/>
    </xf>
    <xf numFmtId="0" fontId="65" fillId="0" borderId="1" xfId="5" applyFont="1" applyBorder="1" applyAlignment="1">
      <alignment horizontal="center" vertical="center" wrapText="1"/>
    </xf>
    <xf numFmtId="0" fontId="23" fillId="0" borderId="1" xfId="5" applyFont="1" applyBorder="1" applyAlignment="1">
      <alignment horizontal="center" vertical="center" wrapText="1"/>
    </xf>
    <xf numFmtId="0" fontId="65" fillId="0" borderId="0" xfId="5" applyFont="1" applyBorder="1" applyAlignment="1">
      <alignment horizontal="center" vertical="center" wrapText="1"/>
    </xf>
    <xf numFmtId="0" fontId="27" fillId="0" borderId="1" xfId="0" applyFont="1" applyBorder="1" applyAlignment="1">
      <alignment vertical="center" wrapText="1"/>
    </xf>
    <xf numFmtId="0" fontId="26" fillId="0" borderId="1" xfId="0" applyFont="1" applyBorder="1" applyAlignment="1">
      <alignment vertical="center" wrapText="1"/>
    </xf>
    <xf numFmtId="0" fontId="76" fillId="0" borderId="1" xfId="5" applyFont="1" applyFill="1" applyBorder="1" applyAlignment="1">
      <alignment horizontal="right" vertical="center" textRotation="90" wrapText="1"/>
    </xf>
    <xf numFmtId="0" fontId="76" fillId="0" borderId="1" xfId="5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left" vertical="center" wrapText="1"/>
    </xf>
    <xf numFmtId="0" fontId="20" fillId="0" borderId="13" xfId="0" applyFont="1" applyBorder="1" applyAlignment="1">
      <alignment horizontal="left" vertical="center" wrapText="1"/>
    </xf>
    <xf numFmtId="0" fontId="20" fillId="0" borderId="12" xfId="0" applyFont="1" applyBorder="1" applyAlignment="1">
      <alignment horizontal="left" vertical="center" wrapText="1"/>
    </xf>
    <xf numFmtId="0" fontId="20" fillId="0" borderId="0" xfId="0" applyFont="1" applyBorder="1" applyAlignment="1">
      <alignment horizontal="left" vertical="center" wrapText="1"/>
    </xf>
    <xf numFmtId="0" fontId="29" fillId="0" borderId="0" xfId="0" applyFont="1" applyBorder="1" applyAlignment="1">
      <alignment horizontal="left" vertical="center" wrapText="1"/>
    </xf>
    <xf numFmtId="0" fontId="25" fillId="0" borderId="12" xfId="0" applyFont="1" applyBorder="1" applyAlignment="1">
      <alignment horizontal="center" vertical="center" wrapText="1"/>
    </xf>
    <xf numFmtId="0" fontId="25" fillId="0" borderId="0" xfId="0" applyFont="1" applyBorder="1" applyAlignment="1">
      <alignment horizontal="center" vertical="center" wrapText="1"/>
    </xf>
    <xf numFmtId="0" fontId="25" fillId="0" borderId="12" xfId="0" applyFont="1" applyBorder="1" applyAlignment="1">
      <alignment horizontal="left" vertical="center" wrapText="1"/>
    </xf>
    <xf numFmtId="0" fontId="25" fillId="0" borderId="0" xfId="0" applyFont="1" applyBorder="1" applyAlignment="1">
      <alignment horizontal="left" vertical="center" wrapText="1"/>
    </xf>
    <xf numFmtId="0" fontId="25" fillId="0" borderId="10" xfId="0" applyFont="1" applyBorder="1" applyAlignment="1">
      <alignment horizontal="left" vertical="center" wrapText="1"/>
    </xf>
    <xf numFmtId="0" fontId="25" fillId="0" borderId="7" xfId="0" applyFont="1" applyBorder="1" applyAlignment="1">
      <alignment horizontal="left" vertical="center" wrapText="1"/>
    </xf>
    <xf numFmtId="0" fontId="25" fillId="0" borderId="4" xfId="0" applyFont="1" applyBorder="1" applyAlignment="1">
      <alignment horizontal="left" vertical="center" wrapText="1"/>
    </xf>
    <xf numFmtId="0" fontId="25" fillId="0" borderId="9" xfId="0" applyFont="1" applyBorder="1" applyAlignment="1">
      <alignment horizontal="left" vertical="center" wrapText="1"/>
    </xf>
    <xf numFmtId="0" fontId="25" fillId="0" borderId="5" xfId="0" applyFont="1" applyBorder="1" applyAlignment="1">
      <alignment horizontal="left" vertical="center" wrapText="1"/>
    </xf>
    <xf numFmtId="0" fontId="25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left" vertical="center" wrapText="1"/>
    </xf>
    <xf numFmtId="0" fontId="25" fillId="0" borderId="4" xfId="0" applyFont="1" applyBorder="1" applyAlignment="1">
      <alignment horizontal="right" vertical="center" wrapText="1"/>
    </xf>
    <xf numFmtId="0" fontId="25" fillId="0" borderId="9" xfId="0" applyFont="1" applyBorder="1" applyAlignment="1">
      <alignment horizontal="right" vertical="center" wrapText="1"/>
    </xf>
    <xf numFmtId="0" fontId="25" fillId="0" borderId="5" xfId="0" applyFont="1" applyBorder="1" applyAlignment="1">
      <alignment horizontal="right" vertical="center" wrapText="1"/>
    </xf>
    <xf numFmtId="0" fontId="24" fillId="0" borderId="10" xfId="0" applyFont="1" applyBorder="1" applyAlignment="1">
      <alignment horizontal="left" vertical="center" wrapText="1"/>
    </xf>
    <xf numFmtId="0" fontId="24" fillId="0" borderId="7" xfId="0" applyFont="1" applyBorder="1" applyAlignment="1">
      <alignment horizontal="left" vertical="center" wrapText="1"/>
    </xf>
    <xf numFmtId="0" fontId="24" fillId="0" borderId="11" xfId="0" applyFont="1" applyBorder="1" applyAlignment="1">
      <alignment horizontal="left" vertical="center" wrapText="1"/>
    </xf>
    <xf numFmtId="0" fontId="20" fillId="0" borderId="4" xfId="0" applyFont="1" applyBorder="1" applyAlignment="1">
      <alignment horizontal="left" vertical="center" wrapText="1"/>
    </xf>
    <xf numFmtId="0" fontId="20" fillId="0" borderId="9" xfId="0" applyFont="1" applyBorder="1" applyAlignment="1">
      <alignment horizontal="left" vertical="center" wrapText="1"/>
    </xf>
    <xf numFmtId="0" fontId="20" fillId="0" borderId="5" xfId="0" applyFont="1" applyBorder="1" applyAlignment="1">
      <alignment horizontal="left" vertical="center" wrapText="1"/>
    </xf>
    <xf numFmtId="0" fontId="20" fillId="0" borderId="1" xfId="0" applyFont="1" applyBorder="1" applyAlignment="1">
      <alignment horizontal="left" vertical="center" wrapText="1"/>
    </xf>
    <xf numFmtId="0" fontId="20" fillId="0" borderId="0" xfId="0" applyFont="1" applyAlignment="1">
      <alignment horizontal="center"/>
    </xf>
    <xf numFmtId="0" fontId="44" fillId="0" borderId="4" xfId="0" applyFont="1" applyBorder="1" applyAlignment="1">
      <alignment horizontal="center" vertical="center" wrapText="1"/>
    </xf>
    <xf numFmtId="0" fontId="44" fillId="0" borderId="5" xfId="0" applyFont="1" applyBorder="1" applyAlignment="1">
      <alignment horizontal="center" vertical="center" wrapText="1"/>
    </xf>
    <xf numFmtId="0" fontId="30" fillId="0" borderId="0" xfId="0" applyFont="1" applyBorder="1" applyAlignment="1">
      <alignment horizontal="left" vertical="center" wrapText="1"/>
    </xf>
    <xf numFmtId="0" fontId="10" fillId="0" borderId="0" xfId="0" applyFont="1" applyBorder="1" applyAlignment="1">
      <alignment horizontal="left" vertical="center" wrapText="1"/>
    </xf>
    <xf numFmtId="0" fontId="9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right" vertical="center" wrapText="1"/>
    </xf>
    <xf numFmtId="164" fontId="6" fillId="0" borderId="7" xfId="0" applyNumberFormat="1" applyFont="1" applyBorder="1" applyAlignment="1">
      <alignment horizontal="center" vertical="center" wrapText="1"/>
    </xf>
    <xf numFmtId="0" fontId="82" fillId="0" borderId="1" xfId="0" applyFont="1" applyBorder="1" applyAlignment="1">
      <alignment horizontal="center" vertical="center" wrapText="1"/>
    </xf>
    <xf numFmtId="0" fontId="82" fillId="0" borderId="6" xfId="0" applyFont="1" applyBorder="1" applyAlignment="1">
      <alignment horizontal="center" vertical="center" wrapText="1"/>
    </xf>
    <xf numFmtId="0" fontId="62" fillId="0" borderId="1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0" fillId="0" borderId="5" xfId="0" applyBorder="1" applyAlignment="1">
      <alignment horizontal="left"/>
    </xf>
    <xf numFmtId="0" fontId="1" fillId="0" borderId="7" xfId="0" applyFont="1" applyBorder="1" applyAlignment="1">
      <alignment horizontal="left" vertical="center" wrapText="1"/>
    </xf>
    <xf numFmtId="0" fontId="84" fillId="0" borderId="1" xfId="0" applyFont="1" applyBorder="1" applyAlignment="1">
      <alignment horizontal="center" vertical="center" wrapText="1"/>
    </xf>
    <xf numFmtId="0" fontId="84" fillId="0" borderId="6" xfId="0" applyFont="1" applyBorder="1" applyAlignment="1">
      <alignment horizontal="center" vertical="center" wrapText="1"/>
    </xf>
    <xf numFmtId="0" fontId="8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60" fillId="0" borderId="1" xfId="0" applyFont="1" applyBorder="1" applyAlignment="1">
      <alignment horizontal="center" vertical="center" wrapText="1"/>
    </xf>
    <xf numFmtId="0" fontId="58" fillId="0" borderId="1" xfId="0" applyFont="1" applyBorder="1" applyAlignment="1">
      <alignment horizontal="center" vertical="center" wrapText="1"/>
    </xf>
    <xf numFmtId="0" fontId="46" fillId="0" borderId="0" xfId="0" applyFont="1" applyAlignment="1">
      <alignment horizontal="center" vertical="center"/>
    </xf>
    <xf numFmtId="0" fontId="46" fillId="0" borderId="0" xfId="0" applyFont="1" applyAlignment="1">
      <alignment horizontal="center"/>
    </xf>
    <xf numFmtId="0" fontId="49" fillId="0" borderId="0" xfId="0" applyFont="1" applyBorder="1" applyAlignment="1">
      <alignment horizontal="center" vertical="center"/>
    </xf>
    <xf numFmtId="0" fontId="49" fillId="0" borderId="0" xfId="0" applyFont="1" applyBorder="1" applyAlignment="1">
      <alignment horizontal="left" vertical="center"/>
    </xf>
    <xf numFmtId="0" fontId="47" fillId="0" borderId="1" xfId="0" applyFont="1" applyBorder="1" applyAlignment="1">
      <alignment horizontal="center" vertical="center"/>
    </xf>
    <xf numFmtId="0" fontId="59" fillId="0" borderId="1" xfId="0" applyFont="1" applyBorder="1" applyAlignment="1">
      <alignment horizontal="center" vertical="center" wrapText="1"/>
    </xf>
    <xf numFmtId="0" fontId="47" fillId="0" borderId="1" xfId="0" applyFont="1" applyBorder="1" applyAlignment="1">
      <alignment horizontal="center" vertical="center" wrapText="1"/>
    </xf>
    <xf numFmtId="0" fontId="45" fillId="0" borderId="1" xfId="0" applyFont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0" fontId="61" fillId="0" borderId="1" xfId="0" applyFont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/>
    </xf>
    <xf numFmtId="0" fontId="45" fillId="0" borderId="1" xfId="0" applyFont="1" applyBorder="1" applyAlignment="1">
      <alignment horizontal="center" vertical="center"/>
    </xf>
    <xf numFmtId="0" fontId="47" fillId="0" borderId="0" xfId="0" applyFont="1" applyBorder="1" applyAlignment="1">
      <alignment horizontal="right"/>
    </xf>
    <xf numFmtId="0" fontId="49" fillId="0" borderId="0" xfId="0" applyFont="1" applyBorder="1" applyAlignment="1">
      <alignment horizontal="left"/>
    </xf>
    <xf numFmtId="0" fontId="45" fillId="0" borderId="0" xfId="0" applyFont="1" applyAlignment="1">
      <alignment horizontal="center"/>
    </xf>
    <xf numFmtId="0" fontId="47" fillId="0" borderId="0" xfId="0" applyFont="1" applyAlignment="1">
      <alignment horizontal="center"/>
    </xf>
    <xf numFmtId="0" fontId="48" fillId="0" borderId="0" xfId="0" applyFont="1" applyAlignment="1">
      <alignment horizontal="center"/>
    </xf>
    <xf numFmtId="0" fontId="39" fillId="0" borderId="4" xfId="0" applyFont="1" applyBorder="1" applyAlignment="1">
      <alignment horizontal="center" vertical="center" wrapText="1"/>
    </xf>
    <xf numFmtId="0" fontId="39" fillId="0" borderId="9" xfId="0" applyFont="1" applyBorder="1" applyAlignment="1">
      <alignment horizontal="center" vertical="center" wrapText="1"/>
    </xf>
    <xf numFmtId="0" fontId="39" fillId="0" borderId="5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 textRotation="90" wrapText="1"/>
    </xf>
    <xf numFmtId="0" fontId="44" fillId="0" borderId="0" xfId="0" applyFont="1" applyBorder="1" applyAlignment="1">
      <alignment horizontal="center" vertical="center" wrapText="1"/>
    </xf>
    <xf numFmtId="0" fontId="44" fillId="0" borderId="0" xfId="0" applyFont="1" applyBorder="1" applyAlignment="1">
      <alignment horizontal="right" vertical="center" wrapText="1"/>
    </xf>
    <xf numFmtId="0" fontId="39" fillId="0" borderId="1" xfId="0" applyFont="1" applyBorder="1" applyAlignment="1">
      <alignment horizontal="center" vertical="center" wrapText="1"/>
    </xf>
    <xf numFmtId="0" fontId="39" fillId="0" borderId="2" xfId="0" applyFont="1" applyBorder="1" applyAlignment="1">
      <alignment horizontal="center" vertical="center" wrapText="1"/>
    </xf>
    <xf numFmtId="0" fontId="39" fillId="0" borderId="6" xfId="0" applyFont="1" applyBorder="1" applyAlignment="1">
      <alignment horizontal="center" vertical="center" wrapText="1"/>
    </xf>
    <xf numFmtId="0" fontId="68" fillId="0" borderId="1" xfId="5" applyFont="1" applyFill="1" applyBorder="1" applyAlignment="1">
      <alignment horizontal="center" vertical="center" wrapText="1"/>
    </xf>
    <xf numFmtId="0" fontId="65" fillId="0" borderId="1" xfId="5" applyFont="1" applyFill="1" applyBorder="1" applyAlignment="1">
      <alignment horizontal="center" vertical="center" wrapText="1"/>
    </xf>
    <xf numFmtId="0" fontId="35" fillId="0" borderId="4" xfId="5" applyFont="1" applyFill="1" applyBorder="1" applyAlignment="1">
      <alignment horizontal="center" vertical="center" wrapText="1"/>
    </xf>
    <xf numFmtId="0" fontId="35" fillId="0" borderId="9" xfId="5" applyFont="1" applyFill="1" applyBorder="1" applyAlignment="1">
      <alignment horizontal="center" vertical="center" wrapText="1"/>
    </xf>
    <xf numFmtId="0" fontId="35" fillId="0" borderId="5" xfId="5" applyFont="1" applyFill="1" applyBorder="1" applyAlignment="1">
      <alignment horizontal="center" vertical="center" wrapText="1"/>
    </xf>
    <xf numFmtId="0" fontId="76" fillId="0" borderId="20" xfId="5" applyFont="1" applyFill="1" applyBorder="1" applyAlignment="1">
      <alignment horizontal="center" vertical="center" textRotation="90" wrapText="1"/>
    </xf>
    <xf numFmtId="0" fontId="76" fillId="0" borderId="4" xfId="5" applyFont="1" applyFill="1" applyBorder="1" applyAlignment="1">
      <alignment horizontal="right" vertical="center" wrapText="1"/>
    </xf>
    <xf numFmtId="0" fontId="76" fillId="0" borderId="9" xfId="5" applyFont="1" applyFill="1" applyBorder="1" applyAlignment="1">
      <alignment horizontal="right" vertical="center" wrapText="1"/>
    </xf>
    <xf numFmtId="0" fontId="76" fillId="0" borderId="5" xfId="5" applyFont="1" applyFill="1" applyBorder="1" applyAlignment="1">
      <alignment horizontal="right" vertical="center" wrapText="1"/>
    </xf>
    <xf numFmtId="0" fontId="68" fillId="0" borderId="20" xfId="5" applyFont="1" applyFill="1" applyBorder="1" applyAlignment="1">
      <alignment horizontal="center" vertical="center" textRotation="90" wrapText="1"/>
    </xf>
    <xf numFmtId="0" fontId="65" fillId="0" borderId="1" xfId="5" applyFont="1" applyBorder="1" applyAlignment="1">
      <alignment horizontal="center" vertical="center" wrapText="1"/>
    </xf>
    <xf numFmtId="0" fontId="66" fillId="0" borderId="1" xfId="5" applyFont="1" applyBorder="1" applyAlignment="1">
      <alignment horizontal="center" vertical="center" wrapText="1"/>
    </xf>
    <xf numFmtId="0" fontId="23" fillId="0" borderId="0" xfId="0" applyFont="1" applyBorder="1" applyAlignment="1">
      <alignment horizontal="left" vertical="center" wrapText="1"/>
    </xf>
    <xf numFmtId="0" fontId="23" fillId="0" borderId="1" xfId="5" applyFont="1" applyBorder="1" applyAlignment="1">
      <alignment horizontal="center" vertical="center" wrapText="1"/>
    </xf>
    <xf numFmtId="0" fontId="70" fillId="0" borderId="1" xfId="0" applyFont="1" applyFill="1" applyBorder="1" applyAlignment="1">
      <alignment horizontal="center" vertical="top" wrapText="1" readingOrder="1"/>
    </xf>
    <xf numFmtId="0" fontId="65" fillId="0" borderId="0" xfId="5" applyFont="1" applyBorder="1" applyAlignment="1">
      <alignment horizontal="left" vertical="center" wrapText="1"/>
    </xf>
    <xf numFmtId="0" fontId="66" fillId="0" borderId="0" xfId="5" applyFont="1" applyBorder="1" applyAlignment="1">
      <alignment horizontal="left" vertical="center" wrapText="1"/>
    </xf>
    <xf numFmtId="0" fontId="65" fillId="0" borderId="0" xfId="5" applyFont="1" applyBorder="1" applyAlignment="1">
      <alignment horizontal="center" vertical="center" wrapText="1"/>
    </xf>
    <xf numFmtId="0" fontId="66" fillId="0" borderId="0" xfId="5" applyFont="1" applyBorder="1" applyAlignment="1">
      <alignment horizontal="center" vertical="center" wrapText="1"/>
    </xf>
    <xf numFmtId="0" fontId="65" fillId="0" borderId="4" xfId="5" applyFont="1" applyBorder="1" applyAlignment="1">
      <alignment horizontal="center" vertical="center" wrapText="1"/>
    </xf>
    <xf numFmtId="0" fontId="65" fillId="0" borderId="5" xfId="5" applyFont="1" applyBorder="1" applyAlignment="1">
      <alignment horizontal="center" vertical="center" wrapText="1"/>
    </xf>
    <xf numFmtId="0" fontId="35" fillId="0" borderId="2" xfId="5" applyFont="1" applyBorder="1" applyAlignment="1">
      <alignment horizontal="center" wrapText="1"/>
    </xf>
    <xf numFmtId="0" fontId="35" fillId="0" borderId="6" xfId="5" applyFont="1" applyBorder="1" applyAlignment="1">
      <alignment horizontal="center" wrapText="1"/>
    </xf>
    <xf numFmtId="0" fontId="28" fillId="0" borderId="1" xfId="0" applyFont="1" applyBorder="1" applyAlignment="1">
      <alignment horizontal="left" vertical="center" wrapText="1"/>
    </xf>
    <xf numFmtId="0" fontId="77" fillId="0" borderId="4" xfId="0" applyFont="1" applyBorder="1" applyAlignment="1">
      <alignment horizontal="left" vertical="center" wrapText="1"/>
    </xf>
    <xf numFmtId="0" fontId="77" fillId="0" borderId="5" xfId="0" applyFont="1" applyBorder="1" applyAlignment="1">
      <alignment horizontal="left" vertical="center" wrapText="1"/>
    </xf>
    <xf numFmtId="0" fontId="31" fillId="0" borderId="1" xfId="0" applyFont="1" applyBorder="1" applyAlignment="1">
      <alignment horizontal="left" wrapText="1"/>
    </xf>
    <xf numFmtId="0" fontId="68" fillId="0" borderId="0" xfId="5" applyFont="1" applyAlignment="1">
      <alignment horizontal="left" vertical="center" wrapText="1"/>
    </xf>
    <xf numFmtId="0" fontId="23" fillId="0" borderId="0" xfId="0" applyFont="1" applyBorder="1" applyAlignment="1">
      <alignment horizontal="center" vertical="center" wrapText="1"/>
    </xf>
    <xf numFmtId="0" fontId="72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73" fillId="0" borderId="0" xfId="0" applyFont="1" applyAlignment="1">
      <alignment horizontal="center" vertical="center"/>
    </xf>
    <xf numFmtId="0" fontId="35" fillId="0" borderId="4" xfId="5" applyFont="1" applyBorder="1" applyAlignment="1">
      <alignment horizontal="center" vertical="center" wrapText="1"/>
    </xf>
    <xf numFmtId="0" fontId="35" fillId="0" borderId="5" xfId="5" applyFont="1" applyBorder="1" applyAlignment="1">
      <alignment horizontal="center" vertical="center" wrapText="1"/>
    </xf>
    <xf numFmtId="0" fontId="65" fillId="0" borderId="12" xfId="5" applyFont="1" applyBorder="1" applyAlignment="1">
      <alignment horizontal="center" vertical="center" wrapText="1"/>
    </xf>
    <xf numFmtId="0" fontId="65" fillId="0" borderId="12" xfId="5" applyFont="1" applyBorder="1" applyAlignment="1">
      <alignment horizontal="left" vertical="center" wrapText="1"/>
    </xf>
    <xf numFmtId="0" fontId="66" fillId="0" borderId="12" xfId="5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vertical="center" wrapText="1"/>
    </xf>
  </cellXfs>
  <cellStyles count="7">
    <cellStyle name="Normal" xfId="0" builtinId="0"/>
    <cellStyle name="Normal 2" xfId="1"/>
    <cellStyle name="Normal 2 2" xfId="2"/>
    <cellStyle name="Normal 2 3" xfId="5"/>
    <cellStyle name="Normal 3" xfId="3"/>
    <cellStyle name="Normal 3 2" xfId="4"/>
    <cellStyle name="Normal 3 3" xfId="6"/>
  </cellStyles>
  <dxfs count="1">
    <dxf>
      <fill>
        <patternFill>
          <bgColor rgb="FF92D05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92D050"/>
  </sheetPr>
  <dimension ref="A1:H12"/>
  <sheetViews>
    <sheetView workbookViewId="0">
      <selection activeCell="C3" sqref="C3"/>
    </sheetView>
  </sheetViews>
  <sheetFormatPr defaultRowHeight="15"/>
  <cols>
    <col min="1" max="1" width="7.28515625" customWidth="1"/>
    <col min="2" max="2" width="19.42578125" customWidth="1"/>
    <col min="3" max="3" width="17.42578125" customWidth="1"/>
    <col min="4" max="4" width="18" customWidth="1"/>
    <col min="5" max="5" width="17.85546875" customWidth="1"/>
    <col min="6" max="6" width="20.140625" customWidth="1"/>
    <col min="7" max="7" width="15.7109375" customWidth="1"/>
    <col min="8" max="8" width="15.42578125" customWidth="1"/>
  </cols>
  <sheetData>
    <row r="1" spans="1:8" ht="18.75" customHeight="1">
      <c r="A1" s="193" t="s">
        <v>163</v>
      </c>
      <c r="B1" s="194"/>
      <c r="C1" s="194"/>
      <c r="D1" s="194"/>
      <c r="E1" s="194"/>
      <c r="F1" s="194"/>
      <c r="G1" s="194"/>
      <c r="H1" s="195"/>
    </row>
    <row r="2" spans="1:8" ht="23.25" customHeight="1">
      <c r="A2" s="197" t="s">
        <v>94</v>
      </c>
      <c r="B2" s="197" t="s">
        <v>140</v>
      </c>
      <c r="C2" s="197" t="s">
        <v>142</v>
      </c>
      <c r="D2" s="197"/>
      <c r="E2" s="197"/>
      <c r="F2" s="197" t="s">
        <v>143</v>
      </c>
      <c r="G2" s="197"/>
      <c r="H2" s="197"/>
    </row>
    <row r="3" spans="1:8" ht="146.25" customHeight="1">
      <c r="A3" s="197"/>
      <c r="B3" s="197"/>
      <c r="C3" s="59" t="s">
        <v>141</v>
      </c>
      <c r="D3" s="59" t="s">
        <v>144</v>
      </c>
      <c r="E3" s="59" t="s">
        <v>145</v>
      </c>
      <c r="F3" s="59" t="s">
        <v>146</v>
      </c>
      <c r="G3" s="59" t="s">
        <v>147</v>
      </c>
      <c r="H3" s="59" t="s">
        <v>148</v>
      </c>
    </row>
    <row r="4" spans="1:8" ht="18.75">
      <c r="A4" s="59">
        <v>1</v>
      </c>
      <c r="B4" s="59">
        <v>2</v>
      </c>
      <c r="C4" s="59">
        <v>3</v>
      </c>
      <c r="D4" s="59">
        <v>4</v>
      </c>
      <c r="E4" s="59">
        <v>5</v>
      </c>
      <c r="F4" s="59">
        <v>6</v>
      </c>
      <c r="G4" s="59">
        <v>7</v>
      </c>
      <c r="H4" s="59">
        <v>8</v>
      </c>
    </row>
    <row r="5" spans="1:8" ht="18.75">
      <c r="A5" s="62">
        <v>1</v>
      </c>
      <c r="B5" s="87" t="s">
        <v>149</v>
      </c>
      <c r="C5" s="62"/>
      <c r="D5" s="62"/>
      <c r="E5" s="62"/>
      <c r="F5" s="62"/>
      <c r="G5" s="62"/>
      <c r="H5" s="62"/>
    </row>
    <row r="6" spans="1:8" ht="18.75">
      <c r="A6" s="193" t="s">
        <v>99</v>
      </c>
      <c r="B6" s="195"/>
      <c r="C6" s="59"/>
      <c r="D6" s="59"/>
      <c r="E6" s="59"/>
      <c r="F6" s="59"/>
      <c r="G6" s="59"/>
      <c r="H6" s="59"/>
    </row>
    <row r="7" spans="1:8" ht="18.75" customHeight="1">
      <c r="A7" s="198" t="s">
        <v>107</v>
      </c>
      <c r="B7" s="199"/>
      <c r="C7" s="199"/>
      <c r="D7" s="199"/>
      <c r="E7" s="199"/>
      <c r="F7" s="199"/>
      <c r="G7" s="199"/>
      <c r="H7" s="199"/>
    </row>
    <row r="8" spans="1:8" ht="18.75" customHeight="1">
      <c r="A8" s="200" t="s">
        <v>162</v>
      </c>
      <c r="B8" s="201"/>
      <c r="C8" s="201"/>
      <c r="D8" s="201"/>
      <c r="E8" s="201"/>
      <c r="F8" s="201"/>
      <c r="G8" s="201"/>
      <c r="H8" s="201"/>
    </row>
    <row r="11" spans="1:8" ht="20.25" customHeight="1">
      <c r="G11" s="196" t="s">
        <v>108</v>
      </c>
      <c r="H11" s="196"/>
    </row>
    <row r="12" spans="1:8" ht="20.25" customHeight="1">
      <c r="G12" s="196" t="s">
        <v>109</v>
      </c>
      <c r="H12" s="196"/>
    </row>
  </sheetData>
  <mergeCells count="10">
    <mergeCell ref="A1:H1"/>
    <mergeCell ref="G11:H11"/>
    <mergeCell ref="G12:H12"/>
    <mergeCell ref="C2:E2"/>
    <mergeCell ref="B2:B3"/>
    <mergeCell ref="A2:A3"/>
    <mergeCell ref="F2:H2"/>
    <mergeCell ref="A6:B6"/>
    <mergeCell ref="A7:H7"/>
    <mergeCell ref="A8:H8"/>
  </mergeCells>
  <pageMargins left="0.35" right="0.28000000000000003" top="0.76" bottom="0.38" header="0.2" footer="0.14000000000000001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92D050"/>
    <pageSetUpPr fitToPage="1"/>
  </sheetPr>
  <dimension ref="A1:E30"/>
  <sheetViews>
    <sheetView workbookViewId="0">
      <selection activeCell="A3" sqref="A3:E3"/>
    </sheetView>
  </sheetViews>
  <sheetFormatPr defaultRowHeight="15"/>
  <cols>
    <col min="1" max="1" width="20.140625" customWidth="1"/>
    <col min="2" max="2" width="22.85546875" customWidth="1"/>
    <col min="3" max="3" width="15.140625" customWidth="1"/>
    <col min="4" max="4" width="24.140625" customWidth="1"/>
    <col min="5" max="5" width="18.28515625" customWidth="1"/>
  </cols>
  <sheetData>
    <row r="1" spans="1:5" ht="45" customHeight="1">
      <c r="A1" s="203" t="s">
        <v>129</v>
      </c>
      <c r="B1" s="204"/>
      <c r="C1" s="204"/>
      <c r="D1" s="204"/>
      <c r="E1" s="204"/>
    </row>
    <row r="2" spans="1:5" ht="18.75" customHeight="1">
      <c r="A2" s="205" t="s">
        <v>130</v>
      </c>
      <c r="B2" s="206"/>
      <c r="C2" s="206"/>
      <c r="D2" s="206"/>
      <c r="E2" s="206"/>
    </row>
    <row r="3" spans="1:5" ht="18.75" customHeight="1">
      <c r="A3" s="207" t="s">
        <v>115</v>
      </c>
      <c r="B3" s="208"/>
      <c r="C3" s="208"/>
      <c r="D3" s="208"/>
      <c r="E3" s="208"/>
    </row>
    <row r="4" spans="1:5" ht="95.25" customHeight="1">
      <c r="A4" s="42" t="s">
        <v>131</v>
      </c>
      <c r="B4" s="42" t="s">
        <v>132</v>
      </c>
      <c r="C4" s="42" t="s">
        <v>133</v>
      </c>
      <c r="D4" s="52" t="s">
        <v>134</v>
      </c>
      <c r="E4" s="52" t="s">
        <v>135</v>
      </c>
    </row>
    <row r="5" spans="1:5" ht="18.75">
      <c r="A5" s="42">
        <v>1</v>
      </c>
      <c r="B5" s="42">
        <v>2</v>
      </c>
      <c r="C5" s="42">
        <v>3</v>
      </c>
      <c r="D5" s="42">
        <v>4</v>
      </c>
      <c r="E5" s="42">
        <v>5</v>
      </c>
    </row>
    <row r="6" spans="1:5" ht="18.75">
      <c r="A6" s="53"/>
      <c r="B6" s="46"/>
      <c r="C6" s="45"/>
      <c r="D6" s="53"/>
      <c r="E6" s="54"/>
    </row>
    <row r="7" spans="1:5" ht="18.75">
      <c r="A7" s="53"/>
      <c r="B7" s="46"/>
      <c r="C7" s="45"/>
      <c r="D7" s="53"/>
      <c r="E7" s="54"/>
    </row>
    <row r="8" spans="1:5" ht="18.75">
      <c r="A8" s="53"/>
      <c r="B8" s="46"/>
      <c r="C8" s="45"/>
      <c r="D8" s="53"/>
      <c r="E8" s="54"/>
    </row>
    <row r="9" spans="1:5" ht="18.75">
      <c r="A9" s="53"/>
      <c r="B9" s="46"/>
      <c r="C9" s="45"/>
      <c r="D9" s="53"/>
      <c r="E9" s="54"/>
    </row>
    <row r="10" spans="1:5" ht="18.75">
      <c r="A10" s="53"/>
      <c r="B10" s="46"/>
      <c r="C10" s="45"/>
      <c r="D10" s="53"/>
      <c r="E10" s="54"/>
    </row>
    <row r="11" spans="1:5" ht="18.75">
      <c r="A11" s="53"/>
      <c r="B11" s="46"/>
      <c r="C11" s="45"/>
      <c r="D11" s="53"/>
      <c r="E11" s="54"/>
    </row>
    <row r="12" spans="1:5" ht="18.75">
      <c r="A12" s="53"/>
      <c r="B12" s="46"/>
      <c r="C12" s="45"/>
      <c r="D12" s="53"/>
      <c r="E12" s="54"/>
    </row>
    <row r="13" spans="1:5" ht="18.75">
      <c r="A13" s="53"/>
      <c r="B13" s="46"/>
      <c r="C13" s="45"/>
      <c r="D13" s="53"/>
      <c r="E13" s="54"/>
    </row>
    <row r="14" spans="1:5" ht="18.75">
      <c r="A14" s="53"/>
      <c r="B14" s="46"/>
      <c r="C14" s="45"/>
      <c r="D14" s="53"/>
      <c r="E14" s="54"/>
    </row>
    <row r="15" spans="1:5" ht="18.75">
      <c r="A15" s="53"/>
      <c r="B15" s="46"/>
      <c r="C15" s="45"/>
      <c r="D15" s="53"/>
      <c r="E15" s="54"/>
    </row>
    <row r="16" spans="1:5" ht="18.75">
      <c r="A16" s="53"/>
      <c r="B16" s="46"/>
      <c r="C16" s="45"/>
      <c r="D16" s="53"/>
      <c r="E16" s="54"/>
    </row>
    <row r="17" spans="1:5" ht="18.75">
      <c r="A17" s="53"/>
      <c r="B17" s="46"/>
      <c r="C17" s="45"/>
      <c r="D17" s="53"/>
      <c r="E17" s="54"/>
    </row>
    <row r="18" spans="1:5" ht="18.75">
      <c r="A18" s="53"/>
      <c r="B18" s="46"/>
      <c r="C18" s="45"/>
      <c r="D18" s="53"/>
      <c r="E18" s="54"/>
    </row>
    <row r="19" spans="1:5" ht="18.75">
      <c r="A19" s="53"/>
      <c r="B19" s="47"/>
      <c r="C19" s="53"/>
      <c r="D19" s="53"/>
      <c r="E19" s="54"/>
    </row>
    <row r="20" spans="1:5" ht="18.75">
      <c r="A20" s="53"/>
      <c r="B20" s="47"/>
      <c r="C20" s="53"/>
      <c r="D20" s="53"/>
      <c r="E20" s="54"/>
    </row>
    <row r="21" spans="1:5" ht="18.75">
      <c r="A21" s="56"/>
      <c r="B21" s="57"/>
      <c r="C21" s="56"/>
      <c r="D21" s="56"/>
      <c r="E21" s="58"/>
    </row>
    <row r="22" spans="1:5" ht="18.75">
      <c r="A22" s="202" t="s">
        <v>126</v>
      </c>
      <c r="B22" s="202"/>
      <c r="C22" s="202"/>
      <c r="D22" s="202"/>
      <c r="E22" s="55"/>
    </row>
    <row r="23" spans="1:5" ht="18.75">
      <c r="A23" s="202" t="s">
        <v>164</v>
      </c>
      <c r="B23" s="202"/>
      <c r="C23" s="202"/>
      <c r="D23" s="202"/>
      <c r="E23" s="55"/>
    </row>
    <row r="26" spans="1:5">
      <c r="E26" s="51" t="s">
        <v>127</v>
      </c>
    </row>
    <row r="27" spans="1:5">
      <c r="E27" s="51" t="s">
        <v>128</v>
      </c>
    </row>
    <row r="29" spans="1:5" ht="18.75">
      <c r="D29" s="41"/>
    </row>
    <row r="30" spans="1:5" ht="18.75">
      <c r="D30" s="41"/>
    </row>
  </sheetData>
  <mergeCells count="5">
    <mergeCell ref="A23:D23"/>
    <mergeCell ref="A1:E1"/>
    <mergeCell ref="A2:E2"/>
    <mergeCell ref="A3:E3"/>
    <mergeCell ref="A22:D22"/>
  </mergeCells>
  <pageMargins left="0.48" right="0.28000000000000003" top="0.76" bottom="0.38" header="0.2" footer="0.14000000000000001"/>
  <pageSetup scale="9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92D050"/>
  </sheetPr>
  <dimension ref="A1:E26"/>
  <sheetViews>
    <sheetView workbookViewId="0">
      <selection activeCell="B8" sqref="B8:B15"/>
    </sheetView>
  </sheetViews>
  <sheetFormatPr defaultRowHeight="15"/>
  <cols>
    <col min="1" max="1" width="6.85546875" customWidth="1"/>
    <col min="2" max="2" width="29.28515625" customWidth="1"/>
    <col min="3" max="3" width="34.140625" customWidth="1"/>
    <col min="4" max="4" width="25.28515625" customWidth="1"/>
  </cols>
  <sheetData>
    <row r="1" spans="1:5" ht="45" customHeight="1">
      <c r="A1" s="212" t="s">
        <v>113</v>
      </c>
      <c r="B1" s="212"/>
      <c r="C1" s="212"/>
      <c r="D1" s="212"/>
      <c r="E1" s="43"/>
    </row>
    <row r="2" spans="1:5" ht="18.75" customHeight="1">
      <c r="A2" s="213" t="s">
        <v>114</v>
      </c>
      <c r="B2" s="213"/>
      <c r="C2" s="213"/>
      <c r="D2" s="213"/>
      <c r="E2" s="43"/>
    </row>
    <row r="3" spans="1:5" ht="18.75" customHeight="1">
      <c r="A3" s="213" t="s">
        <v>115</v>
      </c>
      <c r="B3" s="213"/>
      <c r="C3" s="213"/>
      <c r="D3" s="213"/>
      <c r="E3" s="43"/>
    </row>
    <row r="4" spans="1:5" ht="41.25" customHeight="1">
      <c r="A4" s="214" t="s">
        <v>116</v>
      </c>
      <c r="B4" s="215"/>
      <c r="C4" s="215"/>
      <c r="D4" s="216"/>
      <c r="E4" s="43"/>
    </row>
    <row r="5" spans="1:5" ht="34.5" customHeight="1">
      <c r="A5" s="214" t="s">
        <v>117</v>
      </c>
      <c r="B5" s="215"/>
      <c r="C5" s="215"/>
      <c r="D5" s="216"/>
      <c r="E5" s="43"/>
    </row>
    <row r="6" spans="1:5" ht="36" customHeight="1">
      <c r="A6" s="42" t="s">
        <v>118</v>
      </c>
      <c r="B6" s="42" t="s">
        <v>8</v>
      </c>
      <c r="C6" s="42" t="s">
        <v>119</v>
      </c>
      <c r="D6" s="42" t="s">
        <v>120</v>
      </c>
    </row>
    <row r="7" spans="1:5" ht="18.75">
      <c r="A7" s="42">
        <v>1</v>
      </c>
      <c r="B7" s="42">
        <v>2</v>
      </c>
      <c r="C7" s="50">
        <v>3</v>
      </c>
      <c r="D7" s="42">
        <v>4</v>
      </c>
    </row>
    <row r="8" spans="1:5" ht="18.75">
      <c r="A8" s="42">
        <v>1</v>
      </c>
      <c r="B8" s="48" t="s">
        <v>85</v>
      </c>
      <c r="C8" s="45" t="s">
        <v>122</v>
      </c>
      <c r="D8" s="44"/>
    </row>
    <row r="9" spans="1:5" ht="21" customHeight="1">
      <c r="A9" s="42">
        <v>2</v>
      </c>
      <c r="B9" s="48" t="s">
        <v>156</v>
      </c>
      <c r="C9" s="45" t="s">
        <v>124</v>
      </c>
      <c r="D9" s="44"/>
    </row>
    <row r="10" spans="1:5" ht="18.75">
      <c r="A10" s="80">
        <v>3</v>
      </c>
      <c r="B10" s="48" t="s">
        <v>165</v>
      </c>
      <c r="C10" s="45" t="s">
        <v>121</v>
      </c>
      <c r="D10" s="44"/>
    </row>
    <row r="11" spans="1:5" ht="18.75">
      <c r="A11" s="80">
        <v>4</v>
      </c>
      <c r="B11" s="48" t="s">
        <v>158</v>
      </c>
      <c r="C11" s="45" t="s">
        <v>123</v>
      </c>
      <c r="D11" s="44"/>
    </row>
    <row r="12" spans="1:5" ht="18.75">
      <c r="A12" s="80">
        <v>5</v>
      </c>
      <c r="B12" s="48" t="s">
        <v>159</v>
      </c>
      <c r="C12" s="45" t="s">
        <v>167</v>
      </c>
      <c r="D12" s="44"/>
    </row>
    <row r="13" spans="1:5" ht="18.75">
      <c r="A13" s="80">
        <v>6</v>
      </c>
      <c r="B13" s="48" t="s">
        <v>166</v>
      </c>
      <c r="C13" s="45" t="s">
        <v>168</v>
      </c>
      <c r="D13" s="44"/>
    </row>
    <row r="14" spans="1:5" ht="18.75">
      <c r="A14" s="80">
        <v>7</v>
      </c>
      <c r="B14" s="48" t="s">
        <v>86</v>
      </c>
      <c r="C14" s="45" t="s">
        <v>125</v>
      </c>
      <c r="D14" s="44"/>
    </row>
    <row r="15" spans="1:5" ht="18.75">
      <c r="A15" s="80">
        <v>8</v>
      </c>
      <c r="B15" s="48" t="s">
        <v>161</v>
      </c>
      <c r="C15" s="45" t="s">
        <v>125</v>
      </c>
      <c r="D15" s="44"/>
    </row>
    <row r="16" spans="1:5" ht="18.75">
      <c r="A16" s="80">
        <v>9</v>
      </c>
      <c r="B16" s="49" t="s">
        <v>10</v>
      </c>
      <c r="C16" s="42"/>
      <c r="D16" s="44"/>
    </row>
    <row r="17" spans="1:4" ht="18.75">
      <c r="A17" s="80">
        <v>10</v>
      </c>
      <c r="B17" s="47" t="s">
        <v>11</v>
      </c>
      <c r="C17" s="42"/>
      <c r="D17" s="44"/>
    </row>
    <row r="18" spans="1:4" ht="18.75">
      <c r="A18" s="209" t="s">
        <v>126</v>
      </c>
      <c r="B18" s="210"/>
      <c r="C18" s="210"/>
      <c r="D18" s="211"/>
    </row>
    <row r="19" spans="1:4" ht="18.75">
      <c r="A19" s="209" t="s">
        <v>164</v>
      </c>
      <c r="B19" s="210"/>
      <c r="C19" s="210"/>
      <c r="D19" s="211"/>
    </row>
    <row r="23" spans="1:4">
      <c r="D23" s="51" t="s">
        <v>127</v>
      </c>
    </row>
    <row r="24" spans="1:4">
      <c r="D24" s="51" t="s">
        <v>128</v>
      </c>
    </row>
    <row r="25" spans="1:4" ht="18.75">
      <c r="D25" s="41"/>
    </row>
    <row r="26" spans="1:4" ht="18.75">
      <c r="D26" s="41"/>
    </row>
  </sheetData>
  <mergeCells count="7">
    <mergeCell ref="A18:D18"/>
    <mergeCell ref="A19:D19"/>
    <mergeCell ref="A1:D1"/>
    <mergeCell ref="A2:D2"/>
    <mergeCell ref="A3:D3"/>
    <mergeCell ref="A4:D4"/>
    <mergeCell ref="A5:D5"/>
  </mergeCells>
  <pageMargins left="0.51" right="0.28000000000000003" top="0.76" bottom="0.38" header="0.2" footer="0.14000000000000001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92D050"/>
  </sheetPr>
  <dimension ref="A1:E25"/>
  <sheetViews>
    <sheetView workbookViewId="0">
      <selection activeCell="A3" sqref="A3:D3"/>
    </sheetView>
  </sheetViews>
  <sheetFormatPr defaultRowHeight="15"/>
  <cols>
    <col min="1" max="1" width="6.5703125" customWidth="1"/>
    <col min="2" max="2" width="24.7109375" customWidth="1"/>
    <col min="3" max="3" width="29.28515625" customWidth="1"/>
    <col min="4" max="4" width="38.42578125" customWidth="1"/>
  </cols>
  <sheetData>
    <row r="1" spans="1:5" ht="18.75" customHeight="1">
      <c r="A1" s="197" t="s">
        <v>89</v>
      </c>
      <c r="B1" s="197"/>
      <c r="C1" s="197"/>
      <c r="D1" s="197"/>
      <c r="E1" s="43"/>
    </row>
    <row r="2" spans="1:5" ht="18.75" customHeight="1">
      <c r="A2" s="223" t="s">
        <v>112</v>
      </c>
      <c r="B2" s="223"/>
      <c r="C2" s="223"/>
      <c r="D2" s="223"/>
      <c r="E2" s="43"/>
    </row>
    <row r="3" spans="1:5" ht="18.75" customHeight="1">
      <c r="A3" s="223" t="s">
        <v>91</v>
      </c>
      <c r="B3" s="223"/>
      <c r="C3" s="223"/>
      <c r="D3" s="223"/>
      <c r="E3" s="43"/>
    </row>
    <row r="4" spans="1:5" ht="18.75" customHeight="1">
      <c r="A4" s="223" t="s">
        <v>92</v>
      </c>
      <c r="B4" s="223"/>
      <c r="C4" s="223"/>
      <c r="D4" s="223"/>
      <c r="E4" s="43"/>
    </row>
    <row r="5" spans="1:5" ht="18.75" customHeight="1">
      <c r="A5" s="223" t="s">
        <v>93</v>
      </c>
      <c r="B5" s="223"/>
      <c r="C5" s="223"/>
      <c r="D5" s="223"/>
      <c r="E5" s="43"/>
    </row>
    <row r="6" spans="1:5" ht="46.5" customHeight="1">
      <c r="A6" s="217" t="s">
        <v>104</v>
      </c>
      <c r="B6" s="218"/>
      <c r="C6" s="218"/>
      <c r="D6" s="219"/>
    </row>
    <row r="7" spans="1:5" ht="25.5" customHeight="1">
      <c r="A7" s="37" t="s">
        <v>94</v>
      </c>
      <c r="B7" s="37" t="s">
        <v>95</v>
      </c>
      <c r="C7" s="37" t="s">
        <v>105</v>
      </c>
      <c r="D7" s="37" t="s">
        <v>106</v>
      </c>
    </row>
    <row r="8" spans="1:5" ht="18.75">
      <c r="A8" s="37">
        <v>1</v>
      </c>
      <c r="B8" s="37">
        <v>2</v>
      </c>
      <c r="C8" s="37">
        <v>3</v>
      </c>
      <c r="D8" s="37">
        <v>4</v>
      </c>
    </row>
    <row r="9" spans="1:5" ht="21">
      <c r="A9" s="89">
        <v>1</v>
      </c>
      <c r="B9" s="91" t="s">
        <v>180</v>
      </c>
      <c r="C9" s="90"/>
      <c r="D9" s="90"/>
    </row>
    <row r="10" spans="1:5" ht="21">
      <c r="A10" s="89">
        <v>2</v>
      </c>
      <c r="B10" s="91" t="s">
        <v>169</v>
      </c>
      <c r="C10" s="90"/>
      <c r="D10" s="90"/>
    </row>
    <row r="11" spans="1:5" ht="21">
      <c r="A11" s="89">
        <v>3</v>
      </c>
      <c r="B11" s="91" t="s">
        <v>170</v>
      </c>
      <c r="C11" s="90"/>
      <c r="D11" s="90"/>
    </row>
    <row r="12" spans="1:5" ht="21">
      <c r="A12" s="89">
        <v>4</v>
      </c>
      <c r="B12" s="91" t="s">
        <v>171</v>
      </c>
      <c r="C12" s="90"/>
      <c r="D12" s="90"/>
    </row>
    <row r="13" spans="1:5" ht="21">
      <c r="A13" s="89">
        <v>5</v>
      </c>
      <c r="B13" s="91" t="s">
        <v>172</v>
      </c>
      <c r="C13" s="90"/>
      <c r="D13" s="90"/>
    </row>
    <row r="14" spans="1:5" ht="21">
      <c r="A14" s="89">
        <v>6</v>
      </c>
      <c r="B14" s="91" t="s">
        <v>173</v>
      </c>
      <c r="C14" s="90"/>
      <c r="D14" s="90"/>
    </row>
    <row r="15" spans="1:5" ht="21">
      <c r="A15" s="89">
        <v>7</v>
      </c>
      <c r="B15" s="91" t="s">
        <v>174</v>
      </c>
      <c r="C15" s="90"/>
      <c r="D15" s="90"/>
    </row>
    <row r="16" spans="1:5" ht="21">
      <c r="A16" s="89">
        <v>8</v>
      </c>
      <c r="B16" s="91" t="s">
        <v>175</v>
      </c>
      <c r="C16" s="90"/>
      <c r="D16" s="90"/>
    </row>
    <row r="17" spans="1:4" ht="18.75">
      <c r="A17" s="220" t="s">
        <v>107</v>
      </c>
      <c r="B17" s="221"/>
      <c r="C17" s="221"/>
      <c r="D17" s="222"/>
    </row>
    <row r="18" spans="1:4" ht="18.75">
      <c r="A18" s="220" t="s">
        <v>162</v>
      </c>
      <c r="B18" s="221"/>
      <c r="C18" s="221"/>
      <c r="D18" s="222"/>
    </row>
    <row r="24" spans="1:4" ht="18.75">
      <c r="D24" s="41" t="s">
        <v>108</v>
      </c>
    </row>
    <row r="25" spans="1:4" ht="18.75">
      <c r="D25" s="41" t="s">
        <v>109</v>
      </c>
    </row>
  </sheetData>
  <mergeCells count="8">
    <mergeCell ref="A6:D6"/>
    <mergeCell ref="A17:D17"/>
    <mergeCell ref="A18:D18"/>
    <mergeCell ref="A1:D1"/>
    <mergeCell ref="A2:D2"/>
    <mergeCell ref="A3:D3"/>
    <mergeCell ref="A4:D4"/>
    <mergeCell ref="A5:D5"/>
  </mergeCells>
  <pageMargins left="0.35" right="0.28000000000000003" top="0.76" bottom="0.38" header="0.2" footer="0.14000000000000001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FFFF00"/>
  </sheetPr>
  <dimension ref="A1:E28"/>
  <sheetViews>
    <sheetView workbookViewId="0">
      <selection activeCell="A3" sqref="A3:E3"/>
    </sheetView>
  </sheetViews>
  <sheetFormatPr defaultRowHeight="15"/>
  <cols>
    <col min="1" max="1" width="7.28515625" customWidth="1"/>
    <col min="2" max="2" width="23.85546875" bestFit="1" customWidth="1"/>
    <col min="3" max="3" width="22.28515625" customWidth="1"/>
    <col min="4" max="4" width="26.28515625" customWidth="1"/>
    <col min="5" max="5" width="18.7109375" customWidth="1"/>
  </cols>
  <sheetData>
    <row r="1" spans="1:5" ht="18.75">
      <c r="A1" s="193" t="s">
        <v>176</v>
      </c>
      <c r="B1" s="194"/>
      <c r="C1" s="194"/>
      <c r="D1" s="194"/>
      <c r="E1" s="195"/>
    </row>
    <row r="2" spans="1:5" ht="18.75">
      <c r="A2" s="193" t="s">
        <v>87</v>
      </c>
      <c r="B2" s="194"/>
      <c r="C2" s="194"/>
      <c r="D2" s="194"/>
      <c r="E2" s="195"/>
    </row>
    <row r="3" spans="1:5" ht="18.75">
      <c r="A3" s="193" t="s">
        <v>88</v>
      </c>
      <c r="B3" s="194"/>
      <c r="C3" s="194"/>
      <c r="D3" s="194"/>
      <c r="E3" s="195"/>
    </row>
    <row r="4" spans="1:5" ht="18.75">
      <c r="A4" s="220" t="s">
        <v>89</v>
      </c>
      <c r="B4" s="221"/>
      <c r="C4" s="221"/>
      <c r="D4" s="221"/>
      <c r="E4" s="222"/>
    </row>
    <row r="5" spans="1:5" ht="18.75">
      <c r="A5" s="220" t="s">
        <v>90</v>
      </c>
      <c r="B5" s="221"/>
      <c r="C5" s="221"/>
      <c r="D5" s="221"/>
      <c r="E5" s="222"/>
    </row>
    <row r="6" spans="1:5" ht="18.75">
      <c r="A6" s="220" t="s">
        <v>91</v>
      </c>
      <c r="B6" s="221"/>
      <c r="C6" s="221"/>
      <c r="D6" s="221"/>
      <c r="E6" s="222"/>
    </row>
    <row r="7" spans="1:5" ht="18.75">
      <c r="A7" s="220" t="s">
        <v>92</v>
      </c>
      <c r="B7" s="221"/>
      <c r="C7" s="221"/>
      <c r="D7" s="221"/>
      <c r="E7" s="222"/>
    </row>
    <row r="8" spans="1:5" ht="18.75">
      <c r="A8" s="220" t="s">
        <v>93</v>
      </c>
      <c r="B8" s="221"/>
      <c r="C8" s="221"/>
      <c r="D8" s="221"/>
      <c r="E8" s="222"/>
    </row>
    <row r="9" spans="1:5" ht="58.5" customHeight="1">
      <c r="A9" s="37" t="s">
        <v>94</v>
      </c>
      <c r="B9" s="37" t="s">
        <v>95</v>
      </c>
      <c r="C9" s="37" t="s">
        <v>96</v>
      </c>
      <c r="D9" s="37" t="s">
        <v>97</v>
      </c>
      <c r="E9" s="37" t="s">
        <v>98</v>
      </c>
    </row>
    <row r="10" spans="1:5" ht="16.5">
      <c r="A10" s="38">
        <v>1</v>
      </c>
      <c r="B10" s="38">
        <v>2</v>
      </c>
      <c r="C10" s="38">
        <v>3</v>
      </c>
      <c r="D10" s="38">
        <v>4</v>
      </c>
      <c r="E10" s="38">
        <v>5</v>
      </c>
    </row>
    <row r="11" spans="1:5" ht="21">
      <c r="A11" s="79">
        <v>1</v>
      </c>
      <c r="B11" s="88" t="s">
        <v>180</v>
      </c>
      <c r="C11" s="39"/>
      <c r="D11" s="39"/>
      <c r="E11" s="39"/>
    </row>
    <row r="12" spans="1:5" ht="21">
      <c r="A12" s="79">
        <v>2</v>
      </c>
      <c r="B12" s="88" t="s">
        <v>169</v>
      </c>
      <c r="C12" s="39"/>
      <c r="D12" s="39"/>
      <c r="E12" s="39"/>
    </row>
    <row r="13" spans="1:5" ht="21">
      <c r="A13" s="79">
        <v>3</v>
      </c>
      <c r="B13" s="88" t="s">
        <v>170</v>
      </c>
      <c r="C13" s="39"/>
      <c r="D13" s="39"/>
      <c r="E13" s="39"/>
    </row>
    <row r="14" spans="1:5" ht="21">
      <c r="A14" s="79">
        <v>4</v>
      </c>
      <c r="B14" s="88" t="s">
        <v>171</v>
      </c>
      <c r="C14" s="39"/>
      <c r="D14" s="39"/>
      <c r="E14" s="39"/>
    </row>
    <row r="15" spans="1:5" ht="21">
      <c r="A15" s="79">
        <v>5</v>
      </c>
      <c r="B15" s="88" t="s">
        <v>172</v>
      </c>
      <c r="C15" s="39"/>
      <c r="D15" s="39"/>
      <c r="E15" s="39"/>
    </row>
    <row r="16" spans="1:5" ht="21">
      <c r="A16" s="79">
        <v>6</v>
      </c>
      <c r="B16" s="88" t="s">
        <v>173</v>
      </c>
      <c r="C16" s="39"/>
      <c r="D16" s="39"/>
      <c r="E16" s="39"/>
    </row>
    <row r="17" spans="1:5" ht="21">
      <c r="A17" s="79">
        <v>7</v>
      </c>
      <c r="B17" s="88" t="s">
        <v>174</v>
      </c>
      <c r="C17" s="39"/>
      <c r="D17" s="39"/>
      <c r="E17" s="39"/>
    </row>
    <row r="18" spans="1:5" ht="21">
      <c r="A18" s="79">
        <v>8</v>
      </c>
      <c r="B18" s="88" t="s">
        <v>175</v>
      </c>
      <c r="C18" s="39"/>
      <c r="D18" s="39"/>
      <c r="E18" s="39"/>
    </row>
    <row r="19" spans="1:5" ht="18.75">
      <c r="A19" s="79">
        <v>14</v>
      </c>
      <c r="B19" s="92" t="s">
        <v>84</v>
      </c>
      <c r="C19" s="39"/>
      <c r="D19" s="39"/>
      <c r="E19" s="39"/>
    </row>
    <row r="20" spans="1:5" ht="21">
      <c r="A20" s="225" t="s">
        <v>99</v>
      </c>
      <c r="B20" s="226"/>
      <c r="C20" s="40"/>
      <c r="D20" s="40"/>
      <c r="E20" s="40"/>
    </row>
    <row r="21" spans="1:5" ht="39" customHeight="1">
      <c r="A21" s="223" t="s">
        <v>100</v>
      </c>
      <c r="B21" s="223"/>
      <c r="C21" s="223"/>
      <c r="D21" s="223"/>
      <c r="E21" s="223"/>
    </row>
    <row r="22" spans="1:5" ht="24" customHeight="1">
      <c r="A22" s="223" t="s">
        <v>101</v>
      </c>
      <c r="B22" s="223"/>
      <c r="C22" s="223"/>
      <c r="D22" s="223"/>
      <c r="E22" s="223"/>
    </row>
    <row r="23" spans="1:5" ht="20.25" customHeight="1">
      <c r="A23" s="223" t="s">
        <v>162</v>
      </c>
      <c r="B23" s="223"/>
      <c r="C23" s="223"/>
      <c r="D23" s="223"/>
      <c r="E23" s="223"/>
    </row>
    <row r="27" spans="1:5" ht="18.75">
      <c r="D27" s="224" t="s">
        <v>102</v>
      </c>
      <c r="E27" s="224"/>
    </row>
    <row r="28" spans="1:5" ht="18.75">
      <c r="D28" s="224" t="s">
        <v>103</v>
      </c>
      <c r="E28" s="224"/>
    </row>
  </sheetData>
  <mergeCells count="14">
    <mergeCell ref="D27:E27"/>
    <mergeCell ref="D28:E28"/>
    <mergeCell ref="A7:E7"/>
    <mergeCell ref="A8:E8"/>
    <mergeCell ref="A20:B20"/>
    <mergeCell ref="A21:E21"/>
    <mergeCell ref="A22:E22"/>
    <mergeCell ref="A23:E23"/>
    <mergeCell ref="A6:E6"/>
    <mergeCell ref="A1:E1"/>
    <mergeCell ref="A2:E2"/>
    <mergeCell ref="A3:E3"/>
    <mergeCell ref="A4:E4"/>
    <mergeCell ref="A5:E5"/>
  </mergeCells>
  <pageMargins left="0.27" right="0.2" top="0.71" bottom="0.32" header="0.28999999999999998" footer="0.14000000000000001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00B050"/>
  </sheetPr>
  <dimension ref="A1:S927"/>
  <sheetViews>
    <sheetView view="pageBreakPreview" topLeftCell="A437" zoomScale="85" zoomScaleSheetLayoutView="85" workbookViewId="0">
      <selection activeCell="I437" sqref="I437"/>
    </sheetView>
  </sheetViews>
  <sheetFormatPr defaultRowHeight="15"/>
  <cols>
    <col min="1" max="1" width="3.42578125" customWidth="1"/>
    <col min="2" max="2" width="27.7109375" customWidth="1"/>
    <col min="3" max="3" width="8.140625" customWidth="1"/>
    <col min="4" max="16" width="7.7109375" customWidth="1"/>
    <col min="17" max="19" width="8.85546875" customWidth="1"/>
  </cols>
  <sheetData>
    <row r="1" spans="1:19" ht="26.25">
      <c r="A1" s="229" t="s">
        <v>0</v>
      </c>
      <c r="B1" s="229"/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29"/>
      <c r="N1" s="229"/>
      <c r="O1" s="229"/>
      <c r="P1" s="229"/>
      <c r="Q1" s="229"/>
      <c r="R1" s="229"/>
      <c r="S1" s="229"/>
    </row>
    <row r="2" spans="1:19" ht="19.5">
      <c r="A2" s="230" t="s">
        <v>83</v>
      </c>
      <c r="B2" s="230"/>
      <c r="C2" s="230"/>
      <c r="D2" s="230"/>
      <c r="E2" s="230"/>
      <c r="F2" s="230"/>
      <c r="G2" s="230"/>
      <c r="H2" s="230"/>
      <c r="I2" s="1"/>
      <c r="J2" s="1"/>
      <c r="K2" s="231" t="s">
        <v>19</v>
      </c>
      <c r="L2" s="231"/>
      <c r="M2" s="231"/>
      <c r="N2" s="231"/>
      <c r="O2" s="1"/>
      <c r="P2" s="247" t="s">
        <v>1</v>
      </c>
      <c r="Q2" s="247"/>
      <c r="R2" s="233">
        <v>44630</v>
      </c>
      <c r="S2" s="233"/>
    </row>
    <row r="3" spans="1:19">
      <c r="A3" s="242" t="s">
        <v>2</v>
      </c>
      <c r="B3" s="242"/>
      <c r="C3" s="2">
        <v>1</v>
      </c>
      <c r="D3" s="2">
        <v>2</v>
      </c>
      <c r="E3" s="2">
        <v>3</v>
      </c>
      <c r="F3" s="2">
        <v>4</v>
      </c>
      <c r="G3" s="2">
        <v>5</v>
      </c>
      <c r="H3" s="2">
        <v>6</v>
      </c>
      <c r="I3" s="2">
        <v>7</v>
      </c>
      <c r="J3" s="2">
        <v>8</v>
      </c>
      <c r="K3" s="2">
        <v>9</v>
      </c>
      <c r="L3" s="2">
        <v>10</v>
      </c>
      <c r="M3" s="2">
        <v>11</v>
      </c>
      <c r="N3" s="2">
        <v>12</v>
      </c>
      <c r="O3" s="2">
        <v>13</v>
      </c>
      <c r="P3" s="2">
        <v>14</v>
      </c>
      <c r="Q3" s="239" t="s">
        <v>3</v>
      </c>
      <c r="R3" s="239" t="s">
        <v>4</v>
      </c>
      <c r="S3" s="239" t="s">
        <v>5</v>
      </c>
    </row>
    <row r="4" spans="1:19">
      <c r="A4" s="242" t="s">
        <v>6</v>
      </c>
      <c r="B4" s="242"/>
      <c r="C4" s="2">
        <v>1</v>
      </c>
      <c r="D4" s="2">
        <v>2</v>
      </c>
      <c r="E4" s="2">
        <v>3</v>
      </c>
      <c r="F4" s="2">
        <v>4</v>
      </c>
      <c r="G4" s="2">
        <v>5</v>
      </c>
      <c r="H4" s="2">
        <v>6</v>
      </c>
      <c r="I4" s="2">
        <v>7</v>
      </c>
      <c r="J4" s="2">
        <v>8</v>
      </c>
      <c r="K4" s="2">
        <v>9</v>
      </c>
      <c r="L4" s="2">
        <v>10</v>
      </c>
      <c r="M4" s="2">
        <v>11</v>
      </c>
      <c r="N4" s="2">
        <v>12</v>
      </c>
      <c r="O4" s="2">
        <v>13</v>
      </c>
      <c r="P4" s="2">
        <v>14</v>
      </c>
      <c r="Q4" s="240"/>
      <c r="R4" s="240"/>
      <c r="S4" s="240"/>
    </row>
    <row r="5" spans="1:19" ht="31.5">
      <c r="A5" s="243" t="s">
        <v>18</v>
      </c>
      <c r="B5" s="244"/>
      <c r="C5" s="118" t="s">
        <v>201</v>
      </c>
      <c r="D5" s="118" t="s">
        <v>202</v>
      </c>
      <c r="E5" s="118" t="s">
        <v>203</v>
      </c>
      <c r="F5" s="118" t="s">
        <v>204</v>
      </c>
      <c r="G5" s="118" t="s">
        <v>205</v>
      </c>
      <c r="H5" s="118" t="s">
        <v>206</v>
      </c>
      <c r="I5" s="118" t="s">
        <v>207</v>
      </c>
      <c r="J5" s="118" t="s">
        <v>208</v>
      </c>
      <c r="K5" s="118" t="s">
        <v>209</v>
      </c>
      <c r="L5" s="118" t="s">
        <v>210</v>
      </c>
      <c r="M5" s="118" t="s">
        <v>211</v>
      </c>
      <c r="N5" s="118" t="s">
        <v>212</v>
      </c>
      <c r="O5" s="118" t="s">
        <v>213</v>
      </c>
      <c r="P5" s="118" t="s">
        <v>214</v>
      </c>
      <c r="Q5" s="240"/>
      <c r="R5" s="240"/>
      <c r="S5" s="240"/>
    </row>
    <row r="6" spans="1:19" ht="30.75" customHeight="1">
      <c r="A6" s="245" t="s">
        <v>20</v>
      </c>
      <c r="B6" s="246"/>
      <c r="C6" s="32">
        <v>748</v>
      </c>
      <c r="D6" s="32">
        <v>663</v>
      </c>
      <c r="E6" s="32">
        <v>724</v>
      </c>
      <c r="F6" s="32">
        <v>495</v>
      </c>
      <c r="G6" s="32">
        <v>497</v>
      </c>
      <c r="H6" s="32">
        <v>750</v>
      </c>
      <c r="I6" s="32">
        <v>610</v>
      </c>
      <c r="J6" s="32">
        <v>796</v>
      </c>
      <c r="K6" s="32">
        <v>573</v>
      </c>
      <c r="L6" s="32">
        <v>634</v>
      </c>
      <c r="M6" s="32">
        <v>564</v>
      </c>
      <c r="N6" s="32">
        <v>507</v>
      </c>
      <c r="O6" s="32">
        <v>425</v>
      </c>
      <c r="P6" s="32">
        <v>492</v>
      </c>
      <c r="Q6" s="240"/>
      <c r="R6" s="240"/>
      <c r="S6" s="240"/>
    </row>
    <row r="7" spans="1:19">
      <c r="A7" s="24" t="s">
        <v>7</v>
      </c>
      <c r="B7" s="18" t="s">
        <v>8</v>
      </c>
      <c r="C7" s="4" t="s">
        <v>9</v>
      </c>
      <c r="D7" s="4" t="s">
        <v>9</v>
      </c>
      <c r="E7" s="4" t="s">
        <v>9</v>
      </c>
      <c r="F7" s="4" t="s">
        <v>9</v>
      </c>
      <c r="G7" s="4" t="s">
        <v>9</v>
      </c>
      <c r="H7" s="4" t="s">
        <v>9</v>
      </c>
      <c r="I7" s="4" t="s">
        <v>9</v>
      </c>
      <c r="J7" s="4" t="s">
        <v>9</v>
      </c>
      <c r="K7" s="4" t="s">
        <v>9</v>
      </c>
      <c r="L7" s="4" t="s">
        <v>9</v>
      </c>
      <c r="M7" s="4" t="s">
        <v>9</v>
      </c>
      <c r="N7" s="4" t="s">
        <v>9</v>
      </c>
      <c r="O7" s="4" t="s">
        <v>9</v>
      </c>
      <c r="P7" s="4" t="s">
        <v>9</v>
      </c>
      <c r="Q7" s="241"/>
      <c r="R7" s="241"/>
      <c r="S7" s="241"/>
    </row>
    <row r="8" spans="1:19">
      <c r="A8" s="172">
        <v>1</v>
      </c>
      <c r="B8" s="173" t="s">
        <v>85</v>
      </c>
      <c r="C8" s="175">
        <v>258</v>
      </c>
      <c r="D8" s="175">
        <v>151</v>
      </c>
      <c r="E8" s="175">
        <v>45</v>
      </c>
      <c r="F8" s="175">
        <v>63</v>
      </c>
      <c r="G8" s="175">
        <v>67</v>
      </c>
      <c r="H8" s="175">
        <v>52</v>
      </c>
      <c r="I8" s="175">
        <v>28</v>
      </c>
      <c r="J8" s="175">
        <v>160</v>
      </c>
      <c r="K8" s="175">
        <v>161</v>
      </c>
      <c r="L8" s="175">
        <v>264</v>
      </c>
      <c r="M8" s="175">
        <v>200</v>
      </c>
      <c r="N8" s="175">
        <v>48</v>
      </c>
      <c r="O8" s="175">
        <v>213</v>
      </c>
      <c r="P8" s="175">
        <v>186</v>
      </c>
      <c r="Q8" s="176">
        <f>SUM(C8:P8)</f>
        <v>1896</v>
      </c>
      <c r="R8" s="176">
        <v>0</v>
      </c>
      <c r="S8" s="176">
        <f>Q8+R8</f>
        <v>1896</v>
      </c>
    </row>
    <row r="9" spans="1:19">
      <c r="A9" s="172">
        <v>2</v>
      </c>
      <c r="B9" s="173" t="s">
        <v>156</v>
      </c>
      <c r="C9" s="175">
        <v>438</v>
      </c>
      <c r="D9" s="175">
        <v>197</v>
      </c>
      <c r="E9" s="175">
        <v>527</v>
      </c>
      <c r="F9" s="175">
        <v>339</v>
      </c>
      <c r="G9" s="175">
        <v>305</v>
      </c>
      <c r="H9" s="175">
        <v>666</v>
      </c>
      <c r="I9" s="175">
        <v>557</v>
      </c>
      <c r="J9" s="175">
        <v>613</v>
      </c>
      <c r="K9" s="175">
        <v>322</v>
      </c>
      <c r="L9" s="175">
        <v>321</v>
      </c>
      <c r="M9" s="175">
        <v>344</v>
      </c>
      <c r="N9" s="175">
        <v>319</v>
      </c>
      <c r="O9" s="175">
        <v>190</v>
      </c>
      <c r="P9" s="175">
        <v>138</v>
      </c>
      <c r="Q9" s="176">
        <f t="shared" ref="Q9:Q17" si="0">SUM(C9:P9)</f>
        <v>5276</v>
      </c>
      <c r="R9" s="176">
        <v>0</v>
      </c>
      <c r="S9" s="176">
        <f t="shared" ref="S9:S17" si="1">Q9+R9</f>
        <v>5276</v>
      </c>
    </row>
    <row r="10" spans="1:19">
      <c r="A10" s="172">
        <v>3</v>
      </c>
      <c r="B10" s="173" t="s">
        <v>157</v>
      </c>
      <c r="C10" s="175">
        <v>8</v>
      </c>
      <c r="D10" s="175">
        <v>10</v>
      </c>
      <c r="E10" s="175">
        <v>16</v>
      </c>
      <c r="F10" s="175">
        <v>18</v>
      </c>
      <c r="G10" s="175">
        <v>28</v>
      </c>
      <c r="H10" s="175">
        <v>9</v>
      </c>
      <c r="I10" s="175">
        <v>10</v>
      </c>
      <c r="J10" s="175">
        <v>13</v>
      </c>
      <c r="K10" s="175">
        <v>1</v>
      </c>
      <c r="L10" s="175">
        <v>2</v>
      </c>
      <c r="M10" s="175">
        <v>13</v>
      </c>
      <c r="N10" s="175">
        <v>8</v>
      </c>
      <c r="O10" s="175">
        <v>1</v>
      </c>
      <c r="P10" s="175">
        <v>3</v>
      </c>
      <c r="Q10" s="176">
        <f t="shared" si="0"/>
        <v>140</v>
      </c>
      <c r="R10" s="176">
        <v>0</v>
      </c>
      <c r="S10" s="176">
        <f t="shared" si="1"/>
        <v>140</v>
      </c>
    </row>
    <row r="11" spans="1:19">
      <c r="A11" s="172">
        <v>4</v>
      </c>
      <c r="B11" s="173" t="s">
        <v>158</v>
      </c>
      <c r="C11" s="175">
        <v>35</v>
      </c>
      <c r="D11" s="175">
        <v>293</v>
      </c>
      <c r="E11" s="175">
        <v>95</v>
      </c>
      <c r="F11" s="175">
        <v>64</v>
      </c>
      <c r="G11" s="175">
        <v>75</v>
      </c>
      <c r="H11" s="175">
        <v>1</v>
      </c>
      <c r="I11" s="175">
        <v>7</v>
      </c>
      <c r="J11" s="175">
        <v>3</v>
      </c>
      <c r="K11" s="175">
        <v>78</v>
      </c>
      <c r="L11" s="175">
        <v>42</v>
      </c>
      <c r="M11" s="175">
        <v>4</v>
      </c>
      <c r="N11" s="175">
        <v>118</v>
      </c>
      <c r="O11" s="175">
        <v>12</v>
      </c>
      <c r="P11" s="175">
        <v>159</v>
      </c>
      <c r="Q11" s="176">
        <f t="shared" si="0"/>
        <v>986</v>
      </c>
      <c r="R11" s="176">
        <v>0</v>
      </c>
      <c r="S11" s="176">
        <f t="shared" si="1"/>
        <v>986</v>
      </c>
    </row>
    <row r="12" spans="1:19">
      <c r="A12" s="172">
        <v>5</v>
      </c>
      <c r="B12" s="173" t="s">
        <v>159</v>
      </c>
      <c r="C12" s="175">
        <v>1</v>
      </c>
      <c r="D12" s="175">
        <v>2</v>
      </c>
      <c r="E12" s="175">
        <v>5</v>
      </c>
      <c r="F12" s="175">
        <v>2</v>
      </c>
      <c r="G12" s="175">
        <v>0</v>
      </c>
      <c r="H12" s="175">
        <v>1</v>
      </c>
      <c r="I12" s="175">
        <v>1</v>
      </c>
      <c r="J12" s="175">
        <v>1</v>
      </c>
      <c r="K12" s="175">
        <v>2</v>
      </c>
      <c r="L12" s="175">
        <v>0</v>
      </c>
      <c r="M12" s="175">
        <v>1</v>
      </c>
      <c r="N12" s="175">
        <v>3</v>
      </c>
      <c r="O12" s="175">
        <v>0</v>
      </c>
      <c r="P12" s="175">
        <v>0</v>
      </c>
      <c r="Q12" s="176">
        <f t="shared" si="0"/>
        <v>19</v>
      </c>
      <c r="R12" s="176">
        <v>0</v>
      </c>
      <c r="S12" s="176">
        <f t="shared" si="1"/>
        <v>19</v>
      </c>
    </row>
    <row r="13" spans="1:19">
      <c r="A13" s="172">
        <v>6</v>
      </c>
      <c r="B13" s="173" t="s">
        <v>160</v>
      </c>
      <c r="C13" s="175">
        <v>2</v>
      </c>
      <c r="D13" s="175">
        <v>3</v>
      </c>
      <c r="E13" s="175">
        <v>6</v>
      </c>
      <c r="F13" s="175">
        <v>1</v>
      </c>
      <c r="G13" s="175">
        <v>2</v>
      </c>
      <c r="H13" s="175">
        <v>0</v>
      </c>
      <c r="I13" s="175">
        <v>2</v>
      </c>
      <c r="J13" s="175">
        <v>2</v>
      </c>
      <c r="K13" s="175">
        <v>2</v>
      </c>
      <c r="L13" s="175">
        <v>3</v>
      </c>
      <c r="M13" s="175">
        <v>1</v>
      </c>
      <c r="N13" s="175">
        <v>6</v>
      </c>
      <c r="O13" s="175">
        <v>0</v>
      </c>
      <c r="P13" s="175">
        <v>1</v>
      </c>
      <c r="Q13" s="176">
        <f t="shared" si="0"/>
        <v>31</v>
      </c>
      <c r="R13" s="176">
        <v>0</v>
      </c>
      <c r="S13" s="176">
        <f t="shared" si="1"/>
        <v>31</v>
      </c>
    </row>
    <row r="14" spans="1:19">
      <c r="A14" s="172">
        <v>7</v>
      </c>
      <c r="B14" s="173" t="s">
        <v>86</v>
      </c>
      <c r="C14" s="175">
        <v>2</v>
      </c>
      <c r="D14" s="175">
        <v>6</v>
      </c>
      <c r="E14" s="175">
        <v>12</v>
      </c>
      <c r="F14" s="175">
        <v>0</v>
      </c>
      <c r="G14" s="175">
        <v>5</v>
      </c>
      <c r="H14" s="175">
        <v>4</v>
      </c>
      <c r="I14" s="175">
        <v>1</v>
      </c>
      <c r="J14" s="175">
        <v>1</v>
      </c>
      <c r="K14" s="175">
        <v>1</v>
      </c>
      <c r="L14" s="175">
        <v>0</v>
      </c>
      <c r="M14" s="175">
        <v>0</v>
      </c>
      <c r="N14" s="175">
        <v>5</v>
      </c>
      <c r="O14" s="175">
        <v>2</v>
      </c>
      <c r="P14" s="175">
        <v>2</v>
      </c>
      <c r="Q14" s="176">
        <f t="shared" si="0"/>
        <v>41</v>
      </c>
      <c r="R14" s="176">
        <v>0</v>
      </c>
      <c r="S14" s="176">
        <f t="shared" si="1"/>
        <v>41</v>
      </c>
    </row>
    <row r="15" spans="1:19">
      <c r="A15" s="172">
        <v>8</v>
      </c>
      <c r="B15" s="173" t="s">
        <v>161</v>
      </c>
      <c r="C15" s="175">
        <v>2</v>
      </c>
      <c r="D15" s="175">
        <v>0</v>
      </c>
      <c r="E15" s="175">
        <v>11</v>
      </c>
      <c r="F15" s="175">
        <v>6</v>
      </c>
      <c r="G15" s="175">
        <v>9</v>
      </c>
      <c r="H15" s="175">
        <v>7</v>
      </c>
      <c r="I15" s="175">
        <v>2</v>
      </c>
      <c r="J15" s="175">
        <v>2</v>
      </c>
      <c r="K15" s="175">
        <v>4</v>
      </c>
      <c r="L15" s="175">
        <v>0</v>
      </c>
      <c r="M15" s="175">
        <v>0</v>
      </c>
      <c r="N15" s="175">
        <v>0</v>
      </c>
      <c r="O15" s="175">
        <v>1</v>
      </c>
      <c r="P15" s="175">
        <v>2</v>
      </c>
      <c r="Q15" s="176">
        <f t="shared" si="0"/>
        <v>46</v>
      </c>
      <c r="R15" s="176">
        <v>0</v>
      </c>
      <c r="S15" s="176">
        <f t="shared" si="1"/>
        <v>46</v>
      </c>
    </row>
    <row r="16" spans="1:19">
      <c r="A16" s="172">
        <v>9</v>
      </c>
      <c r="B16" s="174" t="s">
        <v>10</v>
      </c>
      <c r="C16" s="175">
        <v>2</v>
      </c>
      <c r="D16" s="175">
        <v>1</v>
      </c>
      <c r="E16" s="175">
        <v>7</v>
      </c>
      <c r="F16" s="175">
        <v>2</v>
      </c>
      <c r="G16" s="175">
        <v>6</v>
      </c>
      <c r="H16" s="175">
        <v>10</v>
      </c>
      <c r="I16" s="175">
        <v>2</v>
      </c>
      <c r="J16" s="175">
        <v>1</v>
      </c>
      <c r="K16" s="175">
        <v>2</v>
      </c>
      <c r="L16" s="175">
        <v>2</v>
      </c>
      <c r="M16" s="175">
        <v>1</v>
      </c>
      <c r="N16" s="175">
        <v>0</v>
      </c>
      <c r="O16" s="175">
        <v>6</v>
      </c>
      <c r="P16" s="175">
        <v>1</v>
      </c>
      <c r="Q16" s="176">
        <f t="shared" si="0"/>
        <v>43</v>
      </c>
      <c r="R16" s="176">
        <v>0</v>
      </c>
      <c r="S16" s="176">
        <f t="shared" si="1"/>
        <v>43</v>
      </c>
    </row>
    <row r="17" spans="1:19">
      <c r="A17" s="248" t="s">
        <v>11</v>
      </c>
      <c r="B17" s="249"/>
      <c r="C17" s="177">
        <v>0</v>
      </c>
      <c r="D17" s="177">
        <v>0</v>
      </c>
      <c r="E17" s="177">
        <v>0</v>
      </c>
      <c r="F17" s="177">
        <v>0</v>
      </c>
      <c r="G17" s="177">
        <v>0</v>
      </c>
      <c r="H17" s="177">
        <v>0</v>
      </c>
      <c r="I17" s="177">
        <v>0</v>
      </c>
      <c r="J17" s="177">
        <v>0</v>
      </c>
      <c r="K17" s="177">
        <v>0</v>
      </c>
      <c r="L17" s="177">
        <v>0</v>
      </c>
      <c r="M17" s="177">
        <v>0</v>
      </c>
      <c r="N17" s="177">
        <v>0</v>
      </c>
      <c r="O17" s="177">
        <v>0</v>
      </c>
      <c r="P17" s="177">
        <v>0</v>
      </c>
      <c r="Q17" s="176">
        <f t="shared" si="0"/>
        <v>0</v>
      </c>
      <c r="R17" s="176">
        <v>0</v>
      </c>
      <c r="S17" s="176">
        <f t="shared" si="1"/>
        <v>0</v>
      </c>
    </row>
    <row r="18" spans="1:19">
      <c r="A18" s="250" t="s">
        <v>12</v>
      </c>
      <c r="B18" s="250"/>
      <c r="C18" s="176">
        <f t="shared" ref="C18:S18" si="2">SUM(C8:C16)</f>
        <v>748</v>
      </c>
      <c r="D18" s="176">
        <f t="shared" si="2"/>
        <v>663</v>
      </c>
      <c r="E18" s="176">
        <f t="shared" si="2"/>
        <v>724</v>
      </c>
      <c r="F18" s="176">
        <f t="shared" si="2"/>
        <v>495</v>
      </c>
      <c r="G18" s="176">
        <f t="shared" si="2"/>
        <v>497</v>
      </c>
      <c r="H18" s="176">
        <f t="shared" si="2"/>
        <v>750</v>
      </c>
      <c r="I18" s="176">
        <f t="shared" si="2"/>
        <v>610</v>
      </c>
      <c r="J18" s="176">
        <f t="shared" si="2"/>
        <v>796</v>
      </c>
      <c r="K18" s="176">
        <f t="shared" si="2"/>
        <v>573</v>
      </c>
      <c r="L18" s="176">
        <f t="shared" si="2"/>
        <v>634</v>
      </c>
      <c r="M18" s="176">
        <f t="shared" si="2"/>
        <v>564</v>
      </c>
      <c r="N18" s="176">
        <f t="shared" si="2"/>
        <v>507</v>
      </c>
      <c r="O18" s="176">
        <f t="shared" si="2"/>
        <v>425</v>
      </c>
      <c r="P18" s="176">
        <f t="shared" si="2"/>
        <v>492</v>
      </c>
      <c r="Q18" s="176">
        <f t="shared" si="2"/>
        <v>8478</v>
      </c>
      <c r="R18" s="176">
        <f t="shared" si="2"/>
        <v>0</v>
      </c>
      <c r="S18" s="176">
        <f t="shared" si="2"/>
        <v>8478</v>
      </c>
    </row>
    <row r="19" spans="1:19" ht="18">
      <c r="A19" s="5"/>
      <c r="B19" s="5"/>
      <c r="C19" s="6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8"/>
      <c r="R19" s="7"/>
      <c r="S19" s="7"/>
    </row>
    <row r="20" spans="1:19" ht="22.5">
      <c r="A20" s="9"/>
      <c r="B20" s="9"/>
      <c r="C20" s="10" t="s">
        <v>13</v>
      </c>
      <c r="D20" s="10" t="s">
        <v>13</v>
      </c>
      <c r="E20" s="10" t="s">
        <v>13</v>
      </c>
      <c r="F20" s="10" t="s">
        <v>13</v>
      </c>
      <c r="G20" s="10" t="s">
        <v>13</v>
      </c>
      <c r="H20" s="10" t="s">
        <v>13</v>
      </c>
      <c r="I20" s="10" t="s">
        <v>13</v>
      </c>
      <c r="J20" s="10" t="s">
        <v>13</v>
      </c>
      <c r="K20" s="10" t="s">
        <v>13</v>
      </c>
      <c r="L20" s="10" t="s">
        <v>13</v>
      </c>
      <c r="M20" s="10" t="s">
        <v>13</v>
      </c>
      <c r="N20" s="10" t="s">
        <v>13</v>
      </c>
      <c r="O20" s="10" t="s">
        <v>13</v>
      </c>
      <c r="P20" s="10" t="s">
        <v>13</v>
      </c>
      <c r="Q20" s="10" t="s">
        <v>13</v>
      </c>
      <c r="R20" s="10" t="s">
        <v>13</v>
      </c>
      <c r="S20" s="10" t="s">
        <v>13</v>
      </c>
    </row>
    <row r="21" spans="1:19" ht="17.25" customHeight="1">
      <c r="A21" s="9"/>
      <c r="B21" s="9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</row>
    <row r="22" spans="1:19" ht="22.5">
      <c r="A22" s="9"/>
      <c r="B22" s="9"/>
      <c r="C22" s="10" t="s">
        <v>14</v>
      </c>
      <c r="D22" s="10" t="s">
        <v>14</v>
      </c>
      <c r="E22" s="10" t="s">
        <v>14</v>
      </c>
      <c r="F22" s="10" t="s">
        <v>14</v>
      </c>
      <c r="G22" s="10" t="s">
        <v>14</v>
      </c>
      <c r="H22" s="10" t="s">
        <v>14</v>
      </c>
      <c r="I22" s="10" t="s">
        <v>14</v>
      </c>
      <c r="J22" s="10" t="s">
        <v>14</v>
      </c>
      <c r="K22" s="10" t="s">
        <v>14</v>
      </c>
      <c r="L22" s="10" t="s">
        <v>14</v>
      </c>
      <c r="M22" s="10" t="s">
        <v>14</v>
      </c>
      <c r="N22" s="10" t="s">
        <v>14</v>
      </c>
      <c r="O22" s="10" t="s">
        <v>14</v>
      </c>
      <c r="P22" s="10" t="s">
        <v>14</v>
      </c>
      <c r="Q22" s="10" t="s">
        <v>14</v>
      </c>
      <c r="R22" s="10" t="s">
        <v>14</v>
      </c>
      <c r="S22" s="10" t="s">
        <v>14</v>
      </c>
    </row>
    <row r="23" spans="1:19" ht="8.2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19">
      <c r="A24" s="237" t="s">
        <v>15</v>
      </c>
      <c r="B24" s="237"/>
      <c r="C24" s="228" t="s">
        <v>16</v>
      </c>
      <c r="D24" s="228"/>
      <c r="E24" s="228"/>
      <c r="F24" s="228"/>
      <c r="G24" s="228"/>
      <c r="H24" s="228"/>
      <c r="I24" s="228"/>
      <c r="J24" s="228"/>
      <c r="K24" s="228"/>
      <c r="L24" s="228"/>
      <c r="M24" s="228"/>
      <c r="N24" s="228"/>
      <c r="O24" s="228"/>
      <c r="P24" s="228"/>
      <c r="Q24" s="228"/>
      <c r="R24" s="9"/>
      <c r="S24" s="9"/>
    </row>
    <row r="25" spans="1:19">
      <c r="A25" s="9"/>
      <c r="B25" s="9"/>
      <c r="C25" s="228" t="s">
        <v>17</v>
      </c>
      <c r="D25" s="228"/>
      <c r="E25" s="228"/>
      <c r="F25" s="228"/>
      <c r="G25" s="228"/>
      <c r="H25" s="228"/>
      <c r="I25" s="228"/>
      <c r="J25" s="228"/>
      <c r="K25" s="228"/>
      <c r="L25" s="228"/>
      <c r="M25" s="228"/>
      <c r="N25" s="228"/>
      <c r="O25" s="228"/>
      <c r="P25" s="228"/>
      <c r="Q25" s="228"/>
      <c r="R25" s="9"/>
      <c r="S25" s="9"/>
    </row>
    <row r="26" spans="1:19">
      <c r="A26" s="23"/>
      <c r="B26" s="23"/>
      <c r="C26" s="228" t="s">
        <v>45</v>
      </c>
      <c r="D26" s="228"/>
      <c r="E26" s="228"/>
      <c r="F26" s="228"/>
      <c r="G26" s="228"/>
      <c r="H26" s="228"/>
      <c r="I26" s="228"/>
      <c r="J26" s="228"/>
      <c r="K26" s="228"/>
      <c r="L26" s="228"/>
      <c r="M26" s="228"/>
      <c r="N26" s="228"/>
      <c r="O26" s="228"/>
      <c r="P26" s="228"/>
      <c r="Q26" s="228"/>
      <c r="R26" s="23"/>
      <c r="S26" s="23"/>
    </row>
    <row r="27" spans="1:19">
      <c r="A27" s="9"/>
      <c r="B27" s="9"/>
      <c r="C27" s="228" t="s">
        <v>46</v>
      </c>
      <c r="D27" s="228"/>
      <c r="E27" s="228"/>
      <c r="F27" s="228"/>
      <c r="G27" s="228"/>
      <c r="H27" s="228"/>
      <c r="I27" s="228"/>
      <c r="J27" s="228"/>
      <c r="K27" s="228"/>
      <c r="L27" s="228"/>
      <c r="M27" s="228"/>
      <c r="N27" s="228"/>
      <c r="O27" s="228"/>
      <c r="P27" s="228"/>
      <c r="Q27" s="228"/>
      <c r="R27" s="9"/>
      <c r="S27" s="9"/>
    </row>
    <row r="28" spans="1:19">
      <c r="A28" s="17"/>
      <c r="B28" s="61" t="s">
        <v>139</v>
      </c>
      <c r="C28" s="227" t="s">
        <v>138</v>
      </c>
      <c r="D28" s="227"/>
      <c r="E28" s="227"/>
      <c r="F28" s="227"/>
      <c r="G28" s="227"/>
      <c r="H28" s="227"/>
      <c r="I28" s="227"/>
      <c r="J28" s="227"/>
      <c r="K28" s="227"/>
      <c r="L28" s="227"/>
      <c r="M28" s="227"/>
      <c r="N28" s="227"/>
      <c r="O28" s="227"/>
      <c r="P28" s="227"/>
      <c r="Q28" s="227"/>
      <c r="R28" s="17"/>
      <c r="S28" s="17"/>
    </row>
    <row r="29" spans="1:19">
      <c r="A29" s="17"/>
      <c r="B29" s="17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17"/>
      <c r="S29" s="17"/>
    </row>
    <row r="30" spans="1:19" ht="26.25">
      <c r="A30" s="229" t="s">
        <v>0</v>
      </c>
      <c r="B30" s="229"/>
      <c r="C30" s="229"/>
      <c r="D30" s="229"/>
      <c r="E30" s="229"/>
      <c r="F30" s="229"/>
      <c r="G30" s="229"/>
      <c r="H30" s="229"/>
      <c r="I30" s="229"/>
      <c r="J30" s="229"/>
      <c r="K30" s="229"/>
      <c r="L30" s="229"/>
      <c r="M30" s="229"/>
      <c r="N30" s="229"/>
      <c r="O30" s="229"/>
      <c r="P30" s="229"/>
      <c r="Q30" s="229"/>
      <c r="R30" s="229"/>
      <c r="S30" s="229"/>
    </row>
    <row r="31" spans="1:19" ht="19.5" customHeight="1">
      <c r="A31" s="230" t="s">
        <v>83</v>
      </c>
      <c r="B31" s="230"/>
      <c r="C31" s="230"/>
      <c r="D31" s="230"/>
      <c r="E31" s="230"/>
      <c r="F31" s="230"/>
      <c r="G31" s="230"/>
      <c r="H31" s="230"/>
      <c r="I31" s="1"/>
      <c r="J31" s="1"/>
      <c r="K31" s="231" t="s">
        <v>21</v>
      </c>
      <c r="L31" s="231"/>
      <c r="M31" s="231"/>
      <c r="N31" s="231"/>
      <c r="O31" s="1"/>
      <c r="P31" s="232" t="s">
        <v>1</v>
      </c>
      <c r="Q31" s="232"/>
      <c r="R31" s="233">
        <v>44630</v>
      </c>
      <c r="S31" s="233"/>
    </row>
    <row r="32" spans="1:19">
      <c r="A32" s="242" t="s">
        <v>2</v>
      </c>
      <c r="B32" s="242"/>
      <c r="C32" s="2">
        <v>1</v>
      </c>
      <c r="D32" s="2">
        <v>2</v>
      </c>
      <c r="E32" s="2">
        <v>3</v>
      </c>
      <c r="F32" s="2">
        <v>4</v>
      </c>
      <c r="G32" s="2">
        <v>5</v>
      </c>
      <c r="H32" s="2">
        <v>6</v>
      </c>
      <c r="I32" s="2">
        <v>7</v>
      </c>
      <c r="J32" s="2">
        <v>8</v>
      </c>
      <c r="K32" s="2">
        <v>9</v>
      </c>
      <c r="L32" s="2">
        <v>10</v>
      </c>
      <c r="M32" s="2">
        <v>11</v>
      </c>
      <c r="N32" s="2">
        <v>12</v>
      </c>
      <c r="O32" s="2">
        <v>13</v>
      </c>
      <c r="P32" s="2">
        <v>14</v>
      </c>
      <c r="Q32" s="239" t="s">
        <v>3</v>
      </c>
      <c r="R32" s="239" t="s">
        <v>4</v>
      </c>
      <c r="S32" s="239" t="s">
        <v>5</v>
      </c>
    </row>
    <row r="33" spans="1:19">
      <c r="A33" s="242" t="s">
        <v>6</v>
      </c>
      <c r="B33" s="242"/>
      <c r="C33" s="2">
        <v>15</v>
      </c>
      <c r="D33" s="2">
        <v>16</v>
      </c>
      <c r="E33" s="2">
        <v>17</v>
      </c>
      <c r="F33" s="2">
        <v>18</v>
      </c>
      <c r="G33" s="2">
        <v>19</v>
      </c>
      <c r="H33" s="2">
        <v>20</v>
      </c>
      <c r="I33" s="2">
        <v>21</v>
      </c>
      <c r="J33" s="2">
        <v>22</v>
      </c>
      <c r="K33" s="2">
        <v>23</v>
      </c>
      <c r="L33" s="2">
        <v>24</v>
      </c>
      <c r="M33" s="2">
        <v>25</v>
      </c>
      <c r="N33" s="2">
        <v>26</v>
      </c>
      <c r="O33" s="2">
        <v>27</v>
      </c>
      <c r="P33" s="2">
        <v>28</v>
      </c>
      <c r="Q33" s="240"/>
      <c r="R33" s="240"/>
      <c r="S33" s="240"/>
    </row>
    <row r="34" spans="1:19" ht="31.5">
      <c r="A34" s="243" t="s">
        <v>18</v>
      </c>
      <c r="B34" s="244"/>
      <c r="C34" s="118" t="s">
        <v>215</v>
      </c>
      <c r="D34" s="118" t="s">
        <v>216</v>
      </c>
      <c r="E34" s="118" t="s">
        <v>217</v>
      </c>
      <c r="F34" s="118" t="s">
        <v>218</v>
      </c>
      <c r="G34" s="118" t="s">
        <v>219</v>
      </c>
      <c r="H34" s="118" t="s">
        <v>220</v>
      </c>
      <c r="I34" s="118" t="s">
        <v>221</v>
      </c>
      <c r="J34" s="118" t="s">
        <v>222</v>
      </c>
      <c r="K34" s="118" t="s">
        <v>223</v>
      </c>
      <c r="L34" s="118" t="s">
        <v>224</v>
      </c>
      <c r="M34" s="118" t="s">
        <v>225</v>
      </c>
      <c r="N34" s="118" t="s">
        <v>226</v>
      </c>
      <c r="O34" s="118" t="s">
        <v>227</v>
      </c>
      <c r="P34" s="118" t="s">
        <v>228</v>
      </c>
      <c r="Q34" s="240"/>
      <c r="R34" s="240"/>
      <c r="S34" s="240"/>
    </row>
    <row r="35" spans="1:19" ht="24.75" customHeight="1">
      <c r="A35" s="245" t="s">
        <v>20</v>
      </c>
      <c r="B35" s="246"/>
      <c r="C35" s="35">
        <v>633</v>
      </c>
      <c r="D35" s="35">
        <v>739</v>
      </c>
      <c r="E35" s="35">
        <v>391</v>
      </c>
      <c r="F35" s="35">
        <v>324</v>
      </c>
      <c r="G35" s="35">
        <v>617</v>
      </c>
      <c r="H35" s="35">
        <v>574</v>
      </c>
      <c r="I35" s="35">
        <v>527</v>
      </c>
      <c r="J35" s="35">
        <v>620</v>
      </c>
      <c r="K35" s="35">
        <v>519</v>
      </c>
      <c r="L35" s="35">
        <v>455</v>
      </c>
      <c r="M35" s="35">
        <v>650</v>
      </c>
      <c r="N35" s="35">
        <v>696</v>
      </c>
      <c r="O35" s="35">
        <v>581</v>
      </c>
      <c r="P35" s="35">
        <v>683</v>
      </c>
      <c r="Q35" s="240"/>
      <c r="R35" s="240"/>
      <c r="S35" s="240"/>
    </row>
    <row r="36" spans="1:19">
      <c r="A36" s="3" t="s">
        <v>7</v>
      </c>
      <c r="B36" s="2" t="s">
        <v>8</v>
      </c>
      <c r="C36" s="4" t="s">
        <v>9</v>
      </c>
      <c r="D36" s="4" t="s">
        <v>9</v>
      </c>
      <c r="E36" s="4" t="s">
        <v>9</v>
      </c>
      <c r="F36" s="4" t="s">
        <v>9</v>
      </c>
      <c r="G36" s="4" t="s">
        <v>9</v>
      </c>
      <c r="H36" s="4" t="s">
        <v>9</v>
      </c>
      <c r="I36" s="4" t="s">
        <v>9</v>
      </c>
      <c r="J36" s="4" t="s">
        <v>9</v>
      </c>
      <c r="K36" s="4" t="s">
        <v>9</v>
      </c>
      <c r="L36" s="4" t="s">
        <v>9</v>
      </c>
      <c r="M36" s="4" t="s">
        <v>9</v>
      </c>
      <c r="N36" s="4" t="s">
        <v>9</v>
      </c>
      <c r="O36" s="4" t="s">
        <v>9</v>
      </c>
      <c r="P36" s="4" t="s">
        <v>9</v>
      </c>
      <c r="Q36" s="241"/>
      <c r="R36" s="241"/>
      <c r="S36" s="241"/>
    </row>
    <row r="37" spans="1:19">
      <c r="A37" s="172">
        <v>1</v>
      </c>
      <c r="B37" s="173" t="s">
        <v>85</v>
      </c>
      <c r="C37" s="178">
        <v>170</v>
      </c>
      <c r="D37" s="178">
        <v>44</v>
      </c>
      <c r="E37" s="178">
        <v>179</v>
      </c>
      <c r="F37" s="178">
        <v>133</v>
      </c>
      <c r="G37" s="178">
        <v>234</v>
      </c>
      <c r="H37" s="178">
        <v>113</v>
      </c>
      <c r="I37" s="178">
        <v>126</v>
      </c>
      <c r="J37" s="178">
        <v>63</v>
      </c>
      <c r="K37" s="178">
        <v>23</v>
      </c>
      <c r="L37" s="178">
        <v>26</v>
      </c>
      <c r="M37" s="178">
        <v>195</v>
      </c>
      <c r="N37" s="178">
        <v>313</v>
      </c>
      <c r="O37" s="178">
        <v>157</v>
      </c>
      <c r="P37" s="178">
        <v>78</v>
      </c>
      <c r="Q37" s="176">
        <f>SUM(C37:P37)</f>
        <v>1854</v>
      </c>
      <c r="R37" s="176">
        <f t="shared" ref="R37:R44" si="3">S8</f>
        <v>1896</v>
      </c>
      <c r="S37" s="176">
        <f>Q37+R37</f>
        <v>3750</v>
      </c>
    </row>
    <row r="38" spans="1:19">
      <c r="A38" s="172">
        <v>2</v>
      </c>
      <c r="B38" s="173" t="s">
        <v>156</v>
      </c>
      <c r="C38" s="178">
        <v>379</v>
      </c>
      <c r="D38" s="178">
        <v>601</v>
      </c>
      <c r="E38" s="178">
        <v>199</v>
      </c>
      <c r="F38" s="178">
        <v>157</v>
      </c>
      <c r="G38" s="178">
        <v>196</v>
      </c>
      <c r="H38" s="178">
        <v>167</v>
      </c>
      <c r="I38" s="178">
        <v>188</v>
      </c>
      <c r="J38" s="178">
        <v>321</v>
      </c>
      <c r="K38" s="178">
        <v>392</v>
      </c>
      <c r="L38" s="178">
        <v>398</v>
      </c>
      <c r="M38" s="178">
        <v>443</v>
      </c>
      <c r="N38" s="178">
        <v>367</v>
      </c>
      <c r="O38" s="178">
        <v>379</v>
      </c>
      <c r="P38" s="178">
        <v>199</v>
      </c>
      <c r="Q38" s="176">
        <f t="shared" ref="Q38:Q46" si="4">SUM(C38:P38)</f>
        <v>4386</v>
      </c>
      <c r="R38" s="176">
        <f t="shared" si="3"/>
        <v>5276</v>
      </c>
      <c r="S38" s="176">
        <f t="shared" ref="S38:S46" si="5">Q38+R38</f>
        <v>9662</v>
      </c>
    </row>
    <row r="39" spans="1:19">
      <c r="A39" s="172">
        <v>3</v>
      </c>
      <c r="B39" s="173" t="s">
        <v>157</v>
      </c>
      <c r="C39" s="178">
        <v>10</v>
      </c>
      <c r="D39" s="178">
        <v>7</v>
      </c>
      <c r="E39" s="178">
        <v>4</v>
      </c>
      <c r="F39" s="178">
        <v>2</v>
      </c>
      <c r="G39" s="178">
        <v>2</v>
      </c>
      <c r="H39" s="178">
        <v>0</v>
      </c>
      <c r="I39" s="178">
        <v>3</v>
      </c>
      <c r="J39" s="178">
        <v>6</v>
      </c>
      <c r="K39" s="178">
        <v>6</v>
      </c>
      <c r="L39" s="178">
        <v>6</v>
      </c>
      <c r="M39" s="178">
        <v>4</v>
      </c>
      <c r="N39" s="178">
        <v>1</v>
      </c>
      <c r="O39" s="178">
        <v>14</v>
      </c>
      <c r="P39" s="178">
        <v>7</v>
      </c>
      <c r="Q39" s="176">
        <f t="shared" si="4"/>
        <v>72</v>
      </c>
      <c r="R39" s="176">
        <f t="shared" si="3"/>
        <v>140</v>
      </c>
      <c r="S39" s="176">
        <f t="shared" si="5"/>
        <v>212</v>
      </c>
    </row>
    <row r="40" spans="1:19">
      <c r="A40" s="172">
        <v>4</v>
      </c>
      <c r="B40" s="173" t="s">
        <v>158</v>
      </c>
      <c r="C40" s="178">
        <v>59</v>
      </c>
      <c r="D40" s="178">
        <v>63</v>
      </c>
      <c r="E40" s="178">
        <v>2</v>
      </c>
      <c r="F40" s="178">
        <v>30</v>
      </c>
      <c r="G40" s="178">
        <v>174</v>
      </c>
      <c r="H40" s="178">
        <v>281</v>
      </c>
      <c r="I40" s="178">
        <v>206</v>
      </c>
      <c r="J40" s="178">
        <v>215</v>
      </c>
      <c r="K40" s="178">
        <v>92</v>
      </c>
      <c r="L40" s="178">
        <v>9</v>
      </c>
      <c r="M40" s="178">
        <v>4</v>
      </c>
      <c r="N40" s="178">
        <v>7</v>
      </c>
      <c r="O40" s="178">
        <v>14</v>
      </c>
      <c r="P40" s="178">
        <v>371</v>
      </c>
      <c r="Q40" s="176">
        <f t="shared" si="4"/>
        <v>1527</v>
      </c>
      <c r="R40" s="176">
        <f t="shared" si="3"/>
        <v>986</v>
      </c>
      <c r="S40" s="176">
        <f t="shared" si="5"/>
        <v>2513</v>
      </c>
    </row>
    <row r="41" spans="1:19">
      <c r="A41" s="172">
        <v>5</v>
      </c>
      <c r="B41" s="173" t="s">
        <v>159</v>
      </c>
      <c r="C41" s="178">
        <v>2</v>
      </c>
      <c r="D41" s="178">
        <v>10</v>
      </c>
      <c r="E41" s="178">
        <v>0</v>
      </c>
      <c r="F41" s="178">
        <v>0</v>
      </c>
      <c r="G41" s="178">
        <v>0</v>
      </c>
      <c r="H41" s="178">
        <v>3</v>
      </c>
      <c r="I41" s="178">
        <v>1</v>
      </c>
      <c r="J41" s="178">
        <v>2</v>
      </c>
      <c r="K41" s="178">
        <v>0</v>
      </c>
      <c r="L41" s="178">
        <v>2</v>
      </c>
      <c r="M41" s="178">
        <v>0</v>
      </c>
      <c r="N41" s="178">
        <v>1</v>
      </c>
      <c r="O41" s="178">
        <v>6</v>
      </c>
      <c r="P41" s="178">
        <v>10</v>
      </c>
      <c r="Q41" s="176">
        <f t="shared" si="4"/>
        <v>37</v>
      </c>
      <c r="R41" s="176">
        <f t="shared" si="3"/>
        <v>19</v>
      </c>
      <c r="S41" s="176">
        <f t="shared" si="5"/>
        <v>56</v>
      </c>
    </row>
    <row r="42" spans="1:19">
      <c r="A42" s="172">
        <v>6</v>
      </c>
      <c r="B42" s="173" t="s">
        <v>160</v>
      </c>
      <c r="C42" s="178">
        <v>3</v>
      </c>
      <c r="D42" s="178">
        <v>1</v>
      </c>
      <c r="E42" s="178">
        <v>5</v>
      </c>
      <c r="F42" s="178">
        <v>0</v>
      </c>
      <c r="G42" s="178">
        <v>5</v>
      </c>
      <c r="H42" s="178">
        <v>5</v>
      </c>
      <c r="I42" s="178">
        <v>0</v>
      </c>
      <c r="J42" s="178">
        <v>5</v>
      </c>
      <c r="K42" s="178">
        <v>2</v>
      </c>
      <c r="L42" s="178">
        <v>4</v>
      </c>
      <c r="M42" s="178">
        <v>1</v>
      </c>
      <c r="N42" s="178">
        <v>0</v>
      </c>
      <c r="O42" s="178">
        <v>2</v>
      </c>
      <c r="P42" s="178">
        <v>9</v>
      </c>
      <c r="Q42" s="176">
        <f t="shared" si="4"/>
        <v>42</v>
      </c>
      <c r="R42" s="176">
        <f t="shared" si="3"/>
        <v>31</v>
      </c>
      <c r="S42" s="176">
        <f t="shared" si="5"/>
        <v>73</v>
      </c>
    </row>
    <row r="43" spans="1:19">
      <c r="A43" s="172">
        <v>7</v>
      </c>
      <c r="B43" s="173" t="s">
        <v>86</v>
      </c>
      <c r="C43" s="178">
        <v>1</v>
      </c>
      <c r="D43" s="178">
        <v>1</v>
      </c>
      <c r="E43" s="178">
        <v>0</v>
      </c>
      <c r="F43" s="178">
        <v>1</v>
      </c>
      <c r="G43" s="178">
        <v>2</v>
      </c>
      <c r="H43" s="178">
        <v>1</v>
      </c>
      <c r="I43" s="178">
        <v>1</v>
      </c>
      <c r="J43" s="178">
        <v>4</v>
      </c>
      <c r="K43" s="178">
        <v>2</v>
      </c>
      <c r="L43" s="178">
        <v>8</v>
      </c>
      <c r="M43" s="178">
        <v>0</v>
      </c>
      <c r="N43" s="178">
        <v>3</v>
      </c>
      <c r="O43" s="178">
        <v>3</v>
      </c>
      <c r="P43" s="178">
        <v>5</v>
      </c>
      <c r="Q43" s="176">
        <f t="shared" si="4"/>
        <v>32</v>
      </c>
      <c r="R43" s="176">
        <f t="shared" si="3"/>
        <v>41</v>
      </c>
      <c r="S43" s="176">
        <f t="shared" si="5"/>
        <v>73</v>
      </c>
    </row>
    <row r="44" spans="1:19">
      <c r="A44" s="172">
        <v>8</v>
      </c>
      <c r="B44" s="173" t="s">
        <v>161</v>
      </c>
      <c r="C44" s="178">
        <v>3</v>
      </c>
      <c r="D44" s="178">
        <v>4</v>
      </c>
      <c r="E44" s="178">
        <v>2</v>
      </c>
      <c r="F44" s="178">
        <v>0</v>
      </c>
      <c r="G44" s="178">
        <v>1</v>
      </c>
      <c r="H44" s="178">
        <v>4</v>
      </c>
      <c r="I44" s="178">
        <v>1</v>
      </c>
      <c r="J44" s="178">
        <v>1</v>
      </c>
      <c r="K44" s="178">
        <v>0</v>
      </c>
      <c r="L44" s="178">
        <v>1</v>
      </c>
      <c r="M44" s="178">
        <v>0</v>
      </c>
      <c r="N44" s="178">
        <v>1</v>
      </c>
      <c r="O44" s="178">
        <v>2</v>
      </c>
      <c r="P44" s="178">
        <v>1</v>
      </c>
      <c r="Q44" s="176">
        <f t="shared" si="4"/>
        <v>21</v>
      </c>
      <c r="R44" s="176">
        <f t="shared" si="3"/>
        <v>46</v>
      </c>
      <c r="S44" s="176">
        <f t="shared" si="5"/>
        <v>67</v>
      </c>
    </row>
    <row r="45" spans="1:19">
      <c r="A45" s="172">
        <v>9</v>
      </c>
      <c r="B45" s="174" t="s">
        <v>10</v>
      </c>
      <c r="C45" s="178">
        <v>6</v>
      </c>
      <c r="D45" s="178">
        <v>8</v>
      </c>
      <c r="E45" s="178">
        <v>0</v>
      </c>
      <c r="F45" s="178">
        <v>1</v>
      </c>
      <c r="G45" s="178">
        <v>3</v>
      </c>
      <c r="H45" s="178">
        <v>0</v>
      </c>
      <c r="I45" s="178">
        <v>1</v>
      </c>
      <c r="J45" s="178">
        <v>3</v>
      </c>
      <c r="K45" s="178">
        <v>2</v>
      </c>
      <c r="L45" s="178">
        <v>1</v>
      </c>
      <c r="M45" s="178">
        <v>3</v>
      </c>
      <c r="N45" s="178">
        <v>3</v>
      </c>
      <c r="O45" s="178">
        <v>4</v>
      </c>
      <c r="P45" s="178">
        <v>3</v>
      </c>
      <c r="Q45" s="176">
        <f t="shared" si="4"/>
        <v>38</v>
      </c>
      <c r="R45" s="176">
        <f t="shared" ref="R45:R46" si="6">S16</f>
        <v>43</v>
      </c>
      <c r="S45" s="176">
        <f t="shared" si="5"/>
        <v>81</v>
      </c>
    </row>
    <row r="46" spans="1:19">
      <c r="A46" s="234" t="s">
        <v>11</v>
      </c>
      <c r="B46" s="235"/>
      <c r="C46" s="177">
        <v>0</v>
      </c>
      <c r="D46" s="177">
        <v>0</v>
      </c>
      <c r="E46" s="177">
        <v>0</v>
      </c>
      <c r="F46" s="177">
        <v>0</v>
      </c>
      <c r="G46" s="177">
        <v>0</v>
      </c>
      <c r="H46" s="177">
        <v>0</v>
      </c>
      <c r="I46" s="177">
        <v>0</v>
      </c>
      <c r="J46" s="177">
        <v>0</v>
      </c>
      <c r="K46" s="177">
        <v>0</v>
      </c>
      <c r="L46" s="177">
        <v>0</v>
      </c>
      <c r="M46" s="177">
        <v>0</v>
      </c>
      <c r="N46" s="177">
        <v>0</v>
      </c>
      <c r="O46" s="177">
        <v>0</v>
      </c>
      <c r="P46" s="177">
        <v>0</v>
      </c>
      <c r="Q46" s="176">
        <f t="shared" si="4"/>
        <v>0</v>
      </c>
      <c r="R46" s="176">
        <f t="shared" si="6"/>
        <v>0</v>
      </c>
      <c r="S46" s="176">
        <f t="shared" si="5"/>
        <v>0</v>
      </c>
    </row>
    <row r="47" spans="1:19">
      <c r="A47" s="236" t="s">
        <v>12</v>
      </c>
      <c r="B47" s="236"/>
      <c r="C47" s="176">
        <f t="shared" ref="C47:S47" si="7">SUM(C37:C45)</f>
        <v>633</v>
      </c>
      <c r="D47" s="176">
        <f t="shared" si="7"/>
        <v>739</v>
      </c>
      <c r="E47" s="176">
        <f t="shared" si="7"/>
        <v>391</v>
      </c>
      <c r="F47" s="176">
        <f t="shared" si="7"/>
        <v>324</v>
      </c>
      <c r="G47" s="176">
        <f t="shared" si="7"/>
        <v>617</v>
      </c>
      <c r="H47" s="176">
        <f t="shared" si="7"/>
        <v>574</v>
      </c>
      <c r="I47" s="176">
        <f t="shared" si="7"/>
        <v>527</v>
      </c>
      <c r="J47" s="176">
        <f t="shared" si="7"/>
        <v>620</v>
      </c>
      <c r="K47" s="176">
        <f t="shared" si="7"/>
        <v>519</v>
      </c>
      <c r="L47" s="176">
        <f t="shared" si="7"/>
        <v>455</v>
      </c>
      <c r="M47" s="176">
        <f t="shared" si="7"/>
        <v>650</v>
      </c>
      <c r="N47" s="176">
        <f t="shared" si="7"/>
        <v>696</v>
      </c>
      <c r="O47" s="176">
        <f t="shared" si="7"/>
        <v>581</v>
      </c>
      <c r="P47" s="176">
        <f t="shared" si="7"/>
        <v>683</v>
      </c>
      <c r="Q47" s="176">
        <f t="shared" si="7"/>
        <v>8009</v>
      </c>
      <c r="R47" s="176">
        <f t="shared" si="7"/>
        <v>8478</v>
      </c>
      <c r="S47" s="176">
        <f t="shared" si="7"/>
        <v>16487</v>
      </c>
    </row>
    <row r="48" spans="1:19" ht="14.25" customHeight="1">
      <c r="A48" s="5"/>
      <c r="B48" s="5"/>
      <c r="C48" s="6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8"/>
      <c r="R48" s="7"/>
      <c r="S48" s="7"/>
    </row>
    <row r="49" spans="1:19" ht="22.5">
      <c r="A49" s="9"/>
      <c r="B49" s="9"/>
      <c r="C49" s="10" t="s">
        <v>13</v>
      </c>
      <c r="D49" s="10" t="s">
        <v>13</v>
      </c>
      <c r="E49" s="10" t="s">
        <v>13</v>
      </c>
      <c r="F49" s="10" t="s">
        <v>13</v>
      </c>
      <c r="G49" s="10" t="s">
        <v>13</v>
      </c>
      <c r="H49" s="10" t="s">
        <v>13</v>
      </c>
      <c r="I49" s="10" t="s">
        <v>13</v>
      </c>
      <c r="J49" s="10" t="s">
        <v>13</v>
      </c>
      <c r="K49" s="10" t="s">
        <v>13</v>
      </c>
      <c r="L49" s="10" t="s">
        <v>13</v>
      </c>
      <c r="M49" s="10" t="s">
        <v>13</v>
      </c>
      <c r="N49" s="10" t="s">
        <v>13</v>
      </c>
      <c r="O49" s="10" t="s">
        <v>13</v>
      </c>
      <c r="P49" s="10" t="s">
        <v>13</v>
      </c>
      <c r="Q49" s="10" t="s">
        <v>13</v>
      </c>
      <c r="R49" s="10" t="s">
        <v>13</v>
      </c>
      <c r="S49" s="10" t="s">
        <v>13</v>
      </c>
    </row>
    <row r="50" spans="1:19" ht="13.5" customHeight="1">
      <c r="A50" s="9"/>
      <c r="B50" s="9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</row>
    <row r="51" spans="1:19" ht="22.5">
      <c r="A51" s="9"/>
      <c r="B51" s="9"/>
      <c r="C51" s="10" t="s">
        <v>14</v>
      </c>
      <c r="D51" s="10" t="s">
        <v>14</v>
      </c>
      <c r="E51" s="10" t="s">
        <v>14</v>
      </c>
      <c r="F51" s="10" t="s">
        <v>14</v>
      </c>
      <c r="G51" s="10" t="s">
        <v>14</v>
      </c>
      <c r="H51" s="10" t="s">
        <v>14</v>
      </c>
      <c r="I51" s="10" t="s">
        <v>14</v>
      </c>
      <c r="J51" s="10" t="s">
        <v>14</v>
      </c>
      <c r="K51" s="10" t="s">
        <v>14</v>
      </c>
      <c r="L51" s="10" t="s">
        <v>14</v>
      </c>
      <c r="M51" s="10" t="s">
        <v>14</v>
      </c>
      <c r="N51" s="10" t="s">
        <v>14</v>
      </c>
      <c r="O51" s="10" t="s">
        <v>14</v>
      </c>
      <c r="P51" s="10" t="s">
        <v>14</v>
      </c>
      <c r="Q51" s="10" t="s">
        <v>14</v>
      </c>
      <c r="R51" s="10" t="s">
        <v>14</v>
      </c>
      <c r="S51" s="10" t="s">
        <v>14</v>
      </c>
    </row>
    <row r="52" spans="1:19" ht="9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</row>
    <row r="53" spans="1:19">
      <c r="A53" s="237" t="s">
        <v>15</v>
      </c>
      <c r="B53" s="237"/>
      <c r="C53" s="238" t="s">
        <v>16</v>
      </c>
      <c r="D53" s="238"/>
      <c r="E53" s="238"/>
      <c r="F53" s="238"/>
      <c r="G53" s="238"/>
      <c r="H53" s="238"/>
      <c r="I53" s="238"/>
      <c r="J53" s="238"/>
      <c r="K53" s="238"/>
      <c r="L53" s="238"/>
      <c r="M53" s="238"/>
      <c r="N53" s="238"/>
      <c r="O53" s="238"/>
      <c r="P53" s="238"/>
      <c r="Q53" s="238"/>
      <c r="R53" s="9"/>
      <c r="S53" s="9"/>
    </row>
    <row r="54" spans="1:19">
      <c r="A54" s="9"/>
      <c r="B54" s="9"/>
      <c r="C54" s="238" t="s">
        <v>17</v>
      </c>
      <c r="D54" s="238"/>
      <c r="E54" s="238"/>
      <c r="F54" s="238"/>
      <c r="G54" s="238"/>
      <c r="H54" s="238"/>
      <c r="I54" s="238"/>
      <c r="J54" s="238"/>
      <c r="K54" s="238"/>
      <c r="L54" s="238"/>
      <c r="M54" s="238"/>
      <c r="N54" s="238"/>
      <c r="O54" s="238"/>
      <c r="P54" s="238"/>
      <c r="Q54" s="238"/>
      <c r="R54" s="9"/>
      <c r="S54" s="9"/>
    </row>
    <row r="55" spans="1:19" ht="15" customHeight="1">
      <c r="A55" s="9"/>
      <c r="B55" s="9"/>
      <c r="C55" s="228" t="s">
        <v>45</v>
      </c>
      <c r="D55" s="228"/>
      <c r="E55" s="228"/>
      <c r="F55" s="228"/>
      <c r="G55" s="228"/>
      <c r="H55" s="228"/>
      <c r="I55" s="228"/>
      <c r="J55" s="228"/>
      <c r="K55" s="228"/>
      <c r="L55" s="228"/>
      <c r="M55" s="228"/>
      <c r="N55" s="228"/>
      <c r="O55" s="228"/>
      <c r="P55" s="228"/>
      <c r="Q55" s="228"/>
      <c r="R55" s="9"/>
      <c r="S55" s="9"/>
    </row>
    <row r="56" spans="1:19">
      <c r="A56" s="17"/>
      <c r="B56" s="17"/>
      <c r="C56" s="228" t="s">
        <v>46</v>
      </c>
      <c r="D56" s="228"/>
      <c r="E56" s="228"/>
      <c r="F56" s="228"/>
      <c r="G56" s="228"/>
      <c r="H56" s="228"/>
      <c r="I56" s="228"/>
      <c r="J56" s="228"/>
      <c r="K56" s="228"/>
      <c r="L56" s="228"/>
      <c r="M56" s="228"/>
      <c r="N56" s="228"/>
      <c r="O56" s="228"/>
      <c r="P56" s="228"/>
      <c r="Q56" s="228"/>
      <c r="R56" s="17"/>
      <c r="S56" s="17"/>
    </row>
    <row r="57" spans="1:19">
      <c r="A57" s="60"/>
      <c r="B57" s="61" t="s">
        <v>139</v>
      </c>
      <c r="C57" s="227" t="s">
        <v>138</v>
      </c>
      <c r="D57" s="227"/>
      <c r="E57" s="227"/>
      <c r="F57" s="227"/>
      <c r="G57" s="227"/>
      <c r="H57" s="227"/>
      <c r="I57" s="227"/>
      <c r="J57" s="227"/>
      <c r="K57" s="227"/>
      <c r="L57" s="227"/>
      <c r="M57" s="227"/>
      <c r="N57" s="227"/>
      <c r="O57" s="227"/>
      <c r="P57" s="227"/>
      <c r="Q57" s="227"/>
      <c r="R57" s="60"/>
      <c r="S57" s="60"/>
    </row>
    <row r="58" spans="1:19">
      <c r="A58" s="17"/>
      <c r="B58" s="17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7"/>
      <c r="S58" s="17"/>
    </row>
    <row r="59" spans="1:19" ht="26.25">
      <c r="A59" s="229" t="s">
        <v>0</v>
      </c>
      <c r="B59" s="229"/>
      <c r="C59" s="229"/>
      <c r="D59" s="229"/>
      <c r="E59" s="229"/>
      <c r="F59" s="229"/>
      <c r="G59" s="229"/>
      <c r="H59" s="229"/>
      <c r="I59" s="229"/>
      <c r="J59" s="229"/>
      <c r="K59" s="229"/>
      <c r="L59" s="229"/>
      <c r="M59" s="229"/>
      <c r="N59" s="229"/>
      <c r="O59" s="229"/>
      <c r="P59" s="229"/>
      <c r="Q59" s="229"/>
      <c r="R59" s="229"/>
      <c r="S59" s="229"/>
    </row>
    <row r="60" spans="1:19" ht="19.5" customHeight="1">
      <c r="A60" s="230" t="s">
        <v>83</v>
      </c>
      <c r="B60" s="230"/>
      <c r="C60" s="230"/>
      <c r="D60" s="230"/>
      <c r="E60" s="230"/>
      <c r="F60" s="230"/>
      <c r="G60" s="230"/>
      <c r="H60" s="230"/>
      <c r="I60" s="1"/>
      <c r="J60" s="1"/>
      <c r="K60" s="231" t="s">
        <v>22</v>
      </c>
      <c r="L60" s="231"/>
      <c r="M60" s="231"/>
      <c r="N60" s="231"/>
      <c r="O60" s="1"/>
      <c r="P60" s="232" t="s">
        <v>1</v>
      </c>
      <c r="Q60" s="232"/>
      <c r="R60" s="233">
        <v>44630</v>
      </c>
      <c r="S60" s="233"/>
    </row>
    <row r="61" spans="1:19">
      <c r="A61" s="242" t="s">
        <v>2</v>
      </c>
      <c r="B61" s="242"/>
      <c r="C61" s="2">
        <v>1</v>
      </c>
      <c r="D61" s="2">
        <v>2</v>
      </c>
      <c r="E61" s="2">
        <v>3</v>
      </c>
      <c r="F61" s="2">
        <v>4</v>
      </c>
      <c r="G61" s="2">
        <v>5</v>
      </c>
      <c r="H61" s="2">
        <v>6</v>
      </c>
      <c r="I61" s="2">
        <v>7</v>
      </c>
      <c r="J61" s="2">
        <v>8</v>
      </c>
      <c r="K61" s="2">
        <v>9</v>
      </c>
      <c r="L61" s="2">
        <v>10</v>
      </c>
      <c r="M61" s="2">
        <v>11</v>
      </c>
      <c r="N61" s="2">
        <v>12</v>
      </c>
      <c r="O61" s="2">
        <v>13</v>
      </c>
      <c r="P61" s="2">
        <v>14</v>
      </c>
      <c r="Q61" s="239" t="s">
        <v>3</v>
      </c>
      <c r="R61" s="239" t="s">
        <v>4</v>
      </c>
      <c r="S61" s="239" t="s">
        <v>5</v>
      </c>
    </row>
    <row r="62" spans="1:19">
      <c r="A62" s="242" t="s">
        <v>6</v>
      </c>
      <c r="B62" s="242"/>
      <c r="C62" s="2">
        <v>29</v>
      </c>
      <c r="D62" s="2">
        <v>30</v>
      </c>
      <c r="E62" s="2">
        <v>31</v>
      </c>
      <c r="F62" s="2">
        <v>32</v>
      </c>
      <c r="G62" s="2">
        <v>33</v>
      </c>
      <c r="H62" s="2">
        <v>34</v>
      </c>
      <c r="I62" s="2">
        <v>35</v>
      </c>
      <c r="J62" s="2">
        <v>36</v>
      </c>
      <c r="K62" s="2">
        <v>37</v>
      </c>
      <c r="L62" s="2">
        <v>38</v>
      </c>
      <c r="M62" s="2">
        <v>39</v>
      </c>
      <c r="N62" s="2">
        <v>40</v>
      </c>
      <c r="O62" s="2">
        <v>41</v>
      </c>
      <c r="P62" s="2">
        <v>42</v>
      </c>
      <c r="Q62" s="240"/>
      <c r="R62" s="240"/>
      <c r="S62" s="240"/>
    </row>
    <row r="63" spans="1:19" ht="31.5">
      <c r="A63" s="243" t="s">
        <v>18</v>
      </c>
      <c r="B63" s="244"/>
      <c r="C63" s="121" t="s">
        <v>229</v>
      </c>
      <c r="D63" s="121" t="s">
        <v>230</v>
      </c>
      <c r="E63" s="121" t="s">
        <v>231</v>
      </c>
      <c r="F63" s="121" t="s">
        <v>232</v>
      </c>
      <c r="G63" s="121" t="s">
        <v>233</v>
      </c>
      <c r="H63" s="121" t="s">
        <v>234</v>
      </c>
      <c r="I63" s="121" t="s">
        <v>235</v>
      </c>
      <c r="J63" s="121" t="s">
        <v>236</v>
      </c>
      <c r="K63" s="121" t="s">
        <v>237</v>
      </c>
      <c r="L63" s="121" t="s">
        <v>238</v>
      </c>
      <c r="M63" s="121" t="s">
        <v>611</v>
      </c>
      <c r="N63" s="121" t="s">
        <v>239</v>
      </c>
      <c r="O63" s="121" t="s">
        <v>240</v>
      </c>
      <c r="P63" s="121" t="s">
        <v>241</v>
      </c>
      <c r="Q63" s="240"/>
      <c r="R63" s="240"/>
      <c r="S63" s="240"/>
    </row>
    <row r="64" spans="1:19" ht="25.5" customHeight="1">
      <c r="A64" s="245" t="s">
        <v>20</v>
      </c>
      <c r="B64" s="246"/>
      <c r="C64" s="33">
        <v>684</v>
      </c>
      <c r="D64" s="33">
        <v>406</v>
      </c>
      <c r="E64" s="33">
        <v>442</v>
      </c>
      <c r="F64" s="33">
        <v>550</v>
      </c>
      <c r="G64" s="33">
        <v>400</v>
      </c>
      <c r="H64" s="33">
        <v>405</v>
      </c>
      <c r="I64" s="33">
        <v>557</v>
      </c>
      <c r="J64" s="33">
        <v>589</v>
      </c>
      <c r="K64" s="33">
        <v>693</v>
      </c>
      <c r="L64" s="33">
        <v>810</v>
      </c>
      <c r="M64" s="33">
        <v>682</v>
      </c>
      <c r="N64" s="33">
        <v>642</v>
      </c>
      <c r="O64" s="33">
        <v>625</v>
      </c>
      <c r="P64" s="33">
        <v>665</v>
      </c>
      <c r="Q64" s="240"/>
      <c r="R64" s="240"/>
      <c r="S64" s="240"/>
    </row>
    <row r="65" spans="1:19">
      <c r="A65" s="3" t="s">
        <v>7</v>
      </c>
      <c r="B65" s="2" t="s">
        <v>8</v>
      </c>
      <c r="C65" s="4" t="s">
        <v>9</v>
      </c>
      <c r="D65" s="4" t="s">
        <v>9</v>
      </c>
      <c r="E65" s="4" t="s">
        <v>9</v>
      </c>
      <c r="F65" s="4" t="s">
        <v>9</v>
      </c>
      <c r="G65" s="4" t="s">
        <v>9</v>
      </c>
      <c r="H65" s="4" t="s">
        <v>9</v>
      </c>
      <c r="I65" s="4" t="s">
        <v>9</v>
      </c>
      <c r="J65" s="4" t="s">
        <v>9</v>
      </c>
      <c r="K65" s="4" t="s">
        <v>9</v>
      </c>
      <c r="L65" s="4" t="s">
        <v>9</v>
      </c>
      <c r="M65" s="4" t="s">
        <v>9</v>
      </c>
      <c r="N65" s="4" t="s">
        <v>9</v>
      </c>
      <c r="O65" s="4" t="s">
        <v>9</v>
      </c>
      <c r="P65" s="4" t="s">
        <v>9</v>
      </c>
      <c r="Q65" s="241"/>
      <c r="R65" s="241"/>
      <c r="S65" s="241"/>
    </row>
    <row r="66" spans="1:19">
      <c r="A66" s="172">
        <v>1</v>
      </c>
      <c r="B66" s="173" t="s">
        <v>85</v>
      </c>
      <c r="C66" s="178">
        <v>134</v>
      </c>
      <c r="D66" s="178">
        <v>43</v>
      </c>
      <c r="E66" s="178">
        <v>66</v>
      </c>
      <c r="F66" s="178">
        <v>348</v>
      </c>
      <c r="G66" s="178">
        <v>226</v>
      </c>
      <c r="H66" s="178">
        <v>119</v>
      </c>
      <c r="I66" s="178">
        <v>222</v>
      </c>
      <c r="J66" s="178">
        <v>270</v>
      </c>
      <c r="K66" s="178">
        <v>290</v>
      </c>
      <c r="L66" s="178">
        <v>206</v>
      </c>
      <c r="M66" s="178">
        <v>169</v>
      </c>
      <c r="N66" s="178">
        <v>341</v>
      </c>
      <c r="O66" s="178">
        <v>152</v>
      </c>
      <c r="P66" s="178">
        <v>171</v>
      </c>
      <c r="Q66" s="176">
        <f>SUM(C66:P66)</f>
        <v>2757</v>
      </c>
      <c r="R66" s="176">
        <f t="shared" ref="R66:R75" si="8">S37</f>
        <v>3750</v>
      </c>
      <c r="S66" s="176">
        <f>Q66+R66</f>
        <v>6507</v>
      </c>
    </row>
    <row r="67" spans="1:19">
      <c r="A67" s="172">
        <v>2</v>
      </c>
      <c r="B67" s="173" t="s">
        <v>156</v>
      </c>
      <c r="C67" s="178">
        <v>447</v>
      </c>
      <c r="D67" s="178">
        <v>327</v>
      </c>
      <c r="E67" s="178">
        <v>369</v>
      </c>
      <c r="F67" s="178">
        <v>188</v>
      </c>
      <c r="G67" s="178">
        <v>171</v>
      </c>
      <c r="H67" s="178">
        <v>237</v>
      </c>
      <c r="I67" s="178">
        <v>309</v>
      </c>
      <c r="J67" s="178">
        <v>85</v>
      </c>
      <c r="K67" s="178">
        <v>374</v>
      </c>
      <c r="L67" s="178">
        <v>196</v>
      </c>
      <c r="M67" s="178">
        <v>208</v>
      </c>
      <c r="N67" s="178">
        <v>273</v>
      </c>
      <c r="O67" s="178">
        <v>314</v>
      </c>
      <c r="P67" s="178">
        <v>456</v>
      </c>
      <c r="Q67" s="176">
        <f t="shared" ref="Q67:Q74" si="9">SUM(C67:P67)</f>
        <v>3954</v>
      </c>
      <c r="R67" s="176">
        <f t="shared" si="8"/>
        <v>9662</v>
      </c>
      <c r="S67" s="176">
        <f t="shared" ref="S67:S75" si="10">Q67+R67</f>
        <v>13616</v>
      </c>
    </row>
    <row r="68" spans="1:19">
      <c r="A68" s="172">
        <v>3</v>
      </c>
      <c r="B68" s="173" t="s">
        <v>157</v>
      </c>
      <c r="C68" s="178">
        <v>3</v>
      </c>
      <c r="D68" s="178">
        <v>1</v>
      </c>
      <c r="E68" s="178">
        <v>4</v>
      </c>
      <c r="F68" s="178">
        <v>2</v>
      </c>
      <c r="G68" s="178">
        <v>0</v>
      </c>
      <c r="H68" s="178">
        <v>3</v>
      </c>
      <c r="I68" s="178">
        <v>1</v>
      </c>
      <c r="J68" s="178">
        <v>1</v>
      </c>
      <c r="K68" s="178">
        <v>8</v>
      </c>
      <c r="L68" s="178">
        <v>5</v>
      </c>
      <c r="M68" s="178">
        <v>8</v>
      </c>
      <c r="N68" s="178">
        <v>8</v>
      </c>
      <c r="O68" s="178">
        <v>2</v>
      </c>
      <c r="P68" s="178">
        <v>5</v>
      </c>
      <c r="Q68" s="176">
        <f t="shared" si="9"/>
        <v>51</v>
      </c>
      <c r="R68" s="176">
        <f t="shared" si="8"/>
        <v>212</v>
      </c>
      <c r="S68" s="176">
        <f t="shared" si="10"/>
        <v>263</v>
      </c>
    </row>
    <row r="69" spans="1:19">
      <c r="A69" s="172">
        <v>4</v>
      </c>
      <c r="B69" s="173" t="s">
        <v>158</v>
      </c>
      <c r="C69" s="178">
        <v>87</v>
      </c>
      <c r="D69" s="178">
        <v>31</v>
      </c>
      <c r="E69" s="178">
        <v>2</v>
      </c>
      <c r="F69" s="178">
        <v>12</v>
      </c>
      <c r="G69" s="178">
        <v>0</v>
      </c>
      <c r="H69" s="178">
        <v>44</v>
      </c>
      <c r="I69" s="178">
        <v>15</v>
      </c>
      <c r="J69" s="178">
        <v>224</v>
      </c>
      <c r="K69" s="178">
        <v>10</v>
      </c>
      <c r="L69" s="178">
        <v>393</v>
      </c>
      <c r="M69" s="178">
        <v>285</v>
      </c>
      <c r="N69" s="178">
        <v>11</v>
      </c>
      <c r="O69" s="178">
        <v>141</v>
      </c>
      <c r="P69" s="178">
        <v>15</v>
      </c>
      <c r="Q69" s="176">
        <f t="shared" si="9"/>
        <v>1270</v>
      </c>
      <c r="R69" s="176">
        <f t="shared" si="8"/>
        <v>2513</v>
      </c>
      <c r="S69" s="176">
        <f t="shared" si="10"/>
        <v>3783</v>
      </c>
    </row>
    <row r="70" spans="1:19">
      <c r="A70" s="172">
        <v>5</v>
      </c>
      <c r="B70" s="173" t="s">
        <v>159</v>
      </c>
      <c r="C70" s="178">
        <v>0</v>
      </c>
      <c r="D70" s="178">
        <v>0</v>
      </c>
      <c r="E70" s="178">
        <v>1</v>
      </c>
      <c r="F70" s="178">
        <v>0</v>
      </c>
      <c r="G70" s="178">
        <v>1</v>
      </c>
      <c r="H70" s="178">
        <v>0</v>
      </c>
      <c r="I70" s="178">
        <v>1</v>
      </c>
      <c r="J70" s="178">
        <v>2</v>
      </c>
      <c r="K70" s="178">
        <v>1</v>
      </c>
      <c r="L70" s="178">
        <v>1</v>
      </c>
      <c r="M70" s="178">
        <v>4</v>
      </c>
      <c r="N70" s="178">
        <v>1</v>
      </c>
      <c r="O70" s="178">
        <v>4</v>
      </c>
      <c r="P70" s="178">
        <v>3</v>
      </c>
      <c r="Q70" s="176">
        <f t="shared" si="9"/>
        <v>19</v>
      </c>
      <c r="R70" s="176">
        <f t="shared" si="8"/>
        <v>56</v>
      </c>
      <c r="S70" s="176">
        <f t="shared" si="10"/>
        <v>75</v>
      </c>
    </row>
    <row r="71" spans="1:19">
      <c r="A71" s="172">
        <v>6</v>
      </c>
      <c r="B71" s="173" t="s">
        <v>160</v>
      </c>
      <c r="C71" s="178">
        <v>1</v>
      </c>
      <c r="D71" s="178">
        <v>1</v>
      </c>
      <c r="E71" s="178">
        <v>0</v>
      </c>
      <c r="F71" s="178">
        <v>0</v>
      </c>
      <c r="G71" s="178">
        <v>1</v>
      </c>
      <c r="H71" s="178">
        <v>0</v>
      </c>
      <c r="I71" s="178">
        <v>2</v>
      </c>
      <c r="J71" s="178">
        <v>0</v>
      </c>
      <c r="K71" s="178">
        <v>3</v>
      </c>
      <c r="L71" s="178">
        <v>1</v>
      </c>
      <c r="M71" s="178">
        <v>3</v>
      </c>
      <c r="N71" s="178">
        <v>1</v>
      </c>
      <c r="O71" s="178">
        <v>3</v>
      </c>
      <c r="P71" s="178">
        <v>2</v>
      </c>
      <c r="Q71" s="176">
        <f t="shared" si="9"/>
        <v>18</v>
      </c>
      <c r="R71" s="176">
        <f t="shared" si="8"/>
        <v>73</v>
      </c>
      <c r="S71" s="176">
        <f t="shared" si="10"/>
        <v>91</v>
      </c>
    </row>
    <row r="72" spans="1:19">
      <c r="A72" s="172">
        <v>7</v>
      </c>
      <c r="B72" s="173" t="s">
        <v>86</v>
      </c>
      <c r="C72" s="178">
        <v>6</v>
      </c>
      <c r="D72" s="178">
        <v>3</v>
      </c>
      <c r="E72" s="178">
        <v>0</v>
      </c>
      <c r="F72" s="178">
        <v>0</v>
      </c>
      <c r="G72" s="178">
        <v>0</v>
      </c>
      <c r="H72" s="178">
        <v>0</v>
      </c>
      <c r="I72" s="178">
        <v>2</v>
      </c>
      <c r="J72" s="178">
        <v>2</v>
      </c>
      <c r="K72" s="178">
        <v>3</v>
      </c>
      <c r="L72" s="178">
        <v>3</v>
      </c>
      <c r="M72" s="178">
        <v>3</v>
      </c>
      <c r="N72" s="178">
        <v>4</v>
      </c>
      <c r="O72" s="178">
        <v>6</v>
      </c>
      <c r="P72" s="178">
        <v>3</v>
      </c>
      <c r="Q72" s="176">
        <f t="shared" si="9"/>
        <v>35</v>
      </c>
      <c r="R72" s="176">
        <f t="shared" si="8"/>
        <v>73</v>
      </c>
      <c r="S72" s="176">
        <f t="shared" si="10"/>
        <v>108</v>
      </c>
    </row>
    <row r="73" spans="1:19">
      <c r="A73" s="172">
        <v>8</v>
      </c>
      <c r="B73" s="173" t="s">
        <v>161</v>
      </c>
      <c r="C73" s="178">
        <v>1</v>
      </c>
      <c r="D73" s="178">
        <v>0</v>
      </c>
      <c r="E73" s="178">
        <v>0</v>
      </c>
      <c r="F73" s="178">
        <v>0</v>
      </c>
      <c r="G73" s="178">
        <v>1</v>
      </c>
      <c r="H73" s="178">
        <v>1</v>
      </c>
      <c r="I73" s="178">
        <v>1</v>
      </c>
      <c r="J73" s="178">
        <v>2</v>
      </c>
      <c r="K73" s="178">
        <v>2</v>
      </c>
      <c r="L73" s="178">
        <v>2</v>
      </c>
      <c r="M73" s="178">
        <v>0</v>
      </c>
      <c r="N73" s="178">
        <v>2</v>
      </c>
      <c r="O73" s="178">
        <v>1</v>
      </c>
      <c r="P73" s="178">
        <v>3</v>
      </c>
      <c r="Q73" s="176">
        <f t="shared" si="9"/>
        <v>16</v>
      </c>
      <c r="R73" s="176">
        <f t="shared" si="8"/>
        <v>67</v>
      </c>
      <c r="S73" s="176">
        <f t="shared" si="10"/>
        <v>83</v>
      </c>
    </row>
    <row r="74" spans="1:19">
      <c r="A74" s="172">
        <v>9</v>
      </c>
      <c r="B74" s="174" t="s">
        <v>10</v>
      </c>
      <c r="C74" s="178">
        <v>5</v>
      </c>
      <c r="D74" s="178">
        <v>0</v>
      </c>
      <c r="E74" s="178">
        <v>0</v>
      </c>
      <c r="F74" s="178">
        <v>0</v>
      </c>
      <c r="G74" s="178">
        <v>0</v>
      </c>
      <c r="H74" s="178">
        <v>1</v>
      </c>
      <c r="I74" s="178">
        <v>4</v>
      </c>
      <c r="J74" s="178">
        <v>3</v>
      </c>
      <c r="K74" s="178">
        <v>2</v>
      </c>
      <c r="L74" s="178">
        <v>3</v>
      </c>
      <c r="M74" s="178">
        <v>2</v>
      </c>
      <c r="N74" s="178">
        <v>1</v>
      </c>
      <c r="O74" s="178">
        <v>2</v>
      </c>
      <c r="P74" s="178">
        <v>7</v>
      </c>
      <c r="Q74" s="176">
        <f t="shared" si="9"/>
        <v>30</v>
      </c>
      <c r="R74" s="176">
        <f t="shared" si="8"/>
        <v>81</v>
      </c>
      <c r="S74" s="176">
        <f t="shared" si="10"/>
        <v>111</v>
      </c>
    </row>
    <row r="75" spans="1:19">
      <c r="A75" s="234" t="s">
        <v>11</v>
      </c>
      <c r="B75" s="235"/>
      <c r="C75" s="177">
        <v>0</v>
      </c>
      <c r="D75" s="177">
        <v>0</v>
      </c>
      <c r="E75" s="177">
        <v>0</v>
      </c>
      <c r="F75" s="177">
        <v>0</v>
      </c>
      <c r="G75" s="177">
        <v>0</v>
      </c>
      <c r="H75" s="177">
        <v>0</v>
      </c>
      <c r="I75" s="177">
        <v>0</v>
      </c>
      <c r="J75" s="177">
        <v>0</v>
      </c>
      <c r="K75" s="177">
        <v>0</v>
      </c>
      <c r="L75" s="177">
        <v>0</v>
      </c>
      <c r="M75" s="177">
        <v>0</v>
      </c>
      <c r="N75" s="177">
        <v>0</v>
      </c>
      <c r="O75" s="177">
        <v>0</v>
      </c>
      <c r="P75" s="177">
        <v>0</v>
      </c>
      <c r="Q75" s="176">
        <f t="shared" ref="Q75" si="11">SUM(C75:P75)</f>
        <v>0</v>
      </c>
      <c r="R75" s="176">
        <f t="shared" si="8"/>
        <v>0</v>
      </c>
      <c r="S75" s="176">
        <f t="shared" si="10"/>
        <v>0</v>
      </c>
    </row>
    <row r="76" spans="1:19">
      <c r="A76" s="236" t="s">
        <v>12</v>
      </c>
      <c r="B76" s="236"/>
      <c r="C76" s="176">
        <f t="shared" ref="C76:S76" si="12">SUM(C66:C74)</f>
        <v>684</v>
      </c>
      <c r="D76" s="176">
        <f t="shared" si="12"/>
        <v>406</v>
      </c>
      <c r="E76" s="176">
        <f t="shared" si="12"/>
        <v>442</v>
      </c>
      <c r="F76" s="176">
        <f t="shared" si="12"/>
        <v>550</v>
      </c>
      <c r="G76" s="176">
        <f t="shared" si="12"/>
        <v>400</v>
      </c>
      <c r="H76" s="176">
        <f t="shared" si="12"/>
        <v>405</v>
      </c>
      <c r="I76" s="176">
        <f t="shared" si="12"/>
        <v>557</v>
      </c>
      <c r="J76" s="176">
        <f t="shared" si="12"/>
        <v>589</v>
      </c>
      <c r="K76" s="176">
        <f t="shared" si="12"/>
        <v>693</v>
      </c>
      <c r="L76" s="176">
        <f t="shared" si="12"/>
        <v>810</v>
      </c>
      <c r="M76" s="176">
        <f t="shared" si="12"/>
        <v>682</v>
      </c>
      <c r="N76" s="176">
        <f t="shared" si="12"/>
        <v>642</v>
      </c>
      <c r="O76" s="176">
        <f t="shared" si="12"/>
        <v>625</v>
      </c>
      <c r="P76" s="176">
        <f t="shared" si="12"/>
        <v>665</v>
      </c>
      <c r="Q76" s="176">
        <f t="shared" si="12"/>
        <v>8150</v>
      </c>
      <c r="R76" s="176">
        <f t="shared" si="12"/>
        <v>16487</v>
      </c>
      <c r="S76" s="176">
        <f t="shared" si="12"/>
        <v>24637</v>
      </c>
    </row>
    <row r="77" spans="1:19" ht="10.5" customHeight="1">
      <c r="A77" s="5"/>
      <c r="B77" s="5"/>
      <c r="C77" s="6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8"/>
      <c r="R77" s="7"/>
      <c r="S77" s="7"/>
    </row>
    <row r="78" spans="1:19" ht="22.5">
      <c r="A78" s="9"/>
      <c r="B78" s="9"/>
      <c r="C78" s="10" t="s">
        <v>13</v>
      </c>
      <c r="D78" s="10" t="s">
        <v>13</v>
      </c>
      <c r="E78" s="10" t="s">
        <v>13</v>
      </c>
      <c r="F78" s="10" t="s">
        <v>13</v>
      </c>
      <c r="G78" s="10" t="s">
        <v>13</v>
      </c>
      <c r="H78" s="10" t="s">
        <v>13</v>
      </c>
      <c r="I78" s="10" t="s">
        <v>13</v>
      </c>
      <c r="J78" s="10" t="s">
        <v>13</v>
      </c>
      <c r="K78" s="10" t="s">
        <v>13</v>
      </c>
      <c r="L78" s="10" t="s">
        <v>13</v>
      </c>
      <c r="M78" s="10" t="s">
        <v>13</v>
      </c>
      <c r="N78" s="10" t="s">
        <v>13</v>
      </c>
      <c r="O78" s="10" t="s">
        <v>13</v>
      </c>
      <c r="P78" s="10" t="s">
        <v>13</v>
      </c>
      <c r="Q78" s="10" t="s">
        <v>13</v>
      </c>
      <c r="R78" s="10" t="s">
        <v>13</v>
      </c>
      <c r="S78" s="10" t="s">
        <v>13</v>
      </c>
    </row>
    <row r="79" spans="1:19" ht="9" customHeight="1">
      <c r="A79" s="9"/>
      <c r="B79" s="9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</row>
    <row r="80" spans="1:19" ht="22.5">
      <c r="A80" s="9"/>
      <c r="B80" s="9"/>
      <c r="C80" s="10" t="s">
        <v>14</v>
      </c>
      <c r="D80" s="10" t="s">
        <v>14</v>
      </c>
      <c r="E80" s="10" t="s">
        <v>14</v>
      </c>
      <c r="F80" s="10" t="s">
        <v>14</v>
      </c>
      <c r="G80" s="10" t="s">
        <v>14</v>
      </c>
      <c r="H80" s="10" t="s">
        <v>14</v>
      </c>
      <c r="I80" s="10" t="s">
        <v>14</v>
      </c>
      <c r="J80" s="10" t="s">
        <v>14</v>
      </c>
      <c r="K80" s="10" t="s">
        <v>14</v>
      </c>
      <c r="L80" s="10" t="s">
        <v>14</v>
      </c>
      <c r="M80" s="10" t="s">
        <v>14</v>
      </c>
      <c r="N80" s="10" t="s">
        <v>14</v>
      </c>
      <c r="O80" s="10" t="s">
        <v>14</v>
      </c>
      <c r="P80" s="10" t="s">
        <v>14</v>
      </c>
      <c r="Q80" s="10" t="s">
        <v>14</v>
      </c>
      <c r="R80" s="10" t="s">
        <v>14</v>
      </c>
      <c r="S80" s="10" t="s">
        <v>14</v>
      </c>
    </row>
    <row r="81" spans="1:19" ht="7.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</row>
    <row r="82" spans="1:19">
      <c r="A82" s="237" t="s">
        <v>15</v>
      </c>
      <c r="B82" s="237"/>
      <c r="C82" s="238" t="s">
        <v>16</v>
      </c>
      <c r="D82" s="238"/>
      <c r="E82" s="238"/>
      <c r="F82" s="238"/>
      <c r="G82" s="238"/>
      <c r="H82" s="238"/>
      <c r="I82" s="238"/>
      <c r="J82" s="238"/>
      <c r="K82" s="238"/>
      <c r="L82" s="238"/>
      <c r="M82" s="238"/>
      <c r="N82" s="238"/>
      <c r="O82" s="238"/>
      <c r="P82" s="238"/>
      <c r="Q82" s="238"/>
      <c r="R82" s="9"/>
      <c r="S82" s="9"/>
    </row>
    <row r="83" spans="1:19">
      <c r="A83" s="9"/>
      <c r="B83" s="9"/>
      <c r="C83" s="238" t="s">
        <v>17</v>
      </c>
      <c r="D83" s="238"/>
      <c r="E83" s="238"/>
      <c r="F83" s="238"/>
      <c r="G83" s="238"/>
      <c r="H83" s="238"/>
      <c r="I83" s="238"/>
      <c r="J83" s="238"/>
      <c r="K83" s="238"/>
      <c r="L83" s="238"/>
      <c r="M83" s="238"/>
      <c r="N83" s="238"/>
      <c r="O83" s="238"/>
      <c r="P83" s="238"/>
      <c r="Q83" s="238"/>
      <c r="R83" s="9"/>
      <c r="S83" s="9"/>
    </row>
    <row r="84" spans="1:19" ht="15" customHeight="1">
      <c r="A84" s="9"/>
      <c r="B84" s="9"/>
      <c r="C84" s="228" t="s">
        <v>45</v>
      </c>
      <c r="D84" s="228"/>
      <c r="E84" s="228"/>
      <c r="F84" s="228"/>
      <c r="G84" s="228"/>
      <c r="H84" s="228"/>
      <c r="I84" s="228"/>
      <c r="J84" s="228"/>
      <c r="K84" s="228"/>
      <c r="L84" s="228"/>
      <c r="M84" s="228"/>
      <c r="N84" s="228"/>
      <c r="O84" s="228"/>
      <c r="P84" s="228"/>
      <c r="Q84" s="228"/>
      <c r="R84" s="9"/>
      <c r="S84" s="9"/>
    </row>
    <row r="85" spans="1:19">
      <c r="A85" s="23"/>
      <c r="B85" s="23"/>
      <c r="C85" s="228" t="s">
        <v>46</v>
      </c>
      <c r="D85" s="228"/>
      <c r="E85" s="228"/>
      <c r="F85" s="228"/>
      <c r="G85" s="228"/>
      <c r="H85" s="228"/>
      <c r="I85" s="228"/>
      <c r="J85" s="228"/>
      <c r="K85" s="228"/>
      <c r="L85" s="228"/>
      <c r="M85" s="228"/>
      <c r="N85" s="228"/>
      <c r="O85" s="228"/>
      <c r="P85" s="228"/>
      <c r="Q85" s="228"/>
      <c r="R85" s="23"/>
      <c r="S85" s="23"/>
    </row>
    <row r="86" spans="1:19" ht="15" customHeight="1">
      <c r="A86" s="60"/>
      <c r="B86" s="61" t="s">
        <v>139</v>
      </c>
      <c r="C86" s="227" t="s">
        <v>138</v>
      </c>
      <c r="D86" s="227"/>
      <c r="E86" s="227"/>
      <c r="F86" s="227"/>
      <c r="G86" s="227"/>
      <c r="H86" s="227"/>
      <c r="I86" s="227"/>
      <c r="J86" s="227"/>
      <c r="K86" s="227"/>
      <c r="L86" s="227"/>
      <c r="M86" s="227"/>
      <c r="N86" s="227"/>
      <c r="O86" s="227"/>
      <c r="P86" s="227"/>
      <c r="Q86" s="227"/>
      <c r="R86" s="60"/>
      <c r="S86" s="60"/>
    </row>
    <row r="87" spans="1:19">
      <c r="A87" s="23"/>
      <c r="B87" s="23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3"/>
      <c r="S87" s="23"/>
    </row>
    <row r="88" spans="1:19" ht="26.25">
      <c r="A88" s="229" t="s">
        <v>0</v>
      </c>
      <c r="B88" s="229"/>
      <c r="C88" s="229"/>
      <c r="D88" s="229"/>
      <c r="E88" s="229"/>
      <c r="F88" s="229"/>
      <c r="G88" s="229"/>
      <c r="H88" s="229"/>
      <c r="I88" s="229"/>
      <c r="J88" s="229"/>
      <c r="K88" s="229"/>
      <c r="L88" s="229"/>
      <c r="M88" s="229"/>
      <c r="N88" s="229"/>
      <c r="O88" s="229"/>
      <c r="P88" s="229"/>
      <c r="Q88" s="229"/>
      <c r="R88" s="229"/>
      <c r="S88" s="229"/>
    </row>
    <row r="89" spans="1:19" ht="19.5" customHeight="1">
      <c r="A89" s="230" t="s">
        <v>83</v>
      </c>
      <c r="B89" s="230"/>
      <c r="C89" s="230"/>
      <c r="D89" s="230"/>
      <c r="E89" s="230"/>
      <c r="F89" s="230"/>
      <c r="G89" s="230"/>
      <c r="H89" s="230"/>
      <c r="I89" s="1"/>
      <c r="J89" s="1"/>
      <c r="K89" s="231" t="s">
        <v>23</v>
      </c>
      <c r="L89" s="231"/>
      <c r="M89" s="231"/>
      <c r="N89" s="231"/>
      <c r="O89" s="1"/>
      <c r="P89" s="232" t="s">
        <v>1</v>
      </c>
      <c r="Q89" s="232"/>
      <c r="R89" s="233">
        <v>44630</v>
      </c>
      <c r="S89" s="233"/>
    </row>
    <row r="90" spans="1:19">
      <c r="A90" s="242" t="s">
        <v>2</v>
      </c>
      <c r="B90" s="242"/>
      <c r="C90" s="2">
        <v>1</v>
      </c>
      <c r="D90" s="2">
        <v>2</v>
      </c>
      <c r="E90" s="2">
        <v>3</v>
      </c>
      <c r="F90" s="2">
        <v>4</v>
      </c>
      <c r="G90" s="2">
        <v>5</v>
      </c>
      <c r="H90" s="2">
        <v>6</v>
      </c>
      <c r="I90" s="2">
        <v>7</v>
      </c>
      <c r="J90" s="2">
        <v>8</v>
      </c>
      <c r="K90" s="2">
        <v>9</v>
      </c>
      <c r="L90" s="2">
        <v>10</v>
      </c>
      <c r="M90" s="2">
        <v>11</v>
      </c>
      <c r="N90" s="2">
        <v>12</v>
      </c>
      <c r="O90" s="2">
        <v>13</v>
      </c>
      <c r="P90" s="2">
        <v>14</v>
      </c>
      <c r="Q90" s="239" t="s">
        <v>3</v>
      </c>
      <c r="R90" s="239" t="s">
        <v>4</v>
      </c>
      <c r="S90" s="239" t="s">
        <v>5</v>
      </c>
    </row>
    <row r="91" spans="1:19">
      <c r="A91" s="242" t="s">
        <v>6</v>
      </c>
      <c r="B91" s="242"/>
      <c r="C91" s="2">
        <v>43</v>
      </c>
      <c r="D91" s="2">
        <v>44</v>
      </c>
      <c r="E91" s="2">
        <v>45</v>
      </c>
      <c r="F91" s="2">
        <v>46</v>
      </c>
      <c r="G91" s="2">
        <v>47</v>
      </c>
      <c r="H91" s="2">
        <v>48</v>
      </c>
      <c r="I91" s="2">
        <v>49</v>
      </c>
      <c r="J91" s="2">
        <v>50</v>
      </c>
      <c r="K91" s="2">
        <v>51</v>
      </c>
      <c r="L91" s="2">
        <v>52</v>
      </c>
      <c r="M91" s="2">
        <v>53</v>
      </c>
      <c r="N91" s="2">
        <v>54</v>
      </c>
      <c r="O91" s="2">
        <v>55</v>
      </c>
      <c r="P91" s="2">
        <v>56</v>
      </c>
      <c r="Q91" s="240"/>
      <c r="R91" s="240"/>
      <c r="S91" s="240"/>
    </row>
    <row r="92" spans="1:19" ht="31.5">
      <c r="A92" s="243" t="s">
        <v>18</v>
      </c>
      <c r="B92" s="244"/>
      <c r="C92" s="121" t="s">
        <v>242</v>
      </c>
      <c r="D92" s="121" t="s">
        <v>243</v>
      </c>
      <c r="E92" s="121" t="s">
        <v>244</v>
      </c>
      <c r="F92" s="121" t="s">
        <v>613</v>
      </c>
      <c r="G92" s="121" t="s">
        <v>614</v>
      </c>
      <c r="H92" s="121" t="s">
        <v>245</v>
      </c>
      <c r="I92" s="121" t="s">
        <v>246</v>
      </c>
      <c r="J92" s="121" t="s">
        <v>247</v>
      </c>
      <c r="K92" s="121" t="s">
        <v>248</v>
      </c>
      <c r="L92" s="121" t="s">
        <v>249</v>
      </c>
      <c r="M92" s="121" t="s">
        <v>250</v>
      </c>
      <c r="N92" s="121" t="s">
        <v>251</v>
      </c>
      <c r="O92" s="121" t="s">
        <v>252</v>
      </c>
      <c r="P92" s="121" t="s">
        <v>253</v>
      </c>
      <c r="Q92" s="240"/>
      <c r="R92" s="240"/>
      <c r="S92" s="240"/>
    </row>
    <row r="93" spans="1:19" ht="27.75" hidden="1" customHeight="1">
      <c r="A93" s="245" t="s">
        <v>20</v>
      </c>
      <c r="B93" s="246"/>
      <c r="C93" s="33">
        <v>642</v>
      </c>
      <c r="D93" s="33">
        <v>577</v>
      </c>
      <c r="E93" s="33">
        <v>529</v>
      </c>
      <c r="F93" s="33">
        <v>538</v>
      </c>
      <c r="G93" s="33">
        <v>455</v>
      </c>
      <c r="H93" s="33">
        <v>463</v>
      </c>
      <c r="I93" s="33">
        <v>598</v>
      </c>
      <c r="J93" s="33">
        <v>484</v>
      </c>
      <c r="K93" s="33">
        <v>500</v>
      </c>
      <c r="L93" s="33">
        <v>744</v>
      </c>
      <c r="M93" s="33">
        <v>740</v>
      </c>
      <c r="N93" s="33">
        <v>635</v>
      </c>
      <c r="O93" s="33">
        <v>762</v>
      </c>
      <c r="P93" s="33">
        <v>408</v>
      </c>
      <c r="Q93" s="240"/>
      <c r="R93" s="240"/>
      <c r="S93" s="240"/>
    </row>
    <row r="94" spans="1:19">
      <c r="A94" s="3" t="s">
        <v>7</v>
      </c>
      <c r="B94" s="2" t="s">
        <v>8</v>
      </c>
      <c r="C94" s="4" t="s">
        <v>9</v>
      </c>
      <c r="D94" s="4" t="s">
        <v>9</v>
      </c>
      <c r="E94" s="4" t="s">
        <v>9</v>
      </c>
      <c r="F94" s="4" t="s">
        <v>9</v>
      </c>
      <c r="G94" s="4" t="s">
        <v>9</v>
      </c>
      <c r="H94" s="4" t="s">
        <v>9</v>
      </c>
      <c r="I94" s="4" t="s">
        <v>9</v>
      </c>
      <c r="J94" s="4" t="s">
        <v>9</v>
      </c>
      <c r="K94" s="4" t="s">
        <v>9</v>
      </c>
      <c r="L94" s="4" t="s">
        <v>9</v>
      </c>
      <c r="M94" s="4" t="s">
        <v>9</v>
      </c>
      <c r="N94" s="4" t="s">
        <v>9</v>
      </c>
      <c r="O94" s="4" t="s">
        <v>9</v>
      </c>
      <c r="P94" s="4" t="s">
        <v>9</v>
      </c>
      <c r="Q94" s="241"/>
      <c r="R94" s="241"/>
      <c r="S94" s="241"/>
    </row>
    <row r="95" spans="1:19">
      <c r="A95" s="172">
        <v>1</v>
      </c>
      <c r="B95" s="173" t="s">
        <v>85</v>
      </c>
      <c r="C95" s="178">
        <v>130</v>
      </c>
      <c r="D95" s="178">
        <v>85</v>
      </c>
      <c r="E95" s="178">
        <v>249</v>
      </c>
      <c r="F95" s="178">
        <v>182</v>
      </c>
      <c r="G95" s="178">
        <v>68</v>
      </c>
      <c r="H95" s="178">
        <v>58</v>
      </c>
      <c r="I95" s="178">
        <v>108</v>
      </c>
      <c r="J95" s="178">
        <v>233</v>
      </c>
      <c r="K95" s="178">
        <v>257</v>
      </c>
      <c r="L95" s="178">
        <v>136</v>
      </c>
      <c r="M95" s="178">
        <v>17</v>
      </c>
      <c r="N95" s="178">
        <v>87</v>
      </c>
      <c r="O95" s="178">
        <v>222</v>
      </c>
      <c r="P95" s="178">
        <v>217</v>
      </c>
      <c r="Q95" s="176">
        <f>SUM(C95:P95)</f>
        <v>2049</v>
      </c>
      <c r="R95" s="176">
        <f t="shared" ref="R95:R103" si="13">S66</f>
        <v>6507</v>
      </c>
      <c r="S95" s="176">
        <f>Q95+R95</f>
        <v>8556</v>
      </c>
    </row>
    <row r="96" spans="1:19">
      <c r="A96" s="172">
        <v>2</v>
      </c>
      <c r="B96" s="173" t="s">
        <v>156</v>
      </c>
      <c r="C96" s="178">
        <v>379</v>
      </c>
      <c r="D96" s="178">
        <v>455</v>
      </c>
      <c r="E96" s="178">
        <v>227</v>
      </c>
      <c r="F96" s="178">
        <v>181</v>
      </c>
      <c r="G96" s="178">
        <v>296</v>
      </c>
      <c r="H96" s="178">
        <v>362</v>
      </c>
      <c r="I96" s="178">
        <v>471</v>
      </c>
      <c r="J96" s="178">
        <v>198</v>
      </c>
      <c r="K96" s="178">
        <v>229</v>
      </c>
      <c r="L96" s="178">
        <v>583</v>
      </c>
      <c r="M96" s="178">
        <v>45</v>
      </c>
      <c r="N96" s="178">
        <v>527</v>
      </c>
      <c r="O96" s="178">
        <v>502</v>
      </c>
      <c r="P96" s="178">
        <v>182</v>
      </c>
      <c r="Q96" s="176">
        <f t="shared" ref="Q96:Q104" si="14">SUM(C96:P96)</f>
        <v>4637</v>
      </c>
      <c r="R96" s="176">
        <f t="shared" si="13"/>
        <v>13616</v>
      </c>
      <c r="S96" s="176">
        <f t="shared" ref="S96:S105" si="15">Q96+R96</f>
        <v>18253</v>
      </c>
    </row>
    <row r="97" spans="1:19">
      <c r="A97" s="172">
        <v>3</v>
      </c>
      <c r="B97" s="173" t="s">
        <v>157</v>
      </c>
      <c r="C97" s="178">
        <v>11</v>
      </c>
      <c r="D97" s="178">
        <v>5</v>
      </c>
      <c r="E97" s="178">
        <v>3</v>
      </c>
      <c r="F97" s="178">
        <v>3</v>
      </c>
      <c r="G97" s="178">
        <v>5</v>
      </c>
      <c r="H97" s="178">
        <v>9</v>
      </c>
      <c r="I97" s="178">
        <v>5</v>
      </c>
      <c r="J97" s="178">
        <v>3</v>
      </c>
      <c r="K97" s="178">
        <v>1</v>
      </c>
      <c r="L97" s="178">
        <v>7</v>
      </c>
      <c r="M97" s="178">
        <v>2</v>
      </c>
      <c r="N97" s="178">
        <v>10</v>
      </c>
      <c r="O97" s="178">
        <v>14</v>
      </c>
      <c r="P97" s="178">
        <v>3</v>
      </c>
      <c r="Q97" s="176">
        <f t="shared" si="14"/>
        <v>81</v>
      </c>
      <c r="R97" s="176">
        <f t="shared" si="13"/>
        <v>263</v>
      </c>
      <c r="S97" s="176">
        <f t="shared" si="15"/>
        <v>344</v>
      </c>
    </row>
    <row r="98" spans="1:19">
      <c r="A98" s="172">
        <v>4</v>
      </c>
      <c r="B98" s="173" t="s">
        <v>158</v>
      </c>
      <c r="C98" s="178">
        <v>106</v>
      </c>
      <c r="D98" s="178">
        <v>8</v>
      </c>
      <c r="E98" s="178">
        <v>44</v>
      </c>
      <c r="F98" s="178">
        <v>161</v>
      </c>
      <c r="G98" s="178">
        <v>79</v>
      </c>
      <c r="H98" s="178">
        <v>30</v>
      </c>
      <c r="I98" s="178">
        <v>5</v>
      </c>
      <c r="J98" s="178">
        <v>47</v>
      </c>
      <c r="K98" s="178">
        <v>6</v>
      </c>
      <c r="L98" s="178">
        <v>9</v>
      </c>
      <c r="M98" s="178">
        <v>660</v>
      </c>
      <c r="N98" s="178">
        <v>7</v>
      </c>
      <c r="O98" s="178">
        <v>6</v>
      </c>
      <c r="P98" s="178">
        <v>2</v>
      </c>
      <c r="Q98" s="176">
        <f t="shared" si="14"/>
        <v>1170</v>
      </c>
      <c r="R98" s="176">
        <f t="shared" si="13"/>
        <v>3783</v>
      </c>
      <c r="S98" s="176">
        <f t="shared" si="15"/>
        <v>4953</v>
      </c>
    </row>
    <row r="99" spans="1:19">
      <c r="A99" s="172">
        <v>5</v>
      </c>
      <c r="B99" s="173" t="s">
        <v>159</v>
      </c>
      <c r="C99" s="178">
        <v>2</v>
      </c>
      <c r="D99" s="178">
        <v>1</v>
      </c>
      <c r="E99" s="178">
        <v>2</v>
      </c>
      <c r="F99" s="178">
        <v>0</v>
      </c>
      <c r="G99" s="178">
        <v>0</v>
      </c>
      <c r="H99" s="178">
        <v>0</v>
      </c>
      <c r="I99" s="178">
        <v>0</v>
      </c>
      <c r="J99" s="178">
        <v>1</v>
      </c>
      <c r="K99" s="178">
        <v>0</v>
      </c>
      <c r="L99" s="178">
        <v>1</v>
      </c>
      <c r="M99" s="178">
        <v>3</v>
      </c>
      <c r="N99" s="178">
        <v>1</v>
      </c>
      <c r="O99" s="178">
        <v>1</v>
      </c>
      <c r="P99" s="178">
        <v>1</v>
      </c>
      <c r="Q99" s="176">
        <f t="shared" si="14"/>
        <v>13</v>
      </c>
      <c r="R99" s="176">
        <f t="shared" si="13"/>
        <v>75</v>
      </c>
      <c r="S99" s="176">
        <f t="shared" si="15"/>
        <v>88</v>
      </c>
    </row>
    <row r="100" spans="1:19">
      <c r="A100" s="172">
        <v>6</v>
      </c>
      <c r="B100" s="173" t="s">
        <v>160</v>
      </c>
      <c r="C100" s="178">
        <v>1</v>
      </c>
      <c r="D100" s="178">
        <v>3</v>
      </c>
      <c r="E100" s="178">
        <v>0</v>
      </c>
      <c r="F100" s="178">
        <v>0</v>
      </c>
      <c r="G100" s="178">
        <v>2</v>
      </c>
      <c r="H100" s="178">
        <v>0</v>
      </c>
      <c r="I100" s="178">
        <v>1</v>
      </c>
      <c r="J100" s="178">
        <v>0</v>
      </c>
      <c r="K100" s="178">
        <v>2</v>
      </c>
      <c r="L100" s="178">
        <v>2</v>
      </c>
      <c r="M100" s="178">
        <v>4</v>
      </c>
      <c r="N100" s="178">
        <v>1</v>
      </c>
      <c r="O100" s="178">
        <v>1</v>
      </c>
      <c r="P100" s="178">
        <v>0</v>
      </c>
      <c r="Q100" s="176">
        <f t="shared" si="14"/>
        <v>17</v>
      </c>
      <c r="R100" s="176">
        <f t="shared" si="13"/>
        <v>91</v>
      </c>
      <c r="S100" s="176">
        <f t="shared" si="15"/>
        <v>108</v>
      </c>
    </row>
    <row r="101" spans="1:19">
      <c r="A101" s="172">
        <v>7</v>
      </c>
      <c r="B101" s="173" t="s">
        <v>86</v>
      </c>
      <c r="C101" s="178">
        <v>5</v>
      </c>
      <c r="D101" s="178">
        <v>1</v>
      </c>
      <c r="E101" s="178">
        <v>0</v>
      </c>
      <c r="F101" s="178">
        <v>4</v>
      </c>
      <c r="G101" s="178">
        <v>0</v>
      </c>
      <c r="H101" s="178">
        <v>1</v>
      </c>
      <c r="I101" s="178">
        <v>1</v>
      </c>
      <c r="J101" s="178">
        <v>1</v>
      </c>
      <c r="K101" s="178">
        <v>1</v>
      </c>
      <c r="L101" s="178">
        <v>4</v>
      </c>
      <c r="M101" s="178">
        <v>4</v>
      </c>
      <c r="N101" s="178">
        <v>0</v>
      </c>
      <c r="O101" s="178">
        <v>4</v>
      </c>
      <c r="P101" s="178">
        <v>0</v>
      </c>
      <c r="Q101" s="176">
        <f t="shared" si="14"/>
        <v>26</v>
      </c>
      <c r="R101" s="176">
        <f t="shared" si="13"/>
        <v>108</v>
      </c>
      <c r="S101" s="176">
        <f t="shared" si="15"/>
        <v>134</v>
      </c>
    </row>
    <row r="102" spans="1:19">
      <c r="A102" s="172">
        <v>8</v>
      </c>
      <c r="B102" s="173" t="s">
        <v>161</v>
      </c>
      <c r="C102" s="178">
        <v>3</v>
      </c>
      <c r="D102" s="178">
        <v>1</v>
      </c>
      <c r="E102" s="178">
        <v>2</v>
      </c>
      <c r="F102" s="178">
        <v>3</v>
      </c>
      <c r="G102" s="178">
        <v>1</v>
      </c>
      <c r="H102" s="178">
        <v>2</v>
      </c>
      <c r="I102" s="178">
        <v>2</v>
      </c>
      <c r="J102" s="178">
        <v>0</v>
      </c>
      <c r="K102" s="178">
        <v>2</v>
      </c>
      <c r="L102" s="178">
        <v>2</v>
      </c>
      <c r="M102" s="178">
        <v>4</v>
      </c>
      <c r="N102" s="178">
        <v>1</v>
      </c>
      <c r="O102" s="178">
        <v>5</v>
      </c>
      <c r="P102" s="178">
        <v>0</v>
      </c>
      <c r="Q102" s="176">
        <f t="shared" si="14"/>
        <v>28</v>
      </c>
      <c r="R102" s="176">
        <f t="shared" si="13"/>
        <v>83</v>
      </c>
      <c r="S102" s="176">
        <f t="shared" si="15"/>
        <v>111</v>
      </c>
    </row>
    <row r="103" spans="1:19">
      <c r="A103" s="172">
        <v>9</v>
      </c>
      <c r="B103" s="174" t="s">
        <v>10</v>
      </c>
      <c r="C103" s="178">
        <v>5</v>
      </c>
      <c r="D103" s="178">
        <v>18</v>
      </c>
      <c r="E103" s="178">
        <v>2</v>
      </c>
      <c r="F103" s="178">
        <v>4</v>
      </c>
      <c r="G103" s="178">
        <v>4</v>
      </c>
      <c r="H103" s="178">
        <v>1</v>
      </c>
      <c r="I103" s="178">
        <v>5</v>
      </c>
      <c r="J103" s="178">
        <v>1</v>
      </c>
      <c r="K103" s="178">
        <v>2</v>
      </c>
      <c r="L103" s="178">
        <v>0</v>
      </c>
      <c r="M103" s="178">
        <v>1</v>
      </c>
      <c r="N103" s="178">
        <v>1</v>
      </c>
      <c r="O103" s="178">
        <v>7</v>
      </c>
      <c r="P103" s="178">
        <v>3</v>
      </c>
      <c r="Q103" s="176">
        <f t="shared" si="14"/>
        <v>54</v>
      </c>
      <c r="R103" s="176">
        <f t="shared" si="13"/>
        <v>111</v>
      </c>
      <c r="S103" s="176">
        <f t="shared" si="15"/>
        <v>165</v>
      </c>
    </row>
    <row r="104" spans="1:19">
      <c r="A104" s="234" t="s">
        <v>11</v>
      </c>
      <c r="B104" s="235"/>
      <c r="C104" s="179">
        <v>0</v>
      </c>
      <c r="D104" s="179">
        <v>0</v>
      </c>
      <c r="E104" s="179">
        <v>0</v>
      </c>
      <c r="F104" s="179">
        <v>0</v>
      </c>
      <c r="G104" s="179">
        <v>0</v>
      </c>
      <c r="H104" s="179">
        <v>0</v>
      </c>
      <c r="I104" s="179">
        <v>0</v>
      </c>
      <c r="J104" s="179">
        <v>0</v>
      </c>
      <c r="K104" s="179">
        <v>0</v>
      </c>
      <c r="L104" s="179">
        <v>0</v>
      </c>
      <c r="M104" s="179">
        <v>0</v>
      </c>
      <c r="N104" s="179">
        <v>0</v>
      </c>
      <c r="O104" s="179">
        <v>0</v>
      </c>
      <c r="P104" s="179">
        <v>0</v>
      </c>
      <c r="Q104" s="176">
        <f t="shared" si="14"/>
        <v>0</v>
      </c>
      <c r="R104" s="176">
        <f t="shared" ref="R104:R105" si="16">S75</f>
        <v>0</v>
      </c>
      <c r="S104" s="176">
        <f t="shared" si="15"/>
        <v>0</v>
      </c>
    </row>
    <row r="105" spans="1:19">
      <c r="A105" s="236" t="s">
        <v>12</v>
      </c>
      <c r="B105" s="236"/>
      <c r="C105" s="176">
        <f t="shared" ref="C105:Q105" si="17">SUM(C95:C104)</f>
        <v>642</v>
      </c>
      <c r="D105" s="176">
        <f t="shared" si="17"/>
        <v>577</v>
      </c>
      <c r="E105" s="176">
        <f t="shared" si="17"/>
        <v>529</v>
      </c>
      <c r="F105" s="176">
        <f t="shared" si="17"/>
        <v>538</v>
      </c>
      <c r="G105" s="176">
        <f t="shared" si="17"/>
        <v>455</v>
      </c>
      <c r="H105" s="176">
        <f t="shared" si="17"/>
        <v>463</v>
      </c>
      <c r="I105" s="176">
        <f t="shared" si="17"/>
        <v>598</v>
      </c>
      <c r="J105" s="176">
        <f t="shared" si="17"/>
        <v>484</v>
      </c>
      <c r="K105" s="176">
        <f t="shared" si="17"/>
        <v>500</v>
      </c>
      <c r="L105" s="176">
        <f t="shared" si="17"/>
        <v>744</v>
      </c>
      <c r="M105" s="176">
        <f t="shared" si="17"/>
        <v>740</v>
      </c>
      <c r="N105" s="176">
        <f t="shared" si="17"/>
        <v>635</v>
      </c>
      <c r="O105" s="176">
        <f t="shared" si="17"/>
        <v>762</v>
      </c>
      <c r="P105" s="176">
        <f t="shared" si="17"/>
        <v>408</v>
      </c>
      <c r="Q105" s="176">
        <f t="shared" si="17"/>
        <v>8075</v>
      </c>
      <c r="R105" s="176">
        <f t="shared" si="16"/>
        <v>24637</v>
      </c>
      <c r="S105" s="176">
        <f t="shared" si="15"/>
        <v>32712</v>
      </c>
    </row>
    <row r="106" spans="1:19" ht="11.25" customHeight="1">
      <c r="A106" s="5"/>
      <c r="B106" s="5"/>
      <c r="C106" s="6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8"/>
      <c r="R106" s="7"/>
      <c r="S106" s="7"/>
    </row>
    <row r="107" spans="1:19" ht="22.5">
      <c r="A107" s="9"/>
      <c r="B107" s="9"/>
      <c r="C107" s="10" t="s">
        <v>13</v>
      </c>
      <c r="D107" s="10" t="s">
        <v>13</v>
      </c>
      <c r="E107" s="10" t="s">
        <v>13</v>
      </c>
      <c r="F107" s="10" t="s">
        <v>13</v>
      </c>
      <c r="G107" s="10" t="s">
        <v>13</v>
      </c>
      <c r="H107" s="10" t="s">
        <v>13</v>
      </c>
      <c r="I107" s="10" t="s">
        <v>13</v>
      </c>
      <c r="J107" s="10" t="s">
        <v>13</v>
      </c>
      <c r="K107" s="10" t="s">
        <v>13</v>
      </c>
      <c r="L107" s="10" t="s">
        <v>13</v>
      </c>
      <c r="M107" s="10" t="s">
        <v>13</v>
      </c>
      <c r="N107" s="10" t="s">
        <v>13</v>
      </c>
      <c r="O107" s="10" t="s">
        <v>13</v>
      </c>
      <c r="P107" s="10" t="s">
        <v>13</v>
      </c>
      <c r="Q107" s="10" t="s">
        <v>13</v>
      </c>
      <c r="R107" s="10" t="s">
        <v>13</v>
      </c>
      <c r="S107" s="10" t="s">
        <v>13</v>
      </c>
    </row>
    <row r="108" spans="1:19" ht="9" customHeight="1">
      <c r="A108" s="9"/>
      <c r="B108" s="9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</row>
    <row r="109" spans="1:19" ht="22.5">
      <c r="A109" s="9"/>
      <c r="B109" s="9"/>
      <c r="C109" s="10" t="s">
        <v>14</v>
      </c>
      <c r="D109" s="10" t="s">
        <v>14</v>
      </c>
      <c r="E109" s="10" t="s">
        <v>14</v>
      </c>
      <c r="F109" s="10" t="s">
        <v>14</v>
      </c>
      <c r="G109" s="10" t="s">
        <v>14</v>
      </c>
      <c r="H109" s="10" t="s">
        <v>14</v>
      </c>
      <c r="I109" s="10" t="s">
        <v>14</v>
      </c>
      <c r="J109" s="10" t="s">
        <v>14</v>
      </c>
      <c r="K109" s="10" t="s">
        <v>14</v>
      </c>
      <c r="L109" s="10" t="s">
        <v>14</v>
      </c>
      <c r="M109" s="10" t="s">
        <v>14</v>
      </c>
      <c r="N109" s="10" t="s">
        <v>14</v>
      </c>
      <c r="O109" s="10" t="s">
        <v>14</v>
      </c>
      <c r="P109" s="10" t="s">
        <v>14</v>
      </c>
      <c r="Q109" s="10" t="s">
        <v>14</v>
      </c>
      <c r="R109" s="10" t="s">
        <v>14</v>
      </c>
      <c r="S109" s="10" t="s">
        <v>14</v>
      </c>
    </row>
    <row r="110" spans="1:19" ht="12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</row>
    <row r="111" spans="1:19">
      <c r="A111" s="237" t="s">
        <v>15</v>
      </c>
      <c r="B111" s="237"/>
      <c r="C111" s="238" t="s">
        <v>16</v>
      </c>
      <c r="D111" s="238"/>
      <c r="E111" s="238"/>
      <c r="F111" s="238"/>
      <c r="G111" s="238"/>
      <c r="H111" s="238"/>
      <c r="I111" s="238"/>
      <c r="J111" s="238"/>
      <c r="K111" s="238"/>
      <c r="L111" s="238"/>
      <c r="M111" s="238"/>
      <c r="N111" s="238"/>
      <c r="O111" s="238"/>
      <c r="P111" s="238"/>
      <c r="Q111" s="238"/>
      <c r="R111" s="9"/>
      <c r="S111" s="9"/>
    </row>
    <row r="112" spans="1:19">
      <c r="A112" s="9"/>
      <c r="B112" s="9"/>
      <c r="C112" s="238" t="s">
        <v>17</v>
      </c>
      <c r="D112" s="238"/>
      <c r="E112" s="238"/>
      <c r="F112" s="238"/>
      <c r="G112" s="238"/>
      <c r="H112" s="238"/>
      <c r="I112" s="238"/>
      <c r="J112" s="238"/>
      <c r="K112" s="238"/>
      <c r="L112" s="238"/>
      <c r="M112" s="238"/>
      <c r="N112" s="238"/>
      <c r="O112" s="238"/>
      <c r="P112" s="238"/>
      <c r="Q112" s="238"/>
      <c r="R112" s="9"/>
      <c r="S112" s="9"/>
    </row>
    <row r="113" spans="1:19" ht="15" customHeight="1">
      <c r="A113" s="9"/>
      <c r="B113" s="9"/>
      <c r="C113" s="228" t="s">
        <v>45</v>
      </c>
      <c r="D113" s="228"/>
      <c r="E113" s="228"/>
      <c r="F113" s="228"/>
      <c r="G113" s="228"/>
      <c r="H113" s="228"/>
      <c r="I113" s="228"/>
      <c r="J113" s="228"/>
      <c r="K113" s="228"/>
      <c r="L113" s="228"/>
      <c r="M113" s="228"/>
      <c r="N113" s="228"/>
      <c r="O113" s="228"/>
      <c r="P113" s="228"/>
      <c r="Q113" s="228"/>
      <c r="R113" s="9"/>
      <c r="S113" s="9"/>
    </row>
    <row r="114" spans="1:19">
      <c r="A114" s="23"/>
      <c r="B114" s="23"/>
      <c r="C114" s="228" t="s">
        <v>46</v>
      </c>
      <c r="D114" s="228"/>
      <c r="E114" s="228"/>
      <c r="F114" s="228"/>
      <c r="G114" s="228"/>
      <c r="H114" s="228"/>
      <c r="I114" s="228"/>
      <c r="J114" s="228"/>
      <c r="K114" s="228"/>
      <c r="L114" s="228"/>
      <c r="M114" s="228"/>
      <c r="N114" s="228"/>
      <c r="O114" s="228"/>
      <c r="P114" s="228"/>
      <c r="Q114" s="228"/>
      <c r="R114" s="23"/>
      <c r="S114" s="23"/>
    </row>
    <row r="115" spans="1:19" ht="15" customHeight="1">
      <c r="A115" s="60"/>
      <c r="B115" s="61" t="s">
        <v>139</v>
      </c>
      <c r="C115" s="227" t="s">
        <v>138</v>
      </c>
      <c r="D115" s="227"/>
      <c r="E115" s="227"/>
      <c r="F115" s="227"/>
      <c r="G115" s="227"/>
      <c r="H115" s="227"/>
      <c r="I115" s="227"/>
      <c r="J115" s="227"/>
      <c r="K115" s="227"/>
      <c r="L115" s="227"/>
      <c r="M115" s="227"/>
      <c r="N115" s="227"/>
      <c r="O115" s="227"/>
      <c r="P115" s="227"/>
      <c r="Q115" s="227"/>
      <c r="R115" s="60"/>
      <c r="S115" s="60"/>
    </row>
    <row r="116" spans="1:19">
      <c r="A116" s="23"/>
      <c r="B116" s="23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3"/>
      <c r="S116" s="23"/>
    </row>
    <row r="117" spans="1:19" ht="26.25">
      <c r="A117" s="229" t="s">
        <v>0</v>
      </c>
      <c r="B117" s="229"/>
      <c r="C117" s="229"/>
      <c r="D117" s="229"/>
      <c r="E117" s="229"/>
      <c r="F117" s="229"/>
      <c r="G117" s="229"/>
      <c r="H117" s="229"/>
      <c r="I117" s="229"/>
      <c r="J117" s="229"/>
      <c r="K117" s="229"/>
      <c r="L117" s="229"/>
      <c r="M117" s="229"/>
      <c r="N117" s="229"/>
      <c r="O117" s="229"/>
      <c r="P117" s="229"/>
      <c r="Q117" s="229"/>
      <c r="R117" s="229"/>
      <c r="S117" s="229"/>
    </row>
    <row r="118" spans="1:19" ht="19.5" customHeight="1">
      <c r="A118" s="230" t="s">
        <v>83</v>
      </c>
      <c r="B118" s="230"/>
      <c r="C118" s="230"/>
      <c r="D118" s="230"/>
      <c r="E118" s="230"/>
      <c r="F118" s="230"/>
      <c r="G118" s="230"/>
      <c r="H118" s="230"/>
      <c r="I118" s="1"/>
      <c r="J118" s="1"/>
      <c r="K118" s="231" t="s">
        <v>24</v>
      </c>
      <c r="L118" s="231"/>
      <c r="M118" s="231"/>
      <c r="N118" s="231"/>
      <c r="O118" s="1"/>
      <c r="P118" s="232" t="s">
        <v>1</v>
      </c>
      <c r="Q118" s="232"/>
      <c r="R118" s="233">
        <v>44630</v>
      </c>
      <c r="S118" s="233"/>
    </row>
    <row r="119" spans="1:19">
      <c r="A119" s="242" t="s">
        <v>2</v>
      </c>
      <c r="B119" s="242"/>
      <c r="C119" s="11">
        <v>1</v>
      </c>
      <c r="D119" s="11">
        <v>2</v>
      </c>
      <c r="E119" s="11">
        <v>3</v>
      </c>
      <c r="F119" s="11">
        <v>4</v>
      </c>
      <c r="G119" s="11">
        <v>5</v>
      </c>
      <c r="H119" s="11">
        <v>6</v>
      </c>
      <c r="I119" s="11">
        <v>7</v>
      </c>
      <c r="J119" s="11">
        <v>8</v>
      </c>
      <c r="K119" s="11">
        <v>9</v>
      </c>
      <c r="L119" s="11">
        <v>10</v>
      </c>
      <c r="M119" s="11">
        <v>11</v>
      </c>
      <c r="N119" s="11">
        <v>12</v>
      </c>
      <c r="O119" s="11">
        <v>13</v>
      </c>
      <c r="P119" s="11">
        <v>14</v>
      </c>
      <c r="Q119" s="239" t="s">
        <v>3</v>
      </c>
      <c r="R119" s="239" t="s">
        <v>4</v>
      </c>
      <c r="S119" s="239" t="s">
        <v>5</v>
      </c>
    </row>
    <row r="120" spans="1:19">
      <c r="A120" s="242" t="s">
        <v>6</v>
      </c>
      <c r="B120" s="242"/>
      <c r="C120" s="11">
        <v>57</v>
      </c>
      <c r="D120" s="11">
        <v>58</v>
      </c>
      <c r="E120" s="11">
        <v>59</v>
      </c>
      <c r="F120" s="11">
        <v>60</v>
      </c>
      <c r="G120" s="11">
        <v>61</v>
      </c>
      <c r="H120" s="11">
        <v>62</v>
      </c>
      <c r="I120" s="11">
        <v>63</v>
      </c>
      <c r="J120" s="11">
        <v>64</v>
      </c>
      <c r="K120" s="11">
        <v>65</v>
      </c>
      <c r="L120" s="11">
        <v>66</v>
      </c>
      <c r="M120" s="11">
        <v>67</v>
      </c>
      <c r="N120" s="11">
        <v>68</v>
      </c>
      <c r="O120" s="11">
        <v>69</v>
      </c>
      <c r="P120" s="11">
        <v>70</v>
      </c>
      <c r="Q120" s="240"/>
      <c r="R120" s="240"/>
      <c r="S120" s="240"/>
    </row>
    <row r="121" spans="1:19" ht="31.5">
      <c r="A121" s="243" t="s">
        <v>18</v>
      </c>
      <c r="B121" s="244"/>
      <c r="C121" s="118" t="s">
        <v>254</v>
      </c>
      <c r="D121" s="118" t="s">
        <v>255</v>
      </c>
      <c r="E121" s="118" t="s">
        <v>256</v>
      </c>
      <c r="F121" s="118" t="s">
        <v>257</v>
      </c>
      <c r="G121" s="118" t="s">
        <v>258</v>
      </c>
      <c r="H121" s="118" t="s">
        <v>259</v>
      </c>
      <c r="I121" s="118" t="s">
        <v>260</v>
      </c>
      <c r="J121" s="118" t="s">
        <v>261</v>
      </c>
      <c r="K121" s="118" t="s">
        <v>615</v>
      </c>
      <c r="L121" s="118" t="s">
        <v>262</v>
      </c>
      <c r="M121" s="118" t="s">
        <v>263</v>
      </c>
      <c r="N121" s="118" t="s">
        <v>616</v>
      </c>
      <c r="O121" s="118" t="s">
        <v>264</v>
      </c>
      <c r="P121" s="118" t="s">
        <v>265</v>
      </c>
      <c r="Q121" s="240"/>
      <c r="R121" s="240"/>
      <c r="S121" s="240"/>
    </row>
    <row r="122" spans="1:19" ht="29.25" hidden="1" customHeight="1">
      <c r="A122" s="245" t="s">
        <v>20</v>
      </c>
      <c r="B122" s="246"/>
      <c r="C122" s="33">
        <v>614</v>
      </c>
      <c r="D122" s="33">
        <v>613</v>
      </c>
      <c r="E122" s="33">
        <v>694</v>
      </c>
      <c r="F122" s="33">
        <v>445</v>
      </c>
      <c r="G122" s="33">
        <v>535</v>
      </c>
      <c r="H122" s="33">
        <v>622</v>
      </c>
      <c r="I122" s="33">
        <v>465</v>
      </c>
      <c r="J122" s="33">
        <v>575</v>
      </c>
      <c r="K122" s="33">
        <v>654</v>
      </c>
      <c r="L122" s="33">
        <v>526</v>
      </c>
      <c r="M122" s="33">
        <v>509</v>
      </c>
      <c r="N122" s="33">
        <v>501</v>
      </c>
      <c r="O122" s="33">
        <v>564</v>
      </c>
      <c r="P122" s="33">
        <v>582</v>
      </c>
      <c r="Q122" s="240"/>
      <c r="R122" s="240"/>
      <c r="S122" s="240"/>
    </row>
    <row r="123" spans="1:19">
      <c r="A123" s="12" t="s">
        <v>7</v>
      </c>
      <c r="B123" s="11" t="s">
        <v>8</v>
      </c>
      <c r="C123" s="13" t="s">
        <v>9</v>
      </c>
      <c r="D123" s="13" t="s">
        <v>9</v>
      </c>
      <c r="E123" s="13" t="s">
        <v>9</v>
      </c>
      <c r="F123" s="13" t="s">
        <v>9</v>
      </c>
      <c r="G123" s="13" t="s">
        <v>9</v>
      </c>
      <c r="H123" s="13" t="s">
        <v>9</v>
      </c>
      <c r="I123" s="13" t="s">
        <v>9</v>
      </c>
      <c r="J123" s="13" t="s">
        <v>9</v>
      </c>
      <c r="K123" s="13" t="s">
        <v>9</v>
      </c>
      <c r="L123" s="13" t="s">
        <v>9</v>
      </c>
      <c r="M123" s="13" t="s">
        <v>9</v>
      </c>
      <c r="N123" s="13" t="s">
        <v>9</v>
      </c>
      <c r="O123" s="13" t="s">
        <v>9</v>
      </c>
      <c r="P123" s="13" t="s">
        <v>9</v>
      </c>
      <c r="Q123" s="241"/>
      <c r="R123" s="241"/>
      <c r="S123" s="241"/>
    </row>
    <row r="124" spans="1:19">
      <c r="A124" s="172">
        <v>1</v>
      </c>
      <c r="B124" s="173" t="s">
        <v>85</v>
      </c>
      <c r="C124" s="178">
        <v>172</v>
      </c>
      <c r="D124" s="178">
        <v>89</v>
      </c>
      <c r="E124" s="178">
        <v>253</v>
      </c>
      <c r="F124" s="178">
        <v>114</v>
      </c>
      <c r="G124" s="178">
        <v>116</v>
      </c>
      <c r="H124" s="178">
        <v>183</v>
      </c>
      <c r="I124" s="178">
        <v>119</v>
      </c>
      <c r="J124" s="178">
        <v>87</v>
      </c>
      <c r="K124" s="178">
        <v>209</v>
      </c>
      <c r="L124" s="178">
        <v>144</v>
      </c>
      <c r="M124" s="178">
        <v>22</v>
      </c>
      <c r="N124" s="178">
        <v>75</v>
      </c>
      <c r="O124" s="178">
        <v>34</v>
      </c>
      <c r="P124" s="178">
        <v>15</v>
      </c>
      <c r="Q124" s="176">
        <f>SUM(C124:P124)</f>
        <v>1632</v>
      </c>
      <c r="R124" s="176">
        <f t="shared" ref="R124:R132" si="18">S95</f>
        <v>8556</v>
      </c>
      <c r="S124" s="176">
        <f>Q124+R124</f>
        <v>10188</v>
      </c>
    </row>
    <row r="125" spans="1:19">
      <c r="A125" s="172">
        <v>2</v>
      </c>
      <c r="B125" s="173" t="s">
        <v>156</v>
      </c>
      <c r="C125" s="178">
        <v>409</v>
      </c>
      <c r="D125" s="178">
        <v>501</v>
      </c>
      <c r="E125" s="178">
        <v>425</v>
      </c>
      <c r="F125" s="178">
        <v>172</v>
      </c>
      <c r="G125" s="178">
        <v>134</v>
      </c>
      <c r="H125" s="178">
        <v>227</v>
      </c>
      <c r="I125" s="178">
        <v>279</v>
      </c>
      <c r="J125" s="178">
        <v>284</v>
      </c>
      <c r="K125" s="178">
        <v>418</v>
      </c>
      <c r="L125" s="178">
        <v>221</v>
      </c>
      <c r="M125" s="178">
        <v>73</v>
      </c>
      <c r="N125" s="178">
        <v>206</v>
      </c>
      <c r="O125" s="178">
        <v>463</v>
      </c>
      <c r="P125" s="178">
        <v>540</v>
      </c>
      <c r="Q125" s="176">
        <f t="shared" ref="Q125:Q133" si="19">SUM(C125:P125)</f>
        <v>4352</v>
      </c>
      <c r="R125" s="176">
        <f t="shared" si="18"/>
        <v>18253</v>
      </c>
      <c r="S125" s="176">
        <f t="shared" ref="S125:S134" si="20">Q125+R125</f>
        <v>22605</v>
      </c>
    </row>
    <row r="126" spans="1:19">
      <c r="A126" s="172">
        <v>3</v>
      </c>
      <c r="B126" s="173" t="s">
        <v>157</v>
      </c>
      <c r="C126" s="178">
        <v>7</v>
      </c>
      <c r="D126" s="178">
        <v>6</v>
      </c>
      <c r="E126" s="178">
        <v>4</v>
      </c>
      <c r="F126" s="178">
        <v>2</v>
      </c>
      <c r="G126" s="178">
        <v>7</v>
      </c>
      <c r="H126" s="178">
        <v>3</v>
      </c>
      <c r="I126" s="178">
        <v>5</v>
      </c>
      <c r="J126" s="178">
        <v>3</v>
      </c>
      <c r="K126" s="178">
        <v>8</v>
      </c>
      <c r="L126" s="178">
        <v>12</v>
      </c>
      <c r="M126" s="178">
        <v>2</v>
      </c>
      <c r="N126" s="178">
        <v>11</v>
      </c>
      <c r="O126" s="178">
        <v>9</v>
      </c>
      <c r="P126" s="178">
        <v>6</v>
      </c>
      <c r="Q126" s="176">
        <f t="shared" si="19"/>
        <v>85</v>
      </c>
      <c r="R126" s="176">
        <f t="shared" si="18"/>
        <v>344</v>
      </c>
      <c r="S126" s="176">
        <f t="shared" si="20"/>
        <v>429</v>
      </c>
    </row>
    <row r="127" spans="1:19">
      <c r="A127" s="172">
        <v>4</v>
      </c>
      <c r="B127" s="173" t="s">
        <v>158</v>
      </c>
      <c r="C127" s="178">
        <v>10</v>
      </c>
      <c r="D127" s="178">
        <v>10</v>
      </c>
      <c r="E127" s="178">
        <v>2</v>
      </c>
      <c r="F127" s="178">
        <v>152</v>
      </c>
      <c r="G127" s="178">
        <v>261</v>
      </c>
      <c r="H127" s="178">
        <v>201</v>
      </c>
      <c r="I127" s="178">
        <v>45</v>
      </c>
      <c r="J127" s="178">
        <v>189</v>
      </c>
      <c r="K127" s="178">
        <v>14</v>
      </c>
      <c r="L127" s="178">
        <v>138</v>
      </c>
      <c r="M127" s="178">
        <v>399</v>
      </c>
      <c r="N127" s="178">
        <v>197</v>
      </c>
      <c r="O127" s="178">
        <v>49</v>
      </c>
      <c r="P127" s="178">
        <v>6</v>
      </c>
      <c r="Q127" s="176">
        <f t="shared" si="19"/>
        <v>1673</v>
      </c>
      <c r="R127" s="176">
        <f t="shared" si="18"/>
        <v>4953</v>
      </c>
      <c r="S127" s="176">
        <f t="shared" si="20"/>
        <v>6626</v>
      </c>
    </row>
    <row r="128" spans="1:19">
      <c r="A128" s="172">
        <v>5</v>
      </c>
      <c r="B128" s="173" t="s">
        <v>159</v>
      </c>
      <c r="C128" s="178">
        <v>0</v>
      </c>
      <c r="D128" s="178">
        <v>0</v>
      </c>
      <c r="E128" s="178">
        <v>1</v>
      </c>
      <c r="F128" s="178">
        <v>2</v>
      </c>
      <c r="G128" s="178">
        <v>5</v>
      </c>
      <c r="H128" s="178">
        <v>2</v>
      </c>
      <c r="I128" s="178">
        <v>2</v>
      </c>
      <c r="J128" s="178">
        <v>2</v>
      </c>
      <c r="K128" s="178">
        <v>0</v>
      </c>
      <c r="L128" s="178">
        <v>1</v>
      </c>
      <c r="M128" s="178">
        <v>5</v>
      </c>
      <c r="N128" s="178">
        <v>4</v>
      </c>
      <c r="O128" s="178">
        <v>1</v>
      </c>
      <c r="P128" s="178">
        <v>0</v>
      </c>
      <c r="Q128" s="176">
        <f t="shared" si="19"/>
        <v>25</v>
      </c>
      <c r="R128" s="176">
        <f t="shared" si="18"/>
        <v>88</v>
      </c>
      <c r="S128" s="176">
        <f t="shared" si="20"/>
        <v>113</v>
      </c>
    </row>
    <row r="129" spans="1:19">
      <c r="A129" s="172">
        <v>6</v>
      </c>
      <c r="B129" s="173" t="s">
        <v>160</v>
      </c>
      <c r="C129" s="178">
        <v>3</v>
      </c>
      <c r="D129" s="178">
        <v>4</v>
      </c>
      <c r="E129" s="178">
        <v>3</v>
      </c>
      <c r="F129" s="178">
        <v>1</v>
      </c>
      <c r="G129" s="178">
        <v>5</v>
      </c>
      <c r="H129" s="178">
        <v>2</v>
      </c>
      <c r="I129" s="178">
        <v>6</v>
      </c>
      <c r="J129" s="178">
        <v>3</v>
      </c>
      <c r="K129" s="178">
        <v>0</v>
      </c>
      <c r="L129" s="178">
        <v>4</v>
      </c>
      <c r="M129" s="178">
        <v>6</v>
      </c>
      <c r="N129" s="178">
        <v>0</v>
      </c>
      <c r="O129" s="178">
        <v>2</v>
      </c>
      <c r="P129" s="178">
        <v>1</v>
      </c>
      <c r="Q129" s="176">
        <f t="shared" si="19"/>
        <v>40</v>
      </c>
      <c r="R129" s="176">
        <f t="shared" si="18"/>
        <v>108</v>
      </c>
      <c r="S129" s="176">
        <f t="shared" si="20"/>
        <v>148</v>
      </c>
    </row>
    <row r="130" spans="1:19">
      <c r="A130" s="172">
        <v>7</v>
      </c>
      <c r="B130" s="173" t="s">
        <v>86</v>
      </c>
      <c r="C130" s="178">
        <v>6</v>
      </c>
      <c r="D130" s="178">
        <v>2</v>
      </c>
      <c r="E130" s="178">
        <v>3</v>
      </c>
      <c r="F130" s="178">
        <v>0</v>
      </c>
      <c r="G130" s="178">
        <v>0</v>
      </c>
      <c r="H130" s="178">
        <v>0</v>
      </c>
      <c r="I130" s="178">
        <v>2</v>
      </c>
      <c r="J130" s="178">
        <v>2</v>
      </c>
      <c r="K130" s="178">
        <v>1</v>
      </c>
      <c r="L130" s="178">
        <v>3</v>
      </c>
      <c r="M130" s="178">
        <v>1</v>
      </c>
      <c r="N130" s="178">
        <v>4</v>
      </c>
      <c r="O130" s="178">
        <v>1</v>
      </c>
      <c r="P130" s="178">
        <v>3</v>
      </c>
      <c r="Q130" s="176">
        <f t="shared" si="19"/>
        <v>28</v>
      </c>
      <c r="R130" s="176">
        <f t="shared" si="18"/>
        <v>134</v>
      </c>
      <c r="S130" s="176">
        <f t="shared" si="20"/>
        <v>162</v>
      </c>
    </row>
    <row r="131" spans="1:19">
      <c r="A131" s="172">
        <v>8</v>
      </c>
      <c r="B131" s="173" t="s">
        <v>161</v>
      </c>
      <c r="C131" s="178">
        <v>4</v>
      </c>
      <c r="D131" s="178">
        <v>1</v>
      </c>
      <c r="E131" s="178">
        <v>1</v>
      </c>
      <c r="F131" s="178">
        <v>0</v>
      </c>
      <c r="G131" s="178">
        <v>1</v>
      </c>
      <c r="H131" s="178">
        <v>2</v>
      </c>
      <c r="I131" s="178">
        <v>4</v>
      </c>
      <c r="J131" s="178">
        <v>1</v>
      </c>
      <c r="K131" s="178">
        <v>0</v>
      </c>
      <c r="L131" s="178">
        <v>2</v>
      </c>
      <c r="M131" s="178">
        <v>1</v>
      </c>
      <c r="N131" s="178">
        <v>2</v>
      </c>
      <c r="O131" s="178">
        <v>2</v>
      </c>
      <c r="P131" s="178">
        <v>9</v>
      </c>
      <c r="Q131" s="176">
        <f t="shared" si="19"/>
        <v>30</v>
      </c>
      <c r="R131" s="176">
        <f t="shared" si="18"/>
        <v>111</v>
      </c>
      <c r="S131" s="176">
        <f t="shared" si="20"/>
        <v>141</v>
      </c>
    </row>
    <row r="132" spans="1:19">
      <c r="A132" s="172">
        <v>9</v>
      </c>
      <c r="B132" s="174" t="s">
        <v>10</v>
      </c>
      <c r="C132" s="178">
        <v>3</v>
      </c>
      <c r="D132" s="178">
        <v>0</v>
      </c>
      <c r="E132" s="178">
        <v>2</v>
      </c>
      <c r="F132" s="178">
        <v>2</v>
      </c>
      <c r="G132" s="178">
        <v>6</v>
      </c>
      <c r="H132" s="178">
        <v>2</v>
      </c>
      <c r="I132" s="178">
        <v>3</v>
      </c>
      <c r="J132" s="178">
        <v>4</v>
      </c>
      <c r="K132" s="178">
        <v>4</v>
      </c>
      <c r="L132" s="178">
        <v>1</v>
      </c>
      <c r="M132" s="178">
        <v>0</v>
      </c>
      <c r="N132" s="178">
        <v>2</v>
      </c>
      <c r="O132" s="178">
        <v>3</v>
      </c>
      <c r="P132" s="178">
        <v>2</v>
      </c>
      <c r="Q132" s="176">
        <f t="shared" si="19"/>
        <v>34</v>
      </c>
      <c r="R132" s="176">
        <f t="shared" si="18"/>
        <v>165</v>
      </c>
      <c r="S132" s="176">
        <f t="shared" si="20"/>
        <v>199</v>
      </c>
    </row>
    <row r="133" spans="1:19">
      <c r="A133" s="234" t="s">
        <v>11</v>
      </c>
      <c r="B133" s="235"/>
      <c r="C133" s="179">
        <v>0</v>
      </c>
      <c r="D133" s="179">
        <v>0</v>
      </c>
      <c r="E133" s="179">
        <v>0</v>
      </c>
      <c r="F133" s="179">
        <v>0</v>
      </c>
      <c r="G133" s="179">
        <v>0</v>
      </c>
      <c r="H133" s="179">
        <v>0</v>
      </c>
      <c r="I133" s="179">
        <v>0</v>
      </c>
      <c r="J133" s="179">
        <v>0</v>
      </c>
      <c r="K133" s="179">
        <v>0</v>
      </c>
      <c r="L133" s="179">
        <v>0</v>
      </c>
      <c r="M133" s="179">
        <v>0</v>
      </c>
      <c r="N133" s="179">
        <v>0</v>
      </c>
      <c r="O133" s="179">
        <v>0</v>
      </c>
      <c r="P133" s="179">
        <v>0</v>
      </c>
      <c r="Q133" s="176">
        <f t="shared" si="19"/>
        <v>0</v>
      </c>
      <c r="R133" s="176">
        <f t="shared" ref="R133:R134" si="21">S104</f>
        <v>0</v>
      </c>
      <c r="S133" s="176">
        <f t="shared" si="20"/>
        <v>0</v>
      </c>
    </row>
    <row r="134" spans="1:19">
      <c r="A134" s="236" t="s">
        <v>12</v>
      </c>
      <c r="B134" s="236"/>
      <c r="C134" s="176">
        <f t="shared" ref="C134:Q134" si="22">SUM(C124:C133)</f>
        <v>614</v>
      </c>
      <c r="D134" s="176">
        <f t="shared" si="22"/>
        <v>613</v>
      </c>
      <c r="E134" s="176">
        <f t="shared" si="22"/>
        <v>694</v>
      </c>
      <c r="F134" s="176">
        <f t="shared" si="22"/>
        <v>445</v>
      </c>
      <c r="G134" s="176">
        <f t="shared" si="22"/>
        <v>535</v>
      </c>
      <c r="H134" s="176">
        <f t="shared" si="22"/>
        <v>622</v>
      </c>
      <c r="I134" s="176">
        <f t="shared" si="22"/>
        <v>465</v>
      </c>
      <c r="J134" s="176">
        <f t="shared" si="22"/>
        <v>575</v>
      </c>
      <c r="K134" s="176">
        <f t="shared" si="22"/>
        <v>654</v>
      </c>
      <c r="L134" s="176">
        <f t="shared" si="22"/>
        <v>526</v>
      </c>
      <c r="M134" s="176">
        <f t="shared" si="22"/>
        <v>509</v>
      </c>
      <c r="N134" s="176">
        <f t="shared" si="22"/>
        <v>501</v>
      </c>
      <c r="O134" s="176">
        <f t="shared" si="22"/>
        <v>564</v>
      </c>
      <c r="P134" s="176">
        <f t="shared" si="22"/>
        <v>582</v>
      </c>
      <c r="Q134" s="176">
        <f t="shared" si="22"/>
        <v>7899</v>
      </c>
      <c r="R134" s="176">
        <f t="shared" si="21"/>
        <v>32712</v>
      </c>
      <c r="S134" s="176">
        <f t="shared" si="20"/>
        <v>40611</v>
      </c>
    </row>
    <row r="135" spans="1:19" ht="11.25" customHeight="1">
      <c r="A135" s="5"/>
      <c r="B135" s="5"/>
      <c r="C135" s="6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8"/>
      <c r="R135" s="7"/>
      <c r="S135" s="7"/>
    </row>
    <row r="136" spans="1:19" ht="22.5">
      <c r="A136" s="14"/>
      <c r="B136" s="14"/>
      <c r="C136" s="10" t="s">
        <v>13</v>
      </c>
      <c r="D136" s="10" t="s">
        <v>13</v>
      </c>
      <c r="E136" s="10" t="s">
        <v>13</v>
      </c>
      <c r="F136" s="10" t="s">
        <v>13</v>
      </c>
      <c r="G136" s="10" t="s">
        <v>13</v>
      </c>
      <c r="H136" s="10" t="s">
        <v>13</v>
      </c>
      <c r="I136" s="10" t="s">
        <v>13</v>
      </c>
      <c r="J136" s="10" t="s">
        <v>13</v>
      </c>
      <c r="K136" s="10" t="s">
        <v>13</v>
      </c>
      <c r="L136" s="10" t="s">
        <v>13</v>
      </c>
      <c r="M136" s="10" t="s">
        <v>13</v>
      </c>
      <c r="N136" s="10" t="s">
        <v>13</v>
      </c>
      <c r="O136" s="10" t="s">
        <v>13</v>
      </c>
      <c r="P136" s="10" t="s">
        <v>13</v>
      </c>
      <c r="Q136" s="10" t="s">
        <v>13</v>
      </c>
      <c r="R136" s="10" t="s">
        <v>13</v>
      </c>
      <c r="S136" s="10" t="s">
        <v>13</v>
      </c>
    </row>
    <row r="137" spans="1:19" ht="9.75" customHeight="1">
      <c r="A137" s="14"/>
      <c r="B137" s="14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</row>
    <row r="138" spans="1:19" ht="22.5">
      <c r="A138" s="14"/>
      <c r="B138" s="14"/>
      <c r="C138" s="10" t="s">
        <v>14</v>
      </c>
      <c r="D138" s="10" t="s">
        <v>14</v>
      </c>
      <c r="E138" s="10" t="s">
        <v>14</v>
      </c>
      <c r="F138" s="10" t="s">
        <v>14</v>
      </c>
      <c r="G138" s="10" t="s">
        <v>14</v>
      </c>
      <c r="H138" s="10" t="s">
        <v>14</v>
      </c>
      <c r="I138" s="10" t="s">
        <v>14</v>
      </c>
      <c r="J138" s="10" t="s">
        <v>14</v>
      </c>
      <c r="K138" s="10" t="s">
        <v>14</v>
      </c>
      <c r="L138" s="10" t="s">
        <v>14</v>
      </c>
      <c r="M138" s="10" t="s">
        <v>14</v>
      </c>
      <c r="N138" s="10" t="s">
        <v>14</v>
      </c>
      <c r="O138" s="10" t="s">
        <v>14</v>
      </c>
      <c r="P138" s="10" t="s">
        <v>14</v>
      </c>
      <c r="Q138" s="10" t="s">
        <v>14</v>
      </c>
      <c r="R138" s="10" t="s">
        <v>14</v>
      </c>
      <c r="S138" s="10" t="s">
        <v>14</v>
      </c>
    </row>
    <row r="139" spans="1:19" ht="11.2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</row>
    <row r="140" spans="1:19">
      <c r="A140" s="237" t="s">
        <v>15</v>
      </c>
      <c r="B140" s="237"/>
      <c r="C140" s="238" t="s">
        <v>16</v>
      </c>
      <c r="D140" s="238"/>
      <c r="E140" s="238"/>
      <c r="F140" s="238"/>
      <c r="G140" s="238"/>
      <c r="H140" s="238"/>
      <c r="I140" s="238"/>
      <c r="J140" s="238"/>
      <c r="K140" s="238"/>
      <c r="L140" s="238"/>
      <c r="M140" s="238"/>
      <c r="N140" s="238"/>
      <c r="O140" s="238"/>
      <c r="P140" s="238"/>
      <c r="Q140" s="238"/>
      <c r="R140" s="14"/>
      <c r="S140" s="14"/>
    </row>
    <row r="141" spans="1:19">
      <c r="A141" s="14"/>
      <c r="B141" s="14"/>
      <c r="C141" s="238" t="s">
        <v>17</v>
      </c>
      <c r="D141" s="238"/>
      <c r="E141" s="238"/>
      <c r="F141" s="238"/>
      <c r="G141" s="238"/>
      <c r="H141" s="238"/>
      <c r="I141" s="238"/>
      <c r="J141" s="238"/>
      <c r="K141" s="238"/>
      <c r="L141" s="238"/>
      <c r="M141" s="238"/>
      <c r="N141" s="238"/>
      <c r="O141" s="238"/>
      <c r="P141" s="238"/>
      <c r="Q141" s="238"/>
      <c r="R141" s="14"/>
      <c r="S141" s="14"/>
    </row>
    <row r="142" spans="1:19" ht="15" customHeight="1">
      <c r="A142" s="14"/>
      <c r="B142" s="14"/>
      <c r="C142" s="228" t="s">
        <v>45</v>
      </c>
      <c r="D142" s="228"/>
      <c r="E142" s="228"/>
      <c r="F142" s="228"/>
      <c r="G142" s="228"/>
      <c r="H142" s="228"/>
      <c r="I142" s="228"/>
      <c r="J142" s="228"/>
      <c r="K142" s="228"/>
      <c r="L142" s="228"/>
      <c r="M142" s="228"/>
      <c r="N142" s="228"/>
      <c r="O142" s="228"/>
      <c r="P142" s="228"/>
      <c r="Q142" s="228"/>
      <c r="R142" s="14"/>
      <c r="S142" s="14"/>
    </row>
    <row r="143" spans="1:19">
      <c r="A143" s="23"/>
      <c r="B143" s="23"/>
      <c r="C143" s="228" t="s">
        <v>46</v>
      </c>
      <c r="D143" s="228"/>
      <c r="E143" s="228"/>
      <c r="F143" s="228"/>
      <c r="G143" s="228"/>
      <c r="H143" s="228"/>
      <c r="I143" s="228"/>
      <c r="J143" s="228"/>
      <c r="K143" s="228"/>
      <c r="L143" s="228"/>
      <c r="M143" s="228"/>
      <c r="N143" s="228"/>
      <c r="O143" s="228"/>
      <c r="P143" s="228"/>
      <c r="Q143" s="228"/>
      <c r="R143" s="23"/>
      <c r="S143" s="23"/>
    </row>
    <row r="144" spans="1:19" ht="15" customHeight="1">
      <c r="A144" s="60"/>
      <c r="B144" s="61" t="s">
        <v>139</v>
      </c>
      <c r="C144" s="227" t="s">
        <v>138</v>
      </c>
      <c r="D144" s="227"/>
      <c r="E144" s="227"/>
      <c r="F144" s="227"/>
      <c r="G144" s="227"/>
      <c r="H144" s="227"/>
      <c r="I144" s="227"/>
      <c r="J144" s="227"/>
      <c r="K144" s="227"/>
      <c r="L144" s="227"/>
      <c r="M144" s="227"/>
      <c r="N144" s="227"/>
      <c r="O144" s="227"/>
      <c r="P144" s="227"/>
      <c r="Q144" s="227"/>
      <c r="R144" s="60"/>
      <c r="S144" s="60"/>
    </row>
    <row r="145" spans="1:19">
      <c r="A145" s="23"/>
      <c r="B145" s="23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3"/>
      <c r="S145" s="23"/>
    </row>
    <row r="146" spans="1:19" ht="26.25">
      <c r="A146" s="229" t="s">
        <v>0</v>
      </c>
      <c r="B146" s="229"/>
      <c r="C146" s="229"/>
      <c r="D146" s="229"/>
      <c r="E146" s="229"/>
      <c r="F146" s="229"/>
      <c r="G146" s="229"/>
      <c r="H146" s="229"/>
      <c r="I146" s="229"/>
      <c r="J146" s="229"/>
      <c r="K146" s="229"/>
      <c r="L146" s="229"/>
      <c r="M146" s="229"/>
      <c r="N146" s="229"/>
      <c r="O146" s="229"/>
      <c r="P146" s="229"/>
      <c r="Q146" s="229"/>
      <c r="R146" s="229"/>
      <c r="S146" s="229"/>
    </row>
    <row r="147" spans="1:19" ht="19.5" customHeight="1">
      <c r="A147" s="230" t="s">
        <v>83</v>
      </c>
      <c r="B147" s="230"/>
      <c r="C147" s="230"/>
      <c r="D147" s="230"/>
      <c r="E147" s="230"/>
      <c r="F147" s="230"/>
      <c r="G147" s="230"/>
      <c r="H147" s="230"/>
      <c r="I147" s="1"/>
      <c r="J147" s="1"/>
      <c r="K147" s="231" t="s">
        <v>25</v>
      </c>
      <c r="L147" s="231"/>
      <c r="M147" s="231"/>
      <c r="N147" s="231"/>
      <c r="O147" s="1"/>
      <c r="P147" s="232" t="s">
        <v>1</v>
      </c>
      <c r="Q147" s="232"/>
      <c r="R147" s="233">
        <v>44630</v>
      </c>
      <c r="S147" s="233"/>
    </row>
    <row r="148" spans="1:19">
      <c r="A148" s="242" t="s">
        <v>2</v>
      </c>
      <c r="B148" s="242"/>
      <c r="C148" s="11">
        <v>1</v>
      </c>
      <c r="D148" s="11">
        <v>2</v>
      </c>
      <c r="E148" s="11">
        <v>3</v>
      </c>
      <c r="F148" s="11">
        <v>4</v>
      </c>
      <c r="G148" s="11">
        <v>5</v>
      </c>
      <c r="H148" s="11">
        <v>6</v>
      </c>
      <c r="I148" s="11">
        <v>7</v>
      </c>
      <c r="J148" s="11">
        <v>8</v>
      </c>
      <c r="K148" s="11">
        <v>9</v>
      </c>
      <c r="L148" s="11">
        <v>10</v>
      </c>
      <c r="M148" s="11">
        <v>11</v>
      </c>
      <c r="N148" s="11">
        <v>12</v>
      </c>
      <c r="O148" s="11">
        <v>13</v>
      </c>
      <c r="P148" s="11">
        <v>14</v>
      </c>
      <c r="Q148" s="239" t="s">
        <v>3</v>
      </c>
      <c r="R148" s="239" t="s">
        <v>4</v>
      </c>
      <c r="S148" s="239" t="s">
        <v>5</v>
      </c>
    </row>
    <row r="149" spans="1:19">
      <c r="A149" s="242" t="s">
        <v>6</v>
      </c>
      <c r="B149" s="242"/>
      <c r="C149" s="11">
        <v>71</v>
      </c>
      <c r="D149" s="11">
        <v>72</v>
      </c>
      <c r="E149" s="16">
        <v>73</v>
      </c>
      <c r="F149" s="16">
        <v>74</v>
      </c>
      <c r="G149" s="16">
        <v>75</v>
      </c>
      <c r="H149" s="16">
        <v>76</v>
      </c>
      <c r="I149" s="16">
        <v>77</v>
      </c>
      <c r="J149" s="16">
        <v>78</v>
      </c>
      <c r="K149" s="16">
        <v>79</v>
      </c>
      <c r="L149" s="16">
        <v>80</v>
      </c>
      <c r="M149" s="16">
        <v>81</v>
      </c>
      <c r="N149" s="16">
        <v>82</v>
      </c>
      <c r="O149" s="16">
        <v>83</v>
      </c>
      <c r="P149" s="16">
        <v>84</v>
      </c>
      <c r="Q149" s="240"/>
      <c r="R149" s="240"/>
      <c r="S149" s="240"/>
    </row>
    <row r="150" spans="1:19" ht="31.5">
      <c r="A150" s="243" t="s">
        <v>18</v>
      </c>
      <c r="B150" s="244"/>
      <c r="C150" s="118" t="s">
        <v>617</v>
      </c>
      <c r="D150" s="118" t="s">
        <v>266</v>
      </c>
      <c r="E150" s="118" t="s">
        <v>267</v>
      </c>
      <c r="F150" s="118" t="s">
        <v>268</v>
      </c>
      <c r="G150" s="118" t="s">
        <v>618</v>
      </c>
      <c r="H150" s="118" t="s">
        <v>269</v>
      </c>
      <c r="I150" s="118" t="s">
        <v>270</v>
      </c>
      <c r="J150" s="118" t="s">
        <v>271</v>
      </c>
      <c r="K150" s="118" t="s">
        <v>272</v>
      </c>
      <c r="L150" s="118" t="s">
        <v>273</v>
      </c>
      <c r="M150" s="118" t="s">
        <v>274</v>
      </c>
      <c r="N150" s="118" t="s">
        <v>275</v>
      </c>
      <c r="O150" s="118" t="s">
        <v>276</v>
      </c>
      <c r="P150" s="118" t="s">
        <v>277</v>
      </c>
      <c r="Q150" s="240"/>
      <c r="R150" s="240"/>
      <c r="S150" s="240"/>
    </row>
    <row r="151" spans="1:19" ht="26.25" customHeight="1">
      <c r="A151" s="245" t="s">
        <v>20</v>
      </c>
      <c r="B151" s="246"/>
      <c r="C151" s="111">
        <v>561</v>
      </c>
      <c r="D151" s="111">
        <v>577</v>
      </c>
      <c r="E151" s="111">
        <v>619</v>
      </c>
      <c r="F151" s="111">
        <v>611</v>
      </c>
      <c r="G151" s="111">
        <v>735</v>
      </c>
      <c r="H151" s="111">
        <v>719</v>
      </c>
      <c r="I151" s="111">
        <v>625</v>
      </c>
      <c r="J151" s="111">
        <v>473</v>
      </c>
      <c r="K151" s="111">
        <v>451</v>
      </c>
      <c r="L151" s="111">
        <v>493</v>
      </c>
      <c r="M151" s="111">
        <v>474</v>
      </c>
      <c r="N151" s="111">
        <v>644</v>
      </c>
      <c r="O151" s="111">
        <v>713</v>
      </c>
      <c r="P151" s="111">
        <v>734</v>
      </c>
      <c r="Q151" s="240"/>
      <c r="R151" s="240"/>
      <c r="S151" s="240"/>
    </row>
    <row r="152" spans="1:19">
      <c r="A152" s="12" t="s">
        <v>7</v>
      </c>
      <c r="B152" s="11" t="s">
        <v>8</v>
      </c>
      <c r="C152" s="13" t="s">
        <v>9</v>
      </c>
      <c r="D152" s="13" t="s">
        <v>9</v>
      </c>
      <c r="E152" s="13" t="s">
        <v>9</v>
      </c>
      <c r="F152" s="13" t="s">
        <v>9</v>
      </c>
      <c r="G152" s="13" t="s">
        <v>9</v>
      </c>
      <c r="H152" s="13" t="s">
        <v>9</v>
      </c>
      <c r="I152" s="13" t="s">
        <v>9</v>
      </c>
      <c r="J152" s="13" t="s">
        <v>9</v>
      </c>
      <c r="K152" s="13" t="s">
        <v>9</v>
      </c>
      <c r="L152" s="13" t="s">
        <v>9</v>
      </c>
      <c r="M152" s="13" t="s">
        <v>9</v>
      </c>
      <c r="N152" s="13" t="s">
        <v>9</v>
      </c>
      <c r="O152" s="13" t="s">
        <v>9</v>
      </c>
      <c r="P152" s="13" t="s">
        <v>9</v>
      </c>
      <c r="Q152" s="241"/>
      <c r="R152" s="241"/>
      <c r="S152" s="241"/>
    </row>
    <row r="153" spans="1:19">
      <c r="A153" s="172">
        <v>1</v>
      </c>
      <c r="B153" s="173" t="s">
        <v>85</v>
      </c>
      <c r="C153" s="178">
        <v>149</v>
      </c>
      <c r="D153" s="178">
        <v>170</v>
      </c>
      <c r="E153" s="178">
        <v>171</v>
      </c>
      <c r="F153" s="178">
        <v>113</v>
      </c>
      <c r="G153" s="178">
        <v>34</v>
      </c>
      <c r="H153" s="178">
        <v>41</v>
      </c>
      <c r="I153" s="178">
        <v>177</v>
      </c>
      <c r="J153" s="178">
        <v>99</v>
      </c>
      <c r="K153" s="178">
        <v>89</v>
      </c>
      <c r="L153" s="178">
        <v>161</v>
      </c>
      <c r="M153" s="178">
        <v>97</v>
      </c>
      <c r="N153" s="178">
        <v>14</v>
      </c>
      <c r="O153" s="178">
        <v>178</v>
      </c>
      <c r="P153" s="178">
        <v>18</v>
      </c>
      <c r="Q153" s="176">
        <f>SUM(C153:P153)</f>
        <v>1511</v>
      </c>
      <c r="R153" s="176">
        <f t="shared" ref="R153:R161" si="23">S124</f>
        <v>10188</v>
      </c>
      <c r="S153" s="176">
        <f>Q153+R153</f>
        <v>11699</v>
      </c>
    </row>
    <row r="154" spans="1:19">
      <c r="A154" s="172">
        <v>2</v>
      </c>
      <c r="B154" s="173" t="s">
        <v>156</v>
      </c>
      <c r="C154" s="178">
        <v>376</v>
      </c>
      <c r="D154" s="178">
        <v>387</v>
      </c>
      <c r="E154" s="178">
        <v>318</v>
      </c>
      <c r="F154" s="178">
        <v>201</v>
      </c>
      <c r="G154" s="178">
        <v>659</v>
      </c>
      <c r="H154" s="178">
        <v>661</v>
      </c>
      <c r="I154" s="178">
        <v>184</v>
      </c>
      <c r="J154" s="178">
        <v>278</v>
      </c>
      <c r="K154" s="178">
        <v>157</v>
      </c>
      <c r="L154" s="178">
        <v>288</v>
      </c>
      <c r="M154" s="178">
        <v>180</v>
      </c>
      <c r="N154" s="178">
        <v>549</v>
      </c>
      <c r="O154" s="178">
        <v>460</v>
      </c>
      <c r="P154" s="178">
        <v>239</v>
      </c>
      <c r="Q154" s="176">
        <f t="shared" ref="Q154:Q162" si="24">SUM(C154:P154)</f>
        <v>4937</v>
      </c>
      <c r="R154" s="176">
        <f t="shared" si="23"/>
        <v>22605</v>
      </c>
      <c r="S154" s="176">
        <f t="shared" ref="S154:S163" si="25">Q154+R154</f>
        <v>27542</v>
      </c>
    </row>
    <row r="155" spans="1:19">
      <c r="A155" s="172">
        <v>3</v>
      </c>
      <c r="B155" s="173" t="s">
        <v>157</v>
      </c>
      <c r="C155" s="178">
        <v>16</v>
      </c>
      <c r="D155" s="178">
        <v>8</v>
      </c>
      <c r="E155" s="178">
        <v>3</v>
      </c>
      <c r="F155" s="178">
        <v>1</v>
      </c>
      <c r="G155" s="178">
        <v>8</v>
      </c>
      <c r="H155" s="178">
        <v>1</v>
      </c>
      <c r="I155" s="178">
        <v>8</v>
      </c>
      <c r="J155" s="178">
        <v>14</v>
      </c>
      <c r="K155" s="178">
        <v>19</v>
      </c>
      <c r="L155" s="178">
        <v>16</v>
      </c>
      <c r="M155" s="178">
        <v>5</v>
      </c>
      <c r="N155" s="178">
        <v>19</v>
      </c>
      <c r="O155" s="178">
        <v>23</v>
      </c>
      <c r="P155" s="178">
        <v>3</v>
      </c>
      <c r="Q155" s="176">
        <f t="shared" si="24"/>
        <v>144</v>
      </c>
      <c r="R155" s="176">
        <f t="shared" si="23"/>
        <v>429</v>
      </c>
      <c r="S155" s="176">
        <f t="shared" si="25"/>
        <v>573</v>
      </c>
    </row>
    <row r="156" spans="1:19">
      <c r="A156" s="172">
        <v>4</v>
      </c>
      <c r="B156" s="173" t="s">
        <v>158</v>
      </c>
      <c r="C156" s="178">
        <v>4</v>
      </c>
      <c r="D156" s="178">
        <v>4</v>
      </c>
      <c r="E156" s="178">
        <v>109</v>
      </c>
      <c r="F156" s="178">
        <v>279</v>
      </c>
      <c r="G156" s="178">
        <v>14</v>
      </c>
      <c r="H156" s="178">
        <v>4</v>
      </c>
      <c r="I156" s="178">
        <v>243</v>
      </c>
      <c r="J156" s="178">
        <v>73</v>
      </c>
      <c r="K156" s="178">
        <v>174</v>
      </c>
      <c r="L156" s="178">
        <v>25</v>
      </c>
      <c r="M156" s="178">
        <v>186</v>
      </c>
      <c r="N156" s="178">
        <v>44</v>
      </c>
      <c r="O156" s="178">
        <v>46</v>
      </c>
      <c r="P156" s="178">
        <v>455</v>
      </c>
      <c r="Q156" s="176">
        <f t="shared" si="24"/>
        <v>1660</v>
      </c>
      <c r="R156" s="176">
        <f t="shared" si="23"/>
        <v>6626</v>
      </c>
      <c r="S156" s="176">
        <f t="shared" si="25"/>
        <v>8286</v>
      </c>
    </row>
    <row r="157" spans="1:19">
      <c r="A157" s="172">
        <v>5</v>
      </c>
      <c r="B157" s="173" t="s">
        <v>159</v>
      </c>
      <c r="C157" s="178">
        <v>0</v>
      </c>
      <c r="D157" s="178">
        <v>2</v>
      </c>
      <c r="E157" s="178">
        <v>2</v>
      </c>
      <c r="F157" s="178">
        <v>3</v>
      </c>
      <c r="G157" s="178">
        <v>2</v>
      </c>
      <c r="H157" s="178">
        <v>1</v>
      </c>
      <c r="I157" s="178">
        <v>3</v>
      </c>
      <c r="J157" s="178">
        <v>2</v>
      </c>
      <c r="K157" s="178">
        <v>2</v>
      </c>
      <c r="L157" s="178">
        <v>0</v>
      </c>
      <c r="M157" s="178">
        <v>2</v>
      </c>
      <c r="N157" s="178">
        <v>2</v>
      </c>
      <c r="O157" s="178">
        <v>1</v>
      </c>
      <c r="P157" s="178">
        <v>4</v>
      </c>
      <c r="Q157" s="176">
        <f t="shared" si="24"/>
        <v>26</v>
      </c>
      <c r="R157" s="176">
        <f t="shared" si="23"/>
        <v>113</v>
      </c>
      <c r="S157" s="176">
        <f t="shared" si="25"/>
        <v>139</v>
      </c>
    </row>
    <row r="158" spans="1:19">
      <c r="A158" s="172">
        <v>6</v>
      </c>
      <c r="B158" s="173" t="s">
        <v>160</v>
      </c>
      <c r="C158" s="178">
        <v>9</v>
      </c>
      <c r="D158" s="178">
        <v>2</v>
      </c>
      <c r="E158" s="178">
        <v>7</v>
      </c>
      <c r="F158" s="178">
        <v>7</v>
      </c>
      <c r="G158" s="178">
        <v>3</v>
      </c>
      <c r="H158" s="178">
        <v>6</v>
      </c>
      <c r="I158" s="178">
        <v>4</v>
      </c>
      <c r="J158" s="178">
        <v>2</v>
      </c>
      <c r="K158" s="178">
        <v>2</v>
      </c>
      <c r="L158" s="178">
        <v>2</v>
      </c>
      <c r="M158" s="178">
        <v>1</v>
      </c>
      <c r="N158" s="178">
        <v>1</v>
      </c>
      <c r="O158" s="178">
        <v>4</v>
      </c>
      <c r="P158" s="178">
        <v>1</v>
      </c>
      <c r="Q158" s="176">
        <f t="shared" si="24"/>
        <v>51</v>
      </c>
      <c r="R158" s="176">
        <f t="shared" si="23"/>
        <v>148</v>
      </c>
      <c r="S158" s="176">
        <f t="shared" si="25"/>
        <v>199</v>
      </c>
    </row>
    <row r="159" spans="1:19">
      <c r="A159" s="172">
        <v>7</v>
      </c>
      <c r="B159" s="173" t="s">
        <v>86</v>
      </c>
      <c r="C159" s="178">
        <v>5</v>
      </c>
      <c r="D159" s="178">
        <v>3</v>
      </c>
      <c r="E159" s="178">
        <v>1</v>
      </c>
      <c r="F159" s="178">
        <v>3</v>
      </c>
      <c r="G159" s="178">
        <v>5</v>
      </c>
      <c r="H159" s="178">
        <v>3</v>
      </c>
      <c r="I159" s="178">
        <v>2</v>
      </c>
      <c r="J159" s="178">
        <v>3</v>
      </c>
      <c r="K159" s="178">
        <v>7</v>
      </c>
      <c r="L159" s="178">
        <v>0</v>
      </c>
      <c r="M159" s="178">
        <v>0</v>
      </c>
      <c r="N159" s="178">
        <v>5</v>
      </c>
      <c r="O159" s="178">
        <v>0</v>
      </c>
      <c r="P159" s="178">
        <v>10</v>
      </c>
      <c r="Q159" s="176">
        <f t="shared" si="24"/>
        <v>47</v>
      </c>
      <c r="R159" s="176">
        <f t="shared" si="23"/>
        <v>162</v>
      </c>
      <c r="S159" s="176">
        <f t="shared" si="25"/>
        <v>209</v>
      </c>
    </row>
    <row r="160" spans="1:19">
      <c r="A160" s="172">
        <v>8</v>
      </c>
      <c r="B160" s="173" t="s">
        <v>161</v>
      </c>
      <c r="C160" s="178">
        <v>2</v>
      </c>
      <c r="D160" s="178">
        <v>1</v>
      </c>
      <c r="E160" s="178">
        <v>6</v>
      </c>
      <c r="F160" s="178">
        <v>0</v>
      </c>
      <c r="G160" s="178">
        <v>5</v>
      </c>
      <c r="H160" s="178">
        <v>0</v>
      </c>
      <c r="I160" s="178">
        <v>2</v>
      </c>
      <c r="J160" s="178">
        <v>1</v>
      </c>
      <c r="K160" s="178">
        <v>1</v>
      </c>
      <c r="L160" s="178">
        <v>1</v>
      </c>
      <c r="M160" s="178">
        <v>1</v>
      </c>
      <c r="N160" s="178">
        <v>1</v>
      </c>
      <c r="O160" s="178">
        <v>1</v>
      </c>
      <c r="P160" s="178">
        <v>3</v>
      </c>
      <c r="Q160" s="176">
        <f t="shared" si="24"/>
        <v>25</v>
      </c>
      <c r="R160" s="176">
        <f t="shared" si="23"/>
        <v>141</v>
      </c>
      <c r="S160" s="176">
        <f t="shared" si="25"/>
        <v>166</v>
      </c>
    </row>
    <row r="161" spans="1:19">
      <c r="A161" s="172">
        <v>9</v>
      </c>
      <c r="B161" s="174" t="s">
        <v>10</v>
      </c>
      <c r="C161" s="178">
        <v>0</v>
      </c>
      <c r="D161" s="178">
        <v>0</v>
      </c>
      <c r="E161" s="178">
        <v>2</v>
      </c>
      <c r="F161" s="178">
        <v>4</v>
      </c>
      <c r="G161" s="178">
        <v>5</v>
      </c>
      <c r="H161" s="178">
        <v>2</v>
      </c>
      <c r="I161" s="178">
        <v>2</v>
      </c>
      <c r="J161" s="178">
        <v>1</v>
      </c>
      <c r="K161" s="178">
        <v>0</v>
      </c>
      <c r="L161" s="178">
        <v>0</v>
      </c>
      <c r="M161" s="178">
        <v>2</v>
      </c>
      <c r="N161" s="178">
        <v>6</v>
      </c>
      <c r="O161" s="178">
        <v>0</v>
      </c>
      <c r="P161" s="178">
        <v>1</v>
      </c>
      <c r="Q161" s="176">
        <f t="shared" si="24"/>
        <v>25</v>
      </c>
      <c r="R161" s="176">
        <f t="shared" si="23"/>
        <v>199</v>
      </c>
      <c r="S161" s="176">
        <f t="shared" si="25"/>
        <v>224</v>
      </c>
    </row>
    <row r="162" spans="1:19">
      <c r="A162" s="234" t="s">
        <v>11</v>
      </c>
      <c r="B162" s="235"/>
      <c r="C162" s="177">
        <v>0</v>
      </c>
      <c r="D162" s="177">
        <v>0</v>
      </c>
      <c r="E162" s="177">
        <v>0</v>
      </c>
      <c r="F162" s="177">
        <v>0</v>
      </c>
      <c r="G162" s="177">
        <v>0</v>
      </c>
      <c r="H162" s="177">
        <v>0</v>
      </c>
      <c r="I162" s="177">
        <v>0</v>
      </c>
      <c r="J162" s="177">
        <v>0</v>
      </c>
      <c r="K162" s="177">
        <v>0</v>
      </c>
      <c r="L162" s="177">
        <v>0</v>
      </c>
      <c r="M162" s="177">
        <v>0</v>
      </c>
      <c r="N162" s="177">
        <v>0</v>
      </c>
      <c r="O162" s="177">
        <v>0</v>
      </c>
      <c r="P162" s="177">
        <v>0</v>
      </c>
      <c r="Q162" s="176">
        <f t="shared" si="24"/>
        <v>0</v>
      </c>
      <c r="R162" s="176">
        <f t="shared" ref="R162:R163" si="26">S133</f>
        <v>0</v>
      </c>
      <c r="S162" s="176">
        <f t="shared" si="25"/>
        <v>0</v>
      </c>
    </row>
    <row r="163" spans="1:19">
      <c r="A163" s="236" t="s">
        <v>12</v>
      </c>
      <c r="B163" s="236"/>
      <c r="C163" s="176">
        <f t="shared" ref="C163:Q163" si="27">SUM(C153:C162)</f>
        <v>561</v>
      </c>
      <c r="D163" s="176">
        <f t="shared" si="27"/>
        <v>577</v>
      </c>
      <c r="E163" s="176">
        <f t="shared" si="27"/>
        <v>619</v>
      </c>
      <c r="F163" s="176">
        <f t="shared" si="27"/>
        <v>611</v>
      </c>
      <c r="G163" s="176">
        <f t="shared" si="27"/>
        <v>735</v>
      </c>
      <c r="H163" s="176">
        <f t="shared" si="27"/>
        <v>719</v>
      </c>
      <c r="I163" s="176">
        <f t="shared" si="27"/>
        <v>625</v>
      </c>
      <c r="J163" s="176">
        <f t="shared" si="27"/>
        <v>473</v>
      </c>
      <c r="K163" s="176">
        <f t="shared" si="27"/>
        <v>451</v>
      </c>
      <c r="L163" s="176">
        <f t="shared" si="27"/>
        <v>493</v>
      </c>
      <c r="M163" s="176">
        <f t="shared" si="27"/>
        <v>474</v>
      </c>
      <c r="N163" s="176">
        <f t="shared" si="27"/>
        <v>641</v>
      </c>
      <c r="O163" s="176">
        <f t="shared" si="27"/>
        <v>713</v>
      </c>
      <c r="P163" s="176">
        <f t="shared" si="27"/>
        <v>734</v>
      </c>
      <c r="Q163" s="176">
        <f t="shared" si="27"/>
        <v>8426</v>
      </c>
      <c r="R163" s="176">
        <f t="shared" si="26"/>
        <v>40611</v>
      </c>
      <c r="S163" s="176">
        <f t="shared" si="25"/>
        <v>49037</v>
      </c>
    </row>
    <row r="164" spans="1:19" ht="12" customHeight="1">
      <c r="A164" s="5"/>
      <c r="B164" s="5"/>
      <c r="C164" s="6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8"/>
      <c r="R164" s="7"/>
      <c r="S164" s="7"/>
    </row>
    <row r="165" spans="1:19" ht="22.5">
      <c r="A165" s="14"/>
      <c r="B165" s="14"/>
      <c r="C165" s="10" t="s">
        <v>13</v>
      </c>
      <c r="D165" s="10" t="s">
        <v>13</v>
      </c>
      <c r="E165" s="10" t="s">
        <v>13</v>
      </c>
      <c r="F165" s="10" t="s">
        <v>13</v>
      </c>
      <c r="G165" s="10" t="s">
        <v>13</v>
      </c>
      <c r="H165" s="10" t="s">
        <v>13</v>
      </c>
      <c r="I165" s="10" t="s">
        <v>13</v>
      </c>
      <c r="J165" s="10" t="s">
        <v>13</v>
      </c>
      <c r="K165" s="10" t="s">
        <v>13</v>
      </c>
      <c r="L165" s="10" t="s">
        <v>13</v>
      </c>
      <c r="M165" s="10" t="s">
        <v>13</v>
      </c>
      <c r="N165" s="10" t="s">
        <v>13</v>
      </c>
      <c r="O165" s="10" t="s">
        <v>13</v>
      </c>
      <c r="P165" s="10" t="s">
        <v>13</v>
      </c>
      <c r="Q165" s="10" t="s">
        <v>13</v>
      </c>
      <c r="R165" s="10" t="s">
        <v>13</v>
      </c>
      <c r="S165" s="10" t="s">
        <v>13</v>
      </c>
    </row>
    <row r="166" spans="1:19" ht="9.75" customHeight="1">
      <c r="A166" s="14"/>
      <c r="B166" s="14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</row>
    <row r="167" spans="1:19" ht="22.5">
      <c r="A167" s="14"/>
      <c r="B167" s="14"/>
      <c r="C167" s="10" t="s">
        <v>14</v>
      </c>
      <c r="D167" s="10" t="s">
        <v>14</v>
      </c>
      <c r="E167" s="10" t="s">
        <v>14</v>
      </c>
      <c r="F167" s="10" t="s">
        <v>14</v>
      </c>
      <c r="G167" s="10" t="s">
        <v>14</v>
      </c>
      <c r="H167" s="10" t="s">
        <v>14</v>
      </c>
      <c r="I167" s="10" t="s">
        <v>14</v>
      </c>
      <c r="J167" s="10" t="s">
        <v>14</v>
      </c>
      <c r="K167" s="10" t="s">
        <v>14</v>
      </c>
      <c r="L167" s="10" t="s">
        <v>14</v>
      </c>
      <c r="M167" s="10" t="s">
        <v>14</v>
      </c>
      <c r="N167" s="10" t="s">
        <v>14</v>
      </c>
      <c r="O167" s="10" t="s">
        <v>14</v>
      </c>
      <c r="P167" s="10" t="s">
        <v>14</v>
      </c>
      <c r="Q167" s="10" t="s">
        <v>14</v>
      </c>
      <c r="R167" s="10" t="s">
        <v>14</v>
      </c>
      <c r="S167" s="10" t="s">
        <v>14</v>
      </c>
    </row>
    <row r="168" spans="1:19" ht="10.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</row>
    <row r="169" spans="1:19">
      <c r="A169" s="237" t="s">
        <v>15</v>
      </c>
      <c r="B169" s="237"/>
      <c r="C169" s="238" t="s">
        <v>16</v>
      </c>
      <c r="D169" s="238"/>
      <c r="E169" s="238"/>
      <c r="F169" s="238"/>
      <c r="G169" s="238"/>
      <c r="H169" s="238"/>
      <c r="I169" s="238"/>
      <c r="J169" s="238"/>
      <c r="K169" s="238"/>
      <c r="L169" s="238"/>
      <c r="M169" s="238"/>
      <c r="N169" s="238"/>
      <c r="O169" s="238"/>
      <c r="P169" s="238"/>
      <c r="Q169" s="238"/>
      <c r="R169" s="14"/>
      <c r="S169" s="14"/>
    </row>
    <row r="170" spans="1:19">
      <c r="A170" s="14"/>
      <c r="B170" s="14"/>
      <c r="C170" s="238" t="s">
        <v>17</v>
      </c>
      <c r="D170" s="238"/>
      <c r="E170" s="238"/>
      <c r="F170" s="238"/>
      <c r="G170" s="238"/>
      <c r="H170" s="238"/>
      <c r="I170" s="238"/>
      <c r="J170" s="238"/>
      <c r="K170" s="238"/>
      <c r="L170" s="238"/>
      <c r="M170" s="238"/>
      <c r="N170" s="238"/>
      <c r="O170" s="238"/>
      <c r="P170" s="238"/>
      <c r="Q170" s="238"/>
      <c r="R170" s="14"/>
      <c r="S170" s="14"/>
    </row>
    <row r="171" spans="1:19" ht="15" customHeight="1">
      <c r="A171" s="14"/>
      <c r="B171" s="14"/>
      <c r="C171" s="228" t="s">
        <v>45</v>
      </c>
      <c r="D171" s="228"/>
      <c r="E171" s="228"/>
      <c r="F171" s="228"/>
      <c r="G171" s="228"/>
      <c r="H171" s="228"/>
      <c r="I171" s="228"/>
      <c r="J171" s="228"/>
      <c r="K171" s="228"/>
      <c r="L171" s="228"/>
      <c r="M171" s="228"/>
      <c r="N171" s="228"/>
      <c r="O171" s="228"/>
      <c r="P171" s="228"/>
      <c r="Q171" s="228"/>
      <c r="R171" s="14"/>
      <c r="S171" s="14"/>
    </row>
    <row r="172" spans="1:19">
      <c r="A172" s="23"/>
      <c r="B172" s="23"/>
      <c r="C172" s="228" t="s">
        <v>46</v>
      </c>
      <c r="D172" s="228"/>
      <c r="E172" s="228"/>
      <c r="F172" s="228"/>
      <c r="G172" s="228"/>
      <c r="H172" s="228"/>
      <c r="I172" s="228"/>
      <c r="J172" s="228"/>
      <c r="K172" s="228"/>
      <c r="L172" s="228"/>
      <c r="M172" s="228"/>
      <c r="N172" s="228"/>
      <c r="O172" s="228"/>
      <c r="P172" s="228"/>
      <c r="Q172" s="228"/>
      <c r="R172" s="23"/>
      <c r="S172" s="23"/>
    </row>
    <row r="173" spans="1:19" ht="15" customHeight="1">
      <c r="A173" s="60"/>
      <c r="B173" s="61" t="s">
        <v>139</v>
      </c>
      <c r="C173" s="227" t="s">
        <v>138</v>
      </c>
      <c r="D173" s="227"/>
      <c r="E173" s="227"/>
      <c r="F173" s="227"/>
      <c r="G173" s="227"/>
      <c r="H173" s="227"/>
      <c r="I173" s="227"/>
      <c r="J173" s="227"/>
      <c r="K173" s="227"/>
      <c r="L173" s="227"/>
      <c r="M173" s="227"/>
      <c r="N173" s="227"/>
      <c r="O173" s="227"/>
      <c r="P173" s="227"/>
      <c r="Q173" s="227"/>
      <c r="R173" s="60"/>
      <c r="S173" s="60"/>
    </row>
    <row r="174" spans="1:19">
      <c r="A174" s="23"/>
      <c r="B174" s="23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3"/>
      <c r="S174" s="23"/>
    </row>
    <row r="175" spans="1:19" ht="26.25">
      <c r="A175" s="229" t="s">
        <v>0</v>
      </c>
      <c r="B175" s="229"/>
      <c r="C175" s="229"/>
      <c r="D175" s="229"/>
      <c r="E175" s="229"/>
      <c r="F175" s="229"/>
      <c r="G175" s="229"/>
      <c r="H175" s="229"/>
      <c r="I175" s="229"/>
      <c r="J175" s="229"/>
      <c r="K175" s="229"/>
      <c r="L175" s="229"/>
      <c r="M175" s="229"/>
      <c r="N175" s="229"/>
      <c r="O175" s="229"/>
      <c r="P175" s="229"/>
      <c r="Q175" s="229"/>
      <c r="R175" s="229"/>
      <c r="S175" s="229"/>
    </row>
    <row r="176" spans="1:19" ht="19.5" customHeight="1">
      <c r="A176" s="230" t="s">
        <v>83</v>
      </c>
      <c r="B176" s="230"/>
      <c r="C176" s="230"/>
      <c r="D176" s="230"/>
      <c r="E176" s="230"/>
      <c r="F176" s="230"/>
      <c r="G176" s="230"/>
      <c r="H176" s="230"/>
      <c r="I176" s="1"/>
      <c r="J176" s="1"/>
      <c r="K176" s="231" t="s">
        <v>26</v>
      </c>
      <c r="L176" s="231"/>
      <c r="M176" s="231"/>
      <c r="N176" s="231"/>
      <c r="O176" s="1"/>
      <c r="P176" s="232" t="s">
        <v>1</v>
      </c>
      <c r="Q176" s="232"/>
      <c r="R176" s="233">
        <v>44630</v>
      </c>
      <c r="S176" s="233"/>
    </row>
    <row r="177" spans="1:19">
      <c r="A177" s="242" t="s">
        <v>2</v>
      </c>
      <c r="B177" s="242"/>
      <c r="C177" s="16">
        <v>1</v>
      </c>
      <c r="D177" s="16">
        <v>2</v>
      </c>
      <c r="E177" s="16">
        <v>3</v>
      </c>
      <c r="F177" s="16">
        <v>4</v>
      </c>
      <c r="G177" s="16">
        <v>5</v>
      </c>
      <c r="H177" s="16">
        <v>6</v>
      </c>
      <c r="I177" s="16">
        <v>7</v>
      </c>
      <c r="J177" s="16">
        <v>8</v>
      </c>
      <c r="K177" s="16">
        <v>9</v>
      </c>
      <c r="L177" s="16">
        <v>10</v>
      </c>
      <c r="M177" s="16">
        <v>11</v>
      </c>
      <c r="N177" s="16">
        <v>12</v>
      </c>
      <c r="O177" s="16">
        <v>13</v>
      </c>
      <c r="P177" s="16">
        <v>14</v>
      </c>
      <c r="Q177" s="239" t="s">
        <v>3</v>
      </c>
      <c r="R177" s="239" t="s">
        <v>4</v>
      </c>
      <c r="S177" s="239" t="s">
        <v>5</v>
      </c>
    </row>
    <row r="178" spans="1:19">
      <c r="A178" s="242" t="s">
        <v>6</v>
      </c>
      <c r="B178" s="242"/>
      <c r="C178" s="16">
        <v>85</v>
      </c>
      <c r="D178" s="16">
        <v>86</v>
      </c>
      <c r="E178" s="16">
        <v>87</v>
      </c>
      <c r="F178" s="16">
        <v>88</v>
      </c>
      <c r="G178" s="16">
        <v>89</v>
      </c>
      <c r="H178" s="16">
        <v>90</v>
      </c>
      <c r="I178" s="16">
        <v>91</v>
      </c>
      <c r="J178" s="16">
        <v>92</v>
      </c>
      <c r="K178" s="16">
        <v>93</v>
      </c>
      <c r="L178" s="16">
        <v>94</v>
      </c>
      <c r="M178" s="16">
        <v>95</v>
      </c>
      <c r="N178" s="16">
        <v>96</v>
      </c>
      <c r="O178" s="16">
        <v>97</v>
      </c>
      <c r="P178" s="16">
        <v>98</v>
      </c>
      <c r="Q178" s="240"/>
      <c r="R178" s="240"/>
      <c r="S178" s="240"/>
    </row>
    <row r="179" spans="1:19" ht="31.5">
      <c r="A179" s="243" t="s">
        <v>18</v>
      </c>
      <c r="B179" s="244"/>
      <c r="C179" s="118" t="s">
        <v>278</v>
      </c>
      <c r="D179" s="118" t="s">
        <v>279</v>
      </c>
      <c r="E179" s="118" t="s">
        <v>280</v>
      </c>
      <c r="F179" s="118" t="s">
        <v>281</v>
      </c>
      <c r="G179" s="118" t="s">
        <v>282</v>
      </c>
      <c r="H179" s="118" t="s">
        <v>283</v>
      </c>
      <c r="I179" s="118" t="s">
        <v>284</v>
      </c>
      <c r="J179" s="118" t="s">
        <v>285</v>
      </c>
      <c r="K179" s="118" t="s">
        <v>286</v>
      </c>
      <c r="L179" s="118" t="s">
        <v>287</v>
      </c>
      <c r="M179" s="118" t="s">
        <v>288</v>
      </c>
      <c r="N179" s="118" t="s">
        <v>289</v>
      </c>
      <c r="O179" s="118" t="s">
        <v>290</v>
      </c>
      <c r="P179" s="118" t="s">
        <v>291</v>
      </c>
      <c r="Q179" s="240"/>
      <c r="R179" s="240"/>
      <c r="S179" s="240"/>
    </row>
    <row r="180" spans="1:19" ht="27.75" hidden="1" customHeight="1">
      <c r="A180" s="245" t="s">
        <v>20</v>
      </c>
      <c r="B180" s="246"/>
      <c r="C180" s="33">
        <v>457</v>
      </c>
      <c r="D180" s="33">
        <v>459</v>
      </c>
      <c r="E180" s="33">
        <v>533</v>
      </c>
      <c r="F180" s="33">
        <v>563</v>
      </c>
      <c r="G180" s="33">
        <v>602</v>
      </c>
      <c r="H180" s="33">
        <v>471</v>
      </c>
      <c r="I180" s="33">
        <v>516</v>
      </c>
      <c r="J180" s="33">
        <v>593</v>
      </c>
      <c r="K180" s="33">
        <v>658</v>
      </c>
      <c r="L180" s="33">
        <v>582</v>
      </c>
      <c r="M180" s="33">
        <v>695</v>
      </c>
      <c r="N180" s="33">
        <v>674</v>
      </c>
      <c r="O180" s="33">
        <v>323</v>
      </c>
      <c r="P180" s="33">
        <v>714</v>
      </c>
      <c r="Q180" s="240"/>
      <c r="R180" s="240"/>
      <c r="S180" s="240"/>
    </row>
    <row r="181" spans="1:19">
      <c r="A181" s="19" t="s">
        <v>7</v>
      </c>
      <c r="B181" s="16" t="s">
        <v>8</v>
      </c>
      <c r="C181" s="20" t="s">
        <v>9</v>
      </c>
      <c r="D181" s="20" t="s">
        <v>9</v>
      </c>
      <c r="E181" s="20" t="s">
        <v>9</v>
      </c>
      <c r="F181" s="20" t="s">
        <v>9</v>
      </c>
      <c r="G181" s="20" t="s">
        <v>9</v>
      </c>
      <c r="H181" s="20" t="s">
        <v>9</v>
      </c>
      <c r="I181" s="20" t="s">
        <v>9</v>
      </c>
      <c r="J181" s="20" t="s">
        <v>9</v>
      </c>
      <c r="K181" s="20" t="s">
        <v>9</v>
      </c>
      <c r="L181" s="20" t="s">
        <v>9</v>
      </c>
      <c r="M181" s="20" t="s">
        <v>9</v>
      </c>
      <c r="N181" s="20" t="s">
        <v>9</v>
      </c>
      <c r="O181" s="20" t="s">
        <v>9</v>
      </c>
      <c r="P181" s="20" t="s">
        <v>9</v>
      </c>
      <c r="Q181" s="241"/>
      <c r="R181" s="241"/>
      <c r="S181" s="241"/>
    </row>
    <row r="182" spans="1:19">
      <c r="A182" s="172">
        <v>1</v>
      </c>
      <c r="B182" s="173" t="s">
        <v>85</v>
      </c>
      <c r="C182" s="178">
        <v>90</v>
      </c>
      <c r="D182" s="178">
        <v>44</v>
      </c>
      <c r="E182" s="178">
        <v>96</v>
      </c>
      <c r="F182" s="178">
        <v>63</v>
      </c>
      <c r="G182" s="178">
        <v>107</v>
      </c>
      <c r="H182" s="178">
        <v>66</v>
      </c>
      <c r="I182" s="178">
        <v>36</v>
      </c>
      <c r="J182" s="178">
        <v>113</v>
      </c>
      <c r="K182" s="178">
        <v>333</v>
      </c>
      <c r="L182" s="178">
        <v>181</v>
      </c>
      <c r="M182" s="178">
        <v>35</v>
      </c>
      <c r="N182" s="178">
        <v>6</v>
      </c>
      <c r="O182" s="178">
        <v>116</v>
      </c>
      <c r="P182" s="178">
        <v>141</v>
      </c>
      <c r="Q182" s="176">
        <f>SUM(C182:P182)</f>
        <v>1427</v>
      </c>
      <c r="R182" s="176">
        <f t="shared" ref="R182:R190" si="28">S153</f>
        <v>11699</v>
      </c>
      <c r="S182" s="176">
        <f>Q182+R182</f>
        <v>13126</v>
      </c>
    </row>
    <row r="183" spans="1:19">
      <c r="A183" s="172">
        <v>2</v>
      </c>
      <c r="B183" s="173" t="s">
        <v>156</v>
      </c>
      <c r="C183" s="178">
        <v>273</v>
      </c>
      <c r="D183" s="178">
        <v>249</v>
      </c>
      <c r="E183" s="178">
        <v>417</v>
      </c>
      <c r="F183" s="178">
        <v>250</v>
      </c>
      <c r="G183" s="178">
        <v>440</v>
      </c>
      <c r="H183" s="178">
        <v>184</v>
      </c>
      <c r="I183" s="178">
        <v>443</v>
      </c>
      <c r="J183" s="178">
        <v>466</v>
      </c>
      <c r="K183" s="178">
        <v>312</v>
      </c>
      <c r="L183" s="178">
        <v>360</v>
      </c>
      <c r="M183" s="178">
        <v>474</v>
      </c>
      <c r="N183" s="178">
        <v>526</v>
      </c>
      <c r="O183" s="178">
        <v>186</v>
      </c>
      <c r="P183" s="178">
        <v>532</v>
      </c>
      <c r="Q183" s="176">
        <f t="shared" ref="Q183:Q191" si="29">SUM(C183:P183)</f>
        <v>5112</v>
      </c>
      <c r="R183" s="176">
        <f t="shared" si="28"/>
        <v>27542</v>
      </c>
      <c r="S183" s="176">
        <f t="shared" ref="S183:S192" si="30">Q183+R183</f>
        <v>32654</v>
      </c>
    </row>
    <row r="184" spans="1:19">
      <c r="A184" s="172">
        <v>3</v>
      </c>
      <c r="B184" s="173" t="s">
        <v>157</v>
      </c>
      <c r="C184" s="178">
        <v>7</v>
      </c>
      <c r="D184" s="178">
        <v>7</v>
      </c>
      <c r="E184" s="178">
        <v>7</v>
      </c>
      <c r="F184" s="178">
        <v>4</v>
      </c>
      <c r="G184" s="178">
        <v>14</v>
      </c>
      <c r="H184" s="178">
        <v>4</v>
      </c>
      <c r="I184" s="178">
        <v>2</v>
      </c>
      <c r="J184" s="178">
        <v>4</v>
      </c>
      <c r="K184" s="178">
        <v>2</v>
      </c>
      <c r="L184" s="178">
        <v>25</v>
      </c>
      <c r="M184" s="178">
        <v>5</v>
      </c>
      <c r="N184" s="178">
        <v>6</v>
      </c>
      <c r="O184" s="178">
        <v>3</v>
      </c>
      <c r="P184" s="178">
        <v>11</v>
      </c>
      <c r="Q184" s="176">
        <f t="shared" si="29"/>
        <v>101</v>
      </c>
      <c r="R184" s="176">
        <f t="shared" si="28"/>
        <v>573</v>
      </c>
      <c r="S184" s="176">
        <f t="shared" si="30"/>
        <v>674</v>
      </c>
    </row>
    <row r="185" spans="1:19">
      <c r="A185" s="172">
        <v>4</v>
      </c>
      <c r="B185" s="173" t="s">
        <v>158</v>
      </c>
      <c r="C185" s="178">
        <v>74</v>
      </c>
      <c r="D185" s="178">
        <v>154</v>
      </c>
      <c r="E185" s="178">
        <v>5</v>
      </c>
      <c r="F185" s="178">
        <v>228</v>
      </c>
      <c r="G185" s="178">
        <v>30</v>
      </c>
      <c r="H185" s="178">
        <v>194</v>
      </c>
      <c r="I185" s="178">
        <v>25</v>
      </c>
      <c r="J185" s="178">
        <v>1</v>
      </c>
      <c r="K185" s="178">
        <v>3</v>
      </c>
      <c r="L185" s="178">
        <v>4</v>
      </c>
      <c r="M185" s="178">
        <v>164</v>
      </c>
      <c r="N185" s="178">
        <v>118</v>
      </c>
      <c r="O185" s="178">
        <v>12</v>
      </c>
      <c r="P185" s="178">
        <v>25</v>
      </c>
      <c r="Q185" s="176">
        <f t="shared" si="29"/>
        <v>1037</v>
      </c>
      <c r="R185" s="176">
        <f t="shared" si="28"/>
        <v>8286</v>
      </c>
      <c r="S185" s="176">
        <f t="shared" si="30"/>
        <v>9323</v>
      </c>
    </row>
    <row r="186" spans="1:19">
      <c r="A186" s="172">
        <v>5</v>
      </c>
      <c r="B186" s="173" t="s">
        <v>159</v>
      </c>
      <c r="C186" s="178">
        <v>1</v>
      </c>
      <c r="D186" s="178">
        <v>0</v>
      </c>
      <c r="E186" s="178">
        <v>0</v>
      </c>
      <c r="F186" s="178">
        <v>3</v>
      </c>
      <c r="G186" s="178">
        <v>1</v>
      </c>
      <c r="H186" s="178">
        <v>5</v>
      </c>
      <c r="I186" s="178">
        <v>1</v>
      </c>
      <c r="J186" s="178">
        <v>3</v>
      </c>
      <c r="K186" s="178">
        <v>0</v>
      </c>
      <c r="L186" s="178">
        <v>1</v>
      </c>
      <c r="M186" s="178">
        <v>3</v>
      </c>
      <c r="N186" s="178">
        <v>0</v>
      </c>
      <c r="O186" s="178">
        <v>0</v>
      </c>
      <c r="P186" s="178">
        <v>2</v>
      </c>
      <c r="Q186" s="176">
        <f t="shared" si="29"/>
        <v>20</v>
      </c>
      <c r="R186" s="176">
        <f t="shared" si="28"/>
        <v>139</v>
      </c>
      <c r="S186" s="176">
        <f t="shared" si="30"/>
        <v>159</v>
      </c>
    </row>
    <row r="187" spans="1:19">
      <c r="A187" s="172">
        <v>6</v>
      </c>
      <c r="B187" s="173" t="s">
        <v>160</v>
      </c>
      <c r="C187" s="178">
        <v>1</v>
      </c>
      <c r="D187" s="178">
        <v>2</v>
      </c>
      <c r="E187" s="178">
        <v>1</v>
      </c>
      <c r="F187" s="178">
        <v>4</v>
      </c>
      <c r="G187" s="178">
        <v>0</v>
      </c>
      <c r="H187" s="178">
        <v>7</v>
      </c>
      <c r="I187" s="178">
        <v>2</v>
      </c>
      <c r="J187" s="178">
        <v>2</v>
      </c>
      <c r="K187" s="178">
        <v>1</v>
      </c>
      <c r="L187" s="178">
        <v>3</v>
      </c>
      <c r="M187" s="178">
        <v>3</v>
      </c>
      <c r="N187" s="178">
        <v>2</v>
      </c>
      <c r="O187" s="178">
        <v>0</v>
      </c>
      <c r="P187" s="178">
        <v>1</v>
      </c>
      <c r="Q187" s="176">
        <f t="shared" si="29"/>
        <v>29</v>
      </c>
      <c r="R187" s="176">
        <f t="shared" si="28"/>
        <v>199</v>
      </c>
      <c r="S187" s="176">
        <f t="shared" si="30"/>
        <v>228</v>
      </c>
    </row>
    <row r="188" spans="1:19">
      <c r="A188" s="172">
        <v>7</v>
      </c>
      <c r="B188" s="173" t="s">
        <v>86</v>
      </c>
      <c r="C188" s="178">
        <v>2</v>
      </c>
      <c r="D188" s="178">
        <v>3</v>
      </c>
      <c r="E188" s="178">
        <v>0</v>
      </c>
      <c r="F188" s="178">
        <v>5</v>
      </c>
      <c r="G188" s="178">
        <v>2</v>
      </c>
      <c r="H188" s="178">
        <v>4</v>
      </c>
      <c r="I188" s="178">
        <v>1</v>
      </c>
      <c r="J188" s="178">
        <v>0</v>
      </c>
      <c r="K188" s="178">
        <v>0</v>
      </c>
      <c r="L188" s="178">
        <v>2</v>
      </c>
      <c r="M188" s="178">
        <v>4</v>
      </c>
      <c r="N188" s="178">
        <v>5</v>
      </c>
      <c r="O188" s="178">
        <v>1</v>
      </c>
      <c r="P188" s="178">
        <v>0</v>
      </c>
      <c r="Q188" s="176">
        <f t="shared" si="29"/>
        <v>29</v>
      </c>
      <c r="R188" s="176">
        <f t="shared" si="28"/>
        <v>209</v>
      </c>
      <c r="S188" s="176">
        <f t="shared" si="30"/>
        <v>238</v>
      </c>
    </row>
    <row r="189" spans="1:19">
      <c r="A189" s="172">
        <v>8</v>
      </c>
      <c r="B189" s="173" t="s">
        <v>161</v>
      </c>
      <c r="C189" s="178">
        <v>5</v>
      </c>
      <c r="D189" s="178">
        <v>0</v>
      </c>
      <c r="E189" s="178">
        <v>1</v>
      </c>
      <c r="F189" s="178">
        <v>2</v>
      </c>
      <c r="G189" s="178">
        <v>6</v>
      </c>
      <c r="H189" s="178">
        <v>4</v>
      </c>
      <c r="I189" s="178">
        <v>4</v>
      </c>
      <c r="J189" s="178">
        <v>3</v>
      </c>
      <c r="K189" s="178">
        <v>0</v>
      </c>
      <c r="L189" s="178">
        <v>2</v>
      </c>
      <c r="M189" s="178">
        <v>5</v>
      </c>
      <c r="N189" s="178">
        <v>6</v>
      </c>
      <c r="O189" s="178">
        <v>4</v>
      </c>
      <c r="P189" s="178">
        <v>0</v>
      </c>
      <c r="Q189" s="176">
        <f t="shared" si="29"/>
        <v>42</v>
      </c>
      <c r="R189" s="176">
        <f t="shared" si="28"/>
        <v>166</v>
      </c>
      <c r="S189" s="176">
        <f t="shared" si="30"/>
        <v>208</v>
      </c>
    </row>
    <row r="190" spans="1:19">
      <c r="A190" s="172">
        <v>9</v>
      </c>
      <c r="B190" s="174" t="s">
        <v>10</v>
      </c>
      <c r="C190" s="178">
        <v>4</v>
      </c>
      <c r="D190" s="178">
        <v>0</v>
      </c>
      <c r="E190" s="178">
        <v>6</v>
      </c>
      <c r="F190" s="178">
        <v>4</v>
      </c>
      <c r="G190" s="178">
        <v>2</v>
      </c>
      <c r="H190" s="178">
        <v>3</v>
      </c>
      <c r="I190" s="178">
        <v>2</v>
      </c>
      <c r="J190" s="178">
        <v>1</v>
      </c>
      <c r="K190" s="178">
        <v>7</v>
      </c>
      <c r="L190" s="178">
        <v>4</v>
      </c>
      <c r="M190" s="178">
        <v>2</v>
      </c>
      <c r="N190" s="178">
        <v>5</v>
      </c>
      <c r="O190" s="178">
        <v>1</v>
      </c>
      <c r="P190" s="178">
        <v>2</v>
      </c>
      <c r="Q190" s="176">
        <f t="shared" si="29"/>
        <v>43</v>
      </c>
      <c r="R190" s="176">
        <f t="shared" si="28"/>
        <v>224</v>
      </c>
      <c r="S190" s="176">
        <f t="shared" si="30"/>
        <v>267</v>
      </c>
    </row>
    <row r="191" spans="1:19">
      <c r="A191" s="234" t="s">
        <v>11</v>
      </c>
      <c r="B191" s="235"/>
      <c r="C191" s="179">
        <v>0</v>
      </c>
      <c r="D191" s="179">
        <v>0</v>
      </c>
      <c r="E191" s="179">
        <v>0</v>
      </c>
      <c r="F191" s="179">
        <v>0</v>
      </c>
      <c r="G191" s="179">
        <v>0</v>
      </c>
      <c r="H191" s="179">
        <v>0</v>
      </c>
      <c r="I191" s="179">
        <v>0</v>
      </c>
      <c r="J191" s="179">
        <v>0</v>
      </c>
      <c r="K191" s="179">
        <v>0</v>
      </c>
      <c r="L191" s="179">
        <v>0</v>
      </c>
      <c r="M191" s="179">
        <v>0</v>
      </c>
      <c r="N191" s="179">
        <v>0</v>
      </c>
      <c r="O191" s="179">
        <v>0</v>
      </c>
      <c r="P191" s="179">
        <v>0</v>
      </c>
      <c r="Q191" s="176">
        <f t="shared" si="29"/>
        <v>0</v>
      </c>
      <c r="R191" s="176">
        <f t="shared" ref="R191:R192" si="31">S162</f>
        <v>0</v>
      </c>
      <c r="S191" s="176">
        <f t="shared" si="30"/>
        <v>0</v>
      </c>
    </row>
    <row r="192" spans="1:19">
      <c r="A192" s="236" t="s">
        <v>12</v>
      </c>
      <c r="B192" s="236"/>
      <c r="C192" s="176">
        <f t="shared" ref="C192:Q192" si="32">SUM(C182:C191)</f>
        <v>457</v>
      </c>
      <c r="D192" s="176">
        <f t="shared" si="32"/>
        <v>459</v>
      </c>
      <c r="E192" s="176">
        <f t="shared" si="32"/>
        <v>533</v>
      </c>
      <c r="F192" s="176">
        <f t="shared" si="32"/>
        <v>563</v>
      </c>
      <c r="G192" s="176">
        <f t="shared" si="32"/>
        <v>602</v>
      </c>
      <c r="H192" s="176">
        <f t="shared" si="32"/>
        <v>471</v>
      </c>
      <c r="I192" s="176">
        <f t="shared" si="32"/>
        <v>516</v>
      </c>
      <c r="J192" s="176">
        <f t="shared" si="32"/>
        <v>593</v>
      </c>
      <c r="K192" s="176">
        <f t="shared" si="32"/>
        <v>658</v>
      </c>
      <c r="L192" s="176">
        <f t="shared" si="32"/>
        <v>582</v>
      </c>
      <c r="M192" s="176">
        <f t="shared" si="32"/>
        <v>695</v>
      </c>
      <c r="N192" s="176">
        <f t="shared" si="32"/>
        <v>674</v>
      </c>
      <c r="O192" s="176">
        <f t="shared" si="32"/>
        <v>323</v>
      </c>
      <c r="P192" s="176">
        <f t="shared" si="32"/>
        <v>714</v>
      </c>
      <c r="Q192" s="176">
        <f t="shared" si="32"/>
        <v>7840</v>
      </c>
      <c r="R192" s="176">
        <f t="shared" si="31"/>
        <v>49037</v>
      </c>
      <c r="S192" s="176">
        <f t="shared" si="30"/>
        <v>56877</v>
      </c>
    </row>
    <row r="193" spans="1:19" ht="11.25" customHeight="1">
      <c r="A193" s="5"/>
      <c r="B193" s="5"/>
      <c r="C193" s="6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8"/>
      <c r="R193" s="7"/>
      <c r="S193" s="7"/>
    </row>
    <row r="194" spans="1:19" ht="22.5">
      <c r="A194" s="17"/>
      <c r="B194" s="17"/>
      <c r="C194" s="10" t="s">
        <v>13</v>
      </c>
      <c r="D194" s="10" t="s">
        <v>13</v>
      </c>
      <c r="E194" s="10" t="s">
        <v>13</v>
      </c>
      <c r="F194" s="10" t="s">
        <v>13</v>
      </c>
      <c r="G194" s="10" t="s">
        <v>13</v>
      </c>
      <c r="H194" s="10" t="s">
        <v>13</v>
      </c>
      <c r="I194" s="10" t="s">
        <v>13</v>
      </c>
      <c r="J194" s="10" t="s">
        <v>13</v>
      </c>
      <c r="K194" s="10" t="s">
        <v>13</v>
      </c>
      <c r="L194" s="10" t="s">
        <v>13</v>
      </c>
      <c r="M194" s="10" t="s">
        <v>13</v>
      </c>
      <c r="N194" s="10" t="s">
        <v>13</v>
      </c>
      <c r="O194" s="10" t="s">
        <v>13</v>
      </c>
      <c r="P194" s="10" t="s">
        <v>13</v>
      </c>
      <c r="Q194" s="10" t="s">
        <v>13</v>
      </c>
      <c r="R194" s="10" t="s">
        <v>13</v>
      </c>
      <c r="S194" s="10" t="s">
        <v>13</v>
      </c>
    </row>
    <row r="195" spans="1:19" ht="9.75" customHeight="1">
      <c r="A195" s="17"/>
      <c r="B195" s="17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</row>
    <row r="196" spans="1:19" ht="22.5">
      <c r="A196" s="17"/>
      <c r="B196" s="17"/>
      <c r="C196" s="10" t="s">
        <v>14</v>
      </c>
      <c r="D196" s="10" t="s">
        <v>14</v>
      </c>
      <c r="E196" s="10" t="s">
        <v>14</v>
      </c>
      <c r="F196" s="10" t="s">
        <v>14</v>
      </c>
      <c r="G196" s="10" t="s">
        <v>14</v>
      </c>
      <c r="H196" s="10" t="s">
        <v>14</v>
      </c>
      <c r="I196" s="10" t="s">
        <v>14</v>
      </c>
      <c r="J196" s="10" t="s">
        <v>14</v>
      </c>
      <c r="K196" s="10" t="s">
        <v>14</v>
      </c>
      <c r="L196" s="10" t="s">
        <v>14</v>
      </c>
      <c r="M196" s="10" t="s">
        <v>14</v>
      </c>
      <c r="N196" s="10" t="s">
        <v>14</v>
      </c>
      <c r="O196" s="10" t="s">
        <v>14</v>
      </c>
      <c r="P196" s="10" t="s">
        <v>14</v>
      </c>
      <c r="Q196" s="10" t="s">
        <v>14</v>
      </c>
      <c r="R196" s="10" t="s">
        <v>14</v>
      </c>
      <c r="S196" s="10" t="s">
        <v>14</v>
      </c>
    </row>
    <row r="197" spans="1:19" ht="9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</row>
    <row r="198" spans="1:19">
      <c r="A198" s="237" t="s">
        <v>15</v>
      </c>
      <c r="B198" s="237"/>
      <c r="C198" s="238" t="s">
        <v>16</v>
      </c>
      <c r="D198" s="238"/>
      <c r="E198" s="238"/>
      <c r="F198" s="238"/>
      <c r="G198" s="238"/>
      <c r="H198" s="238"/>
      <c r="I198" s="238"/>
      <c r="J198" s="238"/>
      <c r="K198" s="238"/>
      <c r="L198" s="238"/>
      <c r="M198" s="238"/>
      <c r="N198" s="238"/>
      <c r="O198" s="238"/>
      <c r="P198" s="238"/>
      <c r="Q198" s="238"/>
      <c r="R198" s="17"/>
      <c r="S198" s="17"/>
    </row>
    <row r="199" spans="1:19">
      <c r="A199" s="17"/>
      <c r="B199" s="17"/>
      <c r="C199" s="238" t="s">
        <v>17</v>
      </c>
      <c r="D199" s="238"/>
      <c r="E199" s="238"/>
      <c r="F199" s="238"/>
      <c r="G199" s="238"/>
      <c r="H199" s="238"/>
      <c r="I199" s="238"/>
      <c r="J199" s="238"/>
      <c r="K199" s="238"/>
      <c r="L199" s="238"/>
      <c r="M199" s="238"/>
      <c r="N199" s="238"/>
      <c r="O199" s="238"/>
      <c r="P199" s="238"/>
      <c r="Q199" s="238"/>
      <c r="R199" s="17"/>
      <c r="S199" s="17"/>
    </row>
    <row r="200" spans="1:19" ht="15" customHeight="1">
      <c r="A200" s="17"/>
      <c r="B200" s="17"/>
      <c r="C200" s="228" t="s">
        <v>45</v>
      </c>
      <c r="D200" s="228"/>
      <c r="E200" s="228"/>
      <c r="F200" s="228"/>
      <c r="G200" s="228"/>
      <c r="H200" s="228"/>
      <c r="I200" s="228"/>
      <c r="J200" s="228"/>
      <c r="K200" s="228"/>
      <c r="L200" s="228"/>
      <c r="M200" s="228"/>
      <c r="N200" s="228"/>
      <c r="O200" s="228"/>
      <c r="P200" s="228"/>
      <c r="Q200" s="228"/>
      <c r="R200" s="17"/>
      <c r="S200" s="17"/>
    </row>
    <row r="201" spans="1:19">
      <c r="A201" s="23"/>
      <c r="B201" s="23"/>
      <c r="C201" s="228" t="s">
        <v>46</v>
      </c>
      <c r="D201" s="228"/>
      <c r="E201" s="228"/>
      <c r="F201" s="228"/>
      <c r="G201" s="228"/>
      <c r="H201" s="228"/>
      <c r="I201" s="228"/>
      <c r="J201" s="228"/>
      <c r="K201" s="228"/>
      <c r="L201" s="228"/>
      <c r="M201" s="228"/>
      <c r="N201" s="228"/>
      <c r="O201" s="228"/>
      <c r="P201" s="228"/>
      <c r="Q201" s="228"/>
      <c r="R201" s="23"/>
      <c r="S201" s="23"/>
    </row>
    <row r="202" spans="1:19" ht="15" customHeight="1">
      <c r="A202" s="60"/>
      <c r="B202" s="61" t="s">
        <v>139</v>
      </c>
      <c r="C202" s="227" t="s">
        <v>138</v>
      </c>
      <c r="D202" s="227"/>
      <c r="E202" s="227"/>
      <c r="F202" s="227"/>
      <c r="G202" s="227"/>
      <c r="H202" s="227"/>
      <c r="I202" s="227"/>
      <c r="J202" s="227"/>
      <c r="K202" s="227"/>
      <c r="L202" s="227"/>
      <c r="M202" s="227"/>
      <c r="N202" s="227"/>
      <c r="O202" s="227"/>
      <c r="P202" s="227"/>
      <c r="Q202" s="227"/>
      <c r="R202" s="60"/>
      <c r="S202" s="60"/>
    </row>
    <row r="203" spans="1:19">
      <c r="A203" s="23"/>
      <c r="B203" s="23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3"/>
      <c r="S203" s="23"/>
    </row>
    <row r="204" spans="1:19" ht="26.25">
      <c r="A204" s="229" t="s">
        <v>0</v>
      </c>
      <c r="B204" s="229"/>
      <c r="C204" s="229"/>
      <c r="D204" s="229"/>
      <c r="E204" s="229"/>
      <c r="F204" s="229"/>
      <c r="G204" s="229"/>
      <c r="H204" s="229"/>
      <c r="I204" s="229"/>
      <c r="J204" s="229"/>
      <c r="K204" s="229"/>
      <c r="L204" s="229"/>
      <c r="M204" s="229"/>
      <c r="N204" s="229"/>
      <c r="O204" s="229"/>
      <c r="P204" s="229"/>
      <c r="Q204" s="229"/>
      <c r="R204" s="229"/>
      <c r="S204" s="229"/>
    </row>
    <row r="205" spans="1:19" ht="19.5" customHeight="1">
      <c r="A205" s="230" t="s">
        <v>83</v>
      </c>
      <c r="B205" s="230"/>
      <c r="C205" s="230"/>
      <c r="D205" s="230"/>
      <c r="E205" s="230"/>
      <c r="F205" s="230"/>
      <c r="G205" s="230"/>
      <c r="H205" s="230"/>
      <c r="I205" s="1"/>
      <c r="J205" s="1"/>
      <c r="K205" s="231" t="s">
        <v>27</v>
      </c>
      <c r="L205" s="231"/>
      <c r="M205" s="231"/>
      <c r="N205" s="231"/>
      <c r="O205" s="1"/>
      <c r="P205" s="232" t="s">
        <v>1</v>
      </c>
      <c r="Q205" s="232"/>
      <c r="R205" s="233">
        <v>44630</v>
      </c>
      <c r="S205" s="233"/>
    </row>
    <row r="206" spans="1:19">
      <c r="A206" s="242" t="s">
        <v>2</v>
      </c>
      <c r="B206" s="242"/>
      <c r="C206" s="16">
        <v>1</v>
      </c>
      <c r="D206" s="16">
        <v>2</v>
      </c>
      <c r="E206" s="16">
        <v>3</v>
      </c>
      <c r="F206" s="16">
        <v>4</v>
      </c>
      <c r="G206" s="16">
        <v>5</v>
      </c>
      <c r="H206" s="16">
        <v>6</v>
      </c>
      <c r="I206" s="16">
        <v>7</v>
      </c>
      <c r="J206" s="16">
        <v>8</v>
      </c>
      <c r="K206" s="16">
        <v>9</v>
      </c>
      <c r="L206" s="16">
        <v>10</v>
      </c>
      <c r="M206" s="16">
        <v>11</v>
      </c>
      <c r="N206" s="16">
        <v>12</v>
      </c>
      <c r="O206" s="16">
        <v>13</v>
      </c>
      <c r="P206" s="16">
        <v>14</v>
      </c>
      <c r="Q206" s="239" t="s">
        <v>3</v>
      </c>
      <c r="R206" s="239" t="s">
        <v>4</v>
      </c>
      <c r="S206" s="239" t="s">
        <v>5</v>
      </c>
    </row>
    <row r="207" spans="1:19">
      <c r="A207" s="242" t="s">
        <v>6</v>
      </c>
      <c r="B207" s="242"/>
      <c r="C207" s="16">
        <v>99</v>
      </c>
      <c r="D207" s="16">
        <v>100</v>
      </c>
      <c r="E207" s="16">
        <v>101</v>
      </c>
      <c r="F207" s="16">
        <v>102</v>
      </c>
      <c r="G207" s="16">
        <v>103</v>
      </c>
      <c r="H207" s="16">
        <v>104</v>
      </c>
      <c r="I207" s="16">
        <v>105</v>
      </c>
      <c r="J207" s="16">
        <v>106</v>
      </c>
      <c r="K207" s="16">
        <v>107</v>
      </c>
      <c r="L207" s="16">
        <v>108</v>
      </c>
      <c r="M207" s="16">
        <v>109</v>
      </c>
      <c r="N207" s="16">
        <v>110</v>
      </c>
      <c r="O207" s="16">
        <v>111</v>
      </c>
      <c r="P207" s="16">
        <v>112</v>
      </c>
      <c r="Q207" s="240"/>
      <c r="R207" s="240"/>
      <c r="S207" s="240"/>
    </row>
    <row r="208" spans="1:19" ht="31.5">
      <c r="A208" s="243" t="s">
        <v>18</v>
      </c>
      <c r="B208" s="244"/>
      <c r="C208" s="118" t="s">
        <v>292</v>
      </c>
      <c r="D208" s="118" t="s">
        <v>293</v>
      </c>
      <c r="E208" s="118" t="s">
        <v>294</v>
      </c>
      <c r="F208" s="118" t="s">
        <v>295</v>
      </c>
      <c r="G208" s="118" t="s">
        <v>296</v>
      </c>
      <c r="H208" s="118" t="s">
        <v>297</v>
      </c>
      <c r="I208" s="118" t="s">
        <v>298</v>
      </c>
      <c r="J208" s="118" t="s">
        <v>299</v>
      </c>
      <c r="K208" s="118" t="s">
        <v>300</v>
      </c>
      <c r="L208" s="118" t="s">
        <v>301</v>
      </c>
      <c r="M208" s="118" t="s">
        <v>302</v>
      </c>
      <c r="N208" s="118" t="s">
        <v>303</v>
      </c>
      <c r="O208" s="118" t="s">
        <v>304</v>
      </c>
      <c r="P208" s="118" t="s">
        <v>305</v>
      </c>
      <c r="Q208" s="240"/>
      <c r="R208" s="240"/>
      <c r="S208" s="240"/>
    </row>
    <row r="209" spans="1:19" ht="27" hidden="1" customHeight="1">
      <c r="A209" s="245" t="s">
        <v>20</v>
      </c>
      <c r="B209" s="246"/>
      <c r="C209" s="33">
        <v>446</v>
      </c>
      <c r="D209" s="33">
        <v>861</v>
      </c>
      <c r="E209" s="33">
        <v>778</v>
      </c>
      <c r="F209" s="33">
        <v>726</v>
      </c>
      <c r="G209" s="33">
        <v>731</v>
      </c>
      <c r="H209" s="33">
        <v>769</v>
      </c>
      <c r="I209" s="33">
        <v>638</v>
      </c>
      <c r="J209" s="33">
        <v>558</v>
      </c>
      <c r="K209" s="33">
        <v>562</v>
      </c>
      <c r="L209" s="33">
        <v>419</v>
      </c>
      <c r="M209" s="33">
        <v>604</v>
      </c>
      <c r="N209" s="33">
        <v>721</v>
      </c>
      <c r="O209" s="33">
        <v>660</v>
      </c>
      <c r="P209" s="33">
        <v>520</v>
      </c>
      <c r="Q209" s="240"/>
      <c r="R209" s="240"/>
      <c r="S209" s="240"/>
    </row>
    <row r="210" spans="1:19">
      <c r="A210" s="19" t="s">
        <v>7</v>
      </c>
      <c r="B210" s="16" t="s">
        <v>8</v>
      </c>
      <c r="C210" s="20" t="s">
        <v>9</v>
      </c>
      <c r="D210" s="20" t="s">
        <v>9</v>
      </c>
      <c r="E210" s="20" t="s">
        <v>9</v>
      </c>
      <c r="F210" s="20" t="s">
        <v>9</v>
      </c>
      <c r="G210" s="20" t="s">
        <v>9</v>
      </c>
      <c r="H210" s="20" t="s">
        <v>9</v>
      </c>
      <c r="I210" s="20" t="s">
        <v>9</v>
      </c>
      <c r="J210" s="20" t="s">
        <v>9</v>
      </c>
      <c r="K210" s="20" t="s">
        <v>9</v>
      </c>
      <c r="L210" s="20" t="s">
        <v>9</v>
      </c>
      <c r="M210" s="20" t="s">
        <v>9</v>
      </c>
      <c r="N210" s="20" t="s">
        <v>9</v>
      </c>
      <c r="O210" s="20" t="s">
        <v>9</v>
      </c>
      <c r="P210" s="20" t="s">
        <v>9</v>
      </c>
      <c r="Q210" s="241"/>
      <c r="R210" s="241"/>
      <c r="S210" s="241"/>
    </row>
    <row r="211" spans="1:19">
      <c r="A211" s="172">
        <v>1</v>
      </c>
      <c r="B211" s="173" t="s">
        <v>85</v>
      </c>
      <c r="C211" s="178">
        <v>105</v>
      </c>
      <c r="D211" s="178">
        <v>46</v>
      </c>
      <c r="E211" s="178">
        <v>148</v>
      </c>
      <c r="F211" s="178">
        <v>16</v>
      </c>
      <c r="G211" s="178">
        <v>245</v>
      </c>
      <c r="H211" s="178">
        <v>136</v>
      </c>
      <c r="I211" s="178">
        <v>74</v>
      </c>
      <c r="J211" s="178">
        <v>65</v>
      </c>
      <c r="K211" s="178">
        <v>75</v>
      </c>
      <c r="L211" s="178">
        <v>79</v>
      </c>
      <c r="M211" s="178">
        <v>55</v>
      </c>
      <c r="N211" s="178">
        <v>260</v>
      </c>
      <c r="O211" s="178">
        <v>19</v>
      </c>
      <c r="P211" s="178">
        <v>57</v>
      </c>
      <c r="Q211" s="176">
        <f>SUM(C211:P211)</f>
        <v>1380</v>
      </c>
      <c r="R211" s="176">
        <f t="shared" ref="R211:R219" si="33">S182</f>
        <v>13126</v>
      </c>
      <c r="S211" s="176">
        <f>Q211+R211</f>
        <v>14506</v>
      </c>
    </row>
    <row r="212" spans="1:19">
      <c r="A212" s="172">
        <v>2</v>
      </c>
      <c r="B212" s="173" t="s">
        <v>156</v>
      </c>
      <c r="C212" s="178">
        <v>229</v>
      </c>
      <c r="D212" s="178">
        <v>766</v>
      </c>
      <c r="E212" s="178">
        <v>451</v>
      </c>
      <c r="F212" s="178">
        <v>472</v>
      </c>
      <c r="G212" s="178">
        <v>426</v>
      </c>
      <c r="H212" s="178">
        <v>568</v>
      </c>
      <c r="I212" s="178">
        <v>528</v>
      </c>
      <c r="J212" s="178">
        <v>326</v>
      </c>
      <c r="K212" s="178">
        <v>301</v>
      </c>
      <c r="L212" s="178">
        <v>166</v>
      </c>
      <c r="M212" s="178">
        <v>356</v>
      </c>
      <c r="N212" s="178">
        <v>380</v>
      </c>
      <c r="O212" s="178">
        <v>426</v>
      </c>
      <c r="P212" s="178">
        <v>300</v>
      </c>
      <c r="Q212" s="176">
        <f t="shared" ref="Q212:Q220" si="34">SUM(C212:P212)</f>
        <v>5695</v>
      </c>
      <c r="R212" s="176">
        <f t="shared" si="33"/>
        <v>32654</v>
      </c>
      <c r="S212" s="176">
        <f t="shared" ref="S212:S221" si="35">Q212+R212</f>
        <v>38349</v>
      </c>
    </row>
    <row r="213" spans="1:19">
      <c r="A213" s="172">
        <v>3</v>
      </c>
      <c r="B213" s="173" t="s">
        <v>157</v>
      </c>
      <c r="C213" s="178">
        <v>5</v>
      </c>
      <c r="D213" s="178">
        <v>5</v>
      </c>
      <c r="E213" s="178">
        <v>6</v>
      </c>
      <c r="F213" s="178">
        <v>2</v>
      </c>
      <c r="G213" s="178">
        <v>7</v>
      </c>
      <c r="H213" s="178">
        <v>6</v>
      </c>
      <c r="I213" s="178">
        <v>1</v>
      </c>
      <c r="J213" s="178">
        <v>3</v>
      </c>
      <c r="K213" s="178">
        <v>9</v>
      </c>
      <c r="L213" s="178">
        <v>4</v>
      </c>
      <c r="M213" s="178">
        <v>7</v>
      </c>
      <c r="N213" s="178">
        <v>10</v>
      </c>
      <c r="O213" s="178">
        <v>0</v>
      </c>
      <c r="P213" s="178">
        <v>8</v>
      </c>
      <c r="Q213" s="176">
        <f t="shared" si="34"/>
        <v>73</v>
      </c>
      <c r="R213" s="176">
        <f t="shared" si="33"/>
        <v>674</v>
      </c>
      <c r="S213" s="176">
        <f t="shared" si="35"/>
        <v>747</v>
      </c>
    </row>
    <row r="214" spans="1:19">
      <c r="A214" s="172">
        <v>4</v>
      </c>
      <c r="B214" s="173" t="s">
        <v>158</v>
      </c>
      <c r="C214" s="178">
        <v>104</v>
      </c>
      <c r="D214" s="178">
        <v>27</v>
      </c>
      <c r="E214" s="178">
        <v>148</v>
      </c>
      <c r="F214" s="178">
        <v>229</v>
      </c>
      <c r="G214" s="178">
        <v>44</v>
      </c>
      <c r="H214" s="178">
        <v>50</v>
      </c>
      <c r="I214" s="178">
        <v>30</v>
      </c>
      <c r="J214" s="178">
        <v>157</v>
      </c>
      <c r="K214" s="178">
        <v>168</v>
      </c>
      <c r="L214" s="178">
        <v>160</v>
      </c>
      <c r="M214" s="178">
        <v>174</v>
      </c>
      <c r="N214" s="178">
        <v>63</v>
      </c>
      <c r="O214" s="178">
        <v>207</v>
      </c>
      <c r="P214" s="178">
        <v>138</v>
      </c>
      <c r="Q214" s="176">
        <f t="shared" si="34"/>
        <v>1699</v>
      </c>
      <c r="R214" s="176">
        <f t="shared" si="33"/>
        <v>9323</v>
      </c>
      <c r="S214" s="176">
        <f t="shared" si="35"/>
        <v>11022</v>
      </c>
    </row>
    <row r="215" spans="1:19">
      <c r="A215" s="172">
        <v>5</v>
      </c>
      <c r="B215" s="173" t="s">
        <v>159</v>
      </c>
      <c r="C215" s="178">
        <v>1</v>
      </c>
      <c r="D215" s="178">
        <v>0</v>
      </c>
      <c r="E215" s="178">
        <v>3</v>
      </c>
      <c r="F215" s="178">
        <v>1</v>
      </c>
      <c r="G215" s="178">
        <v>0</v>
      </c>
      <c r="H215" s="178">
        <v>1</v>
      </c>
      <c r="I215" s="178">
        <v>0</v>
      </c>
      <c r="J215" s="178">
        <v>4</v>
      </c>
      <c r="K215" s="178">
        <v>2</v>
      </c>
      <c r="L215" s="178">
        <v>0</v>
      </c>
      <c r="M215" s="178">
        <v>3</v>
      </c>
      <c r="N215" s="178">
        <v>1</v>
      </c>
      <c r="O215" s="178">
        <v>2</v>
      </c>
      <c r="P215" s="178">
        <v>6</v>
      </c>
      <c r="Q215" s="176">
        <f t="shared" si="34"/>
        <v>24</v>
      </c>
      <c r="R215" s="176">
        <f t="shared" si="33"/>
        <v>159</v>
      </c>
      <c r="S215" s="176">
        <f t="shared" si="35"/>
        <v>183</v>
      </c>
    </row>
    <row r="216" spans="1:19">
      <c r="A216" s="172">
        <v>6</v>
      </c>
      <c r="B216" s="173" t="s">
        <v>160</v>
      </c>
      <c r="C216" s="178">
        <v>1</v>
      </c>
      <c r="D216" s="178">
        <v>3</v>
      </c>
      <c r="E216" s="178">
        <v>5</v>
      </c>
      <c r="F216" s="178">
        <v>1</v>
      </c>
      <c r="G216" s="178">
        <v>2</v>
      </c>
      <c r="H216" s="178">
        <v>3</v>
      </c>
      <c r="I216" s="178">
        <v>5</v>
      </c>
      <c r="J216" s="178">
        <v>2</v>
      </c>
      <c r="K216" s="178">
        <v>5</v>
      </c>
      <c r="L216" s="178">
        <v>0</v>
      </c>
      <c r="M216" s="178">
        <v>3</v>
      </c>
      <c r="N216" s="178">
        <v>1</v>
      </c>
      <c r="O216" s="178">
        <v>3</v>
      </c>
      <c r="P216" s="178">
        <v>4</v>
      </c>
      <c r="Q216" s="176">
        <f t="shared" si="34"/>
        <v>38</v>
      </c>
      <c r="R216" s="176">
        <f t="shared" si="33"/>
        <v>228</v>
      </c>
      <c r="S216" s="176">
        <f t="shared" si="35"/>
        <v>266</v>
      </c>
    </row>
    <row r="217" spans="1:19">
      <c r="A217" s="172">
        <v>7</v>
      </c>
      <c r="B217" s="173" t="s">
        <v>86</v>
      </c>
      <c r="C217" s="178">
        <v>1</v>
      </c>
      <c r="D217" s="178">
        <v>3</v>
      </c>
      <c r="E217" s="178">
        <v>2</v>
      </c>
      <c r="F217" s="178">
        <v>1</v>
      </c>
      <c r="G217" s="178">
        <v>1</v>
      </c>
      <c r="H217" s="178">
        <v>1</v>
      </c>
      <c r="I217" s="178">
        <v>0</v>
      </c>
      <c r="J217" s="178">
        <v>0</v>
      </c>
      <c r="K217" s="178">
        <v>1</v>
      </c>
      <c r="L217" s="178">
        <v>7</v>
      </c>
      <c r="M217" s="178">
        <v>4</v>
      </c>
      <c r="N217" s="178">
        <v>3</v>
      </c>
      <c r="O217" s="178">
        <v>0</v>
      </c>
      <c r="P217" s="178">
        <v>3</v>
      </c>
      <c r="Q217" s="176">
        <f t="shared" si="34"/>
        <v>27</v>
      </c>
      <c r="R217" s="176">
        <f t="shared" si="33"/>
        <v>238</v>
      </c>
      <c r="S217" s="176">
        <f t="shared" si="35"/>
        <v>265</v>
      </c>
    </row>
    <row r="218" spans="1:19">
      <c r="A218" s="172">
        <v>8</v>
      </c>
      <c r="B218" s="173" t="s">
        <v>161</v>
      </c>
      <c r="C218" s="178">
        <v>0</v>
      </c>
      <c r="D218" s="178">
        <v>10</v>
      </c>
      <c r="E218" s="178">
        <v>4</v>
      </c>
      <c r="F218" s="178">
        <v>2</v>
      </c>
      <c r="G218" s="178">
        <v>1</v>
      </c>
      <c r="H218" s="178">
        <v>2</v>
      </c>
      <c r="I218" s="178">
        <v>0</v>
      </c>
      <c r="J218" s="178">
        <v>0</v>
      </c>
      <c r="K218" s="178">
        <v>0</v>
      </c>
      <c r="L218" s="178">
        <v>1</v>
      </c>
      <c r="M218" s="178">
        <v>1</v>
      </c>
      <c r="N218" s="178">
        <v>3</v>
      </c>
      <c r="O218" s="178">
        <v>3</v>
      </c>
      <c r="P218" s="178">
        <v>2</v>
      </c>
      <c r="Q218" s="176">
        <f t="shared" si="34"/>
        <v>29</v>
      </c>
      <c r="R218" s="176">
        <f t="shared" si="33"/>
        <v>208</v>
      </c>
      <c r="S218" s="176">
        <f t="shared" si="35"/>
        <v>237</v>
      </c>
    </row>
    <row r="219" spans="1:19">
      <c r="A219" s="172">
        <v>9</v>
      </c>
      <c r="B219" s="174" t="s">
        <v>10</v>
      </c>
      <c r="C219" s="178">
        <v>0</v>
      </c>
      <c r="D219" s="178">
        <v>1</v>
      </c>
      <c r="E219" s="178">
        <v>11</v>
      </c>
      <c r="F219" s="178">
        <v>2</v>
      </c>
      <c r="G219" s="178">
        <v>5</v>
      </c>
      <c r="H219" s="178">
        <v>2</v>
      </c>
      <c r="I219" s="178">
        <v>0</v>
      </c>
      <c r="J219" s="178">
        <v>1</v>
      </c>
      <c r="K219" s="178">
        <v>1</v>
      </c>
      <c r="L219" s="178">
        <v>2</v>
      </c>
      <c r="M219" s="178">
        <v>1</v>
      </c>
      <c r="N219" s="178">
        <v>0</v>
      </c>
      <c r="O219" s="178">
        <v>0</v>
      </c>
      <c r="P219" s="178">
        <v>2</v>
      </c>
      <c r="Q219" s="176">
        <f t="shared" si="34"/>
        <v>28</v>
      </c>
      <c r="R219" s="176">
        <f t="shared" si="33"/>
        <v>267</v>
      </c>
      <c r="S219" s="176">
        <f t="shared" si="35"/>
        <v>295</v>
      </c>
    </row>
    <row r="220" spans="1:19">
      <c r="A220" s="234" t="s">
        <v>11</v>
      </c>
      <c r="B220" s="235"/>
      <c r="C220" s="177">
        <v>0</v>
      </c>
      <c r="D220" s="177">
        <v>0</v>
      </c>
      <c r="E220" s="177">
        <v>0</v>
      </c>
      <c r="F220" s="177">
        <v>0</v>
      </c>
      <c r="G220" s="177">
        <v>0</v>
      </c>
      <c r="H220" s="177">
        <v>0</v>
      </c>
      <c r="I220" s="177">
        <v>0</v>
      </c>
      <c r="J220" s="177">
        <v>0</v>
      </c>
      <c r="K220" s="177">
        <v>0</v>
      </c>
      <c r="L220" s="177">
        <v>0</v>
      </c>
      <c r="M220" s="177">
        <v>0</v>
      </c>
      <c r="N220" s="177">
        <v>0</v>
      </c>
      <c r="O220" s="177">
        <v>0</v>
      </c>
      <c r="P220" s="177">
        <v>0</v>
      </c>
      <c r="Q220" s="176">
        <f t="shared" si="34"/>
        <v>0</v>
      </c>
      <c r="R220" s="176">
        <f t="shared" ref="R220:R221" si="36">S191</f>
        <v>0</v>
      </c>
      <c r="S220" s="176">
        <f t="shared" si="35"/>
        <v>0</v>
      </c>
    </row>
    <row r="221" spans="1:19">
      <c r="A221" s="236" t="s">
        <v>12</v>
      </c>
      <c r="B221" s="236"/>
      <c r="C221" s="176">
        <f t="shared" ref="C221:Q221" si="37">SUM(C211:C220)</f>
        <v>446</v>
      </c>
      <c r="D221" s="176">
        <f t="shared" si="37"/>
        <v>861</v>
      </c>
      <c r="E221" s="176">
        <f t="shared" si="37"/>
        <v>778</v>
      </c>
      <c r="F221" s="176">
        <f t="shared" si="37"/>
        <v>726</v>
      </c>
      <c r="G221" s="176">
        <f t="shared" si="37"/>
        <v>731</v>
      </c>
      <c r="H221" s="176">
        <f t="shared" si="37"/>
        <v>769</v>
      </c>
      <c r="I221" s="176">
        <f t="shared" si="37"/>
        <v>638</v>
      </c>
      <c r="J221" s="176">
        <f t="shared" si="37"/>
        <v>558</v>
      </c>
      <c r="K221" s="176">
        <f t="shared" si="37"/>
        <v>562</v>
      </c>
      <c r="L221" s="176">
        <f t="shared" si="37"/>
        <v>419</v>
      </c>
      <c r="M221" s="176">
        <f t="shared" si="37"/>
        <v>604</v>
      </c>
      <c r="N221" s="176">
        <f t="shared" si="37"/>
        <v>721</v>
      </c>
      <c r="O221" s="176">
        <f t="shared" si="37"/>
        <v>660</v>
      </c>
      <c r="P221" s="176">
        <f t="shared" si="37"/>
        <v>520</v>
      </c>
      <c r="Q221" s="176">
        <f t="shared" si="37"/>
        <v>8993</v>
      </c>
      <c r="R221" s="176">
        <f t="shared" si="36"/>
        <v>56877</v>
      </c>
      <c r="S221" s="176">
        <f t="shared" si="35"/>
        <v>65870</v>
      </c>
    </row>
    <row r="222" spans="1:19" ht="10.5" customHeight="1">
      <c r="A222" s="5"/>
      <c r="B222" s="5"/>
      <c r="C222" s="6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8"/>
      <c r="R222" s="7"/>
      <c r="S222" s="7"/>
    </row>
    <row r="223" spans="1:19" ht="22.5">
      <c r="A223" s="17"/>
      <c r="B223" s="17"/>
      <c r="C223" s="10" t="s">
        <v>13</v>
      </c>
      <c r="D223" s="10" t="s">
        <v>13</v>
      </c>
      <c r="E223" s="10" t="s">
        <v>13</v>
      </c>
      <c r="F223" s="10" t="s">
        <v>13</v>
      </c>
      <c r="G223" s="10" t="s">
        <v>13</v>
      </c>
      <c r="H223" s="10" t="s">
        <v>13</v>
      </c>
      <c r="I223" s="10" t="s">
        <v>13</v>
      </c>
      <c r="J223" s="10" t="s">
        <v>13</v>
      </c>
      <c r="K223" s="10" t="s">
        <v>13</v>
      </c>
      <c r="L223" s="10" t="s">
        <v>13</v>
      </c>
      <c r="M223" s="10" t="s">
        <v>13</v>
      </c>
      <c r="N223" s="10" t="s">
        <v>13</v>
      </c>
      <c r="O223" s="10" t="s">
        <v>13</v>
      </c>
      <c r="P223" s="10" t="s">
        <v>13</v>
      </c>
      <c r="Q223" s="10" t="s">
        <v>13</v>
      </c>
      <c r="R223" s="10" t="s">
        <v>13</v>
      </c>
      <c r="S223" s="10" t="s">
        <v>13</v>
      </c>
    </row>
    <row r="224" spans="1:19" ht="9" customHeight="1">
      <c r="A224" s="17"/>
      <c r="B224" s="17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</row>
    <row r="225" spans="1:19" ht="22.5">
      <c r="A225" s="17"/>
      <c r="B225" s="17"/>
      <c r="C225" s="10" t="s">
        <v>14</v>
      </c>
      <c r="D225" s="10" t="s">
        <v>14</v>
      </c>
      <c r="E225" s="10" t="s">
        <v>14</v>
      </c>
      <c r="F225" s="10" t="s">
        <v>14</v>
      </c>
      <c r="G225" s="10" t="s">
        <v>14</v>
      </c>
      <c r="H225" s="10" t="s">
        <v>14</v>
      </c>
      <c r="I225" s="10" t="s">
        <v>14</v>
      </c>
      <c r="J225" s="10" t="s">
        <v>14</v>
      </c>
      <c r="K225" s="10" t="s">
        <v>14</v>
      </c>
      <c r="L225" s="10" t="s">
        <v>14</v>
      </c>
      <c r="M225" s="10" t="s">
        <v>14</v>
      </c>
      <c r="N225" s="10" t="s">
        <v>14</v>
      </c>
      <c r="O225" s="10" t="s">
        <v>14</v>
      </c>
      <c r="P225" s="10" t="s">
        <v>14</v>
      </c>
      <c r="Q225" s="10" t="s">
        <v>14</v>
      </c>
      <c r="R225" s="10" t="s">
        <v>14</v>
      </c>
      <c r="S225" s="10" t="s">
        <v>14</v>
      </c>
    </row>
    <row r="226" spans="1:19" ht="9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</row>
    <row r="227" spans="1:19">
      <c r="A227" s="237" t="s">
        <v>15</v>
      </c>
      <c r="B227" s="237"/>
      <c r="C227" s="238" t="s">
        <v>16</v>
      </c>
      <c r="D227" s="238"/>
      <c r="E227" s="238"/>
      <c r="F227" s="238"/>
      <c r="G227" s="238"/>
      <c r="H227" s="238"/>
      <c r="I227" s="238"/>
      <c r="J227" s="238"/>
      <c r="K227" s="238"/>
      <c r="L227" s="238"/>
      <c r="M227" s="238"/>
      <c r="N227" s="238"/>
      <c r="O227" s="238"/>
      <c r="P227" s="238"/>
      <c r="Q227" s="238"/>
      <c r="R227" s="17"/>
      <c r="S227" s="17"/>
    </row>
    <row r="228" spans="1:19">
      <c r="A228" s="17"/>
      <c r="B228" s="17"/>
      <c r="C228" s="238" t="s">
        <v>17</v>
      </c>
      <c r="D228" s="238"/>
      <c r="E228" s="238"/>
      <c r="F228" s="238"/>
      <c r="G228" s="238"/>
      <c r="H228" s="238"/>
      <c r="I228" s="238"/>
      <c r="J228" s="238"/>
      <c r="K228" s="238"/>
      <c r="L228" s="238"/>
      <c r="M228" s="238"/>
      <c r="N228" s="238"/>
      <c r="O228" s="238"/>
      <c r="P228" s="238"/>
      <c r="Q228" s="238"/>
      <c r="R228" s="17"/>
      <c r="S228" s="17"/>
    </row>
    <row r="229" spans="1:19" ht="15" customHeight="1">
      <c r="A229" s="17"/>
      <c r="B229" s="17"/>
      <c r="C229" s="228" t="s">
        <v>45</v>
      </c>
      <c r="D229" s="228"/>
      <c r="E229" s="228"/>
      <c r="F229" s="228"/>
      <c r="G229" s="228"/>
      <c r="H229" s="228"/>
      <c r="I229" s="228"/>
      <c r="J229" s="228"/>
      <c r="K229" s="228"/>
      <c r="L229" s="228"/>
      <c r="M229" s="228"/>
      <c r="N229" s="228"/>
      <c r="O229" s="228"/>
      <c r="P229" s="228"/>
      <c r="Q229" s="228"/>
      <c r="R229" s="17"/>
      <c r="S229" s="17"/>
    </row>
    <row r="230" spans="1:19">
      <c r="A230" s="23"/>
      <c r="B230" s="23"/>
      <c r="C230" s="228" t="s">
        <v>46</v>
      </c>
      <c r="D230" s="228"/>
      <c r="E230" s="228"/>
      <c r="F230" s="228"/>
      <c r="G230" s="228"/>
      <c r="H230" s="228"/>
      <c r="I230" s="228"/>
      <c r="J230" s="228"/>
      <c r="K230" s="228"/>
      <c r="L230" s="228"/>
      <c r="M230" s="228"/>
      <c r="N230" s="228"/>
      <c r="O230" s="228"/>
      <c r="P230" s="228"/>
      <c r="Q230" s="228"/>
      <c r="R230" s="23"/>
      <c r="S230" s="23"/>
    </row>
    <row r="231" spans="1:19" ht="15" customHeight="1">
      <c r="A231" s="60"/>
      <c r="B231" s="61" t="s">
        <v>139</v>
      </c>
      <c r="C231" s="227" t="s">
        <v>138</v>
      </c>
      <c r="D231" s="227"/>
      <c r="E231" s="227"/>
      <c r="F231" s="227"/>
      <c r="G231" s="227"/>
      <c r="H231" s="227"/>
      <c r="I231" s="227"/>
      <c r="J231" s="227"/>
      <c r="K231" s="227"/>
      <c r="L231" s="227"/>
      <c r="M231" s="227"/>
      <c r="N231" s="227"/>
      <c r="O231" s="227"/>
      <c r="P231" s="227"/>
      <c r="Q231" s="227"/>
      <c r="R231" s="60"/>
      <c r="S231" s="60"/>
    </row>
    <row r="232" spans="1:19">
      <c r="A232" s="23"/>
      <c r="B232" s="23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3"/>
      <c r="S232" s="23"/>
    </row>
    <row r="233" spans="1:19" ht="26.25">
      <c r="A233" s="229" t="s">
        <v>0</v>
      </c>
      <c r="B233" s="229"/>
      <c r="C233" s="229"/>
      <c r="D233" s="229"/>
      <c r="E233" s="229"/>
      <c r="F233" s="229"/>
      <c r="G233" s="229"/>
      <c r="H233" s="229"/>
      <c r="I233" s="229"/>
      <c r="J233" s="229"/>
      <c r="K233" s="229"/>
      <c r="L233" s="229"/>
      <c r="M233" s="229"/>
      <c r="N233" s="229"/>
      <c r="O233" s="229"/>
      <c r="P233" s="229"/>
      <c r="Q233" s="229"/>
      <c r="R233" s="229"/>
      <c r="S233" s="229"/>
    </row>
    <row r="234" spans="1:19" ht="19.5" customHeight="1">
      <c r="A234" s="230" t="s">
        <v>83</v>
      </c>
      <c r="B234" s="230"/>
      <c r="C234" s="230"/>
      <c r="D234" s="230"/>
      <c r="E234" s="230"/>
      <c r="F234" s="230"/>
      <c r="G234" s="230"/>
      <c r="H234" s="230"/>
      <c r="I234" s="1"/>
      <c r="J234" s="1"/>
      <c r="K234" s="231" t="s">
        <v>28</v>
      </c>
      <c r="L234" s="231"/>
      <c r="M234" s="231"/>
      <c r="N234" s="231"/>
      <c r="O234" s="1"/>
      <c r="P234" s="232" t="s">
        <v>1</v>
      </c>
      <c r="Q234" s="232"/>
      <c r="R234" s="233">
        <v>44630</v>
      </c>
      <c r="S234" s="233"/>
    </row>
    <row r="235" spans="1:19">
      <c r="A235" s="242" t="s">
        <v>2</v>
      </c>
      <c r="B235" s="242"/>
      <c r="C235" s="16">
        <v>1</v>
      </c>
      <c r="D235" s="16">
        <v>2</v>
      </c>
      <c r="E235" s="16">
        <v>3</v>
      </c>
      <c r="F235" s="16">
        <v>4</v>
      </c>
      <c r="G235" s="16">
        <v>5</v>
      </c>
      <c r="H235" s="16">
        <v>6</v>
      </c>
      <c r="I235" s="16">
        <v>7</v>
      </c>
      <c r="J235" s="16">
        <v>8</v>
      </c>
      <c r="K235" s="16">
        <v>9</v>
      </c>
      <c r="L235" s="16">
        <v>10</v>
      </c>
      <c r="M235" s="16">
        <v>11</v>
      </c>
      <c r="N235" s="16">
        <v>12</v>
      </c>
      <c r="O235" s="16">
        <v>13</v>
      </c>
      <c r="P235" s="16">
        <v>14</v>
      </c>
      <c r="Q235" s="239" t="s">
        <v>3</v>
      </c>
      <c r="R235" s="239" t="s">
        <v>4</v>
      </c>
      <c r="S235" s="239" t="s">
        <v>5</v>
      </c>
    </row>
    <row r="236" spans="1:19">
      <c r="A236" s="242" t="s">
        <v>6</v>
      </c>
      <c r="B236" s="242"/>
      <c r="C236" s="16">
        <v>113</v>
      </c>
      <c r="D236" s="16">
        <v>114</v>
      </c>
      <c r="E236" s="16">
        <v>115</v>
      </c>
      <c r="F236" s="16">
        <v>116</v>
      </c>
      <c r="G236" s="16">
        <v>117</v>
      </c>
      <c r="H236" s="16">
        <v>118</v>
      </c>
      <c r="I236" s="16">
        <v>119</v>
      </c>
      <c r="J236" s="16">
        <v>120</v>
      </c>
      <c r="K236" s="16">
        <v>121</v>
      </c>
      <c r="L236" s="16">
        <v>122</v>
      </c>
      <c r="M236" s="16">
        <v>123</v>
      </c>
      <c r="N236" s="16">
        <v>124</v>
      </c>
      <c r="O236" s="16">
        <v>125</v>
      </c>
      <c r="P236" s="16">
        <v>126</v>
      </c>
      <c r="Q236" s="240"/>
      <c r="R236" s="240"/>
      <c r="S236" s="240"/>
    </row>
    <row r="237" spans="1:19" ht="31.5">
      <c r="A237" s="243" t="s">
        <v>18</v>
      </c>
      <c r="B237" s="244"/>
      <c r="C237" s="118" t="s">
        <v>306</v>
      </c>
      <c r="D237" s="118" t="s">
        <v>307</v>
      </c>
      <c r="E237" s="118" t="s">
        <v>308</v>
      </c>
      <c r="F237" s="118" t="s">
        <v>309</v>
      </c>
      <c r="G237" s="118" t="s">
        <v>310</v>
      </c>
      <c r="H237" s="118" t="s">
        <v>311</v>
      </c>
      <c r="I237" s="118" t="s">
        <v>312</v>
      </c>
      <c r="J237" s="118" t="s">
        <v>313</v>
      </c>
      <c r="K237" s="118" t="s">
        <v>314</v>
      </c>
      <c r="L237" s="118" t="s">
        <v>315</v>
      </c>
      <c r="M237" s="118" t="s">
        <v>316</v>
      </c>
      <c r="N237" s="118" t="s">
        <v>317</v>
      </c>
      <c r="O237" s="118" t="s">
        <v>619</v>
      </c>
      <c r="P237" s="118" t="s">
        <v>318</v>
      </c>
      <c r="Q237" s="240"/>
      <c r="R237" s="240"/>
      <c r="S237" s="240"/>
    </row>
    <row r="238" spans="1:19" ht="29.25" hidden="1" customHeight="1">
      <c r="A238" s="245" t="s">
        <v>20</v>
      </c>
      <c r="B238" s="246"/>
      <c r="C238" s="33">
        <v>570</v>
      </c>
      <c r="D238" s="33">
        <v>490</v>
      </c>
      <c r="E238" s="33">
        <v>493</v>
      </c>
      <c r="F238" s="33">
        <v>432</v>
      </c>
      <c r="G238" s="33">
        <v>765</v>
      </c>
      <c r="H238" s="33">
        <v>724</v>
      </c>
      <c r="I238" s="33">
        <v>675</v>
      </c>
      <c r="J238" s="33">
        <v>514</v>
      </c>
      <c r="K238" s="33">
        <v>632</v>
      </c>
      <c r="L238" s="33">
        <v>712</v>
      </c>
      <c r="M238" s="33">
        <v>749</v>
      </c>
      <c r="N238" s="33">
        <v>590</v>
      </c>
      <c r="O238" s="33">
        <v>722</v>
      </c>
      <c r="P238" s="33">
        <v>801</v>
      </c>
      <c r="Q238" s="240"/>
      <c r="R238" s="240"/>
      <c r="S238" s="240"/>
    </row>
    <row r="239" spans="1:19">
      <c r="A239" s="19" t="s">
        <v>7</v>
      </c>
      <c r="B239" s="16" t="s">
        <v>8</v>
      </c>
      <c r="C239" s="20" t="s">
        <v>9</v>
      </c>
      <c r="D239" s="20" t="s">
        <v>9</v>
      </c>
      <c r="E239" s="20" t="s">
        <v>9</v>
      </c>
      <c r="F239" s="20" t="s">
        <v>9</v>
      </c>
      <c r="G239" s="20" t="s">
        <v>9</v>
      </c>
      <c r="H239" s="20" t="s">
        <v>9</v>
      </c>
      <c r="I239" s="20" t="s">
        <v>9</v>
      </c>
      <c r="J239" s="20" t="s">
        <v>9</v>
      </c>
      <c r="K239" s="20" t="s">
        <v>9</v>
      </c>
      <c r="L239" s="20" t="s">
        <v>9</v>
      </c>
      <c r="M239" s="20" t="s">
        <v>9</v>
      </c>
      <c r="N239" s="20" t="s">
        <v>9</v>
      </c>
      <c r="O239" s="20" t="s">
        <v>9</v>
      </c>
      <c r="P239" s="20" t="s">
        <v>9</v>
      </c>
      <c r="Q239" s="241"/>
      <c r="R239" s="241"/>
      <c r="S239" s="241"/>
    </row>
    <row r="240" spans="1:19" s="180" customFormat="1">
      <c r="A240" s="172">
        <v>1</v>
      </c>
      <c r="B240" s="173" t="s">
        <v>85</v>
      </c>
      <c r="C240" s="178">
        <v>78</v>
      </c>
      <c r="D240" s="178">
        <v>231</v>
      </c>
      <c r="E240" s="178">
        <v>77</v>
      </c>
      <c r="F240" s="178">
        <v>41</v>
      </c>
      <c r="G240" s="178">
        <v>11</v>
      </c>
      <c r="H240" s="178">
        <v>15</v>
      </c>
      <c r="I240" s="178">
        <v>54</v>
      </c>
      <c r="J240" s="178">
        <v>81</v>
      </c>
      <c r="K240" s="178">
        <v>260</v>
      </c>
      <c r="L240" s="178">
        <v>503</v>
      </c>
      <c r="M240" s="178">
        <v>702</v>
      </c>
      <c r="N240" s="178">
        <v>376</v>
      </c>
      <c r="O240" s="178">
        <v>310</v>
      </c>
      <c r="P240" s="178">
        <v>663</v>
      </c>
      <c r="Q240" s="181">
        <f>SUM(C240:P240)</f>
        <v>3402</v>
      </c>
      <c r="R240" s="181">
        <f t="shared" ref="R240:R248" si="38">S211</f>
        <v>14506</v>
      </c>
      <c r="S240" s="181">
        <f>Q240+R240</f>
        <v>17908</v>
      </c>
    </row>
    <row r="241" spans="1:19" s="180" customFormat="1">
      <c r="A241" s="172">
        <v>2</v>
      </c>
      <c r="B241" s="173" t="s">
        <v>156</v>
      </c>
      <c r="C241" s="178">
        <v>280</v>
      </c>
      <c r="D241" s="178">
        <v>199</v>
      </c>
      <c r="E241" s="178">
        <v>203</v>
      </c>
      <c r="F241" s="178">
        <v>261</v>
      </c>
      <c r="G241" s="178">
        <v>724</v>
      </c>
      <c r="H241" s="178">
        <v>405</v>
      </c>
      <c r="I241" s="178">
        <v>553</v>
      </c>
      <c r="J241" s="178">
        <v>247</v>
      </c>
      <c r="K241" s="178">
        <v>217</v>
      </c>
      <c r="L241" s="178">
        <v>84</v>
      </c>
      <c r="M241" s="178">
        <v>14</v>
      </c>
      <c r="N241" s="178">
        <v>172</v>
      </c>
      <c r="O241" s="178">
        <v>208</v>
      </c>
      <c r="P241" s="178">
        <v>69</v>
      </c>
      <c r="Q241" s="181">
        <f t="shared" ref="Q241:Q249" si="39">SUM(C241:P241)</f>
        <v>3636</v>
      </c>
      <c r="R241" s="181">
        <f t="shared" si="38"/>
        <v>38349</v>
      </c>
      <c r="S241" s="181">
        <f t="shared" ref="S241:S250" si="40">Q241+R241</f>
        <v>41985</v>
      </c>
    </row>
    <row r="242" spans="1:19" s="180" customFormat="1">
      <c r="A242" s="172">
        <v>3</v>
      </c>
      <c r="B242" s="173" t="s">
        <v>157</v>
      </c>
      <c r="C242" s="178">
        <v>3</v>
      </c>
      <c r="D242" s="178">
        <v>2</v>
      </c>
      <c r="E242" s="178">
        <v>6</v>
      </c>
      <c r="F242" s="178">
        <v>3</v>
      </c>
      <c r="G242" s="178">
        <v>7</v>
      </c>
      <c r="H242" s="178">
        <v>4</v>
      </c>
      <c r="I242" s="178">
        <v>11</v>
      </c>
      <c r="J242" s="178">
        <v>5</v>
      </c>
      <c r="K242" s="178">
        <v>12</v>
      </c>
      <c r="L242" s="178">
        <v>4</v>
      </c>
      <c r="M242" s="178">
        <v>1</v>
      </c>
      <c r="N242" s="178">
        <v>7</v>
      </c>
      <c r="O242" s="178">
        <v>6</v>
      </c>
      <c r="P242" s="178">
        <v>6</v>
      </c>
      <c r="Q242" s="181">
        <f t="shared" si="39"/>
        <v>77</v>
      </c>
      <c r="R242" s="181">
        <f t="shared" si="38"/>
        <v>747</v>
      </c>
      <c r="S242" s="181">
        <f t="shared" si="40"/>
        <v>824</v>
      </c>
    </row>
    <row r="243" spans="1:19" s="180" customFormat="1">
      <c r="A243" s="172">
        <v>4</v>
      </c>
      <c r="B243" s="173" t="s">
        <v>158</v>
      </c>
      <c r="C243" s="178">
        <v>200</v>
      </c>
      <c r="D243" s="178">
        <v>46</v>
      </c>
      <c r="E243" s="178">
        <v>196</v>
      </c>
      <c r="F243" s="178">
        <v>114</v>
      </c>
      <c r="G243" s="178">
        <v>9</v>
      </c>
      <c r="H243" s="178">
        <v>279</v>
      </c>
      <c r="I243" s="178">
        <v>47</v>
      </c>
      <c r="J243" s="178">
        <v>173</v>
      </c>
      <c r="K243" s="178">
        <v>138</v>
      </c>
      <c r="L243" s="178">
        <v>113</v>
      </c>
      <c r="M243" s="178">
        <v>22</v>
      </c>
      <c r="N243" s="178">
        <v>31</v>
      </c>
      <c r="O243" s="178">
        <v>186</v>
      </c>
      <c r="P243" s="178">
        <v>56</v>
      </c>
      <c r="Q243" s="181">
        <f t="shared" si="39"/>
        <v>1610</v>
      </c>
      <c r="R243" s="181">
        <f t="shared" si="38"/>
        <v>11022</v>
      </c>
      <c r="S243" s="181">
        <f t="shared" si="40"/>
        <v>12632</v>
      </c>
    </row>
    <row r="244" spans="1:19" s="180" customFormat="1">
      <c r="A244" s="172">
        <v>5</v>
      </c>
      <c r="B244" s="173" t="s">
        <v>159</v>
      </c>
      <c r="C244" s="178">
        <v>2</v>
      </c>
      <c r="D244" s="178">
        <v>3</v>
      </c>
      <c r="E244" s="178">
        <v>1</v>
      </c>
      <c r="F244" s="178">
        <v>7</v>
      </c>
      <c r="G244" s="178">
        <v>1</v>
      </c>
      <c r="H244" s="178">
        <v>1</v>
      </c>
      <c r="I244" s="178">
        <v>2</v>
      </c>
      <c r="J244" s="178">
        <v>1</v>
      </c>
      <c r="K244" s="178">
        <v>2</v>
      </c>
      <c r="L244" s="178">
        <v>0</v>
      </c>
      <c r="M244" s="178">
        <v>2</v>
      </c>
      <c r="N244" s="178">
        <v>2</v>
      </c>
      <c r="O244" s="178">
        <v>2</v>
      </c>
      <c r="P244" s="178">
        <v>1</v>
      </c>
      <c r="Q244" s="181">
        <f t="shared" si="39"/>
        <v>27</v>
      </c>
      <c r="R244" s="181">
        <f t="shared" si="38"/>
        <v>183</v>
      </c>
      <c r="S244" s="181">
        <f t="shared" si="40"/>
        <v>210</v>
      </c>
    </row>
    <row r="245" spans="1:19" s="180" customFormat="1">
      <c r="A245" s="172">
        <v>6</v>
      </c>
      <c r="B245" s="173" t="s">
        <v>160</v>
      </c>
      <c r="C245" s="178">
        <v>2</v>
      </c>
      <c r="D245" s="178">
        <v>2</v>
      </c>
      <c r="E245" s="178">
        <v>1</v>
      </c>
      <c r="F245" s="178">
        <v>1</v>
      </c>
      <c r="G245" s="178">
        <v>1</v>
      </c>
      <c r="H245" s="178">
        <v>5</v>
      </c>
      <c r="I245" s="178">
        <v>0</v>
      </c>
      <c r="J245" s="178">
        <v>1</v>
      </c>
      <c r="K245" s="178">
        <v>0</v>
      </c>
      <c r="L245" s="178">
        <v>1</v>
      </c>
      <c r="M245" s="178">
        <v>2</v>
      </c>
      <c r="N245" s="178">
        <v>0</v>
      </c>
      <c r="O245" s="178">
        <v>3</v>
      </c>
      <c r="P245" s="178">
        <v>1</v>
      </c>
      <c r="Q245" s="181">
        <f t="shared" si="39"/>
        <v>20</v>
      </c>
      <c r="R245" s="181">
        <f t="shared" si="38"/>
        <v>266</v>
      </c>
      <c r="S245" s="181">
        <f t="shared" si="40"/>
        <v>286</v>
      </c>
    </row>
    <row r="246" spans="1:19" s="180" customFormat="1">
      <c r="A246" s="172">
        <v>7</v>
      </c>
      <c r="B246" s="173" t="s">
        <v>86</v>
      </c>
      <c r="C246" s="178">
        <v>1</v>
      </c>
      <c r="D246" s="178">
        <v>0</v>
      </c>
      <c r="E246" s="178">
        <v>5</v>
      </c>
      <c r="F246" s="178">
        <v>1</v>
      </c>
      <c r="G246" s="178">
        <v>3</v>
      </c>
      <c r="H246" s="178">
        <v>5</v>
      </c>
      <c r="I246" s="178">
        <v>3</v>
      </c>
      <c r="J246" s="178">
        <v>0</v>
      </c>
      <c r="K246" s="178">
        <v>1</v>
      </c>
      <c r="L246" s="178">
        <v>1</v>
      </c>
      <c r="M246" s="178">
        <v>0</v>
      </c>
      <c r="N246" s="178">
        <v>0</v>
      </c>
      <c r="O246" s="178">
        <v>4</v>
      </c>
      <c r="P246" s="178">
        <v>0</v>
      </c>
      <c r="Q246" s="181">
        <f t="shared" si="39"/>
        <v>24</v>
      </c>
      <c r="R246" s="181">
        <f t="shared" si="38"/>
        <v>265</v>
      </c>
      <c r="S246" s="181">
        <f t="shared" si="40"/>
        <v>289</v>
      </c>
    </row>
    <row r="247" spans="1:19" s="180" customFormat="1">
      <c r="A247" s="172">
        <v>8</v>
      </c>
      <c r="B247" s="173" t="s">
        <v>161</v>
      </c>
      <c r="C247" s="178">
        <v>0</v>
      </c>
      <c r="D247" s="178">
        <v>1</v>
      </c>
      <c r="E247" s="178">
        <v>2</v>
      </c>
      <c r="F247" s="178">
        <v>2</v>
      </c>
      <c r="G247" s="178">
        <v>7</v>
      </c>
      <c r="H247" s="178">
        <v>6</v>
      </c>
      <c r="I247" s="178">
        <v>3</v>
      </c>
      <c r="J247" s="178">
        <v>1</v>
      </c>
      <c r="K247" s="178">
        <v>0</v>
      </c>
      <c r="L247" s="178">
        <v>2</v>
      </c>
      <c r="M247" s="178">
        <v>0</v>
      </c>
      <c r="N247" s="178">
        <v>1</v>
      </c>
      <c r="O247" s="178">
        <v>1</v>
      </c>
      <c r="P247" s="178">
        <v>0</v>
      </c>
      <c r="Q247" s="181">
        <f t="shared" si="39"/>
        <v>26</v>
      </c>
      <c r="R247" s="181">
        <f t="shared" si="38"/>
        <v>237</v>
      </c>
      <c r="S247" s="181">
        <f t="shared" si="40"/>
        <v>263</v>
      </c>
    </row>
    <row r="248" spans="1:19" s="180" customFormat="1">
      <c r="A248" s="172">
        <v>9</v>
      </c>
      <c r="B248" s="174" t="s">
        <v>10</v>
      </c>
      <c r="C248" s="178">
        <v>4</v>
      </c>
      <c r="D248" s="178">
        <v>6</v>
      </c>
      <c r="E248" s="178">
        <v>2</v>
      </c>
      <c r="F248" s="178">
        <v>2</v>
      </c>
      <c r="G248" s="178">
        <v>2</v>
      </c>
      <c r="H248" s="178">
        <v>4</v>
      </c>
      <c r="I248" s="178">
        <v>2</v>
      </c>
      <c r="J248" s="178">
        <v>5</v>
      </c>
      <c r="K248" s="178">
        <v>2</v>
      </c>
      <c r="L248" s="178">
        <v>4</v>
      </c>
      <c r="M248" s="178">
        <v>6</v>
      </c>
      <c r="N248" s="178">
        <v>1</v>
      </c>
      <c r="O248" s="178">
        <v>2</v>
      </c>
      <c r="P248" s="178">
        <v>5</v>
      </c>
      <c r="Q248" s="181">
        <f t="shared" si="39"/>
        <v>47</v>
      </c>
      <c r="R248" s="181">
        <f t="shared" si="38"/>
        <v>295</v>
      </c>
      <c r="S248" s="181">
        <f t="shared" si="40"/>
        <v>342</v>
      </c>
    </row>
    <row r="249" spans="1:19">
      <c r="A249" s="251" t="s">
        <v>11</v>
      </c>
      <c r="B249" s="252"/>
      <c r="C249" s="68">
        <v>0</v>
      </c>
      <c r="D249" s="68">
        <v>0</v>
      </c>
      <c r="E249" s="68">
        <v>0</v>
      </c>
      <c r="F249" s="68">
        <v>0</v>
      </c>
      <c r="G249" s="68">
        <v>0</v>
      </c>
      <c r="H249" s="68">
        <v>0</v>
      </c>
      <c r="I249" s="68">
        <v>0</v>
      </c>
      <c r="J249" s="68">
        <v>0</v>
      </c>
      <c r="K249" s="68">
        <v>0</v>
      </c>
      <c r="L249" s="68">
        <v>0</v>
      </c>
      <c r="M249" s="68">
        <v>0</v>
      </c>
      <c r="N249" s="68">
        <v>0</v>
      </c>
      <c r="O249" s="68">
        <v>0</v>
      </c>
      <c r="P249" s="68">
        <v>0</v>
      </c>
      <c r="Q249" s="67">
        <f t="shared" si="39"/>
        <v>0</v>
      </c>
      <c r="R249" s="67">
        <f t="shared" ref="R249:R250" si="41">S220</f>
        <v>0</v>
      </c>
      <c r="S249" s="67">
        <f t="shared" si="40"/>
        <v>0</v>
      </c>
    </row>
    <row r="250" spans="1:19">
      <c r="A250" s="242" t="s">
        <v>12</v>
      </c>
      <c r="B250" s="242"/>
      <c r="C250" s="69">
        <f t="shared" ref="C250:Q250" si="42">SUM(C240:C249)</f>
        <v>570</v>
      </c>
      <c r="D250" s="69">
        <f t="shared" si="42"/>
        <v>490</v>
      </c>
      <c r="E250" s="69">
        <f t="shared" si="42"/>
        <v>493</v>
      </c>
      <c r="F250" s="69">
        <f t="shared" si="42"/>
        <v>432</v>
      </c>
      <c r="G250" s="69">
        <f t="shared" si="42"/>
        <v>765</v>
      </c>
      <c r="H250" s="69">
        <f t="shared" si="42"/>
        <v>724</v>
      </c>
      <c r="I250" s="69">
        <f t="shared" si="42"/>
        <v>675</v>
      </c>
      <c r="J250" s="69">
        <f t="shared" si="42"/>
        <v>514</v>
      </c>
      <c r="K250" s="69">
        <f t="shared" si="42"/>
        <v>632</v>
      </c>
      <c r="L250" s="69">
        <f t="shared" si="42"/>
        <v>712</v>
      </c>
      <c r="M250" s="69">
        <f t="shared" si="42"/>
        <v>749</v>
      </c>
      <c r="N250" s="69">
        <f t="shared" si="42"/>
        <v>590</v>
      </c>
      <c r="O250" s="69">
        <f t="shared" si="42"/>
        <v>722</v>
      </c>
      <c r="P250" s="69">
        <f t="shared" si="42"/>
        <v>801</v>
      </c>
      <c r="Q250" s="67">
        <f t="shared" si="42"/>
        <v>8869</v>
      </c>
      <c r="R250" s="67">
        <f t="shared" si="41"/>
        <v>65870</v>
      </c>
      <c r="S250" s="67">
        <f t="shared" si="40"/>
        <v>74739</v>
      </c>
    </row>
    <row r="251" spans="1:19" ht="11.25" customHeight="1">
      <c r="A251" s="5"/>
      <c r="B251" s="5"/>
      <c r="C251" s="6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8"/>
      <c r="R251" s="7"/>
      <c r="S251" s="7"/>
    </row>
    <row r="252" spans="1:19" ht="22.5">
      <c r="A252" s="17"/>
      <c r="B252" s="17"/>
      <c r="C252" s="10" t="s">
        <v>13</v>
      </c>
      <c r="D252" s="10" t="s">
        <v>13</v>
      </c>
      <c r="E252" s="10" t="s">
        <v>13</v>
      </c>
      <c r="F252" s="10" t="s">
        <v>13</v>
      </c>
      <c r="G252" s="10" t="s">
        <v>13</v>
      </c>
      <c r="H252" s="10" t="s">
        <v>13</v>
      </c>
      <c r="I252" s="10" t="s">
        <v>13</v>
      </c>
      <c r="J252" s="10" t="s">
        <v>13</v>
      </c>
      <c r="K252" s="10" t="s">
        <v>13</v>
      </c>
      <c r="L252" s="10" t="s">
        <v>13</v>
      </c>
      <c r="M252" s="10" t="s">
        <v>13</v>
      </c>
      <c r="N252" s="10" t="s">
        <v>13</v>
      </c>
      <c r="O252" s="10" t="s">
        <v>13</v>
      </c>
      <c r="P252" s="10" t="s">
        <v>13</v>
      </c>
      <c r="Q252" s="10" t="s">
        <v>13</v>
      </c>
      <c r="R252" s="10" t="s">
        <v>13</v>
      </c>
      <c r="S252" s="10" t="s">
        <v>13</v>
      </c>
    </row>
    <row r="253" spans="1:19" ht="8.25" customHeight="1">
      <c r="A253" s="17"/>
      <c r="B253" s="17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</row>
    <row r="254" spans="1:19" ht="22.5">
      <c r="A254" s="17"/>
      <c r="B254" s="17"/>
      <c r="C254" s="10" t="s">
        <v>14</v>
      </c>
      <c r="D254" s="10" t="s">
        <v>14</v>
      </c>
      <c r="E254" s="10" t="s">
        <v>14</v>
      </c>
      <c r="F254" s="10" t="s">
        <v>14</v>
      </c>
      <c r="G254" s="10" t="s">
        <v>14</v>
      </c>
      <c r="H254" s="10" t="s">
        <v>14</v>
      </c>
      <c r="I254" s="10" t="s">
        <v>14</v>
      </c>
      <c r="J254" s="10" t="s">
        <v>14</v>
      </c>
      <c r="K254" s="10" t="s">
        <v>14</v>
      </c>
      <c r="L254" s="10" t="s">
        <v>14</v>
      </c>
      <c r="M254" s="10" t="s">
        <v>14</v>
      </c>
      <c r="N254" s="10" t="s">
        <v>14</v>
      </c>
      <c r="O254" s="10" t="s">
        <v>14</v>
      </c>
      <c r="P254" s="10" t="s">
        <v>14</v>
      </c>
      <c r="Q254" s="10" t="s">
        <v>14</v>
      </c>
      <c r="R254" s="10" t="s">
        <v>14</v>
      </c>
      <c r="S254" s="10" t="s">
        <v>14</v>
      </c>
    </row>
    <row r="255" spans="1:19" ht="9" customHeight="1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</row>
    <row r="256" spans="1:19">
      <c r="A256" s="237" t="s">
        <v>15</v>
      </c>
      <c r="B256" s="237"/>
      <c r="C256" s="238" t="s">
        <v>16</v>
      </c>
      <c r="D256" s="238"/>
      <c r="E256" s="238"/>
      <c r="F256" s="238"/>
      <c r="G256" s="238"/>
      <c r="H256" s="238"/>
      <c r="I256" s="238"/>
      <c r="J256" s="238"/>
      <c r="K256" s="238"/>
      <c r="L256" s="238"/>
      <c r="M256" s="238"/>
      <c r="N256" s="238"/>
      <c r="O256" s="238"/>
      <c r="P256" s="238"/>
      <c r="Q256" s="238"/>
      <c r="R256" s="17"/>
      <c r="S256" s="17"/>
    </row>
    <row r="257" spans="1:19">
      <c r="A257" s="17"/>
      <c r="B257" s="17"/>
      <c r="C257" s="238" t="s">
        <v>17</v>
      </c>
      <c r="D257" s="238"/>
      <c r="E257" s="238"/>
      <c r="F257" s="238"/>
      <c r="G257" s="238"/>
      <c r="H257" s="238"/>
      <c r="I257" s="238"/>
      <c r="J257" s="238"/>
      <c r="K257" s="238"/>
      <c r="L257" s="238"/>
      <c r="M257" s="238"/>
      <c r="N257" s="238"/>
      <c r="O257" s="238"/>
      <c r="P257" s="238"/>
      <c r="Q257" s="238"/>
      <c r="R257" s="17"/>
      <c r="S257" s="17"/>
    </row>
    <row r="258" spans="1:19" ht="15" customHeight="1">
      <c r="A258" s="17"/>
      <c r="B258" s="17"/>
      <c r="C258" s="228" t="s">
        <v>45</v>
      </c>
      <c r="D258" s="228"/>
      <c r="E258" s="228"/>
      <c r="F258" s="228"/>
      <c r="G258" s="228"/>
      <c r="H258" s="228"/>
      <c r="I258" s="228"/>
      <c r="J258" s="228"/>
      <c r="K258" s="228"/>
      <c r="L258" s="228"/>
      <c r="M258" s="228"/>
      <c r="N258" s="228"/>
      <c r="O258" s="228"/>
      <c r="P258" s="228"/>
      <c r="Q258" s="228"/>
      <c r="R258" s="17"/>
      <c r="S258" s="17"/>
    </row>
    <row r="259" spans="1:19">
      <c r="A259" s="23"/>
      <c r="B259" s="23"/>
      <c r="C259" s="228" t="s">
        <v>46</v>
      </c>
      <c r="D259" s="228"/>
      <c r="E259" s="228"/>
      <c r="F259" s="228"/>
      <c r="G259" s="228"/>
      <c r="H259" s="228"/>
      <c r="I259" s="228"/>
      <c r="J259" s="228"/>
      <c r="K259" s="228"/>
      <c r="L259" s="228"/>
      <c r="M259" s="228"/>
      <c r="N259" s="228"/>
      <c r="O259" s="228"/>
      <c r="P259" s="228"/>
      <c r="Q259" s="228"/>
      <c r="R259" s="23"/>
      <c r="S259" s="23"/>
    </row>
    <row r="260" spans="1:19" ht="15" customHeight="1">
      <c r="A260" s="60"/>
      <c r="B260" s="61" t="s">
        <v>139</v>
      </c>
      <c r="C260" s="227" t="s">
        <v>138</v>
      </c>
      <c r="D260" s="227"/>
      <c r="E260" s="227"/>
      <c r="F260" s="227"/>
      <c r="G260" s="227"/>
      <c r="H260" s="227"/>
      <c r="I260" s="227"/>
      <c r="J260" s="227"/>
      <c r="K260" s="227"/>
      <c r="L260" s="227"/>
      <c r="M260" s="227"/>
      <c r="N260" s="227"/>
      <c r="O260" s="227"/>
      <c r="P260" s="227"/>
      <c r="Q260" s="227"/>
      <c r="R260" s="60"/>
      <c r="S260" s="60"/>
    </row>
    <row r="261" spans="1:19">
      <c r="A261" s="23"/>
      <c r="B261" s="23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3"/>
      <c r="S261" s="23"/>
    </row>
    <row r="262" spans="1:19" ht="26.25">
      <c r="A262" s="229" t="s">
        <v>0</v>
      </c>
      <c r="B262" s="229"/>
      <c r="C262" s="229"/>
      <c r="D262" s="229"/>
      <c r="E262" s="229"/>
      <c r="F262" s="229"/>
      <c r="G262" s="229"/>
      <c r="H262" s="229"/>
      <c r="I262" s="229"/>
      <c r="J262" s="229"/>
      <c r="K262" s="229"/>
      <c r="L262" s="229"/>
      <c r="M262" s="229"/>
      <c r="N262" s="229"/>
      <c r="O262" s="229"/>
      <c r="P262" s="229"/>
      <c r="Q262" s="229"/>
      <c r="R262" s="229"/>
      <c r="S262" s="229"/>
    </row>
    <row r="263" spans="1:19" ht="19.5" customHeight="1">
      <c r="A263" s="230" t="s">
        <v>83</v>
      </c>
      <c r="B263" s="230"/>
      <c r="C263" s="230"/>
      <c r="D263" s="230"/>
      <c r="E263" s="230"/>
      <c r="F263" s="230"/>
      <c r="G263" s="230"/>
      <c r="H263" s="230"/>
      <c r="I263" s="1"/>
      <c r="J263" s="1"/>
      <c r="K263" s="231" t="s">
        <v>29</v>
      </c>
      <c r="L263" s="231"/>
      <c r="M263" s="231"/>
      <c r="N263" s="231"/>
      <c r="O263" s="1"/>
      <c r="P263" s="232" t="s">
        <v>1</v>
      </c>
      <c r="Q263" s="232"/>
      <c r="R263" s="233">
        <v>44630</v>
      </c>
      <c r="S263" s="233"/>
    </row>
    <row r="264" spans="1:19">
      <c r="A264" s="242" t="s">
        <v>2</v>
      </c>
      <c r="B264" s="242"/>
      <c r="C264" s="16">
        <v>1</v>
      </c>
      <c r="D264" s="16">
        <v>2</v>
      </c>
      <c r="E264" s="16">
        <v>3</v>
      </c>
      <c r="F264" s="16">
        <v>4</v>
      </c>
      <c r="G264" s="16">
        <v>5</v>
      </c>
      <c r="H264" s="16">
        <v>6</v>
      </c>
      <c r="I264" s="16">
        <v>7</v>
      </c>
      <c r="J264" s="16">
        <v>8</v>
      </c>
      <c r="K264" s="16">
        <v>9</v>
      </c>
      <c r="L264" s="16">
        <v>10</v>
      </c>
      <c r="M264" s="16">
        <v>11</v>
      </c>
      <c r="N264" s="16">
        <v>12</v>
      </c>
      <c r="O264" s="16">
        <v>13</v>
      </c>
      <c r="P264" s="16">
        <v>14</v>
      </c>
      <c r="Q264" s="239" t="s">
        <v>3</v>
      </c>
      <c r="R264" s="239" t="s">
        <v>4</v>
      </c>
      <c r="S264" s="239" t="s">
        <v>5</v>
      </c>
    </row>
    <row r="265" spans="1:19">
      <c r="A265" s="242" t="s">
        <v>6</v>
      </c>
      <c r="B265" s="242"/>
      <c r="C265" s="16">
        <v>127</v>
      </c>
      <c r="D265" s="16">
        <v>128</v>
      </c>
      <c r="E265" s="16">
        <v>129</v>
      </c>
      <c r="F265" s="16">
        <v>130</v>
      </c>
      <c r="G265" s="16">
        <v>131</v>
      </c>
      <c r="H265" s="16">
        <v>132</v>
      </c>
      <c r="I265" s="16">
        <v>133</v>
      </c>
      <c r="J265" s="16">
        <v>134</v>
      </c>
      <c r="K265" s="16">
        <v>135</v>
      </c>
      <c r="L265" s="16">
        <v>136</v>
      </c>
      <c r="M265" s="16">
        <v>137</v>
      </c>
      <c r="N265" s="16">
        <v>138</v>
      </c>
      <c r="O265" s="16">
        <v>139</v>
      </c>
      <c r="P265" s="16">
        <v>140</v>
      </c>
      <c r="Q265" s="240"/>
      <c r="R265" s="240"/>
      <c r="S265" s="240"/>
    </row>
    <row r="266" spans="1:19" ht="31.5">
      <c r="A266" s="243" t="s">
        <v>18</v>
      </c>
      <c r="B266" s="244"/>
      <c r="C266" s="118" t="s">
        <v>319</v>
      </c>
      <c r="D266" s="118" t="s">
        <v>320</v>
      </c>
      <c r="E266" s="118" t="s">
        <v>321</v>
      </c>
      <c r="F266" s="118" t="s">
        <v>322</v>
      </c>
      <c r="G266" s="118" t="s">
        <v>323</v>
      </c>
      <c r="H266" s="118" t="s">
        <v>324</v>
      </c>
      <c r="I266" s="118" t="s">
        <v>325</v>
      </c>
      <c r="J266" s="118" t="s">
        <v>326</v>
      </c>
      <c r="K266" s="118" t="s">
        <v>327</v>
      </c>
      <c r="L266" s="118" t="s">
        <v>328</v>
      </c>
      <c r="M266" s="118" t="s">
        <v>329</v>
      </c>
      <c r="N266" s="118" t="s">
        <v>330</v>
      </c>
      <c r="O266" s="118" t="s">
        <v>331</v>
      </c>
      <c r="P266" s="118" t="s">
        <v>332</v>
      </c>
      <c r="Q266" s="240"/>
      <c r="R266" s="240"/>
      <c r="S266" s="240"/>
    </row>
    <row r="267" spans="1:19" ht="25.5" hidden="1" customHeight="1">
      <c r="A267" s="245" t="s">
        <v>20</v>
      </c>
      <c r="B267" s="246"/>
      <c r="C267" s="33">
        <v>613</v>
      </c>
      <c r="D267" s="33">
        <v>804</v>
      </c>
      <c r="E267" s="33">
        <v>757</v>
      </c>
      <c r="F267" s="33">
        <v>592</v>
      </c>
      <c r="G267" s="33">
        <v>630</v>
      </c>
      <c r="H267" s="33">
        <v>593</v>
      </c>
      <c r="I267" s="33">
        <v>768</v>
      </c>
      <c r="J267" s="33">
        <v>665</v>
      </c>
      <c r="K267" s="33">
        <v>737</v>
      </c>
      <c r="L267" s="33">
        <v>720</v>
      </c>
      <c r="M267" s="33">
        <v>781</v>
      </c>
      <c r="N267" s="33">
        <v>746</v>
      </c>
      <c r="O267" s="33">
        <v>613</v>
      </c>
      <c r="P267" s="33">
        <v>529</v>
      </c>
      <c r="Q267" s="240"/>
      <c r="R267" s="240"/>
      <c r="S267" s="240"/>
    </row>
    <row r="268" spans="1:19">
      <c r="A268" s="19" t="s">
        <v>7</v>
      </c>
      <c r="B268" s="16" t="s">
        <v>8</v>
      </c>
      <c r="C268" s="20" t="s">
        <v>9</v>
      </c>
      <c r="D268" s="20" t="s">
        <v>9</v>
      </c>
      <c r="E268" s="20" t="s">
        <v>9</v>
      </c>
      <c r="F268" s="20" t="s">
        <v>9</v>
      </c>
      <c r="G268" s="20" t="s">
        <v>9</v>
      </c>
      <c r="H268" s="20" t="s">
        <v>9</v>
      </c>
      <c r="I268" s="20" t="s">
        <v>9</v>
      </c>
      <c r="J268" s="20" t="s">
        <v>9</v>
      </c>
      <c r="K268" s="20" t="s">
        <v>9</v>
      </c>
      <c r="L268" s="20" t="s">
        <v>9</v>
      </c>
      <c r="M268" s="20" t="s">
        <v>9</v>
      </c>
      <c r="N268" s="20" t="s">
        <v>9</v>
      </c>
      <c r="O268" s="20" t="s">
        <v>9</v>
      </c>
      <c r="P268" s="20" t="s">
        <v>9</v>
      </c>
      <c r="Q268" s="241"/>
      <c r="R268" s="241"/>
      <c r="S268" s="241"/>
    </row>
    <row r="269" spans="1:19" s="180" customFormat="1">
      <c r="A269" s="172">
        <v>1</v>
      </c>
      <c r="B269" s="173" t="s">
        <v>85</v>
      </c>
      <c r="C269" s="178">
        <v>268</v>
      </c>
      <c r="D269" s="178">
        <v>556</v>
      </c>
      <c r="E269" s="178">
        <v>543</v>
      </c>
      <c r="F269" s="178">
        <v>284</v>
      </c>
      <c r="G269" s="178">
        <v>318</v>
      </c>
      <c r="H269" s="178">
        <v>225</v>
      </c>
      <c r="I269" s="178">
        <v>236</v>
      </c>
      <c r="J269" s="178">
        <v>606</v>
      </c>
      <c r="K269" s="178">
        <v>538</v>
      </c>
      <c r="L269" s="178">
        <v>347</v>
      </c>
      <c r="M269" s="178">
        <v>737</v>
      </c>
      <c r="N269" s="178">
        <v>572</v>
      </c>
      <c r="O269" s="178">
        <v>102</v>
      </c>
      <c r="P269" s="178">
        <v>82</v>
      </c>
      <c r="Q269" s="176">
        <f>SUM(C269:P269)</f>
        <v>5414</v>
      </c>
      <c r="R269" s="176">
        <f t="shared" ref="R269:R277" si="43">S240</f>
        <v>17908</v>
      </c>
      <c r="S269" s="176">
        <f>Q269+R269</f>
        <v>23322</v>
      </c>
    </row>
    <row r="270" spans="1:19" s="180" customFormat="1">
      <c r="A270" s="172">
        <v>2</v>
      </c>
      <c r="B270" s="173" t="s">
        <v>156</v>
      </c>
      <c r="C270" s="178">
        <v>211</v>
      </c>
      <c r="D270" s="178">
        <v>155</v>
      </c>
      <c r="E270" s="178">
        <v>174</v>
      </c>
      <c r="F270" s="178">
        <v>295</v>
      </c>
      <c r="G270" s="178">
        <v>286</v>
      </c>
      <c r="H270" s="178">
        <v>349</v>
      </c>
      <c r="I270" s="178">
        <v>172</v>
      </c>
      <c r="J270" s="178">
        <v>34</v>
      </c>
      <c r="K270" s="178">
        <v>75</v>
      </c>
      <c r="L270" s="178">
        <v>295</v>
      </c>
      <c r="M270" s="178">
        <v>6</v>
      </c>
      <c r="N270" s="178">
        <v>158</v>
      </c>
      <c r="O270" s="178">
        <v>495</v>
      </c>
      <c r="P270" s="178">
        <v>294</v>
      </c>
      <c r="Q270" s="176">
        <f t="shared" ref="Q270:Q278" si="44">SUM(C270:P270)</f>
        <v>2999</v>
      </c>
      <c r="R270" s="176">
        <f t="shared" si="43"/>
        <v>41985</v>
      </c>
      <c r="S270" s="176">
        <f t="shared" ref="S270:S279" si="45">Q270+R270</f>
        <v>44984</v>
      </c>
    </row>
    <row r="271" spans="1:19" s="180" customFormat="1">
      <c r="A271" s="172">
        <v>3</v>
      </c>
      <c r="B271" s="173" t="s">
        <v>157</v>
      </c>
      <c r="C271" s="178">
        <v>9</v>
      </c>
      <c r="D271" s="178">
        <v>2</v>
      </c>
      <c r="E271" s="178">
        <v>3</v>
      </c>
      <c r="F271" s="178">
        <v>3</v>
      </c>
      <c r="G271" s="178">
        <v>13</v>
      </c>
      <c r="H271" s="178">
        <v>7</v>
      </c>
      <c r="I271" s="178">
        <v>4</v>
      </c>
      <c r="J271" s="178">
        <v>7</v>
      </c>
      <c r="K271" s="178">
        <v>14</v>
      </c>
      <c r="L271" s="178">
        <v>28</v>
      </c>
      <c r="M271" s="178">
        <v>6</v>
      </c>
      <c r="N271" s="178">
        <v>3</v>
      </c>
      <c r="O271" s="178">
        <v>7</v>
      </c>
      <c r="P271" s="178">
        <v>7</v>
      </c>
      <c r="Q271" s="176">
        <f t="shared" si="44"/>
        <v>113</v>
      </c>
      <c r="R271" s="176">
        <f t="shared" si="43"/>
        <v>824</v>
      </c>
      <c r="S271" s="176">
        <f t="shared" si="45"/>
        <v>937</v>
      </c>
    </row>
    <row r="272" spans="1:19" s="180" customFormat="1">
      <c r="A272" s="172">
        <v>4</v>
      </c>
      <c r="B272" s="173" t="s">
        <v>158</v>
      </c>
      <c r="C272" s="178">
        <v>113</v>
      </c>
      <c r="D272" s="178">
        <v>24</v>
      </c>
      <c r="E272" s="178">
        <v>29</v>
      </c>
      <c r="F272" s="178">
        <v>4</v>
      </c>
      <c r="G272" s="178">
        <v>7</v>
      </c>
      <c r="H272" s="178">
        <v>7</v>
      </c>
      <c r="I272" s="178">
        <v>347</v>
      </c>
      <c r="J272" s="178">
        <v>11</v>
      </c>
      <c r="K272" s="178">
        <v>106</v>
      </c>
      <c r="L272" s="178">
        <v>37</v>
      </c>
      <c r="M272" s="178">
        <v>29</v>
      </c>
      <c r="N272" s="178">
        <v>5</v>
      </c>
      <c r="O272" s="178">
        <v>2</v>
      </c>
      <c r="P272" s="178">
        <v>139</v>
      </c>
      <c r="Q272" s="176">
        <f t="shared" si="44"/>
        <v>860</v>
      </c>
      <c r="R272" s="176">
        <f t="shared" si="43"/>
        <v>12632</v>
      </c>
      <c r="S272" s="176">
        <f t="shared" si="45"/>
        <v>13492</v>
      </c>
    </row>
    <row r="273" spans="1:19" s="180" customFormat="1">
      <c r="A273" s="172">
        <v>5</v>
      </c>
      <c r="B273" s="173" t="s">
        <v>159</v>
      </c>
      <c r="C273" s="178">
        <v>2</v>
      </c>
      <c r="D273" s="178">
        <v>2</v>
      </c>
      <c r="E273" s="178">
        <v>2</v>
      </c>
      <c r="F273" s="178">
        <v>2</v>
      </c>
      <c r="G273" s="178">
        <v>1</v>
      </c>
      <c r="H273" s="178">
        <v>2</v>
      </c>
      <c r="I273" s="178">
        <v>0</v>
      </c>
      <c r="J273" s="178">
        <v>0</v>
      </c>
      <c r="K273" s="178">
        <v>0</v>
      </c>
      <c r="L273" s="178">
        <v>2</v>
      </c>
      <c r="M273" s="178">
        <v>0</v>
      </c>
      <c r="N273" s="178">
        <v>1</v>
      </c>
      <c r="O273" s="178">
        <v>2</v>
      </c>
      <c r="P273" s="178">
        <v>0</v>
      </c>
      <c r="Q273" s="176">
        <f t="shared" si="44"/>
        <v>16</v>
      </c>
      <c r="R273" s="176">
        <f t="shared" si="43"/>
        <v>210</v>
      </c>
      <c r="S273" s="176">
        <f t="shared" si="45"/>
        <v>226</v>
      </c>
    </row>
    <row r="274" spans="1:19" s="180" customFormat="1">
      <c r="A274" s="172">
        <v>6</v>
      </c>
      <c r="B274" s="173" t="s">
        <v>160</v>
      </c>
      <c r="C274" s="178">
        <v>3</v>
      </c>
      <c r="D274" s="178">
        <v>1</v>
      </c>
      <c r="E274" s="178">
        <v>2</v>
      </c>
      <c r="F274" s="178">
        <v>1</v>
      </c>
      <c r="G274" s="178">
        <v>1</v>
      </c>
      <c r="H274" s="178">
        <v>2</v>
      </c>
      <c r="I274" s="178">
        <v>2</v>
      </c>
      <c r="J274" s="178">
        <v>2</v>
      </c>
      <c r="K274" s="178">
        <v>0</v>
      </c>
      <c r="L274" s="178">
        <v>0</v>
      </c>
      <c r="M274" s="178">
        <v>0</v>
      </c>
      <c r="N274" s="178">
        <v>0</v>
      </c>
      <c r="O274" s="178">
        <v>1</v>
      </c>
      <c r="P274" s="178">
        <v>3</v>
      </c>
      <c r="Q274" s="176">
        <f t="shared" si="44"/>
        <v>18</v>
      </c>
      <c r="R274" s="176">
        <f t="shared" si="43"/>
        <v>286</v>
      </c>
      <c r="S274" s="176">
        <f t="shared" si="45"/>
        <v>304</v>
      </c>
    </row>
    <row r="275" spans="1:19" s="180" customFormat="1">
      <c r="A275" s="172">
        <v>7</v>
      </c>
      <c r="B275" s="173" t="s">
        <v>86</v>
      </c>
      <c r="C275" s="178">
        <v>0</v>
      </c>
      <c r="D275" s="178">
        <v>2</v>
      </c>
      <c r="E275" s="178">
        <v>1</v>
      </c>
      <c r="F275" s="178">
        <v>0</v>
      </c>
      <c r="G275" s="178">
        <v>0</v>
      </c>
      <c r="H275" s="178">
        <v>1</v>
      </c>
      <c r="I275" s="178">
        <v>6</v>
      </c>
      <c r="J275" s="178">
        <v>0</v>
      </c>
      <c r="K275" s="178">
        <v>3</v>
      </c>
      <c r="L275" s="178">
        <v>2</v>
      </c>
      <c r="M275" s="178">
        <v>1</v>
      </c>
      <c r="N275" s="178">
        <v>1</v>
      </c>
      <c r="O275" s="178">
        <v>3</v>
      </c>
      <c r="P275" s="178">
        <v>1</v>
      </c>
      <c r="Q275" s="176">
        <f t="shared" si="44"/>
        <v>21</v>
      </c>
      <c r="R275" s="176">
        <f t="shared" si="43"/>
        <v>289</v>
      </c>
      <c r="S275" s="176">
        <f t="shared" si="45"/>
        <v>310</v>
      </c>
    </row>
    <row r="276" spans="1:19" s="180" customFormat="1">
      <c r="A276" s="172">
        <v>8</v>
      </c>
      <c r="B276" s="173" t="s">
        <v>161</v>
      </c>
      <c r="C276" s="178">
        <v>2</v>
      </c>
      <c r="D276" s="178">
        <v>1</v>
      </c>
      <c r="E276" s="178">
        <v>1</v>
      </c>
      <c r="F276" s="178">
        <v>0</v>
      </c>
      <c r="G276" s="178">
        <v>0</v>
      </c>
      <c r="H276" s="178">
        <v>0</v>
      </c>
      <c r="I276" s="178">
        <v>1</v>
      </c>
      <c r="J276" s="178">
        <v>1</v>
      </c>
      <c r="K276" s="178">
        <v>0</v>
      </c>
      <c r="L276" s="178">
        <v>2</v>
      </c>
      <c r="M276" s="178">
        <v>0</v>
      </c>
      <c r="N276" s="178">
        <v>1</v>
      </c>
      <c r="O276" s="178">
        <v>0</v>
      </c>
      <c r="P276" s="178">
        <v>0</v>
      </c>
      <c r="Q276" s="176">
        <f t="shared" si="44"/>
        <v>9</v>
      </c>
      <c r="R276" s="176">
        <f t="shared" si="43"/>
        <v>263</v>
      </c>
      <c r="S276" s="176">
        <f t="shared" si="45"/>
        <v>272</v>
      </c>
    </row>
    <row r="277" spans="1:19" s="180" customFormat="1">
      <c r="A277" s="172">
        <v>9</v>
      </c>
      <c r="B277" s="174" t="s">
        <v>10</v>
      </c>
      <c r="C277" s="178">
        <v>5</v>
      </c>
      <c r="D277" s="178">
        <v>61</v>
      </c>
      <c r="E277" s="178">
        <v>2</v>
      </c>
      <c r="F277" s="178">
        <v>3</v>
      </c>
      <c r="G277" s="178">
        <v>4</v>
      </c>
      <c r="H277" s="178">
        <v>0</v>
      </c>
      <c r="I277" s="178">
        <v>0</v>
      </c>
      <c r="J277" s="178">
        <v>4</v>
      </c>
      <c r="K277" s="178">
        <v>1</v>
      </c>
      <c r="L277" s="178">
        <v>7</v>
      </c>
      <c r="M277" s="178">
        <v>2</v>
      </c>
      <c r="N277" s="178">
        <v>5</v>
      </c>
      <c r="O277" s="178">
        <v>1</v>
      </c>
      <c r="P277" s="178">
        <v>3</v>
      </c>
      <c r="Q277" s="176">
        <f t="shared" si="44"/>
        <v>98</v>
      </c>
      <c r="R277" s="176">
        <f t="shared" si="43"/>
        <v>342</v>
      </c>
      <c r="S277" s="176">
        <f t="shared" si="45"/>
        <v>440</v>
      </c>
    </row>
    <row r="278" spans="1:19" s="180" customFormat="1">
      <c r="A278" s="234" t="s">
        <v>11</v>
      </c>
      <c r="B278" s="235"/>
      <c r="C278" s="179">
        <v>0</v>
      </c>
      <c r="D278" s="179">
        <v>0</v>
      </c>
      <c r="E278" s="179">
        <v>0</v>
      </c>
      <c r="F278" s="179">
        <v>0</v>
      </c>
      <c r="G278" s="179">
        <v>0</v>
      </c>
      <c r="H278" s="179">
        <v>0</v>
      </c>
      <c r="I278" s="179">
        <v>0</v>
      </c>
      <c r="J278" s="179">
        <v>0</v>
      </c>
      <c r="K278" s="179">
        <v>0</v>
      </c>
      <c r="L278" s="179">
        <v>0</v>
      </c>
      <c r="M278" s="179">
        <v>0</v>
      </c>
      <c r="N278" s="179">
        <v>0</v>
      </c>
      <c r="O278" s="179">
        <v>0</v>
      </c>
      <c r="P278" s="179">
        <v>0</v>
      </c>
      <c r="Q278" s="176">
        <f t="shared" si="44"/>
        <v>0</v>
      </c>
      <c r="R278" s="176">
        <f t="shared" ref="R278:R279" si="46">S249</f>
        <v>0</v>
      </c>
      <c r="S278" s="176">
        <f t="shared" si="45"/>
        <v>0</v>
      </c>
    </row>
    <row r="279" spans="1:19" s="180" customFormat="1">
      <c r="A279" s="236" t="s">
        <v>12</v>
      </c>
      <c r="B279" s="236"/>
      <c r="C279" s="176">
        <f t="shared" ref="C279:Q279" si="47">SUM(C269:C278)</f>
        <v>613</v>
      </c>
      <c r="D279" s="176">
        <f t="shared" si="47"/>
        <v>804</v>
      </c>
      <c r="E279" s="176">
        <f t="shared" si="47"/>
        <v>757</v>
      </c>
      <c r="F279" s="176">
        <f t="shared" si="47"/>
        <v>592</v>
      </c>
      <c r="G279" s="176">
        <f t="shared" si="47"/>
        <v>630</v>
      </c>
      <c r="H279" s="176">
        <f t="shared" si="47"/>
        <v>593</v>
      </c>
      <c r="I279" s="176">
        <f t="shared" si="47"/>
        <v>768</v>
      </c>
      <c r="J279" s="176">
        <f t="shared" si="47"/>
        <v>665</v>
      </c>
      <c r="K279" s="176">
        <f t="shared" si="47"/>
        <v>737</v>
      </c>
      <c r="L279" s="176">
        <f t="shared" si="47"/>
        <v>720</v>
      </c>
      <c r="M279" s="176">
        <f t="shared" si="47"/>
        <v>781</v>
      </c>
      <c r="N279" s="176">
        <f t="shared" si="47"/>
        <v>746</v>
      </c>
      <c r="O279" s="176">
        <f t="shared" si="47"/>
        <v>613</v>
      </c>
      <c r="P279" s="176">
        <f t="shared" si="47"/>
        <v>529</v>
      </c>
      <c r="Q279" s="176">
        <f t="shared" si="47"/>
        <v>9548</v>
      </c>
      <c r="R279" s="176">
        <f t="shared" si="46"/>
        <v>74739</v>
      </c>
      <c r="S279" s="176">
        <f t="shared" si="45"/>
        <v>84287</v>
      </c>
    </row>
    <row r="280" spans="1:19" ht="10.5" customHeight="1">
      <c r="A280" s="5"/>
      <c r="B280" s="5"/>
      <c r="C280" s="6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8"/>
      <c r="R280" s="7"/>
      <c r="S280" s="7"/>
    </row>
    <row r="281" spans="1:19" ht="22.5">
      <c r="A281" s="17"/>
      <c r="B281" s="17"/>
      <c r="C281" s="10" t="s">
        <v>13</v>
      </c>
      <c r="D281" s="10" t="s">
        <v>13</v>
      </c>
      <c r="E281" s="10" t="s">
        <v>13</v>
      </c>
      <c r="F281" s="10" t="s">
        <v>13</v>
      </c>
      <c r="G281" s="10" t="s">
        <v>13</v>
      </c>
      <c r="H281" s="10" t="s">
        <v>13</v>
      </c>
      <c r="I281" s="10" t="s">
        <v>13</v>
      </c>
      <c r="J281" s="10" t="s">
        <v>13</v>
      </c>
      <c r="K281" s="10" t="s">
        <v>13</v>
      </c>
      <c r="L281" s="10" t="s">
        <v>13</v>
      </c>
      <c r="M281" s="10" t="s">
        <v>13</v>
      </c>
      <c r="N281" s="10" t="s">
        <v>13</v>
      </c>
      <c r="O281" s="10" t="s">
        <v>13</v>
      </c>
      <c r="P281" s="10" t="s">
        <v>13</v>
      </c>
      <c r="Q281" s="10" t="s">
        <v>13</v>
      </c>
      <c r="R281" s="10" t="s">
        <v>13</v>
      </c>
      <c r="S281" s="10" t="s">
        <v>13</v>
      </c>
    </row>
    <row r="282" spans="1:19" ht="8.25" customHeight="1">
      <c r="A282" s="17"/>
      <c r="B282" s="17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</row>
    <row r="283" spans="1:19" ht="22.5">
      <c r="A283" s="17"/>
      <c r="B283" s="17"/>
      <c r="C283" s="10" t="s">
        <v>14</v>
      </c>
      <c r="D283" s="10" t="s">
        <v>14</v>
      </c>
      <c r="E283" s="10" t="s">
        <v>14</v>
      </c>
      <c r="F283" s="10" t="s">
        <v>14</v>
      </c>
      <c r="G283" s="10" t="s">
        <v>14</v>
      </c>
      <c r="H283" s="10" t="s">
        <v>14</v>
      </c>
      <c r="I283" s="10" t="s">
        <v>14</v>
      </c>
      <c r="J283" s="10" t="s">
        <v>14</v>
      </c>
      <c r="K283" s="10" t="s">
        <v>14</v>
      </c>
      <c r="L283" s="10" t="s">
        <v>14</v>
      </c>
      <c r="M283" s="10" t="s">
        <v>14</v>
      </c>
      <c r="N283" s="10" t="s">
        <v>14</v>
      </c>
      <c r="O283" s="10" t="s">
        <v>14</v>
      </c>
      <c r="P283" s="10" t="s">
        <v>14</v>
      </c>
      <c r="Q283" s="10" t="s">
        <v>14</v>
      </c>
      <c r="R283" s="10" t="s">
        <v>14</v>
      </c>
      <c r="S283" s="10" t="s">
        <v>14</v>
      </c>
    </row>
    <row r="284" spans="1:19" ht="9" customHeight="1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</row>
    <row r="285" spans="1:19">
      <c r="A285" s="237" t="s">
        <v>15</v>
      </c>
      <c r="B285" s="237"/>
      <c r="C285" s="238" t="s">
        <v>16</v>
      </c>
      <c r="D285" s="238"/>
      <c r="E285" s="238"/>
      <c r="F285" s="238"/>
      <c r="G285" s="238"/>
      <c r="H285" s="238"/>
      <c r="I285" s="238"/>
      <c r="J285" s="238"/>
      <c r="K285" s="238"/>
      <c r="L285" s="238"/>
      <c r="M285" s="238"/>
      <c r="N285" s="238"/>
      <c r="O285" s="238"/>
      <c r="P285" s="238"/>
      <c r="Q285" s="238"/>
      <c r="R285" s="17"/>
      <c r="S285" s="17"/>
    </row>
    <row r="286" spans="1:19">
      <c r="A286" s="17"/>
      <c r="B286" s="17"/>
      <c r="C286" s="238" t="s">
        <v>17</v>
      </c>
      <c r="D286" s="238"/>
      <c r="E286" s="238"/>
      <c r="F286" s="238"/>
      <c r="G286" s="238"/>
      <c r="H286" s="238"/>
      <c r="I286" s="238"/>
      <c r="J286" s="238"/>
      <c r="K286" s="238"/>
      <c r="L286" s="238"/>
      <c r="M286" s="238"/>
      <c r="N286" s="238"/>
      <c r="O286" s="238"/>
      <c r="P286" s="238"/>
      <c r="Q286" s="238"/>
      <c r="R286" s="17"/>
      <c r="S286" s="17"/>
    </row>
    <row r="287" spans="1:19" ht="15" customHeight="1">
      <c r="A287" s="17"/>
      <c r="B287" s="17"/>
      <c r="C287" s="228" t="s">
        <v>45</v>
      </c>
      <c r="D287" s="228"/>
      <c r="E287" s="228"/>
      <c r="F287" s="228"/>
      <c r="G287" s="228"/>
      <c r="H287" s="228"/>
      <c r="I287" s="228"/>
      <c r="J287" s="228"/>
      <c r="K287" s="228"/>
      <c r="L287" s="228"/>
      <c r="M287" s="228"/>
      <c r="N287" s="228"/>
      <c r="O287" s="228"/>
      <c r="P287" s="228"/>
      <c r="Q287" s="228"/>
      <c r="R287" s="17"/>
      <c r="S287" s="17"/>
    </row>
    <row r="288" spans="1:19">
      <c r="A288" s="23"/>
      <c r="B288" s="23"/>
      <c r="C288" s="228" t="s">
        <v>46</v>
      </c>
      <c r="D288" s="228"/>
      <c r="E288" s="228"/>
      <c r="F288" s="228"/>
      <c r="G288" s="228"/>
      <c r="H288" s="228"/>
      <c r="I288" s="228"/>
      <c r="J288" s="228"/>
      <c r="K288" s="228"/>
      <c r="L288" s="228"/>
      <c r="M288" s="228"/>
      <c r="N288" s="228"/>
      <c r="O288" s="228"/>
      <c r="P288" s="228"/>
      <c r="Q288" s="228"/>
      <c r="R288" s="23"/>
      <c r="S288" s="23"/>
    </row>
    <row r="289" spans="1:19" ht="15" customHeight="1">
      <c r="A289" s="60"/>
      <c r="B289" s="61" t="s">
        <v>139</v>
      </c>
      <c r="C289" s="227" t="s">
        <v>138</v>
      </c>
      <c r="D289" s="227"/>
      <c r="E289" s="227"/>
      <c r="F289" s="227"/>
      <c r="G289" s="227"/>
      <c r="H289" s="227"/>
      <c r="I289" s="227"/>
      <c r="J289" s="227"/>
      <c r="K289" s="227"/>
      <c r="L289" s="227"/>
      <c r="M289" s="227"/>
      <c r="N289" s="227"/>
      <c r="O289" s="227"/>
      <c r="P289" s="227"/>
      <c r="Q289" s="227"/>
      <c r="R289" s="60"/>
      <c r="S289" s="60"/>
    </row>
    <row r="290" spans="1:19">
      <c r="A290" s="23"/>
      <c r="B290" s="23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3"/>
      <c r="S290" s="23"/>
    </row>
    <row r="291" spans="1:19" ht="26.25">
      <c r="A291" s="229" t="s">
        <v>0</v>
      </c>
      <c r="B291" s="229"/>
      <c r="C291" s="229"/>
      <c r="D291" s="229"/>
      <c r="E291" s="229"/>
      <c r="F291" s="229"/>
      <c r="G291" s="229"/>
      <c r="H291" s="229"/>
      <c r="I291" s="229"/>
      <c r="J291" s="229"/>
      <c r="K291" s="229"/>
      <c r="L291" s="229"/>
      <c r="M291" s="229"/>
      <c r="N291" s="229"/>
      <c r="O291" s="229"/>
      <c r="P291" s="229"/>
      <c r="Q291" s="229"/>
      <c r="R291" s="229"/>
      <c r="S291" s="229"/>
    </row>
    <row r="292" spans="1:19" ht="19.5" customHeight="1">
      <c r="A292" s="230" t="s">
        <v>83</v>
      </c>
      <c r="B292" s="230"/>
      <c r="C292" s="230"/>
      <c r="D292" s="230"/>
      <c r="E292" s="230"/>
      <c r="F292" s="230"/>
      <c r="G292" s="230"/>
      <c r="H292" s="230"/>
      <c r="I292" s="1"/>
      <c r="J292" s="1"/>
      <c r="K292" s="231" t="s">
        <v>30</v>
      </c>
      <c r="L292" s="231"/>
      <c r="M292" s="231"/>
      <c r="N292" s="231"/>
      <c r="O292" s="1"/>
      <c r="P292" s="232" t="s">
        <v>1</v>
      </c>
      <c r="Q292" s="232"/>
      <c r="R292" s="233">
        <v>44630</v>
      </c>
      <c r="S292" s="233"/>
    </row>
    <row r="293" spans="1:19">
      <c r="A293" s="242" t="s">
        <v>2</v>
      </c>
      <c r="B293" s="242"/>
      <c r="C293" s="16">
        <v>1</v>
      </c>
      <c r="D293" s="16">
        <v>2</v>
      </c>
      <c r="E293" s="16">
        <v>3</v>
      </c>
      <c r="F293" s="16">
        <v>4</v>
      </c>
      <c r="G293" s="16">
        <v>5</v>
      </c>
      <c r="H293" s="16">
        <v>6</v>
      </c>
      <c r="I293" s="16">
        <v>7</v>
      </c>
      <c r="J293" s="16">
        <v>8</v>
      </c>
      <c r="K293" s="16">
        <v>9</v>
      </c>
      <c r="L293" s="16">
        <v>10</v>
      </c>
      <c r="M293" s="16">
        <v>11</v>
      </c>
      <c r="N293" s="16">
        <v>12</v>
      </c>
      <c r="O293" s="16">
        <v>13</v>
      </c>
      <c r="P293" s="16">
        <v>14</v>
      </c>
      <c r="Q293" s="239" t="s">
        <v>3</v>
      </c>
      <c r="R293" s="239" t="s">
        <v>4</v>
      </c>
      <c r="S293" s="239" t="s">
        <v>5</v>
      </c>
    </row>
    <row r="294" spans="1:19">
      <c r="A294" s="242" t="s">
        <v>6</v>
      </c>
      <c r="B294" s="242"/>
      <c r="C294" s="16">
        <v>141</v>
      </c>
      <c r="D294" s="16">
        <v>142</v>
      </c>
      <c r="E294" s="16">
        <v>143</v>
      </c>
      <c r="F294" s="16">
        <v>144</v>
      </c>
      <c r="G294" s="16">
        <v>145</v>
      </c>
      <c r="H294" s="16">
        <v>146</v>
      </c>
      <c r="I294" s="16">
        <v>147</v>
      </c>
      <c r="J294" s="16">
        <v>148</v>
      </c>
      <c r="K294" s="16">
        <v>149</v>
      </c>
      <c r="L294" s="16">
        <v>150</v>
      </c>
      <c r="M294" s="16">
        <v>151</v>
      </c>
      <c r="N294" s="16">
        <v>152</v>
      </c>
      <c r="O294" s="16">
        <v>153</v>
      </c>
      <c r="P294" s="16">
        <v>154</v>
      </c>
      <c r="Q294" s="240"/>
      <c r="R294" s="240"/>
      <c r="S294" s="240"/>
    </row>
    <row r="295" spans="1:19" ht="31.5">
      <c r="A295" s="243" t="s">
        <v>18</v>
      </c>
      <c r="B295" s="244"/>
      <c r="C295" s="121" t="s">
        <v>333</v>
      </c>
      <c r="D295" s="121" t="s">
        <v>620</v>
      </c>
      <c r="E295" s="121" t="s">
        <v>334</v>
      </c>
      <c r="F295" s="121" t="s">
        <v>335</v>
      </c>
      <c r="G295" s="121" t="s">
        <v>336</v>
      </c>
      <c r="H295" s="121" t="s">
        <v>337</v>
      </c>
      <c r="I295" s="121" t="s">
        <v>338</v>
      </c>
      <c r="J295" s="121" t="s">
        <v>339</v>
      </c>
      <c r="K295" s="121" t="s">
        <v>340</v>
      </c>
      <c r="L295" s="121" t="s">
        <v>341</v>
      </c>
      <c r="M295" s="121" t="s">
        <v>342</v>
      </c>
      <c r="N295" s="121" t="s">
        <v>343</v>
      </c>
      <c r="O295" s="121" t="s">
        <v>344</v>
      </c>
      <c r="P295" s="121" t="s">
        <v>345</v>
      </c>
      <c r="Q295" s="240"/>
      <c r="R295" s="240"/>
      <c r="S295" s="240"/>
    </row>
    <row r="296" spans="1:19" ht="27.75" customHeight="1">
      <c r="A296" s="245" t="s">
        <v>20</v>
      </c>
      <c r="B296" s="246"/>
      <c r="C296" s="34">
        <v>571</v>
      </c>
      <c r="D296" s="34">
        <v>420</v>
      </c>
      <c r="E296" s="34">
        <v>601</v>
      </c>
      <c r="F296" s="34">
        <v>562</v>
      </c>
      <c r="G296" s="34">
        <v>660</v>
      </c>
      <c r="H296" s="34">
        <v>570</v>
      </c>
      <c r="I296" s="34">
        <v>584</v>
      </c>
      <c r="J296" s="34">
        <v>749</v>
      </c>
      <c r="K296" s="34">
        <v>437</v>
      </c>
      <c r="L296" s="34">
        <v>568</v>
      </c>
      <c r="M296" s="34">
        <v>413</v>
      </c>
      <c r="N296" s="34">
        <v>609</v>
      </c>
      <c r="O296" s="34">
        <v>821</v>
      </c>
      <c r="P296" s="34">
        <v>429</v>
      </c>
      <c r="Q296" s="240"/>
      <c r="R296" s="240"/>
      <c r="S296" s="240"/>
    </row>
    <row r="297" spans="1:19">
      <c r="A297" s="19" t="s">
        <v>7</v>
      </c>
      <c r="B297" s="16" t="s">
        <v>8</v>
      </c>
      <c r="C297" s="20" t="s">
        <v>9</v>
      </c>
      <c r="D297" s="20" t="s">
        <v>9</v>
      </c>
      <c r="E297" s="20" t="s">
        <v>9</v>
      </c>
      <c r="F297" s="20" t="s">
        <v>9</v>
      </c>
      <c r="G297" s="20" t="s">
        <v>9</v>
      </c>
      <c r="H297" s="20" t="s">
        <v>9</v>
      </c>
      <c r="I297" s="20" t="s">
        <v>9</v>
      </c>
      <c r="J297" s="20" t="s">
        <v>9</v>
      </c>
      <c r="K297" s="20" t="s">
        <v>9</v>
      </c>
      <c r="L297" s="20" t="s">
        <v>9</v>
      </c>
      <c r="M297" s="20" t="s">
        <v>9</v>
      </c>
      <c r="N297" s="20" t="s">
        <v>9</v>
      </c>
      <c r="O297" s="20" t="s">
        <v>9</v>
      </c>
      <c r="P297" s="20" t="s">
        <v>9</v>
      </c>
      <c r="Q297" s="241"/>
      <c r="R297" s="241"/>
      <c r="S297" s="241"/>
    </row>
    <row r="298" spans="1:19" s="180" customFormat="1">
      <c r="A298" s="172">
        <v>1</v>
      </c>
      <c r="B298" s="173" t="s">
        <v>85</v>
      </c>
      <c r="C298" s="178">
        <v>84</v>
      </c>
      <c r="D298" s="178">
        <v>38</v>
      </c>
      <c r="E298" s="178">
        <v>200</v>
      </c>
      <c r="F298" s="178">
        <v>257</v>
      </c>
      <c r="G298" s="178">
        <v>256</v>
      </c>
      <c r="H298" s="178">
        <v>222</v>
      </c>
      <c r="I298" s="178">
        <v>108</v>
      </c>
      <c r="J298" s="178">
        <v>182</v>
      </c>
      <c r="K298" s="178">
        <v>52</v>
      </c>
      <c r="L298" s="178">
        <v>95</v>
      </c>
      <c r="M298" s="178">
        <v>20</v>
      </c>
      <c r="N298" s="178">
        <v>193</v>
      </c>
      <c r="O298" s="178">
        <v>114</v>
      </c>
      <c r="P298" s="178">
        <v>40</v>
      </c>
      <c r="Q298" s="176">
        <f>SUM(C298:P298)</f>
        <v>1861</v>
      </c>
      <c r="R298" s="176">
        <f t="shared" ref="R298:R306" si="48">S269</f>
        <v>23322</v>
      </c>
      <c r="S298" s="176">
        <f>Q298+R298</f>
        <v>25183</v>
      </c>
    </row>
    <row r="299" spans="1:19" s="180" customFormat="1">
      <c r="A299" s="172">
        <v>2</v>
      </c>
      <c r="B299" s="173" t="s">
        <v>156</v>
      </c>
      <c r="C299" s="178">
        <v>429</v>
      </c>
      <c r="D299" s="178">
        <v>363</v>
      </c>
      <c r="E299" s="178">
        <v>312</v>
      </c>
      <c r="F299" s="178">
        <v>255</v>
      </c>
      <c r="G299" s="178">
        <v>342</v>
      </c>
      <c r="H299" s="178">
        <v>303</v>
      </c>
      <c r="I299" s="178">
        <v>436</v>
      </c>
      <c r="J299" s="178">
        <v>354</v>
      </c>
      <c r="K299" s="178">
        <v>236</v>
      </c>
      <c r="L299" s="178">
        <v>393</v>
      </c>
      <c r="M299" s="178">
        <v>308</v>
      </c>
      <c r="N299" s="178">
        <v>129</v>
      </c>
      <c r="O299" s="178">
        <v>666</v>
      </c>
      <c r="P299" s="178">
        <v>367</v>
      </c>
      <c r="Q299" s="176">
        <f t="shared" ref="Q299:Q307" si="49">SUM(C299:P299)</f>
        <v>4893</v>
      </c>
      <c r="R299" s="176">
        <f t="shared" si="48"/>
        <v>44984</v>
      </c>
      <c r="S299" s="176">
        <f t="shared" ref="S299:S308" si="50">Q299+R299</f>
        <v>49877</v>
      </c>
    </row>
    <row r="300" spans="1:19" s="180" customFormat="1">
      <c r="A300" s="172">
        <v>3</v>
      </c>
      <c r="B300" s="173" t="s">
        <v>157</v>
      </c>
      <c r="C300" s="178">
        <v>5</v>
      </c>
      <c r="D300" s="178">
        <v>4</v>
      </c>
      <c r="E300" s="178">
        <v>4</v>
      </c>
      <c r="F300" s="178">
        <v>11</v>
      </c>
      <c r="G300" s="178">
        <v>10</v>
      </c>
      <c r="H300" s="178">
        <v>4</v>
      </c>
      <c r="I300" s="178">
        <v>3</v>
      </c>
      <c r="J300" s="178">
        <v>9</v>
      </c>
      <c r="K300" s="178">
        <v>7</v>
      </c>
      <c r="L300" s="178">
        <v>3</v>
      </c>
      <c r="M300" s="178">
        <v>2</v>
      </c>
      <c r="N300" s="178">
        <v>3</v>
      </c>
      <c r="O300" s="178">
        <v>7</v>
      </c>
      <c r="P300" s="178">
        <v>4</v>
      </c>
      <c r="Q300" s="176">
        <f t="shared" si="49"/>
        <v>76</v>
      </c>
      <c r="R300" s="176">
        <f t="shared" si="48"/>
        <v>937</v>
      </c>
      <c r="S300" s="176">
        <f t="shared" si="50"/>
        <v>1013</v>
      </c>
    </row>
    <row r="301" spans="1:19" s="180" customFormat="1">
      <c r="A301" s="172">
        <v>4</v>
      </c>
      <c r="B301" s="173" t="s">
        <v>158</v>
      </c>
      <c r="C301" s="178">
        <v>45</v>
      </c>
      <c r="D301" s="178">
        <v>11</v>
      </c>
      <c r="E301" s="178">
        <v>75</v>
      </c>
      <c r="F301" s="178">
        <v>32</v>
      </c>
      <c r="G301" s="178">
        <v>41</v>
      </c>
      <c r="H301" s="178">
        <v>25</v>
      </c>
      <c r="I301" s="178">
        <v>31</v>
      </c>
      <c r="J301" s="178">
        <v>185</v>
      </c>
      <c r="K301" s="178">
        <v>135</v>
      </c>
      <c r="L301" s="178">
        <v>57</v>
      </c>
      <c r="M301" s="178">
        <v>74</v>
      </c>
      <c r="N301" s="178">
        <v>282</v>
      </c>
      <c r="O301" s="178">
        <v>14</v>
      </c>
      <c r="P301" s="178">
        <v>13</v>
      </c>
      <c r="Q301" s="176">
        <f t="shared" si="49"/>
        <v>1020</v>
      </c>
      <c r="R301" s="176">
        <f t="shared" si="48"/>
        <v>13492</v>
      </c>
      <c r="S301" s="176">
        <f t="shared" si="50"/>
        <v>14512</v>
      </c>
    </row>
    <row r="302" spans="1:19" s="180" customFormat="1">
      <c r="A302" s="172">
        <v>5</v>
      </c>
      <c r="B302" s="173" t="s">
        <v>159</v>
      </c>
      <c r="C302" s="178">
        <v>0</v>
      </c>
      <c r="D302" s="178">
        <v>2</v>
      </c>
      <c r="E302" s="178">
        <v>2</v>
      </c>
      <c r="F302" s="178">
        <v>2</v>
      </c>
      <c r="G302" s="178">
        <v>6</v>
      </c>
      <c r="H302" s="178">
        <v>7</v>
      </c>
      <c r="I302" s="178">
        <v>0</v>
      </c>
      <c r="J302" s="178">
        <v>3</v>
      </c>
      <c r="K302" s="178">
        <v>0</v>
      </c>
      <c r="L302" s="178">
        <v>2</v>
      </c>
      <c r="M302" s="178">
        <v>1</v>
      </c>
      <c r="N302" s="178">
        <v>3</v>
      </c>
      <c r="O302" s="178">
        <v>1</v>
      </c>
      <c r="P302" s="178">
        <v>0</v>
      </c>
      <c r="Q302" s="176">
        <f t="shared" si="49"/>
        <v>29</v>
      </c>
      <c r="R302" s="176">
        <f t="shared" si="48"/>
        <v>226</v>
      </c>
      <c r="S302" s="176">
        <f t="shared" si="50"/>
        <v>255</v>
      </c>
    </row>
    <row r="303" spans="1:19" s="180" customFormat="1">
      <c r="A303" s="172">
        <v>6</v>
      </c>
      <c r="B303" s="173" t="s">
        <v>160</v>
      </c>
      <c r="C303" s="178">
        <v>3</v>
      </c>
      <c r="D303" s="178">
        <v>1</v>
      </c>
      <c r="E303" s="178">
        <v>1</v>
      </c>
      <c r="F303" s="178">
        <v>1</v>
      </c>
      <c r="G303" s="178">
        <v>2</v>
      </c>
      <c r="H303" s="178">
        <v>5</v>
      </c>
      <c r="I303" s="178">
        <v>0</v>
      </c>
      <c r="J303" s="178">
        <v>3</v>
      </c>
      <c r="K303" s="178">
        <v>1</v>
      </c>
      <c r="L303" s="178">
        <v>3</v>
      </c>
      <c r="M303" s="178">
        <v>3</v>
      </c>
      <c r="N303" s="178">
        <v>0</v>
      </c>
      <c r="O303" s="178">
        <v>5</v>
      </c>
      <c r="P303" s="178">
        <v>2</v>
      </c>
      <c r="Q303" s="176">
        <f t="shared" si="49"/>
        <v>30</v>
      </c>
      <c r="R303" s="176">
        <f t="shared" si="48"/>
        <v>304</v>
      </c>
      <c r="S303" s="176">
        <f t="shared" si="50"/>
        <v>334</v>
      </c>
    </row>
    <row r="304" spans="1:19" s="180" customFormat="1">
      <c r="A304" s="172">
        <v>7</v>
      </c>
      <c r="B304" s="173" t="s">
        <v>86</v>
      </c>
      <c r="C304" s="178">
        <v>3</v>
      </c>
      <c r="D304" s="178">
        <v>1</v>
      </c>
      <c r="E304" s="178">
        <v>2</v>
      </c>
      <c r="F304" s="178">
        <v>4</v>
      </c>
      <c r="G304" s="178">
        <v>1</v>
      </c>
      <c r="H304" s="178">
        <v>0</v>
      </c>
      <c r="I304" s="178">
        <v>1</v>
      </c>
      <c r="J304" s="178">
        <v>7</v>
      </c>
      <c r="K304" s="178">
        <v>2</v>
      </c>
      <c r="L304" s="178">
        <v>7</v>
      </c>
      <c r="M304" s="178">
        <v>0</v>
      </c>
      <c r="N304" s="178">
        <v>0</v>
      </c>
      <c r="O304" s="178">
        <v>1</v>
      </c>
      <c r="P304" s="178">
        <v>1</v>
      </c>
      <c r="Q304" s="176">
        <f t="shared" si="49"/>
        <v>30</v>
      </c>
      <c r="R304" s="176">
        <f t="shared" si="48"/>
        <v>310</v>
      </c>
      <c r="S304" s="176">
        <f t="shared" si="50"/>
        <v>340</v>
      </c>
    </row>
    <row r="305" spans="1:19" s="180" customFormat="1">
      <c r="A305" s="172">
        <v>8</v>
      </c>
      <c r="B305" s="173" t="s">
        <v>161</v>
      </c>
      <c r="C305" s="178">
        <v>0</v>
      </c>
      <c r="D305" s="178">
        <v>0</v>
      </c>
      <c r="E305" s="178">
        <v>1</v>
      </c>
      <c r="F305" s="178">
        <v>0</v>
      </c>
      <c r="G305" s="178">
        <v>1</v>
      </c>
      <c r="H305" s="178">
        <v>1</v>
      </c>
      <c r="I305" s="178">
        <v>1</v>
      </c>
      <c r="J305" s="178">
        <v>1</v>
      </c>
      <c r="K305" s="178">
        <v>1</v>
      </c>
      <c r="L305" s="178">
        <v>2</v>
      </c>
      <c r="M305" s="178">
        <v>4</v>
      </c>
      <c r="N305" s="178">
        <v>0</v>
      </c>
      <c r="O305" s="178">
        <v>8</v>
      </c>
      <c r="P305" s="178">
        <v>1</v>
      </c>
      <c r="Q305" s="176">
        <f t="shared" si="49"/>
        <v>21</v>
      </c>
      <c r="R305" s="176">
        <f t="shared" si="48"/>
        <v>272</v>
      </c>
      <c r="S305" s="176">
        <f t="shared" si="50"/>
        <v>293</v>
      </c>
    </row>
    <row r="306" spans="1:19" s="180" customFormat="1">
      <c r="A306" s="172">
        <v>9</v>
      </c>
      <c r="B306" s="174" t="s">
        <v>10</v>
      </c>
      <c r="C306" s="178">
        <v>2</v>
      </c>
      <c r="D306" s="178">
        <v>0</v>
      </c>
      <c r="E306" s="178">
        <v>4</v>
      </c>
      <c r="F306" s="178">
        <v>0</v>
      </c>
      <c r="G306" s="178">
        <v>1</v>
      </c>
      <c r="H306" s="178">
        <v>3</v>
      </c>
      <c r="I306" s="178">
        <v>4</v>
      </c>
      <c r="J306" s="178">
        <v>5</v>
      </c>
      <c r="K306" s="178">
        <v>3</v>
      </c>
      <c r="L306" s="178">
        <v>6</v>
      </c>
      <c r="M306" s="178">
        <v>1</v>
      </c>
      <c r="N306" s="178">
        <v>0</v>
      </c>
      <c r="O306" s="178">
        <v>5</v>
      </c>
      <c r="P306" s="178">
        <v>1</v>
      </c>
      <c r="Q306" s="176">
        <f t="shared" si="49"/>
        <v>35</v>
      </c>
      <c r="R306" s="176">
        <f t="shared" si="48"/>
        <v>440</v>
      </c>
      <c r="S306" s="176">
        <f t="shared" si="50"/>
        <v>475</v>
      </c>
    </row>
    <row r="307" spans="1:19">
      <c r="A307" s="251" t="s">
        <v>11</v>
      </c>
      <c r="B307" s="252"/>
      <c r="C307" s="64">
        <v>0</v>
      </c>
      <c r="D307" s="64">
        <v>0</v>
      </c>
      <c r="E307" s="64">
        <v>0</v>
      </c>
      <c r="F307" s="64">
        <v>0</v>
      </c>
      <c r="G307" s="64">
        <v>0</v>
      </c>
      <c r="H307" s="64">
        <v>0</v>
      </c>
      <c r="I307" s="64">
        <v>0</v>
      </c>
      <c r="J307" s="64">
        <v>0</v>
      </c>
      <c r="K307" s="64">
        <v>0</v>
      </c>
      <c r="L307" s="64">
        <v>0</v>
      </c>
      <c r="M307" s="64">
        <v>0</v>
      </c>
      <c r="N307" s="64">
        <v>0</v>
      </c>
      <c r="O307" s="64">
        <v>0</v>
      </c>
      <c r="P307" s="64">
        <v>0</v>
      </c>
      <c r="Q307" s="63">
        <f t="shared" si="49"/>
        <v>0</v>
      </c>
      <c r="R307" s="63">
        <f t="shared" ref="R307:R308" si="51">S278</f>
        <v>0</v>
      </c>
      <c r="S307" s="63">
        <f t="shared" si="50"/>
        <v>0</v>
      </c>
    </row>
    <row r="308" spans="1:19">
      <c r="A308" s="242" t="s">
        <v>12</v>
      </c>
      <c r="B308" s="242"/>
      <c r="C308" s="63">
        <f t="shared" ref="C308:Q308" si="52">SUM(C298:C307)</f>
        <v>571</v>
      </c>
      <c r="D308" s="63">
        <f t="shared" si="52"/>
        <v>420</v>
      </c>
      <c r="E308" s="63">
        <f t="shared" si="52"/>
        <v>601</v>
      </c>
      <c r="F308" s="63">
        <f t="shared" si="52"/>
        <v>562</v>
      </c>
      <c r="G308" s="63">
        <f t="shared" si="52"/>
        <v>660</v>
      </c>
      <c r="H308" s="63">
        <f t="shared" si="52"/>
        <v>570</v>
      </c>
      <c r="I308" s="63">
        <f t="shared" si="52"/>
        <v>584</v>
      </c>
      <c r="J308" s="63">
        <f t="shared" si="52"/>
        <v>749</v>
      </c>
      <c r="K308" s="63">
        <f t="shared" si="52"/>
        <v>437</v>
      </c>
      <c r="L308" s="63">
        <f t="shared" si="52"/>
        <v>568</v>
      </c>
      <c r="M308" s="63">
        <f t="shared" si="52"/>
        <v>413</v>
      </c>
      <c r="N308" s="63">
        <f t="shared" si="52"/>
        <v>610</v>
      </c>
      <c r="O308" s="63">
        <f t="shared" si="52"/>
        <v>821</v>
      </c>
      <c r="P308" s="63">
        <f t="shared" si="52"/>
        <v>429</v>
      </c>
      <c r="Q308" s="63">
        <f t="shared" si="52"/>
        <v>7995</v>
      </c>
      <c r="R308" s="63">
        <f t="shared" si="51"/>
        <v>84287</v>
      </c>
      <c r="S308" s="63">
        <f t="shared" si="50"/>
        <v>92282</v>
      </c>
    </row>
    <row r="309" spans="1:19" ht="10.5" customHeight="1">
      <c r="A309" s="5"/>
      <c r="B309" s="5"/>
      <c r="C309" s="6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8"/>
      <c r="R309" s="7"/>
      <c r="S309" s="7"/>
    </row>
    <row r="310" spans="1:19" ht="22.5">
      <c r="A310" s="17"/>
      <c r="B310" s="17"/>
      <c r="C310" s="10" t="s">
        <v>13</v>
      </c>
      <c r="D310" s="10" t="s">
        <v>13</v>
      </c>
      <c r="E310" s="10" t="s">
        <v>13</v>
      </c>
      <c r="F310" s="10" t="s">
        <v>13</v>
      </c>
      <c r="G310" s="10" t="s">
        <v>13</v>
      </c>
      <c r="H310" s="10" t="s">
        <v>13</v>
      </c>
      <c r="I310" s="10" t="s">
        <v>13</v>
      </c>
      <c r="J310" s="10" t="s">
        <v>13</v>
      </c>
      <c r="K310" s="10" t="s">
        <v>13</v>
      </c>
      <c r="L310" s="10" t="s">
        <v>13</v>
      </c>
      <c r="M310" s="10" t="s">
        <v>13</v>
      </c>
      <c r="N310" s="10" t="s">
        <v>13</v>
      </c>
      <c r="O310" s="10" t="s">
        <v>13</v>
      </c>
      <c r="P310" s="10" t="s">
        <v>13</v>
      </c>
      <c r="Q310" s="10" t="s">
        <v>13</v>
      </c>
      <c r="R310" s="10" t="s">
        <v>13</v>
      </c>
      <c r="S310" s="10" t="s">
        <v>13</v>
      </c>
    </row>
    <row r="311" spans="1:19" ht="7.5" customHeight="1">
      <c r="A311" s="17"/>
      <c r="B311" s="17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</row>
    <row r="312" spans="1:19" ht="22.5">
      <c r="A312" s="17"/>
      <c r="B312" s="17"/>
      <c r="C312" s="10" t="s">
        <v>14</v>
      </c>
      <c r="D312" s="10" t="s">
        <v>14</v>
      </c>
      <c r="E312" s="10" t="s">
        <v>14</v>
      </c>
      <c r="F312" s="10" t="s">
        <v>14</v>
      </c>
      <c r="G312" s="10" t="s">
        <v>14</v>
      </c>
      <c r="H312" s="10" t="s">
        <v>14</v>
      </c>
      <c r="I312" s="10" t="s">
        <v>14</v>
      </c>
      <c r="J312" s="10" t="s">
        <v>14</v>
      </c>
      <c r="K312" s="10" t="s">
        <v>14</v>
      </c>
      <c r="L312" s="10" t="s">
        <v>14</v>
      </c>
      <c r="M312" s="10" t="s">
        <v>14</v>
      </c>
      <c r="N312" s="10" t="s">
        <v>14</v>
      </c>
      <c r="O312" s="10" t="s">
        <v>14</v>
      </c>
      <c r="P312" s="10" t="s">
        <v>14</v>
      </c>
      <c r="Q312" s="10" t="s">
        <v>14</v>
      </c>
      <c r="R312" s="10" t="s">
        <v>14</v>
      </c>
      <c r="S312" s="10" t="s">
        <v>14</v>
      </c>
    </row>
    <row r="313" spans="1:19" ht="9" customHeight="1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</row>
    <row r="314" spans="1:19">
      <c r="A314" s="237" t="s">
        <v>15</v>
      </c>
      <c r="B314" s="237"/>
      <c r="C314" s="238" t="s">
        <v>16</v>
      </c>
      <c r="D314" s="238"/>
      <c r="E314" s="238"/>
      <c r="F314" s="238"/>
      <c r="G314" s="238"/>
      <c r="H314" s="238"/>
      <c r="I314" s="238"/>
      <c r="J314" s="238"/>
      <c r="K314" s="238"/>
      <c r="L314" s="238"/>
      <c r="M314" s="238"/>
      <c r="N314" s="238"/>
      <c r="O314" s="238"/>
      <c r="P314" s="238"/>
      <c r="Q314" s="238"/>
      <c r="R314" s="17"/>
      <c r="S314" s="17"/>
    </row>
    <row r="315" spans="1:19">
      <c r="A315" s="17"/>
      <c r="B315" s="17"/>
      <c r="C315" s="238" t="s">
        <v>17</v>
      </c>
      <c r="D315" s="238"/>
      <c r="E315" s="238"/>
      <c r="F315" s="238"/>
      <c r="G315" s="238"/>
      <c r="H315" s="238"/>
      <c r="I315" s="238"/>
      <c r="J315" s="238"/>
      <c r="K315" s="238"/>
      <c r="L315" s="238"/>
      <c r="M315" s="238"/>
      <c r="N315" s="238"/>
      <c r="O315" s="238"/>
      <c r="P315" s="238"/>
      <c r="Q315" s="238"/>
      <c r="R315" s="17"/>
      <c r="S315" s="17"/>
    </row>
    <row r="316" spans="1:19" ht="15" customHeight="1">
      <c r="A316" s="17"/>
      <c r="B316" s="17"/>
      <c r="C316" s="228" t="s">
        <v>45</v>
      </c>
      <c r="D316" s="228"/>
      <c r="E316" s="228"/>
      <c r="F316" s="228"/>
      <c r="G316" s="228"/>
      <c r="H316" s="228"/>
      <c r="I316" s="228"/>
      <c r="J316" s="228"/>
      <c r="K316" s="228"/>
      <c r="L316" s="228"/>
      <c r="M316" s="228"/>
      <c r="N316" s="228"/>
      <c r="O316" s="228"/>
      <c r="P316" s="228"/>
      <c r="Q316" s="228"/>
      <c r="R316" s="17"/>
      <c r="S316" s="17"/>
    </row>
    <row r="317" spans="1:19">
      <c r="A317" s="23"/>
      <c r="B317" s="23"/>
      <c r="C317" s="228" t="s">
        <v>46</v>
      </c>
      <c r="D317" s="228"/>
      <c r="E317" s="228"/>
      <c r="F317" s="228"/>
      <c r="G317" s="228"/>
      <c r="H317" s="228"/>
      <c r="I317" s="228"/>
      <c r="J317" s="228"/>
      <c r="K317" s="228"/>
      <c r="L317" s="228"/>
      <c r="M317" s="228"/>
      <c r="N317" s="228"/>
      <c r="O317" s="228"/>
      <c r="P317" s="228"/>
      <c r="Q317" s="228"/>
      <c r="R317" s="23"/>
      <c r="S317" s="23"/>
    </row>
    <row r="318" spans="1:19" ht="15" customHeight="1">
      <c r="A318" s="60"/>
      <c r="B318" s="61" t="s">
        <v>139</v>
      </c>
      <c r="C318" s="227" t="s">
        <v>138</v>
      </c>
      <c r="D318" s="227"/>
      <c r="E318" s="227"/>
      <c r="F318" s="227"/>
      <c r="G318" s="227"/>
      <c r="H318" s="227"/>
      <c r="I318" s="227"/>
      <c r="J318" s="227"/>
      <c r="K318" s="227"/>
      <c r="L318" s="227"/>
      <c r="M318" s="227"/>
      <c r="N318" s="227"/>
      <c r="O318" s="227"/>
      <c r="P318" s="227"/>
      <c r="Q318" s="227"/>
      <c r="R318" s="60"/>
      <c r="S318" s="60"/>
    </row>
    <row r="319" spans="1:19">
      <c r="A319" s="23"/>
      <c r="B319" s="23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3"/>
      <c r="S319" s="23"/>
    </row>
    <row r="320" spans="1:19" ht="26.25">
      <c r="A320" s="229" t="s">
        <v>0</v>
      </c>
      <c r="B320" s="229"/>
      <c r="C320" s="229"/>
      <c r="D320" s="229"/>
      <c r="E320" s="229"/>
      <c r="F320" s="229"/>
      <c r="G320" s="229"/>
      <c r="H320" s="229"/>
      <c r="I320" s="229"/>
      <c r="J320" s="229"/>
      <c r="K320" s="229"/>
      <c r="L320" s="229"/>
      <c r="M320" s="229"/>
      <c r="N320" s="229"/>
      <c r="O320" s="229"/>
      <c r="P320" s="229"/>
      <c r="Q320" s="229"/>
      <c r="R320" s="229"/>
      <c r="S320" s="229"/>
    </row>
    <row r="321" spans="1:19" ht="19.5" customHeight="1">
      <c r="A321" s="230" t="s">
        <v>83</v>
      </c>
      <c r="B321" s="230"/>
      <c r="C321" s="230"/>
      <c r="D321" s="230"/>
      <c r="E321" s="230"/>
      <c r="F321" s="230"/>
      <c r="G321" s="230"/>
      <c r="H321" s="230"/>
      <c r="I321" s="1"/>
      <c r="J321" s="1"/>
      <c r="K321" s="231" t="s">
        <v>31</v>
      </c>
      <c r="L321" s="231"/>
      <c r="M321" s="231"/>
      <c r="N321" s="231"/>
      <c r="O321" s="1"/>
      <c r="P321" s="232" t="s">
        <v>1</v>
      </c>
      <c r="Q321" s="232"/>
      <c r="R321" s="233">
        <v>44630</v>
      </c>
      <c r="S321" s="233"/>
    </row>
    <row r="322" spans="1:19">
      <c r="A322" s="242" t="s">
        <v>2</v>
      </c>
      <c r="B322" s="242"/>
      <c r="C322" s="16">
        <v>1</v>
      </c>
      <c r="D322" s="16">
        <v>2</v>
      </c>
      <c r="E322" s="16">
        <v>3</v>
      </c>
      <c r="F322" s="16">
        <v>4</v>
      </c>
      <c r="G322" s="16">
        <v>5</v>
      </c>
      <c r="H322" s="16">
        <v>6</v>
      </c>
      <c r="I322" s="16">
        <v>7</v>
      </c>
      <c r="J322" s="16">
        <v>8</v>
      </c>
      <c r="K322" s="16">
        <v>9</v>
      </c>
      <c r="L322" s="16">
        <v>10</v>
      </c>
      <c r="M322" s="16">
        <v>11</v>
      </c>
      <c r="N322" s="16">
        <v>12</v>
      </c>
      <c r="O322" s="16">
        <v>13</v>
      </c>
      <c r="P322" s="16">
        <v>14</v>
      </c>
      <c r="Q322" s="239" t="s">
        <v>3</v>
      </c>
      <c r="R322" s="239" t="s">
        <v>4</v>
      </c>
      <c r="S322" s="239" t="s">
        <v>5</v>
      </c>
    </row>
    <row r="323" spans="1:19">
      <c r="A323" s="242" t="s">
        <v>6</v>
      </c>
      <c r="B323" s="242"/>
      <c r="C323" s="16">
        <v>155</v>
      </c>
      <c r="D323" s="16">
        <v>156</v>
      </c>
      <c r="E323" s="16">
        <v>157</v>
      </c>
      <c r="F323" s="16">
        <v>158</v>
      </c>
      <c r="G323" s="16">
        <v>159</v>
      </c>
      <c r="H323" s="16">
        <v>160</v>
      </c>
      <c r="I323" s="16">
        <v>161</v>
      </c>
      <c r="J323" s="16">
        <v>162</v>
      </c>
      <c r="K323" s="16">
        <v>163</v>
      </c>
      <c r="L323" s="16">
        <v>164</v>
      </c>
      <c r="M323" s="16">
        <v>165</v>
      </c>
      <c r="N323" s="16">
        <v>166</v>
      </c>
      <c r="O323" s="16">
        <v>167</v>
      </c>
      <c r="P323" s="16">
        <v>168</v>
      </c>
      <c r="Q323" s="240"/>
      <c r="R323" s="240"/>
      <c r="S323" s="240"/>
    </row>
    <row r="324" spans="1:19" ht="31.5">
      <c r="A324" s="243" t="s">
        <v>18</v>
      </c>
      <c r="B324" s="244"/>
      <c r="C324" s="118" t="s">
        <v>346</v>
      </c>
      <c r="D324" s="118" t="s">
        <v>347</v>
      </c>
      <c r="E324" s="118" t="s">
        <v>348</v>
      </c>
      <c r="F324" s="118" t="s">
        <v>349</v>
      </c>
      <c r="G324" s="118" t="s">
        <v>350</v>
      </c>
      <c r="H324" s="118" t="s">
        <v>351</v>
      </c>
      <c r="I324" s="118" t="s">
        <v>352</v>
      </c>
      <c r="J324" s="118" t="s">
        <v>353</v>
      </c>
      <c r="K324" s="118" t="s">
        <v>354</v>
      </c>
      <c r="L324" s="118" t="s">
        <v>355</v>
      </c>
      <c r="M324" s="118" t="s">
        <v>356</v>
      </c>
      <c r="N324" s="118" t="s">
        <v>357</v>
      </c>
      <c r="O324" s="118" t="s">
        <v>358</v>
      </c>
      <c r="P324" s="118" t="s">
        <v>359</v>
      </c>
      <c r="Q324" s="240"/>
      <c r="R324" s="240"/>
      <c r="S324" s="240"/>
    </row>
    <row r="325" spans="1:19" ht="28.5" hidden="1" customHeight="1">
      <c r="A325" s="245" t="s">
        <v>20</v>
      </c>
      <c r="B325" s="246"/>
      <c r="C325" s="33">
        <v>375</v>
      </c>
      <c r="D325" s="33">
        <v>537</v>
      </c>
      <c r="E325" s="33">
        <v>604</v>
      </c>
      <c r="F325" s="33">
        <v>461</v>
      </c>
      <c r="G325" s="33">
        <v>607</v>
      </c>
      <c r="H325" s="33">
        <v>558</v>
      </c>
      <c r="I325" s="33">
        <v>444</v>
      </c>
      <c r="J325" s="33">
        <v>409</v>
      </c>
      <c r="K325" s="33">
        <v>744</v>
      </c>
      <c r="L325" s="33">
        <v>533</v>
      </c>
      <c r="M325" s="33">
        <v>545</v>
      </c>
      <c r="N325" s="33">
        <v>618</v>
      </c>
      <c r="O325" s="33">
        <v>487</v>
      </c>
      <c r="P325" s="33">
        <v>465</v>
      </c>
      <c r="Q325" s="240"/>
      <c r="R325" s="240"/>
      <c r="S325" s="240"/>
    </row>
    <row r="326" spans="1:19">
      <c r="A326" s="19" t="s">
        <v>7</v>
      </c>
      <c r="B326" s="16" t="s">
        <v>8</v>
      </c>
      <c r="C326" s="20" t="s">
        <v>9</v>
      </c>
      <c r="D326" s="20" t="s">
        <v>9</v>
      </c>
      <c r="E326" s="20" t="s">
        <v>9</v>
      </c>
      <c r="F326" s="20" t="s">
        <v>9</v>
      </c>
      <c r="G326" s="20" t="s">
        <v>9</v>
      </c>
      <c r="H326" s="20" t="s">
        <v>9</v>
      </c>
      <c r="I326" s="20" t="s">
        <v>9</v>
      </c>
      <c r="J326" s="20" t="s">
        <v>9</v>
      </c>
      <c r="K326" s="20" t="s">
        <v>9</v>
      </c>
      <c r="L326" s="20" t="s">
        <v>9</v>
      </c>
      <c r="M326" s="20" t="s">
        <v>9</v>
      </c>
      <c r="N326" s="20" t="s">
        <v>9</v>
      </c>
      <c r="O326" s="20" t="s">
        <v>9</v>
      </c>
      <c r="P326" s="20" t="s">
        <v>9</v>
      </c>
      <c r="Q326" s="241"/>
      <c r="R326" s="241"/>
      <c r="S326" s="241"/>
    </row>
    <row r="327" spans="1:19" s="180" customFormat="1">
      <c r="A327" s="172">
        <v>1</v>
      </c>
      <c r="B327" s="173" t="s">
        <v>85</v>
      </c>
      <c r="C327" s="178">
        <v>70</v>
      </c>
      <c r="D327" s="178">
        <v>10</v>
      </c>
      <c r="E327" s="178">
        <v>29</v>
      </c>
      <c r="F327" s="178">
        <v>29</v>
      </c>
      <c r="G327" s="178">
        <v>13</v>
      </c>
      <c r="H327" s="178">
        <v>16</v>
      </c>
      <c r="I327" s="178">
        <v>100</v>
      </c>
      <c r="J327" s="178">
        <v>53</v>
      </c>
      <c r="K327" s="178">
        <v>85</v>
      </c>
      <c r="L327" s="178">
        <v>75</v>
      </c>
      <c r="M327" s="178">
        <v>24</v>
      </c>
      <c r="N327" s="178">
        <v>9</v>
      </c>
      <c r="O327" s="178">
        <v>288</v>
      </c>
      <c r="P327" s="178">
        <v>363</v>
      </c>
      <c r="Q327" s="176">
        <f>SUM(C327:P327)</f>
        <v>1164</v>
      </c>
      <c r="R327" s="176">
        <f t="shared" ref="R327:R335" si="53">S298</f>
        <v>25183</v>
      </c>
      <c r="S327" s="176">
        <f>Q327+R327</f>
        <v>26347</v>
      </c>
    </row>
    <row r="328" spans="1:19" s="180" customFormat="1">
      <c r="A328" s="172">
        <v>2</v>
      </c>
      <c r="B328" s="173" t="s">
        <v>156</v>
      </c>
      <c r="C328" s="178">
        <v>300</v>
      </c>
      <c r="D328" s="178">
        <v>471</v>
      </c>
      <c r="E328" s="178">
        <v>272</v>
      </c>
      <c r="F328" s="178">
        <v>245</v>
      </c>
      <c r="G328" s="178">
        <v>574</v>
      </c>
      <c r="H328" s="178">
        <v>520</v>
      </c>
      <c r="I328" s="178">
        <v>211</v>
      </c>
      <c r="J328" s="178">
        <v>329</v>
      </c>
      <c r="K328" s="178">
        <v>631</v>
      </c>
      <c r="L328" s="178">
        <v>202</v>
      </c>
      <c r="M328" s="178">
        <v>503</v>
      </c>
      <c r="N328" s="178">
        <v>599</v>
      </c>
      <c r="O328" s="178">
        <v>187</v>
      </c>
      <c r="P328" s="178">
        <v>93</v>
      </c>
      <c r="Q328" s="176">
        <f t="shared" ref="Q328:Q336" si="54">SUM(C328:P328)</f>
        <v>5137</v>
      </c>
      <c r="R328" s="176">
        <f t="shared" si="53"/>
        <v>49877</v>
      </c>
      <c r="S328" s="176">
        <f t="shared" ref="S328:S337" si="55">Q328+R328</f>
        <v>55014</v>
      </c>
    </row>
    <row r="329" spans="1:19" s="180" customFormat="1">
      <c r="A329" s="172">
        <v>3</v>
      </c>
      <c r="B329" s="173" t="s">
        <v>157</v>
      </c>
      <c r="C329" s="178">
        <v>1</v>
      </c>
      <c r="D329" s="178">
        <v>4</v>
      </c>
      <c r="E329" s="178">
        <v>7</v>
      </c>
      <c r="F329" s="178">
        <v>21</v>
      </c>
      <c r="G329" s="178">
        <v>2</v>
      </c>
      <c r="H329" s="178">
        <v>2</v>
      </c>
      <c r="I329" s="178">
        <v>8</v>
      </c>
      <c r="J329" s="178">
        <v>15</v>
      </c>
      <c r="K329" s="178">
        <v>1</v>
      </c>
      <c r="L329" s="178">
        <v>5</v>
      </c>
      <c r="M329" s="178">
        <v>5</v>
      </c>
      <c r="N329" s="178">
        <v>1</v>
      </c>
      <c r="O329" s="178">
        <v>2</v>
      </c>
      <c r="P329" s="178">
        <v>0</v>
      </c>
      <c r="Q329" s="176">
        <f t="shared" si="54"/>
        <v>74</v>
      </c>
      <c r="R329" s="176">
        <f t="shared" si="53"/>
        <v>1013</v>
      </c>
      <c r="S329" s="176">
        <f t="shared" si="55"/>
        <v>1087</v>
      </c>
    </row>
    <row r="330" spans="1:19" s="180" customFormat="1">
      <c r="A330" s="172">
        <v>4</v>
      </c>
      <c r="B330" s="173" t="s">
        <v>158</v>
      </c>
      <c r="C330" s="178">
        <v>2</v>
      </c>
      <c r="D330" s="178">
        <v>35</v>
      </c>
      <c r="E330" s="178">
        <v>282</v>
      </c>
      <c r="F330" s="178">
        <v>145</v>
      </c>
      <c r="G330" s="178">
        <v>7</v>
      </c>
      <c r="H330" s="178">
        <v>12</v>
      </c>
      <c r="I330" s="178">
        <v>81</v>
      </c>
      <c r="J330" s="178">
        <v>2</v>
      </c>
      <c r="K330" s="178">
        <v>7</v>
      </c>
      <c r="L330" s="178">
        <v>233</v>
      </c>
      <c r="M330" s="178">
        <v>3</v>
      </c>
      <c r="N330" s="178">
        <v>2</v>
      </c>
      <c r="O330" s="178">
        <v>1</v>
      </c>
      <c r="P330" s="178">
        <v>3</v>
      </c>
      <c r="Q330" s="176">
        <f t="shared" si="54"/>
        <v>815</v>
      </c>
      <c r="R330" s="176">
        <f t="shared" si="53"/>
        <v>14512</v>
      </c>
      <c r="S330" s="176">
        <f t="shared" si="55"/>
        <v>15327</v>
      </c>
    </row>
    <row r="331" spans="1:19" s="180" customFormat="1">
      <c r="A331" s="172">
        <v>5</v>
      </c>
      <c r="B331" s="173" t="s">
        <v>159</v>
      </c>
      <c r="C331" s="178">
        <v>0</v>
      </c>
      <c r="D331" s="178">
        <v>0</v>
      </c>
      <c r="E331" s="178">
        <v>5</v>
      </c>
      <c r="F331" s="178">
        <v>2</v>
      </c>
      <c r="G331" s="178">
        <v>2</v>
      </c>
      <c r="H331" s="178">
        <v>0</v>
      </c>
      <c r="I331" s="178">
        <v>41</v>
      </c>
      <c r="J331" s="178">
        <v>5</v>
      </c>
      <c r="K331" s="178">
        <v>0</v>
      </c>
      <c r="L331" s="178">
        <v>8</v>
      </c>
      <c r="M331" s="178">
        <v>0</v>
      </c>
      <c r="N331" s="178">
        <v>0</v>
      </c>
      <c r="O331" s="178">
        <v>1</v>
      </c>
      <c r="P331" s="178">
        <v>0</v>
      </c>
      <c r="Q331" s="176">
        <f t="shared" si="54"/>
        <v>64</v>
      </c>
      <c r="R331" s="176">
        <f t="shared" si="53"/>
        <v>255</v>
      </c>
      <c r="S331" s="176">
        <f t="shared" si="55"/>
        <v>319</v>
      </c>
    </row>
    <row r="332" spans="1:19" s="180" customFormat="1">
      <c r="A332" s="172">
        <v>6</v>
      </c>
      <c r="B332" s="173" t="s">
        <v>160</v>
      </c>
      <c r="C332" s="178">
        <v>0</v>
      </c>
      <c r="D332" s="178">
        <v>11</v>
      </c>
      <c r="E332" s="178">
        <v>8</v>
      </c>
      <c r="F332" s="178">
        <v>10</v>
      </c>
      <c r="G332" s="178">
        <v>3</v>
      </c>
      <c r="H332" s="178">
        <v>3</v>
      </c>
      <c r="I332" s="178">
        <v>1</v>
      </c>
      <c r="J332" s="178">
        <v>2</v>
      </c>
      <c r="K332" s="178">
        <v>14</v>
      </c>
      <c r="L332" s="178">
        <v>4</v>
      </c>
      <c r="M332" s="178">
        <v>3</v>
      </c>
      <c r="N332" s="178">
        <v>1</v>
      </c>
      <c r="O332" s="178">
        <v>1</v>
      </c>
      <c r="P332" s="178">
        <v>1</v>
      </c>
      <c r="Q332" s="176">
        <f t="shared" si="54"/>
        <v>62</v>
      </c>
      <c r="R332" s="176">
        <f t="shared" si="53"/>
        <v>334</v>
      </c>
      <c r="S332" s="176">
        <f t="shared" si="55"/>
        <v>396</v>
      </c>
    </row>
    <row r="333" spans="1:19" s="180" customFormat="1">
      <c r="A333" s="172">
        <v>7</v>
      </c>
      <c r="B333" s="173" t="s">
        <v>86</v>
      </c>
      <c r="C333" s="178">
        <v>1</v>
      </c>
      <c r="D333" s="178">
        <v>4</v>
      </c>
      <c r="E333" s="178">
        <v>0</v>
      </c>
      <c r="F333" s="178">
        <v>7</v>
      </c>
      <c r="G333" s="178">
        <v>4</v>
      </c>
      <c r="H333" s="178">
        <v>4</v>
      </c>
      <c r="I333" s="178">
        <v>1</v>
      </c>
      <c r="J333" s="178">
        <v>1</v>
      </c>
      <c r="K333" s="178">
        <v>3</v>
      </c>
      <c r="L333" s="178">
        <v>3</v>
      </c>
      <c r="M333" s="178">
        <v>0</v>
      </c>
      <c r="N333" s="178">
        <v>1</v>
      </c>
      <c r="O333" s="178">
        <v>2</v>
      </c>
      <c r="P333" s="178">
        <v>0</v>
      </c>
      <c r="Q333" s="176">
        <f t="shared" si="54"/>
        <v>31</v>
      </c>
      <c r="R333" s="176">
        <f t="shared" si="53"/>
        <v>340</v>
      </c>
      <c r="S333" s="176">
        <f t="shared" si="55"/>
        <v>371</v>
      </c>
    </row>
    <row r="334" spans="1:19" s="180" customFormat="1">
      <c r="A334" s="172">
        <v>8</v>
      </c>
      <c r="B334" s="173" t="s">
        <v>161</v>
      </c>
      <c r="C334" s="178">
        <v>0</v>
      </c>
      <c r="D334" s="178">
        <v>0</v>
      </c>
      <c r="E334" s="178">
        <v>0</v>
      </c>
      <c r="F334" s="178">
        <v>0</v>
      </c>
      <c r="G334" s="178">
        <v>1</v>
      </c>
      <c r="H334" s="178">
        <v>1</v>
      </c>
      <c r="I334" s="178">
        <v>1</v>
      </c>
      <c r="J334" s="178">
        <v>1</v>
      </c>
      <c r="K334" s="178">
        <v>2</v>
      </c>
      <c r="L334" s="178">
        <v>0</v>
      </c>
      <c r="M334" s="178">
        <v>5</v>
      </c>
      <c r="N334" s="178">
        <v>5</v>
      </c>
      <c r="O334" s="178">
        <v>2</v>
      </c>
      <c r="P334" s="178">
        <v>0</v>
      </c>
      <c r="Q334" s="176">
        <f t="shared" si="54"/>
        <v>18</v>
      </c>
      <c r="R334" s="176">
        <f t="shared" si="53"/>
        <v>293</v>
      </c>
      <c r="S334" s="176">
        <f t="shared" si="55"/>
        <v>311</v>
      </c>
    </row>
    <row r="335" spans="1:19" s="180" customFormat="1">
      <c r="A335" s="172">
        <v>9</v>
      </c>
      <c r="B335" s="174" t="s">
        <v>10</v>
      </c>
      <c r="C335" s="178">
        <v>1</v>
      </c>
      <c r="D335" s="178">
        <v>2</v>
      </c>
      <c r="E335" s="178">
        <v>1</v>
      </c>
      <c r="F335" s="178">
        <v>2</v>
      </c>
      <c r="G335" s="178">
        <v>1</v>
      </c>
      <c r="H335" s="178">
        <v>0</v>
      </c>
      <c r="I335" s="178">
        <v>0</v>
      </c>
      <c r="J335" s="178">
        <v>1</v>
      </c>
      <c r="K335" s="178">
        <v>1</v>
      </c>
      <c r="L335" s="178">
        <v>3</v>
      </c>
      <c r="M335" s="178">
        <v>2</v>
      </c>
      <c r="N335" s="178">
        <v>0</v>
      </c>
      <c r="O335" s="178">
        <v>3</v>
      </c>
      <c r="P335" s="178">
        <v>5</v>
      </c>
      <c r="Q335" s="176">
        <f t="shared" si="54"/>
        <v>22</v>
      </c>
      <c r="R335" s="176">
        <f t="shared" si="53"/>
        <v>475</v>
      </c>
      <c r="S335" s="176">
        <f t="shared" si="55"/>
        <v>497</v>
      </c>
    </row>
    <row r="336" spans="1:19">
      <c r="A336" s="251" t="s">
        <v>11</v>
      </c>
      <c r="B336" s="252"/>
      <c r="C336" s="64">
        <v>0</v>
      </c>
      <c r="D336" s="64">
        <v>0</v>
      </c>
      <c r="E336" s="64">
        <v>0</v>
      </c>
      <c r="F336" s="64">
        <v>0</v>
      </c>
      <c r="G336" s="64">
        <v>0</v>
      </c>
      <c r="H336" s="64">
        <v>0</v>
      </c>
      <c r="I336" s="64">
        <v>0</v>
      </c>
      <c r="J336" s="64">
        <v>0</v>
      </c>
      <c r="K336" s="64">
        <v>0</v>
      </c>
      <c r="L336" s="64">
        <v>0</v>
      </c>
      <c r="M336" s="64">
        <v>0</v>
      </c>
      <c r="N336" s="64">
        <v>0</v>
      </c>
      <c r="O336" s="64">
        <v>0</v>
      </c>
      <c r="P336" s="64">
        <v>0</v>
      </c>
      <c r="Q336" s="63">
        <f t="shared" si="54"/>
        <v>0</v>
      </c>
      <c r="R336" s="63">
        <f t="shared" ref="R336:R337" si="56">S307</f>
        <v>0</v>
      </c>
      <c r="S336" s="63">
        <f t="shared" si="55"/>
        <v>0</v>
      </c>
    </row>
    <row r="337" spans="1:19">
      <c r="A337" s="242" t="s">
        <v>12</v>
      </c>
      <c r="B337" s="242"/>
      <c r="C337" s="63">
        <f t="shared" ref="C337:Q337" si="57">SUM(C327:C336)</f>
        <v>375</v>
      </c>
      <c r="D337" s="63">
        <f t="shared" si="57"/>
        <v>537</v>
      </c>
      <c r="E337" s="63">
        <f t="shared" si="57"/>
        <v>604</v>
      </c>
      <c r="F337" s="63">
        <f t="shared" si="57"/>
        <v>461</v>
      </c>
      <c r="G337" s="63">
        <f t="shared" si="57"/>
        <v>607</v>
      </c>
      <c r="H337" s="63">
        <f t="shared" si="57"/>
        <v>558</v>
      </c>
      <c r="I337" s="63">
        <f t="shared" si="57"/>
        <v>444</v>
      </c>
      <c r="J337" s="63">
        <f t="shared" si="57"/>
        <v>409</v>
      </c>
      <c r="K337" s="63">
        <f t="shared" si="57"/>
        <v>744</v>
      </c>
      <c r="L337" s="63">
        <f t="shared" si="57"/>
        <v>533</v>
      </c>
      <c r="M337" s="63">
        <f t="shared" si="57"/>
        <v>545</v>
      </c>
      <c r="N337" s="63">
        <f t="shared" si="57"/>
        <v>618</v>
      </c>
      <c r="O337" s="63">
        <f t="shared" si="57"/>
        <v>487</v>
      </c>
      <c r="P337" s="63">
        <f t="shared" si="57"/>
        <v>465</v>
      </c>
      <c r="Q337" s="63">
        <f t="shared" si="57"/>
        <v>7387</v>
      </c>
      <c r="R337" s="63">
        <f t="shared" si="56"/>
        <v>92282</v>
      </c>
      <c r="S337" s="63">
        <f t="shared" si="55"/>
        <v>99669</v>
      </c>
    </row>
    <row r="338" spans="1:19" ht="10.5" customHeight="1">
      <c r="A338" s="5"/>
      <c r="B338" s="5"/>
      <c r="C338" s="6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8"/>
      <c r="R338" s="7"/>
      <c r="S338" s="7"/>
    </row>
    <row r="339" spans="1:19" ht="22.5">
      <c r="A339" s="17"/>
      <c r="B339" s="17"/>
      <c r="C339" s="10" t="s">
        <v>13</v>
      </c>
      <c r="D339" s="10" t="s">
        <v>13</v>
      </c>
      <c r="E339" s="10" t="s">
        <v>13</v>
      </c>
      <c r="F339" s="10" t="s">
        <v>13</v>
      </c>
      <c r="G339" s="10" t="s">
        <v>13</v>
      </c>
      <c r="H339" s="10" t="s">
        <v>13</v>
      </c>
      <c r="I339" s="10" t="s">
        <v>13</v>
      </c>
      <c r="J339" s="10" t="s">
        <v>13</v>
      </c>
      <c r="K339" s="10" t="s">
        <v>13</v>
      </c>
      <c r="L339" s="10" t="s">
        <v>13</v>
      </c>
      <c r="M339" s="10" t="s">
        <v>13</v>
      </c>
      <c r="N339" s="10" t="s">
        <v>13</v>
      </c>
      <c r="O339" s="10" t="s">
        <v>13</v>
      </c>
      <c r="P339" s="10" t="s">
        <v>13</v>
      </c>
      <c r="Q339" s="10" t="s">
        <v>13</v>
      </c>
      <c r="R339" s="10" t="s">
        <v>13</v>
      </c>
      <c r="S339" s="10" t="s">
        <v>13</v>
      </c>
    </row>
    <row r="340" spans="1:19" ht="8.25" customHeight="1">
      <c r="A340" s="17"/>
      <c r="B340" s="17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</row>
    <row r="341" spans="1:19" ht="22.5">
      <c r="A341" s="17"/>
      <c r="B341" s="17"/>
      <c r="C341" s="10" t="s">
        <v>14</v>
      </c>
      <c r="D341" s="10" t="s">
        <v>14</v>
      </c>
      <c r="E341" s="10" t="s">
        <v>14</v>
      </c>
      <c r="F341" s="10" t="s">
        <v>14</v>
      </c>
      <c r="G341" s="10" t="s">
        <v>14</v>
      </c>
      <c r="H341" s="10" t="s">
        <v>14</v>
      </c>
      <c r="I341" s="10" t="s">
        <v>14</v>
      </c>
      <c r="J341" s="10" t="s">
        <v>14</v>
      </c>
      <c r="K341" s="10" t="s">
        <v>14</v>
      </c>
      <c r="L341" s="10" t="s">
        <v>14</v>
      </c>
      <c r="M341" s="10" t="s">
        <v>14</v>
      </c>
      <c r="N341" s="10" t="s">
        <v>14</v>
      </c>
      <c r="O341" s="10" t="s">
        <v>14</v>
      </c>
      <c r="P341" s="10" t="s">
        <v>14</v>
      </c>
      <c r="Q341" s="10" t="s">
        <v>14</v>
      </c>
      <c r="R341" s="10" t="s">
        <v>14</v>
      </c>
      <c r="S341" s="10" t="s">
        <v>14</v>
      </c>
    </row>
    <row r="342" spans="1:19" ht="6.75" customHeight="1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</row>
    <row r="343" spans="1:19">
      <c r="A343" s="237" t="s">
        <v>15</v>
      </c>
      <c r="B343" s="237"/>
      <c r="C343" s="238" t="s">
        <v>16</v>
      </c>
      <c r="D343" s="238"/>
      <c r="E343" s="238"/>
      <c r="F343" s="238"/>
      <c r="G343" s="238"/>
      <c r="H343" s="238"/>
      <c r="I343" s="238"/>
      <c r="J343" s="238"/>
      <c r="K343" s="238"/>
      <c r="L343" s="238"/>
      <c r="M343" s="238"/>
      <c r="N343" s="238"/>
      <c r="O343" s="238"/>
      <c r="P343" s="238"/>
      <c r="Q343" s="238"/>
      <c r="R343" s="17"/>
      <c r="S343" s="17"/>
    </row>
    <row r="344" spans="1:19">
      <c r="A344" s="17"/>
      <c r="B344" s="17"/>
      <c r="C344" s="238" t="s">
        <v>17</v>
      </c>
      <c r="D344" s="238"/>
      <c r="E344" s="238"/>
      <c r="F344" s="238"/>
      <c r="G344" s="238"/>
      <c r="H344" s="238"/>
      <c r="I344" s="238"/>
      <c r="J344" s="238"/>
      <c r="K344" s="238"/>
      <c r="L344" s="238"/>
      <c r="M344" s="238"/>
      <c r="N344" s="238"/>
      <c r="O344" s="238"/>
      <c r="P344" s="238"/>
      <c r="Q344" s="238"/>
      <c r="R344" s="17"/>
      <c r="S344" s="17"/>
    </row>
    <row r="345" spans="1:19" ht="15" customHeight="1">
      <c r="A345" s="17"/>
      <c r="B345" s="17"/>
      <c r="C345" s="228" t="s">
        <v>45</v>
      </c>
      <c r="D345" s="228"/>
      <c r="E345" s="228"/>
      <c r="F345" s="228"/>
      <c r="G345" s="228"/>
      <c r="H345" s="228"/>
      <c r="I345" s="228"/>
      <c r="J345" s="228"/>
      <c r="K345" s="228"/>
      <c r="L345" s="228"/>
      <c r="M345" s="228"/>
      <c r="N345" s="228"/>
      <c r="O345" s="228"/>
      <c r="P345" s="228"/>
      <c r="Q345" s="228"/>
      <c r="R345" s="17"/>
      <c r="S345" s="17"/>
    </row>
    <row r="346" spans="1:19">
      <c r="A346" s="23"/>
      <c r="B346" s="23"/>
      <c r="C346" s="228" t="s">
        <v>46</v>
      </c>
      <c r="D346" s="228"/>
      <c r="E346" s="228"/>
      <c r="F346" s="228"/>
      <c r="G346" s="228"/>
      <c r="H346" s="228"/>
      <c r="I346" s="228"/>
      <c r="J346" s="228"/>
      <c r="K346" s="228"/>
      <c r="L346" s="228"/>
      <c r="M346" s="228"/>
      <c r="N346" s="228"/>
      <c r="O346" s="228"/>
      <c r="P346" s="228"/>
      <c r="Q346" s="228"/>
      <c r="R346" s="23"/>
      <c r="S346" s="23"/>
    </row>
    <row r="347" spans="1:19" ht="15" customHeight="1">
      <c r="A347" s="60"/>
      <c r="B347" s="61" t="s">
        <v>139</v>
      </c>
      <c r="C347" s="227" t="s">
        <v>138</v>
      </c>
      <c r="D347" s="227"/>
      <c r="E347" s="227"/>
      <c r="F347" s="227"/>
      <c r="G347" s="227"/>
      <c r="H347" s="227"/>
      <c r="I347" s="227"/>
      <c r="J347" s="227"/>
      <c r="K347" s="227"/>
      <c r="L347" s="227"/>
      <c r="M347" s="227"/>
      <c r="N347" s="227"/>
      <c r="O347" s="227"/>
      <c r="P347" s="227"/>
      <c r="Q347" s="227"/>
      <c r="R347" s="60"/>
      <c r="S347" s="60"/>
    </row>
    <row r="348" spans="1:19">
      <c r="A348" s="23"/>
      <c r="B348" s="23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3"/>
      <c r="S348" s="23"/>
    </row>
    <row r="349" spans="1:19" ht="26.25">
      <c r="A349" s="229" t="s">
        <v>0</v>
      </c>
      <c r="B349" s="229"/>
      <c r="C349" s="229"/>
      <c r="D349" s="229"/>
      <c r="E349" s="229"/>
      <c r="F349" s="229"/>
      <c r="G349" s="229"/>
      <c r="H349" s="229"/>
      <c r="I349" s="229"/>
      <c r="J349" s="229"/>
      <c r="K349" s="229"/>
      <c r="L349" s="229"/>
      <c r="M349" s="229"/>
      <c r="N349" s="229"/>
      <c r="O349" s="229"/>
      <c r="P349" s="229"/>
      <c r="Q349" s="229"/>
      <c r="R349" s="229"/>
      <c r="S349" s="229"/>
    </row>
    <row r="350" spans="1:19" ht="19.5" customHeight="1">
      <c r="A350" s="230" t="s">
        <v>83</v>
      </c>
      <c r="B350" s="230"/>
      <c r="C350" s="230"/>
      <c r="D350" s="230"/>
      <c r="E350" s="230"/>
      <c r="F350" s="230"/>
      <c r="G350" s="230"/>
      <c r="H350" s="230"/>
      <c r="I350" s="1"/>
      <c r="J350" s="1"/>
      <c r="K350" s="231" t="s">
        <v>32</v>
      </c>
      <c r="L350" s="231"/>
      <c r="M350" s="231"/>
      <c r="N350" s="231"/>
      <c r="O350" s="1"/>
      <c r="P350" s="232" t="s">
        <v>1</v>
      </c>
      <c r="Q350" s="232"/>
      <c r="R350" s="233">
        <v>44630</v>
      </c>
      <c r="S350" s="233"/>
    </row>
    <row r="351" spans="1:19">
      <c r="A351" s="242" t="s">
        <v>2</v>
      </c>
      <c r="B351" s="242"/>
      <c r="C351" s="16">
        <v>1</v>
      </c>
      <c r="D351" s="16">
        <v>2</v>
      </c>
      <c r="E351" s="16">
        <v>3</v>
      </c>
      <c r="F351" s="16">
        <v>4</v>
      </c>
      <c r="G351" s="16">
        <v>5</v>
      </c>
      <c r="H351" s="16">
        <v>6</v>
      </c>
      <c r="I351" s="16">
        <v>7</v>
      </c>
      <c r="J351" s="16">
        <v>8</v>
      </c>
      <c r="K351" s="16">
        <v>9</v>
      </c>
      <c r="L351" s="16">
        <v>10</v>
      </c>
      <c r="M351" s="16">
        <v>11</v>
      </c>
      <c r="N351" s="16">
        <v>12</v>
      </c>
      <c r="O351" s="16">
        <v>13</v>
      </c>
      <c r="P351" s="16">
        <v>14</v>
      </c>
      <c r="Q351" s="239" t="s">
        <v>3</v>
      </c>
      <c r="R351" s="239" t="s">
        <v>4</v>
      </c>
      <c r="S351" s="239" t="s">
        <v>5</v>
      </c>
    </row>
    <row r="352" spans="1:19">
      <c r="A352" s="242" t="s">
        <v>6</v>
      </c>
      <c r="B352" s="242"/>
      <c r="C352" s="16">
        <v>169</v>
      </c>
      <c r="D352" s="16">
        <v>170</v>
      </c>
      <c r="E352" s="16">
        <v>171</v>
      </c>
      <c r="F352" s="16">
        <v>172</v>
      </c>
      <c r="G352" s="16">
        <v>173</v>
      </c>
      <c r="H352" s="16">
        <v>174</v>
      </c>
      <c r="I352" s="16">
        <v>175</v>
      </c>
      <c r="J352" s="16">
        <v>176</v>
      </c>
      <c r="K352" s="16">
        <v>177</v>
      </c>
      <c r="L352" s="16">
        <v>178</v>
      </c>
      <c r="M352" s="16">
        <v>179</v>
      </c>
      <c r="N352" s="16">
        <v>180</v>
      </c>
      <c r="O352" s="16">
        <v>181</v>
      </c>
      <c r="P352" s="16">
        <v>182</v>
      </c>
      <c r="Q352" s="240"/>
      <c r="R352" s="240"/>
      <c r="S352" s="240"/>
    </row>
    <row r="353" spans="1:19" ht="31.5">
      <c r="A353" s="243" t="s">
        <v>18</v>
      </c>
      <c r="B353" s="244"/>
      <c r="C353" s="118" t="s">
        <v>360</v>
      </c>
      <c r="D353" s="118" t="s">
        <v>361</v>
      </c>
      <c r="E353" s="118" t="s">
        <v>362</v>
      </c>
      <c r="F353" s="118" t="s">
        <v>363</v>
      </c>
      <c r="G353" s="118" t="s">
        <v>364</v>
      </c>
      <c r="H353" s="118" t="s">
        <v>365</v>
      </c>
      <c r="I353" s="118" t="s">
        <v>366</v>
      </c>
      <c r="J353" s="118" t="s">
        <v>621</v>
      </c>
      <c r="K353" s="118" t="s">
        <v>367</v>
      </c>
      <c r="L353" s="118" t="s">
        <v>368</v>
      </c>
      <c r="M353" s="118" t="s">
        <v>369</v>
      </c>
      <c r="N353" s="118" t="s">
        <v>370</v>
      </c>
      <c r="O353" s="118" t="s">
        <v>371</v>
      </c>
      <c r="P353" s="118" t="s">
        <v>372</v>
      </c>
      <c r="Q353" s="240"/>
      <c r="R353" s="240"/>
      <c r="S353" s="240"/>
    </row>
    <row r="354" spans="1:19" ht="27.75" hidden="1" customHeight="1">
      <c r="A354" s="245" t="s">
        <v>20</v>
      </c>
      <c r="B354" s="246"/>
      <c r="C354" s="33">
        <v>522</v>
      </c>
      <c r="D354" s="33">
        <v>503</v>
      </c>
      <c r="E354" s="33">
        <v>707</v>
      </c>
      <c r="F354" s="33">
        <v>512</v>
      </c>
      <c r="G354" s="33">
        <v>484</v>
      </c>
      <c r="H354" s="33">
        <v>428</v>
      </c>
      <c r="I354" s="33">
        <v>426</v>
      </c>
      <c r="J354" s="33">
        <v>488</v>
      </c>
      <c r="K354" s="33">
        <v>471</v>
      </c>
      <c r="L354" s="33">
        <v>476</v>
      </c>
      <c r="M354" s="33">
        <v>409</v>
      </c>
      <c r="N354" s="33">
        <v>599</v>
      </c>
      <c r="O354" s="33">
        <v>668</v>
      </c>
      <c r="P354" s="33">
        <v>502</v>
      </c>
      <c r="Q354" s="240"/>
      <c r="R354" s="240"/>
      <c r="S354" s="240"/>
    </row>
    <row r="355" spans="1:19">
      <c r="A355" s="19" t="s">
        <v>7</v>
      </c>
      <c r="B355" s="16" t="s">
        <v>8</v>
      </c>
      <c r="C355" s="20" t="s">
        <v>9</v>
      </c>
      <c r="D355" s="20" t="s">
        <v>9</v>
      </c>
      <c r="E355" s="20" t="s">
        <v>9</v>
      </c>
      <c r="F355" s="20" t="s">
        <v>9</v>
      </c>
      <c r="G355" s="20" t="s">
        <v>9</v>
      </c>
      <c r="H355" s="20" t="s">
        <v>9</v>
      </c>
      <c r="I355" s="20" t="s">
        <v>9</v>
      </c>
      <c r="J355" s="20" t="s">
        <v>9</v>
      </c>
      <c r="K355" s="20" t="s">
        <v>9</v>
      </c>
      <c r="L355" s="20" t="s">
        <v>9</v>
      </c>
      <c r="M355" s="20" t="s">
        <v>9</v>
      </c>
      <c r="N355" s="20" t="s">
        <v>9</v>
      </c>
      <c r="O355" s="20" t="s">
        <v>9</v>
      </c>
      <c r="P355" s="20" t="s">
        <v>9</v>
      </c>
      <c r="Q355" s="241"/>
      <c r="R355" s="241"/>
      <c r="S355" s="241"/>
    </row>
    <row r="356" spans="1:19" s="180" customFormat="1">
      <c r="A356" s="172">
        <v>1</v>
      </c>
      <c r="B356" s="173" t="s">
        <v>85</v>
      </c>
      <c r="C356" s="178">
        <v>194</v>
      </c>
      <c r="D356" s="178">
        <v>189</v>
      </c>
      <c r="E356" s="178">
        <v>28</v>
      </c>
      <c r="F356" s="178">
        <v>7</v>
      </c>
      <c r="G356" s="178">
        <v>11</v>
      </c>
      <c r="H356" s="178">
        <v>26</v>
      </c>
      <c r="I356" s="178">
        <v>76</v>
      </c>
      <c r="J356" s="178">
        <v>21</v>
      </c>
      <c r="K356" s="178">
        <v>39</v>
      </c>
      <c r="L356" s="178">
        <v>77</v>
      </c>
      <c r="M356" s="178">
        <v>178</v>
      </c>
      <c r="N356" s="178">
        <v>21</v>
      </c>
      <c r="O356" s="178">
        <v>13</v>
      </c>
      <c r="P356" s="178">
        <v>248</v>
      </c>
      <c r="Q356" s="176">
        <f>SUM(C356:P356)</f>
        <v>1128</v>
      </c>
      <c r="R356" s="176">
        <f t="shared" ref="R356:R364" si="58">S327</f>
        <v>26347</v>
      </c>
      <c r="S356" s="176">
        <f>Q356+R356</f>
        <v>27475</v>
      </c>
    </row>
    <row r="357" spans="1:19" s="180" customFormat="1">
      <c r="A357" s="172">
        <v>2</v>
      </c>
      <c r="B357" s="173" t="s">
        <v>156</v>
      </c>
      <c r="C357" s="178">
        <v>304</v>
      </c>
      <c r="D357" s="178">
        <v>101</v>
      </c>
      <c r="E357" s="178">
        <v>107</v>
      </c>
      <c r="F357" s="178">
        <v>371</v>
      </c>
      <c r="G357" s="178">
        <v>458</v>
      </c>
      <c r="H357" s="178">
        <v>287</v>
      </c>
      <c r="I357" s="178">
        <v>291</v>
      </c>
      <c r="J357" s="178">
        <v>380</v>
      </c>
      <c r="K357" s="178">
        <v>403</v>
      </c>
      <c r="L357" s="178">
        <v>356</v>
      </c>
      <c r="M357" s="178">
        <v>84</v>
      </c>
      <c r="N357" s="178">
        <v>324</v>
      </c>
      <c r="O357" s="178">
        <v>591</v>
      </c>
      <c r="P357" s="178">
        <v>241</v>
      </c>
      <c r="Q357" s="176">
        <f t="shared" ref="Q357:Q365" si="59">SUM(C357:P357)</f>
        <v>4298</v>
      </c>
      <c r="R357" s="176">
        <f t="shared" si="58"/>
        <v>55014</v>
      </c>
      <c r="S357" s="176">
        <f t="shared" ref="S357:S366" si="60">Q357+R357</f>
        <v>59312</v>
      </c>
    </row>
    <row r="358" spans="1:19" s="180" customFormat="1">
      <c r="A358" s="172">
        <v>3</v>
      </c>
      <c r="B358" s="173" t="s">
        <v>157</v>
      </c>
      <c r="C358" s="178">
        <v>2</v>
      </c>
      <c r="D358" s="178">
        <v>1</v>
      </c>
      <c r="E358" s="178">
        <v>4</v>
      </c>
      <c r="F358" s="178">
        <v>3</v>
      </c>
      <c r="G358" s="178">
        <v>2</v>
      </c>
      <c r="H358" s="178">
        <v>10</v>
      </c>
      <c r="I358" s="178">
        <v>22</v>
      </c>
      <c r="J358" s="178">
        <v>7</v>
      </c>
      <c r="K358" s="178">
        <v>1</v>
      </c>
      <c r="L358" s="178">
        <v>2</v>
      </c>
      <c r="M358" s="178">
        <v>3</v>
      </c>
      <c r="N358" s="178">
        <v>9</v>
      </c>
      <c r="O358" s="178">
        <v>9</v>
      </c>
      <c r="P358" s="178">
        <v>1</v>
      </c>
      <c r="Q358" s="176">
        <f t="shared" si="59"/>
        <v>76</v>
      </c>
      <c r="R358" s="176">
        <f t="shared" si="58"/>
        <v>1087</v>
      </c>
      <c r="S358" s="176">
        <f t="shared" si="60"/>
        <v>1163</v>
      </c>
    </row>
    <row r="359" spans="1:19" s="180" customFormat="1">
      <c r="A359" s="172">
        <v>4</v>
      </c>
      <c r="B359" s="173" t="s">
        <v>158</v>
      </c>
      <c r="C359" s="178">
        <v>5</v>
      </c>
      <c r="D359" s="178">
        <v>207</v>
      </c>
      <c r="E359" s="178">
        <v>553</v>
      </c>
      <c r="F359" s="178">
        <v>124</v>
      </c>
      <c r="G359" s="178">
        <v>6</v>
      </c>
      <c r="H359" s="178">
        <v>101</v>
      </c>
      <c r="I359" s="178">
        <v>25</v>
      </c>
      <c r="J359" s="178">
        <v>14</v>
      </c>
      <c r="K359" s="178">
        <v>9</v>
      </c>
      <c r="L359" s="178">
        <v>32</v>
      </c>
      <c r="M359" s="178">
        <v>123</v>
      </c>
      <c r="N359" s="178">
        <v>229</v>
      </c>
      <c r="O359" s="178">
        <v>34</v>
      </c>
      <c r="P359" s="178">
        <v>3</v>
      </c>
      <c r="Q359" s="176">
        <f t="shared" si="59"/>
        <v>1465</v>
      </c>
      <c r="R359" s="176">
        <f t="shared" si="58"/>
        <v>15327</v>
      </c>
      <c r="S359" s="176">
        <f t="shared" si="60"/>
        <v>16792</v>
      </c>
    </row>
    <row r="360" spans="1:19" s="180" customFormat="1">
      <c r="A360" s="172">
        <v>5</v>
      </c>
      <c r="B360" s="173" t="s">
        <v>159</v>
      </c>
      <c r="C360" s="178">
        <v>1</v>
      </c>
      <c r="D360" s="178">
        <v>0</v>
      </c>
      <c r="E360" s="178">
        <v>0</v>
      </c>
      <c r="F360" s="178">
        <v>1</v>
      </c>
      <c r="G360" s="178">
        <v>1</v>
      </c>
      <c r="H360" s="178">
        <v>1</v>
      </c>
      <c r="I360" s="178">
        <v>0</v>
      </c>
      <c r="J360" s="178">
        <v>0</v>
      </c>
      <c r="K360" s="178">
        <v>1</v>
      </c>
      <c r="L360" s="178">
        <v>0</v>
      </c>
      <c r="M360" s="178">
        <v>2</v>
      </c>
      <c r="N360" s="178">
        <v>2</v>
      </c>
      <c r="O360" s="178">
        <v>1</v>
      </c>
      <c r="P360" s="178">
        <v>0</v>
      </c>
      <c r="Q360" s="176">
        <f t="shared" si="59"/>
        <v>10</v>
      </c>
      <c r="R360" s="176">
        <f t="shared" si="58"/>
        <v>319</v>
      </c>
      <c r="S360" s="176">
        <f t="shared" si="60"/>
        <v>329</v>
      </c>
    </row>
    <row r="361" spans="1:19" s="180" customFormat="1">
      <c r="A361" s="172">
        <v>6</v>
      </c>
      <c r="B361" s="173" t="s">
        <v>160</v>
      </c>
      <c r="C361" s="178">
        <v>13</v>
      </c>
      <c r="D361" s="178">
        <v>1</v>
      </c>
      <c r="E361" s="178">
        <v>10</v>
      </c>
      <c r="F361" s="178">
        <v>3</v>
      </c>
      <c r="G361" s="178">
        <v>2</v>
      </c>
      <c r="H361" s="178">
        <v>1</v>
      </c>
      <c r="I361" s="178">
        <v>10</v>
      </c>
      <c r="J361" s="178">
        <v>54</v>
      </c>
      <c r="K361" s="178">
        <v>8</v>
      </c>
      <c r="L361" s="178">
        <v>3</v>
      </c>
      <c r="M361" s="178">
        <v>10</v>
      </c>
      <c r="N361" s="178">
        <v>10</v>
      </c>
      <c r="O361" s="178">
        <v>13</v>
      </c>
      <c r="P361" s="178">
        <v>4</v>
      </c>
      <c r="Q361" s="176">
        <f t="shared" si="59"/>
        <v>142</v>
      </c>
      <c r="R361" s="176">
        <f t="shared" si="58"/>
        <v>396</v>
      </c>
      <c r="S361" s="176">
        <f t="shared" si="60"/>
        <v>538</v>
      </c>
    </row>
    <row r="362" spans="1:19" s="180" customFormat="1">
      <c r="A362" s="172">
        <v>7</v>
      </c>
      <c r="B362" s="173" t="s">
        <v>86</v>
      </c>
      <c r="C362" s="178">
        <v>2</v>
      </c>
      <c r="D362" s="178">
        <v>0</v>
      </c>
      <c r="E362" s="178">
        <v>1</v>
      </c>
      <c r="F362" s="178">
        <v>1</v>
      </c>
      <c r="G362" s="178">
        <v>0</v>
      </c>
      <c r="H362" s="178">
        <v>0</v>
      </c>
      <c r="I362" s="178">
        <v>0</v>
      </c>
      <c r="J362" s="178">
        <v>7</v>
      </c>
      <c r="K362" s="178">
        <v>4</v>
      </c>
      <c r="L362" s="178">
        <v>1</v>
      </c>
      <c r="M362" s="178">
        <v>3</v>
      </c>
      <c r="N362" s="178">
        <v>0</v>
      </c>
      <c r="O362" s="178">
        <v>0</v>
      </c>
      <c r="P362" s="178">
        <v>0</v>
      </c>
      <c r="Q362" s="176">
        <f t="shared" si="59"/>
        <v>19</v>
      </c>
      <c r="R362" s="176">
        <f t="shared" si="58"/>
        <v>371</v>
      </c>
      <c r="S362" s="176">
        <f t="shared" si="60"/>
        <v>390</v>
      </c>
    </row>
    <row r="363" spans="1:19" s="180" customFormat="1">
      <c r="A363" s="172">
        <v>8</v>
      </c>
      <c r="B363" s="173" t="s">
        <v>161</v>
      </c>
      <c r="C363" s="178">
        <v>0</v>
      </c>
      <c r="D363" s="178">
        <v>1</v>
      </c>
      <c r="E363" s="178">
        <v>1</v>
      </c>
      <c r="F363" s="178">
        <v>1</v>
      </c>
      <c r="G363" s="178">
        <v>1</v>
      </c>
      <c r="H363" s="178">
        <v>1</v>
      </c>
      <c r="I363" s="178">
        <v>2</v>
      </c>
      <c r="J363" s="178">
        <v>3</v>
      </c>
      <c r="K363" s="178">
        <v>2</v>
      </c>
      <c r="L363" s="178">
        <v>2</v>
      </c>
      <c r="M363" s="178">
        <v>4</v>
      </c>
      <c r="N363" s="178">
        <v>2</v>
      </c>
      <c r="O363" s="178">
        <v>4</v>
      </c>
      <c r="P363" s="178">
        <v>1</v>
      </c>
      <c r="Q363" s="176">
        <f t="shared" si="59"/>
        <v>25</v>
      </c>
      <c r="R363" s="176">
        <f t="shared" si="58"/>
        <v>311</v>
      </c>
      <c r="S363" s="176">
        <f t="shared" si="60"/>
        <v>336</v>
      </c>
    </row>
    <row r="364" spans="1:19" s="180" customFormat="1">
      <c r="A364" s="172">
        <v>9</v>
      </c>
      <c r="B364" s="174" t="s">
        <v>10</v>
      </c>
      <c r="C364" s="178">
        <v>1</v>
      </c>
      <c r="D364" s="178">
        <v>3</v>
      </c>
      <c r="E364" s="178">
        <v>3</v>
      </c>
      <c r="F364" s="178">
        <v>1</v>
      </c>
      <c r="G364" s="178">
        <v>3</v>
      </c>
      <c r="H364" s="178">
        <v>1</v>
      </c>
      <c r="I364" s="178">
        <v>0</v>
      </c>
      <c r="J364" s="178">
        <v>2</v>
      </c>
      <c r="K364" s="178">
        <v>4</v>
      </c>
      <c r="L364" s="178">
        <v>3</v>
      </c>
      <c r="M364" s="178">
        <v>2</v>
      </c>
      <c r="N364" s="178">
        <v>2</v>
      </c>
      <c r="O364" s="178">
        <v>3</v>
      </c>
      <c r="P364" s="178">
        <v>4</v>
      </c>
      <c r="Q364" s="176">
        <f t="shared" si="59"/>
        <v>32</v>
      </c>
      <c r="R364" s="176">
        <f t="shared" si="58"/>
        <v>497</v>
      </c>
      <c r="S364" s="176">
        <f t="shared" si="60"/>
        <v>529</v>
      </c>
    </row>
    <row r="365" spans="1:19">
      <c r="A365" s="251" t="s">
        <v>11</v>
      </c>
      <c r="B365" s="252"/>
      <c r="C365" s="64">
        <v>0</v>
      </c>
      <c r="D365" s="64">
        <v>0</v>
      </c>
      <c r="E365" s="64">
        <v>0</v>
      </c>
      <c r="F365" s="64">
        <v>0</v>
      </c>
      <c r="G365" s="64">
        <v>0</v>
      </c>
      <c r="H365" s="64">
        <v>0</v>
      </c>
      <c r="I365" s="64">
        <v>0</v>
      </c>
      <c r="J365" s="64">
        <v>0</v>
      </c>
      <c r="K365" s="64">
        <v>0</v>
      </c>
      <c r="L365" s="64">
        <v>0</v>
      </c>
      <c r="M365" s="64">
        <v>0</v>
      </c>
      <c r="N365" s="64">
        <v>0</v>
      </c>
      <c r="O365" s="64">
        <v>0</v>
      </c>
      <c r="P365" s="64">
        <v>0</v>
      </c>
      <c r="Q365" s="63">
        <f t="shared" si="59"/>
        <v>0</v>
      </c>
      <c r="R365" s="63">
        <f t="shared" ref="R365:R366" si="61">S336</f>
        <v>0</v>
      </c>
      <c r="S365" s="63">
        <f t="shared" si="60"/>
        <v>0</v>
      </c>
    </row>
    <row r="366" spans="1:19">
      <c r="A366" s="242" t="s">
        <v>12</v>
      </c>
      <c r="B366" s="242"/>
      <c r="C366" s="63">
        <f t="shared" ref="C366:Q366" si="62">SUM(C356:C365)</f>
        <v>522</v>
      </c>
      <c r="D366" s="63">
        <f t="shared" si="62"/>
        <v>503</v>
      </c>
      <c r="E366" s="63">
        <f t="shared" si="62"/>
        <v>707</v>
      </c>
      <c r="F366" s="63">
        <f t="shared" si="62"/>
        <v>512</v>
      </c>
      <c r="G366" s="63">
        <f t="shared" si="62"/>
        <v>484</v>
      </c>
      <c r="H366" s="63">
        <f t="shared" si="62"/>
        <v>428</v>
      </c>
      <c r="I366" s="63">
        <f t="shared" si="62"/>
        <v>426</v>
      </c>
      <c r="J366" s="63">
        <f t="shared" si="62"/>
        <v>488</v>
      </c>
      <c r="K366" s="63">
        <f t="shared" si="62"/>
        <v>471</v>
      </c>
      <c r="L366" s="63">
        <f t="shared" si="62"/>
        <v>476</v>
      </c>
      <c r="M366" s="63">
        <f t="shared" si="62"/>
        <v>409</v>
      </c>
      <c r="N366" s="63">
        <f t="shared" si="62"/>
        <v>599</v>
      </c>
      <c r="O366" s="63">
        <f t="shared" si="62"/>
        <v>668</v>
      </c>
      <c r="P366" s="63">
        <f t="shared" si="62"/>
        <v>502</v>
      </c>
      <c r="Q366" s="63">
        <f t="shared" si="62"/>
        <v>7195</v>
      </c>
      <c r="R366" s="63">
        <f t="shared" si="61"/>
        <v>99669</v>
      </c>
      <c r="S366" s="63">
        <f t="shared" si="60"/>
        <v>106864</v>
      </c>
    </row>
    <row r="367" spans="1:19" ht="9.75" customHeight="1">
      <c r="A367" s="5"/>
      <c r="B367" s="5"/>
      <c r="C367" s="6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8"/>
      <c r="R367" s="7"/>
      <c r="S367" s="7"/>
    </row>
    <row r="368" spans="1:19" ht="22.5">
      <c r="A368" s="17"/>
      <c r="B368" s="17"/>
      <c r="C368" s="10" t="s">
        <v>13</v>
      </c>
      <c r="D368" s="10" t="s">
        <v>13</v>
      </c>
      <c r="E368" s="10" t="s">
        <v>13</v>
      </c>
      <c r="F368" s="10" t="s">
        <v>13</v>
      </c>
      <c r="G368" s="10" t="s">
        <v>13</v>
      </c>
      <c r="H368" s="10" t="s">
        <v>13</v>
      </c>
      <c r="I368" s="10" t="s">
        <v>13</v>
      </c>
      <c r="J368" s="10" t="s">
        <v>13</v>
      </c>
      <c r="K368" s="10" t="s">
        <v>13</v>
      </c>
      <c r="L368" s="10" t="s">
        <v>13</v>
      </c>
      <c r="M368" s="10" t="s">
        <v>13</v>
      </c>
      <c r="N368" s="10" t="s">
        <v>13</v>
      </c>
      <c r="O368" s="10" t="s">
        <v>13</v>
      </c>
      <c r="P368" s="10" t="s">
        <v>13</v>
      </c>
      <c r="Q368" s="10" t="s">
        <v>13</v>
      </c>
      <c r="R368" s="10" t="s">
        <v>13</v>
      </c>
      <c r="S368" s="10" t="s">
        <v>13</v>
      </c>
    </row>
    <row r="369" spans="1:19" ht="6" customHeight="1">
      <c r="A369" s="17"/>
      <c r="B369" s="17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</row>
    <row r="370" spans="1:19" ht="22.5">
      <c r="A370" s="17"/>
      <c r="B370" s="17"/>
      <c r="C370" s="10" t="s">
        <v>14</v>
      </c>
      <c r="D370" s="10" t="s">
        <v>14</v>
      </c>
      <c r="E370" s="10" t="s">
        <v>14</v>
      </c>
      <c r="F370" s="10" t="s">
        <v>14</v>
      </c>
      <c r="G370" s="10" t="s">
        <v>14</v>
      </c>
      <c r="H370" s="10" t="s">
        <v>14</v>
      </c>
      <c r="I370" s="10" t="s">
        <v>14</v>
      </c>
      <c r="J370" s="10" t="s">
        <v>14</v>
      </c>
      <c r="K370" s="10" t="s">
        <v>14</v>
      </c>
      <c r="L370" s="10" t="s">
        <v>14</v>
      </c>
      <c r="M370" s="10" t="s">
        <v>14</v>
      </c>
      <c r="N370" s="10" t="s">
        <v>14</v>
      </c>
      <c r="O370" s="10" t="s">
        <v>14</v>
      </c>
      <c r="P370" s="10" t="s">
        <v>14</v>
      </c>
      <c r="Q370" s="10" t="s">
        <v>14</v>
      </c>
      <c r="R370" s="10" t="s">
        <v>14</v>
      </c>
      <c r="S370" s="10" t="s">
        <v>14</v>
      </c>
    </row>
    <row r="371" spans="1:19" ht="10.5" customHeight="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</row>
    <row r="372" spans="1:19">
      <c r="A372" s="237" t="s">
        <v>15</v>
      </c>
      <c r="B372" s="237"/>
      <c r="C372" s="238" t="s">
        <v>16</v>
      </c>
      <c r="D372" s="238"/>
      <c r="E372" s="238"/>
      <c r="F372" s="238"/>
      <c r="G372" s="238"/>
      <c r="H372" s="238"/>
      <c r="I372" s="238"/>
      <c r="J372" s="238"/>
      <c r="K372" s="238"/>
      <c r="L372" s="238"/>
      <c r="M372" s="238"/>
      <c r="N372" s="238"/>
      <c r="O372" s="238"/>
      <c r="P372" s="238"/>
      <c r="Q372" s="238"/>
      <c r="R372" s="17"/>
      <c r="S372" s="17"/>
    </row>
    <row r="373" spans="1:19">
      <c r="A373" s="17"/>
      <c r="B373" s="17"/>
      <c r="C373" s="238" t="s">
        <v>17</v>
      </c>
      <c r="D373" s="238"/>
      <c r="E373" s="238"/>
      <c r="F373" s="238"/>
      <c r="G373" s="238"/>
      <c r="H373" s="238"/>
      <c r="I373" s="238"/>
      <c r="J373" s="238"/>
      <c r="K373" s="238"/>
      <c r="L373" s="238"/>
      <c r="M373" s="238"/>
      <c r="N373" s="238"/>
      <c r="O373" s="238"/>
      <c r="P373" s="238"/>
      <c r="Q373" s="238"/>
      <c r="R373" s="17"/>
      <c r="S373" s="17"/>
    </row>
    <row r="374" spans="1:19" ht="15" customHeight="1">
      <c r="A374" s="17"/>
      <c r="B374" s="17"/>
      <c r="C374" s="228" t="s">
        <v>45</v>
      </c>
      <c r="D374" s="228"/>
      <c r="E374" s="228"/>
      <c r="F374" s="228"/>
      <c r="G374" s="228"/>
      <c r="H374" s="228"/>
      <c r="I374" s="228"/>
      <c r="J374" s="228"/>
      <c r="K374" s="228"/>
      <c r="L374" s="228"/>
      <c r="M374" s="228"/>
      <c r="N374" s="228"/>
      <c r="O374" s="228"/>
      <c r="P374" s="228"/>
      <c r="Q374" s="228"/>
      <c r="R374" s="17"/>
      <c r="S374" s="17"/>
    </row>
    <row r="375" spans="1:19">
      <c r="A375" s="23"/>
      <c r="B375" s="23"/>
      <c r="C375" s="228" t="s">
        <v>46</v>
      </c>
      <c r="D375" s="228"/>
      <c r="E375" s="228"/>
      <c r="F375" s="228"/>
      <c r="G375" s="228"/>
      <c r="H375" s="228"/>
      <c r="I375" s="228"/>
      <c r="J375" s="228"/>
      <c r="K375" s="228"/>
      <c r="L375" s="228"/>
      <c r="M375" s="228"/>
      <c r="N375" s="228"/>
      <c r="O375" s="228"/>
      <c r="P375" s="228"/>
      <c r="Q375" s="228"/>
      <c r="R375" s="23"/>
      <c r="S375" s="23"/>
    </row>
    <row r="376" spans="1:19" ht="15" customHeight="1">
      <c r="A376" s="60"/>
      <c r="B376" s="61" t="s">
        <v>139</v>
      </c>
      <c r="C376" s="227" t="s">
        <v>138</v>
      </c>
      <c r="D376" s="227"/>
      <c r="E376" s="227"/>
      <c r="F376" s="227"/>
      <c r="G376" s="227"/>
      <c r="H376" s="227"/>
      <c r="I376" s="227"/>
      <c r="J376" s="227"/>
      <c r="K376" s="227"/>
      <c r="L376" s="227"/>
      <c r="M376" s="227"/>
      <c r="N376" s="227"/>
      <c r="O376" s="227"/>
      <c r="P376" s="227"/>
      <c r="Q376" s="227"/>
      <c r="R376" s="60"/>
      <c r="S376" s="60"/>
    </row>
    <row r="377" spans="1:19">
      <c r="A377" s="23"/>
      <c r="B377" s="23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3"/>
      <c r="S377" s="23"/>
    </row>
    <row r="378" spans="1:19" ht="26.25">
      <c r="A378" s="229" t="s">
        <v>0</v>
      </c>
      <c r="B378" s="229"/>
      <c r="C378" s="229"/>
      <c r="D378" s="229"/>
      <c r="E378" s="229"/>
      <c r="F378" s="229"/>
      <c r="G378" s="229"/>
      <c r="H378" s="229"/>
      <c r="I378" s="229"/>
      <c r="J378" s="229"/>
      <c r="K378" s="229"/>
      <c r="L378" s="229"/>
      <c r="M378" s="229"/>
      <c r="N378" s="229"/>
      <c r="O378" s="229"/>
      <c r="P378" s="229"/>
      <c r="Q378" s="229"/>
      <c r="R378" s="229"/>
      <c r="S378" s="229"/>
    </row>
    <row r="379" spans="1:19" ht="19.5" customHeight="1">
      <c r="A379" s="230" t="s">
        <v>83</v>
      </c>
      <c r="B379" s="230"/>
      <c r="C379" s="230"/>
      <c r="D379" s="230"/>
      <c r="E379" s="230"/>
      <c r="F379" s="230"/>
      <c r="G379" s="230"/>
      <c r="H379" s="230"/>
      <c r="I379" s="1"/>
      <c r="J379" s="1"/>
      <c r="K379" s="231" t="s">
        <v>33</v>
      </c>
      <c r="L379" s="231"/>
      <c r="M379" s="231"/>
      <c r="N379" s="231"/>
      <c r="O379" s="1"/>
      <c r="P379" s="232" t="s">
        <v>1</v>
      </c>
      <c r="Q379" s="232"/>
      <c r="R379" s="233">
        <v>44630</v>
      </c>
      <c r="S379" s="233"/>
    </row>
    <row r="380" spans="1:19">
      <c r="A380" s="242" t="s">
        <v>2</v>
      </c>
      <c r="B380" s="242"/>
      <c r="C380" s="16">
        <v>1</v>
      </c>
      <c r="D380" s="16">
        <v>2</v>
      </c>
      <c r="E380" s="16">
        <v>3</v>
      </c>
      <c r="F380" s="16">
        <v>4</v>
      </c>
      <c r="G380" s="16">
        <v>5</v>
      </c>
      <c r="H380" s="16">
        <v>6</v>
      </c>
      <c r="I380" s="16">
        <v>7</v>
      </c>
      <c r="J380" s="16">
        <v>8</v>
      </c>
      <c r="K380" s="16">
        <v>9</v>
      </c>
      <c r="L380" s="16">
        <v>10</v>
      </c>
      <c r="M380" s="16">
        <v>11</v>
      </c>
      <c r="N380" s="16">
        <v>12</v>
      </c>
      <c r="O380" s="16">
        <v>13</v>
      </c>
      <c r="P380" s="16">
        <v>14</v>
      </c>
      <c r="Q380" s="239" t="s">
        <v>3</v>
      </c>
      <c r="R380" s="239" t="s">
        <v>4</v>
      </c>
      <c r="S380" s="239" t="s">
        <v>5</v>
      </c>
    </row>
    <row r="381" spans="1:19">
      <c r="A381" s="242" t="s">
        <v>6</v>
      </c>
      <c r="B381" s="242"/>
      <c r="C381" s="16">
        <v>183</v>
      </c>
      <c r="D381" s="16">
        <v>184</v>
      </c>
      <c r="E381" s="16">
        <v>185</v>
      </c>
      <c r="F381" s="16">
        <v>186</v>
      </c>
      <c r="G381" s="16">
        <v>187</v>
      </c>
      <c r="H381" s="16">
        <v>188</v>
      </c>
      <c r="I381" s="16">
        <v>189</v>
      </c>
      <c r="J381" s="16">
        <v>190</v>
      </c>
      <c r="K381" s="16">
        <v>191</v>
      </c>
      <c r="L381" s="16">
        <v>192</v>
      </c>
      <c r="M381" s="16">
        <v>193</v>
      </c>
      <c r="N381" s="16">
        <v>194</v>
      </c>
      <c r="O381" s="16">
        <v>195</v>
      </c>
      <c r="P381" s="16">
        <v>196</v>
      </c>
      <c r="Q381" s="240"/>
      <c r="R381" s="240"/>
      <c r="S381" s="240"/>
    </row>
    <row r="382" spans="1:19" ht="31.5">
      <c r="A382" s="243" t="s">
        <v>18</v>
      </c>
      <c r="B382" s="244"/>
      <c r="C382" s="118" t="s">
        <v>373</v>
      </c>
      <c r="D382" s="118" t="s">
        <v>374</v>
      </c>
      <c r="E382" s="118" t="s">
        <v>622</v>
      </c>
      <c r="F382" s="118" t="s">
        <v>375</v>
      </c>
      <c r="G382" s="118" t="s">
        <v>376</v>
      </c>
      <c r="H382" s="118" t="s">
        <v>377</v>
      </c>
      <c r="I382" s="118" t="s">
        <v>378</v>
      </c>
      <c r="J382" s="118" t="s">
        <v>379</v>
      </c>
      <c r="K382" s="118" t="s">
        <v>380</v>
      </c>
      <c r="L382" s="118" t="s">
        <v>381</v>
      </c>
      <c r="M382" s="118" t="s">
        <v>382</v>
      </c>
      <c r="N382" s="118" t="s">
        <v>383</v>
      </c>
      <c r="O382" s="118" t="s">
        <v>384</v>
      </c>
      <c r="P382" s="118" t="s">
        <v>385</v>
      </c>
      <c r="Q382" s="240"/>
      <c r="R382" s="240"/>
      <c r="S382" s="240"/>
    </row>
    <row r="383" spans="1:19" ht="30" hidden="1" customHeight="1">
      <c r="A383" s="245" t="s">
        <v>20</v>
      </c>
      <c r="B383" s="246"/>
      <c r="C383" s="33">
        <v>404</v>
      </c>
      <c r="D383" s="33">
        <v>640</v>
      </c>
      <c r="E383" s="33">
        <v>629</v>
      </c>
      <c r="F383" s="33">
        <v>528</v>
      </c>
      <c r="G383" s="33">
        <v>595</v>
      </c>
      <c r="H383" s="33">
        <v>592</v>
      </c>
      <c r="I383" s="33">
        <v>591</v>
      </c>
      <c r="J383" s="33">
        <v>356</v>
      </c>
      <c r="K383" s="33">
        <v>674</v>
      </c>
      <c r="L383" s="33">
        <v>633</v>
      </c>
      <c r="M383" s="33">
        <v>664</v>
      </c>
      <c r="N383" s="33">
        <v>689</v>
      </c>
      <c r="O383" s="33">
        <v>570</v>
      </c>
      <c r="P383" s="33">
        <v>909</v>
      </c>
      <c r="Q383" s="240"/>
      <c r="R383" s="240"/>
      <c r="S383" s="240"/>
    </row>
    <row r="384" spans="1:19">
      <c r="A384" s="19" t="s">
        <v>7</v>
      </c>
      <c r="B384" s="16" t="s">
        <v>8</v>
      </c>
      <c r="C384" s="20" t="s">
        <v>9</v>
      </c>
      <c r="D384" s="20" t="s">
        <v>9</v>
      </c>
      <c r="E384" s="20" t="s">
        <v>9</v>
      </c>
      <c r="F384" s="20" t="s">
        <v>9</v>
      </c>
      <c r="G384" s="20" t="s">
        <v>9</v>
      </c>
      <c r="H384" s="20" t="s">
        <v>9</v>
      </c>
      <c r="I384" s="20" t="s">
        <v>9</v>
      </c>
      <c r="J384" s="20" t="s">
        <v>9</v>
      </c>
      <c r="K384" s="20" t="s">
        <v>9</v>
      </c>
      <c r="L384" s="20" t="s">
        <v>9</v>
      </c>
      <c r="M384" s="20" t="s">
        <v>9</v>
      </c>
      <c r="N384" s="20" t="s">
        <v>9</v>
      </c>
      <c r="O384" s="20" t="s">
        <v>9</v>
      </c>
      <c r="P384" s="20" t="s">
        <v>9</v>
      </c>
      <c r="Q384" s="241"/>
      <c r="R384" s="241"/>
      <c r="S384" s="241"/>
    </row>
    <row r="385" spans="1:19" s="180" customFormat="1">
      <c r="A385" s="172">
        <v>1</v>
      </c>
      <c r="B385" s="173" t="s">
        <v>85</v>
      </c>
      <c r="C385" s="178">
        <v>27</v>
      </c>
      <c r="D385" s="178">
        <v>68</v>
      </c>
      <c r="E385" s="178">
        <v>115</v>
      </c>
      <c r="F385" s="178">
        <v>22</v>
      </c>
      <c r="G385" s="178">
        <v>102</v>
      </c>
      <c r="H385" s="178">
        <v>215</v>
      </c>
      <c r="I385" s="178">
        <v>194</v>
      </c>
      <c r="J385" s="178">
        <v>166</v>
      </c>
      <c r="K385" s="178">
        <v>465</v>
      </c>
      <c r="L385" s="178">
        <v>543</v>
      </c>
      <c r="M385" s="178">
        <v>484</v>
      </c>
      <c r="N385" s="178">
        <v>543</v>
      </c>
      <c r="O385" s="178">
        <v>17</v>
      </c>
      <c r="P385" s="178">
        <v>190</v>
      </c>
      <c r="Q385" s="181">
        <f>SUM(C385:P385)</f>
        <v>3151</v>
      </c>
      <c r="R385" s="181">
        <f t="shared" ref="R385:R393" si="63">S356</f>
        <v>27475</v>
      </c>
      <c r="S385" s="181">
        <f>Q385+R385</f>
        <v>30626</v>
      </c>
    </row>
    <row r="386" spans="1:19" s="180" customFormat="1">
      <c r="A386" s="172">
        <v>2</v>
      </c>
      <c r="B386" s="173" t="s">
        <v>156</v>
      </c>
      <c r="C386" s="178">
        <v>371</v>
      </c>
      <c r="D386" s="178">
        <v>432</v>
      </c>
      <c r="E386" s="178">
        <v>462</v>
      </c>
      <c r="F386" s="178">
        <v>406</v>
      </c>
      <c r="G386" s="178">
        <v>157</v>
      </c>
      <c r="H386" s="178">
        <v>195</v>
      </c>
      <c r="I386" s="178">
        <v>366</v>
      </c>
      <c r="J386" s="178">
        <v>170</v>
      </c>
      <c r="K386" s="178">
        <v>184</v>
      </c>
      <c r="L386" s="178">
        <v>35</v>
      </c>
      <c r="M386" s="178">
        <v>153</v>
      </c>
      <c r="N386" s="178">
        <v>116</v>
      </c>
      <c r="O386" s="178">
        <v>36</v>
      </c>
      <c r="P386" s="178">
        <v>691</v>
      </c>
      <c r="Q386" s="181">
        <f t="shared" ref="Q386:Q394" si="64">SUM(C386:P386)</f>
        <v>3774</v>
      </c>
      <c r="R386" s="181">
        <f t="shared" si="63"/>
        <v>59312</v>
      </c>
      <c r="S386" s="181">
        <f t="shared" ref="S386:S395" si="65">Q386+R386</f>
        <v>63086</v>
      </c>
    </row>
    <row r="387" spans="1:19" s="180" customFormat="1">
      <c r="A387" s="172">
        <v>3</v>
      </c>
      <c r="B387" s="173" t="s">
        <v>157</v>
      </c>
      <c r="C387" s="178">
        <v>2</v>
      </c>
      <c r="D387" s="178">
        <v>3</v>
      </c>
      <c r="E387" s="178">
        <v>6</v>
      </c>
      <c r="F387" s="178">
        <v>19</v>
      </c>
      <c r="G387" s="178">
        <v>8</v>
      </c>
      <c r="H387" s="178">
        <v>2</v>
      </c>
      <c r="I387" s="178">
        <v>6</v>
      </c>
      <c r="J387" s="178">
        <v>2</v>
      </c>
      <c r="K387" s="178">
        <v>2</v>
      </c>
      <c r="L387" s="178">
        <v>10</v>
      </c>
      <c r="M387" s="178">
        <v>2</v>
      </c>
      <c r="N387" s="178">
        <v>5</v>
      </c>
      <c r="O387" s="178">
        <v>2</v>
      </c>
      <c r="P387" s="178">
        <v>4</v>
      </c>
      <c r="Q387" s="181">
        <f t="shared" si="64"/>
        <v>73</v>
      </c>
      <c r="R387" s="181">
        <f t="shared" si="63"/>
        <v>1163</v>
      </c>
      <c r="S387" s="181">
        <f t="shared" si="65"/>
        <v>1236</v>
      </c>
    </row>
    <row r="388" spans="1:19" s="180" customFormat="1">
      <c r="A388" s="172">
        <v>4</v>
      </c>
      <c r="B388" s="173" t="s">
        <v>158</v>
      </c>
      <c r="C388" s="178">
        <v>0</v>
      </c>
      <c r="D388" s="178">
        <v>125</v>
      </c>
      <c r="E388" s="178">
        <v>41</v>
      </c>
      <c r="F388" s="178">
        <v>78</v>
      </c>
      <c r="G388" s="178">
        <v>303</v>
      </c>
      <c r="H388" s="178">
        <v>164</v>
      </c>
      <c r="I388" s="178">
        <v>12</v>
      </c>
      <c r="J388" s="178">
        <v>11</v>
      </c>
      <c r="K388" s="178">
        <v>14</v>
      </c>
      <c r="L388" s="178">
        <v>38</v>
      </c>
      <c r="M388" s="178">
        <v>12</v>
      </c>
      <c r="N388" s="178">
        <v>13</v>
      </c>
      <c r="O388" s="178">
        <v>507</v>
      </c>
      <c r="P388" s="178">
        <v>7</v>
      </c>
      <c r="Q388" s="181">
        <f t="shared" si="64"/>
        <v>1325</v>
      </c>
      <c r="R388" s="181">
        <f t="shared" si="63"/>
        <v>16792</v>
      </c>
      <c r="S388" s="181">
        <f t="shared" si="65"/>
        <v>18117</v>
      </c>
    </row>
    <row r="389" spans="1:19" s="180" customFormat="1">
      <c r="A389" s="172">
        <v>5</v>
      </c>
      <c r="B389" s="173" t="s">
        <v>159</v>
      </c>
      <c r="C389" s="178">
        <v>0</v>
      </c>
      <c r="D389" s="178">
        <v>4</v>
      </c>
      <c r="E389" s="178">
        <v>0</v>
      </c>
      <c r="F389" s="178">
        <v>1</v>
      </c>
      <c r="G389" s="178">
        <v>2</v>
      </c>
      <c r="H389" s="178">
        <v>2</v>
      </c>
      <c r="I389" s="178">
        <v>0</v>
      </c>
      <c r="J389" s="178">
        <v>1</v>
      </c>
      <c r="K389" s="178">
        <v>4</v>
      </c>
      <c r="L389" s="178">
        <v>1</v>
      </c>
      <c r="M389" s="178">
        <v>3</v>
      </c>
      <c r="N389" s="178">
        <v>0</v>
      </c>
      <c r="O389" s="178">
        <v>4</v>
      </c>
      <c r="P389" s="178">
        <v>3</v>
      </c>
      <c r="Q389" s="181">
        <f t="shared" si="64"/>
        <v>25</v>
      </c>
      <c r="R389" s="181">
        <f t="shared" si="63"/>
        <v>329</v>
      </c>
      <c r="S389" s="181">
        <f t="shared" si="65"/>
        <v>354</v>
      </c>
    </row>
    <row r="390" spans="1:19" s="180" customFormat="1">
      <c r="A390" s="172">
        <v>6</v>
      </c>
      <c r="B390" s="173" t="s">
        <v>160</v>
      </c>
      <c r="C390" s="178">
        <v>4</v>
      </c>
      <c r="D390" s="178">
        <v>1</v>
      </c>
      <c r="E390" s="178">
        <v>1</v>
      </c>
      <c r="F390" s="178">
        <v>0</v>
      </c>
      <c r="G390" s="178">
        <v>5</v>
      </c>
      <c r="H390" s="178">
        <v>5</v>
      </c>
      <c r="I390" s="178">
        <v>3</v>
      </c>
      <c r="J390" s="178">
        <v>0</v>
      </c>
      <c r="K390" s="178">
        <v>0</v>
      </c>
      <c r="L390" s="178">
        <v>1</v>
      </c>
      <c r="M390" s="178">
        <v>1</v>
      </c>
      <c r="N390" s="178">
        <v>2</v>
      </c>
      <c r="O390" s="178">
        <v>2</v>
      </c>
      <c r="P390" s="178">
        <v>1</v>
      </c>
      <c r="Q390" s="181">
        <f t="shared" si="64"/>
        <v>26</v>
      </c>
      <c r="R390" s="181">
        <f t="shared" si="63"/>
        <v>538</v>
      </c>
      <c r="S390" s="181">
        <f t="shared" si="65"/>
        <v>564</v>
      </c>
    </row>
    <row r="391" spans="1:19" s="180" customFormat="1">
      <c r="A391" s="172">
        <v>7</v>
      </c>
      <c r="B391" s="173" t="s">
        <v>86</v>
      </c>
      <c r="C391" s="178">
        <v>0</v>
      </c>
      <c r="D391" s="178">
        <v>3</v>
      </c>
      <c r="E391" s="178">
        <v>1</v>
      </c>
      <c r="F391" s="178">
        <v>1</v>
      </c>
      <c r="G391" s="178">
        <v>8</v>
      </c>
      <c r="H391" s="178">
        <v>3</v>
      </c>
      <c r="I391" s="178">
        <v>3</v>
      </c>
      <c r="J391" s="178">
        <v>2</v>
      </c>
      <c r="K391" s="178">
        <v>0</v>
      </c>
      <c r="L391" s="178">
        <v>1</v>
      </c>
      <c r="M391" s="178">
        <v>1</v>
      </c>
      <c r="N391" s="178">
        <v>1</v>
      </c>
      <c r="O391" s="178">
        <v>0</v>
      </c>
      <c r="P391" s="178">
        <v>3</v>
      </c>
      <c r="Q391" s="181">
        <f t="shared" si="64"/>
        <v>27</v>
      </c>
      <c r="R391" s="181">
        <f t="shared" si="63"/>
        <v>390</v>
      </c>
      <c r="S391" s="181">
        <f t="shared" si="65"/>
        <v>417</v>
      </c>
    </row>
    <row r="392" spans="1:19" s="180" customFormat="1">
      <c r="A392" s="172">
        <v>8</v>
      </c>
      <c r="B392" s="173" t="s">
        <v>161</v>
      </c>
      <c r="C392" s="178">
        <v>0</v>
      </c>
      <c r="D392" s="178">
        <v>0</v>
      </c>
      <c r="E392" s="178">
        <v>1</v>
      </c>
      <c r="F392" s="178">
        <v>0</v>
      </c>
      <c r="G392" s="178">
        <v>3</v>
      </c>
      <c r="H392" s="178">
        <v>4</v>
      </c>
      <c r="I392" s="178">
        <v>4</v>
      </c>
      <c r="J392" s="178">
        <v>1</v>
      </c>
      <c r="K392" s="178">
        <v>2</v>
      </c>
      <c r="L392" s="178">
        <v>1</v>
      </c>
      <c r="M392" s="178">
        <v>2</v>
      </c>
      <c r="N392" s="178">
        <v>5</v>
      </c>
      <c r="O392" s="178">
        <v>2</v>
      </c>
      <c r="P392" s="178">
        <v>8</v>
      </c>
      <c r="Q392" s="181">
        <f t="shared" si="64"/>
        <v>33</v>
      </c>
      <c r="R392" s="181">
        <f t="shared" si="63"/>
        <v>336</v>
      </c>
      <c r="S392" s="181">
        <f t="shared" si="65"/>
        <v>369</v>
      </c>
    </row>
    <row r="393" spans="1:19" s="180" customFormat="1">
      <c r="A393" s="172">
        <v>9</v>
      </c>
      <c r="B393" s="174" t="s">
        <v>10</v>
      </c>
      <c r="C393" s="178">
        <v>0</v>
      </c>
      <c r="D393" s="178">
        <v>4</v>
      </c>
      <c r="E393" s="178">
        <v>2</v>
      </c>
      <c r="F393" s="178">
        <v>1</v>
      </c>
      <c r="G393" s="178">
        <v>7</v>
      </c>
      <c r="H393" s="178">
        <v>2</v>
      </c>
      <c r="I393" s="178">
        <v>3</v>
      </c>
      <c r="J393" s="178">
        <v>3</v>
      </c>
      <c r="K393" s="178">
        <v>3</v>
      </c>
      <c r="L393" s="178">
        <v>3</v>
      </c>
      <c r="M393" s="178">
        <v>6</v>
      </c>
      <c r="N393" s="178">
        <v>4</v>
      </c>
      <c r="O393" s="178">
        <v>0</v>
      </c>
      <c r="P393" s="178">
        <v>2</v>
      </c>
      <c r="Q393" s="181">
        <f t="shared" si="64"/>
        <v>40</v>
      </c>
      <c r="R393" s="181">
        <f t="shared" si="63"/>
        <v>529</v>
      </c>
      <c r="S393" s="181">
        <f t="shared" si="65"/>
        <v>569</v>
      </c>
    </row>
    <row r="394" spans="1:19">
      <c r="A394" s="251" t="s">
        <v>11</v>
      </c>
      <c r="B394" s="252"/>
      <c r="C394" s="68">
        <v>0</v>
      </c>
      <c r="D394" s="68">
        <v>0</v>
      </c>
      <c r="E394" s="68">
        <v>0</v>
      </c>
      <c r="F394" s="68">
        <v>0</v>
      </c>
      <c r="G394" s="68">
        <v>0</v>
      </c>
      <c r="H394" s="68">
        <v>0</v>
      </c>
      <c r="I394" s="68">
        <v>0</v>
      </c>
      <c r="J394" s="68">
        <v>0</v>
      </c>
      <c r="K394" s="68">
        <v>0</v>
      </c>
      <c r="L394" s="68">
        <v>0</v>
      </c>
      <c r="M394" s="68">
        <v>0</v>
      </c>
      <c r="N394" s="68">
        <v>0</v>
      </c>
      <c r="O394" s="68">
        <v>0</v>
      </c>
      <c r="P394" s="68">
        <v>0</v>
      </c>
      <c r="Q394" s="67">
        <f t="shared" si="64"/>
        <v>0</v>
      </c>
      <c r="R394" s="67">
        <f t="shared" ref="R394:R395" si="66">S365</f>
        <v>0</v>
      </c>
      <c r="S394" s="67">
        <f t="shared" si="65"/>
        <v>0</v>
      </c>
    </row>
    <row r="395" spans="1:19">
      <c r="A395" s="242" t="s">
        <v>12</v>
      </c>
      <c r="B395" s="242"/>
      <c r="C395" s="67">
        <f t="shared" ref="C395:Q395" si="67">SUM(C385:C394)</f>
        <v>404</v>
      </c>
      <c r="D395" s="67">
        <f t="shared" si="67"/>
        <v>640</v>
      </c>
      <c r="E395" s="67">
        <f t="shared" si="67"/>
        <v>629</v>
      </c>
      <c r="F395" s="67">
        <f t="shared" si="67"/>
        <v>528</v>
      </c>
      <c r="G395" s="67">
        <f t="shared" si="67"/>
        <v>595</v>
      </c>
      <c r="H395" s="67">
        <f t="shared" si="67"/>
        <v>592</v>
      </c>
      <c r="I395" s="67">
        <f t="shared" si="67"/>
        <v>591</v>
      </c>
      <c r="J395" s="67">
        <f t="shared" si="67"/>
        <v>356</v>
      </c>
      <c r="K395" s="67">
        <f t="shared" si="67"/>
        <v>674</v>
      </c>
      <c r="L395" s="67">
        <f t="shared" si="67"/>
        <v>633</v>
      </c>
      <c r="M395" s="67">
        <f t="shared" si="67"/>
        <v>664</v>
      </c>
      <c r="N395" s="67">
        <f t="shared" si="67"/>
        <v>689</v>
      </c>
      <c r="O395" s="67">
        <f t="shared" si="67"/>
        <v>570</v>
      </c>
      <c r="P395" s="67">
        <f t="shared" si="67"/>
        <v>909</v>
      </c>
      <c r="Q395" s="67">
        <f t="shared" si="67"/>
        <v>8474</v>
      </c>
      <c r="R395" s="67">
        <f t="shared" si="66"/>
        <v>106864</v>
      </c>
      <c r="S395" s="67">
        <f t="shared" si="65"/>
        <v>115338</v>
      </c>
    </row>
    <row r="396" spans="1:19" ht="9" customHeight="1">
      <c r="A396" s="5"/>
      <c r="B396" s="5"/>
      <c r="C396" s="6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8"/>
      <c r="R396" s="7"/>
      <c r="S396" s="7"/>
    </row>
    <row r="397" spans="1:19" ht="22.5">
      <c r="A397" s="17"/>
      <c r="B397" s="17"/>
      <c r="C397" s="10" t="s">
        <v>13</v>
      </c>
      <c r="D397" s="10" t="s">
        <v>13</v>
      </c>
      <c r="E397" s="10" t="s">
        <v>13</v>
      </c>
      <c r="F397" s="10" t="s">
        <v>13</v>
      </c>
      <c r="G397" s="10" t="s">
        <v>13</v>
      </c>
      <c r="H397" s="10" t="s">
        <v>13</v>
      </c>
      <c r="I397" s="10" t="s">
        <v>13</v>
      </c>
      <c r="J397" s="10" t="s">
        <v>13</v>
      </c>
      <c r="K397" s="10" t="s">
        <v>13</v>
      </c>
      <c r="L397" s="10" t="s">
        <v>13</v>
      </c>
      <c r="M397" s="10" t="s">
        <v>13</v>
      </c>
      <c r="N397" s="10" t="s">
        <v>13</v>
      </c>
      <c r="O397" s="10" t="s">
        <v>13</v>
      </c>
      <c r="P397" s="10" t="s">
        <v>13</v>
      </c>
      <c r="Q397" s="10" t="s">
        <v>13</v>
      </c>
      <c r="R397" s="10" t="s">
        <v>13</v>
      </c>
      <c r="S397" s="10" t="s">
        <v>13</v>
      </c>
    </row>
    <row r="398" spans="1:19" ht="7.5" customHeight="1">
      <c r="A398" s="17"/>
      <c r="B398" s="17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</row>
    <row r="399" spans="1:19" ht="22.5">
      <c r="A399" s="17"/>
      <c r="B399" s="17"/>
      <c r="C399" s="10" t="s">
        <v>14</v>
      </c>
      <c r="D399" s="10" t="s">
        <v>14</v>
      </c>
      <c r="E399" s="10" t="s">
        <v>14</v>
      </c>
      <c r="F399" s="10" t="s">
        <v>14</v>
      </c>
      <c r="G399" s="10" t="s">
        <v>14</v>
      </c>
      <c r="H399" s="10" t="s">
        <v>14</v>
      </c>
      <c r="I399" s="10" t="s">
        <v>14</v>
      </c>
      <c r="J399" s="10" t="s">
        <v>14</v>
      </c>
      <c r="K399" s="10" t="s">
        <v>14</v>
      </c>
      <c r="L399" s="10" t="s">
        <v>14</v>
      </c>
      <c r="M399" s="10" t="s">
        <v>14</v>
      </c>
      <c r="N399" s="10" t="s">
        <v>14</v>
      </c>
      <c r="O399" s="10" t="s">
        <v>14</v>
      </c>
      <c r="P399" s="10" t="s">
        <v>14</v>
      </c>
      <c r="Q399" s="10" t="s">
        <v>14</v>
      </c>
      <c r="R399" s="10" t="s">
        <v>14</v>
      </c>
      <c r="S399" s="10" t="s">
        <v>14</v>
      </c>
    </row>
    <row r="400" spans="1:19" ht="7.5" customHeight="1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</row>
    <row r="401" spans="1:19">
      <c r="A401" s="237" t="s">
        <v>15</v>
      </c>
      <c r="B401" s="237"/>
      <c r="C401" s="238" t="s">
        <v>16</v>
      </c>
      <c r="D401" s="238"/>
      <c r="E401" s="238"/>
      <c r="F401" s="238"/>
      <c r="G401" s="238"/>
      <c r="H401" s="238"/>
      <c r="I401" s="238"/>
      <c r="J401" s="238"/>
      <c r="K401" s="238"/>
      <c r="L401" s="238"/>
      <c r="M401" s="238"/>
      <c r="N401" s="238"/>
      <c r="O401" s="238"/>
      <c r="P401" s="238"/>
      <c r="Q401" s="238"/>
      <c r="R401" s="17"/>
      <c r="S401" s="17"/>
    </row>
    <row r="402" spans="1:19">
      <c r="A402" s="17"/>
      <c r="B402" s="17"/>
      <c r="C402" s="238" t="s">
        <v>17</v>
      </c>
      <c r="D402" s="238"/>
      <c r="E402" s="238"/>
      <c r="F402" s="238"/>
      <c r="G402" s="238"/>
      <c r="H402" s="238"/>
      <c r="I402" s="238"/>
      <c r="J402" s="238"/>
      <c r="K402" s="238"/>
      <c r="L402" s="238"/>
      <c r="M402" s="238"/>
      <c r="N402" s="238"/>
      <c r="O402" s="238"/>
      <c r="P402" s="238"/>
      <c r="Q402" s="238"/>
      <c r="R402" s="17"/>
      <c r="S402" s="17"/>
    </row>
    <row r="403" spans="1:19" ht="15" customHeight="1">
      <c r="A403" s="17"/>
      <c r="B403" s="17"/>
      <c r="C403" s="228" t="s">
        <v>45</v>
      </c>
      <c r="D403" s="228"/>
      <c r="E403" s="228"/>
      <c r="F403" s="228"/>
      <c r="G403" s="228"/>
      <c r="H403" s="228"/>
      <c r="I403" s="228"/>
      <c r="J403" s="228"/>
      <c r="K403" s="228"/>
      <c r="L403" s="228"/>
      <c r="M403" s="228"/>
      <c r="N403" s="228"/>
      <c r="O403" s="228"/>
      <c r="P403" s="228"/>
      <c r="Q403" s="228"/>
      <c r="R403" s="17"/>
      <c r="S403" s="17"/>
    </row>
    <row r="404" spans="1:19">
      <c r="A404" s="23"/>
      <c r="B404" s="23"/>
      <c r="C404" s="228" t="s">
        <v>46</v>
      </c>
      <c r="D404" s="228"/>
      <c r="E404" s="228"/>
      <c r="F404" s="228"/>
      <c r="G404" s="228"/>
      <c r="H404" s="228"/>
      <c r="I404" s="228"/>
      <c r="J404" s="228"/>
      <c r="K404" s="228"/>
      <c r="L404" s="228"/>
      <c r="M404" s="228"/>
      <c r="N404" s="228"/>
      <c r="O404" s="228"/>
      <c r="P404" s="228"/>
      <c r="Q404" s="228"/>
      <c r="R404" s="23"/>
      <c r="S404" s="23"/>
    </row>
    <row r="405" spans="1:19" ht="15" customHeight="1">
      <c r="A405" s="60"/>
      <c r="B405" s="61" t="s">
        <v>139</v>
      </c>
      <c r="C405" s="227" t="s">
        <v>138</v>
      </c>
      <c r="D405" s="227"/>
      <c r="E405" s="227"/>
      <c r="F405" s="227"/>
      <c r="G405" s="227"/>
      <c r="H405" s="227"/>
      <c r="I405" s="227"/>
      <c r="J405" s="227"/>
      <c r="K405" s="227"/>
      <c r="L405" s="227"/>
      <c r="M405" s="227"/>
      <c r="N405" s="227"/>
      <c r="O405" s="227"/>
      <c r="P405" s="227"/>
      <c r="Q405" s="227"/>
      <c r="R405" s="60"/>
      <c r="S405" s="60"/>
    </row>
    <row r="406" spans="1:19">
      <c r="A406" s="23"/>
      <c r="B406" s="23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3"/>
      <c r="S406" s="23"/>
    </row>
    <row r="407" spans="1:19" ht="26.25">
      <c r="A407" s="229" t="s">
        <v>0</v>
      </c>
      <c r="B407" s="229"/>
      <c r="C407" s="229"/>
      <c r="D407" s="229"/>
      <c r="E407" s="229"/>
      <c r="F407" s="229"/>
      <c r="G407" s="229"/>
      <c r="H407" s="229"/>
      <c r="I407" s="229"/>
      <c r="J407" s="229"/>
      <c r="K407" s="229"/>
      <c r="L407" s="229"/>
      <c r="M407" s="229"/>
      <c r="N407" s="229"/>
      <c r="O407" s="229"/>
      <c r="P407" s="229"/>
      <c r="Q407" s="229"/>
      <c r="R407" s="229"/>
      <c r="S407" s="229"/>
    </row>
    <row r="408" spans="1:19" ht="19.5" customHeight="1">
      <c r="A408" s="230" t="s">
        <v>83</v>
      </c>
      <c r="B408" s="230"/>
      <c r="C408" s="230"/>
      <c r="D408" s="230"/>
      <c r="E408" s="230"/>
      <c r="F408" s="230"/>
      <c r="G408" s="230"/>
      <c r="H408" s="230"/>
      <c r="I408" s="1"/>
      <c r="J408" s="1"/>
      <c r="K408" s="231" t="s">
        <v>34</v>
      </c>
      <c r="L408" s="231"/>
      <c r="M408" s="231"/>
      <c r="N408" s="231"/>
      <c r="O408" s="1"/>
      <c r="P408" s="232" t="s">
        <v>1</v>
      </c>
      <c r="Q408" s="232"/>
      <c r="R408" s="233">
        <v>44630</v>
      </c>
      <c r="S408" s="233"/>
    </row>
    <row r="409" spans="1:19">
      <c r="A409" s="242" t="s">
        <v>2</v>
      </c>
      <c r="B409" s="242"/>
      <c r="C409" s="16">
        <v>1</v>
      </c>
      <c r="D409" s="16">
        <v>2</v>
      </c>
      <c r="E409" s="16">
        <v>3</v>
      </c>
      <c r="F409" s="16">
        <v>4</v>
      </c>
      <c r="G409" s="16">
        <v>5</v>
      </c>
      <c r="H409" s="16">
        <v>6</v>
      </c>
      <c r="I409" s="16">
        <v>7</v>
      </c>
      <c r="J409" s="16">
        <v>8</v>
      </c>
      <c r="K409" s="16">
        <v>9</v>
      </c>
      <c r="L409" s="16">
        <v>10</v>
      </c>
      <c r="M409" s="16">
        <v>11</v>
      </c>
      <c r="N409" s="16">
        <v>12</v>
      </c>
      <c r="O409" s="16">
        <v>13</v>
      </c>
      <c r="P409" s="16">
        <v>14</v>
      </c>
      <c r="Q409" s="239" t="s">
        <v>3</v>
      </c>
      <c r="R409" s="239" t="s">
        <v>4</v>
      </c>
      <c r="S409" s="239" t="s">
        <v>5</v>
      </c>
    </row>
    <row r="410" spans="1:19">
      <c r="A410" s="242" t="s">
        <v>6</v>
      </c>
      <c r="B410" s="242"/>
      <c r="C410" s="16">
        <v>197</v>
      </c>
      <c r="D410" s="16">
        <v>198</v>
      </c>
      <c r="E410" s="16">
        <v>199</v>
      </c>
      <c r="F410" s="16">
        <v>200</v>
      </c>
      <c r="G410" s="16">
        <v>201</v>
      </c>
      <c r="H410" s="16">
        <v>202</v>
      </c>
      <c r="I410" s="16">
        <v>203</v>
      </c>
      <c r="J410" s="16">
        <v>204</v>
      </c>
      <c r="K410" s="16">
        <v>205</v>
      </c>
      <c r="L410" s="16">
        <v>206</v>
      </c>
      <c r="M410" s="16">
        <v>207</v>
      </c>
      <c r="N410" s="16">
        <v>208</v>
      </c>
      <c r="O410" s="16">
        <v>209</v>
      </c>
      <c r="P410" s="16">
        <v>210</v>
      </c>
      <c r="Q410" s="240"/>
      <c r="R410" s="240"/>
      <c r="S410" s="240"/>
    </row>
    <row r="411" spans="1:19" ht="31.5">
      <c r="A411" s="243" t="s">
        <v>18</v>
      </c>
      <c r="B411" s="244"/>
      <c r="C411" s="118" t="s">
        <v>386</v>
      </c>
      <c r="D411" s="118" t="s">
        <v>387</v>
      </c>
      <c r="E411" s="118" t="s">
        <v>388</v>
      </c>
      <c r="F411" s="118" t="s">
        <v>389</v>
      </c>
      <c r="G411" s="118" t="s">
        <v>390</v>
      </c>
      <c r="H411" s="118" t="s">
        <v>623</v>
      </c>
      <c r="I411" s="118" t="s">
        <v>391</v>
      </c>
      <c r="J411" s="118" t="s">
        <v>392</v>
      </c>
      <c r="K411" s="118" t="s">
        <v>393</v>
      </c>
      <c r="L411" s="118" t="s">
        <v>394</v>
      </c>
      <c r="M411" s="118" t="s">
        <v>395</v>
      </c>
      <c r="N411" s="118" t="s">
        <v>624</v>
      </c>
      <c r="O411" s="118" t="s">
        <v>396</v>
      </c>
      <c r="P411" s="118" t="s">
        <v>397</v>
      </c>
      <c r="Q411" s="240"/>
      <c r="R411" s="240"/>
      <c r="S411" s="240"/>
    </row>
    <row r="412" spans="1:19" ht="27.75" customHeight="1">
      <c r="A412" s="245" t="s">
        <v>20</v>
      </c>
      <c r="B412" s="246"/>
      <c r="C412" s="33">
        <v>605</v>
      </c>
      <c r="D412" s="33">
        <v>588</v>
      </c>
      <c r="E412" s="33">
        <v>655</v>
      </c>
      <c r="F412" s="33">
        <v>806</v>
      </c>
      <c r="G412" s="33">
        <v>460</v>
      </c>
      <c r="H412" s="33">
        <v>622</v>
      </c>
      <c r="I412" s="33">
        <v>624</v>
      </c>
      <c r="J412" s="33">
        <v>675</v>
      </c>
      <c r="K412" s="33">
        <v>445</v>
      </c>
      <c r="L412" s="33">
        <v>729</v>
      </c>
      <c r="M412" s="33">
        <v>594</v>
      </c>
      <c r="N412" s="33">
        <v>553</v>
      </c>
      <c r="O412" s="33">
        <v>672</v>
      </c>
      <c r="P412" s="33">
        <v>652</v>
      </c>
      <c r="Q412" s="240"/>
      <c r="R412" s="240"/>
      <c r="S412" s="240"/>
    </row>
    <row r="413" spans="1:19">
      <c r="A413" s="19" t="s">
        <v>7</v>
      </c>
      <c r="B413" s="16" t="s">
        <v>8</v>
      </c>
      <c r="C413" s="20" t="s">
        <v>9</v>
      </c>
      <c r="D413" s="20" t="s">
        <v>9</v>
      </c>
      <c r="E413" s="20" t="s">
        <v>9</v>
      </c>
      <c r="F413" s="20" t="s">
        <v>9</v>
      </c>
      <c r="G413" s="20" t="s">
        <v>9</v>
      </c>
      <c r="H413" s="20" t="s">
        <v>9</v>
      </c>
      <c r="I413" s="20" t="s">
        <v>9</v>
      </c>
      <c r="J413" s="20" t="s">
        <v>9</v>
      </c>
      <c r="K413" s="20" t="s">
        <v>9</v>
      </c>
      <c r="L413" s="20" t="s">
        <v>9</v>
      </c>
      <c r="M413" s="20" t="s">
        <v>9</v>
      </c>
      <c r="N413" s="20" t="s">
        <v>9</v>
      </c>
      <c r="O413" s="20" t="s">
        <v>9</v>
      </c>
      <c r="P413" s="20" t="s">
        <v>9</v>
      </c>
      <c r="Q413" s="241"/>
      <c r="R413" s="241"/>
      <c r="S413" s="241"/>
    </row>
    <row r="414" spans="1:19" s="180" customFormat="1">
      <c r="A414" s="172">
        <v>1</v>
      </c>
      <c r="B414" s="173" t="s">
        <v>85</v>
      </c>
      <c r="C414" s="178">
        <v>561</v>
      </c>
      <c r="D414" s="178">
        <v>499</v>
      </c>
      <c r="E414" s="178">
        <v>11</v>
      </c>
      <c r="F414" s="178">
        <v>28</v>
      </c>
      <c r="G414" s="178">
        <v>77</v>
      </c>
      <c r="H414" s="178">
        <v>113</v>
      </c>
      <c r="I414" s="178">
        <v>108</v>
      </c>
      <c r="J414" s="178">
        <v>70</v>
      </c>
      <c r="K414" s="178">
        <v>148</v>
      </c>
      <c r="L414" s="178">
        <v>318</v>
      </c>
      <c r="M414" s="178">
        <v>143</v>
      </c>
      <c r="N414" s="178">
        <v>64</v>
      </c>
      <c r="O414" s="178">
        <v>51</v>
      </c>
      <c r="P414" s="178">
        <v>3</v>
      </c>
      <c r="Q414" s="176">
        <f>SUM(C414:P414)</f>
        <v>2194</v>
      </c>
      <c r="R414" s="176">
        <f t="shared" ref="R414:R422" si="68">S385</f>
        <v>30626</v>
      </c>
      <c r="S414" s="176">
        <f>Q414+R414</f>
        <v>32820</v>
      </c>
    </row>
    <row r="415" spans="1:19" s="180" customFormat="1">
      <c r="A415" s="172">
        <v>2</v>
      </c>
      <c r="B415" s="173" t="s">
        <v>156</v>
      </c>
      <c r="C415" s="178">
        <v>11</v>
      </c>
      <c r="D415" s="178">
        <v>52</v>
      </c>
      <c r="E415" s="178">
        <v>83</v>
      </c>
      <c r="F415" s="178">
        <v>753</v>
      </c>
      <c r="G415" s="178">
        <v>321</v>
      </c>
      <c r="H415" s="178">
        <v>301</v>
      </c>
      <c r="I415" s="178">
        <v>475</v>
      </c>
      <c r="J415" s="178">
        <v>514</v>
      </c>
      <c r="K415" s="178">
        <v>156</v>
      </c>
      <c r="L415" s="178">
        <v>335</v>
      </c>
      <c r="M415" s="178">
        <v>310</v>
      </c>
      <c r="N415" s="178">
        <v>454</v>
      </c>
      <c r="O415" s="178">
        <v>592</v>
      </c>
      <c r="P415" s="178">
        <v>480</v>
      </c>
      <c r="Q415" s="176">
        <f t="shared" ref="Q415:Q423" si="69">SUM(C415:P415)</f>
        <v>4837</v>
      </c>
      <c r="R415" s="176">
        <f t="shared" si="68"/>
        <v>63086</v>
      </c>
      <c r="S415" s="176">
        <f t="shared" ref="S415:S424" si="70">Q415+R415</f>
        <v>67923</v>
      </c>
    </row>
    <row r="416" spans="1:19" s="180" customFormat="1">
      <c r="A416" s="172">
        <v>3</v>
      </c>
      <c r="B416" s="173" t="s">
        <v>157</v>
      </c>
      <c r="C416" s="178">
        <v>4</v>
      </c>
      <c r="D416" s="178">
        <v>4</v>
      </c>
      <c r="E416" s="178">
        <v>5</v>
      </c>
      <c r="F416" s="178">
        <v>6</v>
      </c>
      <c r="G416" s="178">
        <v>3</v>
      </c>
      <c r="H416" s="178">
        <v>7</v>
      </c>
      <c r="I416" s="178">
        <v>11</v>
      </c>
      <c r="J416" s="178">
        <v>18</v>
      </c>
      <c r="K416" s="178">
        <v>8</v>
      </c>
      <c r="L416" s="178">
        <v>9</v>
      </c>
      <c r="M416" s="178">
        <v>6</v>
      </c>
      <c r="N416" s="178">
        <v>4</v>
      </c>
      <c r="O416" s="178">
        <v>10</v>
      </c>
      <c r="P416" s="178">
        <v>15</v>
      </c>
      <c r="Q416" s="176">
        <f t="shared" si="69"/>
        <v>110</v>
      </c>
      <c r="R416" s="176">
        <f t="shared" si="68"/>
        <v>1236</v>
      </c>
      <c r="S416" s="176">
        <f t="shared" si="70"/>
        <v>1346</v>
      </c>
    </row>
    <row r="417" spans="1:19" s="180" customFormat="1">
      <c r="A417" s="172">
        <v>4</v>
      </c>
      <c r="B417" s="173" t="s">
        <v>158</v>
      </c>
      <c r="C417" s="178">
        <v>28</v>
      </c>
      <c r="D417" s="178">
        <v>24</v>
      </c>
      <c r="E417" s="178">
        <v>543</v>
      </c>
      <c r="F417" s="178">
        <v>7</v>
      </c>
      <c r="G417" s="178">
        <v>49</v>
      </c>
      <c r="H417" s="178">
        <v>182</v>
      </c>
      <c r="I417" s="178">
        <v>7</v>
      </c>
      <c r="J417" s="178">
        <v>54</v>
      </c>
      <c r="K417" s="178">
        <v>128</v>
      </c>
      <c r="L417" s="178">
        <v>54</v>
      </c>
      <c r="M417" s="178">
        <v>121</v>
      </c>
      <c r="N417" s="178">
        <v>18</v>
      </c>
      <c r="O417" s="178">
        <v>0</v>
      </c>
      <c r="P417" s="178">
        <v>150</v>
      </c>
      <c r="Q417" s="176">
        <f t="shared" si="69"/>
        <v>1365</v>
      </c>
      <c r="R417" s="176">
        <f t="shared" si="68"/>
        <v>18117</v>
      </c>
      <c r="S417" s="176">
        <f t="shared" si="70"/>
        <v>19482</v>
      </c>
    </row>
    <row r="418" spans="1:19" s="180" customFormat="1">
      <c r="A418" s="172">
        <v>5</v>
      </c>
      <c r="B418" s="173" t="s">
        <v>159</v>
      </c>
      <c r="C418" s="178">
        <v>0</v>
      </c>
      <c r="D418" s="178">
        <v>0</v>
      </c>
      <c r="E418" s="178">
        <v>3</v>
      </c>
      <c r="F418" s="178">
        <v>0</v>
      </c>
      <c r="G418" s="178">
        <v>0</v>
      </c>
      <c r="H418" s="178">
        <v>1</v>
      </c>
      <c r="I418" s="178">
        <v>2</v>
      </c>
      <c r="J418" s="178">
        <v>2</v>
      </c>
      <c r="K418" s="178">
        <v>2</v>
      </c>
      <c r="L418" s="178">
        <v>3</v>
      </c>
      <c r="M418" s="178">
        <v>2</v>
      </c>
      <c r="N418" s="178">
        <v>0</v>
      </c>
      <c r="O418" s="178">
        <v>0</v>
      </c>
      <c r="P418" s="178">
        <v>0</v>
      </c>
      <c r="Q418" s="176">
        <f t="shared" si="69"/>
        <v>15</v>
      </c>
      <c r="R418" s="176">
        <f t="shared" si="68"/>
        <v>354</v>
      </c>
      <c r="S418" s="176">
        <f t="shared" si="70"/>
        <v>369</v>
      </c>
    </row>
    <row r="419" spans="1:19" s="180" customFormat="1">
      <c r="A419" s="172">
        <v>6</v>
      </c>
      <c r="B419" s="173" t="s">
        <v>160</v>
      </c>
      <c r="C419" s="178">
        <v>0</v>
      </c>
      <c r="D419" s="178">
        <v>1</v>
      </c>
      <c r="E419" s="178">
        <v>7</v>
      </c>
      <c r="F419" s="178">
        <v>3</v>
      </c>
      <c r="G419" s="178">
        <v>4</v>
      </c>
      <c r="H419" s="178">
        <v>4</v>
      </c>
      <c r="I419" s="178">
        <v>5</v>
      </c>
      <c r="J419" s="178">
        <v>3</v>
      </c>
      <c r="K419" s="178">
        <v>0</v>
      </c>
      <c r="L419" s="178">
        <v>1</v>
      </c>
      <c r="M419" s="178">
        <v>5</v>
      </c>
      <c r="N419" s="178">
        <v>1</v>
      </c>
      <c r="O419" s="178">
        <v>4</v>
      </c>
      <c r="P419" s="178">
        <v>1</v>
      </c>
      <c r="Q419" s="176">
        <f t="shared" si="69"/>
        <v>39</v>
      </c>
      <c r="R419" s="176">
        <f t="shared" si="68"/>
        <v>564</v>
      </c>
      <c r="S419" s="176">
        <f t="shared" si="70"/>
        <v>603</v>
      </c>
    </row>
    <row r="420" spans="1:19" s="180" customFormat="1">
      <c r="A420" s="172">
        <v>7</v>
      </c>
      <c r="B420" s="173" t="s">
        <v>86</v>
      </c>
      <c r="C420" s="178">
        <v>0</v>
      </c>
      <c r="D420" s="178">
        <v>2</v>
      </c>
      <c r="E420" s="178">
        <v>3</v>
      </c>
      <c r="F420" s="178">
        <v>0</v>
      </c>
      <c r="G420" s="178">
        <v>0</v>
      </c>
      <c r="H420" s="178">
        <v>5</v>
      </c>
      <c r="I420" s="178">
        <v>3</v>
      </c>
      <c r="J420" s="178">
        <v>4</v>
      </c>
      <c r="K420" s="178">
        <v>1</v>
      </c>
      <c r="L420" s="178">
        <v>3</v>
      </c>
      <c r="M420" s="178">
        <v>0</v>
      </c>
      <c r="N420" s="178">
        <v>6</v>
      </c>
      <c r="O420" s="178">
        <v>5</v>
      </c>
      <c r="P420" s="178">
        <v>1</v>
      </c>
      <c r="Q420" s="176">
        <f t="shared" si="69"/>
        <v>33</v>
      </c>
      <c r="R420" s="176">
        <f t="shared" si="68"/>
        <v>417</v>
      </c>
      <c r="S420" s="176">
        <f t="shared" si="70"/>
        <v>450</v>
      </c>
    </row>
    <row r="421" spans="1:19" s="180" customFormat="1">
      <c r="A421" s="172">
        <v>8</v>
      </c>
      <c r="B421" s="173" t="s">
        <v>161</v>
      </c>
      <c r="C421" s="178">
        <v>0</v>
      </c>
      <c r="D421" s="178">
        <v>3</v>
      </c>
      <c r="E421" s="178">
        <v>0</v>
      </c>
      <c r="F421" s="178">
        <v>6</v>
      </c>
      <c r="G421" s="178">
        <v>6</v>
      </c>
      <c r="H421" s="178">
        <v>4</v>
      </c>
      <c r="I421" s="178">
        <v>7</v>
      </c>
      <c r="J421" s="178">
        <v>5</v>
      </c>
      <c r="K421" s="178">
        <v>1</v>
      </c>
      <c r="L421" s="178">
        <v>1</v>
      </c>
      <c r="M421" s="178">
        <v>4</v>
      </c>
      <c r="N421" s="178">
        <v>5</v>
      </c>
      <c r="O421" s="178">
        <v>8</v>
      </c>
      <c r="P421" s="178">
        <v>2</v>
      </c>
      <c r="Q421" s="176">
        <f t="shared" si="69"/>
        <v>52</v>
      </c>
      <c r="R421" s="176">
        <f t="shared" si="68"/>
        <v>369</v>
      </c>
      <c r="S421" s="176">
        <f t="shared" si="70"/>
        <v>421</v>
      </c>
    </row>
    <row r="422" spans="1:19" s="180" customFormat="1">
      <c r="A422" s="172">
        <v>9</v>
      </c>
      <c r="B422" s="174" t="s">
        <v>10</v>
      </c>
      <c r="C422" s="178">
        <v>1</v>
      </c>
      <c r="D422" s="178">
        <v>3</v>
      </c>
      <c r="E422" s="178">
        <v>0</v>
      </c>
      <c r="F422" s="178">
        <v>3</v>
      </c>
      <c r="G422" s="178">
        <v>0</v>
      </c>
      <c r="H422" s="178">
        <v>5</v>
      </c>
      <c r="I422" s="178">
        <v>6</v>
      </c>
      <c r="J422" s="178">
        <v>5</v>
      </c>
      <c r="K422" s="178">
        <v>1</v>
      </c>
      <c r="L422" s="178">
        <v>5</v>
      </c>
      <c r="M422" s="178">
        <v>3</v>
      </c>
      <c r="N422" s="178">
        <v>1</v>
      </c>
      <c r="O422" s="178">
        <v>2</v>
      </c>
      <c r="P422" s="178">
        <v>0</v>
      </c>
      <c r="Q422" s="176">
        <f t="shared" si="69"/>
        <v>35</v>
      </c>
      <c r="R422" s="176">
        <f t="shared" si="68"/>
        <v>569</v>
      </c>
      <c r="S422" s="176">
        <f t="shared" si="70"/>
        <v>604</v>
      </c>
    </row>
    <row r="423" spans="1:19">
      <c r="A423" s="251" t="s">
        <v>11</v>
      </c>
      <c r="B423" s="252"/>
      <c r="C423" s="64">
        <v>0</v>
      </c>
      <c r="D423" s="64">
        <v>0</v>
      </c>
      <c r="E423" s="64">
        <v>0</v>
      </c>
      <c r="F423" s="64">
        <v>0</v>
      </c>
      <c r="G423" s="64">
        <v>0</v>
      </c>
      <c r="H423" s="64">
        <v>0</v>
      </c>
      <c r="I423" s="64">
        <v>0</v>
      </c>
      <c r="J423" s="64">
        <v>0</v>
      </c>
      <c r="K423" s="64">
        <v>0</v>
      </c>
      <c r="L423" s="64">
        <v>0</v>
      </c>
      <c r="M423" s="64">
        <v>0</v>
      </c>
      <c r="N423" s="64">
        <v>0</v>
      </c>
      <c r="O423" s="64">
        <v>0</v>
      </c>
      <c r="P423" s="64">
        <v>0</v>
      </c>
      <c r="Q423" s="63">
        <f t="shared" si="69"/>
        <v>0</v>
      </c>
      <c r="R423" s="63">
        <f t="shared" ref="R423:R424" si="71">S394</f>
        <v>0</v>
      </c>
      <c r="S423" s="63">
        <f t="shared" si="70"/>
        <v>0</v>
      </c>
    </row>
    <row r="424" spans="1:19">
      <c r="A424" s="242" t="s">
        <v>12</v>
      </c>
      <c r="B424" s="242"/>
      <c r="C424" s="63">
        <f t="shared" ref="C424:Q424" si="72">SUM(C414:C423)</f>
        <v>605</v>
      </c>
      <c r="D424" s="63">
        <f t="shared" si="72"/>
        <v>588</v>
      </c>
      <c r="E424" s="63">
        <f t="shared" si="72"/>
        <v>655</v>
      </c>
      <c r="F424" s="63">
        <f t="shared" si="72"/>
        <v>806</v>
      </c>
      <c r="G424" s="63">
        <f t="shared" si="72"/>
        <v>460</v>
      </c>
      <c r="H424" s="63">
        <f t="shared" si="72"/>
        <v>622</v>
      </c>
      <c r="I424" s="63">
        <f t="shared" si="72"/>
        <v>624</v>
      </c>
      <c r="J424" s="63">
        <f t="shared" si="72"/>
        <v>675</v>
      </c>
      <c r="K424" s="63">
        <f t="shared" si="72"/>
        <v>445</v>
      </c>
      <c r="L424" s="63">
        <f t="shared" si="72"/>
        <v>729</v>
      </c>
      <c r="M424" s="63">
        <f t="shared" si="72"/>
        <v>594</v>
      </c>
      <c r="N424" s="63">
        <f t="shared" si="72"/>
        <v>553</v>
      </c>
      <c r="O424" s="63">
        <f t="shared" si="72"/>
        <v>672</v>
      </c>
      <c r="P424" s="63">
        <f t="shared" si="72"/>
        <v>652</v>
      </c>
      <c r="Q424" s="63">
        <f t="shared" si="72"/>
        <v>8680</v>
      </c>
      <c r="R424" s="63">
        <f t="shared" si="71"/>
        <v>115338</v>
      </c>
      <c r="S424" s="63">
        <f t="shared" si="70"/>
        <v>124018</v>
      </c>
    </row>
    <row r="425" spans="1:19" ht="7.5" customHeight="1">
      <c r="A425" s="5"/>
      <c r="B425" s="5"/>
      <c r="C425" s="6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8"/>
      <c r="R425" s="7"/>
      <c r="S425" s="7"/>
    </row>
    <row r="426" spans="1:19" ht="22.5">
      <c r="A426" s="17"/>
      <c r="B426" s="17"/>
      <c r="C426" s="10" t="s">
        <v>13</v>
      </c>
      <c r="D426" s="10" t="s">
        <v>13</v>
      </c>
      <c r="E426" s="10" t="s">
        <v>13</v>
      </c>
      <c r="F426" s="10" t="s">
        <v>13</v>
      </c>
      <c r="G426" s="10" t="s">
        <v>13</v>
      </c>
      <c r="H426" s="10" t="s">
        <v>13</v>
      </c>
      <c r="I426" s="10" t="s">
        <v>13</v>
      </c>
      <c r="J426" s="10" t="s">
        <v>13</v>
      </c>
      <c r="K426" s="10" t="s">
        <v>13</v>
      </c>
      <c r="L426" s="10" t="s">
        <v>13</v>
      </c>
      <c r="M426" s="10" t="s">
        <v>13</v>
      </c>
      <c r="N426" s="10" t="s">
        <v>13</v>
      </c>
      <c r="O426" s="10" t="s">
        <v>13</v>
      </c>
      <c r="P426" s="10" t="s">
        <v>13</v>
      </c>
      <c r="Q426" s="10" t="s">
        <v>13</v>
      </c>
      <c r="R426" s="10" t="s">
        <v>13</v>
      </c>
      <c r="S426" s="10" t="s">
        <v>13</v>
      </c>
    </row>
    <row r="427" spans="1:19" ht="8.25" customHeight="1">
      <c r="A427" s="17"/>
      <c r="B427" s="17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</row>
    <row r="428" spans="1:19" ht="22.5">
      <c r="A428" s="17"/>
      <c r="B428" s="17"/>
      <c r="C428" s="10" t="s">
        <v>14</v>
      </c>
      <c r="D428" s="10" t="s">
        <v>14</v>
      </c>
      <c r="E428" s="10" t="s">
        <v>14</v>
      </c>
      <c r="F428" s="10" t="s">
        <v>14</v>
      </c>
      <c r="G428" s="10" t="s">
        <v>14</v>
      </c>
      <c r="H428" s="10" t="s">
        <v>14</v>
      </c>
      <c r="I428" s="10" t="s">
        <v>14</v>
      </c>
      <c r="J428" s="10" t="s">
        <v>14</v>
      </c>
      <c r="K428" s="10" t="s">
        <v>14</v>
      </c>
      <c r="L428" s="10" t="s">
        <v>14</v>
      </c>
      <c r="M428" s="10" t="s">
        <v>14</v>
      </c>
      <c r="N428" s="10" t="s">
        <v>14</v>
      </c>
      <c r="O428" s="10" t="s">
        <v>14</v>
      </c>
      <c r="P428" s="10" t="s">
        <v>14</v>
      </c>
      <c r="Q428" s="10" t="s">
        <v>14</v>
      </c>
      <c r="R428" s="10" t="s">
        <v>14</v>
      </c>
      <c r="S428" s="10" t="s">
        <v>14</v>
      </c>
    </row>
    <row r="429" spans="1:19" ht="8.25" customHeight="1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</row>
    <row r="430" spans="1:19">
      <c r="A430" s="237" t="s">
        <v>15</v>
      </c>
      <c r="B430" s="237"/>
      <c r="C430" s="238" t="s">
        <v>16</v>
      </c>
      <c r="D430" s="238"/>
      <c r="E430" s="238"/>
      <c r="F430" s="238"/>
      <c r="G430" s="238"/>
      <c r="H430" s="238"/>
      <c r="I430" s="238"/>
      <c r="J430" s="238"/>
      <c r="K430" s="238"/>
      <c r="L430" s="238"/>
      <c r="M430" s="238"/>
      <c r="N430" s="238"/>
      <c r="O430" s="238"/>
      <c r="P430" s="238"/>
      <c r="Q430" s="238"/>
      <c r="R430" s="17"/>
      <c r="S430" s="17"/>
    </row>
    <row r="431" spans="1:19">
      <c r="A431" s="17"/>
      <c r="B431" s="17"/>
      <c r="C431" s="238" t="s">
        <v>17</v>
      </c>
      <c r="D431" s="238"/>
      <c r="E431" s="238"/>
      <c r="F431" s="238"/>
      <c r="G431" s="238"/>
      <c r="H431" s="238"/>
      <c r="I431" s="238"/>
      <c r="J431" s="238"/>
      <c r="K431" s="238"/>
      <c r="L431" s="238"/>
      <c r="M431" s="238"/>
      <c r="N431" s="238"/>
      <c r="O431" s="238"/>
      <c r="P431" s="238"/>
      <c r="Q431" s="238"/>
      <c r="R431" s="17"/>
      <c r="S431" s="17"/>
    </row>
    <row r="432" spans="1:19" ht="15" customHeight="1">
      <c r="A432" s="17"/>
      <c r="B432" s="17"/>
      <c r="C432" s="228" t="s">
        <v>45</v>
      </c>
      <c r="D432" s="228"/>
      <c r="E432" s="228"/>
      <c r="F432" s="228"/>
      <c r="G432" s="228"/>
      <c r="H432" s="228"/>
      <c r="I432" s="228"/>
      <c r="J432" s="228"/>
      <c r="K432" s="228"/>
      <c r="L432" s="228"/>
      <c r="M432" s="228"/>
      <c r="N432" s="228"/>
      <c r="O432" s="228"/>
      <c r="P432" s="228"/>
      <c r="Q432" s="228"/>
      <c r="R432" s="17"/>
      <c r="S432" s="17"/>
    </row>
    <row r="433" spans="1:19">
      <c r="A433" s="23"/>
      <c r="B433" s="23"/>
      <c r="C433" s="228" t="s">
        <v>46</v>
      </c>
      <c r="D433" s="228"/>
      <c r="E433" s="228"/>
      <c r="F433" s="228"/>
      <c r="G433" s="228"/>
      <c r="H433" s="228"/>
      <c r="I433" s="228"/>
      <c r="J433" s="228"/>
      <c r="K433" s="228"/>
      <c r="L433" s="228"/>
      <c r="M433" s="228"/>
      <c r="N433" s="228"/>
      <c r="O433" s="228"/>
      <c r="P433" s="228"/>
      <c r="Q433" s="228"/>
      <c r="R433" s="23"/>
      <c r="S433" s="23"/>
    </row>
    <row r="434" spans="1:19" ht="15" customHeight="1">
      <c r="A434" s="60"/>
      <c r="B434" s="61" t="s">
        <v>139</v>
      </c>
      <c r="C434" s="227" t="s">
        <v>138</v>
      </c>
      <c r="D434" s="227"/>
      <c r="E434" s="227"/>
      <c r="F434" s="227"/>
      <c r="G434" s="227"/>
      <c r="H434" s="227"/>
      <c r="I434" s="227"/>
      <c r="J434" s="227"/>
      <c r="K434" s="227"/>
      <c r="L434" s="227"/>
      <c r="M434" s="227"/>
      <c r="N434" s="227"/>
      <c r="O434" s="227"/>
      <c r="P434" s="227"/>
      <c r="Q434" s="227"/>
      <c r="R434" s="60"/>
      <c r="S434" s="60"/>
    </row>
    <row r="435" spans="1:19">
      <c r="A435" s="23"/>
      <c r="B435" s="23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3"/>
      <c r="S435" s="23"/>
    </row>
    <row r="436" spans="1:19" ht="26.25">
      <c r="A436" s="229" t="s">
        <v>0</v>
      </c>
      <c r="B436" s="229"/>
      <c r="C436" s="229"/>
      <c r="D436" s="229"/>
      <c r="E436" s="229"/>
      <c r="F436" s="229"/>
      <c r="G436" s="229"/>
      <c r="H436" s="229"/>
      <c r="I436" s="229"/>
      <c r="J436" s="229"/>
      <c r="K436" s="229"/>
      <c r="L436" s="229"/>
      <c r="M436" s="229"/>
      <c r="N436" s="229"/>
      <c r="O436" s="229"/>
      <c r="P436" s="229"/>
      <c r="Q436" s="229"/>
      <c r="R436" s="229"/>
      <c r="S436" s="229"/>
    </row>
    <row r="437" spans="1:19" ht="19.5" customHeight="1">
      <c r="A437" s="230" t="s">
        <v>83</v>
      </c>
      <c r="B437" s="230"/>
      <c r="C437" s="230"/>
      <c r="D437" s="230"/>
      <c r="E437" s="230"/>
      <c r="F437" s="230"/>
      <c r="G437" s="230"/>
      <c r="H437" s="230"/>
      <c r="I437" s="1"/>
      <c r="J437" s="1"/>
      <c r="K437" s="231" t="s">
        <v>35</v>
      </c>
      <c r="L437" s="231"/>
      <c r="M437" s="231"/>
      <c r="N437" s="231"/>
      <c r="O437" s="1"/>
      <c r="P437" s="232" t="s">
        <v>1</v>
      </c>
      <c r="Q437" s="232"/>
      <c r="R437" s="233">
        <v>44630</v>
      </c>
      <c r="S437" s="233"/>
    </row>
    <row r="438" spans="1:19">
      <c r="A438" s="242" t="s">
        <v>2</v>
      </c>
      <c r="B438" s="242"/>
      <c r="C438" s="16">
        <v>1</v>
      </c>
      <c r="D438" s="16">
        <v>2</v>
      </c>
      <c r="E438" s="16">
        <v>3</v>
      </c>
      <c r="F438" s="16">
        <v>4</v>
      </c>
      <c r="G438" s="16">
        <v>5</v>
      </c>
      <c r="H438" s="16">
        <v>6</v>
      </c>
      <c r="I438" s="16">
        <v>7</v>
      </c>
      <c r="J438" s="16">
        <v>8</v>
      </c>
      <c r="K438" s="16">
        <v>9</v>
      </c>
      <c r="L438" s="16">
        <v>10</v>
      </c>
      <c r="M438" s="16">
        <v>11</v>
      </c>
      <c r="N438" s="16">
        <v>12</v>
      </c>
      <c r="O438" s="16">
        <v>13</v>
      </c>
      <c r="P438" s="16">
        <v>14</v>
      </c>
      <c r="Q438" s="239" t="s">
        <v>3</v>
      </c>
      <c r="R438" s="239" t="s">
        <v>4</v>
      </c>
      <c r="S438" s="239" t="s">
        <v>5</v>
      </c>
    </row>
    <row r="439" spans="1:19">
      <c r="A439" s="242" t="s">
        <v>6</v>
      </c>
      <c r="B439" s="242"/>
      <c r="C439" s="16">
        <v>211</v>
      </c>
      <c r="D439" s="16">
        <v>212</v>
      </c>
      <c r="E439" s="16">
        <v>213</v>
      </c>
      <c r="F439" s="16">
        <v>214</v>
      </c>
      <c r="G439" s="16">
        <v>215</v>
      </c>
      <c r="H439" s="16">
        <v>216</v>
      </c>
      <c r="I439" s="16">
        <v>217</v>
      </c>
      <c r="J439" s="16">
        <v>218</v>
      </c>
      <c r="K439" s="16">
        <v>219</v>
      </c>
      <c r="L439" s="16">
        <v>220</v>
      </c>
      <c r="M439" s="16">
        <v>221</v>
      </c>
      <c r="N439" s="16">
        <v>222</v>
      </c>
      <c r="O439" s="16">
        <v>223</v>
      </c>
      <c r="P439" s="16">
        <v>224</v>
      </c>
      <c r="Q439" s="240"/>
      <c r="R439" s="240"/>
      <c r="S439" s="240"/>
    </row>
    <row r="440" spans="1:19" ht="31.5">
      <c r="A440" s="243" t="s">
        <v>18</v>
      </c>
      <c r="B440" s="244"/>
      <c r="C440" s="118" t="s">
        <v>398</v>
      </c>
      <c r="D440" s="118" t="s">
        <v>399</v>
      </c>
      <c r="E440" s="118" t="s">
        <v>400</v>
      </c>
      <c r="F440" s="118" t="s">
        <v>401</v>
      </c>
      <c r="G440" s="118" t="s">
        <v>402</v>
      </c>
      <c r="H440" s="118" t="s">
        <v>403</v>
      </c>
      <c r="I440" s="118" t="s">
        <v>404</v>
      </c>
      <c r="J440" s="118" t="s">
        <v>405</v>
      </c>
      <c r="K440" s="118" t="s">
        <v>406</v>
      </c>
      <c r="L440" s="118" t="s">
        <v>407</v>
      </c>
      <c r="M440" s="118" t="s">
        <v>408</v>
      </c>
      <c r="N440" s="118" t="s">
        <v>409</v>
      </c>
      <c r="O440" s="118" t="s">
        <v>410</v>
      </c>
      <c r="P440" s="118" t="s">
        <v>411</v>
      </c>
      <c r="Q440" s="240"/>
      <c r="R440" s="240"/>
      <c r="S440" s="240"/>
    </row>
    <row r="441" spans="1:19" ht="29.25" customHeight="1">
      <c r="A441" s="245" t="s">
        <v>20</v>
      </c>
      <c r="B441" s="246"/>
      <c r="C441" s="33">
        <v>684</v>
      </c>
      <c r="D441" s="33">
        <v>658</v>
      </c>
      <c r="E441" s="33">
        <v>780</v>
      </c>
      <c r="F441" s="33">
        <v>696</v>
      </c>
      <c r="G441" s="33">
        <v>829</v>
      </c>
      <c r="H441" s="33">
        <v>672</v>
      </c>
      <c r="I441" s="33">
        <v>849</v>
      </c>
      <c r="J441" s="33">
        <v>383</v>
      </c>
      <c r="K441" s="33">
        <v>383</v>
      </c>
      <c r="L441" s="33">
        <v>695</v>
      </c>
      <c r="M441" s="33">
        <v>612</v>
      </c>
      <c r="N441" s="33">
        <v>599</v>
      </c>
      <c r="O441" s="33">
        <v>621</v>
      </c>
      <c r="P441" s="33">
        <v>710</v>
      </c>
      <c r="Q441" s="240"/>
      <c r="R441" s="240"/>
      <c r="S441" s="240"/>
    </row>
    <row r="442" spans="1:19">
      <c r="A442" s="19" t="s">
        <v>7</v>
      </c>
      <c r="B442" s="16" t="s">
        <v>8</v>
      </c>
      <c r="C442" s="20" t="s">
        <v>9</v>
      </c>
      <c r="D442" s="20" t="s">
        <v>9</v>
      </c>
      <c r="E442" s="20" t="s">
        <v>9</v>
      </c>
      <c r="F442" s="20" t="s">
        <v>9</v>
      </c>
      <c r="G442" s="20" t="s">
        <v>9</v>
      </c>
      <c r="H442" s="20" t="s">
        <v>9</v>
      </c>
      <c r="I442" s="20" t="s">
        <v>9</v>
      </c>
      <c r="J442" s="20" t="s">
        <v>9</v>
      </c>
      <c r="K442" s="20" t="s">
        <v>9</v>
      </c>
      <c r="L442" s="20" t="s">
        <v>9</v>
      </c>
      <c r="M442" s="20" t="s">
        <v>9</v>
      </c>
      <c r="N442" s="20" t="s">
        <v>9</v>
      </c>
      <c r="O442" s="20" t="s">
        <v>9</v>
      </c>
      <c r="P442" s="20" t="s">
        <v>9</v>
      </c>
      <c r="Q442" s="241"/>
      <c r="R442" s="241"/>
      <c r="S442" s="241"/>
    </row>
    <row r="443" spans="1:19" s="182" customFormat="1">
      <c r="A443" s="172">
        <v>1</v>
      </c>
      <c r="B443" s="173" t="s">
        <v>85</v>
      </c>
      <c r="C443" s="175">
        <v>9</v>
      </c>
      <c r="D443" s="175">
        <v>33</v>
      </c>
      <c r="E443" s="175">
        <v>37</v>
      </c>
      <c r="F443" s="175">
        <v>36</v>
      </c>
      <c r="G443" s="175">
        <v>62</v>
      </c>
      <c r="H443" s="175">
        <v>26</v>
      </c>
      <c r="I443" s="175">
        <v>90</v>
      </c>
      <c r="J443" s="175">
        <v>45</v>
      </c>
      <c r="K443" s="175">
        <v>18</v>
      </c>
      <c r="L443" s="175">
        <v>82</v>
      </c>
      <c r="M443" s="175">
        <v>24</v>
      </c>
      <c r="N443" s="175">
        <v>66</v>
      </c>
      <c r="O443" s="175">
        <v>52</v>
      </c>
      <c r="P443" s="175">
        <v>3</v>
      </c>
      <c r="Q443" s="176">
        <f>SUM(C443:P443)</f>
        <v>583</v>
      </c>
      <c r="R443" s="176">
        <f t="shared" ref="R443:R453" si="73">S414</f>
        <v>32820</v>
      </c>
      <c r="S443" s="176">
        <f>Q443+R443</f>
        <v>33403</v>
      </c>
    </row>
    <row r="444" spans="1:19" s="182" customFormat="1">
      <c r="A444" s="172">
        <v>2</v>
      </c>
      <c r="B444" s="173" t="s">
        <v>156</v>
      </c>
      <c r="C444" s="175">
        <v>495</v>
      </c>
      <c r="D444" s="175">
        <v>583</v>
      </c>
      <c r="E444" s="175">
        <v>523</v>
      </c>
      <c r="F444" s="175">
        <v>483</v>
      </c>
      <c r="G444" s="175">
        <v>734</v>
      </c>
      <c r="H444" s="175">
        <v>543</v>
      </c>
      <c r="I444" s="175">
        <v>637</v>
      </c>
      <c r="J444" s="175">
        <v>288</v>
      </c>
      <c r="K444" s="175">
        <v>117</v>
      </c>
      <c r="L444" s="175">
        <v>322</v>
      </c>
      <c r="M444" s="175">
        <v>547</v>
      </c>
      <c r="N444" s="175">
        <v>367</v>
      </c>
      <c r="O444" s="175">
        <v>450</v>
      </c>
      <c r="P444" s="175">
        <v>696</v>
      </c>
      <c r="Q444" s="176">
        <f t="shared" ref="Q444:Q452" si="74">SUM(C444:P444)</f>
        <v>6785</v>
      </c>
      <c r="R444" s="176">
        <f t="shared" si="73"/>
        <v>67923</v>
      </c>
      <c r="S444" s="176">
        <f t="shared" ref="S444:S453" si="75">Q444+R444</f>
        <v>74708</v>
      </c>
    </row>
    <row r="445" spans="1:19" s="182" customFormat="1">
      <c r="A445" s="172">
        <v>3</v>
      </c>
      <c r="B445" s="173" t="s">
        <v>157</v>
      </c>
      <c r="C445" s="175">
        <v>4</v>
      </c>
      <c r="D445" s="175">
        <v>6</v>
      </c>
      <c r="E445" s="175">
        <v>8</v>
      </c>
      <c r="F445" s="175">
        <v>11</v>
      </c>
      <c r="G445" s="175">
        <v>1</v>
      </c>
      <c r="H445" s="175">
        <v>16</v>
      </c>
      <c r="I445" s="175">
        <v>5</v>
      </c>
      <c r="J445" s="175">
        <v>25</v>
      </c>
      <c r="K445" s="175">
        <v>16</v>
      </c>
      <c r="L445" s="175">
        <v>14</v>
      </c>
      <c r="M445" s="175">
        <v>6</v>
      </c>
      <c r="N445" s="175">
        <v>13</v>
      </c>
      <c r="O445" s="175">
        <v>29</v>
      </c>
      <c r="P445" s="175">
        <v>2</v>
      </c>
      <c r="Q445" s="176">
        <f t="shared" si="74"/>
        <v>156</v>
      </c>
      <c r="R445" s="176">
        <f t="shared" si="73"/>
        <v>1346</v>
      </c>
      <c r="S445" s="176">
        <f t="shared" si="75"/>
        <v>1502</v>
      </c>
    </row>
    <row r="446" spans="1:19" s="182" customFormat="1">
      <c r="A446" s="172">
        <v>4</v>
      </c>
      <c r="B446" s="173" t="s">
        <v>158</v>
      </c>
      <c r="C446" s="175">
        <v>167</v>
      </c>
      <c r="D446" s="175">
        <v>28</v>
      </c>
      <c r="E446" s="175">
        <v>174</v>
      </c>
      <c r="F446" s="175">
        <v>118</v>
      </c>
      <c r="G446" s="175">
        <v>9</v>
      </c>
      <c r="H446" s="175">
        <v>67</v>
      </c>
      <c r="I446" s="175">
        <v>103</v>
      </c>
      <c r="J446" s="175">
        <v>9</v>
      </c>
      <c r="K446" s="175">
        <v>224</v>
      </c>
      <c r="L446" s="175">
        <v>254</v>
      </c>
      <c r="M446" s="175">
        <v>22</v>
      </c>
      <c r="N446" s="175">
        <v>137</v>
      </c>
      <c r="O446" s="175">
        <v>62</v>
      </c>
      <c r="P446" s="175">
        <v>1</v>
      </c>
      <c r="Q446" s="176">
        <f t="shared" si="74"/>
        <v>1375</v>
      </c>
      <c r="R446" s="176">
        <f t="shared" si="73"/>
        <v>19482</v>
      </c>
      <c r="S446" s="176">
        <f t="shared" si="75"/>
        <v>20857</v>
      </c>
    </row>
    <row r="447" spans="1:19" s="182" customFormat="1">
      <c r="A447" s="172">
        <v>5</v>
      </c>
      <c r="B447" s="173" t="s">
        <v>159</v>
      </c>
      <c r="C447" s="175">
        <v>2</v>
      </c>
      <c r="D447" s="175">
        <v>1</v>
      </c>
      <c r="E447" s="175">
        <v>2</v>
      </c>
      <c r="F447" s="175">
        <v>3</v>
      </c>
      <c r="G447" s="175">
        <v>1</v>
      </c>
      <c r="H447" s="175">
        <v>5</v>
      </c>
      <c r="I447" s="175">
        <v>0</v>
      </c>
      <c r="J447" s="175">
        <v>3</v>
      </c>
      <c r="K447" s="175">
        <v>1</v>
      </c>
      <c r="L447" s="175">
        <v>3</v>
      </c>
      <c r="M447" s="175">
        <v>1</v>
      </c>
      <c r="N447" s="175">
        <v>3</v>
      </c>
      <c r="O447" s="175">
        <v>1</v>
      </c>
      <c r="P447" s="175">
        <v>0</v>
      </c>
      <c r="Q447" s="176">
        <f t="shared" si="74"/>
        <v>26</v>
      </c>
      <c r="R447" s="176">
        <f t="shared" si="73"/>
        <v>369</v>
      </c>
      <c r="S447" s="176">
        <f t="shared" si="75"/>
        <v>395</v>
      </c>
    </row>
    <row r="448" spans="1:19" s="182" customFormat="1">
      <c r="A448" s="172">
        <v>6</v>
      </c>
      <c r="B448" s="173" t="s">
        <v>160</v>
      </c>
      <c r="C448" s="175">
        <v>3</v>
      </c>
      <c r="D448" s="175">
        <v>0</v>
      </c>
      <c r="E448" s="175">
        <v>7</v>
      </c>
      <c r="F448" s="175">
        <v>7</v>
      </c>
      <c r="G448" s="175">
        <v>3</v>
      </c>
      <c r="H448" s="175">
        <v>3</v>
      </c>
      <c r="I448" s="175">
        <v>1</v>
      </c>
      <c r="J448" s="175">
        <v>1</v>
      </c>
      <c r="K448" s="175">
        <v>5</v>
      </c>
      <c r="L448" s="175">
        <v>5</v>
      </c>
      <c r="M448" s="175">
        <v>5</v>
      </c>
      <c r="N448" s="175">
        <v>4</v>
      </c>
      <c r="O448" s="175">
        <v>3</v>
      </c>
      <c r="P448" s="175">
        <v>1</v>
      </c>
      <c r="Q448" s="176">
        <f t="shared" si="74"/>
        <v>48</v>
      </c>
      <c r="R448" s="176">
        <f t="shared" si="73"/>
        <v>603</v>
      </c>
      <c r="S448" s="176">
        <f t="shared" si="75"/>
        <v>651</v>
      </c>
    </row>
    <row r="449" spans="1:19" s="182" customFormat="1">
      <c r="A449" s="172">
        <v>7</v>
      </c>
      <c r="B449" s="173" t="s">
        <v>86</v>
      </c>
      <c r="C449" s="175">
        <v>0</v>
      </c>
      <c r="D449" s="175">
        <v>3</v>
      </c>
      <c r="E449" s="175">
        <v>17</v>
      </c>
      <c r="F449" s="175">
        <v>20</v>
      </c>
      <c r="G449" s="175">
        <v>7</v>
      </c>
      <c r="H449" s="175">
        <v>6</v>
      </c>
      <c r="I449" s="175">
        <v>5</v>
      </c>
      <c r="J449" s="175">
        <v>5</v>
      </c>
      <c r="K449" s="175">
        <v>2</v>
      </c>
      <c r="L449" s="175">
        <v>6</v>
      </c>
      <c r="M449" s="175">
        <v>3</v>
      </c>
      <c r="N449" s="175">
        <v>1</v>
      </c>
      <c r="O449" s="175">
        <v>8</v>
      </c>
      <c r="P449" s="175">
        <v>2</v>
      </c>
      <c r="Q449" s="176">
        <f t="shared" si="74"/>
        <v>85</v>
      </c>
      <c r="R449" s="176">
        <f t="shared" si="73"/>
        <v>450</v>
      </c>
      <c r="S449" s="176">
        <f t="shared" si="75"/>
        <v>535</v>
      </c>
    </row>
    <row r="450" spans="1:19" s="182" customFormat="1">
      <c r="A450" s="172">
        <v>8</v>
      </c>
      <c r="B450" s="173" t="s">
        <v>161</v>
      </c>
      <c r="C450" s="175">
        <v>2</v>
      </c>
      <c r="D450" s="175">
        <v>0</v>
      </c>
      <c r="E450" s="175">
        <v>6</v>
      </c>
      <c r="F450" s="175">
        <v>11</v>
      </c>
      <c r="G450" s="175">
        <v>2</v>
      </c>
      <c r="H450" s="175">
        <v>2</v>
      </c>
      <c r="I450" s="175">
        <v>2</v>
      </c>
      <c r="J450" s="175">
        <v>2</v>
      </c>
      <c r="K450" s="175">
        <v>0</v>
      </c>
      <c r="L450" s="175">
        <v>5</v>
      </c>
      <c r="M450" s="175">
        <v>1</v>
      </c>
      <c r="N450" s="175">
        <v>3</v>
      </c>
      <c r="O450" s="175">
        <v>8</v>
      </c>
      <c r="P450" s="175">
        <v>5</v>
      </c>
      <c r="Q450" s="176">
        <f t="shared" si="74"/>
        <v>49</v>
      </c>
      <c r="R450" s="176">
        <f t="shared" si="73"/>
        <v>421</v>
      </c>
      <c r="S450" s="176">
        <f t="shared" si="75"/>
        <v>470</v>
      </c>
    </row>
    <row r="451" spans="1:19" s="182" customFormat="1">
      <c r="A451" s="172">
        <v>9</v>
      </c>
      <c r="B451" s="174" t="s">
        <v>10</v>
      </c>
      <c r="C451" s="175">
        <v>2</v>
      </c>
      <c r="D451" s="175">
        <v>4</v>
      </c>
      <c r="E451" s="175">
        <v>6</v>
      </c>
      <c r="F451" s="175">
        <v>7</v>
      </c>
      <c r="G451" s="175">
        <v>10</v>
      </c>
      <c r="H451" s="175">
        <v>4</v>
      </c>
      <c r="I451" s="175">
        <v>2</v>
      </c>
      <c r="J451" s="175">
        <v>5</v>
      </c>
      <c r="K451" s="175">
        <v>0</v>
      </c>
      <c r="L451" s="175">
        <v>4</v>
      </c>
      <c r="M451" s="175">
        <v>3</v>
      </c>
      <c r="N451" s="175">
        <v>5</v>
      </c>
      <c r="O451" s="175">
        <v>8</v>
      </c>
      <c r="P451" s="175">
        <v>0</v>
      </c>
      <c r="Q451" s="176">
        <f t="shared" si="74"/>
        <v>60</v>
      </c>
      <c r="R451" s="176">
        <f t="shared" si="73"/>
        <v>604</v>
      </c>
      <c r="S451" s="176">
        <f t="shared" si="75"/>
        <v>664</v>
      </c>
    </row>
    <row r="452" spans="1:19" s="182" customFormat="1">
      <c r="A452" s="234" t="s">
        <v>11</v>
      </c>
      <c r="B452" s="235"/>
      <c r="C452" s="177">
        <v>0</v>
      </c>
      <c r="D452" s="177">
        <v>0</v>
      </c>
      <c r="E452" s="177">
        <v>0</v>
      </c>
      <c r="F452" s="177">
        <v>0</v>
      </c>
      <c r="G452" s="177">
        <v>0</v>
      </c>
      <c r="H452" s="177">
        <v>0</v>
      </c>
      <c r="I452" s="177">
        <v>0</v>
      </c>
      <c r="J452" s="177">
        <v>0</v>
      </c>
      <c r="K452" s="177">
        <v>0</v>
      </c>
      <c r="L452" s="177">
        <v>0</v>
      </c>
      <c r="M452" s="177">
        <v>0</v>
      </c>
      <c r="N452" s="177">
        <v>0</v>
      </c>
      <c r="O452" s="177">
        <v>0</v>
      </c>
      <c r="P452" s="177">
        <v>0</v>
      </c>
      <c r="Q452" s="176">
        <f t="shared" si="74"/>
        <v>0</v>
      </c>
      <c r="R452" s="176">
        <f t="shared" si="73"/>
        <v>0</v>
      </c>
      <c r="S452" s="176">
        <f t="shared" si="75"/>
        <v>0</v>
      </c>
    </row>
    <row r="453" spans="1:19" s="182" customFormat="1">
      <c r="A453" s="236" t="s">
        <v>12</v>
      </c>
      <c r="B453" s="236"/>
      <c r="C453" s="176">
        <f t="shared" ref="C453:Q453" si="76">SUM(C443:C452)</f>
        <v>684</v>
      </c>
      <c r="D453" s="176">
        <f t="shared" si="76"/>
        <v>658</v>
      </c>
      <c r="E453" s="176">
        <f t="shared" si="76"/>
        <v>780</v>
      </c>
      <c r="F453" s="176">
        <f t="shared" si="76"/>
        <v>696</v>
      </c>
      <c r="G453" s="176">
        <f t="shared" si="76"/>
        <v>829</v>
      </c>
      <c r="H453" s="176">
        <f t="shared" si="76"/>
        <v>672</v>
      </c>
      <c r="I453" s="176">
        <f t="shared" si="76"/>
        <v>845</v>
      </c>
      <c r="J453" s="176">
        <f t="shared" si="76"/>
        <v>383</v>
      </c>
      <c r="K453" s="176">
        <f t="shared" si="76"/>
        <v>383</v>
      </c>
      <c r="L453" s="176">
        <f t="shared" si="76"/>
        <v>695</v>
      </c>
      <c r="M453" s="176">
        <f t="shared" si="76"/>
        <v>612</v>
      </c>
      <c r="N453" s="176">
        <f t="shared" si="76"/>
        <v>599</v>
      </c>
      <c r="O453" s="176">
        <f t="shared" si="76"/>
        <v>621</v>
      </c>
      <c r="P453" s="176">
        <f t="shared" si="76"/>
        <v>710</v>
      </c>
      <c r="Q453" s="176">
        <f t="shared" si="76"/>
        <v>9167</v>
      </c>
      <c r="R453" s="176">
        <f t="shared" si="73"/>
        <v>124018</v>
      </c>
      <c r="S453" s="176">
        <f t="shared" si="75"/>
        <v>133185</v>
      </c>
    </row>
    <row r="454" spans="1:19" ht="8.25" customHeight="1">
      <c r="A454" s="5"/>
      <c r="B454" s="5"/>
      <c r="C454" s="6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8"/>
      <c r="R454" s="7"/>
      <c r="S454" s="7"/>
    </row>
    <row r="455" spans="1:19" ht="22.5">
      <c r="A455" s="17"/>
      <c r="B455" s="17"/>
      <c r="C455" s="10" t="s">
        <v>13</v>
      </c>
      <c r="D455" s="10" t="s">
        <v>13</v>
      </c>
      <c r="E455" s="10" t="s">
        <v>13</v>
      </c>
      <c r="F455" s="10" t="s">
        <v>13</v>
      </c>
      <c r="G455" s="10" t="s">
        <v>13</v>
      </c>
      <c r="H455" s="10" t="s">
        <v>13</v>
      </c>
      <c r="I455" s="10" t="s">
        <v>13</v>
      </c>
      <c r="J455" s="10" t="s">
        <v>13</v>
      </c>
      <c r="K455" s="10" t="s">
        <v>13</v>
      </c>
      <c r="L455" s="10" t="s">
        <v>13</v>
      </c>
      <c r="M455" s="10" t="s">
        <v>13</v>
      </c>
      <c r="N455" s="10" t="s">
        <v>13</v>
      </c>
      <c r="O455" s="10" t="s">
        <v>13</v>
      </c>
      <c r="P455" s="10" t="s">
        <v>13</v>
      </c>
      <c r="Q455" s="10" t="s">
        <v>13</v>
      </c>
      <c r="R455" s="10" t="s">
        <v>13</v>
      </c>
      <c r="S455" s="10" t="s">
        <v>13</v>
      </c>
    </row>
    <row r="456" spans="1:19" ht="8.25" customHeight="1">
      <c r="A456" s="17"/>
      <c r="B456" s="17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</row>
    <row r="457" spans="1:19" ht="22.5">
      <c r="A457" s="17"/>
      <c r="B457" s="17"/>
      <c r="C457" s="10" t="s">
        <v>14</v>
      </c>
      <c r="D457" s="10" t="s">
        <v>14</v>
      </c>
      <c r="E457" s="10" t="s">
        <v>14</v>
      </c>
      <c r="F457" s="10" t="s">
        <v>14</v>
      </c>
      <c r="G457" s="10" t="s">
        <v>14</v>
      </c>
      <c r="H457" s="10" t="s">
        <v>14</v>
      </c>
      <c r="I457" s="10" t="s">
        <v>14</v>
      </c>
      <c r="J457" s="10" t="s">
        <v>14</v>
      </c>
      <c r="K457" s="10" t="s">
        <v>14</v>
      </c>
      <c r="L457" s="10" t="s">
        <v>14</v>
      </c>
      <c r="M457" s="10" t="s">
        <v>14</v>
      </c>
      <c r="N457" s="10" t="s">
        <v>14</v>
      </c>
      <c r="O457" s="10" t="s">
        <v>14</v>
      </c>
      <c r="P457" s="10" t="s">
        <v>14</v>
      </c>
      <c r="Q457" s="10" t="s">
        <v>14</v>
      </c>
      <c r="R457" s="10" t="s">
        <v>14</v>
      </c>
      <c r="S457" s="10" t="s">
        <v>14</v>
      </c>
    </row>
    <row r="458" spans="1:19" ht="6.75" customHeight="1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</row>
    <row r="459" spans="1:19">
      <c r="A459" s="237" t="s">
        <v>15</v>
      </c>
      <c r="B459" s="237"/>
      <c r="C459" s="238" t="s">
        <v>16</v>
      </c>
      <c r="D459" s="238"/>
      <c r="E459" s="238"/>
      <c r="F459" s="238"/>
      <c r="G459" s="238"/>
      <c r="H459" s="238"/>
      <c r="I459" s="238"/>
      <c r="J459" s="238"/>
      <c r="K459" s="238"/>
      <c r="L459" s="238"/>
      <c r="M459" s="238"/>
      <c r="N459" s="238"/>
      <c r="O459" s="238"/>
      <c r="P459" s="238"/>
      <c r="Q459" s="238"/>
      <c r="R459" s="17"/>
      <c r="S459" s="17"/>
    </row>
    <row r="460" spans="1:19">
      <c r="A460" s="17"/>
      <c r="B460" s="17"/>
      <c r="C460" s="238" t="s">
        <v>17</v>
      </c>
      <c r="D460" s="238"/>
      <c r="E460" s="238"/>
      <c r="F460" s="238"/>
      <c r="G460" s="238"/>
      <c r="H460" s="238"/>
      <c r="I460" s="238"/>
      <c r="J460" s="238"/>
      <c r="K460" s="238"/>
      <c r="L460" s="238"/>
      <c r="M460" s="238"/>
      <c r="N460" s="238"/>
      <c r="O460" s="238"/>
      <c r="P460" s="238"/>
      <c r="Q460" s="238"/>
      <c r="R460" s="17"/>
      <c r="S460" s="17"/>
    </row>
    <row r="461" spans="1:19" ht="15" customHeight="1">
      <c r="A461" s="17"/>
      <c r="B461" s="17"/>
      <c r="C461" s="228" t="s">
        <v>45</v>
      </c>
      <c r="D461" s="228"/>
      <c r="E461" s="228"/>
      <c r="F461" s="228"/>
      <c r="G461" s="228"/>
      <c r="H461" s="228"/>
      <c r="I461" s="228"/>
      <c r="J461" s="228"/>
      <c r="K461" s="228"/>
      <c r="L461" s="228"/>
      <c r="M461" s="228"/>
      <c r="N461" s="228"/>
      <c r="O461" s="228"/>
      <c r="P461" s="228"/>
      <c r="Q461" s="228"/>
      <c r="R461" s="17"/>
      <c r="S461" s="17"/>
    </row>
    <row r="462" spans="1:19">
      <c r="A462" s="23"/>
      <c r="B462" s="23"/>
      <c r="C462" s="228" t="s">
        <v>46</v>
      </c>
      <c r="D462" s="228"/>
      <c r="E462" s="228"/>
      <c r="F462" s="228"/>
      <c r="G462" s="228"/>
      <c r="H462" s="228"/>
      <c r="I462" s="228"/>
      <c r="J462" s="228"/>
      <c r="K462" s="228"/>
      <c r="L462" s="228"/>
      <c r="M462" s="228"/>
      <c r="N462" s="228"/>
      <c r="O462" s="228"/>
      <c r="P462" s="228"/>
      <c r="Q462" s="228"/>
      <c r="R462" s="23"/>
      <c r="S462" s="23"/>
    </row>
    <row r="463" spans="1:19" ht="15" customHeight="1">
      <c r="A463" s="60"/>
      <c r="B463" s="61" t="s">
        <v>139</v>
      </c>
      <c r="C463" s="227" t="s">
        <v>138</v>
      </c>
      <c r="D463" s="227"/>
      <c r="E463" s="227"/>
      <c r="F463" s="227"/>
      <c r="G463" s="227"/>
      <c r="H463" s="227"/>
      <c r="I463" s="227"/>
      <c r="J463" s="227"/>
      <c r="K463" s="227"/>
      <c r="L463" s="227"/>
      <c r="M463" s="227"/>
      <c r="N463" s="227"/>
      <c r="O463" s="227"/>
      <c r="P463" s="227"/>
      <c r="Q463" s="227"/>
      <c r="R463" s="60"/>
      <c r="S463" s="60"/>
    </row>
    <row r="464" spans="1:19">
      <c r="A464" s="23"/>
      <c r="B464" s="23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3"/>
      <c r="S464" s="23"/>
    </row>
    <row r="465" spans="1:19" ht="26.25">
      <c r="A465" s="229" t="s">
        <v>0</v>
      </c>
      <c r="B465" s="229"/>
      <c r="C465" s="229"/>
      <c r="D465" s="229"/>
      <c r="E465" s="229"/>
      <c r="F465" s="229"/>
      <c r="G465" s="229"/>
      <c r="H465" s="229"/>
      <c r="I465" s="229"/>
      <c r="J465" s="229"/>
      <c r="K465" s="229"/>
      <c r="L465" s="229"/>
      <c r="M465" s="229"/>
      <c r="N465" s="229"/>
      <c r="O465" s="229"/>
      <c r="P465" s="229"/>
      <c r="Q465" s="229"/>
      <c r="R465" s="229"/>
      <c r="S465" s="229"/>
    </row>
    <row r="466" spans="1:19" ht="19.5" customHeight="1">
      <c r="A466" s="230" t="s">
        <v>83</v>
      </c>
      <c r="B466" s="230"/>
      <c r="C466" s="230"/>
      <c r="D466" s="230"/>
      <c r="E466" s="230"/>
      <c r="F466" s="230"/>
      <c r="G466" s="230"/>
      <c r="H466" s="230"/>
      <c r="I466" s="1"/>
      <c r="J466" s="1"/>
      <c r="K466" s="231" t="s">
        <v>36</v>
      </c>
      <c r="L466" s="231"/>
      <c r="M466" s="231"/>
      <c r="N466" s="231"/>
      <c r="O466" s="1"/>
      <c r="P466" s="232" t="s">
        <v>1</v>
      </c>
      <c r="Q466" s="232"/>
      <c r="R466" s="233">
        <v>44630</v>
      </c>
      <c r="S466" s="233"/>
    </row>
    <row r="467" spans="1:19">
      <c r="A467" s="242" t="s">
        <v>2</v>
      </c>
      <c r="B467" s="242"/>
      <c r="C467" s="16">
        <v>1</v>
      </c>
      <c r="D467" s="16">
        <v>2</v>
      </c>
      <c r="E467" s="16">
        <v>3</v>
      </c>
      <c r="F467" s="16">
        <v>4</v>
      </c>
      <c r="G467" s="16">
        <v>5</v>
      </c>
      <c r="H467" s="16">
        <v>6</v>
      </c>
      <c r="I467" s="16">
        <v>7</v>
      </c>
      <c r="J467" s="16">
        <v>8</v>
      </c>
      <c r="K467" s="16">
        <v>9</v>
      </c>
      <c r="L467" s="16">
        <v>10</v>
      </c>
      <c r="M467" s="16">
        <v>11</v>
      </c>
      <c r="N467" s="16">
        <v>12</v>
      </c>
      <c r="O467" s="16">
        <v>13</v>
      </c>
      <c r="P467" s="16">
        <v>14</v>
      </c>
      <c r="Q467" s="239" t="s">
        <v>3</v>
      </c>
      <c r="R467" s="239" t="s">
        <v>4</v>
      </c>
      <c r="S467" s="239" t="s">
        <v>5</v>
      </c>
    </row>
    <row r="468" spans="1:19">
      <c r="A468" s="242" t="s">
        <v>6</v>
      </c>
      <c r="B468" s="242"/>
      <c r="C468" s="16">
        <v>225</v>
      </c>
      <c r="D468" s="16">
        <v>226</v>
      </c>
      <c r="E468" s="16">
        <v>227</v>
      </c>
      <c r="F468" s="16">
        <v>228</v>
      </c>
      <c r="G468" s="16">
        <v>229</v>
      </c>
      <c r="H468" s="16">
        <v>230</v>
      </c>
      <c r="I468" s="16">
        <v>231</v>
      </c>
      <c r="J468" s="16">
        <v>232</v>
      </c>
      <c r="K468" s="16">
        <v>233</v>
      </c>
      <c r="L468" s="16">
        <v>234</v>
      </c>
      <c r="M468" s="16">
        <v>235</v>
      </c>
      <c r="N468" s="16">
        <v>236</v>
      </c>
      <c r="O468" s="16">
        <v>237</v>
      </c>
      <c r="P468" s="16">
        <v>238</v>
      </c>
      <c r="Q468" s="240"/>
      <c r="R468" s="240"/>
      <c r="S468" s="240"/>
    </row>
    <row r="469" spans="1:19" ht="63">
      <c r="A469" s="243" t="s">
        <v>18</v>
      </c>
      <c r="B469" s="244"/>
      <c r="C469" s="118" t="s">
        <v>412</v>
      </c>
      <c r="D469" s="118" t="s">
        <v>413</v>
      </c>
      <c r="E469" s="118" t="s">
        <v>414</v>
      </c>
      <c r="F469" s="170" t="s">
        <v>1160</v>
      </c>
      <c r="G469" s="118" t="s">
        <v>415</v>
      </c>
      <c r="H469" s="118" t="s">
        <v>416</v>
      </c>
      <c r="I469" s="118" t="s">
        <v>625</v>
      </c>
      <c r="J469" s="118" t="s">
        <v>417</v>
      </c>
      <c r="K469" s="118" t="s">
        <v>418</v>
      </c>
      <c r="L469" s="118" t="s">
        <v>419</v>
      </c>
      <c r="M469" s="118" t="s">
        <v>420</v>
      </c>
      <c r="N469" s="118" t="s">
        <v>421</v>
      </c>
      <c r="O469" s="118" t="s">
        <v>422</v>
      </c>
      <c r="P469" s="118" t="s">
        <v>423</v>
      </c>
      <c r="Q469" s="240"/>
      <c r="R469" s="240"/>
      <c r="S469" s="240"/>
    </row>
    <row r="470" spans="1:19" ht="24.75" customHeight="1">
      <c r="A470" s="245" t="s">
        <v>20</v>
      </c>
      <c r="B470" s="246"/>
      <c r="C470" s="33">
        <v>624</v>
      </c>
      <c r="D470" s="33">
        <v>448</v>
      </c>
      <c r="E470" s="33">
        <v>382</v>
      </c>
      <c r="F470" s="33">
        <v>426</v>
      </c>
      <c r="G470" s="33">
        <v>390</v>
      </c>
      <c r="H470" s="33">
        <v>485</v>
      </c>
      <c r="I470" s="33">
        <v>557</v>
      </c>
      <c r="J470" s="33">
        <v>597</v>
      </c>
      <c r="K470" s="33">
        <v>604</v>
      </c>
      <c r="L470" s="33">
        <v>527</v>
      </c>
      <c r="M470" s="33">
        <v>579</v>
      </c>
      <c r="N470" s="33">
        <v>513</v>
      </c>
      <c r="O470" s="33">
        <v>659</v>
      </c>
      <c r="P470" s="33">
        <v>744</v>
      </c>
      <c r="Q470" s="240"/>
      <c r="R470" s="240"/>
      <c r="S470" s="240"/>
    </row>
    <row r="471" spans="1:19">
      <c r="A471" s="19" t="s">
        <v>7</v>
      </c>
      <c r="B471" s="16" t="s">
        <v>8</v>
      </c>
      <c r="C471" s="20" t="s">
        <v>9</v>
      </c>
      <c r="D471" s="20" t="s">
        <v>9</v>
      </c>
      <c r="E471" s="20" t="s">
        <v>9</v>
      </c>
      <c r="F471" s="20" t="s">
        <v>9</v>
      </c>
      <c r="G471" s="20" t="s">
        <v>9</v>
      </c>
      <c r="H471" s="20" t="s">
        <v>9</v>
      </c>
      <c r="I471" s="20" t="s">
        <v>9</v>
      </c>
      <c r="J471" s="20" t="s">
        <v>9</v>
      </c>
      <c r="K471" s="20" t="s">
        <v>9</v>
      </c>
      <c r="L471" s="20" t="s">
        <v>9</v>
      </c>
      <c r="M471" s="20" t="s">
        <v>9</v>
      </c>
      <c r="N471" s="20" t="s">
        <v>9</v>
      </c>
      <c r="O471" s="20" t="s">
        <v>9</v>
      </c>
      <c r="P471" s="20" t="s">
        <v>9</v>
      </c>
      <c r="Q471" s="241"/>
      <c r="R471" s="241"/>
      <c r="S471" s="241"/>
    </row>
    <row r="472" spans="1:19" s="180" customFormat="1">
      <c r="A472" s="172">
        <v>1</v>
      </c>
      <c r="B472" s="173" t="s">
        <v>85</v>
      </c>
      <c r="C472" s="178">
        <v>76</v>
      </c>
      <c r="D472" s="178">
        <v>87</v>
      </c>
      <c r="E472" s="178">
        <v>260</v>
      </c>
      <c r="F472" s="178">
        <v>351</v>
      </c>
      <c r="G472" s="178">
        <v>335</v>
      </c>
      <c r="H472" s="178">
        <v>11</v>
      </c>
      <c r="I472" s="178">
        <v>4</v>
      </c>
      <c r="J472" s="178">
        <v>64</v>
      </c>
      <c r="K472" s="178">
        <v>50</v>
      </c>
      <c r="L472" s="178">
        <v>83</v>
      </c>
      <c r="M472" s="178">
        <v>26</v>
      </c>
      <c r="N472" s="178">
        <v>7</v>
      </c>
      <c r="O472" s="178">
        <v>612</v>
      </c>
      <c r="P472" s="178">
        <v>422</v>
      </c>
      <c r="Q472" s="181">
        <f>SUM(C472:P472)</f>
        <v>2388</v>
      </c>
      <c r="R472" s="181">
        <f t="shared" ref="R472:R480" si="77">S443</f>
        <v>33403</v>
      </c>
      <c r="S472" s="181">
        <f>Q472+R472</f>
        <v>35791</v>
      </c>
    </row>
    <row r="473" spans="1:19" s="180" customFormat="1">
      <c r="A473" s="172">
        <v>2</v>
      </c>
      <c r="B473" s="173" t="s">
        <v>156</v>
      </c>
      <c r="C473" s="178">
        <v>495</v>
      </c>
      <c r="D473" s="178">
        <v>208</v>
      </c>
      <c r="E473" s="178">
        <v>65</v>
      </c>
      <c r="F473" s="178">
        <v>57</v>
      </c>
      <c r="G473" s="178">
        <v>18</v>
      </c>
      <c r="H473" s="178">
        <v>463</v>
      </c>
      <c r="I473" s="178">
        <v>537</v>
      </c>
      <c r="J473" s="178">
        <v>435</v>
      </c>
      <c r="K473" s="178">
        <v>324</v>
      </c>
      <c r="L473" s="178">
        <v>298</v>
      </c>
      <c r="M473" s="178">
        <v>481</v>
      </c>
      <c r="N473" s="178">
        <v>476</v>
      </c>
      <c r="O473" s="178">
        <v>30</v>
      </c>
      <c r="P473" s="178">
        <v>307</v>
      </c>
      <c r="Q473" s="181">
        <f t="shared" ref="Q473:Q481" si="78">SUM(C473:P473)</f>
        <v>4194</v>
      </c>
      <c r="R473" s="181">
        <f t="shared" si="77"/>
        <v>74708</v>
      </c>
      <c r="S473" s="181">
        <f t="shared" ref="S473:S482" si="79">Q473+R473</f>
        <v>78902</v>
      </c>
    </row>
    <row r="474" spans="1:19" s="180" customFormat="1">
      <c r="A474" s="172">
        <v>3</v>
      </c>
      <c r="B474" s="173" t="s">
        <v>157</v>
      </c>
      <c r="C474" s="178">
        <v>1</v>
      </c>
      <c r="D474" s="178">
        <v>5</v>
      </c>
      <c r="E474" s="178">
        <v>2</v>
      </c>
      <c r="F474" s="178">
        <v>3</v>
      </c>
      <c r="G474" s="178">
        <v>0</v>
      </c>
      <c r="H474" s="178">
        <v>4</v>
      </c>
      <c r="I474" s="178">
        <v>2</v>
      </c>
      <c r="J474" s="178">
        <v>6</v>
      </c>
      <c r="K474" s="178">
        <v>9</v>
      </c>
      <c r="L474" s="178">
        <v>7</v>
      </c>
      <c r="M474" s="178">
        <v>4</v>
      </c>
      <c r="N474" s="178">
        <v>8</v>
      </c>
      <c r="O474" s="178">
        <v>1</v>
      </c>
      <c r="P474" s="178">
        <v>2</v>
      </c>
      <c r="Q474" s="181">
        <f t="shared" si="78"/>
        <v>54</v>
      </c>
      <c r="R474" s="181">
        <f t="shared" si="77"/>
        <v>1502</v>
      </c>
      <c r="S474" s="181">
        <f t="shared" si="79"/>
        <v>1556</v>
      </c>
    </row>
    <row r="475" spans="1:19" s="180" customFormat="1">
      <c r="A475" s="172">
        <v>4</v>
      </c>
      <c r="B475" s="173" t="s">
        <v>158</v>
      </c>
      <c r="C475" s="178">
        <v>42</v>
      </c>
      <c r="D475" s="178">
        <v>142</v>
      </c>
      <c r="E475" s="178">
        <v>48</v>
      </c>
      <c r="F475" s="178">
        <v>10</v>
      </c>
      <c r="G475" s="178">
        <v>36</v>
      </c>
      <c r="H475" s="178">
        <v>2</v>
      </c>
      <c r="I475" s="178">
        <v>9</v>
      </c>
      <c r="J475" s="178">
        <v>81</v>
      </c>
      <c r="K475" s="178">
        <v>210</v>
      </c>
      <c r="L475" s="178">
        <v>123</v>
      </c>
      <c r="M475" s="178">
        <v>53</v>
      </c>
      <c r="N475" s="178">
        <v>1</v>
      </c>
      <c r="O475" s="178">
        <v>7</v>
      </c>
      <c r="P475" s="178">
        <v>7</v>
      </c>
      <c r="Q475" s="181">
        <f t="shared" si="78"/>
        <v>771</v>
      </c>
      <c r="R475" s="181">
        <f t="shared" si="77"/>
        <v>20857</v>
      </c>
      <c r="S475" s="181">
        <f t="shared" si="79"/>
        <v>21628</v>
      </c>
    </row>
    <row r="476" spans="1:19" s="180" customFormat="1">
      <c r="A476" s="172">
        <v>5</v>
      </c>
      <c r="B476" s="173" t="s">
        <v>159</v>
      </c>
      <c r="C476" s="178">
        <v>2</v>
      </c>
      <c r="D476" s="178">
        <v>2</v>
      </c>
      <c r="E476" s="178">
        <v>0</v>
      </c>
      <c r="F476" s="178">
        <v>1</v>
      </c>
      <c r="G476" s="178">
        <v>1</v>
      </c>
      <c r="H476" s="178">
        <v>0</v>
      </c>
      <c r="I476" s="178">
        <v>0</v>
      </c>
      <c r="J476" s="178">
        <v>0</v>
      </c>
      <c r="K476" s="178">
        <v>4</v>
      </c>
      <c r="L476" s="178">
        <v>2</v>
      </c>
      <c r="M476" s="178">
        <v>1</v>
      </c>
      <c r="N476" s="178">
        <v>1</v>
      </c>
      <c r="O476" s="178">
        <v>0</v>
      </c>
      <c r="P476" s="178">
        <v>0</v>
      </c>
      <c r="Q476" s="181">
        <f t="shared" si="78"/>
        <v>14</v>
      </c>
      <c r="R476" s="181">
        <f t="shared" si="77"/>
        <v>395</v>
      </c>
      <c r="S476" s="181">
        <f t="shared" si="79"/>
        <v>409</v>
      </c>
    </row>
    <row r="477" spans="1:19" s="180" customFormat="1">
      <c r="A477" s="172">
        <v>6</v>
      </c>
      <c r="B477" s="173" t="s">
        <v>160</v>
      </c>
      <c r="C477" s="178">
        <v>1</v>
      </c>
      <c r="D477" s="178">
        <v>2</v>
      </c>
      <c r="E477" s="178">
        <v>0</v>
      </c>
      <c r="F477" s="178">
        <v>0</v>
      </c>
      <c r="G477" s="178">
        <v>0</v>
      </c>
      <c r="H477" s="178">
        <v>1</v>
      </c>
      <c r="I477" s="178">
        <v>0</v>
      </c>
      <c r="J477" s="178">
        <v>1</v>
      </c>
      <c r="K477" s="178">
        <v>2</v>
      </c>
      <c r="L477" s="178">
        <v>1</v>
      </c>
      <c r="M477" s="178">
        <v>1</v>
      </c>
      <c r="N477" s="178">
        <v>1</v>
      </c>
      <c r="O477" s="178">
        <v>1</v>
      </c>
      <c r="P477" s="178">
        <v>0</v>
      </c>
      <c r="Q477" s="181">
        <f t="shared" si="78"/>
        <v>11</v>
      </c>
      <c r="R477" s="181">
        <f t="shared" si="77"/>
        <v>651</v>
      </c>
      <c r="S477" s="181">
        <f t="shared" si="79"/>
        <v>662</v>
      </c>
    </row>
    <row r="478" spans="1:19" s="180" customFormat="1">
      <c r="A478" s="172">
        <v>7</v>
      </c>
      <c r="B478" s="173" t="s">
        <v>86</v>
      </c>
      <c r="C478" s="178">
        <v>1</v>
      </c>
      <c r="D478" s="178">
        <v>0</v>
      </c>
      <c r="E478" s="178">
        <v>0</v>
      </c>
      <c r="F478" s="178">
        <v>1</v>
      </c>
      <c r="G478" s="178">
        <v>0</v>
      </c>
      <c r="H478" s="178">
        <v>2</v>
      </c>
      <c r="I478" s="178">
        <v>1</v>
      </c>
      <c r="J478" s="178">
        <v>6</v>
      </c>
      <c r="K478" s="178">
        <v>1</v>
      </c>
      <c r="L478" s="178">
        <v>8</v>
      </c>
      <c r="M478" s="178">
        <v>1</v>
      </c>
      <c r="N478" s="178">
        <v>8</v>
      </c>
      <c r="O478" s="178">
        <v>1</v>
      </c>
      <c r="P478" s="178">
        <v>3</v>
      </c>
      <c r="Q478" s="181">
        <f t="shared" si="78"/>
        <v>33</v>
      </c>
      <c r="R478" s="181">
        <f t="shared" si="77"/>
        <v>535</v>
      </c>
      <c r="S478" s="181">
        <f t="shared" si="79"/>
        <v>568</v>
      </c>
    </row>
    <row r="479" spans="1:19" s="180" customFormat="1">
      <c r="A479" s="172">
        <v>8</v>
      </c>
      <c r="B479" s="173" t="s">
        <v>161</v>
      </c>
      <c r="C479" s="178">
        <v>3</v>
      </c>
      <c r="D479" s="178">
        <v>1</v>
      </c>
      <c r="E479" s="178">
        <v>1</v>
      </c>
      <c r="F479" s="178">
        <v>0</v>
      </c>
      <c r="G479" s="178">
        <v>0</v>
      </c>
      <c r="H479" s="178">
        <v>1</v>
      </c>
      <c r="I479" s="178">
        <v>2</v>
      </c>
      <c r="J479" s="178">
        <v>3</v>
      </c>
      <c r="K479" s="178">
        <v>2</v>
      </c>
      <c r="L479" s="178">
        <v>4</v>
      </c>
      <c r="M479" s="178">
        <v>6</v>
      </c>
      <c r="N479" s="178">
        <v>9</v>
      </c>
      <c r="O479" s="178">
        <v>0</v>
      </c>
      <c r="P479" s="178">
        <v>2</v>
      </c>
      <c r="Q479" s="181">
        <f t="shared" si="78"/>
        <v>34</v>
      </c>
      <c r="R479" s="181">
        <f t="shared" si="77"/>
        <v>470</v>
      </c>
      <c r="S479" s="181">
        <f t="shared" si="79"/>
        <v>504</v>
      </c>
    </row>
    <row r="480" spans="1:19" s="180" customFormat="1">
      <c r="A480" s="172">
        <v>9</v>
      </c>
      <c r="B480" s="174" t="s">
        <v>10</v>
      </c>
      <c r="C480" s="178">
        <v>3</v>
      </c>
      <c r="D480" s="178">
        <v>1</v>
      </c>
      <c r="E480" s="178">
        <v>6</v>
      </c>
      <c r="F480" s="178">
        <v>3</v>
      </c>
      <c r="G480" s="178">
        <v>0</v>
      </c>
      <c r="H480" s="178">
        <v>1</v>
      </c>
      <c r="I480" s="178">
        <v>2</v>
      </c>
      <c r="J480" s="178">
        <v>1</v>
      </c>
      <c r="K480" s="178">
        <v>2</v>
      </c>
      <c r="L480" s="178">
        <v>1</v>
      </c>
      <c r="M480" s="178">
        <v>6</v>
      </c>
      <c r="N480" s="178">
        <v>2</v>
      </c>
      <c r="O480" s="178">
        <v>7</v>
      </c>
      <c r="P480" s="178">
        <v>1</v>
      </c>
      <c r="Q480" s="181">
        <f t="shared" si="78"/>
        <v>36</v>
      </c>
      <c r="R480" s="181">
        <f t="shared" si="77"/>
        <v>664</v>
      </c>
      <c r="S480" s="181">
        <f t="shared" si="79"/>
        <v>700</v>
      </c>
    </row>
    <row r="481" spans="1:19" s="180" customFormat="1">
      <c r="A481" s="234" t="s">
        <v>11</v>
      </c>
      <c r="B481" s="235"/>
      <c r="C481" s="183">
        <v>0</v>
      </c>
      <c r="D481" s="183">
        <v>0</v>
      </c>
      <c r="E481" s="183">
        <v>0</v>
      </c>
      <c r="F481" s="183">
        <v>0</v>
      </c>
      <c r="G481" s="183">
        <v>0</v>
      </c>
      <c r="H481" s="183">
        <v>0</v>
      </c>
      <c r="I481" s="183">
        <v>0</v>
      </c>
      <c r="J481" s="183">
        <v>0</v>
      </c>
      <c r="K481" s="183">
        <v>0</v>
      </c>
      <c r="L481" s="183">
        <v>0</v>
      </c>
      <c r="M481" s="183">
        <v>0</v>
      </c>
      <c r="N481" s="183">
        <v>0</v>
      </c>
      <c r="O481" s="183">
        <v>0</v>
      </c>
      <c r="P481" s="183">
        <v>0</v>
      </c>
      <c r="Q481" s="181">
        <f t="shared" si="78"/>
        <v>0</v>
      </c>
      <c r="R481" s="181">
        <f t="shared" ref="R481:R482" si="80">S452</f>
        <v>0</v>
      </c>
      <c r="S481" s="181">
        <f t="shared" si="79"/>
        <v>0</v>
      </c>
    </row>
    <row r="482" spans="1:19" s="180" customFormat="1">
      <c r="A482" s="236" t="s">
        <v>12</v>
      </c>
      <c r="B482" s="236"/>
      <c r="C482" s="181">
        <f t="shared" ref="C482:Q482" si="81">SUM(C472:C481)</f>
        <v>624</v>
      </c>
      <c r="D482" s="181">
        <f t="shared" si="81"/>
        <v>448</v>
      </c>
      <c r="E482" s="181">
        <f t="shared" si="81"/>
        <v>382</v>
      </c>
      <c r="F482" s="181">
        <f t="shared" si="81"/>
        <v>426</v>
      </c>
      <c r="G482" s="181">
        <f t="shared" si="81"/>
        <v>390</v>
      </c>
      <c r="H482" s="181">
        <f t="shared" si="81"/>
        <v>485</v>
      </c>
      <c r="I482" s="181">
        <f t="shared" si="81"/>
        <v>557</v>
      </c>
      <c r="J482" s="181">
        <f t="shared" si="81"/>
        <v>597</v>
      </c>
      <c r="K482" s="181">
        <f t="shared" si="81"/>
        <v>604</v>
      </c>
      <c r="L482" s="181">
        <f t="shared" si="81"/>
        <v>527</v>
      </c>
      <c r="M482" s="181">
        <f t="shared" si="81"/>
        <v>579</v>
      </c>
      <c r="N482" s="181">
        <f t="shared" si="81"/>
        <v>513</v>
      </c>
      <c r="O482" s="181">
        <f t="shared" si="81"/>
        <v>659</v>
      </c>
      <c r="P482" s="181">
        <f t="shared" si="81"/>
        <v>744</v>
      </c>
      <c r="Q482" s="181">
        <f t="shared" si="81"/>
        <v>7535</v>
      </c>
      <c r="R482" s="181">
        <f t="shared" si="80"/>
        <v>133185</v>
      </c>
      <c r="S482" s="181">
        <f t="shared" si="79"/>
        <v>140720</v>
      </c>
    </row>
    <row r="483" spans="1:19" ht="6.75" customHeight="1">
      <c r="A483" s="5"/>
      <c r="B483" s="5"/>
      <c r="C483" s="6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8"/>
      <c r="R483" s="7"/>
      <c r="S483" s="7"/>
    </row>
    <row r="484" spans="1:19" ht="22.5">
      <c r="A484" s="17"/>
      <c r="B484" s="17"/>
      <c r="C484" s="10" t="s">
        <v>13</v>
      </c>
      <c r="D484" s="10" t="s">
        <v>13</v>
      </c>
      <c r="E484" s="10" t="s">
        <v>13</v>
      </c>
      <c r="F484" s="10" t="s">
        <v>13</v>
      </c>
      <c r="G484" s="10" t="s">
        <v>13</v>
      </c>
      <c r="H484" s="10" t="s">
        <v>13</v>
      </c>
      <c r="I484" s="10" t="s">
        <v>13</v>
      </c>
      <c r="J484" s="10" t="s">
        <v>13</v>
      </c>
      <c r="K484" s="10" t="s">
        <v>13</v>
      </c>
      <c r="L484" s="10" t="s">
        <v>13</v>
      </c>
      <c r="M484" s="10" t="s">
        <v>13</v>
      </c>
      <c r="N484" s="10" t="s">
        <v>13</v>
      </c>
      <c r="O484" s="10" t="s">
        <v>13</v>
      </c>
      <c r="P484" s="10" t="s">
        <v>13</v>
      </c>
      <c r="Q484" s="10" t="s">
        <v>13</v>
      </c>
      <c r="R484" s="10" t="s">
        <v>13</v>
      </c>
      <c r="S484" s="10" t="s">
        <v>13</v>
      </c>
    </row>
    <row r="485" spans="1:19" ht="6.75" customHeight="1">
      <c r="A485" s="17"/>
      <c r="B485" s="17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</row>
    <row r="486" spans="1:19" ht="22.5">
      <c r="A486" s="17"/>
      <c r="B486" s="17"/>
      <c r="C486" s="10" t="s">
        <v>14</v>
      </c>
      <c r="D486" s="10" t="s">
        <v>14</v>
      </c>
      <c r="E486" s="10" t="s">
        <v>14</v>
      </c>
      <c r="F486" s="10" t="s">
        <v>14</v>
      </c>
      <c r="G486" s="10" t="s">
        <v>14</v>
      </c>
      <c r="H486" s="10" t="s">
        <v>14</v>
      </c>
      <c r="I486" s="10" t="s">
        <v>14</v>
      </c>
      <c r="J486" s="10" t="s">
        <v>14</v>
      </c>
      <c r="K486" s="10" t="s">
        <v>14</v>
      </c>
      <c r="L486" s="10" t="s">
        <v>14</v>
      </c>
      <c r="M486" s="10" t="s">
        <v>14</v>
      </c>
      <c r="N486" s="10" t="s">
        <v>14</v>
      </c>
      <c r="O486" s="10" t="s">
        <v>14</v>
      </c>
      <c r="P486" s="10" t="s">
        <v>14</v>
      </c>
      <c r="Q486" s="10" t="s">
        <v>14</v>
      </c>
      <c r="R486" s="10" t="s">
        <v>14</v>
      </c>
      <c r="S486" s="10" t="s">
        <v>14</v>
      </c>
    </row>
    <row r="487" spans="1:19" ht="9.75" customHeight="1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</row>
    <row r="488" spans="1:19">
      <c r="A488" s="237" t="s">
        <v>15</v>
      </c>
      <c r="B488" s="237"/>
      <c r="C488" s="238" t="s">
        <v>16</v>
      </c>
      <c r="D488" s="238"/>
      <c r="E488" s="238"/>
      <c r="F488" s="238"/>
      <c r="G488" s="238"/>
      <c r="H488" s="238"/>
      <c r="I488" s="238"/>
      <c r="J488" s="238"/>
      <c r="K488" s="238"/>
      <c r="L488" s="238"/>
      <c r="M488" s="238"/>
      <c r="N488" s="238"/>
      <c r="O488" s="238"/>
      <c r="P488" s="238"/>
      <c r="Q488" s="238"/>
      <c r="R488" s="17"/>
      <c r="S488" s="17"/>
    </row>
    <row r="489" spans="1:19">
      <c r="A489" s="17"/>
      <c r="B489" s="17"/>
      <c r="C489" s="238" t="s">
        <v>17</v>
      </c>
      <c r="D489" s="238"/>
      <c r="E489" s="238"/>
      <c r="F489" s="238"/>
      <c r="G489" s="238"/>
      <c r="H489" s="238"/>
      <c r="I489" s="238"/>
      <c r="J489" s="238"/>
      <c r="K489" s="238"/>
      <c r="L489" s="238"/>
      <c r="M489" s="238"/>
      <c r="N489" s="238"/>
      <c r="O489" s="238"/>
      <c r="P489" s="238"/>
      <c r="Q489" s="238"/>
      <c r="R489" s="17"/>
      <c r="S489" s="17"/>
    </row>
    <row r="490" spans="1:19" ht="15" customHeight="1">
      <c r="A490" s="17"/>
      <c r="B490" s="17"/>
      <c r="C490" s="228" t="s">
        <v>45</v>
      </c>
      <c r="D490" s="228"/>
      <c r="E490" s="228"/>
      <c r="F490" s="228"/>
      <c r="G490" s="228"/>
      <c r="H490" s="228"/>
      <c r="I490" s="228"/>
      <c r="J490" s="228"/>
      <c r="K490" s="228"/>
      <c r="L490" s="228"/>
      <c r="M490" s="228"/>
      <c r="N490" s="228"/>
      <c r="O490" s="228"/>
      <c r="P490" s="228"/>
      <c r="Q490" s="228"/>
      <c r="R490" s="17"/>
      <c r="S490" s="17"/>
    </row>
    <row r="491" spans="1:19">
      <c r="A491" s="23"/>
      <c r="B491" s="23"/>
      <c r="C491" s="228" t="s">
        <v>46</v>
      </c>
      <c r="D491" s="228"/>
      <c r="E491" s="228"/>
      <c r="F491" s="228"/>
      <c r="G491" s="228"/>
      <c r="H491" s="228"/>
      <c r="I491" s="228"/>
      <c r="J491" s="228"/>
      <c r="K491" s="228"/>
      <c r="L491" s="228"/>
      <c r="M491" s="228"/>
      <c r="N491" s="228"/>
      <c r="O491" s="228"/>
      <c r="P491" s="228"/>
      <c r="Q491" s="228"/>
      <c r="R491" s="23"/>
      <c r="S491" s="23"/>
    </row>
    <row r="492" spans="1:19" ht="15" customHeight="1">
      <c r="A492" s="60"/>
      <c r="B492" s="61" t="s">
        <v>139</v>
      </c>
      <c r="C492" s="227" t="s">
        <v>138</v>
      </c>
      <c r="D492" s="227"/>
      <c r="E492" s="227"/>
      <c r="F492" s="227"/>
      <c r="G492" s="227"/>
      <c r="H492" s="227"/>
      <c r="I492" s="227"/>
      <c r="J492" s="227"/>
      <c r="K492" s="227"/>
      <c r="L492" s="227"/>
      <c r="M492" s="227"/>
      <c r="N492" s="227"/>
      <c r="O492" s="227"/>
      <c r="P492" s="227"/>
      <c r="Q492" s="227"/>
      <c r="R492" s="60"/>
      <c r="S492" s="60"/>
    </row>
    <row r="493" spans="1:19">
      <c r="A493" s="23"/>
      <c r="B493" s="23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3"/>
      <c r="S493" s="23"/>
    </row>
    <row r="494" spans="1:19" ht="26.25">
      <c r="A494" s="229" t="s">
        <v>0</v>
      </c>
      <c r="B494" s="229"/>
      <c r="C494" s="229"/>
      <c r="D494" s="229"/>
      <c r="E494" s="229"/>
      <c r="F494" s="229"/>
      <c r="G494" s="229"/>
      <c r="H494" s="229"/>
      <c r="I494" s="229"/>
      <c r="J494" s="229"/>
      <c r="K494" s="229"/>
      <c r="L494" s="229"/>
      <c r="M494" s="229"/>
      <c r="N494" s="229"/>
      <c r="O494" s="229"/>
      <c r="P494" s="229"/>
      <c r="Q494" s="229"/>
      <c r="R494" s="229"/>
      <c r="S494" s="229"/>
    </row>
    <row r="495" spans="1:19" ht="19.5" customHeight="1">
      <c r="A495" s="230" t="s">
        <v>83</v>
      </c>
      <c r="B495" s="230"/>
      <c r="C495" s="230"/>
      <c r="D495" s="230"/>
      <c r="E495" s="230"/>
      <c r="F495" s="230"/>
      <c r="G495" s="230"/>
      <c r="H495" s="230"/>
      <c r="I495" s="1"/>
      <c r="J495" s="1"/>
      <c r="K495" s="231" t="s">
        <v>37</v>
      </c>
      <c r="L495" s="231"/>
      <c r="M495" s="231"/>
      <c r="N495" s="231"/>
      <c r="O495" s="1"/>
      <c r="P495" s="232" t="s">
        <v>1</v>
      </c>
      <c r="Q495" s="232"/>
      <c r="R495" s="233">
        <v>44630</v>
      </c>
      <c r="S495" s="233"/>
    </row>
    <row r="496" spans="1:19">
      <c r="A496" s="242" t="s">
        <v>2</v>
      </c>
      <c r="B496" s="242"/>
      <c r="C496" s="16">
        <v>1</v>
      </c>
      <c r="D496" s="16">
        <v>2</v>
      </c>
      <c r="E496" s="16">
        <v>3</v>
      </c>
      <c r="F496" s="16">
        <v>4</v>
      </c>
      <c r="G496" s="16">
        <v>5</v>
      </c>
      <c r="H496" s="16">
        <v>6</v>
      </c>
      <c r="I496" s="16">
        <v>7</v>
      </c>
      <c r="J496" s="16">
        <v>8</v>
      </c>
      <c r="K496" s="16">
        <v>9</v>
      </c>
      <c r="L496" s="16">
        <v>10</v>
      </c>
      <c r="M496" s="16">
        <v>11</v>
      </c>
      <c r="N496" s="16">
        <v>12</v>
      </c>
      <c r="O496" s="16">
        <v>13</v>
      </c>
      <c r="P496" s="16">
        <v>14</v>
      </c>
      <c r="Q496" s="239" t="s">
        <v>3</v>
      </c>
      <c r="R496" s="239" t="s">
        <v>4</v>
      </c>
      <c r="S496" s="239" t="s">
        <v>5</v>
      </c>
    </row>
    <row r="497" spans="1:19">
      <c r="A497" s="242" t="s">
        <v>6</v>
      </c>
      <c r="B497" s="242"/>
      <c r="C497" s="16">
        <v>239</v>
      </c>
      <c r="D497" s="16">
        <v>240</v>
      </c>
      <c r="E497" s="16">
        <v>241</v>
      </c>
      <c r="F497" s="16">
        <v>242</v>
      </c>
      <c r="G497" s="16">
        <v>243</v>
      </c>
      <c r="H497" s="16">
        <v>244</v>
      </c>
      <c r="I497" s="16">
        <v>245</v>
      </c>
      <c r="J497" s="16">
        <v>246</v>
      </c>
      <c r="K497" s="16">
        <v>247</v>
      </c>
      <c r="L497" s="16">
        <v>248</v>
      </c>
      <c r="M497" s="16">
        <v>249</v>
      </c>
      <c r="N497" s="16">
        <v>250</v>
      </c>
      <c r="O497" s="16">
        <v>251</v>
      </c>
      <c r="P497" s="16">
        <v>252</v>
      </c>
      <c r="Q497" s="240"/>
      <c r="R497" s="240"/>
      <c r="S497" s="240"/>
    </row>
    <row r="498" spans="1:19" ht="31.5">
      <c r="A498" s="243" t="s">
        <v>18</v>
      </c>
      <c r="B498" s="244"/>
      <c r="C498" s="118" t="s">
        <v>424</v>
      </c>
      <c r="D498" s="118" t="s">
        <v>425</v>
      </c>
      <c r="E498" s="118" t="s">
        <v>426</v>
      </c>
      <c r="F498" s="118" t="s">
        <v>427</v>
      </c>
      <c r="G498" s="118" t="s">
        <v>428</v>
      </c>
      <c r="H498" s="118" t="s">
        <v>626</v>
      </c>
      <c r="I498" s="118" t="s">
        <v>429</v>
      </c>
      <c r="J498" s="118" t="s">
        <v>627</v>
      </c>
      <c r="K498" s="118" t="s">
        <v>430</v>
      </c>
      <c r="L498" s="118" t="s">
        <v>431</v>
      </c>
      <c r="M498" s="118" t="s">
        <v>432</v>
      </c>
      <c r="N498" s="118" t="s">
        <v>433</v>
      </c>
      <c r="O498" s="118" t="s">
        <v>434</v>
      </c>
      <c r="P498" s="118" t="s">
        <v>435</v>
      </c>
      <c r="Q498" s="240"/>
      <c r="R498" s="240"/>
      <c r="S498" s="240"/>
    </row>
    <row r="499" spans="1:19" ht="30" customHeight="1">
      <c r="A499" s="245" t="s">
        <v>20</v>
      </c>
      <c r="B499" s="246"/>
      <c r="C499" s="33">
        <v>540</v>
      </c>
      <c r="D499" s="33">
        <v>447</v>
      </c>
      <c r="E499" s="33">
        <v>754</v>
      </c>
      <c r="F499" s="33">
        <v>748</v>
      </c>
      <c r="G499" s="33">
        <v>662</v>
      </c>
      <c r="H499" s="33">
        <v>653</v>
      </c>
      <c r="I499" s="33">
        <v>649</v>
      </c>
      <c r="J499" s="33">
        <v>453</v>
      </c>
      <c r="K499" s="33">
        <v>663</v>
      </c>
      <c r="L499" s="33">
        <v>691</v>
      </c>
      <c r="M499" s="33">
        <v>785</v>
      </c>
      <c r="N499" s="33">
        <v>498</v>
      </c>
      <c r="O499" s="33">
        <v>386</v>
      </c>
      <c r="P499" s="33">
        <v>801</v>
      </c>
      <c r="Q499" s="240"/>
      <c r="R499" s="240"/>
      <c r="S499" s="240"/>
    </row>
    <row r="500" spans="1:19">
      <c r="A500" s="19" t="s">
        <v>7</v>
      </c>
      <c r="B500" s="16" t="s">
        <v>8</v>
      </c>
      <c r="C500" s="20" t="s">
        <v>9</v>
      </c>
      <c r="D500" s="20" t="s">
        <v>9</v>
      </c>
      <c r="E500" s="20" t="s">
        <v>9</v>
      </c>
      <c r="F500" s="20" t="s">
        <v>9</v>
      </c>
      <c r="G500" s="20" t="s">
        <v>9</v>
      </c>
      <c r="H500" s="20" t="s">
        <v>9</v>
      </c>
      <c r="I500" s="20" t="s">
        <v>9</v>
      </c>
      <c r="J500" s="20" t="s">
        <v>9</v>
      </c>
      <c r="K500" s="20" t="s">
        <v>9</v>
      </c>
      <c r="L500" s="20" t="s">
        <v>9</v>
      </c>
      <c r="M500" s="20" t="s">
        <v>9</v>
      </c>
      <c r="N500" s="20" t="s">
        <v>9</v>
      </c>
      <c r="O500" s="20" t="s">
        <v>9</v>
      </c>
      <c r="P500" s="20" t="s">
        <v>9</v>
      </c>
      <c r="Q500" s="241"/>
      <c r="R500" s="241"/>
      <c r="S500" s="241"/>
    </row>
    <row r="501" spans="1:19" s="180" customFormat="1">
      <c r="A501" s="172">
        <v>1</v>
      </c>
      <c r="B501" s="173" t="s">
        <v>85</v>
      </c>
      <c r="C501" s="178">
        <v>149</v>
      </c>
      <c r="D501" s="178">
        <v>353</v>
      </c>
      <c r="E501" s="178">
        <v>99</v>
      </c>
      <c r="F501" s="178">
        <v>174</v>
      </c>
      <c r="G501" s="178">
        <v>283</v>
      </c>
      <c r="H501" s="178">
        <v>258</v>
      </c>
      <c r="I501" s="178">
        <v>98</v>
      </c>
      <c r="J501" s="178">
        <v>238</v>
      </c>
      <c r="K501" s="178">
        <v>640</v>
      </c>
      <c r="L501" s="178">
        <v>531</v>
      </c>
      <c r="M501" s="178">
        <v>744</v>
      </c>
      <c r="N501" s="178">
        <v>56</v>
      </c>
      <c r="O501" s="178">
        <v>28</v>
      </c>
      <c r="P501" s="178">
        <v>16</v>
      </c>
      <c r="Q501" s="176">
        <f>SUM(C501:P501)</f>
        <v>3667</v>
      </c>
      <c r="R501" s="176">
        <f t="shared" ref="R501:R509" si="82">S472</f>
        <v>35791</v>
      </c>
      <c r="S501" s="176">
        <f>Q501+R501</f>
        <v>39458</v>
      </c>
    </row>
    <row r="502" spans="1:19" s="180" customFormat="1">
      <c r="A502" s="172">
        <v>2</v>
      </c>
      <c r="B502" s="173" t="s">
        <v>156</v>
      </c>
      <c r="C502" s="178">
        <v>369</v>
      </c>
      <c r="D502" s="178">
        <v>76</v>
      </c>
      <c r="E502" s="178">
        <v>134</v>
      </c>
      <c r="F502" s="178">
        <v>550</v>
      </c>
      <c r="G502" s="178">
        <v>361</v>
      </c>
      <c r="H502" s="178">
        <v>377</v>
      </c>
      <c r="I502" s="178">
        <v>533</v>
      </c>
      <c r="J502" s="178">
        <v>205</v>
      </c>
      <c r="K502" s="178">
        <v>11</v>
      </c>
      <c r="L502" s="178">
        <v>153</v>
      </c>
      <c r="M502" s="178">
        <v>23</v>
      </c>
      <c r="N502" s="178">
        <v>333</v>
      </c>
      <c r="O502" s="178">
        <v>200</v>
      </c>
      <c r="P502" s="178">
        <v>739</v>
      </c>
      <c r="Q502" s="176">
        <f t="shared" ref="Q502:Q510" si="83">SUM(C502:P502)</f>
        <v>4064</v>
      </c>
      <c r="R502" s="176">
        <f t="shared" si="82"/>
        <v>78902</v>
      </c>
      <c r="S502" s="176">
        <f t="shared" ref="S502:S511" si="84">Q502+R502</f>
        <v>82966</v>
      </c>
    </row>
    <row r="503" spans="1:19" s="180" customFormat="1">
      <c r="A503" s="172">
        <v>3</v>
      </c>
      <c r="B503" s="173" t="s">
        <v>157</v>
      </c>
      <c r="C503" s="178">
        <v>1</v>
      </c>
      <c r="D503" s="178">
        <v>1</v>
      </c>
      <c r="E503" s="178">
        <v>4</v>
      </c>
      <c r="F503" s="178">
        <v>10</v>
      </c>
      <c r="G503" s="178">
        <v>6</v>
      </c>
      <c r="H503" s="178">
        <v>3</v>
      </c>
      <c r="I503" s="178">
        <v>2</v>
      </c>
      <c r="J503" s="178">
        <v>3</v>
      </c>
      <c r="K503" s="178">
        <v>1</v>
      </c>
      <c r="L503" s="178">
        <v>1</v>
      </c>
      <c r="M503" s="178">
        <v>1</v>
      </c>
      <c r="N503" s="178">
        <v>2</v>
      </c>
      <c r="O503" s="178">
        <v>1</v>
      </c>
      <c r="P503" s="178">
        <v>6</v>
      </c>
      <c r="Q503" s="176">
        <f t="shared" si="83"/>
        <v>42</v>
      </c>
      <c r="R503" s="176">
        <f t="shared" si="82"/>
        <v>1556</v>
      </c>
      <c r="S503" s="176">
        <f t="shared" si="84"/>
        <v>1598</v>
      </c>
    </row>
    <row r="504" spans="1:19" s="180" customFormat="1">
      <c r="A504" s="172">
        <v>4</v>
      </c>
      <c r="B504" s="173" t="s">
        <v>158</v>
      </c>
      <c r="C504" s="178">
        <v>8</v>
      </c>
      <c r="D504" s="178">
        <v>9</v>
      </c>
      <c r="E504" s="178">
        <v>495</v>
      </c>
      <c r="F504" s="178">
        <v>2</v>
      </c>
      <c r="G504" s="178">
        <v>1</v>
      </c>
      <c r="H504" s="178">
        <v>3</v>
      </c>
      <c r="I504" s="178">
        <v>10</v>
      </c>
      <c r="J504" s="178">
        <v>0</v>
      </c>
      <c r="K504" s="178">
        <v>6</v>
      </c>
      <c r="L504" s="178">
        <v>0</v>
      </c>
      <c r="M504" s="178">
        <v>5</v>
      </c>
      <c r="N504" s="178">
        <v>99</v>
      </c>
      <c r="O504" s="178">
        <v>149</v>
      </c>
      <c r="P504" s="178">
        <v>15</v>
      </c>
      <c r="Q504" s="176">
        <f t="shared" si="83"/>
        <v>802</v>
      </c>
      <c r="R504" s="176">
        <f t="shared" si="82"/>
        <v>21628</v>
      </c>
      <c r="S504" s="176">
        <f t="shared" si="84"/>
        <v>22430</v>
      </c>
    </row>
    <row r="505" spans="1:19" s="180" customFormat="1">
      <c r="A505" s="172">
        <v>5</v>
      </c>
      <c r="B505" s="173" t="s">
        <v>159</v>
      </c>
      <c r="C505" s="178">
        <v>0</v>
      </c>
      <c r="D505" s="178">
        <v>0</v>
      </c>
      <c r="E505" s="178">
        <v>3</v>
      </c>
      <c r="F505" s="178">
        <v>1</v>
      </c>
      <c r="G505" s="178">
        <v>1</v>
      </c>
      <c r="H505" s="178">
        <v>2</v>
      </c>
      <c r="I505" s="178">
        <v>0</v>
      </c>
      <c r="J505" s="178">
        <v>0</v>
      </c>
      <c r="K505" s="178">
        <v>1</v>
      </c>
      <c r="L505" s="178">
        <v>2</v>
      </c>
      <c r="M505" s="178">
        <v>5</v>
      </c>
      <c r="N505" s="178">
        <v>2</v>
      </c>
      <c r="O505" s="178">
        <v>3</v>
      </c>
      <c r="P505" s="178">
        <v>1</v>
      </c>
      <c r="Q505" s="176">
        <f t="shared" si="83"/>
        <v>21</v>
      </c>
      <c r="R505" s="176">
        <f t="shared" si="82"/>
        <v>409</v>
      </c>
      <c r="S505" s="176">
        <f t="shared" si="84"/>
        <v>430</v>
      </c>
    </row>
    <row r="506" spans="1:19" s="180" customFormat="1">
      <c r="A506" s="172">
        <v>6</v>
      </c>
      <c r="B506" s="173" t="s">
        <v>160</v>
      </c>
      <c r="C506" s="178">
        <v>2</v>
      </c>
      <c r="D506" s="178">
        <v>0</v>
      </c>
      <c r="E506" s="178">
        <v>3</v>
      </c>
      <c r="F506" s="178">
        <v>0</v>
      </c>
      <c r="G506" s="178">
        <v>0</v>
      </c>
      <c r="H506" s="178">
        <v>0</v>
      </c>
      <c r="I506" s="178">
        <v>0</v>
      </c>
      <c r="J506" s="178">
        <v>2</v>
      </c>
      <c r="K506" s="178">
        <v>0</v>
      </c>
      <c r="L506" s="178">
        <v>0</v>
      </c>
      <c r="M506" s="178">
        <v>0</v>
      </c>
      <c r="N506" s="178">
        <v>1</v>
      </c>
      <c r="O506" s="178">
        <v>1</v>
      </c>
      <c r="P506" s="178">
        <v>3</v>
      </c>
      <c r="Q506" s="176">
        <f t="shared" si="83"/>
        <v>12</v>
      </c>
      <c r="R506" s="176">
        <f t="shared" si="82"/>
        <v>662</v>
      </c>
      <c r="S506" s="176">
        <f t="shared" si="84"/>
        <v>674</v>
      </c>
    </row>
    <row r="507" spans="1:19" s="180" customFormat="1">
      <c r="A507" s="172">
        <v>7</v>
      </c>
      <c r="B507" s="173" t="s">
        <v>86</v>
      </c>
      <c r="C507" s="178">
        <v>2</v>
      </c>
      <c r="D507" s="178">
        <v>1</v>
      </c>
      <c r="E507" s="178">
        <v>6</v>
      </c>
      <c r="F507" s="178">
        <v>3</v>
      </c>
      <c r="G507" s="178">
        <v>0</v>
      </c>
      <c r="H507" s="178">
        <v>3</v>
      </c>
      <c r="I507" s="178">
        <v>3</v>
      </c>
      <c r="J507" s="178">
        <v>2</v>
      </c>
      <c r="K507" s="178">
        <v>0</v>
      </c>
      <c r="L507" s="178">
        <v>1</v>
      </c>
      <c r="M507" s="178">
        <v>1</v>
      </c>
      <c r="N507" s="178">
        <v>3</v>
      </c>
      <c r="O507" s="178">
        <v>3</v>
      </c>
      <c r="P507" s="178">
        <v>9</v>
      </c>
      <c r="Q507" s="176">
        <f t="shared" si="83"/>
        <v>37</v>
      </c>
      <c r="R507" s="176">
        <f t="shared" si="82"/>
        <v>568</v>
      </c>
      <c r="S507" s="176">
        <f t="shared" si="84"/>
        <v>605</v>
      </c>
    </row>
    <row r="508" spans="1:19" s="180" customFormat="1">
      <c r="A508" s="172">
        <v>8</v>
      </c>
      <c r="B508" s="173" t="s">
        <v>161</v>
      </c>
      <c r="C508" s="178">
        <v>6</v>
      </c>
      <c r="D508" s="178">
        <v>2</v>
      </c>
      <c r="E508" s="178">
        <v>2</v>
      </c>
      <c r="F508" s="178">
        <v>3</v>
      </c>
      <c r="G508" s="178">
        <v>1</v>
      </c>
      <c r="H508" s="178">
        <v>1</v>
      </c>
      <c r="I508" s="178">
        <v>0</v>
      </c>
      <c r="J508" s="178">
        <v>0</v>
      </c>
      <c r="K508" s="178">
        <v>2</v>
      </c>
      <c r="L508" s="178">
        <v>1</v>
      </c>
      <c r="M508" s="178">
        <v>0</v>
      </c>
      <c r="N508" s="178">
        <v>1</v>
      </c>
      <c r="O508" s="178">
        <v>1</v>
      </c>
      <c r="P508" s="178">
        <v>6</v>
      </c>
      <c r="Q508" s="176">
        <f t="shared" si="83"/>
        <v>26</v>
      </c>
      <c r="R508" s="176">
        <f t="shared" si="82"/>
        <v>504</v>
      </c>
      <c r="S508" s="176">
        <f t="shared" si="84"/>
        <v>530</v>
      </c>
    </row>
    <row r="509" spans="1:19" s="180" customFormat="1">
      <c r="A509" s="172">
        <v>9</v>
      </c>
      <c r="B509" s="174" t="s">
        <v>10</v>
      </c>
      <c r="C509" s="178">
        <v>3</v>
      </c>
      <c r="D509" s="178">
        <v>5</v>
      </c>
      <c r="E509" s="178">
        <v>8</v>
      </c>
      <c r="F509" s="178">
        <v>5</v>
      </c>
      <c r="G509" s="178">
        <v>9</v>
      </c>
      <c r="H509" s="178">
        <v>6</v>
      </c>
      <c r="I509" s="178">
        <v>3</v>
      </c>
      <c r="J509" s="178">
        <v>3</v>
      </c>
      <c r="K509" s="178">
        <v>2</v>
      </c>
      <c r="L509" s="178">
        <v>2</v>
      </c>
      <c r="M509" s="178">
        <v>6</v>
      </c>
      <c r="N509" s="178">
        <v>1</v>
      </c>
      <c r="O509" s="178">
        <v>0</v>
      </c>
      <c r="P509" s="178">
        <v>6</v>
      </c>
      <c r="Q509" s="176">
        <f t="shared" si="83"/>
        <v>59</v>
      </c>
      <c r="R509" s="176">
        <f t="shared" si="82"/>
        <v>700</v>
      </c>
      <c r="S509" s="176">
        <f t="shared" si="84"/>
        <v>759</v>
      </c>
    </row>
    <row r="510" spans="1:19" s="180" customFormat="1">
      <c r="A510" s="234" t="s">
        <v>11</v>
      </c>
      <c r="B510" s="235"/>
      <c r="C510" s="179">
        <v>0</v>
      </c>
      <c r="D510" s="179">
        <v>0</v>
      </c>
      <c r="E510" s="179">
        <v>0</v>
      </c>
      <c r="F510" s="179">
        <v>0</v>
      </c>
      <c r="G510" s="179">
        <v>0</v>
      </c>
      <c r="H510" s="179">
        <v>0</v>
      </c>
      <c r="I510" s="179">
        <v>0</v>
      </c>
      <c r="J510" s="179">
        <v>0</v>
      </c>
      <c r="K510" s="179">
        <v>0</v>
      </c>
      <c r="L510" s="179">
        <v>0</v>
      </c>
      <c r="M510" s="179">
        <v>0</v>
      </c>
      <c r="N510" s="179">
        <v>0</v>
      </c>
      <c r="O510" s="179">
        <v>0</v>
      </c>
      <c r="P510" s="179">
        <v>0</v>
      </c>
      <c r="Q510" s="176">
        <f t="shared" si="83"/>
        <v>0</v>
      </c>
      <c r="R510" s="176">
        <f t="shared" ref="R510:R511" si="85">S481</f>
        <v>0</v>
      </c>
      <c r="S510" s="176">
        <f t="shared" si="84"/>
        <v>0</v>
      </c>
    </row>
    <row r="511" spans="1:19" s="180" customFormat="1">
      <c r="A511" s="236" t="s">
        <v>12</v>
      </c>
      <c r="B511" s="236"/>
      <c r="C511" s="176">
        <f t="shared" ref="C511:Q511" si="86">SUM(C501:C510)</f>
        <v>540</v>
      </c>
      <c r="D511" s="176">
        <f t="shared" si="86"/>
        <v>447</v>
      </c>
      <c r="E511" s="176">
        <f t="shared" si="86"/>
        <v>754</v>
      </c>
      <c r="F511" s="176">
        <f t="shared" si="86"/>
        <v>748</v>
      </c>
      <c r="G511" s="176">
        <f t="shared" si="86"/>
        <v>662</v>
      </c>
      <c r="H511" s="176">
        <f t="shared" si="86"/>
        <v>653</v>
      </c>
      <c r="I511" s="176">
        <f t="shared" si="86"/>
        <v>649</v>
      </c>
      <c r="J511" s="176">
        <f t="shared" si="86"/>
        <v>453</v>
      </c>
      <c r="K511" s="176">
        <f t="shared" si="86"/>
        <v>663</v>
      </c>
      <c r="L511" s="176">
        <f t="shared" si="86"/>
        <v>691</v>
      </c>
      <c r="M511" s="176">
        <f t="shared" si="86"/>
        <v>785</v>
      </c>
      <c r="N511" s="176">
        <f t="shared" si="86"/>
        <v>498</v>
      </c>
      <c r="O511" s="176">
        <f t="shared" si="86"/>
        <v>386</v>
      </c>
      <c r="P511" s="176">
        <f t="shared" si="86"/>
        <v>801</v>
      </c>
      <c r="Q511" s="176">
        <f t="shared" si="86"/>
        <v>8730</v>
      </c>
      <c r="R511" s="176">
        <f t="shared" si="85"/>
        <v>140720</v>
      </c>
      <c r="S511" s="176">
        <f t="shared" si="84"/>
        <v>149450</v>
      </c>
    </row>
    <row r="512" spans="1:19" ht="11.25" customHeight="1">
      <c r="A512" s="5"/>
      <c r="B512" s="5"/>
      <c r="C512" s="6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8"/>
      <c r="R512" s="7"/>
      <c r="S512" s="7"/>
    </row>
    <row r="513" spans="1:19" ht="22.5">
      <c r="A513" s="17"/>
      <c r="B513" s="17"/>
      <c r="C513" s="10" t="s">
        <v>13</v>
      </c>
      <c r="D513" s="10" t="s">
        <v>13</v>
      </c>
      <c r="E513" s="10" t="s">
        <v>13</v>
      </c>
      <c r="F513" s="10" t="s">
        <v>13</v>
      </c>
      <c r="G513" s="10" t="s">
        <v>13</v>
      </c>
      <c r="H513" s="10" t="s">
        <v>13</v>
      </c>
      <c r="I513" s="10" t="s">
        <v>13</v>
      </c>
      <c r="J513" s="10" t="s">
        <v>13</v>
      </c>
      <c r="K513" s="10" t="s">
        <v>13</v>
      </c>
      <c r="L513" s="10" t="s">
        <v>13</v>
      </c>
      <c r="M513" s="10" t="s">
        <v>13</v>
      </c>
      <c r="N513" s="10" t="s">
        <v>13</v>
      </c>
      <c r="O513" s="10" t="s">
        <v>13</v>
      </c>
      <c r="P513" s="10" t="s">
        <v>13</v>
      </c>
      <c r="Q513" s="10" t="s">
        <v>13</v>
      </c>
      <c r="R513" s="10" t="s">
        <v>13</v>
      </c>
      <c r="S513" s="10" t="s">
        <v>13</v>
      </c>
    </row>
    <row r="514" spans="1:19" ht="7.5" customHeight="1">
      <c r="A514" s="17"/>
      <c r="B514" s="17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</row>
    <row r="515" spans="1:19" ht="22.5">
      <c r="A515" s="17"/>
      <c r="B515" s="17"/>
      <c r="C515" s="10" t="s">
        <v>14</v>
      </c>
      <c r="D515" s="10" t="s">
        <v>14</v>
      </c>
      <c r="E515" s="10" t="s">
        <v>14</v>
      </c>
      <c r="F515" s="10" t="s">
        <v>14</v>
      </c>
      <c r="G515" s="10" t="s">
        <v>14</v>
      </c>
      <c r="H515" s="10" t="s">
        <v>14</v>
      </c>
      <c r="I515" s="10" t="s">
        <v>14</v>
      </c>
      <c r="J515" s="10" t="s">
        <v>14</v>
      </c>
      <c r="K515" s="10" t="s">
        <v>14</v>
      </c>
      <c r="L515" s="10" t="s">
        <v>14</v>
      </c>
      <c r="M515" s="10" t="s">
        <v>14</v>
      </c>
      <c r="N515" s="10" t="s">
        <v>14</v>
      </c>
      <c r="O515" s="10" t="s">
        <v>14</v>
      </c>
      <c r="P515" s="10" t="s">
        <v>14</v>
      </c>
      <c r="Q515" s="10" t="s">
        <v>14</v>
      </c>
      <c r="R515" s="10" t="s">
        <v>14</v>
      </c>
      <c r="S515" s="10" t="s">
        <v>14</v>
      </c>
    </row>
    <row r="516" spans="1:19" ht="7.5" customHeight="1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</row>
    <row r="517" spans="1:19">
      <c r="A517" s="237" t="s">
        <v>15</v>
      </c>
      <c r="B517" s="237"/>
      <c r="C517" s="238" t="s">
        <v>16</v>
      </c>
      <c r="D517" s="238"/>
      <c r="E517" s="238"/>
      <c r="F517" s="238"/>
      <c r="G517" s="238"/>
      <c r="H517" s="238"/>
      <c r="I517" s="238"/>
      <c r="J517" s="238"/>
      <c r="K517" s="238"/>
      <c r="L517" s="238"/>
      <c r="M517" s="238"/>
      <c r="N517" s="238"/>
      <c r="O517" s="238"/>
      <c r="P517" s="238"/>
      <c r="Q517" s="238"/>
      <c r="R517" s="17"/>
      <c r="S517" s="17"/>
    </row>
    <row r="518" spans="1:19">
      <c r="A518" s="17"/>
      <c r="B518" s="17"/>
      <c r="C518" s="238" t="s">
        <v>17</v>
      </c>
      <c r="D518" s="238"/>
      <c r="E518" s="238"/>
      <c r="F518" s="238"/>
      <c r="G518" s="238"/>
      <c r="H518" s="238"/>
      <c r="I518" s="238"/>
      <c r="J518" s="238"/>
      <c r="K518" s="238"/>
      <c r="L518" s="238"/>
      <c r="M518" s="238"/>
      <c r="N518" s="238"/>
      <c r="O518" s="238"/>
      <c r="P518" s="238"/>
      <c r="Q518" s="238"/>
      <c r="R518" s="17"/>
      <c r="S518" s="17"/>
    </row>
    <row r="519" spans="1:19" ht="15" customHeight="1">
      <c r="A519" s="17"/>
      <c r="B519" s="17"/>
      <c r="C519" s="228" t="s">
        <v>45</v>
      </c>
      <c r="D519" s="228"/>
      <c r="E519" s="228"/>
      <c r="F519" s="228"/>
      <c r="G519" s="228"/>
      <c r="H519" s="228"/>
      <c r="I519" s="228"/>
      <c r="J519" s="228"/>
      <c r="K519" s="228"/>
      <c r="L519" s="228"/>
      <c r="M519" s="228"/>
      <c r="N519" s="228"/>
      <c r="O519" s="228"/>
      <c r="P519" s="228"/>
      <c r="Q519" s="228"/>
      <c r="R519" s="17"/>
      <c r="S519" s="17"/>
    </row>
    <row r="520" spans="1:19">
      <c r="A520" s="23"/>
      <c r="B520" s="23"/>
      <c r="C520" s="228" t="s">
        <v>46</v>
      </c>
      <c r="D520" s="228"/>
      <c r="E520" s="228"/>
      <c r="F520" s="228"/>
      <c r="G520" s="228"/>
      <c r="H520" s="228"/>
      <c r="I520" s="228"/>
      <c r="J520" s="228"/>
      <c r="K520" s="228"/>
      <c r="L520" s="228"/>
      <c r="M520" s="228"/>
      <c r="N520" s="228"/>
      <c r="O520" s="228"/>
      <c r="P520" s="228"/>
      <c r="Q520" s="228"/>
      <c r="R520" s="23"/>
      <c r="S520" s="23"/>
    </row>
    <row r="521" spans="1:19" ht="15" customHeight="1">
      <c r="A521" s="60"/>
      <c r="B521" s="61" t="s">
        <v>139</v>
      </c>
      <c r="C521" s="227" t="s">
        <v>138</v>
      </c>
      <c r="D521" s="227"/>
      <c r="E521" s="227"/>
      <c r="F521" s="227"/>
      <c r="G521" s="227"/>
      <c r="H521" s="227"/>
      <c r="I521" s="227"/>
      <c r="J521" s="227"/>
      <c r="K521" s="227"/>
      <c r="L521" s="227"/>
      <c r="M521" s="227"/>
      <c r="N521" s="227"/>
      <c r="O521" s="227"/>
      <c r="P521" s="227"/>
      <c r="Q521" s="227"/>
      <c r="R521" s="60"/>
      <c r="S521" s="60"/>
    </row>
    <row r="522" spans="1:19">
      <c r="A522" s="23"/>
      <c r="B522" s="23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3"/>
      <c r="S522" s="23"/>
    </row>
    <row r="523" spans="1:19" ht="26.25">
      <c r="A523" s="229" t="s">
        <v>0</v>
      </c>
      <c r="B523" s="229"/>
      <c r="C523" s="229"/>
      <c r="D523" s="229"/>
      <c r="E523" s="229"/>
      <c r="F523" s="229"/>
      <c r="G523" s="229"/>
      <c r="H523" s="229"/>
      <c r="I523" s="229"/>
      <c r="J523" s="229"/>
      <c r="K523" s="229"/>
      <c r="L523" s="229"/>
      <c r="M523" s="229"/>
      <c r="N523" s="229"/>
      <c r="O523" s="229"/>
      <c r="P523" s="229"/>
      <c r="Q523" s="229"/>
      <c r="R523" s="229"/>
      <c r="S523" s="229"/>
    </row>
    <row r="524" spans="1:19" ht="19.5" customHeight="1">
      <c r="A524" s="230" t="s">
        <v>83</v>
      </c>
      <c r="B524" s="230"/>
      <c r="C524" s="230"/>
      <c r="D524" s="230"/>
      <c r="E524" s="230"/>
      <c r="F524" s="230"/>
      <c r="G524" s="230"/>
      <c r="H524" s="230"/>
      <c r="I524" s="1"/>
      <c r="J524" s="1"/>
      <c r="K524" s="231" t="s">
        <v>38</v>
      </c>
      <c r="L524" s="231"/>
      <c r="M524" s="231"/>
      <c r="N524" s="231"/>
      <c r="O524" s="1"/>
      <c r="P524" s="232" t="s">
        <v>1</v>
      </c>
      <c r="Q524" s="232"/>
      <c r="R524" s="233">
        <v>44630</v>
      </c>
      <c r="S524" s="233"/>
    </row>
    <row r="525" spans="1:19">
      <c r="A525" s="242" t="s">
        <v>2</v>
      </c>
      <c r="B525" s="242"/>
      <c r="C525" s="16">
        <v>1</v>
      </c>
      <c r="D525" s="16">
        <v>2</v>
      </c>
      <c r="E525" s="16">
        <v>3</v>
      </c>
      <c r="F525" s="16">
        <v>4</v>
      </c>
      <c r="G525" s="16">
        <v>5</v>
      </c>
      <c r="H525" s="16">
        <v>6</v>
      </c>
      <c r="I525" s="16">
        <v>7</v>
      </c>
      <c r="J525" s="16">
        <v>8</v>
      </c>
      <c r="K525" s="16">
        <v>9</v>
      </c>
      <c r="L525" s="16">
        <v>10</v>
      </c>
      <c r="M525" s="16">
        <v>11</v>
      </c>
      <c r="N525" s="16">
        <v>12</v>
      </c>
      <c r="O525" s="16">
        <v>13</v>
      </c>
      <c r="P525" s="16">
        <v>14</v>
      </c>
      <c r="Q525" s="239" t="s">
        <v>3</v>
      </c>
      <c r="R525" s="239" t="s">
        <v>4</v>
      </c>
      <c r="S525" s="239" t="s">
        <v>5</v>
      </c>
    </row>
    <row r="526" spans="1:19">
      <c r="A526" s="242" t="s">
        <v>6</v>
      </c>
      <c r="B526" s="242"/>
      <c r="C526" s="16">
        <v>253</v>
      </c>
      <c r="D526" s="16">
        <v>254</v>
      </c>
      <c r="E526" s="16">
        <v>255</v>
      </c>
      <c r="F526" s="16">
        <v>256</v>
      </c>
      <c r="G526" s="16">
        <v>257</v>
      </c>
      <c r="H526" s="16">
        <v>258</v>
      </c>
      <c r="I526" s="16">
        <v>259</v>
      </c>
      <c r="J526" s="16">
        <v>260</v>
      </c>
      <c r="K526" s="16">
        <v>261</v>
      </c>
      <c r="L526" s="16">
        <v>262</v>
      </c>
      <c r="M526" s="16">
        <v>263</v>
      </c>
      <c r="N526" s="16">
        <v>264</v>
      </c>
      <c r="O526" s="16">
        <v>265</v>
      </c>
      <c r="P526" s="16">
        <v>266</v>
      </c>
      <c r="Q526" s="240"/>
      <c r="R526" s="240"/>
      <c r="S526" s="240"/>
    </row>
    <row r="527" spans="1:19" ht="31.5">
      <c r="A527" s="243" t="s">
        <v>18</v>
      </c>
      <c r="B527" s="244"/>
      <c r="C527" s="118" t="s">
        <v>436</v>
      </c>
      <c r="D527" s="118" t="s">
        <v>437</v>
      </c>
      <c r="E527" s="118" t="s">
        <v>438</v>
      </c>
      <c r="F527" s="118" t="s">
        <v>439</v>
      </c>
      <c r="G527" s="118" t="s">
        <v>440</v>
      </c>
      <c r="H527" s="118" t="s">
        <v>441</v>
      </c>
      <c r="I527" s="118" t="s">
        <v>442</v>
      </c>
      <c r="J527" s="118" t="s">
        <v>443</v>
      </c>
      <c r="K527" s="118" t="s">
        <v>444</v>
      </c>
      <c r="L527" s="118" t="s">
        <v>445</v>
      </c>
      <c r="M527" s="118" t="s">
        <v>446</v>
      </c>
      <c r="N527" s="118" t="s">
        <v>628</v>
      </c>
      <c r="O527" s="118" t="s">
        <v>629</v>
      </c>
      <c r="P527" s="118" t="s">
        <v>447</v>
      </c>
      <c r="Q527" s="240"/>
      <c r="R527" s="240"/>
      <c r="S527" s="240"/>
    </row>
    <row r="528" spans="1:19" ht="27" hidden="1" customHeight="1">
      <c r="A528" s="245" t="s">
        <v>20</v>
      </c>
      <c r="B528" s="246"/>
      <c r="C528" s="33">
        <v>710</v>
      </c>
      <c r="D528" s="33">
        <v>660</v>
      </c>
      <c r="E528" s="33">
        <v>549</v>
      </c>
      <c r="F528" s="33">
        <v>769</v>
      </c>
      <c r="G528" s="33">
        <v>525</v>
      </c>
      <c r="H528" s="33">
        <v>533</v>
      </c>
      <c r="I528" s="33">
        <v>539</v>
      </c>
      <c r="J528" s="33">
        <v>521</v>
      </c>
      <c r="K528" s="33">
        <v>360</v>
      </c>
      <c r="L528" s="33">
        <v>592</v>
      </c>
      <c r="M528" s="33">
        <v>724</v>
      </c>
      <c r="N528" s="33">
        <v>689</v>
      </c>
      <c r="O528" s="33">
        <v>475</v>
      </c>
      <c r="P528" s="33">
        <v>601</v>
      </c>
      <c r="Q528" s="240"/>
      <c r="R528" s="240"/>
      <c r="S528" s="240"/>
    </row>
    <row r="529" spans="1:19">
      <c r="A529" s="19" t="s">
        <v>7</v>
      </c>
      <c r="B529" s="16" t="s">
        <v>8</v>
      </c>
      <c r="C529" s="20" t="s">
        <v>9</v>
      </c>
      <c r="D529" s="20" t="s">
        <v>9</v>
      </c>
      <c r="E529" s="20" t="s">
        <v>9</v>
      </c>
      <c r="F529" s="20" t="s">
        <v>9</v>
      </c>
      <c r="G529" s="20" t="s">
        <v>9</v>
      </c>
      <c r="H529" s="20" t="s">
        <v>9</v>
      </c>
      <c r="I529" s="20" t="s">
        <v>9</v>
      </c>
      <c r="J529" s="20" t="s">
        <v>9</v>
      </c>
      <c r="K529" s="20" t="s">
        <v>9</v>
      </c>
      <c r="L529" s="20" t="s">
        <v>9</v>
      </c>
      <c r="M529" s="20" t="s">
        <v>9</v>
      </c>
      <c r="N529" s="20" t="s">
        <v>9</v>
      </c>
      <c r="O529" s="20" t="s">
        <v>9</v>
      </c>
      <c r="P529" s="20" t="s">
        <v>9</v>
      </c>
      <c r="Q529" s="241"/>
      <c r="R529" s="241"/>
      <c r="S529" s="241"/>
    </row>
    <row r="530" spans="1:19" s="180" customFormat="1">
      <c r="A530" s="172">
        <v>1</v>
      </c>
      <c r="B530" s="173" t="s">
        <v>85</v>
      </c>
      <c r="C530" s="178">
        <v>24</v>
      </c>
      <c r="D530" s="178">
        <v>19</v>
      </c>
      <c r="E530" s="178">
        <v>29</v>
      </c>
      <c r="F530" s="178">
        <v>13</v>
      </c>
      <c r="G530" s="178">
        <v>35</v>
      </c>
      <c r="H530" s="178">
        <v>28</v>
      </c>
      <c r="I530" s="178">
        <v>43</v>
      </c>
      <c r="J530" s="178">
        <v>13</v>
      </c>
      <c r="K530" s="178">
        <v>66</v>
      </c>
      <c r="L530" s="178">
        <v>96</v>
      </c>
      <c r="M530" s="178">
        <v>27</v>
      </c>
      <c r="N530" s="178">
        <v>358</v>
      </c>
      <c r="O530" s="178">
        <v>271</v>
      </c>
      <c r="P530" s="178">
        <v>25</v>
      </c>
      <c r="Q530" s="176">
        <f>SUM(C530:P530)</f>
        <v>1047</v>
      </c>
      <c r="R530" s="176">
        <f t="shared" ref="R530:R538" si="87">S501</f>
        <v>39458</v>
      </c>
      <c r="S530" s="176">
        <f>Q530+R530</f>
        <v>40505</v>
      </c>
    </row>
    <row r="531" spans="1:19" s="180" customFormat="1">
      <c r="A531" s="172">
        <v>2</v>
      </c>
      <c r="B531" s="173" t="s">
        <v>156</v>
      </c>
      <c r="C531" s="178">
        <v>656</v>
      </c>
      <c r="D531" s="178">
        <v>616</v>
      </c>
      <c r="E531" s="178">
        <v>454</v>
      </c>
      <c r="F531" s="178">
        <v>729</v>
      </c>
      <c r="G531" s="178">
        <v>478</v>
      </c>
      <c r="H531" s="178">
        <v>457</v>
      </c>
      <c r="I531" s="178">
        <v>419</v>
      </c>
      <c r="J531" s="178">
        <v>477</v>
      </c>
      <c r="K531" s="178">
        <v>163</v>
      </c>
      <c r="L531" s="178">
        <v>477</v>
      </c>
      <c r="M531" s="178">
        <v>509</v>
      </c>
      <c r="N531" s="178">
        <v>202</v>
      </c>
      <c r="O531" s="178">
        <v>194</v>
      </c>
      <c r="P531" s="178">
        <v>539</v>
      </c>
      <c r="Q531" s="176">
        <f t="shared" ref="Q531:Q539" si="88">SUM(C531:P531)</f>
        <v>6370</v>
      </c>
      <c r="R531" s="176">
        <f t="shared" si="87"/>
        <v>82966</v>
      </c>
      <c r="S531" s="176">
        <f t="shared" ref="S531:S540" si="89">Q531+R531</f>
        <v>89336</v>
      </c>
    </row>
    <row r="532" spans="1:19" s="180" customFormat="1">
      <c r="A532" s="172">
        <v>3</v>
      </c>
      <c r="B532" s="173" t="s">
        <v>157</v>
      </c>
      <c r="C532" s="178">
        <v>2</v>
      </c>
      <c r="D532" s="178">
        <v>8</v>
      </c>
      <c r="E532" s="178">
        <v>6</v>
      </c>
      <c r="F532" s="178">
        <v>4</v>
      </c>
      <c r="G532" s="178">
        <v>0</v>
      </c>
      <c r="H532" s="178">
        <v>3</v>
      </c>
      <c r="I532" s="178">
        <v>8</v>
      </c>
      <c r="J532" s="178">
        <v>4</v>
      </c>
      <c r="K532" s="178">
        <v>7</v>
      </c>
      <c r="L532" s="178">
        <v>5</v>
      </c>
      <c r="M532" s="178">
        <v>6</v>
      </c>
      <c r="N532" s="178">
        <v>18</v>
      </c>
      <c r="O532" s="178">
        <v>0</v>
      </c>
      <c r="P532" s="178">
        <v>12</v>
      </c>
      <c r="Q532" s="176">
        <f t="shared" si="88"/>
        <v>83</v>
      </c>
      <c r="R532" s="176">
        <f t="shared" si="87"/>
        <v>1598</v>
      </c>
      <c r="S532" s="176">
        <f t="shared" si="89"/>
        <v>1681</v>
      </c>
    </row>
    <row r="533" spans="1:19" s="180" customFormat="1">
      <c r="A533" s="172">
        <v>4</v>
      </c>
      <c r="B533" s="173" t="s">
        <v>158</v>
      </c>
      <c r="C533" s="178">
        <v>1</v>
      </c>
      <c r="D533" s="178">
        <v>4</v>
      </c>
      <c r="E533" s="178">
        <v>44</v>
      </c>
      <c r="F533" s="178">
        <v>9</v>
      </c>
      <c r="G533" s="178">
        <v>1</v>
      </c>
      <c r="H533" s="178">
        <v>23</v>
      </c>
      <c r="I533" s="178">
        <v>55</v>
      </c>
      <c r="J533" s="178">
        <v>6</v>
      </c>
      <c r="K533" s="178">
        <v>109</v>
      </c>
      <c r="L533" s="178">
        <v>1</v>
      </c>
      <c r="M533" s="178">
        <v>174</v>
      </c>
      <c r="N533" s="178">
        <v>97</v>
      </c>
      <c r="O533" s="178">
        <v>6</v>
      </c>
      <c r="P533" s="178">
        <v>5</v>
      </c>
      <c r="Q533" s="176">
        <f t="shared" si="88"/>
        <v>535</v>
      </c>
      <c r="R533" s="176">
        <f t="shared" si="87"/>
        <v>22430</v>
      </c>
      <c r="S533" s="176">
        <f t="shared" si="89"/>
        <v>22965</v>
      </c>
    </row>
    <row r="534" spans="1:19" s="180" customFormat="1">
      <c r="A534" s="172">
        <v>5</v>
      </c>
      <c r="B534" s="173" t="s">
        <v>159</v>
      </c>
      <c r="C534" s="178">
        <v>3</v>
      </c>
      <c r="D534" s="178">
        <v>1</v>
      </c>
      <c r="E534" s="178">
        <v>2</v>
      </c>
      <c r="F534" s="178">
        <v>0</v>
      </c>
      <c r="G534" s="178">
        <v>1</v>
      </c>
      <c r="H534" s="178">
        <v>1</v>
      </c>
      <c r="I534" s="178">
        <v>0</v>
      </c>
      <c r="J534" s="178">
        <v>1</v>
      </c>
      <c r="K534" s="178">
        <v>2</v>
      </c>
      <c r="L534" s="178">
        <v>0</v>
      </c>
      <c r="M534" s="178">
        <v>1</v>
      </c>
      <c r="N534" s="178">
        <v>2</v>
      </c>
      <c r="O534" s="178">
        <v>1</v>
      </c>
      <c r="P534" s="178">
        <v>4</v>
      </c>
      <c r="Q534" s="176">
        <f t="shared" si="88"/>
        <v>19</v>
      </c>
      <c r="R534" s="176">
        <f t="shared" si="87"/>
        <v>430</v>
      </c>
      <c r="S534" s="176">
        <f t="shared" si="89"/>
        <v>449</v>
      </c>
    </row>
    <row r="535" spans="1:19" s="180" customFormat="1">
      <c r="A535" s="172">
        <v>6</v>
      </c>
      <c r="B535" s="173" t="s">
        <v>160</v>
      </c>
      <c r="C535" s="178">
        <v>5</v>
      </c>
      <c r="D535" s="178">
        <v>0</v>
      </c>
      <c r="E535" s="178">
        <v>2</v>
      </c>
      <c r="F535" s="178">
        <v>2</v>
      </c>
      <c r="G535" s="178">
        <v>0</v>
      </c>
      <c r="H535" s="178">
        <v>0</v>
      </c>
      <c r="I535" s="178">
        <v>1</v>
      </c>
      <c r="J535" s="178">
        <v>6</v>
      </c>
      <c r="K535" s="178">
        <v>3</v>
      </c>
      <c r="L535" s="178">
        <v>3</v>
      </c>
      <c r="M535" s="178">
        <v>1</v>
      </c>
      <c r="N535" s="178">
        <v>3</v>
      </c>
      <c r="O535" s="178">
        <v>0</v>
      </c>
      <c r="P535" s="178">
        <v>1</v>
      </c>
      <c r="Q535" s="176">
        <f t="shared" si="88"/>
        <v>27</v>
      </c>
      <c r="R535" s="176">
        <f t="shared" si="87"/>
        <v>674</v>
      </c>
      <c r="S535" s="176">
        <f t="shared" si="89"/>
        <v>701</v>
      </c>
    </row>
    <row r="536" spans="1:19" s="180" customFormat="1">
      <c r="A536" s="172">
        <v>7</v>
      </c>
      <c r="B536" s="173" t="s">
        <v>86</v>
      </c>
      <c r="C536" s="178">
        <v>7</v>
      </c>
      <c r="D536" s="178">
        <v>5</v>
      </c>
      <c r="E536" s="178">
        <v>6</v>
      </c>
      <c r="F536" s="178">
        <v>2</v>
      </c>
      <c r="G536" s="178">
        <v>3</v>
      </c>
      <c r="H536" s="178">
        <v>13</v>
      </c>
      <c r="I536" s="178">
        <v>2</v>
      </c>
      <c r="J536" s="178">
        <v>3</v>
      </c>
      <c r="K536" s="178">
        <v>3</v>
      </c>
      <c r="L536" s="178">
        <v>3</v>
      </c>
      <c r="M536" s="178">
        <v>0</v>
      </c>
      <c r="N536" s="178">
        <v>4</v>
      </c>
      <c r="O536" s="178">
        <v>1</v>
      </c>
      <c r="P536" s="178">
        <v>4</v>
      </c>
      <c r="Q536" s="176">
        <f t="shared" si="88"/>
        <v>56</v>
      </c>
      <c r="R536" s="176">
        <f t="shared" si="87"/>
        <v>605</v>
      </c>
      <c r="S536" s="176">
        <f t="shared" si="89"/>
        <v>661</v>
      </c>
    </row>
    <row r="537" spans="1:19" s="180" customFormat="1">
      <c r="A537" s="172">
        <v>8</v>
      </c>
      <c r="B537" s="173" t="s">
        <v>161</v>
      </c>
      <c r="C537" s="178">
        <v>7</v>
      </c>
      <c r="D537" s="178">
        <v>5</v>
      </c>
      <c r="E537" s="178">
        <v>3</v>
      </c>
      <c r="F537" s="178">
        <v>7</v>
      </c>
      <c r="G537" s="178">
        <v>2</v>
      </c>
      <c r="H537" s="178">
        <v>3</v>
      </c>
      <c r="I537" s="178">
        <v>2</v>
      </c>
      <c r="J537" s="178">
        <v>5</v>
      </c>
      <c r="K537" s="178">
        <v>3</v>
      </c>
      <c r="L537" s="178">
        <v>5</v>
      </c>
      <c r="M537" s="178">
        <v>3</v>
      </c>
      <c r="N537" s="178">
        <v>2</v>
      </c>
      <c r="O537" s="178">
        <v>1</v>
      </c>
      <c r="P537" s="178">
        <v>8</v>
      </c>
      <c r="Q537" s="176">
        <f t="shared" si="88"/>
        <v>56</v>
      </c>
      <c r="R537" s="176">
        <f t="shared" si="87"/>
        <v>530</v>
      </c>
      <c r="S537" s="176">
        <f t="shared" si="89"/>
        <v>586</v>
      </c>
    </row>
    <row r="538" spans="1:19" s="180" customFormat="1">
      <c r="A538" s="172">
        <v>9</v>
      </c>
      <c r="B538" s="174" t="s">
        <v>10</v>
      </c>
      <c r="C538" s="178">
        <v>5</v>
      </c>
      <c r="D538" s="178">
        <v>2</v>
      </c>
      <c r="E538" s="178">
        <v>3</v>
      </c>
      <c r="F538" s="178">
        <v>3</v>
      </c>
      <c r="G538" s="178">
        <v>5</v>
      </c>
      <c r="H538" s="178">
        <v>5</v>
      </c>
      <c r="I538" s="178">
        <v>9</v>
      </c>
      <c r="J538" s="178">
        <v>6</v>
      </c>
      <c r="K538" s="178">
        <v>4</v>
      </c>
      <c r="L538" s="178">
        <v>2</v>
      </c>
      <c r="M538" s="178">
        <v>3</v>
      </c>
      <c r="N538" s="178">
        <v>3</v>
      </c>
      <c r="O538" s="178">
        <v>1</v>
      </c>
      <c r="P538" s="178">
        <v>3</v>
      </c>
      <c r="Q538" s="176">
        <f t="shared" si="88"/>
        <v>54</v>
      </c>
      <c r="R538" s="176">
        <f t="shared" si="87"/>
        <v>759</v>
      </c>
      <c r="S538" s="176">
        <f t="shared" si="89"/>
        <v>813</v>
      </c>
    </row>
    <row r="539" spans="1:19" s="180" customFormat="1">
      <c r="A539" s="234" t="s">
        <v>11</v>
      </c>
      <c r="B539" s="235"/>
      <c r="C539" s="179">
        <v>0</v>
      </c>
      <c r="D539" s="179">
        <v>0</v>
      </c>
      <c r="E539" s="179">
        <v>0</v>
      </c>
      <c r="F539" s="179">
        <v>0</v>
      </c>
      <c r="G539" s="179">
        <v>0</v>
      </c>
      <c r="H539" s="179">
        <v>0</v>
      </c>
      <c r="I539" s="179">
        <v>0</v>
      </c>
      <c r="J539" s="179">
        <v>0</v>
      </c>
      <c r="K539" s="179">
        <v>0</v>
      </c>
      <c r="L539" s="179">
        <v>0</v>
      </c>
      <c r="M539" s="179">
        <v>0</v>
      </c>
      <c r="N539" s="179">
        <v>0</v>
      </c>
      <c r="O539" s="179">
        <v>0</v>
      </c>
      <c r="P539" s="179">
        <v>0</v>
      </c>
      <c r="Q539" s="176">
        <f t="shared" si="88"/>
        <v>0</v>
      </c>
      <c r="R539" s="176">
        <f t="shared" ref="R539:R540" si="90">S510</f>
        <v>0</v>
      </c>
      <c r="S539" s="176">
        <f t="shared" si="89"/>
        <v>0</v>
      </c>
    </row>
    <row r="540" spans="1:19" s="180" customFormat="1">
      <c r="A540" s="236" t="s">
        <v>12</v>
      </c>
      <c r="B540" s="236"/>
      <c r="C540" s="184">
        <f t="shared" ref="C540:Q540" si="91">SUM(C530:C539)</f>
        <v>710</v>
      </c>
      <c r="D540" s="184">
        <f t="shared" si="91"/>
        <v>660</v>
      </c>
      <c r="E540" s="184">
        <f t="shared" si="91"/>
        <v>549</v>
      </c>
      <c r="F540" s="184">
        <f t="shared" si="91"/>
        <v>769</v>
      </c>
      <c r="G540" s="184">
        <f t="shared" si="91"/>
        <v>525</v>
      </c>
      <c r="H540" s="184">
        <f t="shared" si="91"/>
        <v>533</v>
      </c>
      <c r="I540" s="184">
        <f t="shared" si="91"/>
        <v>539</v>
      </c>
      <c r="J540" s="184">
        <f t="shared" si="91"/>
        <v>521</v>
      </c>
      <c r="K540" s="184">
        <f t="shared" si="91"/>
        <v>360</v>
      </c>
      <c r="L540" s="184">
        <f t="shared" si="91"/>
        <v>592</v>
      </c>
      <c r="M540" s="184">
        <f t="shared" si="91"/>
        <v>724</v>
      </c>
      <c r="N540" s="184">
        <f t="shared" si="91"/>
        <v>689</v>
      </c>
      <c r="O540" s="184">
        <f t="shared" si="91"/>
        <v>475</v>
      </c>
      <c r="P540" s="184">
        <f t="shared" si="91"/>
        <v>601</v>
      </c>
      <c r="Q540" s="176">
        <f t="shared" si="91"/>
        <v>8247</v>
      </c>
      <c r="R540" s="176">
        <f t="shared" si="90"/>
        <v>149450</v>
      </c>
      <c r="S540" s="176">
        <f t="shared" si="89"/>
        <v>157697</v>
      </c>
    </row>
    <row r="541" spans="1:19" ht="6.75" customHeight="1">
      <c r="A541" s="5"/>
      <c r="B541" s="5"/>
      <c r="C541" s="6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8"/>
      <c r="R541" s="7"/>
      <c r="S541" s="7"/>
    </row>
    <row r="542" spans="1:19" ht="22.5">
      <c r="A542" s="17"/>
      <c r="B542" s="17"/>
      <c r="C542" s="10" t="s">
        <v>13</v>
      </c>
      <c r="D542" s="10" t="s">
        <v>13</v>
      </c>
      <c r="E542" s="10" t="s">
        <v>13</v>
      </c>
      <c r="F542" s="10" t="s">
        <v>13</v>
      </c>
      <c r="G542" s="10" t="s">
        <v>13</v>
      </c>
      <c r="H542" s="10" t="s">
        <v>13</v>
      </c>
      <c r="I542" s="10" t="s">
        <v>13</v>
      </c>
      <c r="J542" s="10" t="s">
        <v>13</v>
      </c>
      <c r="K542" s="10" t="s">
        <v>13</v>
      </c>
      <c r="L542" s="10" t="s">
        <v>13</v>
      </c>
      <c r="M542" s="10" t="s">
        <v>13</v>
      </c>
      <c r="N542" s="10" t="s">
        <v>13</v>
      </c>
      <c r="O542" s="10" t="s">
        <v>13</v>
      </c>
      <c r="P542" s="10" t="s">
        <v>13</v>
      </c>
      <c r="Q542" s="10" t="s">
        <v>13</v>
      </c>
      <c r="R542" s="10" t="s">
        <v>13</v>
      </c>
      <c r="S542" s="10" t="s">
        <v>13</v>
      </c>
    </row>
    <row r="543" spans="1:19" ht="6" customHeight="1">
      <c r="A543" s="17"/>
      <c r="B543" s="17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</row>
    <row r="544" spans="1:19" ht="22.5">
      <c r="A544" s="17"/>
      <c r="B544" s="17"/>
      <c r="C544" s="10" t="s">
        <v>14</v>
      </c>
      <c r="D544" s="10" t="s">
        <v>14</v>
      </c>
      <c r="E544" s="10" t="s">
        <v>14</v>
      </c>
      <c r="F544" s="10" t="s">
        <v>14</v>
      </c>
      <c r="G544" s="10" t="s">
        <v>14</v>
      </c>
      <c r="H544" s="10" t="s">
        <v>14</v>
      </c>
      <c r="I544" s="10" t="s">
        <v>14</v>
      </c>
      <c r="J544" s="10" t="s">
        <v>14</v>
      </c>
      <c r="K544" s="10" t="s">
        <v>14</v>
      </c>
      <c r="L544" s="10" t="s">
        <v>14</v>
      </c>
      <c r="M544" s="10" t="s">
        <v>14</v>
      </c>
      <c r="N544" s="10" t="s">
        <v>14</v>
      </c>
      <c r="O544" s="10" t="s">
        <v>14</v>
      </c>
      <c r="P544" s="10" t="s">
        <v>14</v>
      </c>
      <c r="Q544" s="10" t="s">
        <v>14</v>
      </c>
      <c r="R544" s="10" t="s">
        <v>14</v>
      </c>
      <c r="S544" s="10" t="s">
        <v>14</v>
      </c>
    </row>
    <row r="545" spans="1:19" ht="7.5" customHeight="1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</row>
    <row r="546" spans="1:19">
      <c r="A546" s="237" t="s">
        <v>15</v>
      </c>
      <c r="B546" s="237"/>
      <c r="C546" s="238" t="s">
        <v>16</v>
      </c>
      <c r="D546" s="238"/>
      <c r="E546" s="238"/>
      <c r="F546" s="238"/>
      <c r="G546" s="238"/>
      <c r="H546" s="238"/>
      <c r="I546" s="238"/>
      <c r="J546" s="238"/>
      <c r="K546" s="238"/>
      <c r="L546" s="238"/>
      <c r="M546" s="238"/>
      <c r="N546" s="238"/>
      <c r="O546" s="238"/>
      <c r="P546" s="238"/>
      <c r="Q546" s="238"/>
      <c r="R546" s="17"/>
      <c r="S546" s="17"/>
    </row>
    <row r="547" spans="1:19">
      <c r="A547" s="17"/>
      <c r="B547" s="17"/>
      <c r="C547" s="238" t="s">
        <v>17</v>
      </c>
      <c r="D547" s="238"/>
      <c r="E547" s="238"/>
      <c r="F547" s="238"/>
      <c r="G547" s="238"/>
      <c r="H547" s="238"/>
      <c r="I547" s="238"/>
      <c r="J547" s="238"/>
      <c r="K547" s="238"/>
      <c r="L547" s="238"/>
      <c r="M547" s="238"/>
      <c r="N547" s="238"/>
      <c r="O547" s="238"/>
      <c r="P547" s="238"/>
      <c r="Q547" s="238"/>
      <c r="R547" s="17"/>
      <c r="S547" s="17"/>
    </row>
    <row r="548" spans="1:19" ht="15" customHeight="1">
      <c r="A548" s="17"/>
      <c r="B548" s="17"/>
      <c r="C548" s="228" t="s">
        <v>45</v>
      </c>
      <c r="D548" s="228"/>
      <c r="E548" s="228"/>
      <c r="F548" s="228"/>
      <c r="G548" s="228"/>
      <c r="H548" s="228"/>
      <c r="I548" s="228"/>
      <c r="J548" s="228"/>
      <c r="K548" s="228"/>
      <c r="L548" s="228"/>
      <c r="M548" s="228"/>
      <c r="N548" s="228"/>
      <c r="O548" s="228"/>
      <c r="P548" s="228"/>
      <c r="Q548" s="228"/>
      <c r="R548" s="17"/>
      <c r="S548" s="17"/>
    </row>
    <row r="549" spans="1:19">
      <c r="A549" s="23"/>
      <c r="B549" s="23"/>
      <c r="C549" s="228" t="s">
        <v>46</v>
      </c>
      <c r="D549" s="228"/>
      <c r="E549" s="228"/>
      <c r="F549" s="228"/>
      <c r="G549" s="228"/>
      <c r="H549" s="228"/>
      <c r="I549" s="228"/>
      <c r="J549" s="228"/>
      <c r="K549" s="228"/>
      <c r="L549" s="228"/>
      <c r="M549" s="228"/>
      <c r="N549" s="228"/>
      <c r="O549" s="228"/>
      <c r="P549" s="228"/>
      <c r="Q549" s="228"/>
      <c r="R549" s="23"/>
      <c r="S549" s="23"/>
    </row>
    <row r="550" spans="1:19" ht="15" customHeight="1">
      <c r="A550" s="60"/>
      <c r="B550" s="61" t="s">
        <v>139</v>
      </c>
      <c r="C550" s="227" t="s">
        <v>138</v>
      </c>
      <c r="D550" s="227"/>
      <c r="E550" s="227"/>
      <c r="F550" s="227"/>
      <c r="G550" s="227"/>
      <c r="H550" s="227"/>
      <c r="I550" s="227"/>
      <c r="J550" s="227"/>
      <c r="K550" s="227"/>
      <c r="L550" s="227"/>
      <c r="M550" s="227"/>
      <c r="N550" s="227"/>
      <c r="O550" s="227"/>
      <c r="P550" s="227"/>
      <c r="Q550" s="227"/>
      <c r="R550" s="60"/>
      <c r="S550" s="60"/>
    </row>
    <row r="551" spans="1:19">
      <c r="A551" s="23"/>
      <c r="B551" s="23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3"/>
      <c r="S551" s="23"/>
    </row>
    <row r="552" spans="1:19" ht="26.25">
      <c r="A552" s="229" t="s">
        <v>0</v>
      </c>
      <c r="B552" s="229"/>
      <c r="C552" s="229"/>
      <c r="D552" s="229"/>
      <c r="E552" s="229"/>
      <c r="F552" s="229"/>
      <c r="G552" s="229"/>
      <c r="H552" s="229"/>
      <c r="I552" s="229"/>
      <c r="J552" s="229"/>
      <c r="K552" s="229"/>
      <c r="L552" s="229"/>
      <c r="M552" s="229"/>
      <c r="N552" s="229"/>
      <c r="O552" s="229"/>
      <c r="P552" s="229"/>
      <c r="Q552" s="229"/>
      <c r="R552" s="229"/>
      <c r="S552" s="229"/>
    </row>
    <row r="553" spans="1:19" ht="19.5" customHeight="1">
      <c r="A553" s="230" t="s">
        <v>83</v>
      </c>
      <c r="B553" s="230"/>
      <c r="C553" s="230"/>
      <c r="D553" s="230"/>
      <c r="E553" s="230"/>
      <c r="F553" s="230"/>
      <c r="G553" s="230"/>
      <c r="H553" s="230"/>
      <c r="I553" s="1"/>
      <c r="J553" s="1"/>
      <c r="K553" s="231" t="s">
        <v>39</v>
      </c>
      <c r="L553" s="231"/>
      <c r="M553" s="231"/>
      <c r="N553" s="231"/>
      <c r="O553" s="1"/>
      <c r="P553" s="232" t="s">
        <v>1</v>
      </c>
      <c r="Q553" s="232"/>
      <c r="R553" s="233">
        <v>44630</v>
      </c>
      <c r="S553" s="233"/>
    </row>
    <row r="554" spans="1:19">
      <c r="A554" s="242" t="s">
        <v>2</v>
      </c>
      <c r="B554" s="242"/>
      <c r="C554" s="16">
        <v>1</v>
      </c>
      <c r="D554" s="16">
        <v>2</v>
      </c>
      <c r="E554" s="16">
        <v>3</v>
      </c>
      <c r="F554" s="16">
        <v>4</v>
      </c>
      <c r="G554" s="16">
        <v>5</v>
      </c>
      <c r="H554" s="16">
        <v>6</v>
      </c>
      <c r="I554" s="16">
        <v>7</v>
      </c>
      <c r="J554" s="16">
        <v>8</v>
      </c>
      <c r="K554" s="16">
        <v>9</v>
      </c>
      <c r="L554" s="16">
        <v>10</v>
      </c>
      <c r="M554" s="16">
        <v>11</v>
      </c>
      <c r="N554" s="16">
        <v>12</v>
      </c>
      <c r="O554" s="16">
        <v>13</v>
      </c>
      <c r="P554" s="16">
        <v>14</v>
      </c>
      <c r="Q554" s="239" t="s">
        <v>3</v>
      </c>
      <c r="R554" s="239" t="s">
        <v>4</v>
      </c>
      <c r="S554" s="239" t="s">
        <v>5</v>
      </c>
    </row>
    <row r="555" spans="1:19">
      <c r="A555" s="242" t="s">
        <v>6</v>
      </c>
      <c r="B555" s="242"/>
      <c r="C555" s="16">
        <v>267</v>
      </c>
      <c r="D555" s="16">
        <v>268</v>
      </c>
      <c r="E555" s="16">
        <v>269</v>
      </c>
      <c r="F555" s="16">
        <v>270</v>
      </c>
      <c r="G555" s="16">
        <v>271</v>
      </c>
      <c r="H555" s="16">
        <v>272</v>
      </c>
      <c r="I555" s="16">
        <v>273</v>
      </c>
      <c r="J555" s="16">
        <v>274</v>
      </c>
      <c r="K555" s="16">
        <v>275</v>
      </c>
      <c r="L555" s="16">
        <v>276</v>
      </c>
      <c r="M555" s="16">
        <v>277</v>
      </c>
      <c r="N555" s="16">
        <v>278</v>
      </c>
      <c r="O555" s="16">
        <v>279</v>
      </c>
      <c r="P555" s="16">
        <v>280</v>
      </c>
      <c r="Q555" s="240"/>
      <c r="R555" s="240"/>
      <c r="S555" s="240"/>
    </row>
    <row r="556" spans="1:19" ht="31.5">
      <c r="A556" s="243" t="s">
        <v>18</v>
      </c>
      <c r="B556" s="244"/>
      <c r="C556" s="118" t="s">
        <v>448</v>
      </c>
      <c r="D556" s="118" t="s">
        <v>449</v>
      </c>
      <c r="E556" s="118" t="s">
        <v>450</v>
      </c>
      <c r="F556" s="118" t="s">
        <v>451</v>
      </c>
      <c r="G556" s="118" t="s">
        <v>630</v>
      </c>
      <c r="H556" s="118" t="s">
        <v>452</v>
      </c>
      <c r="I556" s="118" t="s">
        <v>453</v>
      </c>
      <c r="J556" s="118" t="s">
        <v>454</v>
      </c>
      <c r="K556" s="118" t="s">
        <v>631</v>
      </c>
      <c r="L556" s="118" t="s">
        <v>455</v>
      </c>
      <c r="M556" s="118" t="s">
        <v>456</v>
      </c>
      <c r="N556" s="118" t="s">
        <v>457</v>
      </c>
      <c r="O556" s="118" t="s">
        <v>458</v>
      </c>
      <c r="P556" s="118" t="s">
        <v>459</v>
      </c>
      <c r="Q556" s="240"/>
      <c r="R556" s="240"/>
      <c r="S556" s="240"/>
    </row>
    <row r="557" spans="1:19" ht="27" hidden="1" customHeight="1">
      <c r="A557" s="245" t="s">
        <v>20</v>
      </c>
      <c r="B557" s="246"/>
      <c r="C557" s="33">
        <v>314</v>
      </c>
      <c r="D557" s="33">
        <v>455</v>
      </c>
      <c r="E557" s="33">
        <v>638</v>
      </c>
      <c r="F557" s="33">
        <v>610</v>
      </c>
      <c r="G557" s="33">
        <v>698</v>
      </c>
      <c r="H557" s="33">
        <v>689</v>
      </c>
      <c r="I557" s="33">
        <v>648</v>
      </c>
      <c r="J557" s="33">
        <v>717</v>
      </c>
      <c r="K557" s="33">
        <v>704</v>
      </c>
      <c r="L557" s="33">
        <v>646</v>
      </c>
      <c r="M557" s="33">
        <v>630</v>
      </c>
      <c r="N557" s="33">
        <v>372</v>
      </c>
      <c r="O557" s="33">
        <v>527</v>
      </c>
      <c r="P557" s="33">
        <v>806</v>
      </c>
      <c r="Q557" s="240"/>
      <c r="R557" s="240"/>
      <c r="S557" s="240"/>
    </row>
    <row r="558" spans="1:19">
      <c r="A558" s="19" t="s">
        <v>7</v>
      </c>
      <c r="B558" s="16" t="s">
        <v>8</v>
      </c>
      <c r="C558" s="20" t="s">
        <v>9</v>
      </c>
      <c r="D558" s="20" t="s">
        <v>9</v>
      </c>
      <c r="E558" s="20" t="s">
        <v>9</v>
      </c>
      <c r="F558" s="20" t="s">
        <v>9</v>
      </c>
      <c r="G558" s="20" t="s">
        <v>9</v>
      </c>
      <c r="H558" s="20" t="s">
        <v>9</v>
      </c>
      <c r="I558" s="20" t="s">
        <v>9</v>
      </c>
      <c r="J558" s="20" t="s">
        <v>9</v>
      </c>
      <c r="K558" s="20" t="s">
        <v>9</v>
      </c>
      <c r="L558" s="20" t="s">
        <v>9</v>
      </c>
      <c r="M558" s="20" t="s">
        <v>9</v>
      </c>
      <c r="N558" s="20" t="s">
        <v>9</v>
      </c>
      <c r="O558" s="20" t="s">
        <v>9</v>
      </c>
      <c r="P558" s="20" t="s">
        <v>9</v>
      </c>
      <c r="Q558" s="241"/>
      <c r="R558" s="241"/>
      <c r="S558" s="241"/>
    </row>
    <row r="559" spans="1:19" s="180" customFormat="1">
      <c r="A559" s="172">
        <v>1</v>
      </c>
      <c r="B559" s="173" t="s">
        <v>85</v>
      </c>
      <c r="C559" s="178">
        <v>9</v>
      </c>
      <c r="D559" s="178">
        <v>23</v>
      </c>
      <c r="E559" s="178">
        <v>87</v>
      </c>
      <c r="F559" s="178">
        <v>16</v>
      </c>
      <c r="G559" s="178">
        <v>33</v>
      </c>
      <c r="H559" s="178">
        <v>79</v>
      </c>
      <c r="I559" s="178">
        <v>167</v>
      </c>
      <c r="J559" s="178">
        <v>78</v>
      </c>
      <c r="K559" s="178">
        <v>325</v>
      </c>
      <c r="L559" s="178">
        <v>82</v>
      </c>
      <c r="M559" s="178">
        <v>101</v>
      </c>
      <c r="N559" s="178">
        <v>33</v>
      </c>
      <c r="O559" s="178">
        <v>35</v>
      </c>
      <c r="P559" s="178">
        <v>214</v>
      </c>
      <c r="Q559" s="181">
        <f>SUM(C559:P559)</f>
        <v>1282</v>
      </c>
      <c r="R559" s="181">
        <f t="shared" ref="R559:R567" si="92">S530</f>
        <v>40505</v>
      </c>
      <c r="S559" s="181">
        <f>Q559+R559</f>
        <v>41787</v>
      </c>
    </row>
    <row r="560" spans="1:19" s="180" customFormat="1">
      <c r="A560" s="172">
        <v>2</v>
      </c>
      <c r="B560" s="173" t="s">
        <v>156</v>
      </c>
      <c r="C560" s="178">
        <v>296</v>
      </c>
      <c r="D560" s="178">
        <v>334</v>
      </c>
      <c r="E560" s="178">
        <v>529</v>
      </c>
      <c r="F560" s="178">
        <v>575</v>
      </c>
      <c r="G560" s="178">
        <v>636</v>
      </c>
      <c r="H560" s="178">
        <v>505</v>
      </c>
      <c r="I560" s="178">
        <v>211</v>
      </c>
      <c r="J560" s="178">
        <v>471</v>
      </c>
      <c r="K560" s="178">
        <v>353</v>
      </c>
      <c r="L560" s="178">
        <v>474</v>
      </c>
      <c r="M560" s="178">
        <v>427</v>
      </c>
      <c r="N560" s="178">
        <v>232</v>
      </c>
      <c r="O560" s="178">
        <v>386</v>
      </c>
      <c r="P560" s="178">
        <v>532</v>
      </c>
      <c r="Q560" s="181">
        <f t="shared" ref="Q560:Q568" si="93">SUM(C560:P560)</f>
        <v>5961</v>
      </c>
      <c r="R560" s="181">
        <f t="shared" si="92"/>
        <v>89336</v>
      </c>
      <c r="S560" s="181">
        <f t="shared" ref="S560:S569" si="94">Q560+R560</f>
        <v>95297</v>
      </c>
    </row>
    <row r="561" spans="1:19" s="180" customFormat="1">
      <c r="A561" s="172">
        <v>3</v>
      </c>
      <c r="B561" s="173" t="s">
        <v>157</v>
      </c>
      <c r="C561" s="178">
        <v>0</v>
      </c>
      <c r="D561" s="178">
        <v>6</v>
      </c>
      <c r="E561" s="178">
        <v>6</v>
      </c>
      <c r="F561" s="178">
        <v>2</v>
      </c>
      <c r="G561" s="178">
        <v>6</v>
      </c>
      <c r="H561" s="178">
        <v>6</v>
      </c>
      <c r="I561" s="178">
        <v>2</v>
      </c>
      <c r="J561" s="178">
        <v>6</v>
      </c>
      <c r="K561" s="178">
        <v>10</v>
      </c>
      <c r="L561" s="178">
        <v>7</v>
      </c>
      <c r="M561" s="178">
        <v>2</v>
      </c>
      <c r="N561" s="178">
        <v>10</v>
      </c>
      <c r="O561" s="178">
        <v>24</v>
      </c>
      <c r="P561" s="178">
        <v>5</v>
      </c>
      <c r="Q561" s="181">
        <f t="shared" si="93"/>
        <v>92</v>
      </c>
      <c r="R561" s="181">
        <f t="shared" si="92"/>
        <v>1681</v>
      </c>
      <c r="S561" s="181">
        <f t="shared" si="94"/>
        <v>1773</v>
      </c>
    </row>
    <row r="562" spans="1:19" s="180" customFormat="1">
      <c r="A562" s="172">
        <v>4</v>
      </c>
      <c r="B562" s="173" t="s">
        <v>158</v>
      </c>
      <c r="C562" s="178">
        <v>2</v>
      </c>
      <c r="D562" s="178">
        <v>86</v>
      </c>
      <c r="E562" s="178">
        <v>1</v>
      </c>
      <c r="F562" s="178">
        <v>3</v>
      </c>
      <c r="G562" s="178">
        <v>2</v>
      </c>
      <c r="H562" s="178">
        <v>85</v>
      </c>
      <c r="I562" s="178">
        <v>253</v>
      </c>
      <c r="J562" s="178">
        <v>151</v>
      </c>
      <c r="K562" s="178">
        <v>7</v>
      </c>
      <c r="L562" s="178">
        <v>67</v>
      </c>
      <c r="M562" s="178">
        <v>87</v>
      </c>
      <c r="N562" s="178">
        <v>83</v>
      </c>
      <c r="O562" s="178">
        <v>66</v>
      </c>
      <c r="P562" s="178">
        <v>44</v>
      </c>
      <c r="Q562" s="181">
        <f t="shared" si="93"/>
        <v>937</v>
      </c>
      <c r="R562" s="181">
        <f t="shared" si="92"/>
        <v>22965</v>
      </c>
      <c r="S562" s="181">
        <f t="shared" si="94"/>
        <v>23902</v>
      </c>
    </row>
    <row r="563" spans="1:19" s="180" customFormat="1">
      <c r="A563" s="172">
        <v>5</v>
      </c>
      <c r="B563" s="173" t="s">
        <v>159</v>
      </c>
      <c r="C563" s="178">
        <v>0</v>
      </c>
      <c r="D563" s="178">
        <v>1</v>
      </c>
      <c r="E563" s="178">
        <v>1</v>
      </c>
      <c r="F563" s="178">
        <v>0</v>
      </c>
      <c r="G563" s="178">
        <v>1</v>
      </c>
      <c r="H563" s="178">
        <v>0</v>
      </c>
      <c r="I563" s="178">
        <v>4</v>
      </c>
      <c r="J563" s="178">
        <v>1</v>
      </c>
      <c r="K563" s="178">
        <v>0</v>
      </c>
      <c r="L563" s="178">
        <v>2</v>
      </c>
      <c r="M563" s="178">
        <v>1</v>
      </c>
      <c r="N563" s="178">
        <v>1</v>
      </c>
      <c r="O563" s="178">
        <v>5</v>
      </c>
      <c r="P563" s="178">
        <v>0</v>
      </c>
      <c r="Q563" s="181">
        <f t="shared" si="93"/>
        <v>17</v>
      </c>
      <c r="R563" s="181">
        <f t="shared" si="92"/>
        <v>449</v>
      </c>
      <c r="S563" s="181">
        <f t="shared" si="94"/>
        <v>466</v>
      </c>
    </row>
    <row r="564" spans="1:19" s="180" customFormat="1">
      <c r="A564" s="172">
        <v>6</v>
      </c>
      <c r="B564" s="173" t="s">
        <v>160</v>
      </c>
      <c r="C564" s="178">
        <v>2</v>
      </c>
      <c r="D564" s="178">
        <v>1</v>
      </c>
      <c r="E564" s="178">
        <v>3</v>
      </c>
      <c r="F564" s="178">
        <v>4</v>
      </c>
      <c r="G564" s="178">
        <v>3</v>
      </c>
      <c r="H564" s="178">
        <v>1</v>
      </c>
      <c r="I564" s="178">
        <v>4</v>
      </c>
      <c r="J564" s="178">
        <v>2</v>
      </c>
      <c r="K564" s="178">
        <v>1</v>
      </c>
      <c r="L564" s="178">
        <v>0</v>
      </c>
      <c r="M564" s="178">
        <v>2</v>
      </c>
      <c r="N564" s="178">
        <v>3</v>
      </c>
      <c r="O564" s="178">
        <v>3</v>
      </c>
      <c r="P564" s="178">
        <v>3</v>
      </c>
      <c r="Q564" s="181">
        <f t="shared" si="93"/>
        <v>32</v>
      </c>
      <c r="R564" s="181">
        <f t="shared" si="92"/>
        <v>701</v>
      </c>
      <c r="S564" s="181">
        <f t="shared" si="94"/>
        <v>733</v>
      </c>
    </row>
    <row r="565" spans="1:19" s="180" customFormat="1">
      <c r="A565" s="172">
        <v>7</v>
      </c>
      <c r="B565" s="173" t="s">
        <v>86</v>
      </c>
      <c r="C565" s="178">
        <v>2</v>
      </c>
      <c r="D565" s="178">
        <v>1</v>
      </c>
      <c r="E565" s="178">
        <v>6</v>
      </c>
      <c r="F565" s="178">
        <v>7</v>
      </c>
      <c r="G565" s="178">
        <v>1</v>
      </c>
      <c r="H565" s="178">
        <v>3</v>
      </c>
      <c r="I565" s="178">
        <v>4</v>
      </c>
      <c r="J565" s="178">
        <v>3</v>
      </c>
      <c r="K565" s="178">
        <v>2</v>
      </c>
      <c r="L565" s="178">
        <v>8</v>
      </c>
      <c r="M565" s="178">
        <v>0</v>
      </c>
      <c r="N565" s="178">
        <v>3</v>
      </c>
      <c r="O565" s="178">
        <v>2</v>
      </c>
      <c r="P565" s="178">
        <v>1</v>
      </c>
      <c r="Q565" s="181">
        <f t="shared" si="93"/>
        <v>43</v>
      </c>
      <c r="R565" s="181">
        <f t="shared" si="92"/>
        <v>661</v>
      </c>
      <c r="S565" s="181">
        <f t="shared" si="94"/>
        <v>704</v>
      </c>
    </row>
    <row r="566" spans="1:19" s="180" customFormat="1">
      <c r="A566" s="172">
        <v>8</v>
      </c>
      <c r="B566" s="173" t="s">
        <v>161</v>
      </c>
      <c r="C566" s="178">
        <v>1</v>
      </c>
      <c r="D566" s="178">
        <v>0</v>
      </c>
      <c r="E566" s="178">
        <v>1</v>
      </c>
      <c r="F566" s="178">
        <v>3</v>
      </c>
      <c r="G566" s="178">
        <v>8</v>
      </c>
      <c r="H566" s="178">
        <v>5</v>
      </c>
      <c r="I566" s="178">
        <v>1</v>
      </c>
      <c r="J566" s="178">
        <v>2</v>
      </c>
      <c r="K566" s="178">
        <v>3</v>
      </c>
      <c r="L566" s="178">
        <v>3</v>
      </c>
      <c r="M566" s="178">
        <v>2</v>
      </c>
      <c r="N566" s="178">
        <v>5</v>
      </c>
      <c r="O566" s="178">
        <v>5</v>
      </c>
      <c r="P566" s="178">
        <v>4</v>
      </c>
      <c r="Q566" s="181">
        <f t="shared" si="93"/>
        <v>43</v>
      </c>
      <c r="R566" s="181">
        <f t="shared" si="92"/>
        <v>586</v>
      </c>
      <c r="S566" s="181">
        <f t="shared" si="94"/>
        <v>629</v>
      </c>
    </row>
    <row r="567" spans="1:19" s="180" customFormat="1">
      <c r="A567" s="172">
        <v>9</v>
      </c>
      <c r="B567" s="174" t="s">
        <v>10</v>
      </c>
      <c r="C567" s="178">
        <v>2</v>
      </c>
      <c r="D567" s="178">
        <v>3</v>
      </c>
      <c r="E567" s="178">
        <v>4</v>
      </c>
      <c r="F567" s="178">
        <v>0</v>
      </c>
      <c r="G567" s="178">
        <v>8</v>
      </c>
      <c r="H567" s="178">
        <v>5</v>
      </c>
      <c r="I567" s="178">
        <v>2</v>
      </c>
      <c r="J567" s="178">
        <v>3</v>
      </c>
      <c r="K567" s="178">
        <v>3</v>
      </c>
      <c r="L567" s="178">
        <v>3</v>
      </c>
      <c r="M567" s="178">
        <v>8</v>
      </c>
      <c r="N567" s="178">
        <v>2</v>
      </c>
      <c r="O567" s="178">
        <v>1</v>
      </c>
      <c r="P567" s="178">
        <v>3</v>
      </c>
      <c r="Q567" s="181">
        <f t="shared" si="93"/>
        <v>47</v>
      </c>
      <c r="R567" s="181">
        <f t="shared" si="92"/>
        <v>813</v>
      </c>
      <c r="S567" s="181">
        <f t="shared" si="94"/>
        <v>860</v>
      </c>
    </row>
    <row r="568" spans="1:19" s="180" customFormat="1">
      <c r="A568" s="234" t="s">
        <v>11</v>
      </c>
      <c r="B568" s="235"/>
      <c r="C568" s="183">
        <v>0</v>
      </c>
      <c r="D568" s="183">
        <v>0</v>
      </c>
      <c r="E568" s="183">
        <v>0</v>
      </c>
      <c r="F568" s="183">
        <v>0</v>
      </c>
      <c r="G568" s="183">
        <v>0</v>
      </c>
      <c r="H568" s="183">
        <v>0</v>
      </c>
      <c r="I568" s="183">
        <v>0</v>
      </c>
      <c r="J568" s="183">
        <v>0</v>
      </c>
      <c r="K568" s="183">
        <v>0</v>
      </c>
      <c r="L568" s="183">
        <v>0</v>
      </c>
      <c r="M568" s="183">
        <v>0</v>
      </c>
      <c r="N568" s="183">
        <v>0</v>
      </c>
      <c r="O568" s="183">
        <v>0</v>
      </c>
      <c r="P568" s="183">
        <v>0</v>
      </c>
      <c r="Q568" s="181">
        <f t="shared" si="93"/>
        <v>0</v>
      </c>
      <c r="R568" s="181">
        <f t="shared" ref="R568:R569" si="95">S539</f>
        <v>0</v>
      </c>
      <c r="S568" s="181">
        <f t="shared" si="94"/>
        <v>0</v>
      </c>
    </row>
    <row r="569" spans="1:19" s="180" customFormat="1">
      <c r="A569" s="236" t="s">
        <v>12</v>
      </c>
      <c r="B569" s="236"/>
      <c r="C569" s="181">
        <f t="shared" ref="C569:Q569" si="96">SUM(C559:C568)</f>
        <v>314</v>
      </c>
      <c r="D569" s="181">
        <f t="shared" si="96"/>
        <v>455</v>
      </c>
      <c r="E569" s="181">
        <f t="shared" si="96"/>
        <v>638</v>
      </c>
      <c r="F569" s="181">
        <f t="shared" si="96"/>
        <v>610</v>
      </c>
      <c r="G569" s="181">
        <f t="shared" si="96"/>
        <v>698</v>
      </c>
      <c r="H569" s="181">
        <f t="shared" si="96"/>
        <v>689</v>
      </c>
      <c r="I569" s="181">
        <f t="shared" si="96"/>
        <v>648</v>
      </c>
      <c r="J569" s="181">
        <f t="shared" si="96"/>
        <v>717</v>
      </c>
      <c r="K569" s="181">
        <f t="shared" si="96"/>
        <v>704</v>
      </c>
      <c r="L569" s="181">
        <f t="shared" si="96"/>
        <v>646</v>
      </c>
      <c r="M569" s="181">
        <f t="shared" si="96"/>
        <v>630</v>
      </c>
      <c r="N569" s="181">
        <f t="shared" si="96"/>
        <v>372</v>
      </c>
      <c r="O569" s="181">
        <f t="shared" si="96"/>
        <v>527</v>
      </c>
      <c r="P569" s="181">
        <f t="shared" si="96"/>
        <v>806</v>
      </c>
      <c r="Q569" s="181">
        <f t="shared" si="96"/>
        <v>8454</v>
      </c>
      <c r="R569" s="181">
        <f t="shared" si="95"/>
        <v>157697</v>
      </c>
      <c r="S569" s="181">
        <f t="shared" si="94"/>
        <v>166151</v>
      </c>
    </row>
    <row r="570" spans="1:19" ht="8.25" customHeight="1">
      <c r="A570" s="5"/>
      <c r="B570" s="5"/>
      <c r="C570" s="6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8"/>
      <c r="R570" s="7"/>
      <c r="S570" s="7"/>
    </row>
    <row r="571" spans="1:19" ht="25.5">
      <c r="A571" s="17"/>
      <c r="B571" s="17"/>
      <c r="C571" s="65" t="s">
        <v>13</v>
      </c>
      <c r="D571" s="65" t="s">
        <v>13</v>
      </c>
      <c r="E571" s="65" t="s">
        <v>13</v>
      </c>
      <c r="F571" s="65" t="s">
        <v>13</v>
      </c>
      <c r="G571" s="65" t="s">
        <v>13</v>
      </c>
      <c r="H571" s="65" t="s">
        <v>13</v>
      </c>
      <c r="I571" s="65" t="s">
        <v>13</v>
      </c>
      <c r="J571" s="65" t="s">
        <v>13</v>
      </c>
      <c r="K571" s="65" t="s">
        <v>13</v>
      </c>
      <c r="L571" s="65" t="s">
        <v>13</v>
      </c>
      <c r="M571" s="65" t="s">
        <v>13</v>
      </c>
      <c r="N571" s="65" t="s">
        <v>13</v>
      </c>
      <c r="O571" s="65" t="s">
        <v>13</v>
      </c>
      <c r="P571" s="65" t="s">
        <v>13</v>
      </c>
      <c r="Q571" s="65" t="s">
        <v>13</v>
      </c>
      <c r="R571" s="65" t="s">
        <v>13</v>
      </c>
      <c r="S571" s="65" t="s">
        <v>13</v>
      </c>
    </row>
    <row r="572" spans="1:19" ht="6.75" customHeight="1">
      <c r="A572" s="17"/>
      <c r="B572" s="17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</row>
    <row r="573" spans="1:19" ht="36">
      <c r="A573" s="17"/>
      <c r="B573" s="17"/>
      <c r="C573" s="66" t="s">
        <v>14</v>
      </c>
      <c r="D573" s="66" t="s">
        <v>14</v>
      </c>
      <c r="E573" s="66" t="s">
        <v>14</v>
      </c>
      <c r="F573" s="66" t="s">
        <v>14</v>
      </c>
      <c r="G573" s="66" t="s">
        <v>14</v>
      </c>
      <c r="H573" s="66" t="s">
        <v>14</v>
      </c>
      <c r="I573" s="66" t="s">
        <v>14</v>
      </c>
      <c r="J573" s="66" t="s">
        <v>14</v>
      </c>
      <c r="K573" s="66" t="s">
        <v>14</v>
      </c>
      <c r="L573" s="66" t="s">
        <v>14</v>
      </c>
      <c r="M573" s="66" t="s">
        <v>14</v>
      </c>
      <c r="N573" s="66" t="s">
        <v>14</v>
      </c>
      <c r="O573" s="66" t="s">
        <v>14</v>
      </c>
      <c r="P573" s="66" t="s">
        <v>14</v>
      </c>
      <c r="Q573" s="66" t="s">
        <v>14</v>
      </c>
      <c r="R573" s="66" t="s">
        <v>14</v>
      </c>
      <c r="S573" s="66" t="s">
        <v>14</v>
      </c>
    </row>
    <row r="574" spans="1:19" ht="9" customHeight="1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</row>
    <row r="575" spans="1:19">
      <c r="A575" s="237" t="s">
        <v>15</v>
      </c>
      <c r="B575" s="237"/>
      <c r="C575" s="238" t="s">
        <v>16</v>
      </c>
      <c r="D575" s="238"/>
      <c r="E575" s="238"/>
      <c r="F575" s="238"/>
      <c r="G575" s="238"/>
      <c r="H575" s="238"/>
      <c r="I575" s="238"/>
      <c r="J575" s="238"/>
      <c r="K575" s="238"/>
      <c r="L575" s="238"/>
      <c r="M575" s="238"/>
      <c r="N575" s="238"/>
      <c r="O575" s="238"/>
      <c r="P575" s="238"/>
      <c r="Q575" s="238"/>
      <c r="R575" s="17"/>
      <c r="S575" s="17"/>
    </row>
    <row r="576" spans="1:19">
      <c r="A576" s="17"/>
      <c r="B576" s="17"/>
      <c r="C576" s="238" t="s">
        <v>17</v>
      </c>
      <c r="D576" s="238"/>
      <c r="E576" s="238"/>
      <c r="F576" s="238"/>
      <c r="G576" s="238"/>
      <c r="H576" s="238"/>
      <c r="I576" s="238"/>
      <c r="J576" s="238"/>
      <c r="K576" s="238"/>
      <c r="L576" s="238"/>
      <c r="M576" s="238"/>
      <c r="N576" s="238"/>
      <c r="O576" s="238"/>
      <c r="P576" s="238"/>
      <c r="Q576" s="238"/>
      <c r="R576" s="17"/>
      <c r="S576" s="17"/>
    </row>
    <row r="577" spans="1:19" ht="15" customHeight="1">
      <c r="A577" s="17"/>
      <c r="B577" s="17"/>
      <c r="C577" s="228" t="s">
        <v>45</v>
      </c>
      <c r="D577" s="228"/>
      <c r="E577" s="228"/>
      <c r="F577" s="228"/>
      <c r="G577" s="228"/>
      <c r="H577" s="228"/>
      <c r="I577" s="228"/>
      <c r="J577" s="228"/>
      <c r="K577" s="228"/>
      <c r="L577" s="228"/>
      <c r="M577" s="228"/>
      <c r="N577" s="228"/>
      <c r="O577" s="228"/>
      <c r="P577" s="228"/>
      <c r="Q577" s="228"/>
      <c r="R577" s="17"/>
      <c r="S577" s="17"/>
    </row>
    <row r="578" spans="1:19">
      <c r="A578" s="23"/>
      <c r="B578" s="23"/>
      <c r="C578" s="228" t="s">
        <v>46</v>
      </c>
      <c r="D578" s="228"/>
      <c r="E578" s="228"/>
      <c r="F578" s="228"/>
      <c r="G578" s="228"/>
      <c r="H578" s="228"/>
      <c r="I578" s="228"/>
      <c r="J578" s="228"/>
      <c r="K578" s="228"/>
      <c r="L578" s="228"/>
      <c r="M578" s="228"/>
      <c r="N578" s="228"/>
      <c r="O578" s="228"/>
      <c r="P578" s="228"/>
      <c r="Q578" s="228"/>
      <c r="R578" s="23"/>
      <c r="S578" s="23"/>
    </row>
    <row r="579" spans="1:19" ht="15" customHeight="1">
      <c r="A579" s="60"/>
      <c r="B579" s="61" t="s">
        <v>139</v>
      </c>
      <c r="C579" s="227" t="s">
        <v>138</v>
      </c>
      <c r="D579" s="227"/>
      <c r="E579" s="227"/>
      <c r="F579" s="227"/>
      <c r="G579" s="227"/>
      <c r="H579" s="227"/>
      <c r="I579" s="227"/>
      <c r="J579" s="227"/>
      <c r="K579" s="227"/>
      <c r="L579" s="227"/>
      <c r="M579" s="227"/>
      <c r="N579" s="227"/>
      <c r="O579" s="227"/>
      <c r="P579" s="227"/>
      <c r="Q579" s="227"/>
      <c r="R579" s="60"/>
      <c r="S579" s="60"/>
    </row>
    <row r="580" spans="1:19">
      <c r="A580" s="23"/>
      <c r="B580" s="23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3"/>
      <c r="S580" s="23"/>
    </row>
    <row r="581" spans="1:19" ht="26.25">
      <c r="A581" s="229" t="s">
        <v>0</v>
      </c>
      <c r="B581" s="229"/>
      <c r="C581" s="229"/>
      <c r="D581" s="229"/>
      <c r="E581" s="229"/>
      <c r="F581" s="229"/>
      <c r="G581" s="229"/>
      <c r="H581" s="229"/>
      <c r="I581" s="229"/>
      <c r="J581" s="229"/>
      <c r="K581" s="229"/>
      <c r="L581" s="229"/>
      <c r="M581" s="229"/>
      <c r="N581" s="229"/>
      <c r="O581" s="229"/>
      <c r="P581" s="229"/>
      <c r="Q581" s="229"/>
      <c r="R581" s="229"/>
      <c r="S581" s="229"/>
    </row>
    <row r="582" spans="1:19" ht="19.5" customHeight="1">
      <c r="A582" s="230" t="s">
        <v>83</v>
      </c>
      <c r="B582" s="230"/>
      <c r="C582" s="230"/>
      <c r="D582" s="230"/>
      <c r="E582" s="230"/>
      <c r="F582" s="230"/>
      <c r="G582" s="230"/>
      <c r="H582" s="230"/>
      <c r="I582" s="1"/>
      <c r="J582" s="1"/>
      <c r="K582" s="231" t="s">
        <v>40</v>
      </c>
      <c r="L582" s="231"/>
      <c r="M582" s="231"/>
      <c r="N582" s="231"/>
      <c r="O582" s="1"/>
      <c r="P582" s="232" t="s">
        <v>1</v>
      </c>
      <c r="Q582" s="232"/>
      <c r="R582" s="233">
        <v>44630</v>
      </c>
      <c r="S582" s="233"/>
    </row>
    <row r="583" spans="1:19">
      <c r="A583" s="242" t="s">
        <v>2</v>
      </c>
      <c r="B583" s="242"/>
      <c r="C583" s="16">
        <v>1</v>
      </c>
      <c r="D583" s="16">
        <v>2</v>
      </c>
      <c r="E583" s="16">
        <v>3</v>
      </c>
      <c r="F583" s="16">
        <v>4</v>
      </c>
      <c r="G583" s="16">
        <v>5</v>
      </c>
      <c r="H583" s="16">
        <v>6</v>
      </c>
      <c r="I583" s="16">
        <v>7</v>
      </c>
      <c r="J583" s="16">
        <v>8</v>
      </c>
      <c r="K583" s="16">
        <v>9</v>
      </c>
      <c r="L583" s="16">
        <v>10</v>
      </c>
      <c r="M583" s="16">
        <v>11</v>
      </c>
      <c r="N583" s="16">
        <v>12</v>
      </c>
      <c r="O583" s="16">
        <v>13</v>
      </c>
      <c r="P583" s="16">
        <v>14</v>
      </c>
      <c r="Q583" s="239" t="s">
        <v>3</v>
      </c>
      <c r="R583" s="239" t="s">
        <v>4</v>
      </c>
      <c r="S583" s="239" t="s">
        <v>5</v>
      </c>
    </row>
    <row r="584" spans="1:19">
      <c r="A584" s="242" t="s">
        <v>6</v>
      </c>
      <c r="B584" s="242"/>
      <c r="C584" s="16">
        <v>281</v>
      </c>
      <c r="D584" s="16">
        <v>282</v>
      </c>
      <c r="E584" s="16">
        <v>283</v>
      </c>
      <c r="F584" s="16">
        <v>284</v>
      </c>
      <c r="G584" s="16">
        <v>285</v>
      </c>
      <c r="H584" s="16">
        <v>286</v>
      </c>
      <c r="I584" s="16">
        <v>287</v>
      </c>
      <c r="J584" s="16">
        <v>288</v>
      </c>
      <c r="K584" s="16">
        <v>289</v>
      </c>
      <c r="L584" s="16">
        <v>290</v>
      </c>
      <c r="M584" s="16">
        <v>291</v>
      </c>
      <c r="N584" s="16">
        <v>292</v>
      </c>
      <c r="O584" s="16">
        <v>293</v>
      </c>
      <c r="P584" s="16">
        <v>294</v>
      </c>
      <c r="Q584" s="240"/>
      <c r="R584" s="240"/>
      <c r="S584" s="240"/>
    </row>
    <row r="585" spans="1:19" ht="31.5">
      <c r="A585" s="243" t="s">
        <v>18</v>
      </c>
      <c r="B585" s="244"/>
      <c r="C585" s="118" t="s">
        <v>460</v>
      </c>
      <c r="D585" s="118" t="s">
        <v>461</v>
      </c>
      <c r="E585" s="118" t="s">
        <v>462</v>
      </c>
      <c r="F585" s="118" t="s">
        <v>463</v>
      </c>
      <c r="G585" s="118" t="s">
        <v>464</v>
      </c>
      <c r="H585" s="118" t="s">
        <v>465</v>
      </c>
      <c r="I585" s="118" t="s">
        <v>466</v>
      </c>
      <c r="J585" s="118" t="s">
        <v>467</v>
      </c>
      <c r="K585" s="118" t="s">
        <v>468</v>
      </c>
      <c r="L585" s="118" t="s">
        <v>469</v>
      </c>
      <c r="M585" s="118" t="s">
        <v>470</v>
      </c>
      <c r="N585" s="118" t="s">
        <v>471</v>
      </c>
      <c r="O585" s="118" t="s">
        <v>472</v>
      </c>
      <c r="P585" s="118" t="s">
        <v>473</v>
      </c>
      <c r="Q585" s="240"/>
      <c r="R585" s="240"/>
      <c r="S585" s="240"/>
    </row>
    <row r="586" spans="1:19" ht="27.75" hidden="1" customHeight="1">
      <c r="A586" s="245" t="s">
        <v>20</v>
      </c>
      <c r="B586" s="246"/>
      <c r="C586" s="33">
        <v>521</v>
      </c>
      <c r="D586" s="33">
        <v>377</v>
      </c>
      <c r="E586" s="33">
        <v>596</v>
      </c>
      <c r="F586" s="33">
        <v>623</v>
      </c>
      <c r="G586" s="33">
        <v>594</v>
      </c>
      <c r="H586" s="33">
        <v>636</v>
      </c>
      <c r="I586" s="33">
        <v>579</v>
      </c>
      <c r="J586" s="33">
        <v>680</v>
      </c>
      <c r="K586" s="33">
        <v>621</v>
      </c>
      <c r="L586" s="33">
        <v>696</v>
      </c>
      <c r="M586" s="33">
        <v>832</v>
      </c>
      <c r="N586" s="33">
        <v>262</v>
      </c>
      <c r="O586" s="33">
        <v>311</v>
      </c>
      <c r="P586" s="33">
        <v>612</v>
      </c>
      <c r="Q586" s="240"/>
      <c r="R586" s="240"/>
      <c r="S586" s="240"/>
    </row>
    <row r="587" spans="1:19">
      <c r="A587" s="19" t="s">
        <v>7</v>
      </c>
      <c r="B587" s="16" t="s">
        <v>8</v>
      </c>
      <c r="C587" s="20" t="s">
        <v>9</v>
      </c>
      <c r="D587" s="20" t="s">
        <v>9</v>
      </c>
      <c r="E587" s="20" t="s">
        <v>9</v>
      </c>
      <c r="F587" s="20" t="s">
        <v>9</v>
      </c>
      <c r="G587" s="20" t="s">
        <v>9</v>
      </c>
      <c r="H587" s="20" t="s">
        <v>9</v>
      </c>
      <c r="I587" s="20" t="s">
        <v>9</v>
      </c>
      <c r="J587" s="20" t="s">
        <v>9</v>
      </c>
      <c r="K587" s="20" t="s">
        <v>9</v>
      </c>
      <c r="L587" s="20" t="s">
        <v>9</v>
      </c>
      <c r="M587" s="20" t="s">
        <v>9</v>
      </c>
      <c r="N587" s="20" t="s">
        <v>9</v>
      </c>
      <c r="O587" s="20" t="s">
        <v>9</v>
      </c>
      <c r="P587" s="20" t="s">
        <v>9</v>
      </c>
      <c r="Q587" s="241"/>
      <c r="R587" s="241"/>
      <c r="S587" s="241"/>
    </row>
    <row r="588" spans="1:19" s="180" customFormat="1">
      <c r="A588" s="172">
        <v>1</v>
      </c>
      <c r="B588" s="173" t="s">
        <v>85</v>
      </c>
      <c r="C588" s="178">
        <v>95</v>
      </c>
      <c r="D588" s="178">
        <v>66</v>
      </c>
      <c r="E588" s="178">
        <v>26</v>
      </c>
      <c r="F588" s="178">
        <v>43</v>
      </c>
      <c r="G588" s="178">
        <v>36</v>
      </c>
      <c r="H588" s="178">
        <v>3</v>
      </c>
      <c r="I588" s="178">
        <v>49</v>
      </c>
      <c r="J588" s="178">
        <v>31</v>
      </c>
      <c r="K588" s="178">
        <v>102</v>
      </c>
      <c r="L588" s="178">
        <v>115</v>
      </c>
      <c r="M588" s="178">
        <v>25</v>
      </c>
      <c r="N588" s="178">
        <v>23</v>
      </c>
      <c r="O588" s="178">
        <v>38</v>
      </c>
      <c r="P588" s="178">
        <v>179</v>
      </c>
      <c r="Q588" s="184">
        <f>SUM(C588:P588)</f>
        <v>831</v>
      </c>
      <c r="R588" s="184">
        <f t="shared" ref="R588:R596" si="97">S559</f>
        <v>41787</v>
      </c>
      <c r="S588" s="184">
        <f>Q588+R588</f>
        <v>42618</v>
      </c>
    </row>
    <row r="589" spans="1:19" s="180" customFormat="1">
      <c r="A589" s="172">
        <v>2</v>
      </c>
      <c r="B589" s="173" t="s">
        <v>156</v>
      </c>
      <c r="C589" s="178">
        <v>267</v>
      </c>
      <c r="D589" s="178">
        <v>299</v>
      </c>
      <c r="E589" s="178">
        <v>543</v>
      </c>
      <c r="F589" s="178">
        <v>393</v>
      </c>
      <c r="G589" s="178">
        <v>540</v>
      </c>
      <c r="H589" s="178">
        <v>596</v>
      </c>
      <c r="I589" s="178">
        <v>449</v>
      </c>
      <c r="J589" s="178">
        <v>632</v>
      </c>
      <c r="K589" s="178">
        <v>500</v>
      </c>
      <c r="L589" s="178">
        <v>427</v>
      </c>
      <c r="M589" s="178">
        <v>669</v>
      </c>
      <c r="N589" s="178">
        <v>196</v>
      </c>
      <c r="O589" s="178">
        <v>94</v>
      </c>
      <c r="P589" s="178">
        <v>300</v>
      </c>
      <c r="Q589" s="184">
        <f t="shared" ref="Q589:Q597" si="98">SUM(C589:P589)</f>
        <v>5905</v>
      </c>
      <c r="R589" s="184">
        <f t="shared" si="97"/>
        <v>95297</v>
      </c>
      <c r="S589" s="184">
        <f t="shared" ref="S589:S598" si="99">Q589+R589</f>
        <v>101202</v>
      </c>
    </row>
    <row r="590" spans="1:19" s="180" customFormat="1">
      <c r="A590" s="172">
        <v>3</v>
      </c>
      <c r="B590" s="173" t="s">
        <v>157</v>
      </c>
      <c r="C590" s="178">
        <v>2</v>
      </c>
      <c r="D590" s="178">
        <v>2</v>
      </c>
      <c r="E590" s="178">
        <v>4</v>
      </c>
      <c r="F590" s="178">
        <v>7</v>
      </c>
      <c r="G590" s="178">
        <v>6</v>
      </c>
      <c r="H590" s="178">
        <v>11</v>
      </c>
      <c r="I590" s="178">
        <v>19</v>
      </c>
      <c r="J590" s="178">
        <v>5</v>
      </c>
      <c r="K590" s="178">
        <v>12</v>
      </c>
      <c r="L590" s="178">
        <v>5</v>
      </c>
      <c r="M590" s="178">
        <v>9</v>
      </c>
      <c r="N590" s="178">
        <v>15</v>
      </c>
      <c r="O590" s="178">
        <v>70</v>
      </c>
      <c r="P590" s="178">
        <v>11</v>
      </c>
      <c r="Q590" s="184">
        <f t="shared" si="98"/>
        <v>178</v>
      </c>
      <c r="R590" s="184">
        <f t="shared" si="97"/>
        <v>1773</v>
      </c>
      <c r="S590" s="184">
        <f t="shared" si="99"/>
        <v>1951</v>
      </c>
    </row>
    <row r="591" spans="1:19" s="180" customFormat="1">
      <c r="A591" s="172">
        <v>4</v>
      </c>
      <c r="B591" s="173" t="s">
        <v>158</v>
      </c>
      <c r="C591" s="178">
        <v>134</v>
      </c>
      <c r="D591" s="178">
        <v>4</v>
      </c>
      <c r="E591" s="178">
        <v>4</v>
      </c>
      <c r="F591" s="178">
        <v>162</v>
      </c>
      <c r="G591" s="178">
        <v>7</v>
      </c>
      <c r="H591" s="178">
        <v>3</v>
      </c>
      <c r="I591" s="178">
        <v>52</v>
      </c>
      <c r="J591" s="178">
        <v>3</v>
      </c>
      <c r="K591" s="178">
        <v>4</v>
      </c>
      <c r="L591" s="178">
        <v>123</v>
      </c>
      <c r="M591" s="178">
        <v>103</v>
      </c>
      <c r="N591" s="178">
        <v>24</v>
      </c>
      <c r="O591" s="178">
        <v>104</v>
      </c>
      <c r="P591" s="178">
        <v>115</v>
      </c>
      <c r="Q591" s="184">
        <f t="shared" si="98"/>
        <v>842</v>
      </c>
      <c r="R591" s="184">
        <f t="shared" si="97"/>
        <v>23902</v>
      </c>
      <c r="S591" s="184">
        <f t="shared" si="99"/>
        <v>24744</v>
      </c>
    </row>
    <row r="592" spans="1:19" s="180" customFormat="1">
      <c r="A592" s="172">
        <v>5</v>
      </c>
      <c r="B592" s="173" t="s">
        <v>159</v>
      </c>
      <c r="C592" s="178">
        <v>1</v>
      </c>
      <c r="D592" s="178">
        <v>0</v>
      </c>
      <c r="E592" s="178">
        <v>1</v>
      </c>
      <c r="F592" s="178">
        <v>0</v>
      </c>
      <c r="G592" s="178">
        <v>0</v>
      </c>
      <c r="H592" s="178">
        <v>0</v>
      </c>
      <c r="I592" s="178">
        <v>1</v>
      </c>
      <c r="J592" s="178">
        <v>0</v>
      </c>
      <c r="K592" s="178">
        <v>0</v>
      </c>
      <c r="L592" s="178">
        <v>3</v>
      </c>
      <c r="M592" s="178">
        <v>4</v>
      </c>
      <c r="N592" s="178">
        <v>0</v>
      </c>
      <c r="O592" s="178">
        <v>1</v>
      </c>
      <c r="P592" s="178">
        <v>2</v>
      </c>
      <c r="Q592" s="184">
        <f t="shared" si="98"/>
        <v>13</v>
      </c>
      <c r="R592" s="184">
        <f t="shared" si="97"/>
        <v>466</v>
      </c>
      <c r="S592" s="184">
        <f t="shared" si="99"/>
        <v>479</v>
      </c>
    </row>
    <row r="593" spans="1:19" s="180" customFormat="1">
      <c r="A593" s="172">
        <v>6</v>
      </c>
      <c r="B593" s="173" t="s">
        <v>160</v>
      </c>
      <c r="C593" s="178">
        <v>1</v>
      </c>
      <c r="D593" s="178">
        <v>0</v>
      </c>
      <c r="E593" s="178">
        <v>2</v>
      </c>
      <c r="F593" s="178">
        <v>8</v>
      </c>
      <c r="G593" s="178">
        <v>0</v>
      </c>
      <c r="H593" s="178">
        <v>2</v>
      </c>
      <c r="I593" s="178">
        <v>4</v>
      </c>
      <c r="J593" s="178">
        <v>1</v>
      </c>
      <c r="K593" s="178">
        <v>0</v>
      </c>
      <c r="L593" s="178">
        <v>1</v>
      </c>
      <c r="M593" s="178">
        <v>3</v>
      </c>
      <c r="N593" s="178">
        <v>0</v>
      </c>
      <c r="O593" s="178">
        <v>1</v>
      </c>
      <c r="P593" s="178">
        <v>1</v>
      </c>
      <c r="Q593" s="184">
        <f t="shared" si="98"/>
        <v>24</v>
      </c>
      <c r="R593" s="184">
        <f t="shared" si="97"/>
        <v>733</v>
      </c>
      <c r="S593" s="184">
        <f t="shared" si="99"/>
        <v>757</v>
      </c>
    </row>
    <row r="594" spans="1:19" s="180" customFormat="1">
      <c r="A594" s="172">
        <v>7</v>
      </c>
      <c r="B594" s="173" t="s">
        <v>86</v>
      </c>
      <c r="C594" s="178">
        <v>6</v>
      </c>
      <c r="D594" s="178">
        <v>1</v>
      </c>
      <c r="E594" s="178">
        <v>6</v>
      </c>
      <c r="F594" s="178">
        <v>2</v>
      </c>
      <c r="G594" s="178">
        <v>0</v>
      </c>
      <c r="H594" s="178">
        <v>6</v>
      </c>
      <c r="I594" s="178">
        <v>2</v>
      </c>
      <c r="J594" s="178">
        <v>3</v>
      </c>
      <c r="K594" s="178">
        <v>2</v>
      </c>
      <c r="L594" s="178">
        <v>9</v>
      </c>
      <c r="M594" s="178">
        <v>7</v>
      </c>
      <c r="N594" s="178">
        <v>2</v>
      </c>
      <c r="O594" s="178">
        <v>1</v>
      </c>
      <c r="P594" s="178">
        <v>1</v>
      </c>
      <c r="Q594" s="184">
        <f t="shared" si="98"/>
        <v>48</v>
      </c>
      <c r="R594" s="184">
        <f t="shared" si="97"/>
        <v>704</v>
      </c>
      <c r="S594" s="184">
        <f t="shared" si="99"/>
        <v>752</v>
      </c>
    </row>
    <row r="595" spans="1:19" s="180" customFormat="1">
      <c r="A595" s="172">
        <v>8</v>
      </c>
      <c r="B595" s="173" t="s">
        <v>161</v>
      </c>
      <c r="C595" s="178">
        <v>6</v>
      </c>
      <c r="D595" s="178">
        <v>2</v>
      </c>
      <c r="E595" s="178">
        <v>5</v>
      </c>
      <c r="F595" s="178">
        <v>6</v>
      </c>
      <c r="G595" s="178">
        <v>3</v>
      </c>
      <c r="H595" s="178">
        <v>9</v>
      </c>
      <c r="I595" s="178">
        <v>1</v>
      </c>
      <c r="J595" s="178">
        <v>0</v>
      </c>
      <c r="K595" s="178">
        <v>1</v>
      </c>
      <c r="L595" s="178">
        <v>5</v>
      </c>
      <c r="M595" s="178">
        <v>7</v>
      </c>
      <c r="N595" s="178">
        <v>1</v>
      </c>
      <c r="O595" s="178">
        <v>0</v>
      </c>
      <c r="P595" s="178">
        <v>1</v>
      </c>
      <c r="Q595" s="184">
        <f t="shared" si="98"/>
        <v>47</v>
      </c>
      <c r="R595" s="184">
        <f t="shared" si="97"/>
        <v>629</v>
      </c>
      <c r="S595" s="184">
        <f t="shared" si="99"/>
        <v>676</v>
      </c>
    </row>
    <row r="596" spans="1:19" s="180" customFormat="1">
      <c r="A596" s="172">
        <v>9</v>
      </c>
      <c r="B596" s="174" t="s">
        <v>10</v>
      </c>
      <c r="C596" s="178">
        <v>9</v>
      </c>
      <c r="D596" s="178">
        <v>3</v>
      </c>
      <c r="E596" s="178">
        <v>5</v>
      </c>
      <c r="F596" s="178">
        <v>2</v>
      </c>
      <c r="G596" s="178">
        <v>2</v>
      </c>
      <c r="H596" s="178">
        <v>6</v>
      </c>
      <c r="I596" s="178">
        <v>2</v>
      </c>
      <c r="J596" s="178">
        <v>5</v>
      </c>
      <c r="K596" s="178">
        <v>0</v>
      </c>
      <c r="L596" s="178">
        <v>8</v>
      </c>
      <c r="M596" s="178">
        <v>5</v>
      </c>
      <c r="N596" s="178">
        <v>1</v>
      </c>
      <c r="O596" s="178">
        <v>2</v>
      </c>
      <c r="P596" s="178">
        <v>2</v>
      </c>
      <c r="Q596" s="184">
        <f t="shared" si="98"/>
        <v>52</v>
      </c>
      <c r="R596" s="184">
        <f t="shared" si="97"/>
        <v>860</v>
      </c>
      <c r="S596" s="184">
        <f t="shared" si="99"/>
        <v>912</v>
      </c>
    </row>
    <row r="597" spans="1:19" s="180" customFormat="1">
      <c r="A597" s="234" t="s">
        <v>11</v>
      </c>
      <c r="B597" s="235"/>
      <c r="C597" s="179">
        <v>0</v>
      </c>
      <c r="D597" s="179">
        <v>0</v>
      </c>
      <c r="E597" s="179">
        <v>0</v>
      </c>
      <c r="F597" s="179">
        <v>0</v>
      </c>
      <c r="G597" s="179">
        <v>0</v>
      </c>
      <c r="H597" s="179">
        <v>0</v>
      </c>
      <c r="I597" s="179">
        <v>0</v>
      </c>
      <c r="J597" s="179">
        <v>0</v>
      </c>
      <c r="K597" s="179">
        <v>0</v>
      </c>
      <c r="L597" s="179">
        <v>0</v>
      </c>
      <c r="M597" s="179">
        <v>0</v>
      </c>
      <c r="N597" s="179">
        <v>0</v>
      </c>
      <c r="O597" s="179">
        <v>0</v>
      </c>
      <c r="P597" s="179">
        <v>0</v>
      </c>
      <c r="Q597" s="184">
        <f t="shared" si="98"/>
        <v>0</v>
      </c>
      <c r="R597" s="184">
        <f t="shared" ref="R597:R598" si="100">S568</f>
        <v>0</v>
      </c>
      <c r="S597" s="184">
        <f t="shared" si="99"/>
        <v>0</v>
      </c>
    </row>
    <row r="598" spans="1:19" s="180" customFormat="1">
      <c r="A598" s="236" t="s">
        <v>12</v>
      </c>
      <c r="B598" s="236"/>
      <c r="C598" s="184">
        <f t="shared" ref="C598:Q598" si="101">SUM(C588:C597)</f>
        <v>521</v>
      </c>
      <c r="D598" s="184">
        <f t="shared" si="101"/>
        <v>377</v>
      </c>
      <c r="E598" s="184">
        <f t="shared" si="101"/>
        <v>596</v>
      </c>
      <c r="F598" s="184">
        <f t="shared" si="101"/>
        <v>623</v>
      </c>
      <c r="G598" s="184">
        <f t="shared" si="101"/>
        <v>594</v>
      </c>
      <c r="H598" s="184">
        <f t="shared" si="101"/>
        <v>636</v>
      </c>
      <c r="I598" s="184">
        <f t="shared" si="101"/>
        <v>579</v>
      </c>
      <c r="J598" s="184">
        <f t="shared" si="101"/>
        <v>680</v>
      </c>
      <c r="K598" s="184">
        <f t="shared" si="101"/>
        <v>621</v>
      </c>
      <c r="L598" s="184">
        <f t="shared" si="101"/>
        <v>696</v>
      </c>
      <c r="M598" s="184">
        <f t="shared" si="101"/>
        <v>832</v>
      </c>
      <c r="N598" s="184">
        <f t="shared" si="101"/>
        <v>262</v>
      </c>
      <c r="O598" s="184">
        <f t="shared" si="101"/>
        <v>311</v>
      </c>
      <c r="P598" s="184">
        <f t="shared" si="101"/>
        <v>612</v>
      </c>
      <c r="Q598" s="184">
        <f t="shared" si="101"/>
        <v>7940</v>
      </c>
      <c r="R598" s="184">
        <f t="shared" si="100"/>
        <v>166151</v>
      </c>
      <c r="S598" s="184">
        <f t="shared" si="99"/>
        <v>174091</v>
      </c>
    </row>
    <row r="599" spans="1:19" ht="15" customHeight="1">
      <c r="A599" s="5"/>
      <c r="B599" s="5"/>
      <c r="C599" s="6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8"/>
      <c r="R599" s="7"/>
      <c r="S599" s="7"/>
    </row>
    <row r="600" spans="1:19" ht="24">
      <c r="A600" s="17"/>
      <c r="B600" s="17"/>
      <c r="C600" s="66" t="s">
        <v>13</v>
      </c>
      <c r="D600" s="66" t="s">
        <v>13</v>
      </c>
      <c r="E600" s="66" t="s">
        <v>13</v>
      </c>
      <c r="F600" s="66" t="s">
        <v>13</v>
      </c>
      <c r="G600" s="66" t="s">
        <v>13</v>
      </c>
      <c r="H600" s="66" t="s">
        <v>13</v>
      </c>
      <c r="I600" s="66" t="s">
        <v>13</v>
      </c>
      <c r="J600" s="66" t="s">
        <v>13</v>
      </c>
      <c r="K600" s="66" t="s">
        <v>13</v>
      </c>
      <c r="L600" s="66" t="s">
        <v>13</v>
      </c>
      <c r="M600" s="66" t="s">
        <v>13</v>
      </c>
      <c r="N600" s="66" t="s">
        <v>13</v>
      </c>
      <c r="O600" s="66" t="s">
        <v>13</v>
      </c>
      <c r="P600" s="66" t="s">
        <v>13</v>
      </c>
      <c r="Q600" s="66" t="s">
        <v>13</v>
      </c>
      <c r="R600" s="66" t="s">
        <v>13</v>
      </c>
      <c r="S600" s="66" t="s">
        <v>13</v>
      </c>
    </row>
    <row r="601" spans="1:19" ht="16.5" customHeight="1">
      <c r="A601" s="17"/>
      <c r="B601" s="17"/>
      <c r="C601" s="66"/>
      <c r="D601" s="66"/>
      <c r="E601" s="66"/>
      <c r="F601" s="66"/>
      <c r="G601" s="66"/>
      <c r="H601" s="66"/>
      <c r="I601" s="66"/>
      <c r="J601" s="66"/>
      <c r="K601" s="66"/>
      <c r="L601" s="66"/>
      <c r="M601" s="66"/>
      <c r="N601" s="66"/>
      <c r="O601" s="66"/>
      <c r="P601" s="66"/>
      <c r="Q601" s="66"/>
      <c r="R601" s="66"/>
      <c r="S601" s="66"/>
    </row>
    <row r="602" spans="1:19" ht="36">
      <c r="A602" s="17"/>
      <c r="B602" s="17"/>
      <c r="C602" s="66" t="s">
        <v>14</v>
      </c>
      <c r="D602" s="66" t="s">
        <v>14</v>
      </c>
      <c r="E602" s="66" t="s">
        <v>14</v>
      </c>
      <c r="F602" s="66" t="s">
        <v>14</v>
      </c>
      <c r="G602" s="66" t="s">
        <v>14</v>
      </c>
      <c r="H602" s="66" t="s">
        <v>14</v>
      </c>
      <c r="I602" s="66" t="s">
        <v>14</v>
      </c>
      <c r="J602" s="66" t="s">
        <v>14</v>
      </c>
      <c r="K602" s="66" t="s">
        <v>14</v>
      </c>
      <c r="L602" s="66" t="s">
        <v>14</v>
      </c>
      <c r="M602" s="66" t="s">
        <v>14</v>
      </c>
      <c r="N602" s="66" t="s">
        <v>14</v>
      </c>
      <c r="O602" s="66" t="s">
        <v>14</v>
      </c>
      <c r="P602" s="66" t="s">
        <v>14</v>
      </c>
      <c r="Q602" s="66" t="s">
        <v>14</v>
      </c>
      <c r="R602" s="66" t="s">
        <v>14</v>
      </c>
      <c r="S602" s="66" t="s">
        <v>14</v>
      </c>
    </row>
    <row r="603" spans="1:19" ht="6.75" customHeight="1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</row>
    <row r="604" spans="1:19">
      <c r="A604" s="237" t="s">
        <v>15</v>
      </c>
      <c r="B604" s="237"/>
      <c r="C604" s="238" t="s">
        <v>16</v>
      </c>
      <c r="D604" s="238"/>
      <c r="E604" s="238"/>
      <c r="F604" s="238"/>
      <c r="G604" s="238"/>
      <c r="H604" s="238"/>
      <c r="I604" s="238"/>
      <c r="J604" s="238"/>
      <c r="K604" s="238"/>
      <c r="L604" s="238"/>
      <c r="M604" s="238"/>
      <c r="N604" s="238"/>
      <c r="O604" s="238"/>
      <c r="P604" s="238"/>
      <c r="Q604" s="238"/>
      <c r="R604" s="17"/>
      <c r="S604" s="17"/>
    </row>
    <row r="605" spans="1:19">
      <c r="A605" s="17"/>
      <c r="B605" s="17"/>
      <c r="C605" s="238" t="s">
        <v>17</v>
      </c>
      <c r="D605" s="238"/>
      <c r="E605" s="238"/>
      <c r="F605" s="238"/>
      <c r="G605" s="238"/>
      <c r="H605" s="238"/>
      <c r="I605" s="238"/>
      <c r="J605" s="238"/>
      <c r="K605" s="238"/>
      <c r="L605" s="238"/>
      <c r="M605" s="238"/>
      <c r="N605" s="238"/>
      <c r="O605" s="238"/>
      <c r="P605" s="238"/>
      <c r="Q605" s="238"/>
      <c r="R605" s="17"/>
      <c r="S605" s="17"/>
    </row>
    <row r="606" spans="1:19" ht="15" customHeight="1">
      <c r="A606" s="17"/>
      <c r="B606" s="17"/>
      <c r="C606" s="228" t="s">
        <v>45</v>
      </c>
      <c r="D606" s="228"/>
      <c r="E606" s="228"/>
      <c r="F606" s="228"/>
      <c r="G606" s="228"/>
      <c r="H606" s="228"/>
      <c r="I606" s="228"/>
      <c r="J606" s="228"/>
      <c r="K606" s="228"/>
      <c r="L606" s="228"/>
      <c r="M606" s="228"/>
      <c r="N606" s="228"/>
      <c r="O606" s="228"/>
      <c r="P606" s="228"/>
      <c r="Q606" s="228"/>
      <c r="R606" s="17"/>
      <c r="S606" s="17"/>
    </row>
    <row r="607" spans="1:19">
      <c r="A607" s="23"/>
      <c r="B607" s="23"/>
      <c r="C607" s="228" t="s">
        <v>46</v>
      </c>
      <c r="D607" s="228"/>
      <c r="E607" s="228"/>
      <c r="F607" s="228"/>
      <c r="G607" s="228"/>
      <c r="H607" s="228"/>
      <c r="I607" s="228"/>
      <c r="J607" s="228"/>
      <c r="K607" s="228"/>
      <c r="L607" s="228"/>
      <c r="M607" s="228"/>
      <c r="N607" s="228"/>
      <c r="O607" s="228"/>
      <c r="P607" s="228"/>
      <c r="Q607" s="228"/>
      <c r="R607" s="23"/>
      <c r="S607" s="23"/>
    </row>
    <row r="608" spans="1:19" ht="15" customHeight="1">
      <c r="A608" s="60"/>
      <c r="B608" s="61" t="s">
        <v>139</v>
      </c>
      <c r="C608" s="227" t="s">
        <v>138</v>
      </c>
      <c r="D608" s="227"/>
      <c r="E608" s="227"/>
      <c r="F608" s="227"/>
      <c r="G608" s="227"/>
      <c r="H608" s="227"/>
      <c r="I608" s="227"/>
      <c r="J608" s="227"/>
      <c r="K608" s="227"/>
      <c r="L608" s="227"/>
      <c r="M608" s="227"/>
      <c r="N608" s="227"/>
      <c r="O608" s="227"/>
      <c r="P608" s="227"/>
      <c r="Q608" s="227"/>
      <c r="R608" s="60"/>
      <c r="S608" s="60"/>
    </row>
    <row r="609" spans="1:19">
      <c r="A609" s="23"/>
      <c r="B609" s="23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3"/>
      <c r="S609" s="23"/>
    </row>
    <row r="610" spans="1:19" ht="26.25">
      <c r="A610" s="229" t="s">
        <v>0</v>
      </c>
      <c r="B610" s="229"/>
      <c r="C610" s="229"/>
      <c r="D610" s="229"/>
      <c r="E610" s="229"/>
      <c r="F610" s="229"/>
      <c r="G610" s="229"/>
      <c r="H610" s="229"/>
      <c r="I610" s="229"/>
      <c r="J610" s="229"/>
      <c r="K610" s="229"/>
      <c r="L610" s="229"/>
      <c r="M610" s="229"/>
      <c r="N610" s="229"/>
      <c r="O610" s="229"/>
      <c r="P610" s="229"/>
      <c r="Q610" s="229"/>
      <c r="R610" s="229"/>
      <c r="S610" s="229"/>
    </row>
    <row r="611" spans="1:19" ht="19.5" customHeight="1">
      <c r="A611" s="230" t="s">
        <v>83</v>
      </c>
      <c r="B611" s="230"/>
      <c r="C611" s="230"/>
      <c r="D611" s="230"/>
      <c r="E611" s="230"/>
      <c r="F611" s="230"/>
      <c r="G611" s="230"/>
      <c r="H611" s="230"/>
      <c r="I611" s="1"/>
      <c r="J611" s="1"/>
      <c r="K611" s="231" t="s">
        <v>41</v>
      </c>
      <c r="L611" s="231"/>
      <c r="M611" s="231"/>
      <c r="N611" s="231"/>
      <c r="O611" s="1"/>
      <c r="P611" s="232" t="s">
        <v>1</v>
      </c>
      <c r="Q611" s="232"/>
      <c r="R611" s="233">
        <v>44630</v>
      </c>
      <c r="S611" s="233"/>
    </row>
    <row r="612" spans="1:19">
      <c r="A612" s="242" t="s">
        <v>2</v>
      </c>
      <c r="B612" s="242"/>
      <c r="C612" s="16">
        <v>1</v>
      </c>
      <c r="D612" s="16">
        <v>2</v>
      </c>
      <c r="E612" s="16">
        <v>3</v>
      </c>
      <c r="F612" s="16">
        <v>4</v>
      </c>
      <c r="G612" s="16">
        <v>5</v>
      </c>
      <c r="H612" s="16">
        <v>6</v>
      </c>
      <c r="I612" s="16">
        <v>7</v>
      </c>
      <c r="J612" s="16">
        <v>8</v>
      </c>
      <c r="K612" s="16">
        <v>9</v>
      </c>
      <c r="L612" s="16">
        <v>10</v>
      </c>
      <c r="M612" s="16">
        <v>11</v>
      </c>
      <c r="N612" s="16">
        <v>12</v>
      </c>
      <c r="O612" s="16">
        <v>13</v>
      </c>
      <c r="P612" s="16">
        <v>14</v>
      </c>
      <c r="Q612" s="239" t="s">
        <v>3</v>
      </c>
      <c r="R612" s="239" t="s">
        <v>4</v>
      </c>
      <c r="S612" s="239" t="s">
        <v>5</v>
      </c>
    </row>
    <row r="613" spans="1:19">
      <c r="A613" s="242" t="s">
        <v>6</v>
      </c>
      <c r="B613" s="242"/>
      <c r="C613" s="16">
        <v>295</v>
      </c>
      <c r="D613" s="16">
        <v>296</v>
      </c>
      <c r="E613" s="16">
        <v>297</v>
      </c>
      <c r="F613" s="16">
        <v>298</v>
      </c>
      <c r="G613" s="16">
        <v>299</v>
      </c>
      <c r="H613" s="16">
        <v>300</v>
      </c>
      <c r="I613" s="16">
        <v>301</v>
      </c>
      <c r="J613" s="16">
        <v>302</v>
      </c>
      <c r="K613" s="16">
        <v>303</v>
      </c>
      <c r="L613" s="16">
        <v>304</v>
      </c>
      <c r="M613" s="16">
        <v>305</v>
      </c>
      <c r="N613" s="16">
        <v>306</v>
      </c>
      <c r="O613" s="16">
        <v>307</v>
      </c>
      <c r="P613" s="16">
        <v>308</v>
      </c>
      <c r="Q613" s="240"/>
      <c r="R613" s="240"/>
      <c r="S613" s="240"/>
    </row>
    <row r="614" spans="1:19" ht="31.5">
      <c r="A614" s="243" t="s">
        <v>18</v>
      </c>
      <c r="B614" s="244"/>
      <c r="C614" s="118" t="s">
        <v>474</v>
      </c>
      <c r="D614" s="118" t="s">
        <v>475</v>
      </c>
      <c r="E614" s="118" t="s">
        <v>476</v>
      </c>
      <c r="F614" s="118" t="s">
        <v>477</v>
      </c>
      <c r="G614" s="118" t="s">
        <v>478</v>
      </c>
      <c r="H614" s="118" t="s">
        <v>479</v>
      </c>
      <c r="I614" s="118" t="s">
        <v>480</v>
      </c>
      <c r="J614" s="118" t="s">
        <v>481</v>
      </c>
      <c r="K614" s="118" t="s">
        <v>482</v>
      </c>
      <c r="L614" s="118" t="s">
        <v>483</v>
      </c>
      <c r="M614" s="118" t="s">
        <v>484</v>
      </c>
      <c r="N614" s="118" t="s">
        <v>485</v>
      </c>
      <c r="O614" s="118" t="s">
        <v>486</v>
      </c>
      <c r="P614" s="118" t="s">
        <v>487</v>
      </c>
      <c r="Q614" s="240"/>
      <c r="R614" s="240"/>
      <c r="S614" s="240"/>
    </row>
    <row r="615" spans="1:19" ht="27" hidden="1" customHeight="1">
      <c r="A615" s="245" t="s">
        <v>20</v>
      </c>
      <c r="B615" s="246"/>
      <c r="C615" s="33">
        <v>354</v>
      </c>
      <c r="D615" s="33">
        <v>623</v>
      </c>
      <c r="E615" s="33">
        <v>508</v>
      </c>
      <c r="F615" s="33">
        <v>387</v>
      </c>
      <c r="G615" s="33">
        <v>658</v>
      </c>
      <c r="H615" s="33">
        <v>379</v>
      </c>
      <c r="I615" s="33">
        <v>424</v>
      </c>
      <c r="J615" s="33">
        <v>445</v>
      </c>
      <c r="K615" s="33">
        <v>469</v>
      </c>
      <c r="L615" s="33">
        <v>414</v>
      </c>
      <c r="M615" s="33">
        <v>624</v>
      </c>
      <c r="N615" s="33">
        <v>241</v>
      </c>
      <c r="O615" s="33">
        <v>641</v>
      </c>
      <c r="P615" s="33">
        <v>533</v>
      </c>
      <c r="Q615" s="240"/>
      <c r="R615" s="240"/>
      <c r="S615" s="240"/>
    </row>
    <row r="616" spans="1:19">
      <c r="A616" s="19" t="s">
        <v>7</v>
      </c>
      <c r="B616" s="16" t="s">
        <v>8</v>
      </c>
      <c r="C616" s="20" t="s">
        <v>9</v>
      </c>
      <c r="D616" s="20" t="s">
        <v>9</v>
      </c>
      <c r="E616" s="20" t="s">
        <v>9</v>
      </c>
      <c r="F616" s="20" t="s">
        <v>9</v>
      </c>
      <c r="G616" s="20" t="s">
        <v>9</v>
      </c>
      <c r="H616" s="20" t="s">
        <v>9</v>
      </c>
      <c r="I616" s="20" t="s">
        <v>9</v>
      </c>
      <c r="J616" s="20" t="s">
        <v>9</v>
      </c>
      <c r="K616" s="20" t="s">
        <v>9</v>
      </c>
      <c r="L616" s="20" t="s">
        <v>9</v>
      </c>
      <c r="M616" s="20" t="s">
        <v>9</v>
      </c>
      <c r="N616" s="20" t="s">
        <v>9</v>
      </c>
      <c r="O616" s="20" t="s">
        <v>9</v>
      </c>
      <c r="P616" s="20" t="s">
        <v>9</v>
      </c>
      <c r="Q616" s="241"/>
      <c r="R616" s="241"/>
      <c r="S616" s="241"/>
    </row>
    <row r="617" spans="1:19" s="180" customFormat="1">
      <c r="A617" s="172">
        <v>1</v>
      </c>
      <c r="B617" s="173" t="s">
        <v>85</v>
      </c>
      <c r="C617" s="178">
        <v>54</v>
      </c>
      <c r="D617" s="178">
        <v>348</v>
      </c>
      <c r="E617" s="178">
        <v>119</v>
      </c>
      <c r="F617" s="178">
        <v>94</v>
      </c>
      <c r="G617" s="178">
        <v>15</v>
      </c>
      <c r="H617" s="178">
        <v>90</v>
      </c>
      <c r="I617" s="178">
        <v>103</v>
      </c>
      <c r="J617" s="178">
        <v>11</v>
      </c>
      <c r="K617" s="178">
        <v>21</v>
      </c>
      <c r="L617" s="178">
        <v>5</v>
      </c>
      <c r="M617" s="178">
        <v>4</v>
      </c>
      <c r="N617" s="178">
        <v>38</v>
      </c>
      <c r="O617" s="178">
        <v>24</v>
      </c>
      <c r="P617" s="178">
        <v>59</v>
      </c>
      <c r="Q617" s="184">
        <f>SUM(C617:P617)</f>
        <v>985</v>
      </c>
      <c r="R617" s="184">
        <f t="shared" ref="R617:R625" si="102">S588</f>
        <v>42618</v>
      </c>
      <c r="S617" s="184">
        <f>Q617+R617</f>
        <v>43603</v>
      </c>
    </row>
    <row r="618" spans="1:19" s="180" customFormat="1">
      <c r="A618" s="172">
        <v>2</v>
      </c>
      <c r="B618" s="173" t="s">
        <v>156</v>
      </c>
      <c r="C618" s="178">
        <v>107</v>
      </c>
      <c r="D618" s="178">
        <v>256</v>
      </c>
      <c r="E618" s="178">
        <v>94</v>
      </c>
      <c r="F618" s="178">
        <v>169</v>
      </c>
      <c r="G618" s="178">
        <v>514</v>
      </c>
      <c r="H618" s="178">
        <v>217</v>
      </c>
      <c r="I618" s="178">
        <v>78</v>
      </c>
      <c r="J618" s="178">
        <v>277</v>
      </c>
      <c r="K618" s="178">
        <v>414</v>
      </c>
      <c r="L618" s="178">
        <v>323</v>
      </c>
      <c r="M618" s="178">
        <v>607</v>
      </c>
      <c r="N618" s="178">
        <v>194</v>
      </c>
      <c r="O618" s="178">
        <v>592</v>
      </c>
      <c r="P618" s="178">
        <v>432</v>
      </c>
      <c r="Q618" s="184">
        <f t="shared" ref="Q618:Q626" si="103">SUM(C618:P618)</f>
        <v>4274</v>
      </c>
      <c r="R618" s="184">
        <f t="shared" si="102"/>
        <v>101202</v>
      </c>
      <c r="S618" s="184">
        <f t="shared" ref="S618:S627" si="104">Q618+R618</f>
        <v>105476</v>
      </c>
    </row>
    <row r="619" spans="1:19" s="180" customFormat="1">
      <c r="A619" s="172">
        <v>3</v>
      </c>
      <c r="B619" s="173" t="s">
        <v>157</v>
      </c>
      <c r="C619" s="178">
        <v>1</v>
      </c>
      <c r="D619" s="178">
        <v>5</v>
      </c>
      <c r="E619" s="178">
        <v>4</v>
      </c>
      <c r="F619" s="178">
        <v>5</v>
      </c>
      <c r="G619" s="178">
        <v>3</v>
      </c>
      <c r="H619" s="178">
        <v>27</v>
      </c>
      <c r="I619" s="178">
        <v>5</v>
      </c>
      <c r="J619" s="178">
        <v>15</v>
      </c>
      <c r="K619" s="178">
        <v>22</v>
      </c>
      <c r="L619" s="178">
        <v>3</v>
      </c>
      <c r="M619" s="178">
        <v>4</v>
      </c>
      <c r="N619" s="178">
        <v>2</v>
      </c>
      <c r="O619" s="178">
        <v>8</v>
      </c>
      <c r="P619" s="178">
        <v>7</v>
      </c>
      <c r="Q619" s="184">
        <f t="shared" si="103"/>
        <v>111</v>
      </c>
      <c r="R619" s="184">
        <f t="shared" si="102"/>
        <v>1951</v>
      </c>
      <c r="S619" s="184">
        <f t="shared" si="104"/>
        <v>2062</v>
      </c>
    </row>
    <row r="620" spans="1:19" s="180" customFormat="1">
      <c r="A620" s="172">
        <v>4</v>
      </c>
      <c r="B620" s="173" t="s">
        <v>158</v>
      </c>
      <c r="C620" s="178">
        <v>189</v>
      </c>
      <c r="D620" s="178">
        <v>8</v>
      </c>
      <c r="E620" s="178">
        <v>287</v>
      </c>
      <c r="F620" s="178">
        <v>111</v>
      </c>
      <c r="G620" s="178">
        <v>110</v>
      </c>
      <c r="H620" s="178">
        <v>42</v>
      </c>
      <c r="I620" s="178">
        <v>231</v>
      </c>
      <c r="J620" s="178">
        <v>136</v>
      </c>
      <c r="K620" s="178">
        <v>4</v>
      </c>
      <c r="L620" s="178">
        <v>77</v>
      </c>
      <c r="M620" s="178">
        <v>0</v>
      </c>
      <c r="N620" s="178">
        <v>3</v>
      </c>
      <c r="O620" s="178">
        <v>4</v>
      </c>
      <c r="P620" s="178">
        <v>28</v>
      </c>
      <c r="Q620" s="184">
        <f t="shared" si="103"/>
        <v>1230</v>
      </c>
      <c r="R620" s="184">
        <f t="shared" si="102"/>
        <v>24744</v>
      </c>
      <c r="S620" s="184">
        <f t="shared" si="104"/>
        <v>25974</v>
      </c>
    </row>
    <row r="621" spans="1:19" s="180" customFormat="1">
      <c r="A621" s="172">
        <v>5</v>
      </c>
      <c r="B621" s="173" t="s">
        <v>159</v>
      </c>
      <c r="C621" s="178">
        <v>0</v>
      </c>
      <c r="D621" s="178">
        <v>2</v>
      </c>
      <c r="E621" s="178">
        <v>1</v>
      </c>
      <c r="F621" s="178">
        <v>2</v>
      </c>
      <c r="G621" s="178">
        <v>0</v>
      </c>
      <c r="H621" s="178">
        <v>2</v>
      </c>
      <c r="I621" s="178">
        <v>1</v>
      </c>
      <c r="J621" s="178">
        <v>1</v>
      </c>
      <c r="K621" s="178">
        <v>0</v>
      </c>
      <c r="L621" s="178">
        <v>2</v>
      </c>
      <c r="M621" s="178">
        <v>1</v>
      </c>
      <c r="N621" s="178">
        <v>1</v>
      </c>
      <c r="O621" s="178">
        <v>0</v>
      </c>
      <c r="P621" s="178">
        <v>0</v>
      </c>
      <c r="Q621" s="184">
        <f t="shared" si="103"/>
        <v>13</v>
      </c>
      <c r="R621" s="184">
        <f t="shared" si="102"/>
        <v>479</v>
      </c>
      <c r="S621" s="184">
        <f t="shared" si="104"/>
        <v>492</v>
      </c>
    </row>
    <row r="622" spans="1:19" s="180" customFormat="1">
      <c r="A622" s="172">
        <v>6</v>
      </c>
      <c r="B622" s="173" t="s">
        <v>160</v>
      </c>
      <c r="C622" s="178">
        <v>1</v>
      </c>
      <c r="D622" s="178">
        <v>3</v>
      </c>
      <c r="E622" s="178">
        <v>1</v>
      </c>
      <c r="F622" s="178">
        <v>2</v>
      </c>
      <c r="G622" s="178">
        <v>3</v>
      </c>
      <c r="H622" s="178">
        <v>1</v>
      </c>
      <c r="I622" s="178">
        <v>3</v>
      </c>
      <c r="J622" s="178">
        <v>3</v>
      </c>
      <c r="K622" s="178">
        <v>0</v>
      </c>
      <c r="L622" s="178">
        <v>1</v>
      </c>
      <c r="M622" s="178">
        <v>0</v>
      </c>
      <c r="N622" s="178">
        <v>1</v>
      </c>
      <c r="O622" s="178">
        <v>1</v>
      </c>
      <c r="P622" s="178">
        <v>0</v>
      </c>
      <c r="Q622" s="184">
        <f t="shared" si="103"/>
        <v>20</v>
      </c>
      <c r="R622" s="184">
        <f t="shared" si="102"/>
        <v>757</v>
      </c>
      <c r="S622" s="184">
        <f t="shared" si="104"/>
        <v>777</v>
      </c>
    </row>
    <row r="623" spans="1:19" s="180" customFormat="1">
      <c r="A623" s="172">
        <v>7</v>
      </c>
      <c r="B623" s="173" t="s">
        <v>86</v>
      </c>
      <c r="C623" s="178">
        <v>1</v>
      </c>
      <c r="D623" s="178">
        <v>0</v>
      </c>
      <c r="E623" s="178">
        <v>2</v>
      </c>
      <c r="F623" s="178">
        <v>2</v>
      </c>
      <c r="G623" s="178">
        <v>6</v>
      </c>
      <c r="H623" s="178">
        <v>0</v>
      </c>
      <c r="I623" s="178">
        <v>1</v>
      </c>
      <c r="J623" s="178">
        <v>1</v>
      </c>
      <c r="K623" s="178">
        <v>3</v>
      </c>
      <c r="L623" s="178">
        <v>0</v>
      </c>
      <c r="M623" s="178">
        <v>0</v>
      </c>
      <c r="N623" s="178">
        <v>0</v>
      </c>
      <c r="O623" s="178">
        <v>4</v>
      </c>
      <c r="P623" s="178">
        <v>1</v>
      </c>
      <c r="Q623" s="184">
        <f t="shared" si="103"/>
        <v>21</v>
      </c>
      <c r="R623" s="184">
        <f t="shared" si="102"/>
        <v>752</v>
      </c>
      <c r="S623" s="184">
        <f t="shared" si="104"/>
        <v>773</v>
      </c>
    </row>
    <row r="624" spans="1:19" s="180" customFormat="1">
      <c r="A624" s="172">
        <v>8</v>
      </c>
      <c r="B624" s="173" t="s">
        <v>161</v>
      </c>
      <c r="C624" s="178">
        <v>0</v>
      </c>
      <c r="D624" s="178">
        <v>0</v>
      </c>
      <c r="E624" s="178">
        <v>0</v>
      </c>
      <c r="F624" s="178">
        <v>1</v>
      </c>
      <c r="G624" s="178">
        <v>4</v>
      </c>
      <c r="H624" s="178">
        <v>0</v>
      </c>
      <c r="I624" s="178">
        <v>0</v>
      </c>
      <c r="J624" s="178">
        <v>1</v>
      </c>
      <c r="K624" s="178">
        <v>3</v>
      </c>
      <c r="L624" s="178">
        <v>2</v>
      </c>
      <c r="M624" s="178">
        <v>8</v>
      </c>
      <c r="N624" s="178">
        <v>1</v>
      </c>
      <c r="O624" s="178">
        <v>3</v>
      </c>
      <c r="P624" s="178">
        <v>4</v>
      </c>
      <c r="Q624" s="184">
        <f t="shared" si="103"/>
        <v>27</v>
      </c>
      <c r="R624" s="184">
        <f t="shared" si="102"/>
        <v>676</v>
      </c>
      <c r="S624" s="184">
        <f t="shared" si="104"/>
        <v>703</v>
      </c>
    </row>
    <row r="625" spans="1:19" s="180" customFormat="1">
      <c r="A625" s="172">
        <v>9</v>
      </c>
      <c r="B625" s="174" t="s">
        <v>10</v>
      </c>
      <c r="C625" s="178">
        <v>1</v>
      </c>
      <c r="D625" s="178">
        <v>1</v>
      </c>
      <c r="E625" s="178">
        <v>0</v>
      </c>
      <c r="F625" s="178">
        <v>1</v>
      </c>
      <c r="G625" s="178">
        <v>3</v>
      </c>
      <c r="H625" s="178">
        <v>0</v>
      </c>
      <c r="I625" s="178">
        <v>2</v>
      </c>
      <c r="J625" s="178">
        <v>0</v>
      </c>
      <c r="K625" s="178">
        <v>2</v>
      </c>
      <c r="L625" s="178">
        <v>1</v>
      </c>
      <c r="M625" s="178">
        <v>0</v>
      </c>
      <c r="N625" s="178">
        <v>1</v>
      </c>
      <c r="O625" s="178">
        <v>5</v>
      </c>
      <c r="P625" s="178">
        <v>2</v>
      </c>
      <c r="Q625" s="184">
        <f t="shared" si="103"/>
        <v>19</v>
      </c>
      <c r="R625" s="184">
        <f t="shared" si="102"/>
        <v>912</v>
      </c>
      <c r="S625" s="184">
        <f t="shared" si="104"/>
        <v>931</v>
      </c>
    </row>
    <row r="626" spans="1:19" s="180" customFormat="1">
      <c r="A626" s="234" t="s">
        <v>11</v>
      </c>
      <c r="B626" s="235"/>
      <c r="C626" s="179">
        <v>0</v>
      </c>
      <c r="D626" s="179">
        <v>0</v>
      </c>
      <c r="E626" s="179">
        <v>0</v>
      </c>
      <c r="F626" s="179">
        <v>0</v>
      </c>
      <c r="G626" s="179">
        <v>0</v>
      </c>
      <c r="H626" s="179">
        <v>0</v>
      </c>
      <c r="I626" s="179">
        <v>0</v>
      </c>
      <c r="J626" s="179">
        <v>0</v>
      </c>
      <c r="K626" s="179">
        <v>0</v>
      </c>
      <c r="L626" s="179">
        <v>0</v>
      </c>
      <c r="M626" s="179">
        <v>0</v>
      </c>
      <c r="N626" s="179">
        <v>0</v>
      </c>
      <c r="O626" s="179">
        <v>0</v>
      </c>
      <c r="P626" s="179">
        <v>0</v>
      </c>
      <c r="Q626" s="184">
        <f t="shared" si="103"/>
        <v>0</v>
      </c>
      <c r="R626" s="184">
        <f t="shared" ref="R626:R627" si="105">S597</f>
        <v>0</v>
      </c>
      <c r="S626" s="184">
        <f t="shared" si="104"/>
        <v>0</v>
      </c>
    </row>
    <row r="627" spans="1:19" s="180" customFormat="1">
      <c r="A627" s="236" t="s">
        <v>12</v>
      </c>
      <c r="B627" s="236"/>
      <c r="C627" s="184">
        <f t="shared" ref="C627:Q627" si="106">SUM(C617:C626)</f>
        <v>354</v>
      </c>
      <c r="D627" s="184">
        <f t="shared" si="106"/>
        <v>623</v>
      </c>
      <c r="E627" s="184">
        <f t="shared" si="106"/>
        <v>508</v>
      </c>
      <c r="F627" s="184">
        <f t="shared" si="106"/>
        <v>387</v>
      </c>
      <c r="G627" s="184">
        <f t="shared" si="106"/>
        <v>658</v>
      </c>
      <c r="H627" s="184">
        <f t="shared" si="106"/>
        <v>379</v>
      </c>
      <c r="I627" s="184">
        <f t="shared" si="106"/>
        <v>424</v>
      </c>
      <c r="J627" s="184">
        <f t="shared" si="106"/>
        <v>445</v>
      </c>
      <c r="K627" s="184">
        <f t="shared" si="106"/>
        <v>469</v>
      </c>
      <c r="L627" s="184">
        <f t="shared" si="106"/>
        <v>414</v>
      </c>
      <c r="M627" s="184">
        <f t="shared" si="106"/>
        <v>624</v>
      </c>
      <c r="N627" s="184">
        <f t="shared" si="106"/>
        <v>241</v>
      </c>
      <c r="O627" s="184">
        <f t="shared" si="106"/>
        <v>641</v>
      </c>
      <c r="P627" s="184">
        <f t="shared" si="106"/>
        <v>533</v>
      </c>
      <c r="Q627" s="184">
        <f t="shared" si="106"/>
        <v>6700</v>
      </c>
      <c r="R627" s="184">
        <f t="shared" si="105"/>
        <v>174091</v>
      </c>
      <c r="S627" s="184">
        <f t="shared" si="104"/>
        <v>180791</v>
      </c>
    </row>
    <row r="628" spans="1:19" ht="18" customHeight="1">
      <c r="A628" s="5"/>
      <c r="B628" s="5"/>
      <c r="C628" s="6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8"/>
      <c r="R628" s="7"/>
      <c r="S628" s="7"/>
    </row>
    <row r="629" spans="1:19" ht="22.5">
      <c r="A629" s="17"/>
      <c r="B629" s="17"/>
      <c r="C629" s="10" t="s">
        <v>13</v>
      </c>
      <c r="D629" s="10" t="s">
        <v>13</v>
      </c>
      <c r="E629" s="10" t="s">
        <v>13</v>
      </c>
      <c r="F629" s="10" t="s">
        <v>13</v>
      </c>
      <c r="G629" s="10" t="s">
        <v>13</v>
      </c>
      <c r="H629" s="10" t="s">
        <v>13</v>
      </c>
      <c r="I629" s="10" t="s">
        <v>13</v>
      </c>
      <c r="J629" s="10" t="s">
        <v>13</v>
      </c>
      <c r="K629" s="10" t="s">
        <v>13</v>
      </c>
      <c r="L629" s="10" t="s">
        <v>13</v>
      </c>
      <c r="M629" s="10" t="s">
        <v>13</v>
      </c>
      <c r="N629" s="10" t="s">
        <v>13</v>
      </c>
      <c r="O629" s="10" t="s">
        <v>13</v>
      </c>
      <c r="P629" s="10" t="s">
        <v>13</v>
      </c>
      <c r="Q629" s="10" t="s">
        <v>13</v>
      </c>
      <c r="R629" s="10" t="s">
        <v>13</v>
      </c>
      <c r="S629" s="10" t="s">
        <v>13</v>
      </c>
    </row>
    <row r="630" spans="1:19" ht="18" customHeight="1">
      <c r="A630" s="17"/>
      <c r="B630" s="17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</row>
    <row r="631" spans="1:19" ht="22.5">
      <c r="A631" s="17"/>
      <c r="B631" s="17"/>
      <c r="C631" s="10" t="s">
        <v>14</v>
      </c>
      <c r="D631" s="10" t="s">
        <v>14</v>
      </c>
      <c r="E631" s="10" t="s">
        <v>14</v>
      </c>
      <c r="F631" s="10" t="s">
        <v>14</v>
      </c>
      <c r="G631" s="10" t="s">
        <v>14</v>
      </c>
      <c r="H631" s="10" t="s">
        <v>14</v>
      </c>
      <c r="I631" s="10" t="s">
        <v>14</v>
      </c>
      <c r="J631" s="10" t="s">
        <v>14</v>
      </c>
      <c r="K631" s="10" t="s">
        <v>14</v>
      </c>
      <c r="L631" s="10" t="s">
        <v>14</v>
      </c>
      <c r="M631" s="10" t="s">
        <v>14</v>
      </c>
      <c r="N631" s="10" t="s">
        <v>14</v>
      </c>
      <c r="O631" s="10" t="s">
        <v>14</v>
      </c>
      <c r="P631" s="10" t="s">
        <v>14</v>
      </c>
      <c r="Q631" s="10" t="s">
        <v>14</v>
      </c>
      <c r="R631" s="10" t="s">
        <v>14</v>
      </c>
      <c r="S631" s="10" t="s">
        <v>14</v>
      </c>
    </row>
    <row r="632" spans="1:19" ht="9" customHeight="1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</row>
    <row r="633" spans="1:19">
      <c r="A633" s="237" t="s">
        <v>15</v>
      </c>
      <c r="B633" s="237"/>
      <c r="C633" s="238" t="s">
        <v>16</v>
      </c>
      <c r="D633" s="238"/>
      <c r="E633" s="238"/>
      <c r="F633" s="238"/>
      <c r="G633" s="238"/>
      <c r="H633" s="238"/>
      <c r="I633" s="238"/>
      <c r="J633" s="238"/>
      <c r="K633" s="238"/>
      <c r="L633" s="238"/>
      <c r="M633" s="238"/>
      <c r="N633" s="238"/>
      <c r="O633" s="238"/>
      <c r="P633" s="238"/>
      <c r="Q633" s="238"/>
      <c r="R633" s="17"/>
      <c r="S633" s="17"/>
    </row>
    <row r="634" spans="1:19">
      <c r="A634" s="17"/>
      <c r="B634" s="17"/>
      <c r="C634" s="238" t="s">
        <v>17</v>
      </c>
      <c r="D634" s="238"/>
      <c r="E634" s="238"/>
      <c r="F634" s="238"/>
      <c r="G634" s="238"/>
      <c r="H634" s="238"/>
      <c r="I634" s="238"/>
      <c r="J634" s="238"/>
      <c r="K634" s="238"/>
      <c r="L634" s="238"/>
      <c r="M634" s="238"/>
      <c r="N634" s="238"/>
      <c r="O634" s="238"/>
      <c r="P634" s="238"/>
      <c r="Q634" s="238"/>
      <c r="R634" s="17"/>
      <c r="S634" s="17"/>
    </row>
    <row r="635" spans="1:19" ht="15" customHeight="1">
      <c r="A635" s="17"/>
      <c r="B635" s="17"/>
      <c r="C635" s="228" t="s">
        <v>45</v>
      </c>
      <c r="D635" s="228"/>
      <c r="E635" s="228"/>
      <c r="F635" s="228"/>
      <c r="G635" s="228"/>
      <c r="H635" s="228"/>
      <c r="I635" s="228"/>
      <c r="J635" s="228"/>
      <c r="K635" s="228"/>
      <c r="L635" s="228"/>
      <c r="M635" s="228"/>
      <c r="N635" s="228"/>
      <c r="O635" s="228"/>
      <c r="P635" s="228"/>
      <c r="Q635" s="228"/>
      <c r="R635" s="17"/>
      <c r="S635" s="17"/>
    </row>
    <row r="636" spans="1:19">
      <c r="A636" s="23"/>
      <c r="B636" s="23"/>
      <c r="C636" s="228" t="s">
        <v>46</v>
      </c>
      <c r="D636" s="228"/>
      <c r="E636" s="228"/>
      <c r="F636" s="228"/>
      <c r="G636" s="228"/>
      <c r="H636" s="228"/>
      <c r="I636" s="228"/>
      <c r="J636" s="228"/>
      <c r="K636" s="228"/>
      <c r="L636" s="228"/>
      <c r="M636" s="228"/>
      <c r="N636" s="228"/>
      <c r="O636" s="228"/>
      <c r="P636" s="228"/>
      <c r="Q636" s="228"/>
      <c r="R636" s="23"/>
      <c r="S636" s="23"/>
    </row>
    <row r="637" spans="1:19" ht="15" customHeight="1">
      <c r="A637" s="60"/>
      <c r="B637" s="61" t="s">
        <v>139</v>
      </c>
      <c r="C637" s="227" t="s">
        <v>138</v>
      </c>
      <c r="D637" s="227"/>
      <c r="E637" s="227"/>
      <c r="F637" s="227"/>
      <c r="G637" s="227"/>
      <c r="H637" s="227"/>
      <c r="I637" s="227"/>
      <c r="J637" s="227"/>
      <c r="K637" s="227"/>
      <c r="L637" s="227"/>
      <c r="M637" s="227"/>
      <c r="N637" s="227"/>
      <c r="O637" s="227"/>
      <c r="P637" s="227"/>
      <c r="Q637" s="227"/>
      <c r="R637" s="60"/>
      <c r="S637" s="60"/>
    </row>
    <row r="638" spans="1:19">
      <c r="A638" s="23"/>
      <c r="B638" s="23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3"/>
      <c r="S638" s="23"/>
    </row>
    <row r="639" spans="1:19" ht="26.25">
      <c r="A639" s="229" t="s">
        <v>0</v>
      </c>
      <c r="B639" s="229"/>
      <c r="C639" s="229"/>
      <c r="D639" s="229"/>
      <c r="E639" s="229"/>
      <c r="F639" s="229"/>
      <c r="G639" s="229"/>
      <c r="H639" s="229"/>
      <c r="I639" s="229"/>
      <c r="J639" s="229"/>
      <c r="K639" s="229"/>
      <c r="L639" s="229"/>
      <c r="M639" s="229"/>
      <c r="N639" s="229"/>
      <c r="O639" s="229"/>
      <c r="P639" s="229"/>
      <c r="Q639" s="229"/>
      <c r="R639" s="229"/>
      <c r="S639" s="229"/>
    </row>
    <row r="640" spans="1:19" ht="19.5" customHeight="1">
      <c r="A640" s="230" t="s">
        <v>83</v>
      </c>
      <c r="B640" s="230"/>
      <c r="C640" s="230"/>
      <c r="D640" s="230"/>
      <c r="E640" s="230"/>
      <c r="F640" s="230"/>
      <c r="G640" s="230"/>
      <c r="H640" s="230"/>
      <c r="I640" s="1"/>
      <c r="J640" s="1"/>
      <c r="K640" s="231" t="s">
        <v>42</v>
      </c>
      <c r="L640" s="231"/>
      <c r="M640" s="231"/>
      <c r="N640" s="231"/>
      <c r="O640" s="1"/>
      <c r="P640" s="232" t="s">
        <v>1</v>
      </c>
      <c r="Q640" s="232"/>
      <c r="R640" s="233">
        <v>44630</v>
      </c>
      <c r="S640" s="233"/>
    </row>
    <row r="641" spans="1:19">
      <c r="A641" s="242" t="s">
        <v>2</v>
      </c>
      <c r="B641" s="242"/>
      <c r="C641" s="16">
        <v>1</v>
      </c>
      <c r="D641" s="16">
        <v>2</v>
      </c>
      <c r="E641" s="16">
        <v>3</v>
      </c>
      <c r="F641" s="16">
        <v>4</v>
      </c>
      <c r="G641" s="16">
        <v>5</v>
      </c>
      <c r="H641" s="16">
        <v>6</v>
      </c>
      <c r="I641" s="16">
        <v>7</v>
      </c>
      <c r="J641" s="16">
        <v>8</v>
      </c>
      <c r="K641" s="16">
        <v>9</v>
      </c>
      <c r="L641" s="16">
        <v>10</v>
      </c>
      <c r="M641" s="16">
        <v>11</v>
      </c>
      <c r="N641" s="16">
        <v>12</v>
      </c>
      <c r="O641" s="16">
        <v>13</v>
      </c>
      <c r="P641" s="16">
        <v>14</v>
      </c>
      <c r="Q641" s="239" t="s">
        <v>3</v>
      </c>
      <c r="R641" s="239" t="s">
        <v>4</v>
      </c>
      <c r="S641" s="239" t="s">
        <v>5</v>
      </c>
    </row>
    <row r="642" spans="1:19">
      <c r="A642" s="242" t="s">
        <v>6</v>
      </c>
      <c r="B642" s="242"/>
      <c r="C642" s="16">
        <v>309</v>
      </c>
      <c r="D642" s="16">
        <v>310</v>
      </c>
      <c r="E642" s="16">
        <v>311</v>
      </c>
      <c r="F642" s="16">
        <v>312</v>
      </c>
      <c r="G642" s="16">
        <v>313</v>
      </c>
      <c r="H642" s="16">
        <v>314</v>
      </c>
      <c r="I642" s="16">
        <v>315</v>
      </c>
      <c r="J642" s="16">
        <v>316</v>
      </c>
      <c r="K642" s="16">
        <v>317</v>
      </c>
      <c r="L642" s="16">
        <v>318</v>
      </c>
      <c r="M642" s="16">
        <v>319</v>
      </c>
      <c r="N642" s="16">
        <v>320</v>
      </c>
      <c r="O642" s="16">
        <v>321</v>
      </c>
      <c r="P642" s="16">
        <v>322</v>
      </c>
      <c r="Q642" s="240"/>
      <c r="R642" s="240"/>
      <c r="S642" s="240"/>
    </row>
    <row r="643" spans="1:19" ht="31.5">
      <c r="A643" s="243" t="s">
        <v>18</v>
      </c>
      <c r="B643" s="244"/>
      <c r="C643" s="118" t="s">
        <v>488</v>
      </c>
      <c r="D643" s="118" t="s">
        <v>632</v>
      </c>
      <c r="E643" s="118" t="s">
        <v>489</v>
      </c>
      <c r="F643" s="118" t="s">
        <v>490</v>
      </c>
      <c r="G643" s="118" t="s">
        <v>491</v>
      </c>
      <c r="H643" s="118" t="s">
        <v>492</v>
      </c>
      <c r="I643" s="118" t="s">
        <v>493</v>
      </c>
      <c r="J643" s="118" t="s">
        <v>494</v>
      </c>
      <c r="K643" s="118" t="s">
        <v>495</v>
      </c>
      <c r="L643" s="118" t="s">
        <v>496</v>
      </c>
      <c r="M643" s="118" t="s">
        <v>497</v>
      </c>
      <c r="N643" s="118" t="s">
        <v>498</v>
      </c>
      <c r="O643" s="118" t="s">
        <v>499</v>
      </c>
      <c r="P643" s="118" t="s">
        <v>500</v>
      </c>
      <c r="Q643" s="240"/>
      <c r="R643" s="240"/>
      <c r="S643" s="240"/>
    </row>
    <row r="644" spans="1:19" ht="29.25" hidden="1" customHeight="1">
      <c r="A644" s="245" t="s">
        <v>20</v>
      </c>
      <c r="B644" s="246"/>
      <c r="C644" s="33">
        <v>438</v>
      </c>
      <c r="D644" s="33">
        <v>548</v>
      </c>
      <c r="E644" s="33">
        <v>415</v>
      </c>
      <c r="F644" s="33">
        <v>431</v>
      </c>
      <c r="G644" s="33">
        <v>767</v>
      </c>
      <c r="H644" s="33">
        <v>625</v>
      </c>
      <c r="I644" s="33">
        <v>490</v>
      </c>
      <c r="J644" s="33">
        <v>738</v>
      </c>
      <c r="K644" s="33">
        <v>601</v>
      </c>
      <c r="L644" s="33">
        <v>647</v>
      </c>
      <c r="M644" s="33">
        <v>638</v>
      </c>
      <c r="N644" s="33">
        <v>591</v>
      </c>
      <c r="O644" s="33">
        <v>579</v>
      </c>
      <c r="P644" s="33">
        <v>531</v>
      </c>
      <c r="Q644" s="240"/>
      <c r="R644" s="240"/>
      <c r="S644" s="240"/>
    </row>
    <row r="645" spans="1:19">
      <c r="A645" s="19" t="s">
        <v>7</v>
      </c>
      <c r="B645" s="16" t="s">
        <v>8</v>
      </c>
      <c r="C645" s="20" t="s">
        <v>9</v>
      </c>
      <c r="D645" s="20" t="s">
        <v>9</v>
      </c>
      <c r="E645" s="20" t="s">
        <v>9</v>
      </c>
      <c r="F645" s="20" t="s">
        <v>9</v>
      </c>
      <c r="G645" s="20" t="s">
        <v>9</v>
      </c>
      <c r="H645" s="20" t="s">
        <v>9</v>
      </c>
      <c r="I645" s="20" t="s">
        <v>9</v>
      </c>
      <c r="J645" s="20" t="s">
        <v>9</v>
      </c>
      <c r="K645" s="20" t="s">
        <v>9</v>
      </c>
      <c r="L645" s="20" t="s">
        <v>9</v>
      </c>
      <c r="M645" s="20" t="s">
        <v>9</v>
      </c>
      <c r="N645" s="20" t="s">
        <v>9</v>
      </c>
      <c r="O645" s="20" t="s">
        <v>9</v>
      </c>
      <c r="P645" s="20" t="s">
        <v>9</v>
      </c>
      <c r="Q645" s="241"/>
      <c r="R645" s="241"/>
      <c r="S645" s="241"/>
    </row>
    <row r="646" spans="1:19" s="180" customFormat="1">
      <c r="A646" s="172">
        <v>1</v>
      </c>
      <c r="B646" s="173" t="s">
        <v>85</v>
      </c>
      <c r="C646" s="178">
        <v>80</v>
      </c>
      <c r="D646" s="178">
        <v>60</v>
      </c>
      <c r="E646" s="178">
        <v>7</v>
      </c>
      <c r="F646" s="178">
        <v>3</v>
      </c>
      <c r="G646" s="178">
        <v>25</v>
      </c>
      <c r="H646" s="178">
        <v>253</v>
      </c>
      <c r="I646" s="178">
        <v>27</v>
      </c>
      <c r="J646" s="178">
        <v>10</v>
      </c>
      <c r="K646" s="178">
        <v>16</v>
      </c>
      <c r="L646" s="178">
        <v>59</v>
      </c>
      <c r="M646" s="178">
        <v>83</v>
      </c>
      <c r="N646" s="178">
        <v>37</v>
      </c>
      <c r="O646" s="178">
        <v>11</v>
      </c>
      <c r="P646" s="178">
        <v>10</v>
      </c>
      <c r="Q646" s="184">
        <f>SUM(C646:P646)</f>
        <v>681</v>
      </c>
      <c r="R646" s="184">
        <f t="shared" ref="R646:R654" si="107">S617</f>
        <v>43603</v>
      </c>
      <c r="S646" s="184">
        <f>Q646+R646</f>
        <v>44284</v>
      </c>
    </row>
    <row r="647" spans="1:19" s="180" customFormat="1">
      <c r="A647" s="172">
        <v>2</v>
      </c>
      <c r="B647" s="173" t="s">
        <v>156</v>
      </c>
      <c r="C647" s="178">
        <v>324</v>
      </c>
      <c r="D647" s="178">
        <v>256</v>
      </c>
      <c r="E647" s="178">
        <v>304</v>
      </c>
      <c r="F647" s="178">
        <v>270</v>
      </c>
      <c r="G647" s="178">
        <v>716</v>
      </c>
      <c r="H647" s="178">
        <v>320</v>
      </c>
      <c r="I647" s="178">
        <v>330</v>
      </c>
      <c r="J647" s="178">
        <v>711</v>
      </c>
      <c r="K647" s="178">
        <v>478</v>
      </c>
      <c r="L647" s="178">
        <v>256</v>
      </c>
      <c r="M647" s="178">
        <v>368</v>
      </c>
      <c r="N647" s="178">
        <v>544</v>
      </c>
      <c r="O647" s="178">
        <v>544</v>
      </c>
      <c r="P647" s="178">
        <v>510</v>
      </c>
      <c r="Q647" s="184">
        <f t="shared" ref="Q647:Q655" si="108">SUM(C647:P647)</f>
        <v>5931</v>
      </c>
      <c r="R647" s="184">
        <f t="shared" si="107"/>
        <v>105476</v>
      </c>
      <c r="S647" s="184">
        <f t="shared" ref="S647:S656" si="109">Q647+R647</f>
        <v>111407</v>
      </c>
    </row>
    <row r="648" spans="1:19" s="180" customFormat="1">
      <c r="A648" s="172">
        <v>3</v>
      </c>
      <c r="B648" s="173" t="s">
        <v>157</v>
      </c>
      <c r="C648" s="178">
        <v>4</v>
      </c>
      <c r="D648" s="178">
        <v>4</v>
      </c>
      <c r="E648" s="178">
        <v>4</v>
      </c>
      <c r="F648" s="178">
        <v>1</v>
      </c>
      <c r="G648" s="178">
        <v>4</v>
      </c>
      <c r="H648" s="178">
        <v>5</v>
      </c>
      <c r="I648" s="178">
        <v>3</v>
      </c>
      <c r="J648" s="178">
        <v>3</v>
      </c>
      <c r="K648" s="178">
        <v>4</v>
      </c>
      <c r="L648" s="178">
        <v>11</v>
      </c>
      <c r="M648" s="178">
        <v>6</v>
      </c>
      <c r="N648" s="178">
        <v>1</v>
      </c>
      <c r="O648" s="178">
        <v>7</v>
      </c>
      <c r="P648" s="178">
        <v>1</v>
      </c>
      <c r="Q648" s="184">
        <f t="shared" si="108"/>
        <v>58</v>
      </c>
      <c r="R648" s="184">
        <f t="shared" si="107"/>
        <v>2062</v>
      </c>
      <c r="S648" s="184">
        <f t="shared" si="109"/>
        <v>2120</v>
      </c>
    </row>
    <row r="649" spans="1:19" s="180" customFormat="1">
      <c r="A649" s="172">
        <v>4</v>
      </c>
      <c r="B649" s="173" t="s">
        <v>158</v>
      </c>
      <c r="C649" s="178">
        <v>17</v>
      </c>
      <c r="D649" s="178">
        <v>207</v>
      </c>
      <c r="E649" s="178">
        <v>97</v>
      </c>
      <c r="F649" s="178">
        <v>148</v>
      </c>
      <c r="G649" s="178">
        <v>14</v>
      </c>
      <c r="H649" s="178">
        <v>37</v>
      </c>
      <c r="I649" s="178">
        <v>122</v>
      </c>
      <c r="J649" s="178">
        <v>1</v>
      </c>
      <c r="K649" s="178">
        <v>76</v>
      </c>
      <c r="L649" s="178">
        <v>297</v>
      </c>
      <c r="M649" s="178">
        <v>173</v>
      </c>
      <c r="N649" s="178">
        <v>4</v>
      </c>
      <c r="O649" s="178">
        <v>1</v>
      </c>
      <c r="P649" s="178">
        <v>0</v>
      </c>
      <c r="Q649" s="184">
        <f t="shared" si="108"/>
        <v>1194</v>
      </c>
      <c r="R649" s="184">
        <f t="shared" si="107"/>
        <v>25974</v>
      </c>
      <c r="S649" s="184">
        <f t="shared" si="109"/>
        <v>27168</v>
      </c>
    </row>
    <row r="650" spans="1:19" s="180" customFormat="1">
      <c r="A650" s="172">
        <v>5</v>
      </c>
      <c r="B650" s="173" t="s">
        <v>159</v>
      </c>
      <c r="C650" s="178">
        <v>1</v>
      </c>
      <c r="D650" s="178">
        <v>4</v>
      </c>
      <c r="E650" s="178">
        <v>0</v>
      </c>
      <c r="F650" s="178">
        <v>2</v>
      </c>
      <c r="G650" s="178">
        <v>0</v>
      </c>
      <c r="H650" s="178">
        <v>3</v>
      </c>
      <c r="I650" s="178">
        <v>0</v>
      </c>
      <c r="J650" s="178">
        <v>1</v>
      </c>
      <c r="K650" s="178">
        <v>1</v>
      </c>
      <c r="L650" s="178">
        <v>2</v>
      </c>
      <c r="M650" s="178">
        <v>1</v>
      </c>
      <c r="N650" s="178">
        <v>0</v>
      </c>
      <c r="O650" s="178">
        <v>0</v>
      </c>
      <c r="P650" s="178">
        <v>1</v>
      </c>
      <c r="Q650" s="184">
        <f t="shared" si="108"/>
        <v>16</v>
      </c>
      <c r="R650" s="184">
        <f t="shared" si="107"/>
        <v>492</v>
      </c>
      <c r="S650" s="184">
        <f t="shared" si="109"/>
        <v>508</v>
      </c>
    </row>
    <row r="651" spans="1:19" s="180" customFormat="1">
      <c r="A651" s="172">
        <v>6</v>
      </c>
      <c r="B651" s="173" t="s">
        <v>160</v>
      </c>
      <c r="C651" s="178">
        <v>3</v>
      </c>
      <c r="D651" s="178">
        <v>6</v>
      </c>
      <c r="E651" s="178">
        <v>1</v>
      </c>
      <c r="F651" s="178">
        <v>3</v>
      </c>
      <c r="G651" s="178">
        <v>0</v>
      </c>
      <c r="H651" s="178">
        <v>4</v>
      </c>
      <c r="I651" s="178">
        <v>3</v>
      </c>
      <c r="J651" s="178">
        <v>4</v>
      </c>
      <c r="K651" s="178">
        <v>5</v>
      </c>
      <c r="L651" s="178">
        <v>4</v>
      </c>
      <c r="M651" s="178">
        <v>1</v>
      </c>
      <c r="N651" s="178">
        <v>2</v>
      </c>
      <c r="O651" s="178">
        <v>2</v>
      </c>
      <c r="P651" s="178">
        <v>2</v>
      </c>
      <c r="Q651" s="184">
        <f t="shared" si="108"/>
        <v>40</v>
      </c>
      <c r="R651" s="184">
        <f t="shared" si="107"/>
        <v>777</v>
      </c>
      <c r="S651" s="184">
        <f t="shared" si="109"/>
        <v>817</v>
      </c>
    </row>
    <row r="652" spans="1:19" s="180" customFormat="1">
      <c r="A652" s="172">
        <v>7</v>
      </c>
      <c r="B652" s="173" t="s">
        <v>86</v>
      </c>
      <c r="C652" s="178">
        <v>2</v>
      </c>
      <c r="D652" s="178">
        <v>5</v>
      </c>
      <c r="E652" s="178">
        <v>1</v>
      </c>
      <c r="F652" s="178">
        <v>0</v>
      </c>
      <c r="G652" s="178">
        <v>3</v>
      </c>
      <c r="H652" s="178">
        <v>0</v>
      </c>
      <c r="I652" s="178">
        <v>2</v>
      </c>
      <c r="J652" s="178">
        <v>2</v>
      </c>
      <c r="K652" s="178">
        <v>9</v>
      </c>
      <c r="L652" s="178">
        <v>9</v>
      </c>
      <c r="M652" s="178">
        <v>2</v>
      </c>
      <c r="N652" s="178">
        <v>0</v>
      </c>
      <c r="O652" s="178">
        <v>6</v>
      </c>
      <c r="P652" s="178">
        <v>2</v>
      </c>
      <c r="Q652" s="184">
        <f t="shared" si="108"/>
        <v>43</v>
      </c>
      <c r="R652" s="184">
        <f t="shared" si="107"/>
        <v>773</v>
      </c>
      <c r="S652" s="184">
        <f t="shared" si="109"/>
        <v>816</v>
      </c>
    </row>
    <row r="653" spans="1:19" s="180" customFormat="1">
      <c r="A653" s="172">
        <v>8</v>
      </c>
      <c r="B653" s="173" t="s">
        <v>161</v>
      </c>
      <c r="C653" s="178">
        <v>1</v>
      </c>
      <c r="D653" s="178">
        <v>1</v>
      </c>
      <c r="E653" s="178">
        <v>0</v>
      </c>
      <c r="F653" s="178">
        <v>2</v>
      </c>
      <c r="G653" s="178">
        <v>3</v>
      </c>
      <c r="H653" s="178">
        <v>0</v>
      </c>
      <c r="I653" s="178">
        <v>0</v>
      </c>
      <c r="J653" s="178">
        <v>4</v>
      </c>
      <c r="K653" s="178">
        <v>8</v>
      </c>
      <c r="L653" s="178">
        <v>3</v>
      </c>
      <c r="M653" s="178">
        <v>1</v>
      </c>
      <c r="N653" s="178">
        <v>1</v>
      </c>
      <c r="O653" s="178">
        <v>3</v>
      </c>
      <c r="P653" s="178">
        <v>3</v>
      </c>
      <c r="Q653" s="184">
        <f t="shared" si="108"/>
        <v>30</v>
      </c>
      <c r="R653" s="184">
        <f t="shared" si="107"/>
        <v>703</v>
      </c>
      <c r="S653" s="184">
        <f t="shared" si="109"/>
        <v>733</v>
      </c>
    </row>
    <row r="654" spans="1:19" s="180" customFormat="1">
      <c r="A654" s="172">
        <v>9</v>
      </c>
      <c r="B654" s="174" t="s">
        <v>10</v>
      </c>
      <c r="C654" s="178">
        <v>6</v>
      </c>
      <c r="D654" s="178">
        <v>5</v>
      </c>
      <c r="E654" s="178">
        <v>1</v>
      </c>
      <c r="F654" s="178">
        <v>2</v>
      </c>
      <c r="G654" s="178">
        <v>2</v>
      </c>
      <c r="H654" s="178">
        <v>3</v>
      </c>
      <c r="I654" s="178">
        <v>3</v>
      </c>
      <c r="J654" s="178">
        <v>2</v>
      </c>
      <c r="K654" s="178">
        <v>4</v>
      </c>
      <c r="L654" s="178">
        <v>6</v>
      </c>
      <c r="M654" s="178">
        <v>3</v>
      </c>
      <c r="N654" s="178">
        <v>2</v>
      </c>
      <c r="O654" s="178">
        <v>5</v>
      </c>
      <c r="P654" s="178">
        <v>2</v>
      </c>
      <c r="Q654" s="184">
        <f t="shared" si="108"/>
        <v>46</v>
      </c>
      <c r="R654" s="184">
        <f t="shared" si="107"/>
        <v>931</v>
      </c>
      <c r="S654" s="184">
        <f t="shared" si="109"/>
        <v>977</v>
      </c>
    </row>
    <row r="655" spans="1:19" s="180" customFormat="1">
      <c r="A655" s="234" t="s">
        <v>11</v>
      </c>
      <c r="B655" s="235"/>
      <c r="C655" s="179">
        <v>0</v>
      </c>
      <c r="D655" s="179">
        <v>0</v>
      </c>
      <c r="E655" s="179">
        <v>0</v>
      </c>
      <c r="F655" s="179">
        <v>0</v>
      </c>
      <c r="G655" s="179">
        <v>0</v>
      </c>
      <c r="H655" s="179">
        <v>0</v>
      </c>
      <c r="I655" s="179">
        <v>0</v>
      </c>
      <c r="J655" s="179">
        <v>0</v>
      </c>
      <c r="K655" s="179">
        <v>0</v>
      </c>
      <c r="L655" s="179">
        <v>0</v>
      </c>
      <c r="M655" s="179">
        <v>0</v>
      </c>
      <c r="N655" s="179">
        <v>0</v>
      </c>
      <c r="O655" s="179">
        <v>0</v>
      </c>
      <c r="P655" s="179">
        <v>0</v>
      </c>
      <c r="Q655" s="184">
        <f t="shared" si="108"/>
        <v>0</v>
      </c>
      <c r="R655" s="184">
        <f t="shared" ref="R655:R656" si="110">S626</f>
        <v>0</v>
      </c>
      <c r="S655" s="184">
        <f t="shared" si="109"/>
        <v>0</v>
      </c>
    </row>
    <row r="656" spans="1:19" s="180" customFormat="1">
      <c r="A656" s="236" t="s">
        <v>12</v>
      </c>
      <c r="B656" s="236"/>
      <c r="C656" s="184">
        <f t="shared" ref="C656:Q656" si="111">SUM(C646:C655)</f>
        <v>438</v>
      </c>
      <c r="D656" s="184">
        <f t="shared" si="111"/>
        <v>548</v>
      </c>
      <c r="E656" s="184">
        <f t="shared" si="111"/>
        <v>415</v>
      </c>
      <c r="F656" s="184">
        <f t="shared" si="111"/>
        <v>431</v>
      </c>
      <c r="G656" s="184">
        <f t="shared" si="111"/>
        <v>767</v>
      </c>
      <c r="H656" s="184">
        <f t="shared" si="111"/>
        <v>625</v>
      </c>
      <c r="I656" s="184">
        <f t="shared" si="111"/>
        <v>490</v>
      </c>
      <c r="J656" s="184">
        <f t="shared" si="111"/>
        <v>738</v>
      </c>
      <c r="K656" s="184">
        <f t="shared" si="111"/>
        <v>601</v>
      </c>
      <c r="L656" s="184">
        <f t="shared" si="111"/>
        <v>647</v>
      </c>
      <c r="M656" s="184">
        <f t="shared" si="111"/>
        <v>638</v>
      </c>
      <c r="N656" s="184">
        <f t="shared" si="111"/>
        <v>591</v>
      </c>
      <c r="O656" s="184">
        <f t="shared" si="111"/>
        <v>579</v>
      </c>
      <c r="P656" s="184">
        <f t="shared" si="111"/>
        <v>531</v>
      </c>
      <c r="Q656" s="184">
        <f t="shared" si="111"/>
        <v>8039</v>
      </c>
      <c r="R656" s="184">
        <f t="shared" si="110"/>
        <v>180791</v>
      </c>
      <c r="S656" s="184">
        <f t="shared" si="109"/>
        <v>188830</v>
      </c>
    </row>
    <row r="657" spans="1:19" ht="12.75" customHeight="1">
      <c r="A657" s="5"/>
      <c r="B657" s="5"/>
      <c r="C657" s="6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8"/>
      <c r="R657" s="7"/>
      <c r="S657" s="7"/>
    </row>
    <row r="658" spans="1:19" ht="22.5">
      <c r="A658" s="17"/>
      <c r="B658" s="17"/>
      <c r="C658" s="10" t="s">
        <v>13</v>
      </c>
      <c r="D658" s="10" t="s">
        <v>13</v>
      </c>
      <c r="E658" s="10" t="s">
        <v>13</v>
      </c>
      <c r="F658" s="10" t="s">
        <v>13</v>
      </c>
      <c r="G658" s="10" t="s">
        <v>13</v>
      </c>
      <c r="H658" s="10" t="s">
        <v>13</v>
      </c>
      <c r="I658" s="10" t="s">
        <v>13</v>
      </c>
      <c r="J658" s="10" t="s">
        <v>13</v>
      </c>
      <c r="K658" s="10" t="s">
        <v>13</v>
      </c>
      <c r="L658" s="10" t="s">
        <v>13</v>
      </c>
      <c r="M658" s="10" t="s">
        <v>13</v>
      </c>
      <c r="N658" s="10" t="s">
        <v>13</v>
      </c>
      <c r="O658" s="10" t="s">
        <v>13</v>
      </c>
      <c r="P658" s="10" t="s">
        <v>13</v>
      </c>
      <c r="Q658" s="10" t="s">
        <v>13</v>
      </c>
      <c r="R658" s="10" t="s">
        <v>13</v>
      </c>
      <c r="S658" s="10" t="s">
        <v>13</v>
      </c>
    </row>
    <row r="659" spans="1:19" ht="13.5" customHeight="1">
      <c r="A659" s="17"/>
      <c r="B659" s="17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</row>
    <row r="660" spans="1:19" ht="22.5">
      <c r="A660" s="17"/>
      <c r="B660" s="17"/>
      <c r="C660" s="10" t="s">
        <v>14</v>
      </c>
      <c r="D660" s="10" t="s">
        <v>14</v>
      </c>
      <c r="E660" s="10" t="s">
        <v>14</v>
      </c>
      <c r="F660" s="10" t="s">
        <v>14</v>
      </c>
      <c r="G660" s="10" t="s">
        <v>14</v>
      </c>
      <c r="H660" s="10" t="s">
        <v>14</v>
      </c>
      <c r="I660" s="10" t="s">
        <v>14</v>
      </c>
      <c r="J660" s="10" t="s">
        <v>14</v>
      </c>
      <c r="K660" s="10" t="s">
        <v>14</v>
      </c>
      <c r="L660" s="10" t="s">
        <v>14</v>
      </c>
      <c r="M660" s="10" t="s">
        <v>14</v>
      </c>
      <c r="N660" s="10" t="s">
        <v>14</v>
      </c>
      <c r="O660" s="10" t="s">
        <v>14</v>
      </c>
      <c r="P660" s="10" t="s">
        <v>14</v>
      </c>
      <c r="Q660" s="10" t="s">
        <v>14</v>
      </c>
      <c r="R660" s="10" t="s">
        <v>14</v>
      </c>
      <c r="S660" s="10" t="s">
        <v>14</v>
      </c>
    </row>
    <row r="661" spans="1:19" ht="9" customHeight="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</row>
    <row r="662" spans="1:19">
      <c r="A662" s="237" t="s">
        <v>15</v>
      </c>
      <c r="B662" s="237"/>
      <c r="C662" s="238" t="s">
        <v>16</v>
      </c>
      <c r="D662" s="238"/>
      <c r="E662" s="238"/>
      <c r="F662" s="238"/>
      <c r="G662" s="238"/>
      <c r="H662" s="238"/>
      <c r="I662" s="238"/>
      <c r="J662" s="238"/>
      <c r="K662" s="238"/>
      <c r="L662" s="238"/>
      <c r="M662" s="238"/>
      <c r="N662" s="238"/>
      <c r="O662" s="238"/>
      <c r="P662" s="238"/>
      <c r="Q662" s="238"/>
      <c r="R662" s="17"/>
      <c r="S662" s="17"/>
    </row>
    <row r="663" spans="1:19">
      <c r="A663" s="17"/>
      <c r="B663" s="17"/>
      <c r="C663" s="238" t="s">
        <v>17</v>
      </c>
      <c r="D663" s="238"/>
      <c r="E663" s="238"/>
      <c r="F663" s="238"/>
      <c r="G663" s="238"/>
      <c r="H663" s="238"/>
      <c r="I663" s="238"/>
      <c r="J663" s="238"/>
      <c r="K663" s="238"/>
      <c r="L663" s="238"/>
      <c r="M663" s="238"/>
      <c r="N663" s="238"/>
      <c r="O663" s="238"/>
      <c r="P663" s="238"/>
      <c r="Q663" s="238"/>
      <c r="R663" s="17"/>
      <c r="S663" s="17"/>
    </row>
    <row r="664" spans="1:19" ht="15" customHeight="1">
      <c r="A664" s="17"/>
      <c r="B664" s="17"/>
      <c r="C664" s="228" t="s">
        <v>45</v>
      </c>
      <c r="D664" s="228"/>
      <c r="E664" s="228"/>
      <c r="F664" s="228"/>
      <c r="G664" s="228"/>
      <c r="H664" s="228"/>
      <c r="I664" s="228"/>
      <c r="J664" s="228"/>
      <c r="K664" s="228"/>
      <c r="L664" s="228"/>
      <c r="M664" s="228"/>
      <c r="N664" s="228"/>
      <c r="O664" s="228"/>
      <c r="P664" s="228"/>
      <c r="Q664" s="228"/>
      <c r="R664" s="17"/>
      <c r="S664" s="17"/>
    </row>
    <row r="665" spans="1:19">
      <c r="A665" s="23"/>
      <c r="B665" s="23"/>
      <c r="C665" s="228" t="s">
        <v>46</v>
      </c>
      <c r="D665" s="228"/>
      <c r="E665" s="228"/>
      <c r="F665" s="228"/>
      <c r="G665" s="228"/>
      <c r="H665" s="228"/>
      <c r="I665" s="228"/>
      <c r="J665" s="228"/>
      <c r="K665" s="228"/>
      <c r="L665" s="228"/>
      <c r="M665" s="228"/>
      <c r="N665" s="228"/>
      <c r="O665" s="228"/>
      <c r="P665" s="228"/>
      <c r="Q665" s="228"/>
      <c r="R665" s="23"/>
      <c r="S665" s="23"/>
    </row>
    <row r="666" spans="1:19" ht="15" customHeight="1">
      <c r="A666" s="60"/>
      <c r="B666" s="61" t="s">
        <v>139</v>
      </c>
      <c r="C666" s="227" t="s">
        <v>138</v>
      </c>
      <c r="D666" s="227"/>
      <c r="E666" s="227"/>
      <c r="F666" s="227"/>
      <c r="G666" s="227"/>
      <c r="H666" s="227"/>
      <c r="I666" s="227"/>
      <c r="J666" s="227"/>
      <c r="K666" s="227"/>
      <c r="L666" s="227"/>
      <c r="M666" s="227"/>
      <c r="N666" s="227"/>
      <c r="O666" s="227"/>
      <c r="P666" s="227"/>
      <c r="Q666" s="227"/>
      <c r="R666" s="60"/>
      <c r="S666" s="60"/>
    </row>
    <row r="667" spans="1:19">
      <c r="A667" s="23"/>
      <c r="B667" s="23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3"/>
      <c r="S667" s="23"/>
    </row>
    <row r="668" spans="1:19" ht="26.25">
      <c r="A668" s="229" t="s">
        <v>0</v>
      </c>
      <c r="B668" s="229"/>
      <c r="C668" s="229"/>
      <c r="D668" s="229"/>
      <c r="E668" s="229"/>
      <c r="F668" s="229"/>
      <c r="G668" s="229"/>
      <c r="H668" s="229"/>
      <c r="I668" s="229"/>
      <c r="J668" s="229"/>
      <c r="K668" s="229"/>
      <c r="L668" s="229"/>
      <c r="M668" s="229"/>
      <c r="N668" s="229"/>
      <c r="O668" s="229"/>
      <c r="P668" s="229"/>
      <c r="Q668" s="229"/>
      <c r="R668" s="229"/>
      <c r="S668" s="229"/>
    </row>
    <row r="669" spans="1:19" ht="19.5" customHeight="1">
      <c r="A669" s="230" t="s">
        <v>83</v>
      </c>
      <c r="B669" s="230"/>
      <c r="C669" s="230"/>
      <c r="D669" s="230"/>
      <c r="E669" s="230"/>
      <c r="F669" s="230"/>
      <c r="G669" s="230"/>
      <c r="H669" s="230"/>
      <c r="I669" s="1"/>
      <c r="J669" s="1"/>
      <c r="K669" s="231" t="s">
        <v>43</v>
      </c>
      <c r="L669" s="231"/>
      <c r="M669" s="231"/>
      <c r="N669" s="231"/>
      <c r="O669" s="1"/>
      <c r="P669" s="232" t="s">
        <v>1</v>
      </c>
      <c r="Q669" s="232"/>
      <c r="R669" s="233">
        <v>44630</v>
      </c>
      <c r="S669" s="233"/>
    </row>
    <row r="670" spans="1:19">
      <c r="A670" s="242" t="s">
        <v>2</v>
      </c>
      <c r="B670" s="242"/>
      <c r="C670" s="16">
        <v>1</v>
      </c>
      <c r="D670" s="16">
        <v>2</v>
      </c>
      <c r="E670" s="16">
        <v>3</v>
      </c>
      <c r="F670" s="16">
        <v>4</v>
      </c>
      <c r="G670" s="16">
        <v>5</v>
      </c>
      <c r="H670" s="16">
        <v>6</v>
      </c>
      <c r="I670" s="16">
        <v>7</v>
      </c>
      <c r="J670" s="16">
        <v>8</v>
      </c>
      <c r="K670" s="16">
        <v>9</v>
      </c>
      <c r="L670" s="16">
        <v>10</v>
      </c>
      <c r="M670" s="16">
        <v>11</v>
      </c>
      <c r="N670" s="16">
        <v>12</v>
      </c>
      <c r="O670" s="16">
        <v>13</v>
      </c>
      <c r="P670" s="16">
        <v>14</v>
      </c>
      <c r="Q670" s="239" t="s">
        <v>3</v>
      </c>
      <c r="R670" s="239" t="s">
        <v>4</v>
      </c>
      <c r="S670" s="239" t="s">
        <v>5</v>
      </c>
    </row>
    <row r="671" spans="1:19">
      <c r="A671" s="242" t="s">
        <v>6</v>
      </c>
      <c r="B671" s="242"/>
      <c r="C671" s="16">
        <v>323</v>
      </c>
      <c r="D671" s="16">
        <v>324</v>
      </c>
      <c r="E671" s="16">
        <v>325</v>
      </c>
      <c r="F671" s="16">
        <v>326</v>
      </c>
      <c r="G671" s="16">
        <v>327</v>
      </c>
      <c r="H671" s="16">
        <v>328</v>
      </c>
      <c r="I671" s="16">
        <v>329</v>
      </c>
      <c r="J671" s="16">
        <v>330</v>
      </c>
      <c r="K671" s="16">
        <v>331</v>
      </c>
      <c r="L671" s="16">
        <v>332</v>
      </c>
      <c r="M671" s="16">
        <v>333</v>
      </c>
      <c r="N671" s="16">
        <v>334</v>
      </c>
      <c r="O671" s="16">
        <v>335</v>
      </c>
      <c r="P671" s="16">
        <v>336</v>
      </c>
      <c r="Q671" s="240"/>
      <c r="R671" s="240"/>
      <c r="S671" s="240"/>
    </row>
    <row r="672" spans="1:19" ht="31.5">
      <c r="A672" s="243" t="s">
        <v>18</v>
      </c>
      <c r="B672" s="244"/>
      <c r="C672" s="118" t="s">
        <v>633</v>
      </c>
      <c r="D672" s="118" t="s">
        <v>501</v>
      </c>
      <c r="E672" s="118" t="s">
        <v>502</v>
      </c>
      <c r="F672" s="118" t="s">
        <v>634</v>
      </c>
      <c r="G672" s="118" t="s">
        <v>503</v>
      </c>
      <c r="H672" s="118" t="s">
        <v>504</v>
      </c>
      <c r="I672" s="118" t="s">
        <v>505</v>
      </c>
      <c r="J672" s="118" t="s">
        <v>506</v>
      </c>
      <c r="K672" s="118" t="s">
        <v>507</v>
      </c>
      <c r="L672" s="118" t="s">
        <v>508</v>
      </c>
      <c r="M672" s="118" t="s">
        <v>509</v>
      </c>
      <c r="N672" s="118" t="s">
        <v>510</v>
      </c>
      <c r="O672" s="118" t="s">
        <v>511</v>
      </c>
      <c r="P672" s="118" t="s">
        <v>512</v>
      </c>
      <c r="Q672" s="240"/>
      <c r="R672" s="240"/>
      <c r="S672" s="240"/>
    </row>
    <row r="673" spans="1:19" ht="24.75" hidden="1" customHeight="1">
      <c r="A673" s="245" t="s">
        <v>20</v>
      </c>
      <c r="B673" s="246"/>
      <c r="C673" s="33">
        <v>810</v>
      </c>
      <c r="D673" s="33">
        <v>561</v>
      </c>
      <c r="E673" s="33">
        <v>583</v>
      </c>
      <c r="F673" s="33">
        <v>585</v>
      </c>
      <c r="G673" s="33">
        <v>586</v>
      </c>
      <c r="H673" s="33">
        <v>653</v>
      </c>
      <c r="I673" s="33">
        <v>376</v>
      </c>
      <c r="J673" s="33">
        <v>454</v>
      </c>
      <c r="K673" s="33">
        <v>444</v>
      </c>
      <c r="L673" s="33">
        <v>688</v>
      </c>
      <c r="M673" s="33">
        <v>398</v>
      </c>
      <c r="N673" s="33">
        <v>373</v>
      </c>
      <c r="O673" s="33">
        <v>287</v>
      </c>
      <c r="P673" s="33">
        <v>414</v>
      </c>
      <c r="Q673" s="240"/>
      <c r="R673" s="240"/>
      <c r="S673" s="240"/>
    </row>
    <row r="674" spans="1:19">
      <c r="A674" s="19" t="s">
        <v>7</v>
      </c>
      <c r="B674" s="16" t="s">
        <v>8</v>
      </c>
      <c r="C674" s="20" t="s">
        <v>9</v>
      </c>
      <c r="D674" s="20" t="s">
        <v>9</v>
      </c>
      <c r="E674" s="20" t="s">
        <v>9</v>
      </c>
      <c r="F674" s="20" t="s">
        <v>9</v>
      </c>
      <c r="G674" s="20" t="s">
        <v>9</v>
      </c>
      <c r="H674" s="20" t="s">
        <v>9</v>
      </c>
      <c r="I674" s="20" t="s">
        <v>9</v>
      </c>
      <c r="J674" s="20" t="s">
        <v>9</v>
      </c>
      <c r="K674" s="20" t="s">
        <v>9</v>
      </c>
      <c r="L674" s="20" t="s">
        <v>9</v>
      </c>
      <c r="M674" s="20" t="s">
        <v>9</v>
      </c>
      <c r="N674" s="20" t="s">
        <v>9</v>
      </c>
      <c r="O674" s="20" t="s">
        <v>9</v>
      </c>
      <c r="P674" s="20" t="s">
        <v>9</v>
      </c>
      <c r="Q674" s="241"/>
      <c r="R674" s="241"/>
      <c r="S674" s="241"/>
    </row>
    <row r="675" spans="1:19" s="180" customFormat="1">
      <c r="A675" s="172">
        <v>1</v>
      </c>
      <c r="B675" s="173" t="s">
        <v>85</v>
      </c>
      <c r="C675" s="178">
        <v>21</v>
      </c>
      <c r="D675" s="178">
        <v>12</v>
      </c>
      <c r="E675" s="178">
        <v>6</v>
      </c>
      <c r="F675" s="178">
        <v>41</v>
      </c>
      <c r="G675" s="178">
        <v>10</v>
      </c>
      <c r="H675" s="178">
        <v>95</v>
      </c>
      <c r="I675" s="178">
        <v>13</v>
      </c>
      <c r="J675" s="178">
        <v>113</v>
      </c>
      <c r="K675" s="178">
        <v>334</v>
      </c>
      <c r="L675" s="178">
        <v>52</v>
      </c>
      <c r="M675" s="178">
        <v>57</v>
      </c>
      <c r="N675" s="178">
        <v>11</v>
      </c>
      <c r="O675" s="178">
        <v>1</v>
      </c>
      <c r="P675" s="178">
        <v>11</v>
      </c>
      <c r="Q675" s="176">
        <f>SUM(C675:P675)</f>
        <v>777</v>
      </c>
      <c r="R675" s="176">
        <f t="shared" ref="R675:R683" si="112">S646</f>
        <v>44284</v>
      </c>
      <c r="S675" s="176">
        <f>Q675+R675</f>
        <v>45061</v>
      </c>
    </row>
    <row r="676" spans="1:19" s="180" customFormat="1">
      <c r="A676" s="172">
        <v>2</v>
      </c>
      <c r="B676" s="173" t="s">
        <v>156</v>
      </c>
      <c r="C676" s="178">
        <v>599</v>
      </c>
      <c r="D676" s="178">
        <v>471</v>
      </c>
      <c r="E676" s="178">
        <v>548</v>
      </c>
      <c r="F676" s="178">
        <v>527</v>
      </c>
      <c r="G676" s="178">
        <v>446</v>
      </c>
      <c r="H676" s="178">
        <v>405</v>
      </c>
      <c r="I676" s="178">
        <v>353</v>
      </c>
      <c r="J676" s="178">
        <v>324</v>
      </c>
      <c r="K676" s="178">
        <v>10</v>
      </c>
      <c r="L676" s="178">
        <v>251</v>
      </c>
      <c r="M676" s="178">
        <v>37</v>
      </c>
      <c r="N676" s="178">
        <v>339</v>
      </c>
      <c r="O676" s="178">
        <v>260</v>
      </c>
      <c r="P676" s="178">
        <v>360</v>
      </c>
      <c r="Q676" s="176">
        <f t="shared" ref="Q676:Q684" si="113">SUM(C676:P676)</f>
        <v>4930</v>
      </c>
      <c r="R676" s="176">
        <f t="shared" si="112"/>
        <v>111407</v>
      </c>
      <c r="S676" s="176">
        <f t="shared" ref="S676:S685" si="114">Q676+R676</f>
        <v>116337</v>
      </c>
    </row>
    <row r="677" spans="1:19" s="180" customFormat="1">
      <c r="A677" s="172">
        <v>3</v>
      </c>
      <c r="B677" s="173" t="s">
        <v>157</v>
      </c>
      <c r="C677" s="178">
        <v>15</v>
      </c>
      <c r="D677" s="178">
        <v>5</v>
      </c>
      <c r="E677" s="178">
        <v>5</v>
      </c>
      <c r="F677" s="178">
        <v>3</v>
      </c>
      <c r="G677" s="178">
        <v>9</v>
      </c>
      <c r="H677" s="178">
        <v>23</v>
      </c>
      <c r="I677" s="178">
        <v>4</v>
      </c>
      <c r="J677" s="178">
        <v>4</v>
      </c>
      <c r="K677" s="178">
        <v>0</v>
      </c>
      <c r="L677" s="178">
        <v>15</v>
      </c>
      <c r="M677" s="178">
        <v>8</v>
      </c>
      <c r="N677" s="178">
        <v>9</v>
      </c>
      <c r="O677" s="178">
        <v>0</v>
      </c>
      <c r="P677" s="178">
        <v>4</v>
      </c>
      <c r="Q677" s="176">
        <f t="shared" si="113"/>
        <v>104</v>
      </c>
      <c r="R677" s="176">
        <f t="shared" si="112"/>
        <v>2120</v>
      </c>
      <c r="S677" s="176">
        <f t="shared" si="114"/>
        <v>2224</v>
      </c>
    </row>
    <row r="678" spans="1:19" s="180" customFormat="1">
      <c r="A678" s="172">
        <v>4</v>
      </c>
      <c r="B678" s="173" t="s">
        <v>158</v>
      </c>
      <c r="C678" s="178">
        <v>126</v>
      </c>
      <c r="D678" s="178">
        <v>60</v>
      </c>
      <c r="E678" s="178">
        <v>8</v>
      </c>
      <c r="F678" s="178">
        <v>2</v>
      </c>
      <c r="G678" s="178">
        <v>107</v>
      </c>
      <c r="H678" s="178">
        <v>107</v>
      </c>
      <c r="I678" s="178">
        <v>1</v>
      </c>
      <c r="J678" s="178">
        <v>6</v>
      </c>
      <c r="K678" s="178">
        <v>96</v>
      </c>
      <c r="L678" s="178">
        <v>340</v>
      </c>
      <c r="M678" s="178">
        <v>287</v>
      </c>
      <c r="N678" s="178">
        <v>0</v>
      </c>
      <c r="O678" s="178">
        <v>7</v>
      </c>
      <c r="P678" s="178">
        <v>34</v>
      </c>
      <c r="Q678" s="176">
        <f t="shared" si="113"/>
        <v>1181</v>
      </c>
      <c r="R678" s="176">
        <f t="shared" si="112"/>
        <v>27168</v>
      </c>
      <c r="S678" s="176">
        <f t="shared" si="114"/>
        <v>28349</v>
      </c>
    </row>
    <row r="679" spans="1:19" s="180" customFormat="1">
      <c r="A679" s="172">
        <v>5</v>
      </c>
      <c r="B679" s="173" t="s">
        <v>159</v>
      </c>
      <c r="C679" s="178">
        <v>4</v>
      </c>
      <c r="D679" s="178">
        <v>2</v>
      </c>
      <c r="E679" s="178">
        <v>1</v>
      </c>
      <c r="F679" s="178">
        <v>3</v>
      </c>
      <c r="G679" s="178">
        <v>0</v>
      </c>
      <c r="H679" s="178">
        <v>2</v>
      </c>
      <c r="I679" s="178">
        <v>0</v>
      </c>
      <c r="J679" s="178">
        <v>0</v>
      </c>
      <c r="K679" s="178">
        <v>1</v>
      </c>
      <c r="L679" s="178">
        <v>3</v>
      </c>
      <c r="M679" s="178">
        <v>2</v>
      </c>
      <c r="N679" s="178">
        <v>6</v>
      </c>
      <c r="O679" s="178">
        <v>8</v>
      </c>
      <c r="P679" s="178">
        <v>1</v>
      </c>
      <c r="Q679" s="176">
        <f t="shared" si="113"/>
        <v>33</v>
      </c>
      <c r="R679" s="176">
        <f t="shared" si="112"/>
        <v>508</v>
      </c>
      <c r="S679" s="176">
        <f t="shared" si="114"/>
        <v>541</v>
      </c>
    </row>
    <row r="680" spans="1:19" s="180" customFormat="1">
      <c r="A680" s="172">
        <v>6</v>
      </c>
      <c r="B680" s="173" t="s">
        <v>160</v>
      </c>
      <c r="C680" s="178">
        <v>6</v>
      </c>
      <c r="D680" s="178">
        <v>4</v>
      </c>
      <c r="E680" s="178">
        <v>6</v>
      </c>
      <c r="F680" s="178">
        <v>3</v>
      </c>
      <c r="G680" s="178">
        <v>10</v>
      </c>
      <c r="H680" s="178">
        <v>4</v>
      </c>
      <c r="I680" s="178">
        <v>1</v>
      </c>
      <c r="J680" s="178">
        <v>0</v>
      </c>
      <c r="K680" s="178">
        <v>0</v>
      </c>
      <c r="L680" s="178">
        <v>11</v>
      </c>
      <c r="M680" s="178">
        <v>2</v>
      </c>
      <c r="N680" s="178">
        <v>6</v>
      </c>
      <c r="O680" s="178">
        <v>5</v>
      </c>
      <c r="P680" s="178">
        <v>1</v>
      </c>
      <c r="Q680" s="176">
        <f t="shared" si="113"/>
        <v>59</v>
      </c>
      <c r="R680" s="176">
        <f t="shared" si="112"/>
        <v>817</v>
      </c>
      <c r="S680" s="176">
        <f t="shared" si="114"/>
        <v>876</v>
      </c>
    </row>
    <row r="681" spans="1:19" s="180" customFormat="1">
      <c r="A681" s="172">
        <v>7</v>
      </c>
      <c r="B681" s="173" t="s">
        <v>86</v>
      </c>
      <c r="C681" s="178">
        <v>11</v>
      </c>
      <c r="D681" s="178">
        <v>5</v>
      </c>
      <c r="E681" s="178">
        <v>2</v>
      </c>
      <c r="F681" s="178">
        <v>2</v>
      </c>
      <c r="G681" s="178">
        <v>0</v>
      </c>
      <c r="H681" s="178">
        <v>5</v>
      </c>
      <c r="I681" s="178">
        <v>1</v>
      </c>
      <c r="J681" s="178">
        <v>1</v>
      </c>
      <c r="K681" s="178">
        <v>0</v>
      </c>
      <c r="L681" s="178">
        <v>2</v>
      </c>
      <c r="M681" s="178">
        <v>1</v>
      </c>
      <c r="N681" s="178">
        <v>2</v>
      </c>
      <c r="O681" s="178">
        <v>1</v>
      </c>
      <c r="P681" s="178">
        <v>2</v>
      </c>
      <c r="Q681" s="176">
        <f t="shared" si="113"/>
        <v>35</v>
      </c>
      <c r="R681" s="176">
        <f t="shared" si="112"/>
        <v>816</v>
      </c>
      <c r="S681" s="176">
        <f t="shared" si="114"/>
        <v>851</v>
      </c>
    </row>
    <row r="682" spans="1:19" s="180" customFormat="1">
      <c r="A682" s="172">
        <v>8</v>
      </c>
      <c r="B682" s="173" t="s">
        <v>161</v>
      </c>
      <c r="C682" s="178">
        <v>8</v>
      </c>
      <c r="D682" s="178">
        <v>0</v>
      </c>
      <c r="E682" s="178">
        <v>4</v>
      </c>
      <c r="F682" s="178">
        <v>3</v>
      </c>
      <c r="G682" s="178">
        <v>3</v>
      </c>
      <c r="H682" s="178">
        <v>3</v>
      </c>
      <c r="I682" s="178">
        <v>2</v>
      </c>
      <c r="J682" s="178">
        <v>3</v>
      </c>
      <c r="K682" s="178">
        <v>1</v>
      </c>
      <c r="L682" s="178">
        <v>8</v>
      </c>
      <c r="M682" s="178">
        <v>2</v>
      </c>
      <c r="N682" s="178">
        <v>0</v>
      </c>
      <c r="O682" s="178">
        <v>2</v>
      </c>
      <c r="P682" s="178">
        <v>0</v>
      </c>
      <c r="Q682" s="176">
        <f t="shared" si="113"/>
        <v>39</v>
      </c>
      <c r="R682" s="176">
        <f t="shared" si="112"/>
        <v>733</v>
      </c>
      <c r="S682" s="176">
        <f t="shared" si="114"/>
        <v>772</v>
      </c>
    </row>
    <row r="683" spans="1:19" s="180" customFormat="1">
      <c r="A683" s="172">
        <v>9</v>
      </c>
      <c r="B683" s="174" t="s">
        <v>10</v>
      </c>
      <c r="C683" s="178">
        <v>20</v>
      </c>
      <c r="D683" s="178">
        <v>2</v>
      </c>
      <c r="E683" s="178">
        <v>3</v>
      </c>
      <c r="F683" s="178">
        <v>1</v>
      </c>
      <c r="G683" s="178">
        <v>1</v>
      </c>
      <c r="H683" s="178">
        <v>9</v>
      </c>
      <c r="I683" s="178">
        <v>1</v>
      </c>
      <c r="J683" s="178">
        <v>3</v>
      </c>
      <c r="K683" s="178">
        <v>2</v>
      </c>
      <c r="L683" s="178">
        <v>6</v>
      </c>
      <c r="M683" s="178">
        <v>2</v>
      </c>
      <c r="N683" s="178">
        <v>0</v>
      </c>
      <c r="O683" s="178">
        <v>3</v>
      </c>
      <c r="P683" s="178">
        <v>1</v>
      </c>
      <c r="Q683" s="176">
        <f t="shared" si="113"/>
        <v>54</v>
      </c>
      <c r="R683" s="176">
        <f t="shared" si="112"/>
        <v>977</v>
      </c>
      <c r="S683" s="176">
        <f t="shared" si="114"/>
        <v>1031</v>
      </c>
    </row>
    <row r="684" spans="1:19" s="180" customFormat="1">
      <c r="A684" s="234" t="s">
        <v>11</v>
      </c>
      <c r="B684" s="235"/>
      <c r="C684" s="179">
        <v>0</v>
      </c>
      <c r="D684" s="179">
        <v>0</v>
      </c>
      <c r="E684" s="179">
        <v>0</v>
      </c>
      <c r="F684" s="179">
        <v>0</v>
      </c>
      <c r="G684" s="179">
        <v>0</v>
      </c>
      <c r="H684" s="179">
        <v>0</v>
      </c>
      <c r="I684" s="179">
        <v>0</v>
      </c>
      <c r="J684" s="179">
        <v>0</v>
      </c>
      <c r="K684" s="179">
        <v>0</v>
      </c>
      <c r="L684" s="179">
        <v>0</v>
      </c>
      <c r="M684" s="179">
        <v>0</v>
      </c>
      <c r="N684" s="179">
        <v>0</v>
      </c>
      <c r="O684" s="179">
        <v>0</v>
      </c>
      <c r="P684" s="179">
        <v>0</v>
      </c>
      <c r="Q684" s="176">
        <f t="shared" si="113"/>
        <v>0</v>
      </c>
      <c r="R684" s="176">
        <f t="shared" ref="R684:R685" si="115">S655</f>
        <v>0</v>
      </c>
      <c r="S684" s="176">
        <f t="shared" si="114"/>
        <v>0</v>
      </c>
    </row>
    <row r="685" spans="1:19" s="180" customFormat="1">
      <c r="A685" s="236" t="s">
        <v>12</v>
      </c>
      <c r="B685" s="236"/>
      <c r="C685" s="176">
        <f t="shared" ref="C685:Q685" si="116">SUM(C675:C684)</f>
        <v>810</v>
      </c>
      <c r="D685" s="176">
        <f t="shared" si="116"/>
        <v>561</v>
      </c>
      <c r="E685" s="176">
        <f t="shared" si="116"/>
        <v>583</v>
      </c>
      <c r="F685" s="176">
        <f t="shared" si="116"/>
        <v>585</v>
      </c>
      <c r="G685" s="176">
        <f t="shared" si="116"/>
        <v>586</v>
      </c>
      <c r="H685" s="176">
        <f t="shared" si="116"/>
        <v>653</v>
      </c>
      <c r="I685" s="176">
        <f t="shared" si="116"/>
        <v>376</v>
      </c>
      <c r="J685" s="176">
        <f t="shared" si="116"/>
        <v>454</v>
      </c>
      <c r="K685" s="176">
        <f t="shared" si="116"/>
        <v>444</v>
      </c>
      <c r="L685" s="176">
        <f t="shared" si="116"/>
        <v>688</v>
      </c>
      <c r="M685" s="176">
        <f t="shared" si="116"/>
        <v>398</v>
      </c>
      <c r="N685" s="176">
        <f t="shared" si="116"/>
        <v>373</v>
      </c>
      <c r="O685" s="176">
        <f t="shared" si="116"/>
        <v>287</v>
      </c>
      <c r="P685" s="176">
        <f t="shared" si="116"/>
        <v>414</v>
      </c>
      <c r="Q685" s="176">
        <f t="shared" si="116"/>
        <v>7212</v>
      </c>
      <c r="R685" s="176">
        <f t="shared" si="115"/>
        <v>188830</v>
      </c>
      <c r="S685" s="176">
        <f t="shared" si="114"/>
        <v>196042</v>
      </c>
    </row>
    <row r="686" spans="1:19" ht="9.75" customHeight="1">
      <c r="A686" s="5"/>
      <c r="B686" s="5"/>
      <c r="C686" s="6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8"/>
      <c r="R686" s="7"/>
      <c r="S686" s="7"/>
    </row>
    <row r="687" spans="1:19" ht="22.5">
      <c r="A687" s="17"/>
      <c r="B687" s="17"/>
      <c r="C687" s="10" t="s">
        <v>13</v>
      </c>
      <c r="D687" s="10" t="s">
        <v>13</v>
      </c>
      <c r="E687" s="10" t="s">
        <v>13</v>
      </c>
      <c r="F687" s="10" t="s">
        <v>13</v>
      </c>
      <c r="G687" s="10" t="s">
        <v>13</v>
      </c>
      <c r="H687" s="10" t="s">
        <v>13</v>
      </c>
      <c r="I687" s="10" t="s">
        <v>13</v>
      </c>
      <c r="J687" s="10" t="s">
        <v>13</v>
      </c>
      <c r="K687" s="10" t="s">
        <v>13</v>
      </c>
      <c r="L687" s="10" t="s">
        <v>13</v>
      </c>
      <c r="M687" s="10" t="s">
        <v>13</v>
      </c>
      <c r="N687" s="10" t="s">
        <v>13</v>
      </c>
      <c r="O687" s="10" t="s">
        <v>13</v>
      </c>
      <c r="P687" s="10" t="s">
        <v>13</v>
      </c>
      <c r="Q687" s="10" t="s">
        <v>13</v>
      </c>
      <c r="R687" s="10" t="s">
        <v>13</v>
      </c>
      <c r="S687" s="10" t="s">
        <v>13</v>
      </c>
    </row>
    <row r="688" spans="1:19" ht="9" customHeight="1">
      <c r="A688" s="17"/>
      <c r="B688" s="17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</row>
    <row r="689" spans="1:19" ht="22.5">
      <c r="A689" s="17"/>
      <c r="B689" s="17"/>
      <c r="C689" s="10" t="s">
        <v>14</v>
      </c>
      <c r="D689" s="10" t="s">
        <v>14</v>
      </c>
      <c r="E689" s="10" t="s">
        <v>14</v>
      </c>
      <c r="F689" s="10" t="s">
        <v>14</v>
      </c>
      <c r="G689" s="10" t="s">
        <v>14</v>
      </c>
      <c r="H689" s="10" t="s">
        <v>14</v>
      </c>
      <c r="I689" s="10" t="s">
        <v>14</v>
      </c>
      <c r="J689" s="10" t="s">
        <v>14</v>
      </c>
      <c r="K689" s="10" t="s">
        <v>14</v>
      </c>
      <c r="L689" s="10" t="s">
        <v>14</v>
      </c>
      <c r="M689" s="10" t="s">
        <v>14</v>
      </c>
      <c r="N689" s="10" t="s">
        <v>14</v>
      </c>
      <c r="O689" s="10" t="s">
        <v>14</v>
      </c>
      <c r="P689" s="10" t="s">
        <v>14</v>
      </c>
      <c r="Q689" s="10" t="s">
        <v>14</v>
      </c>
      <c r="R689" s="10" t="s">
        <v>14</v>
      </c>
      <c r="S689" s="10" t="s">
        <v>14</v>
      </c>
    </row>
    <row r="690" spans="1:19" ht="6.75" customHeight="1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</row>
    <row r="691" spans="1:19">
      <c r="A691" s="237" t="s">
        <v>15</v>
      </c>
      <c r="B691" s="237"/>
      <c r="C691" s="238" t="s">
        <v>16</v>
      </c>
      <c r="D691" s="238"/>
      <c r="E691" s="238"/>
      <c r="F691" s="238"/>
      <c r="G691" s="238"/>
      <c r="H691" s="238"/>
      <c r="I691" s="238"/>
      <c r="J691" s="238"/>
      <c r="K691" s="238"/>
      <c r="L691" s="238"/>
      <c r="M691" s="238"/>
      <c r="N691" s="238"/>
      <c r="O691" s="238"/>
      <c r="P691" s="238"/>
      <c r="Q691" s="238"/>
      <c r="R691" s="17"/>
      <c r="S691" s="17"/>
    </row>
    <row r="692" spans="1:19">
      <c r="A692" s="17"/>
      <c r="B692" s="17"/>
      <c r="C692" s="238" t="s">
        <v>17</v>
      </c>
      <c r="D692" s="238"/>
      <c r="E692" s="238"/>
      <c r="F692" s="238"/>
      <c r="G692" s="238"/>
      <c r="H692" s="238"/>
      <c r="I692" s="238"/>
      <c r="J692" s="238"/>
      <c r="K692" s="238"/>
      <c r="L692" s="238"/>
      <c r="M692" s="238"/>
      <c r="N692" s="238"/>
      <c r="O692" s="238"/>
      <c r="P692" s="238"/>
      <c r="Q692" s="238"/>
      <c r="R692" s="17"/>
      <c r="S692" s="17"/>
    </row>
    <row r="693" spans="1:19" ht="15" customHeight="1">
      <c r="A693" s="17"/>
      <c r="B693" s="17"/>
      <c r="C693" s="228" t="s">
        <v>45</v>
      </c>
      <c r="D693" s="228"/>
      <c r="E693" s="228"/>
      <c r="F693" s="228"/>
      <c r="G693" s="228"/>
      <c r="H693" s="228"/>
      <c r="I693" s="228"/>
      <c r="J693" s="228"/>
      <c r="K693" s="228"/>
      <c r="L693" s="228"/>
      <c r="M693" s="228"/>
      <c r="N693" s="228"/>
      <c r="O693" s="228"/>
      <c r="P693" s="228"/>
      <c r="Q693" s="228"/>
      <c r="R693" s="17"/>
      <c r="S693" s="17"/>
    </row>
    <row r="694" spans="1:19">
      <c r="A694" s="23"/>
      <c r="B694" s="23"/>
      <c r="C694" s="228" t="s">
        <v>46</v>
      </c>
      <c r="D694" s="228"/>
      <c r="E694" s="228"/>
      <c r="F694" s="228"/>
      <c r="G694" s="228"/>
      <c r="H694" s="228"/>
      <c r="I694" s="228"/>
      <c r="J694" s="228"/>
      <c r="K694" s="228"/>
      <c r="L694" s="228"/>
      <c r="M694" s="228"/>
      <c r="N694" s="228"/>
      <c r="O694" s="228"/>
      <c r="P694" s="228"/>
      <c r="Q694" s="228"/>
      <c r="R694" s="23"/>
      <c r="S694" s="23"/>
    </row>
    <row r="695" spans="1:19" ht="15" customHeight="1">
      <c r="A695" s="60"/>
      <c r="B695" s="61" t="s">
        <v>139</v>
      </c>
      <c r="C695" s="227" t="s">
        <v>138</v>
      </c>
      <c r="D695" s="227"/>
      <c r="E695" s="227"/>
      <c r="F695" s="227"/>
      <c r="G695" s="227"/>
      <c r="H695" s="227"/>
      <c r="I695" s="227"/>
      <c r="J695" s="227"/>
      <c r="K695" s="227"/>
      <c r="L695" s="227"/>
      <c r="M695" s="227"/>
      <c r="N695" s="227"/>
      <c r="O695" s="227"/>
      <c r="P695" s="227"/>
      <c r="Q695" s="227"/>
      <c r="R695" s="60"/>
      <c r="S695" s="60"/>
    </row>
    <row r="696" spans="1:19">
      <c r="A696" s="23"/>
      <c r="B696" s="23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3"/>
      <c r="S696" s="23"/>
    </row>
    <row r="697" spans="1:19" ht="26.25">
      <c r="A697" s="229" t="s">
        <v>0</v>
      </c>
      <c r="B697" s="229"/>
      <c r="C697" s="229"/>
      <c r="D697" s="229"/>
      <c r="E697" s="229"/>
      <c r="F697" s="229"/>
      <c r="G697" s="229"/>
      <c r="H697" s="229"/>
      <c r="I697" s="229"/>
      <c r="J697" s="229"/>
      <c r="K697" s="229"/>
      <c r="L697" s="229"/>
      <c r="M697" s="229"/>
      <c r="N697" s="229"/>
      <c r="O697" s="229"/>
      <c r="P697" s="229"/>
      <c r="Q697" s="229"/>
      <c r="R697" s="229"/>
      <c r="S697" s="229"/>
    </row>
    <row r="698" spans="1:19" ht="19.5" customHeight="1">
      <c r="A698" s="230" t="s">
        <v>83</v>
      </c>
      <c r="B698" s="230"/>
      <c r="C698" s="230"/>
      <c r="D698" s="230"/>
      <c r="E698" s="230"/>
      <c r="F698" s="230"/>
      <c r="G698" s="230"/>
      <c r="H698" s="230"/>
      <c r="I698" s="1"/>
      <c r="J698" s="1"/>
      <c r="K698" s="231" t="s">
        <v>44</v>
      </c>
      <c r="L698" s="231"/>
      <c r="M698" s="231"/>
      <c r="N698" s="231"/>
      <c r="O698" s="1"/>
      <c r="P698" s="232" t="s">
        <v>1</v>
      </c>
      <c r="Q698" s="232"/>
      <c r="R698" s="233">
        <v>44630</v>
      </c>
      <c r="S698" s="233"/>
    </row>
    <row r="699" spans="1:19">
      <c r="A699" s="242" t="s">
        <v>2</v>
      </c>
      <c r="B699" s="242"/>
      <c r="C699" s="16">
        <v>1</v>
      </c>
      <c r="D699" s="16">
        <v>2</v>
      </c>
      <c r="E699" s="16">
        <v>3</v>
      </c>
      <c r="F699" s="16">
        <v>4</v>
      </c>
      <c r="G699" s="16">
        <v>5</v>
      </c>
      <c r="H699" s="16">
        <v>6</v>
      </c>
      <c r="I699" s="16">
        <v>7</v>
      </c>
      <c r="J699" s="16">
        <v>8</v>
      </c>
      <c r="K699" s="16">
        <v>9</v>
      </c>
      <c r="L699" s="16">
        <v>10</v>
      </c>
      <c r="M699" s="16">
        <v>11</v>
      </c>
      <c r="N699" s="16">
        <v>12</v>
      </c>
      <c r="O699" s="16">
        <v>13</v>
      </c>
      <c r="P699" s="16">
        <v>14</v>
      </c>
      <c r="Q699" s="239" t="s">
        <v>3</v>
      </c>
      <c r="R699" s="239" t="s">
        <v>4</v>
      </c>
      <c r="S699" s="239" t="s">
        <v>5</v>
      </c>
    </row>
    <row r="700" spans="1:19">
      <c r="A700" s="242" t="s">
        <v>6</v>
      </c>
      <c r="B700" s="242"/>
      <c r="C700" s="16">
        <v>337</v>
      </c>
      <c r="D700" s="16">
        <v>338</v>
      </c>
      <c r="E700" s="16">
        <v>339</v>
      </c>
      <c r="F700" s="16">
        <v>340</v>
      </c>
      <c r="G700" s="16">
        <v>341</v>
      </c>
      <c r="H700" s="16">
        <v>342</v>
      </c>
      <c r="I700" s="16">
        <v>343</v>
      </c>
      <c r="J700" s="16">
        <v>344</v>
      </c>
      <c r="K700" s="16">
        <v>345</v>
      </c>
      <c r="L700" s="16">
        <v>346</v>
      </c>
      <c r="M700" s="30">
        <v>347</v>
      </c>
      <c r="N700" s="30">
        <v>348</v>
      </c>
      <c r="O700" s="30">
        <v>349</v>
      </c>
      <c r="P700" s="30">
        <v>350</v>
      </c>
      <c r="Q700" s="240"/>
      <c r="R700" s="240"/>
      <c r="S700" s="240"/>
    </row>
    <row r="701" spans="1:19" ht="31.5">
      <c r="A701" s="243" t="s">
        <v>18</v>
      </c>
      <c r="B701" s="244"/>
      <c r="C701" s="118" t="s">
        <v>513</v>
      </c>
      <c r="D701" s="118" t="s">
        <v>514</v>
      </c>
      <c r="E701" s="118" t="s">
        <v>515</v>
      </c>
      <c r="F701" s="118" t="s">
        <v>516</v>
      </c>
      <c r="G701" s="118" t="s">
        <v>517</v>
      </c>
      <c r="H701" s="118" t="s">
        <v>518</v>
      </c>
      <c r="I701" s="118" t="s">
        <v>519</v>
      </c>
      <c r="J701" s="118" t="s">
        <v>520</v>
      </c>
      <c r="K701" s="118" t="s">
        <v>521</v>
      </c>
      <c r="L701" s="118" t="s">
        <v>522</v>
      </c>
      <c r="M701" s="118" t="s">
        <v>635</v>
      </c>
      <c r="N701" s="118" t="s">
        <v>523</v>
      </c>
      <c r="O701" s="118" t="s">
        <v>524</v>
      </c>
      <c r="P701" s="118" t="s">
        <v>525</v>
      </c>
      <c r="Q701" s="240"/>
      <c r="R701" s="240"/>
      <c r="S701" s="240"/>
    </row>
    <row r="702" spans="1:19" ht="24.75" hidden="1" customHeight="1">
      <c r="A702" s="245" t="s">
        <v>20</v>
      </c>
      <c r="B702" s="246"/>
      <c r="C702" s="33">
        <v>495</v>
      </c>
      <c r="D702" s="33">
        <v>509</v>
      </c>
      <c r="E702" s="33">
        <v>760</v>
      </c>
      <c r="F702" s="33">
        <v>478</v>
      </c>
      <c r="G702" s="33">
        <v>752</v>
      </c>
      <c r="H702" s="33">
        <v>781</v>
      </c>
      <c r="I702" s="33">
        <v>584</v>
      </c>
      <c r="J702" s="33">
        <v>553</v>
      </c>
      <c r="K702" s="33">
        <v>649</v>
      </c>
      <c r="L702" s="33">
        <v>574</v>
      </c>
      <c r="M702" s="33">
        <v>361</v>
      </c>
      <c r="N702" s="33">
        <v>214</v>
      </c>
      <c r="O702" s="33">
        <v>411</v>
      </c>
      <c r="P702" s="33">
        <v>783</v>
      </c>
      <c r="Q702" s="240"/>
      <c r="R702" s="240"/>
      <c r="S702" s="240"/>
    </row>
    <row r="703" spans="1:19">
      <c r="A703" s="19" t="s">
        <v>7</v>
      </c>
      <c r="B703" s="16" t="s">
        <v>8</v>
      </c>
      <c r="C703" s="20" t="s">
        <v>9</v>
      </c>
      <c r="D703" s="20" t="s">
        <v>9</v>
      </c>
      <c r="E703" s="20" t="s">
        <v>9</v>
      </c>
      <c r="F703" s="20" t="s">
        <v>9</v>
      </c>
      <c r="G703" s="20" t="s">
        <v>9</v>
      </c>
      <c r="H703" s="20" t="s">
        <v>9</v>
      </c>
      <c r="I703" s="20" t="s">
        <v>9</v>
      </c>
      <c r="J703" s="20" t="s">
        <v>9</v>
      </c>
      <c r="K703" s="20" t="s">
        <v>9</v>
      </c>
      <c r="L703" s="20" t="s">
        <v>9</v>
      </c>
      <c r="M703" s="20" t="s">
        <v>9</v>
      </c>
      <c r="N703" s="20" t="s">
        <v>9</v>
      </c>
      <c r="O703" s="20" t="s">
        <v>9</v>
      </c>
      <c r="P703" s="20" t="s">
        <v>9</v>
      </c>
      <c r="Q703" s="241"/>
      <c r="R703" s="241"/>
      <c r="S703" s="241"/>
    </row>
    <row r="704" spans="1:19" s="180" customFormat="1">
      <c r="A704" s="172">
        <v>1</v>
      </c>
      <c r="B704" s="173" t="s">
        <v>85</v>
      </c>
      <c r="C704" s="178">
        <v>71</v>
      </c>
      <c r="D704" s="178">
        <v>98</v>
      </c>
      <c r="E704" s="178">
        <v>34</v>
      </c>
      <c r="F704" s="178">
        <v>12</v>
      </c>
      <c r="G704" s="178">
        <v>60</v>
      </c>
      <c r="H704" s="178">
        <v>91</v>
      </c>
      <c r="I704" s="178">
        <v>72</v>
      </c>
      <c r="J704" s="178">
        <v>100</v>
      </c>
      <c r="K704" s="178">
        <v>139</v>
      </c>
      <c r="L704" s="178">
        <v>195</v>
      </c>
      <c r="M704" s="178">
        <v>10</v>
      </c>
      <c r="N704" s="178">
        <v>3</v>
      </c>
      <c r="O704" s="178">
        <v>41</v>
      </c>
      <c r="P704" s="178">
        <v>241</v>
      </c>
      <c r="Q704" s="176">
        <f>SUM(C704:P704)</f>
        <v>1167</v>
      </c>
      <c r="R704" s="176">
        <f t="shared" ref="R704:R712" si="117">S675</f>
        <v>45061</v>
      </c>
      <c r="S704" s="176">
        <f>Q704+R704</f>
        <v>46228</v>
      </c>
    </row>
    <row r="705" spans="1:19" s="180" customFormat="1">
      <c r="A705" s="172">
        <v>2</v>
      </c>
      <c r="B705" s="173" t="s">
        <v>156</v>
      </c>
      <c r="C705" s="178">
        <v>281</v>
      </c>
      <c r="D705" s="178">
        <v>198</v>
      </c>
      <c r="E705" s="178">
        <v>702</v>
      </c>
      <c r="F705" s="178">
        <v>435</v>
      </c>
      <c r="G705" s="178">
        <v>648</v>
      </c>
      <c r="H705" s="178">
        <v>656</v>
      </c>
      <c r="I705" s="178">
        <v>448</v>
      </c>
      <c r="J705" s="178">
        <v>179</v>
      </c>
      <c r="K705" s="178">
        <v>463</v>
      </c>
      <c r="L705" s="178">
        <v>324</v>
      </c>
      <c r="M705" s="178">
        <v>345</v>
      </c>
      <c r="N705" s="178">
        <v>168</v>
      </c>
      <c r="O705" s="178">
        <v>304</v>
      </c>
      <c r="P705" s="178">
        <v>500</v>
      </c>
      <c r="Q705" s="176">
        <f t="shared" ref="Q705:Q713" si="118">SUM(C705:P705)</f>
        <v>5651</v>
      </c>
      <c r="R705" s="176">
        <f t="shared" si="117"/>
        <v>116337</v>
      </c>
      <c r="S705" s="176">
        <f t="shared" ref="S705:S714" si="119">Q705+R705</f>
        <v>121988</v>
      </c>
    </row>
    <row r="706" spans="1:19" s="180" customFormat="1">
      <c r="A706" s="172">
        <v>3</v>
      </c>
      <c r="B706" s="173" t="s">
        <v>157</v>
      </c>
      <c r="C706" s="178">
        <v>3</v>
      </c>
      <c r="D706" s="178">
        <v>12</v>
      </c>
      <c r="E706" s="178">
        <v>4</v>
      </c>
      <c r="F706" s="178">
        <v>9</v>
      </c>
      <c r="G706" s="178">
        <v>9</v>
      </c>
      <c r="H706" s="178">
        <v>7</v>
      </c>
      <c r="I706" s="178">
        <v>4</v>
      </c>
      <c r="J706" s="178">
        <v>6</v>
      </c>
      <c r="K706" s="178">
        <v>6</v>
      </c>
      <c r="L706" s="178">
        <v>16</v>
      </c>
      <c r="M706" s="178">
        <v>2</v>
      </c>
      <c r="N706" s="178">
        <v>4</v>
      </c>
      <c r="O706" s="178">
        <v>4</v>
      </c>
      <c r="P706" s="178">
        <v>8</v>
      </c>
      <c r="Q706" s="176">
        <f t="shared" si="118"/>
        <v>94</v>
      </c>
      <c r="R706" s="176">
        <f t="shared" si="117"/>
        <v>2224</v>
      </c>
      <c r="S706" s="176">
        <f t="shared" si="119"/>
        <v>2318</v>
      </c>
    </row>
    <row r="707" spans="1:19" s="180" customFormat="1">
      <c r="A707" s="172">
        <v>4</v>
      </c>
      <c r="B707" s="173" t="s">
        <v>158</v>
      </c>
      <c r="C707" s="178">
        <v>135</v>
      </c>
      <c r="D707" s="178">
        <v>198</v>
      </c>
      <c r="E707" s="178">
        <v>1</v>
      </c>
      <c r="F707" s="178">
        <v>14</v>
      </c>
      <c r="G707" s="178">
        <v>5</v>
      </c>
      <c r="H707" s="178">
        <v>6</v>
      </c>
      <c r="I707" s="178">
        <v>43</v>
      </c>
      <c r="J707" s="178">
        <v>256</v>
      </c>
      <c r="K707" s="178">
        <v>28</v>
      </c>
      <c r="L707" s="178">
        <v>22</v>
      </c>
      <c r="M707" s="178">
        <v>0</v>
      </c>
      <c r="N707" s="178">
        <v>38</v>
      </c>
      <c r="O707" s="178">
        <v>51</v>
      </c>
      <c r="P707" s="178">
        <v>1</v>
      </c>
      <c r="Q707" s="176">
        <f t="shared" si="118"/>
        <v>798</v>
      </c>
      <c r="R707" s="176">
        <f t="shared" si="117"/>
        <v>28349</v>
      </c>
      <c r="S707" s="176">
        <f t="shared" si="119"/>
        <v>29147</v>
      </c>
    </row>
    <row r="708" spans="1:19" s="180" customFormat="1">
      <c r="A708" s="172">
        <v>5</v>
      </c>
      <c r="B708" s="173" t="s">
        <v>159</v>
      </c>
      <c r="C708" s="178">
        <v>2</v>
      </c>
      <c r="D708" s="178">
        <v>1</v>
      </c>
      <c r="E708" s="178">
        <v>4</v>
      </c>
      <c r="F708" s="178">
        <v>0</v>
      </c>
      <c r="G708" s="178">
        <v>3</v>
      </c>
      <c r="H708" s="178">
        <v>2</v>
      </c>
      <c r="I708" s="178">
        <v>4</v>
      </c>
      <c r="J708" s="178">
        <v>2</v>
      </c>
      <c r="K708" s="178">
        <v>1</v>
      </c>
      <c r="L708" s="178">
        <v>0</v>
      </c>
      <c r="M708" s="178">
        <v>0</v>
      </c>
      <c r="N708" s="178">
        <v>0</v>
      </c>
      <c r="O708" s="178">
        <v>4</v>
      </c>
      <c r="P708" s="178">
        <v>2</v>
      </c>
      <c r="Q708" s="176">
        <f t="shared" si="118"/>
        <v>25</v>
      </c>
      <c r="R708" s="176">
        <f t="shared" si="117"/>
        <v>541</v>
      </c>
      <c r="S708" s="176">
        <f t="shared" si="119"/>
        <v>566</v>
      </c>
    </row>
    <row r="709" spans="1:19" s="180" customFormat="1">
      <c r="A709" s="172">
        <v>6</v>
      </c>
      <c r="B709" s="173" t="s">
        <v>160</v>
      </c>
      <c r="C709" s="178">
        <v>1</v>
      </c>
      <c r="D709" s="178">
        <v>0</v>
      </c>
      <c r="E709" s="178">
        <v>2</v>
      </c>
      <c r="F709" s="178">
        <v>0</v>
      </c>
      <c r="G709" s="178">
        <v>5</v>
      </c>
      <c r="H709" s="178">
        <v>3</v>
      </c>
      <c r="I709" s="178">
        <v>1</v>
      </c>
      <c r="J709" s="178">
        <v>4</v>
      </c>
      <c r="K709" s="178">
        <v>5</v>
      </c>
      <c r="L709" s="178">
        <v>1</v>
      </c>
      <c r="M709" s="178">
        <v>0</v>
      </c>
      <c r="N709" s="178">
        <v>1</v>
      </c>
      <c r="O709" s="178">
        <v>2</v>
      </c>
      <c r="P709" s="178">
        <v>4</v>
      </c>
      <c r="Q709" s="176">
        <f t="shared" si="118"/>
        <v>29</v>
      </c>
      <c r="R709" s="176">
        <f t="shared" si="117"/>
        <v>876</v>
      </c>
      <c r="S709" s="176">
        <f t="shared" si="119"/>
        <v>905</v>
      </c>
    </row>
    <row r="710" spans="1:19" s="180" customFormat="1">
      <c r="A710" s="172">
        <v>7</v>
      </c>
      <c r="B710" s="173" t="s">
        <v>86</v>
      </c>
      <c r="C710" s="178">
        <v>1</v>
      </c>
      <c r="D710" s="178">
        <v>1</v>
      </c>
      <c r="E710" s="178">
        <v>4</v>
      </c>
      <c r="F710" s="178">
        <v>3</v>
      </c>
      <c r="G710" s="178">
        <v>6</v>
      </c>
      <c r="H710" s="178">
        <v>10</v>
      </c>
      <c r="I710" s="178">
        <v>3</v>
      </c>
      <c r="J710" s="178">
        <v>2</v>
      </c>
      <c r="K710" s="178">
        <v>2</v>
      </c>
      <c r="L710" s="178">
        <v>3</v>
      </c>
      <c r="M710" s="178">
        <v>1</v>
      </c>
      <c r="N710" s="178">
        <v>0</v>
      </c>
      <c r="O710" s="178">
        <v>0</v>
      </c>
      <c r="P710" s="178">
        <v>9</v>
      </c>
      <c r="Q710" s="176">
        <f t="shared" si="118"/>
        <v>45</v>
      </c>
      <c r="R710" s="176">
        <f t="shared" si="117"/>
        <v>851</v>
      </c>
      <c r="S710" s="176">
        <f t="shared" si="119"/>
        <v>896</v>
      </c>
    </row>
    <row r="711" spans="1:19" s="180" customFormat="1">
      <c r="A711" s="172">
        <v>8</v>
      </c>
      <c r="B711" s="173" t="s">
        <v>161</v>
      </c>
      <c r="C711" s="178">
        <v>0</v>
      </c>
      <c r="D711" s="178">
        <v>1</v>
      </c>
      <c r="E711" s="178">
        <v>4</v>
      </c>
      <c r="F711" s="178">
        <v>2</v>
      </c>
      <c r="G711" s="178">
        <v>7</v>
      </c>
      <c r="H711" s="178">
        <v>3</v>
      </c>
      <c r="I711" s="178">
        <v>5</v>
      </c>
      <c r="J711" s="178">
        <v>0</v>
      </c>
      <c r="K711" s="178">
        <v>1</v>
      </c>
      <c r="L711" s="178">
        <v>7</v>
      </c>
      <c r="M711" s="178">
        <v>2</v>
      </c>
      <c r="N711" s="178">
        <v>0</v>
      </c>
      <c r="O711" s="178">
        <v>2</v>
      </c>
      <c r="P711" s="178">
        <v>6</v>
      </c>
      <c r="Q711" s="176">
        <f t="shared" si="118"/>
        <v>40</v>
      </c>
      <c r="R711" s="176">
        <f t="shared" si="117"/>
        <v>772</v>
      </c>
      <c r="S711" s="176">
        <f t="shared" si="119"/>
        <v>812</v>
      </c>
    </row>
    <row r="712" spans="1:19" s="180" customFormat="1">
      <c r="A712" s="172">
        <v>9</v>
      </c>
      <c r="B712" s="174" t="s">
        <v>10</v>
      </c>
      <c r="C712" s="178">
        <v>1</v>
      </c>
      <c r="D712" s="178">
        <v>0</v>
      </c>
      <c r="E712" s="178">
        <v>5</v>
      </c>
      <c r="F712" s="178">
        <v>3</v>
      </c>
      <c r="G712" s="178">
        <v>9</v>
      </c>
      <c r="H712" s="178">
        <v>3</v>
      </c>
      <c r="I712" s="178">
        <v>4</v>
      </c>
      <c r="J712" s="178">
        <v>4</v>
      </c>
      <c r="K712" s="178">
        <v>4</v>
      </c>
      <c r="L712" s="178">
        <v>6</v>
      </c>
      <c r="M712" s="178">
        <v>1</v>
      </c>
      <c r="N712" s="178">
        <v>0</v>
      </c>
      <c r="O712" s="178">
        <v>3</v>
      </c>
      <c r="P712" s="178">
        <v>12</v>
      </c>
      <c r="Q712" s="176">
        <f t="shared" si="118"/>
        <v>55</v>
      </c>
      <c r="R712" s="176">
        <f t="shared" si="117"/>
        <v>1031</v>
      </c>
      <c r="S712" s="176">
        <f t="shared" si="119"/>
        <v>1086</v>
      </c>
    </row>
    <row r="713" spans="1:19" s="180" customFormat="1">
      <c r="A713" s="234" t="s">
        <v>11</v>
      </c>
      <c r="B713" s="235"/>
      <c r="C713" s="177">
        <v>0</v>
      </c>
      <c r="D713" s="177">
        <v>0</v>
      </c>
      <c r="E713" s="177">
        <v>0</v>
      </c>
      <c r="F713" s="177">
        <v>0</v>
      </c>
      <c r="G713" s="177">
        <v>0</v>
      </c>
      <c r="H713" s="177">
        <v>0</v>
      </c>
      <c r="I713" s="177">
        <v>0</v>
      </c>
      <c r="J713" s="177">
        <v>0</v>
      </c>
      <c r="K713" s="177">
        <v>0</v>
      </c>
      <c r="L713" s="177">
        <v>0</v>
      </c>
      <c r="M713" s="177">
        <v>0</v>
      </c>
      <c r="N713" s="177">
        <v>0</v>
      </c>
      <c r="O713" s="177">
        <v>0</v>
      </c>
      <c r="P713" s="177">
        <v>0</v>
      </c>
      <c r="Q713" s="176">
        <f t="shared" si="118"/>
        <v>0</v>
      </c>
      <c r="R713" s="176">
        <f>S684</f>
        <v>0</v>
      </c>
      <c r="S713" s="176">
        <f t="shared" si="119"/>
        <v>0</v>
      </c>
    </row>
    <row r="714" spans="1:19" s="180" customFormat="1">
      <c r="A714" s="236" t="s">
        <v>12</v>
      </c>
      <c r="B714" s="236"/>
      <c r="C714" s="176">
        <f t="shared" ref="C714:Q714" si="120">SUM(C704:C713)</f>
        <v>495</v>
      </c>
      <c r="D714" s="176">
        <f t="shared" si="120"/>
        <v>509</v>
      </c>
      <c r="E714" s="176">
        <f t="shared" si="120"/>
        <v>760</v>
      </c>
      <c r="F714" s="176">
        <f t="shared" si="120"/>
        <v>478</v>
      </c>
      <c r="G714" s="176">
        <f t="shared" si="120"/>
        <v>752</v>
      </c>
      <c r="H714" s="176">
        <f t="shared" si="120"/>
        <v>781</v>
      </c>
      <c r="I714" s="176">
        <f t="shared" si="120"/>
        <v>584</v>
      </c>
      <c r="J714" s="176">
        <f t="shared" si="120"/>
        <v>553</v>
      </c>
      <c r="K714" s="176">
        <f t="shared" si="120"/>
        <v>649</v>
      </c>
      <c r="L714" s="176">
        <f t="shared" si="120"/>
        <v>574</v>
      </c>
      <c r="M714" s="176">
        <f t="shared" si="120"/>
        <v>361</v>
      </c>
      <c r="N714" s="176">
        <f t="shared" si="120"/>
        <v>214</v>
      </c>
      <c r="O714" s="176">
        <f t="shared" si="120"/>
        <v>411</v>
      </c>
      <c r="P714" s="176">
        <f t="shared" si="120"/>
        <v>783</v>
      </c>
      <c r="Q714" s="176">
        <f t="shared" si="120"/>
        <v>7904</v>
      </c>
      <c r="R714" s="176">
        <f>S685</f>
        <v>196042</v>
      </c>
      <c r="S714" s="176">
        <f t="shared" si="119"/>
        <v>203946</v>
      </c>
    </row>
    <row r="715" spans="1:19" ht="8.25" customHeight="1">
      <c r="A715" s="5"/>
      <c r="B715" s="5"/>
      <c r="C715" s="6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8"/>
      <c r="R715" s="7"/>
      <c r="S715" s="7"/>
    </row>
    <row r="716" spans="1:19" ht="22.5">
      <c r="A716" s="17"/>
      <c r="B716" s="17"/>
      <c r="C716" s="10" t="s">
        <v>13</v>
      </c>
      <c r="D716" s="10" t="s">
        <v>13</v>
      </c>
      <c r="E716" s="10" t="s">
        <v>13</v>
      </c>
      <c r="F716" s="10" t="s">
        <v>13</v>
      </c>
      <c r="G716" s="10" t="s">
        <v>13</v>
      </c>
      <c r="H716" s="10" t="s">
        <v>13</v>
      </c>
      <c r="I716" s="10" t="s">
        <v>13</v>
      </c>
      <c r="J716" s="10" t="s">
        <v>13</v>
      </c>
      <c r="K716" s="10" t="s">
        <v>13</v>
      </c>
      <c r="L716" s="10" t="s">
        <v>13</v>
      </c>
      <c r="M716" s="10" t="s">
        <v>13</v>
      </c>
      <c r="N716" s="10" t="s">
        <v>13</v>
      </c>
      <c r="O716" s="10" t="s">
        <v>13</v>
      </c>
      <c r="P716" s="10" t="s">
        <v>13</v>
      </c>
      <c r="Q716" s="10" t="s">
        <v>13</v>
      </c>
      <c r="R716" s="10" t="s">
        <v>13</v>
      </c>
      <c r="S716" s="10" t="s">
        <v>13</v>
      </c>
    </row>
    <row r="717" spans="1:19" ht="8.25" customHeight="1">
      <c r="A717" s="17"/>
      <c r="B717" s="17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</row>
    <row r="718" spans="1:19" ht="22.5">
      <c r="A718" s="17"/>
      <c r="B718" s="17"/>
      <c r="C718" s="10" t="s">
        <v>14</v>
      </c>
      <c r="D718" s="10" t="s">
        <v>14</v>
      </c>
      <c r="E718" s="10" t="s">
        <v>14</v>
      </c>
      <c r="F718" s="10" t="s">
        <v>14</v>
      </c>
      <c r="G718" s="10" t="s">
        <v>14</v>
      </c>
      <c r="H718" s="10" t="s">
        <v>14</v>
      </c>
      <c r="I718" s="10" t="s">
        <v>14</v>
      </c>
      <c r="J718" s="10" t="s">
        <v>14</v>
      </c>
      <c r="K718" s="10" t="s">
        <v>14</v>
      </c>
      <c r="L718" s="10" t="s">
        <v>14</v>
      </c>
      <c r="M718" s="10" t="s">
        <v>14</v>
      </c>
      <c r="N718" s="10" t="s">
        <v>14</v>
      </c>
      <c r="O718" s="10" t="s">
        <v>14</v>
      </c>
      <c r="P718" s="10" t="s">
        <v>14</v>
      </c>
      <c r="Q718" s="10" t="s">
        <v>14</v>
      </c>
      <c r="R718" s="10" t="s">
        <v>14</v>
      </c>
      <c r="S718" s="10" t="s">
        <v>14</v>
      </c>
    </row>
    <row r="719" spans="1:19" ht="9" customHeight="1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</row>
    <row r="720" spans="1:19">
      <c r="A720" s="237" t="s">
        <v>15</v>
      </c>
      <c r="B720" s="237"/>
      <c r="C720" s="238" t="s">
        <v>16</v>
      </c>
      <c r="D720" s="238"/>
      <c r="E720" s="238"/>
      <c r="F720" s="238"/>
      <c r="G720" s="238"/>
      <c r="H720" s="238"/>
      <c r="I720" s="238"/>
      <c r="J720" s="238"/>
      <c r="K720" s="238"/>
      <c r="L720" s="238"/>
      <c r="M720" s="238"/>
      <c r="N720" s="238"/>
      <c r="O720" s="238"/>
      <c r="P720" s="238"/>
      <c r="Q720" s="238"/>
      <c r="R720" s="17"/>
      <c r="S720" s="17"/>
    </row>
    <row r="721" spans="1:19">
      <c r="A721" s="17"/>
      <c r="B721" s="17"/>
      <c r="C721" s="238" t="s">
        <v>17</v>
      </c>
      <c r="D721" s="238"/>
      <c r="E721" s="238"/>
      <c r="F721" s="238"/>
      <c r="G721" s="238"/>
      <c r="H721" s="238"/>
      <c r="I721" s="238"/>
      <c r="J721" s="238"/>
      <c r="K721" s="238"/>
      <c r="L721" s="238"/>
      <c r="M721" s="238"/>
      <c r="N721" s="238"/>
      <c r="O721" s="238"/>
      <c r="P721" s="238"/>
      <c r="Q721" s="238"/>
      <c r="R721" s="17"/>
      <c r="S721" s="17"/>
    </row>
    <row r="722" spans="1:19" ht="15" customHeight="1">
      <c r="A722" s="17"/>
      <c r="B722" s="17"/>
      <c r="C722" s="228" t="s">
        <v>45</v>
      </c>
      <c r="D722" s="228"/>
      <c r="E722" s="228"/>
      <c r="F722" s="228"/>
      <c r="G722" s="228"/>
      <c r="H722" s="228"/>
      <c r="I722" s="228"/>
      <c r="J722" s="228"/>
      <c r="K722" s="228"/>
      <c r="L722" s="228"/>
      <c r="M722" s="228"/>
      <c r="N722" s="228"/>
      <c r="O722" s="228"/>
      <c r="P722" s="228"/>
      <c r="Q722" s="228"/>
      <c r="R722" s="17"/>
      <c r="S722" s="17"/>
    </row>
    <row r="723" spans="1:19">
      <c r="C723" s="228" t="s">
        <v>46</v>
      </c>
      <c r="D723" s="228"/>
      <c r="E723" s="228"/>
      <c r="F723" s="228"/>
      <c r="G723" s="228"/>
      <c r="H723" s="228"/>
      <c r="I723" s="228"/>
      <c r="J723" s="228"/>
      <c r="K723" s="228"/>
      <c r="L723" s="228"/>
      <c r="M723" s="228"/>
      <c r="N723" s="228"/>
      <c r="O723" s="228"/>
      <c r="P723" s="228"/>
      <c r="Q723" s="228"/>
    </row>
    <row r="724" spans="1:19" ht="15" customHeight="1">
      <c r="A724" s="60"/>
      <c r="B724" s="61" t="s">
        <v>139</v>
      </c>
      <c r="C724" s="227" t="s">
        <v>138</v>
      </c>
      <c r="D724" s="227"/>
      <c r="E724" s="227"/>
      <c r="F724" s="227"/>
      <c r="G724" s="227"/>
      <c r="H724" s="227"/>
      <c r="I724" s="227"/>
      <c r="J724" s="227"/>
      <c r="K724" s="227"/>
      <c r="L724" s="227"/>
      <c r="M724" s="227"/>
      <c r="N724" s="227"/>
      <c r="O724" s="227"/>
      <c r="P724" s="227"/>
      <c r="Q724" s="227"/>
      <c r="R724" s="60"/>
      <c r="S724" s="60"/>
    </row>
    <row r="725" spans="1:19" s="73" customFormat="1" ht="15" customHeight="1">
      <c r="A725" s="83"/>
      <c r="B725" s="61"/>
      <c r="C725" s="86"/>
      <c r="D725" s="86"/>
      <c r="E725" s="86"/>
      <c r="F725" s="86"/>
      <c r="G725" s="86"/>
      <c r="H725" s="86"/>
      <c r="I725" s="86"/>
      <c r="J725" s="86"/>
      <c r="K725" s="86"/>
      <c r="L725" s="86"/>
      <c r="M725" s="86"/>
      <c r="N725" s="86"/>
      <c r="O725" s="86"/>
      <c r="P725" s="86"/>
      <c r="Q725" s="86"/>
      <c r="R725" s="83"/>
      <c r="S725" s="83"/>
    </row>
    <row r="726" spans="1:19" ht="26.25">
      <c r="A726" s="229" t="s">
        <v>0</v>
      </c>
      <c r="B726" s="229"/>
      <c r="C726" s="229"/>
      <c r="D726" s="229"/>
      <c r="E726" s="229"/>
      <c r="F726" s="229"/>
      <c r="G726" s="229"/>
      <c r="H726" s="229"/>
      <c r="I726" s="229"/>
      <c r="J726" s="229"/>
      <c r="K726" s="229"/>
      <c r="L726" s="229"/>
      <c r="M726" s="229"/>
      <c r="N726" s="229"/>
      <c r="O726" s="229"/>
      <c r="P726" s="229"/>
      <c r="Q726" s="229"/>
      <c r="R726" s="229"/>
      <c r="S726" s="229"/>
    </row>
    <row r="727" spans="1:19" ht="19.5" customHeight="1">
      <c r="A727" s="230" t="s">
        <v>83</v>
      </c>
      <c r="B727" s="230"/>
      <c r="C727" s="230"/>
      <c r="D727" s="230"/>
      <c r="E727" s="230"/>
      <c r="F727" s="230"/>
      <c r="G727" s="230"/>
      <c r="H727" s="230"/>
      <c r="I727" s="1"/>
      <c r="J727" s="1"/>
      <c r="K727" s="231" t="s">
        <v>47</v>
      </c>
      <c r="L727" s="231"/>
      <c r="M727" s="231"/>
      <c r="N727" s="231"/>
      <c r="O727" s="1"/>
      <c r="P727" s="232" t="s">
        <v>1</v>
      </c>
      <c r="Q727" s="232"/>
      <c r="R727" s="233">
        <v>44630</v>
      </c>
      <c r="S727" s="233"/>
    </row>
    <row r="728" spans="1:19">
      <c r="A728" s="242" t="s">
        <v>2</v>
      </c>
      <c r="B728" s="242"/>
      <c r="C728" s="27">
        <v>1</v>
      </c>
      <c r="D728" s="27">
        <v>2</v>
      </c>
      <c r="E728" s="27">
        <v>3</v>
      </c>
      <c r="F728" s="27">
        <v>4</v>
      </c>
      <c r="G728" s="27">
        <v>5</v>
      </c>
      <c r="H728" s="27">
        <v>6</v>
      </c>
      <c r="I728" s="27">
        <v>7</v>
      </c>
      <c r="J728" s="27">
        <v>8</v>
      </c>
      <c r="K728" s="27">
        <v>9</v>
      </c>
      <c r="L728" s="27">
        <v>10</v>
      </c>
      <c r="M728" s="27">
        <v>11</v>
      </c>
      <c r="N728" s="27">
        <v>12</v>
      </c>
      <c r="O728" s="27">
        <v>13</v>
      </c>
      <c r="P728" s="27">
        <v>14</v>
      </c>
      <c r="Q728" s="239" t="s">
        <v>3</v>
      </c>
      <c r="R728" s="239" t="s">
        <v>4</v>
      </c>
      <c r="S728" s="239" t="s">
        <v>5</v>
      </c>
    </row>
    <row r="729" spans="1:19">
      <c r="A729" s="242" t="s">
        <v>6</v>
      </c>
      <c r="B729" s="242"/>
      <c r="C729" s="27">
        <v>351</v>
      </c>
      <c r="D729" s="27">
        <v>352</v>
      </c>
      <c r="E729" s="30">
        <v>353</v>
      </c>
      <c r="F729" s="30">
        <v>354</v>
      </c>
      <c r="G729" s="30">
        <v>355</v>
      </c>
      <c r="H729" s="30">
        <v>356</v>
      </c>
      <c r="I729" s="30">
        <v>357</v>
      </c>
      <c r="J729" s="30">
        <v>358</v>
      </c>
      <c r="K729" s="30">
        <v>359</v>
      </c>
      <c r="L729" s="30">
        <v>360</v>
      </c>
      <c r="M729" s="30">
        <v>361</v>
      </c>
      <c r="N729" s="30">
        <v>362</v>
      </c>
      <c r="O729" s="30">
        <v>363</v>
      </c>
      <c r="P729" s="82">
        <v>364</v>
      </c>
      <c r="Q729" s="240"/>
      <c r="R729" s="240"/>
      <c r="S729" s="240"/>
    </row>
    <row r="730" spans="1:19" ht="31.5">
      <c r="A730" s="243" t="s">
        <v>18</v>
      </c>
      <c r="B730" s="244"/>
      <c r="C730" s="118" t="s">
        <v>526</v>
      </c>
      <c r="D730" s="118" t="s">
        <v>527</v>
      </c>
      <c r="E730" s="118" t="s">
        <v>528</v>
      </c>
      <c r="F730" s="118" t="s">
        <v>529</v>
      </c>
      <c r="G730" s="118" t="s">
        <v>530</v>
      </c>
      <c r="H730" s="118" t="s">
        <v>531</v>
      </c>
      <c r="I730" s="118" t="s">
        <v>532</v>
      </c>
      <c r="J730" s="118" t="s">
        <v>533</v>
      </c>
      <c r="K730" s="118" t="s">
        <v>534</v>
      </c>
      <c r="L730" s="118" t="s">
        <v>535</v>
      </c>
      <c r="M730" s="118" t="s">
        <v>536</v>
      </c>
      <c r="N730" s="118" t="s">
        <v>537</v>
      </c>
      <c r="O730" s="118" t="s">
        <v>636</v>
      </c>
      <c r="P730" s="166" t="s">
        <v>637</v>
      </c>
      <c r="Q730" s="240"/>
      <c r="R730" s="240"/>
      <c r="S730" s="240"/>
    </row>
    <row r="731" spans="1:19" ht="30.75" hidden="1" customHeight="1">
      <c r="A731" s="245" t="s">
        <v>20</v>
      </c>
      <c r="B731" s="246"/>
      <c r="C731" s="33">
        <v>599</v>
      </c>
      <c r="D731" s="33">
        <v>581</v>
      </c>
      <c r="E731" s="33">
        <v>640</v>
      </c>
      <c r="F731" s="33">
        <v>529</v>
      </c>
      <c r="G731" s="33">
        <v>558</v>
      </c>
      <c r="H731" s="33">
        <v>368</v>
      </c>
      <c r="I731" s="33">
        <v>332</v>
      </c>
      <c r="J731" s="33">
        <v>439</v>
      </c>
      <c r="K731" s="33">
        <v>412</v>
      </c>
      <c r="L731" s="33">
        <v>555</v>
      </c>
      <c r="M731" s="33">
        <v>631</v>
      </c>
      <c r="N731" s="33">
        <v>601</v>
      </c>
      <c r="O731" s="33">
        <v>419</v>
      </c>
      <c r="P731" s="25">
        <v>450</v>
      </c>
      <c r="Q731" s="240"/>
      <c r="R731" s="240"/>
      <c r="S731" s="240"/>
    </row>
    <row r="732" spans="1:19">
      <c r="A732" s="28" t="s">
        <v>7</v>
      </c>
      <c r="B732" s="27" t="s">
        <v>8</v>
      </c>
      <c r="C732" s="29" t="s">
        <v>9</v>
      </c>
      <c r="D732" s="29" t="s">
        <v>9</v>
      </c>
      <c r="E732" s="29" t="s">
        <v>9</v>
      </c>
      <c r="F732" s="29" t="s">
        <v>9</v>
      </c>
      <c r="G732" s="29" t="s">
        <v>9</v>
      </c>
      <c r="H732" s="29" t="s">
        <v>9</v>
      </c>
      <c r="I732" s="29" t="s">
        <v>9</v>
      </c>
      <c r="J732" s="29" t="s">
        <v>9</v>
      </c>
      <c r="K732" s="29" t="s">
        <v>9</v>
      </c>
      <c r="L732" s="29" t="s">
        <v>9</v>
      </c>
      <c r="M732" s="29" t="s">
        <v>9</v>
      </c>
      <c r="N732" s="29" t="s">
        <v>9</v>
      </c>
      <c r="O732" s="29" t="s">
        <v>9</v>
      </c>
      <c r="P732" s="29" t="s">
        <v>9</v>
      </c>
      <c r="Q732" s="241"/>
      <c r="R732" s="241"/>
      <c r="S732" s="241"/>
    </row>
    <row r="733" spans="1:19" s="180" customFormat="1">
      <c r="A733" s="172">
        <v>1</v>
      </c>
      <c r="B733" s="173" t="s">
        <v>85</v>
      </c>
      <c r="C733" s="178">
        <v>114</v>
      </c>
      <c r="D733" s="178">
        <v>204</v>
      </c>
      <c r="E733" s="178">
        <v>28</v>
      </c>
      <c r="F733" s="178">
        <v>45</v>
      </c>
      <c r="G733" s="178">
        <v>19</v>
      </c>
      <c r="H733" s="178">
        <v>43</v>
      </c>
      <c r="I733" s="178">
        <v>47</v>
      </c>
      <c r="J733" s="178">
        <v>94</v>
      </c>
      <c r="K733" s="178">
        <v>74</v>
      </c>
      <c r="L733" s="178">
        <v>38</v>
      </c>
      <c r="M733" s="178">
        <v>11</v>
      </c>
      <c r="N733" s="178">
        <v>102</v>
      </c>
      <c r="O733" s="178">
        <v>20</v>
      </c>
      <c r="P733" s="178">
        <v>66</v>
      </c>
      <c r="Q733" s="181">
        <f t="shared" ref="Q733:Q742" si="121">SUM(C733:P733)</f>
        <v>905</v>
      </c>
      <c r="R733" s="181">
        <f t="shared" ref="R733:R743" si="122">S704</f>
        <v>46228</v>
      </c>
      <c r="S733" s="181">
        <f t="shared" ref="S733:S743" si="123">Q733+R733</f>
        <v>47133</v>
      </c>
    </row>
    <row r="734" spans="1:19" s="180" customFormat="1">
      <c r="A734" s="172">
        <v>2</v>
      </c>
      <c r="B734" s="173" t="s">
        <v>156</v>
      </c>
      <c r="C734" s="178">
        <v>307</v>
      </c>
      <c r="D734" s="178">
        <v>182</v>
      </c>
      <c r="E734" s="178">
        <v>203</v>
      </c>
      <c r="F734" s="178">
        <v>434</v>
      </c>
      <c r="G734" s="178">
        <v>493</v>
      </c>
      <c r="H734" s="178">
        <v>247</v>
      </c>
      <c r="I734" s="178">
        <v>162</v>
      </c>
      <c r="J734" s="178">
        <v>278</v>
      </c>
      <c r="K734" s="178">
        <v>283</v>
      </c>
      <c r="L734" s="178">
        <v>487</v>
      </c>
      <c r="M734" s="178">
        <v>594</v>
      </c>
      <c r="N734" s="178">
        <v>468</v>
      </c>
      <c r="O734" s="178">
        <v>391</v>
      </c>
      <c r="P734" s="178">
        <v>92</v>
      </c>
      <c r="Q734" s="181">
        <f t="shared" si="121"/>
        <v>4621</v>
      </c>
      <c r="R734" s="181">
        <f t="shared" si="122"/>
        <v>121988</v>
      </c>
      <c r="S734" s="181">
        <f t="shared" si="123"/>
        <v>126609</v>
      </c>
    </row>
    <row r="735" spans="1:19" s="180" customFormat="1">
      <c r="A735" s="172">
        <v>3</v>
      </c>
      <c r="B735" s="173" t="s">
        <v>157</v>
      </c>
      <c r="C735" s="178">
        <v>3</v>
      </c>
      <c r="D735" s="178">
        <v>6</v>
      </c>
      <c r="E735" s="178">
        <v>16</v>
      </c>
      <c r="F735" s="178">
        <v>4</v>
      </c>
      <c r="G735" s="178">
        <v>7</v>
      </c>
      <c r="H735" s="178">
        <v>11</v>
      </c>
      <c r="I735" s="178">
        <v>15</v>
      </c>
      <c r="J735" s="178">
        <v>8</v>
      </c>
      <c r="K735" s="178">
        <v>6</v>
      </c>
      <c r="L735" s="178">
        <v>8</v>
      </c>
      <c r="M735" s="178">
        <v>5</v>
      </c>
      <c r="N735" s="178">
        <v>14</v>
      </c>
      <c r="O735" s="178">
        <v>3</v>
      </c>
      <c r="P735" s="178">
        <v>17</v>
      </c>
      <c r="Q735" s="181">
        <f t="shared" si="121"/>
        <v>123</v>
      </c>
      <c r="R735" s="181">
        <f t="shared" si="122"/>
        <v>2318</v>
      </c>
      <c r="S735" s="181">
        <f t="shared" si="123"/>
        <v>2441</v>
      </c>
    </row>
    <row r="736" spans="1:19" s="180" customFormat="1">
      <c r="A736" s="172">
        <v>4</v>
      </c>
      <c r="B736" s="173" t="s">
        <v>158</v>
      </c>
      <c r="C736" s="178">
        <v>154</v>
      </c>
      <c r="D736" s="178">
        <v>169</v>
      </c>
      <c r="E736" s="178">
        <v>380</v>
      </c>
      <c r="F736" s="178">
        <v>30</v>
      </c>
      <c r="G736" s="178">
        <v>33</v>
      </c>
      <c r="H736" s="178">
        <v>63</v>
      </c>
      <c r="I736" s="178">
        <v>102</v>
      </c>
      <c r="J736" s="178">
        <v>47</v>
      </c>
      <c r="K736" s="178">
        <v>40</v>
      </c>
      <c r="L736" s="178">
        <v>18</v>
      </c>
      <c r="M736" s="178">
        <v>2</v>
      </c>
      <c r="N736" s="178">
        <v>5</v>
      </c>
      <c r="O736" s="178">
        <v>2</v>
      </c>
      <c r="P736" s="178">
        <v>248</v>
      </c>
      <c r="Q736" s="181">
        <f t="shared" si="121"/>
        <v>1293</v>
      </c>
      <c r="R736" s="181">
        <f t="shared" si="122"/>
        <v>29147</v>
      </c>
      <c r="S736" s="181">
        <f t="shared" si="123"/>
        <v>30440</v>
      </c>
    </row>
    <row r="737" spans="1:19" s="180" customFormat="1">
      <c r="A737" s="172">
        <v>5</v>
      </c>
      <c r="B737" s="173" t="s">
        <v>159</v>
      </c>
      <c r="C737" s="178">
        <v>5</v>
      </c>
      <c r="D737" s="178">
        <v>2</v>
      </c>
      <c r="E737" s="178">
        <v>3</v>
      </c>
      <c r="F737" s="178">
        <v>4</v>
      </c>
      <c r="G737" s="178">
        <v>2</v>
      </c>
      <c r="H737" s="178">
        <v>0</v>
      </c>
      <c r="I737" s="178">
        <v>1</v>
      </c>
      <c r="J737" s="178">
        <v>2</v>
      </c>
      <c r="K737" s="178">
        <v>2</v>
      </c>
      <c r="L737" s="178">
        <v>1</v>
      </c>
      <c r="M737" s="178">
        <v>2</v>
      </c>
      <c r="N737" s="178">
        <v>2</v>
      </c>
      <c r="O737" s="178">
        <v>0</v>
      </c>
      <c r="P737" s="178">
        <v>5</v>
      </c>
      <c r="Q737" s="181">
        <f t="shared" si="121"/>
        <v>31</v>
      </c>
      <c r="R737" s="181">
        <f t="shared" si="122"/>
        <v>566</v>
      </c>
      <c r="S737" s="181">
        <f t="shared" si="123"/>
        <v>597</v>
      </c>
    </row>
    <row r="738" spans="1:19" s="180" customFormat="1">
      <c r="A738" s="172">
        <v>6</v>
      </c>
      <c r="B738" s="173" t="s">
        <v>160</v>
      </c>
      <c r="C738" s="178">
        <v>4</v>
      </c>
      <c r="D738" s="178">
        <v>9</v>
      </c>
      <c r="E738" s="178">
        <v>3</v>
      </c>
      <c r="F738" s="178">
        <v>2</v>
      </c>
      <c r="G738" s="178">
        <v>1</v>
      </c>
      <c r="H738" s="178">
        <v>0</v>
      </c>
      <c r="I738" s="178">
        <v>2</v>
      </c>
      <c r="J738" s="178">
        <v>2</v>
      </c>
      <c r="K738" s="178">
        <v>0</v>
      </c>
      <c r="L738" s="178">
        <v>1</v>
      </c>
      <c r="M738" s="178">
        <v>5</v>
      </c>
      <c r="N738" s="178">
        <v>1</v>
      </c>
      <c r="O738" s="178">
        <v>1</v>
      </c>
      <c r="P738" s="178">
        <v>5</v>
      </c>
      <c r="Q738" s="181">
        <f t="shared" si="121"/>
        <v>36</v>
      </c>
      <c r="R738" s="181">
        <f t="shared" si="122"/>
        <v>905</v>
      </c>
      <c r="S738" s="181">
        <f t="shared" si="123"/>
        <v>941</v>
      </c>
    </row>
    <row r="739" spans="1:19" s="180" customFormat="1">
      <c r="A739" s="172">
        <v>7</v>
      </c>
      <c r="B739" s="173" t="s">
        <v>86</v>
      </c>
      <c r="C739" s="178">
        <v>2</v>
      </c>
      <c r="D739" s="178">
        <v>5</v>
      </c>
      <c r="E739" s="178">
        <v>3</v>
      </c>
      <c r="F739" s="178">
        <v>5</v>
      </c>
      <c r="G739" s="178">
        <v>2</v>
      </c>
      <c r="H739" s="178">
        <v>2</v>
      </c>
      <c r="I739" s="178">
        <v>2</v>
      </c>
      <c r="J739" s="178">
        <v>5</v>
      </c>
      <c r="K739" s="178">
        <v>1</v>
      </c>
      <c r="L739" s="178">
        <v>0</v>
      </c>
      <c r="M739" s="178">
        <v>4</v>
      </c>
      <c r="N739" s="178">
        <v>4</v>
      </c>
      <c r="O739" s="178">
        <v>1</v>
      </c>
      <c r="P739" s="178">
        <v>5</v>
      </c>
      <c r="Q739" s="181">
        <f t="shared" si="121"/>
        <v>41</v>
      </c>
      <c r="R739" s="181">
        <f t="shared" si="122"/>
        <v>896</v>
      </c>
      <c r="S739" s="181">
        <f t="shared" si="123"/>
        <v>937</v>
      </c>
    </row>
    <row r="740" spans="1:19" s="180" customFormat="1">
      <c r="A740" s="172">
        <v>8</v>
      </c>
      <c r="B740" s="173" t="s">
        <v>161</v>
      </c>
      <c r="C740" s="178">
        <v>7</v>
      </c>
      <c r="D740" s="178">
        <v>1</v>
      </c>
      <c r="E740" s="178">
        <v>2</v>
      </c>
      <c r="F740" s="178">
        <v>1</v>
      </c>
      <c r="G740" s="178">
        <v>1</v>
      </c>
      <c r="H740" s="178">
        <v>1</v>
      </c>
      <c r="I740" s="178">
        <v>0</v>
      </c>
      <c r="J740" s="178">
        <v>2</v>
      </c>
      <c r="K740" s="178">
        <v>5</v>
      </c>
      <c r="L740" s="178">
        <v>2</v>
      </c>
      <c r="M740" s="178">
        <v>4</v>
      </c>
      <c r="N740" s="178">
        <v>1</v>
      </c>
      <c r="O740" s="178">
        <v>0</v>
      </c>
      <c r="P740" s="178">
        <v>2</v>
      </c>
      <c r="Q740" s="181">
        <f t="shared" si="121"/>
        <v>29</v>
      </c>
      <c r="R740" s="181">
        <f t="shared" si="122"/>
        <v>812</v>
      </c>
      <c r="S740" s="181">
        <f t="shared" si="123"/>
        <v>841</v>
      </c>
    </row>
    <row r="741" spans="1:19" s="180" customFormat="1">
      <c r="A741" s="172">
        <v>9</v>
      </c>
      <c r="B741" s="174" t="s">
        <v>10</v>
      </c>
      <c r="C741" s="178">
        <v>3</v>
      </c>
      <c r="D741" s="178">
        <v>3</v>
      </c>
      <c r="E741" s="178">
        <v>2</v>
      </c>
      <c r="F741" s="178">
        <v>4</v>
      </c>
      <c r="G741" s="178">
        <v>0</v>
      </c>
      <c r="H741" s="178">
        <v>1</v>
      </c>
      <c r="I741" s="178">
        <v>1</v>
      </c>
      <c r="J741" s="178">
        <v>1</v>
      </c>
      <c r="K741" s="178">
        <v>1</v>
      </c>
      <c r="L741" s="178">
        <v>0</v>
      </c>
      <c r="M741" s="178">
        <v>4</v>
      </c>
      <c r="N741" s="178">
        <v>4</v>
      </c>
      <c r="O741" s="178">
        <v>1</v>
      </c>
      <c r="P741" s="178">
        <v>10</v>
      </c>
      <c r="Q741" s="181">
        <f t="shared" si="121"/>
        <v>35</v>
      </c>
      <c r="R741" s="181">
        <f t="shared" si="122"/>
        <v>1086</v>
      </c>
      <c r="S741" s="181">
        <f t="shared" si="123"/>
        <v>1121</v>
      </c>
    </row>
    <row r="742" spans="1:19" s="180" customFormat="1">
      <c r="A742" s="234" t="s">
        <v>11</v>
      </c>
      <c r="B742" s="235"/>
      <c r="C742" s="183">
        <v>0</v>
      </c>
      <c r="D742" s="183">
        <v>0</v>
      </c>
      <c r="E742" s="183">
        <v>0</v>
      </c>
      <c r="F742" s="183">
        <v>0</v>
      </c>
      <c r="G742" s="183">
        <v>0</v>
      </c>
      <c r="H742" s="183">
        <v>0</v>
      </c>
      <c r="I742" s="183">
        <v>0</v>
      </c>
      <c r="J742" s="183">
        <v>0</v>
      </c>
      <c r="K742" s="183">
        <v>0</v>
      </c>
      <c r="L742" s="183">
        <v>0</v>
      </c>
      <c r="M742" s="183">
        <v>0</v>
      </c>
      <c r="N742" s="183">
        <v>0</v>
      </c>
      <c r="O742" s="183">
        <v>0</v>
      </c>
      <c r="P742" s="183">
        <v>0</v>
      </c>
      <c r="Q742" s="181">
        <f t="shared" si="121"/>
        <v>0</v>
      </c>
      <c r="R742" s="181">
        <f t="shared" si="122"/>
        <v>0</v>
      </c>
      <c r="S742" s="181">
        <f t="shared" si="123"/>
        <v>0</v>
      </c>
    </row>
    <row r="743" spans="1:19" s="180" customFormat="1">
      <c r="A743" s="236" t="s">
        <v>12</v>
      </c>
      <c r="B743" s="236"/>
      <c r="C743" s="181">
        <f t="shared" ref="C743:Q743" si="124">SUM(C733:C742)</f>
        <v>599</v>
      </c>
      <c r="D743" s="181">
        <f t="shared" si="124"/>
        <v>581</v>
      </c>
      <c r="E743" s="181">
        <f t="shared" si="124"/>
        <v>640</v>
      </c>
      <c r="F743" s="181">
        <f t="shared" si="124"/>
        <v>529</v>
      </c>
      <c r="G743" s="181">
        <f t="shared" si="124"/>
        <v>558</v>
      </c>
      <c r="H743" s="181">
        <f t="shared" si="124"/>
        <v>368</v>
      </c>
      <c r="I743" s="181">
        <f t="shared" si="124"/>
        <v>332</v>
      </c>
      <c r="J743" s="181">
        <f t="shared" si="124"/>
        <v>439</v>
      </c>
      <c r="K743" s="181">
        <f t="shared" si="124"/>
        <v>412</v>
      </c>
      <c r="L743" s="181">
        <f t="shared" si="124"/>
        <v>555</v>
      </c>
      <c r="M743" s="181">
        <f t="shared" si="124"/>
        <v>631</v>
      </c>
      <c r="N743" s="181">
        <f t="shared" si="124"/>
        <v>601</v>
      </c>
      <c r="O743" s="181">
        <f t="shared" si="124"/>
        <v>419</v>
      </c>
      <c r="P743" s="181">
        <f t="shared" si="124"/>
        <v>450</v>
      </c>
      <c r="Q743" s="181">
        <f t="shared" si="124"/>
        <v>7114</v>
      </c>
      <c r="R743" s="181">
        <f t="shared" si="122"/>
        <v>203946</v>
      </c>
      <c r="S743" s="181">
        <f t="shared" si="123"/>
        <v>211060</v>
      </c>
    </row>
    <row r="744" spans="1:19" ht="18">
      <c r="A744" s="5"/>
      <c r="B744" s="5"/>
      <c r="C744" s="6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8"/>
      <c r="R744" s="7"/>
      <c r="S744" s="7"/>
    </row>
    <row r="745" spans="1:19" ht="22.5">
      <c r="A745" s="26"/>
      <c r="B745" s="26"/>
      <c r="C745" s="10" t="s">
        <v>13</v>
      </c>
      <c r="D745" s="10" t="s">
        <v>13</v>
      </c>
      <c r="E745" s="10" t="s">
        <v>13</v>
      </c>
      <c r="F745" s="10" t="s">
        <v>13</v>
      </c>
      <c r="G745" s="10" t="s">
        <v>13</v>
      </c>
      <c r="H745" s="10" t="s">
        <v>13</v>
      </c>
      <c r="I745" s="10" t="s">
        <v>13</v>
      </c>
      <c r="J745" s="10" t="s">
        <v>13</v>
      </c>
      <c r="K745" s="10" t="s">
        <v>13</v>
      </c>
      <c r="L745" s="10" t="s">
        <v>13</v>
      </c>
      <c r="M745" s="10" t="s">
        <v>13</v>
      </c>
      <c r="N745" s="10" t="s">
        <v>13</v>
      </c>
      <c r="O745" s="10" t="s">
        <v>13</v>
      </c>
      <c r="P745" s="10" t="s">
        <v>13</v>
      </c>
      <c r="Q745" s="10" t="s">
        <v>13</v>
      </c>
      <c r="R745" s="10" t="s">
        <v>13</v>
      </c>
      <c r="S745" s="10" t="s">
        <v>13</v>
      </c>
    </row>
    <row r="746" spans="1:19">
      <c r="A746" s="26"/>
      <c r="B746" s="26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</row>
    <row r="747" spans="1:19" ht="22.5">
      <c r="A747" s="26"/>
      <c r="B747" s="26"/>
      <c r="C747" s="10" t="s">
        <v>14</v>
      </c>
      <c r="D747" s="10" t="s">
        <v>14</v>
      </c>
      <c r="E747" s="10" t="s">
        <v>14</v>
      </c>
      <c r="F747" s="10" t="s">
        <v>14</v>
      </c>
      <c r="G747" s="10" t="s">
        <v>14</v>
      </c>
      <c r="H747" s="10" t="s">
        <v>14</v>
      </c>
      <c r="I747" s="10" t="s">
        <v>14</v>
      </c>
      <c r="J747" s="10" t="s">
        <v>14</v>
      </c>
      <c r="K747" s="10" t="s">
        <v>14</v>
      </c>
      <c r="L747" s="10" t="s">
        <v>14</v>
      </c>
      <c r="M747" s="10" t="s">
        <v>14</v>
      </c>
      <c r="N747" s="10" t="s">
        <v>14</v>
      </c>
      <c r="O747" s="10" t="s">
        <v>14</v>
      </c>
      <c r="P747" s="10" t="s">
        <v>14</v>
      </c>
      <c r="Q747" s="10" t="s">
        <v>14</v>
      </c>
      <c r="R747" s="10" t="s">
        <v>14</v>
      </c>
      <c r="S747" s="10" t="s">
        <v>14</v>
      </c>
    </row>
    <row r="748" spans="1:19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</row>
    <row r="749" spans="1:19">
      <c r="A749" s="237" t="s">
        <v>15</v>
      </c>
      <c r="B749" s="237"/>
      <c r="C749" s="238" t="s">
        <v>16</v>
      </c>
      <c r="D749" s="238"/>
      <c r="E749" s="238"/>
      <c r="F749" s="238"/>
      <c r="G749" s="238"/>
      <c r="H749" s="238"/>
      <c r="I749" s="238"/>
      <c r="J749" s="238"/>
      <c r="K749" s="238"/>
      <c r="L749" s="238"/>
      <c r="M749" s="238"/>
      <c r="N749" s="238"/>
      <c r="O749" s="238"/>
      <c r="P749" s="238"/>
      <c r="Q749" s="238"/>
      <c r="R749" s="26"/>
      <c r="S749" s="26"/>
    </row>
    <row r="750" spans="1:19">
      <c r="A750" s="26"/>
      <c r="B750" s="26"/>
      <c r="C750" s="238" t="s">
        <v>17</v>
      </c>
      <c r="D750" s="238"/>
      <c r="E750" s="238"/>
      <c r="F750" s="238"/>
      <c r="G750" s="238"/>
      <c r="H750" s="238"/>
      <c r="I750" s="238"/>
      <c r="J750" s="238"/>
      <c r="K750" s="238"/>
      <c r="L750" s="238"/>
      <c r="M750" s="238"/>
      <c r="N750" s="238"/>
      <c r="O750" s="238"/>
      <c r="P750" s="238"/>
      <c r="Q750" s="238"/>
      <c r="R750" s="26"/>
      <c r="S750" s="26"/>
    </row>
    <row r="751" spans="1:19">
      <c r="A751" s="26"/>
      <c r="B751" s="26"/>
      <c r="C751" s="228" t="s">
        <v>45</v>
      </c>
      <c r="D751" s="228"/>
      <c r="E751" s="228"/>
      <c r="F751" s="228"/>
      <c r="G751" s="228"/>
      <c r="H751" s="228"/>
      <c r="I751" s="228"/>
      <c r="J751" s="228"/>
      <c r="K751" s="228"/>
      <c r="L751" s="228"/>
      <c r="M751" s="228"/>
      <c r="N751" s="228"/>
      <c r="O751" s="228"/>
      <c r="P751" s="228"/>
      <c r="Q751" s="228"/>
      <c r="R751" s="26"/>
      <c r="S751" s="26"/>
    </row>
    <row r="752" spans="1:19">
      <c r="A752" s="26"/>
      <c r="B752" s="26"/>
      <c r="C752" s="228" t="s">
        <v>46</v>
      </c>
      <c r="D752" s="228"/>
      <c r="E752" s="228"/>
      <c r="F752" s="228"/>
      <c r="G752" s="228"/>
      <c r="H752" s="228"/>
      <c r="I752" s="228"/>
      <c r="J752" s="228"/>
      <c r="K752" s="228"/>
      <c r="L752" s="228"/>
      <c r="M752" s="228"/>
      <c r="N752" s="228"/>
      <c r="O752" s="228"/>
      <c r="P752" s="228"/>
      <c r="Q752" s="228"/>
      <c r="R752" s="26"/>
      <c r="S752" s="26"/>
    </row>
    <row r="753" spans="1:19" ht="15" customHeight="1">
      <c r="A753" s="60"/>
      <c r="B753" s="61" t="s">
        <v>139</v>
      </c>
      <c r="C753" s="227" t="s">
        <v>138</v>
      </c>
      <c r="D753" s="227"/>
      <c r="E753" s="227"/>
      <c r="F753" s="227"/>
      <c r="G753" s="227"/>
      <c r="H753" s="227"/>
      <c r="I753" s="227"/>
      <c r="J753" s="227"/>
      <c r="K753" s="227"/>
      <c r="L753" s="227"/>
      <c r="M753" s="227"/>
      <c r="N753" s="227"/>
      <c r="O753" s="227"/>
      <c r="P753" s="227"/>
      <c r="Q753" s="227"/>
      <c r="R753" s="60"/>
      <c r="S753" s="60"/>
    </row>
    <row r="754" spans="1:19">
      <c r="A754" s="83"/>
      <c r="B754" s="61"/>
      <c r="C754" s="86"/>
      <c r="D754" s="86"/>
      <c r="E754" s="86"/>
      <c r="F754" s="86"/>
      <c r="G754" s="86"/>
      <c r="H754" s="86"/>
      <c r="I754" s="86"/>
      <c r="J754" s="86"/>
      <c r="K754" s="86"/>
      <c r="L754" s="86"/>
      <c r="M754" s="86"/>
      <c r="N754" s="86"/>
      <c r="O754" s="86"/>
      <c r="P754" s="86"/>
      <c r="Q754" s="86"/>
      <c r="R754" s="83"/>
      <c r="S754" s="83"/>
    </row>
    <row r="755" spans="1:19" ht="26.25">
      <c r="A755" s="229" t="s">
        <v>0</v>
      </c>
      <c r="B755" s="229"/>
      <c r="C755" s="229"/>
      <c r="D755" s="229"/>
      <c r="E755" s="229"/>
      <c r="F755" s="229"/>
      <c r="G755" s="229"/>
      <c r="H755" s="229"/>
      <c r="I755" s="229"/>
      <c r="J755" s="229"/>
      <c r="K755" s="229"/>
      <c r="L755" s="229"/>
      <c r="M755" s="229"/>
      <c r="N755" s="229"/>
      <c r="O755" s="229"/>
      <c r="P755" s="229"/>
      <c r="Q755" s="229"/>
      <c r="R755" s="229"/>
      <c r="S755" s="229"/>
    </row>
    <row r="756" spans="1:19" ht="19.5">
      <c r="A756" s="230" t="s">
        <v>83</v>
      </c>
      <c r="B756" s="230"/>
      <c r="C756" s="230"/>
      <c r="D756" s="230"/>
      <c r="E756" s="230"/>
      <c r="F756" s="230"/>
      <c r="G756" s="230"/>
      <c r="H756" s="230"/>
      <c r="I756" s="1"/>
      <c r="J756" s="1"/>
      <c r="K756" s="231" t="s">
        <v>193</v>
      </c>
      <c r="L756" s="231"/>
      <c r="M756" s="231"/>
      <c r="N756" s="231"/>
      <c r="O756" s="1"/>
      <c r="P756" s="232" t="s">
        <v>1</v>
      </c>
      <c r="Q756" s="232"/>
      <c r="R756" s="233">
        <v>44630</v>
      </c>
      <c r="S756" s="233"/>
    </row>
    <row r="757" spans="1:19">
      <c r="A757" s="242" t="s">
        <v>2</v>
      </c>
      <c r="B757" s="242"/>
      <c r="C757" s="82">
        <v>1</v>
      </c>
      <c r="D757" s="82">
        <v>2</v>
      </c>
      <c r="E757" s="82">
        <v>3</v>
      </c>
      <c r="F757" s="82">
        <v>4</v>
      </c>
      <c r="G757" s="82">
        <v>5</v>
      </c>
      <c r="H757" s="82">
        <v>6</v>
      </c>
      <c r="I757" s="82">
        <v>7</v>
      </c>
      <c r="J757" s="82">
        <v>8</v>
      </c>
      <c r="K757" s="82">
        <v>9</v>
      </c>
      <c r="L757" s="82">
        <v>10</v>
      </c>
      <c r="M757" s="82">
        <v>11</v>
      </c>
      <c r="N757" s="82">
        <v>12</v>
      </c>
      <c r="O757" s="82">
        <v>13</v>
      </c>
      <c r="P757" s="82">
        <v>14</v>
      </c>
      <c r="Q757" s="239" t="s">
        <v>3</v>
      </c>
      <c r="R757" s="239" t="s">
        <v>4</v>
      </c>
      <c r="S757" s="239" t="s">
        <v>5</v>
      </c>
    </row>
    <row r="758" spans="1:19">
      <c r="A758" s="242" t="s">
        <v>6</v>
      </c>
      <c r="B758" s="242"/>
      <c r="C758" s="82">
        <v>365</v>
      </c>
      <c r="D758" s="82">
        <v>366</v>
      </c>
      <c r="E758" s="82">
        <v>367</v>
      </c>
      <c r="F758" s="82">
        <v>368</v>
      </c>
      <c r="G758" s="82">
        <v>369</v>
      </c>
      <c r="H758" s="82">
        <v>370</v>
      </c>
      <c r="I758" s="82">
        <v>371</v>
      </c>
      <c r="J758" s="82">
        <v>372</v>
      </c>
      <c r="K758" s="82">
        <v>373</v>
      </c>
      <c r="L758" s="82">
        <v>374</v>
      </c>
      <c r="M758" s="82">
        <v>375</v>
      </c>
      <c r="N758" s="82">
        <v>376</v>
      </c>
      <c r="O758" s="82">
        <v>377</v>
      </c>
      <c r="P758" s="82">
        <v>378</v>
      </c>
      <c r="Q758" s="240"/>
      <c r="R758" s="240"/>
      <c r="S758" s="240"/>
    </row>
    <row r="759" spans="1:19" ht="31.5">
      <c r="A759" s="243" t="s">
        <v>18</v>
      </c>
      <c r="B759" s="244"/>
      <c r="C759" s="118" t="s">
        <v>538</v>
      </c>
      <c r="D759" s="118" t="s">
        <v>539</v>
      </c>
      <c r="E759" s="118" t="s">
        <v>540</v>
      </c>
      <c r="F759" s="118" t="s">
        <v>541</v>
      </c>
      <c r="G759" s="118" t="s">
        <v>542</v>
      </c>
      <c r="H759" s="118" t="s">
        <v>543</v>
      </c>
      <c r="I759" s="118" t="s">
        <v>544</v>
      </c>
      <c r="J759" s="118" t="s">
        <v>545</v>
      </c>
      <c r="K759" s="118" t="s">
        <v>546</v>
      </c>
      <c r="L759" s="118" t="s">
        <v>547</v>
      </c>
      <c r="M759" s="118" t="s">
        <v>548</v>
      </c>
      <c r="N759" s="118" t="s">
        <v>549</v>
      </c>
      <c r="O759" s="118" t="s">
        <v>550</v>
      </c>
      <c r="P759" s="166" t="s">
        <v>638</v>
      </c>
      <c r="Q759" s="240"/>
      <c r="R759" s="240"/>
      <c r="S759" s="240"/>
    </row>
    <row r="760" spans="1:19" ht="27" hidden="1" customHeight="1">
      <c r="A760" s="245" t="s">
        <v>20</v>
      </c>
      <c r="B760" s="246"/>
      <c r="C760" s="33">
        <v>472</v>
      </c>
      <c r="D760" s="33">
        <v>512</v>
      </c>
      <c r="E760" s="33">
        <v>428</v>
      </c>
      <c r="F760" s="33">
        <v>411</v>
      </c>
      <c r="G760" s="33">
        <v>604</v>
      </c>
      <c r="H760" s="33">
        <v>592</v>
      </c>
      <c r="I760" s="33">
        <v>487</v>
      </c>
      <c r="J760" s="33">
        <v>457</v>
      </c>
      <c r="K760" s="33">
        <v>513</v>
      </c>
      <c r="L760" s="33">
        <v>557</v>
      </c>
      <c r="M760" s="33">
        <v>702</v>
      </c>
      <c r="N760" s="33">
        <v>676</v>
      </c>
      <c r="O760" s="33">
        <v>560</v>
      </c>
      <c r="P760" s="25">
        <v>456</v>
      </c>
      <c r="Q760" s="240"/>
      <c r="R760" s="240"/>
      <c r="S760" s="240"/>
    </row>
    <row r="761" spans="1:19">
      <c r="A761" s="84" t="s">
        <v>7</v>
      </c>
      <c r="B761" s="82" t="s">
        <v>8</v>
      </c>
      <c r="C761" s="85" t="s">
        <v>9</v>
      </c>
      <c r="D761" s="85" t="s">
        <v>9</v>
      </c>
      <c r="E761" s="85" t="s">
        <v>9</v>
      </c>
      <c r="F761" s="85" t="s">
        <v>9</v>
      </c>
      <c r="G761" s="85" t="s">
        <v>9</v>
      </c>
      <c r="H761" s="85" t="s">
        <v>9</v>
      </c>
      <c r="I761" s="85" t="s">
        <v>9</v>
      </c>
      <c r="J761" s="85" t="s">
        <v>9</v>
      </c>
      <c r="K761" s="85" t="s">
        <v>9</v>
      </c>
      <c r="L761" s="85" t="s">
        <v>9</v>
      </c>
      <c r="M761" s="85" t="s">
        <v>9</v>
      </c>
      <c r="N761" s="85" t="s">
        <v>9</v>
      </c>
      <c r="O761" s="85" t="s">
        <v>9</v>
      </c>
      <c r="P761" s="85" t="s">
        <v>9</v>
      </c>
      <c r="Q761" s="241"/>
      <c r="R761" s="241"/>
      <c r="S761" s="241"/>
    </row>
    <row r="762" spans="1:19" s="180" customFormat="1">
      <c r="A762" s="172">
        <v>1</v>
      </c>
      <c r="B762" s="173" t="s">
        <v>85</v>
      </c>
      <c r="C762" s="178">
        <v>91</v>
      </c>
      <c r="D762" s="178">
        <v>9</v>
      </c>
      <c r="E762" s="178">
        <v>163</v>
      </c>
      <c r="F762" s="178">
        <v>35</v>
      </c>
      <c r="G762" s="178">
        <v>99</v>
      </c>
      <c r="H762" s="178">
        <v>26</v>
      </c>
      <c r="I762" s="178">
        <v>22</v>
      </c>
      <c r="J762" s="178">
        <v>109</v>
      </c>
      <c r="K762" s="178">
        <v>28</v>
      </c>
      <c r="L762" s="178">
        <v>14</v>
      </c>
      <c r="M762" s="178">
        <v>2</v>
      </c>
      <c r="N762" s="178">
        <v>12</v>
      </c>
      <c r="O762" s="178">
        <v>175</v>
      </c>
      <c r="P762" s="178">
        <v>438</v>
      </c>
      <c r="Q762" s="181">
        <f t="shared" ref="Q762:Q771" si="125">SUM(C762:P762)</f>
        <v>1223</v>
      </c>
      <c r="R762" s="181">
        <f t="shared" ref="R762:R772" si="126">S733</f>
        <v>47133</v>
      </c>
      <c r="S762" s="181">
        <f t="shared" ref="S762:S772" si="127">Q762+R762</f>
        <v>48356</v>
      </c>
    </row>
    <row r="763" spans="1:19" s="180" customFormat="1">
      <c r="A763" s="172">
        <v>2</v>
      </c>
      <c r="B763" s="173" t="s">
        <v>156</v>
      </c>
      <c r="C763" s="178">
        <v>90</v>
      </c>
      <c r="D763" s="178">
        <v>318</v>
      </c>
      <c r="E763" s="178">
        <v>239</v>
      </c>
      <c r="F763" s="178">
        <v>369</v>
      </c>
      <c r="G763" s="178">
        <v>446</v>
      </c>
      <c r="H763" s="178">
        <v>527</v>
      </c>
      <c r="I763" s="178">
        <v>418</v>
      </c>
      <c r="J763" s="178">
        <v>292</v>
      </c>
      <c r="K763" s="178">
        <v>10</v>
      </c>
      <c r="L763" s="178">
        <v>522</v>
      </c>
      <c r="M763" s="178">
        <v>682</v>
      </c>
      <c r="N763" s="178">
        <v>634</v>
      </c>
      <c r="O763" s="178">
        <v>359</v>
      </c>
      <c r="P763" s="178">
        <v>16</v>
      </c>
      <c r="Q763" s="181">
        <f t="shared" si="125"/>
        <v>4922</v>
      </c>
      <c r="R763" s="181">
        <f t="shared" si="126"/>
        <v>126609</v>
      </c>
      <c r="S763" s="181">
        <f t="shared" si="127"/>
        <v>131531</v>
      </c>
    </row>
    <row r="764" spans="1:19" s="180" customFormat="1">
      <c r="A764" s="172">
        <v>3</v>
      </c>
      <c r="B764" s="173" t="s">
        <v>157</v>
      </c>
      <c r="C764" s="178">
        <v>6</v>
      </c>
      <c r="D764" s="178">
        <v>6</v>
      </c>
      <c r="E764" s="178">
        <v>0</v>
      </c>
      <c r="F764" s="178">
        <v>3</v>
      </c>
      <c r="G764" s="178">
        <v>8</v>
      </c>
      <c r="H764" s="178">
        <v>1</v>
      </c>
      <c r="I764" s="178">
        <v>3</v>
      </c>
      <c r="J764" s="178">
        <v>1</v>
      </c>
      <c r="K764" s="178">
        <v>0</v>
      </c>
      <c r="L764" s="178">
        <v>7</v>
      </c>
      <c r="M764" s="178">
        <v>5</v>
      </c>
      <c r="N764" s="178">
        <v>6</v>
      </c>
      <c r="O764" s="178">
        <v>2</v>
      </c>
      <c r="P764" s="178">
        <v>0</v>
      </c>
      <c r="Q764" s="181">
        <f t="shared" si="125"/>
        <v>48</v>
      </c>
      <c r="R764" s="181">
        <f t="shared" si="126"/>
        <v>2441</v>
      </c>
      <c r="S764" s="181">
        <f t="shared" si="127"/>
        <v>2489</v>
      </c>
    </row>
    <row r="765" spans="1:19" s="180" customFormat="1">
      <c r="A765" s="172">
        <v>4</v>
      </c>
      <c r="B765" s="173" t="s">
        <v>158</v>
      </c>
      <c r="C765" s="178">
        <v>265</v>
      </c>
      <c r="D765" s="178">
        <v>171</v>
      </c>
      <c r="E765" s="178">
        <v>15</v>
      </c>
      <c r="F765" s="178">
        <v>0</v>
      </c>
      <c r="G765" s="178">
        <v>6</v>
      </c>
      <c r="H765" s="178">
        <v>23</v>
      </c>
      <c r="I765" s="178">
        <v>21</v>
      </c>
      <c r="J765" s="178">
        <v>53</v>
      </c>
      <c r="K765" s="178">
        <v>472</v>
      </c>
      <c r="L765" s="178">
        <v>4</v>
      </c>
      <c r="M765" s="178">
        <v>2</v>
      </c>
      <c r="N765" s="178">
        <v>1</v>
      </c>
      <c r="O765" s="178">
        <v>4</v>
      </c>
      <c r="P765" s="178">
        <v>0</v>
      </c>
      <c r="Q765" s="181">
        <f t="shared" si="125"/>
        <v>1037</v>
      </c>
      <c r="R765" s="181">
        <f t="shared" si="126"/>
        <v>30440</v>
      </c>
      <c r="S765" s="181">
        <f t="shared" si="127"/>
        <v>31477</v>
      </c>
    </row>
    <row r="766" spans="1:19" s="180" customFormat="1">
      <c r="A766" s="172">
        <v>5</v>
      </c>
      <c r="B766" s="173" t="s">
        <v>159</v>
      </c>
      <c r="C766" s="178">
        <v>5</v>
      </c>
      <c r="D766" s="178">
        <v>2</v>
      </c>
      <c r="E766" s="178">
        <v>1</v>
      </c>
      <c r="F766" s="178">
        <v>1</v>
      </c>
      <c r="G766" s="178">
        <v>5</v>
      </c>
      <c r="H766" s="178">
        <v>0</v>
      </c>
      <c r="I766" s="178">
        <v>0</v>
      </c>
      <c r="J766" s="178">
        <v>1</v>
      </c>
      <c r="K766" s="178">
        <v>0</v>
      </c>
      <c r="L766" s="178">
        <v>0</v>
      </c>
      <c r="M766" s="178">
        <v>0</v>
      </c>
      <c r="N766" s="178">
        <v>1</v>
      </c>
      <c r="O766" s="178">
        <v>2</v>
      </c>
      <c r="P766" s="178">
        <v>0</v>
      </c>
      <c r="Q766" s="181">
        <f t="shared" si="125"/>
        <v>18</v>
      </c>
      <c r="R766" s="181">
        <f t="shared" si="126"/>
        <v>597</v>
      </c>
      <c r="S766" s="181">
        <f t="shared" si="127"/>
        <v>615</v>
      </c>
    </row>
    <row r="767" spans="1:19" s="180" customFormat="1">
      <c r="A767" s="172">
        <v>6</v>
      </c>
      <c r="B767" s="173" t="s">
        <v>160</v>
      </c>
      <c r="C767" s="178">
        <v>7</v>
      </c>
      <c r="D767" s="178">
        <v>2</v>
      </c>
      <c r="E767" s="178">
        <v>2</v>
      </c>
      <c r="F767" s="178">
        <v>2</v>
      </c>
      <c r="G767" s="178">
        <v>9</v>
      </c>
      <c r="H767" s="178">
        <v>3</v>
      </c>
      <c r="I767" s="178">
        <v>4</v>
      </c>
      <c r="J767" s="178">
        <v>0</v>
      </c>
      <c r="K767" s="178">
        <v>2</v>
      </c>
      <c r="L767" s="178">
        <v>1</v>
      </c>
      <c r="M767" s="178">
        <v>0</v>
      </c>
      <c r="N767" s="178">
        <v>3</v>
      </c>
      <c r="O767" s="178">
        <v>2</v>
      </c>
      <c r="P767" s="178">
        <v>0</v>
      </c>
      <c r="Q767" s="181">
        <f t="shared" si="125"/>
        <v>37</v>
      </c>
      <c r="R767" s="181">
        <f t="shared" si="126"/>
        <v>941</v>
      </c>
      <c r="S767" s="181">
        <f t="shared" si="127"/>
        <v>978</v>
      </c>
    </row>
    <row r="768" spans="1:19" s="180" customFormat="1">
      <c r="A768" s="172">
        <v>7</v>
      </c>
      <c r="B768" s="173" t="s">
        <v>86</v>
      </c>
      <c r="C768" s="178">
        <v>3</v>
      </c>
      <c r="D768" s="178">
        <v>1</v>
      </c>
      <c r="E768" s="178">
        <v>0</v>
      </c>
      <c r="F768" s="178">
        <v>0</v>
      </c>
      <c r="G768" s="178">
        <v>8</v>
      </c>
      <c r="H768" s="178">
        <v>5</v>
      </c>
      <c r="I768" s="178">
        <v>6</v>
      </c>
      <c r="J768" s="178">
        <v>0</v>
      </c>
      <c r="K768" s="178">
        <v>1</v>
      </c>
      <c r="L768" s="178">
        <v>0</v>
      </c>
      <c r="M768" s="178">
        <v>2</v>
      </c>
      <c r="N768" s="178">
        <v>7</v>
      </c>
      <c r="O768" s="178">
        <v>4</v>
      </c>
      <c r="P768" s="178">
        <v>1</v>
      </c>
      <c r="Q768" s="181">
        <f t="shared" si="125"/>
        <v>38</v>
      </c>
      <c r="R768" s="181">
        <f t="shared" si="126"/>
        <v>937</v>
      </c>
      <c r="S768" s="181">
        <f t="shared" si="127"/>
        <v>975</v>
      </c>
    </row>
    <row r="769" spans="1:19" s="180" customFormat="1">
      <c r="A769" s="172">
        <v>8</v>
      </c>
      <c r="B769" s="173" t="s">
        <v>161</v>
      </c>
      <c r="C769" s="178">
        <v>3</v>
      </c>
      <c r="D769" s="178">
        <v>0</v>
      </c>
      <c r="E769" s="178">
        <v>3</v>
      </c>
      <c r="F769" s="178">
        <v>0</v>
      </c>
      <c r="G769" s="178">
        <v>8</v>
      </c>
      <c r="H769" s="178">
        <v>5</v>
      </c>
      <c r="I769" s="178">
        <v>5</v>
      </c>
      <c r="J769" s="178">
        <v>1</v>
      </c>
      <c r="K769" s="178">
        <v>0</v>
      </c>
      <c r="L769" s="178">
        <v>4</v>
      </c>
      <c r="M769" s="178">
        <v>5</v>
      </c>
      <c r="N769" s="178">
        <v>5</v>
      </c>
      <c r="O769" s="178">
        <v>6</v>
      </c>
      <c r="P769" s="178">
        <v>0</v>
      </c>
      <c r="Q769" s="181">
        <f t="shared" si="125"/>
        <v>45</v>
      </c>
      <c r="R769" s="181">
        <f t="shared" si="126"/>
        <v>841</v>
      </c>
      <c r="S769" s="181">
        <f t="shared" si="127"/>
        <v>886</v>
      </c>
    </row>
    <row r="770" spans="1:19" s="180" customFormat="1">
      <c r="A770" s="172">
        <v>9</v>
      </c>
      <c r="B770" s="174" t="s">
        <v>10</v>
      </c>
      <c r="C770" s="178">
        <v>2</v>
      </c>
      <c r="D770" s="178">
        <v>3</v>
      </c>
      <c r="E770" s="178">
        <v>5</v>
      </c>
      <c r="F770" s="178">
        <v>1</v>
      </c>
      <c r="G770" s="178">
        <v>15</v>
      </c>
      <c r="H770" s="178">
        <v>2</v>
      </c>
      <c r="I770" s="178">
        <v>8</v>
      </c>
      <c r="J770" s="178">
        <v>0</v>
      </c>
      <c r="K770" s="178">
        <v>0</v>
      </c>
      <c r="L770" s="178">
        <v>5</v>
      </c>
      <c r="M770" s="178">
        <v>4</v>
      </c>
      <c r="N770" s="178">
        <v>7</v>
      </c>
      <c r="O770" s="178">
        <v>6</v>
      </c>
      <c r="P770" s="178">
        <v>1</v>
      </c>
      <c r="Q770" s="181">
        <f t="shared" si="125"/>
        <v>59</v>
      </c>
      <c r="R770" s="181">
        <f t="shared" si="126"/>
        <v>1121</v>
      </c>
      <c r="S770" s="181">
        <f t="shared" si="127"/>
        <v>1180</v>
      </c>
    </row>
    <row r="771" spans="1:19" s="180" customFormat="1">
      <c r="A771" s="234" t="s">
        <v>11</v>
      </c>
      <c r="B771" s="235"/>
      <c r="C771" s="183">
        <v>0</v>
      </c>
      <c r="D771" s="183">
        <v>0</v>
      </c>
      <c r="E771" s="183">
        <v>0</v>
      </c>
      <c r="F771" s="183">
        <v>0</v>
      </c>
      <c r="G771" s="183">
        <v>0</v>
      </c>
      <c r="H771" s="183">
        <v>0</v>
      </c>
      <c r="I771" s="183">
        <v>0</v>
      </c>
      <c r="J771" s="183">
        <v>0</v>
      </c>
      <c r="K771" s="183">
        <v>0</v>
      </c>
      <c r="L771" s="183">
        <v>0</v>
      </c>
      <c r="M771" s="183">
        <v>0</v>
      </c>
      <c r="N771" s="183">
        <v>0</v>
      </c>
      <c r="O771" s="183">
        <v>0</v>
      </c>
      <c r="P771" s="183">
        <v>0</v>
      </c>
      <c r="Q771" s="181">
        <f t="shared" si="125"/>
        <v>0</v>
      </c>
      <c r="R771" s="181">
        <f t="shared" si="126"/>
        <v>0</v>
      </c>
      <c r="S771" s="181">
        <f t="shared" si="127"/>
        <v>0</v>
      </c>
    </row>
    <row r="772" spans="1:19" s="180" customFormat="1">
      <c r="A772" s="236" t="s">
        <v>12</v>
      </c>
      <c r="B772" s="236"/>
      <c r="C772" s="181">
        <f t="shared" ref="C772:Q772" si="128">SUM(C762:C771)</f>
        <v>472</v>
      </c>
      <c r="D772" s="181">
        <f t="shared" si="128"/>
        <v>512</v>
      </c>
      <c r="E772" s="181">
        <f t="shared" si="128"/>
        <v>428</v>
      </c>
      <c r="F772" s="181">
        <f t="shared" si="128"/>
        <v>411</v>
      </c>
      <c r="G772" s="181">
        <f t="shared" si="128"/>
        <v>604</v>
      </c>
      <c r="H772" s="181">
        <f t="shared" si="128"/>
        <v>592</v>
      </c>
      <c r="I772" s="181">
        <f t="shared" si="128"/>
        <v>487</v>
      </c>
      <c r="J772" s="181">
        <f t="shared" si="128"/>
        <v>457</v>
      </c>
      <c r="K772" s="181">
        <f t="shared" si="128"/>
        <v>513</v>
      </c>
      <c r="L772" s="181">
        <f t="shared" si="128"/>
        <v>557</v>
      </c>
      <c r="M772" s="181">
        <f t="shared" si="128"/>
        <v>702</v>
      </c>
      <c r="N772" s="181">
        <f t="shared" si="128"/>
        <v>676</v>
      </c>
      <c r="O772" s="181">
        <f t="shared" si="128"/>
        <v>560</v>
      </c>
      <c r="P772" s="181">
        <f t="shared" si="128"/>
        <v>456</v>
      </c>
      <c r="Q772" s="181">
        <f t="shared" si="128"/>
        <v>7427</v>
      </c>
      <c r="R772" s="181">
        <f t="shared" si="126"/>
        <v>211060</v>
      </c>
      <c r="S772" s="181">
        <f t="shared" si="127"/>
        <v>218487</v>
      </c>
    </row>
    <row r="773" spans="1:19" ht="18">
      <c r="A773" s="5"/>
      <c r="B773" s="5"/>
      <c r="C773" s="6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8"/>
      <c r="R773" s="7"/>
      <c r="S773" s="7"/>
    </row>
    <row r="774" spans="1:19" ht="22.5">
      <c r="A774" s="83"/>
      <c r="B774" s="83"/>
      <c r="C774" s="10" t="s">
        <v>13</v>
      </c>
      <c r="D774" s="10" t="s">
        <v>13</v>
      </c>
      <c r="E774" s="10" t="s">
        <v>13</v>
      </c>
      <c r="F774" s="10" t="s">
        <v>13</v>
      </c>
      <c r="G774" s="10" t="s">
        <v>13</v>
      </c>
      <c r="H774" s="10" t="s">
        <v>13</v>
      </c>
      <c r="I774" s="10" t="s">
        <v>13</v>
      </c>
      <c r="J774" s="10" t="s">
        <v>13</v>
      </c>
      <c r="K774" s="10" t="s">
        <v>13</v>
      </c>
      <c r="L774" s="10" t="s">
        <v>13</v>
      </c>
      <c r="M774" s="10" t="s">
        <v>13</v>
      </c>
      <c r="N774" s="10" t="s">
        <v>13</v>
      </c>
      <c r="O774" s="10" t="s">
        <v>13</v>
      </c>
      <c r="P774" s="10" t="s">
        <v>13</v>
      </c>
      <c r="Q774" s="10" t="s">
        <v>13</v>
      </c>
      <c r="R774" s="10" t="s">
        <v>13</v>
      </c>
      <c r="S774" s="10" t="s">
        <v>13</v>
      </c>
    </row>
    <row r="775" spans="1:19">
      <c r="A775" s="83"/>
      <c r="B775" s="83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</row>
    <row r="776" spans="1:19" ht="22.5">
      <c r="A776" s="83"/>
      <c r="B776" s="83"/>
      <c r="C776" s="10" t="s">
        <v>14</v>
      </c>
      <c r="D776" s="10" t="s">
        <v>14</v>
      </c>
      <c r="E776" s="10" t="s">
        <v>14</v>
      </c>
      <c r="F776" s="10" t="s">
        <v>14</v>
      </c>
      <c r="G776" s="10" t="s">
        <v>14</v>
      </c>
      <c r="H776" s="10" t="s">
        <v>14</v>
      </c>
      <c r="I776" s="10" t="s">
        <v>14</v>
      </c>
      <c r="J776" s="10" t="s">
        <v>14</v>
      </c>
      <c r="K776" s="10" t="s">
        <v>14</v>
      </c>
      <c r="L776" s="10" t="s">
        <v>14</v>
      </c>
      <c r="M776" s="10" t="s">
        <v>14</v>
      </c>
      <c r="N776" s="10" t="s">
        <v>14</v>
      </c>
      <c r="O776" s="10" t="s">
        <v>14</v>
      </c>
      <c r="P776" s="10" t="s">
        <v>14</v>
      </c>
      <c r="Q776" s="10" t="s">
        <v>14</v>
      </c>
      <c r="R776" s="10" t="s">
        <v>14</v>
      </c>
      <c r="S776" s="10" t="s">
        <v>14</v>
      </c>
    </row>
    <row r="777" spans="1:19">
      <c r="A777" s="83"/>
      <c r="B777" s="83"/>
      <c r="C777" s="83"/>
      <c r="D777" s="83"/>
      <c r="E777" s="83"/>
      <c r="F777" s="83"/>
      <c r="G777" s="83"/>
      <c r="H777" s="83"/>
      <c r="I777" s="83"/>
      <c r="J777" s="83"/>
      <c r="K777" s="83"/>
      <c r="L777" s="83"/>
      <c r="M777" s="83"/>
      <c r="N777" s="83"/>
      <c r="O777" s="83"/>
      <c r="P777" s="83"/>
      <c r="Q777" s="83"/>
      <c r="R777" s="83"/>
      <c r="S777" s="83"/>
    </row>
    <row r="778" spans="1:19">
      <c r="A778" s="237" t="s">
        <v>15</v>
      </c>
      <c r="B778" s="237"/>
      <c r="C778" s="238" t="s">
        <v>16</v>
      </c>
      <c r="D778" s="238"/>
      <c r="E778" s="238"/>
      <c r="F778" s="238"/>
      <c r="G778" s="238"/>
      <c r="H778" s="238"/>
      <c r="I778" s="238"/>
      <c r="J778" s="238"/>
      <c r="K778" s="238"/>
      <c r="L778" s="238"/>
      <c r="M778" s="238"/>
      <c r="N778" s="238"/>
      <c r="O778" s="238"/>
      <c r="P778" s="238"/>
      <c r="Q778" s="238"/>
      <c r="R778" s="83"/>
      <c r="S778" s="83"/>
    </row>
    <row r="779" spans="1:19">
      <c r="A779" s="83"/>
      <c r="B779" s="83"/>
      <c r="C779" s="238" t="s">
        <v>17</v>
      </c>
      <c r="D779" s="238"/>
      <c r="E779" s="238"/>
      <c r="F779" s="238"/>
      <c r="G779" s="238"/>
      <c r="H779" s="238"/>
      <c r="I779" s="238"/>
      <c r="J779" s="238"/>
      <c r="K779" s="238"/>
      <c r="L779" s="238"/>
      <c r="M779" s="238"/>
      <c r="N779" s="238"/>
      <c r="O779" s="238"/>
      <c r="P779" s="238"/>
      <c r="Q779" s="238"/>
      <c r="R779" s="83"/>
      <c r="S779" s="83"/>
    </row>
    <row r="780" spans="1:19">
      <c r="A780" s="83"/>
      <c r="B780" s="83"/>
      <c r="C780" s="228" t="s">
        <v>45</v>
      </c>
      <c r="D780" s="228"/>
      <c r="E780" s="228"/>
      <c r="F780" s="228"/>
      <c r="G780" s="228"/>
      <c r="H780" s="228"/>
      <c r="I780" s="228"/>
      <c r="J780" s="228"/>
      <c r="K780" s="228"/>
      <c r="L780" s="228"/>
      <c r="M780" s="228"/>
      <c r="N780" s="228"/>
      <c r="O780" s="228"/>
      <c r="P780" s="228"/>
      <c r="Q780" s="228"/>
      <c r="R780" s="83"/>
      <c r="S780" s="83"/>
    </row>
    <row r="781" spans="1:19">
      <c r="A781" s="83"/>
      <c r="B781" s="83"/>
      <c r="C781" s="228" t="s">
        <v>46</v>
      </c>
      <c r="D781" s="228"/>
      <c r="E781" s="228"/>
      <c r="F781" s="228"/>
      <c r="G781" s="228"/>
      <c r="H781" s="228"/>
      <c r="I781" s="228"/>
      <c r="J781" s="228"/>
      <c r="K781" s="228"/>
      <c r="L781" s="228"/>
      <c r="M781" s="228"/>
      <c r="N781" s="228"/>
      <c r="O781" s="228"/>
      <c r="P781" s="228"/>
      <c r="Q781" s="228"/>
      <c r="R781" s="83"/>
      <c r="S781" s="83"/>
    </row>
    <row r="782" spans="1:19">
      <c r="A782" s="83"/>
      <c r="B782" s="61" t="s">
        <v>139</v>
      </c>
      <c r="C782" s="227" t="s">
        <v>138</v>
      </c>
      <c r="D782" s="227"/>
      <c r="E782" s="227"/>
      <c r="F782" s="227"/>
      <c r="G782" s="227"/>
      <c r="H782" s="227"/>
      <c r="I782" s="227"/>
      <c r="J782" s="227"/>
      <c r="K782" s="227"/>
      <c r="L782" s="227"/>
      <c r="M782" s="227"/>
      <c r="N782" s="227"/>
      <c r="O782" s="227"/>
      <c r="P782" s="227"/>
      <c r="Q782" s="227"/>
      <c r="R782" s="83"/>
      <c r="S782" s="83"/>
    </row>
    <row r="783" spans="1:19">
      <c r="A783" s="83"/>
      <c r="B783" s="61"/>
      <c r="C783" s="86"/>
      <c r="D783" s="86"/>
      <c r="E783" s="86"/>
      <c r="F783" s="86"/>
      <c r="G783" s="86"/>
      <c r="H783" s="86"/>
      <c r="I783" s="86"/>
      <c r="J783" s="86"/>
      <c r="K783" s="86"/>
      <c r="L783" s="86"/>
      <c r="M783" s="86"/>
      <c r="N783" s="86"/>
      <c r="O783" s="86"/>
      <c r="P783" s="86"/>
      <c r="Q783" s="86"/>
      <c r="R783" s="83"/>
      <c r="S783" s="83"/>
    </row>
    <row r="784" spans="1:19" ht="26.25">
      <c r="A784" s="229" t="s">
        <v>0</v>
      </c>
      <c r="B784" s="229"/>
      <c r="C784" s="229"/>
      <c r="D784" s="229"/>
      <c r="E784" s="229"/>
      <c r="F784" s="229"/>
      <c r="G784" s="229"/>
      <c r="H784" s="229"/>
      <c r="I784" s="229"/>
      <c r="J784" s="229"/>
      <c r="K784" s="229"/>
      <c r="L784" s="229"/>
      <c r="M784" s="229"/>
      <c r="N784" s="229"/>
      <c r="O784" s="229"/>
      <c r="P784" s="229"/>
      <c r="Q784" s="229"/>
      <c r="R784" s="229"/>
      <c r="S784" s="229"/>
    </row>
    <row r="785" spans="1:19" ht="19.5">
      <c r="A785" s="230" t="s">
        <v>83</v>
      </c>
      <c r="B785" s="230"/>
      <c r="C785" s="230"/>
      <c r="D785" s="230"/>
      <c r="E785" s="230"/>
      <c r="F785" s="230"/>
      <c r="G785" s="230"/>
      <c r="H785" s="230"/>
      <c r="I785" s="1"/>
      <c r="J785" s="1"/>
      <c r="K785" s="231" t="s">
        <v>198</v>
      </c>
      <c r="L785" s="231"/>
      <c r="M785" s="231"/>
      <c r="N785" s="231"/>
      <c r="O785" s="1"/>
      <c r="P785" s="232" t="s">
        <v>1</v>
      </c>
      <c r="Q785" s="232"/>
      <c r="R785" s="233">
        <v>44630</v>
      </c>
      <c r="S785" s="233"/>
    </row>
    <row r="786" spans="1:19">
      <c r="A786" s="242" t="s">
        <v>2</v>
      </c>
      <c r="B786" s="242"/>
      <c r="C786" s="82">
        <v>1</v>
      </c>
      <c r="D786" s="82">
        <v>2</v>
      </c>
      <c r="E786" s="82">
        <v>3</v>
      </c>
      <c r="F786" s="82">
        <v>4</v>
      </c>
      <c r="G786" s="82">
        <v>5</v>
      </c>
      <c r="H786" s="82">
        <v>6</v>
      </c>
      <c r="I786" s="82">
        <v>7</v>
      </c>
      <c r="J786" s="82">
        <v>8</v>
      </c>
      <c r="K786" s="82">
        <v>9</v>
      </c>
      <c r="L786" s="82">
        <v>10</v>
      </c>
      <c r="M786" s="82">
        <v>11</v>
      </c>
      <c r="N786" s="82">
        <v>12</v>
      </c>
      <c r="O786" s="82">
        <v>13</v>
      </c>
      <c r="P786" s="82">
        <v>14</v>
      </c>
      <c r="Q786" s="239" t="s">
        <v>3</v>
      </c>
      <c r="R786" s="239" t="s">
        <v>4</v>
      </c>
      <c r="S786" s="239" t="s">
        <v>5</v>
      </c>
    </row>
    <row r="787" spans="1:19">
      <c r="A787" s="242" t="s">
        <v>6</v>
      </c>
      <c r="B787" s="242"/>
      <c r="C787" s="82">
        <v>379</v>
      </c>
      <c r="D787" s="82">
        <v>380</v>
      </c>
      <c r="E787" s="82">
        <v>381</v>
      </c>
      <c r="F787" s="82">
        <v>382</v>
      </c>
      <c r="G787" s="82">
        <v>383</v>
      </c>
      <c r="H787" s="82">
        <v>384</v>
      </c>
      <c r="I787" s="82">
        <v>385</v>
      </c>
      <c r="J787" s="82">
        <v>386</v>
      </c>
      <c r="K787" s="82">
        <v>387</v>
      </c>
      <c r="L787" s="82">
        <v>388</v>
      </c>
      <c r="M787" s="82">
        <v>389</v>
      </c>
      <c r="N787" s="82">
        <v>390</v>
      </c>
      <c r="O787" s="82">
        <v>391</v>
      </c>
      <c r="P787" s="82">
        <v>392</v>
      </c>
      <c r="Q787" s="240"/>
      <c r="R787" s="240"/>
      <c r="S787" s="240"/>
    </row>
    <row r="788" spans="1:19" ht="31.5">
      <c r="A788" s="243" t="s">
        <v>18</v>
      </c>
      <c r="B788" s="244"/>
      <c r="C788" s="118" t="s">
        <v>551</v>
      </c>
      <c r="D788" s="118" t="s">
        <v>552</v>
      </c>
      <c r="E788" s="118" t="s">
        <v>553</v>
      </c>
      <c r="F788" s="118" t="s">
        <v>554</v>
      </c>
      <c r="G788" s="118" t="s">
        <v>555</v>
      </c>
      <c r="H788" s="118" t="s">
        <v>556</v>
      </c>
      <c r="I788" s="118" t="s">
        <v>557</v>
      </c>
      <c r="J788" s="118" t="s">
        <v>558</v>
      </c>
      <c r="K788" s="118" t="s">
        <v>559</v>
      </c>
      <c r="L788" s="118" t="s">
        <v>560</v>
      </c>
      <c r="M788" s="118" t="s">
        <v>561</v>
      </c>
      <c r="N788" s="118" t="s">
        <v>562</v>
      </c>
      <c r="O788" s="118" t="s">
        <v>563</v>
      </c>
      <c r="P788" s="166" t="s">
        <v>564</v>
      </c>
      <c r="Q788" s="240"/>
      <c r="R788" s="240"/>
      <c r="S788" s="240"/>
    </row>
    <row r="789" spans="1:19" ht="27" hidden="1" customHeight="1">
      <c r="A789" s="245" t="s">
        <v>20</v>
      </c>
      <c r="B789" s="246"/>
      <c r="C789" s="33">
        <v>395</v>
      </c>
      <c r="D789" s="33">
        <v>596</v>
      </c>
      <c r="E789" s="33">
        <v>650</v>
      </c>
      <c r="F789" s="33">
        <v>665</v>
      </c>
      <c r="G789" s="33">
        <v>769</v>
      </c>
      <c r="H789" s="33">
        <v>558</v>
      </c>
      <c r="I789" s="33">
        <v>620</v>
      </c>
      <c r="J789" s="33">
        <v>610</v>
      </c>
      <c r="K789" s="33">
        <v>734</v>
      </c>
      <c r="L789" s="33">
        <v>534</v>
      </c>
      <c r="M789" s="33">
        <v>659</v>
      </c>
      <c r="N789" s="33">
        <v>615</v>
      </c>
      <c r="O789" s="33">
        <v>692</v>
      </c>
      <c r="P789" s="25">
        <v>543</v>
      </c>
      <c r="Q789" s="240"/>
      <c r="R789" s="240"/>
      <c r="S789" s="240"/>
    </row>
    <row r="790" spans="1:19">
      <c r="A790" s="84" t="s">
        <v>7</v>
      </c>
      <c r="B790" s="82" t="s">
        <v>8</v>
      </c>
      <c r="C790" s="85" t="s">
        <v>9</v>
      </c>
      <c r="D790" s="85" t="s">
        <v>9</v>
      </c>
      <c r="E790" s="85" t="s">
        <v>9</v>
      </c>
      <c r="F790" s="85" t="s">
        <v>9</v>
      </c>
      <c r="G790" s="85" t="s">
        <v>9</v>
      </c>
      <c r="H790" s="85" t="s">
        <v>9</v>
      </c>
      <c r="I790" s="85" t="s">
        <v>9</v>
      </c>
      <c r="J790" s="85" t="s">
        <v>9</v>
      </c>
      <c r="K790" s="85" t="s">
        <v>9</v>
      </c>
      <c r="L790" s="85" t="s">
        <v>9</v>
      </c>
      <c r="M790" s="85" t="s">
        <v>9</v>
      </c>
      <c r="N790" s="85" t="s">
        <v>9</v>
      </c>
      <c r="O790" s="85" t="s">
        <v>9</v>
      </c>
      <c r="P790" s="85" t="s">
        <v>9</v>
      </c>
      <c r="Q790" s="241"/>
      <c r="R790" s="241"/>
      <c r="S790" s="241"/>
    </row>
    <row r="791" spans="1:19" s="180" customFormat="1">
      <c r="A791" s="172">
        <v>1</v>
      </c>
      <c r="B791" s="173" t="s">
        <v>85</v>
      </c>
      <c r="C791" s="178">
        <v>363</v>
      </c>
      <c r="D791" s="178">
        <v>437</v>
      </c>
      <c r="E791" s="178">
        <v>100</v>
      </c>
      <c r="F791" s="178">
        <v>74</v>
      </c>
      <c r="G791" s="178">
        <v>522</v>
      </c>
      <c r="H791" s="178">
        <v>415</v>
      </c>
      <c r="I791" s="178">
        <v>599</v>
      </c>
      <c r="J791" s="178">
        <v>323</v>
      </c>
      <c r="K791" s="178">
        <v>653</v>
      </c>
      <c r="L791" s="178">
        <v>480</v>
      </c>
      <c r="M791" s="178">
        <v>385</v>
      </c>
      <c r="N791" s="178">
        <v>431</v>
      </c>
      <c r="O791" s="178">
        <v>557</v>
      </c>
      <c r="P791" s="178">
        <v>41</v>
      </c>
      <c r="Q791" s="181">
        <f t="shared" ref="Q791:Q800" si="129">SUM(C791:P791)</f>
        <v>5380</v>
      </c>
      <c r="R791" s="181">
        <f t="shared" ref="R791:R801" si="130">S762</f>
        <v>48356</v>
      </c>
      <c r="S791" s="181">
        <f t="shared" ref="S791:S801" si="131">Q791+R791</f>
        <v>53736</v>
      </c>
    </row>
    <row r="792" spans="1:19" s="180" customFormat="1">
      <c r="A792" s="172">
        <v>2</v>
      </c>
      <c r="B792" s="173" t="s">
        <v>156</v>
      </c>
      <c r="C792" s="178">
        <v>11</v>
      </c>
      <c r="D792" s="178">
        <v>48</v>
      </c>
      <c r="E792" s="178">
        <v>241</v>
      </c>
      <c r="F792" s="178">
        <v>524</v>
      </c>
      <c r="G792" s="178">
        <v>47</v>
      </c>
      <c r="H792" s="178">
        <v>17</v>
      </c>
      <c r="I792" s="178">
        <v>5</v>
      </c>
      <c r="J792" s="178">
        <v>151</v>
      </c>
      <c r="K792" s="178">
        <v>38</v>
      </c>
      <c r="L792" s="178">
        <v>14</v>
      </c>
      <c r="M792" s="178">
        <v>227</v>
      </c>
      <c r="N792" s="178">
        <v>28</v>
      </c>
      <c r="O792" s="178">
        <v>129</v>
      </c>
      <c r="P792" s="178">
        <v>250</v>
      </c>
      <c r="Q792" s="181">
        <f t="shared" si="129"/>
        <v>1730</v>
      </c>
      <c r="R792" s="181">
        <f t="shared" si="130"/>
        <v>131531</v>
      </c>
      <c r="S792" s="181">
        <f t="shared" si="131"/>
        <v>133261</v>
      </c>
    </row>
    <row r="793" spans="1:19" s="180" customFormat="1">
      <c r="A793" s="172">
        <v>3</v>
      </c>
      <c r="B793" s="173" t="s">
        <v>157</v>
      </c>
      <c r="C793" s="178">
        <v>1</v>
      </c>
      <c r="D793" s="178">
        <v>3</v>
      </c>
      <c r="E793" s="178">
        <v>3</v>
      </c>
      <c r="F793" s="178">
        <v>7</v>
      </c>
      <c r="G793" s="178">
        <v>5</v>
      </c>
      <c r="H793" s="178">
        <v>2</v>
      </c>
      <c r="I793" s="178">
        <v>4</v>
      </c>
      <c r="J793" s="178">
        <v>8</v>
      </c>
      <c r="K793" s="178">
        <v>2</v>
      </c>
      <c r="L793" s="178">
        <v>1</v>
      </c>
      <c r="M793" s="178">
        <v>2</v>
      </c>
      <c r="N793" s="178">
        <v>5</v>
      </c>
      <c r="O793" s="178">
        <v>2</v>
      </c>
      <c r="P793" s="178">
        <v>8</v>
      </c>
      <c r="Q793" s="181">
        <f t="shared" si="129"/>
        <v>53</v>
      </c>
      <c r="R793" s="181">
        <f t="shared" si="130"/>
        <v>2489</v>
      </c>
      <c r="S793" s="181">
        <f t="shared" si="131"/>
        <v>2542</v>
      </c>
    </row>
    <row r="794" spans="1:19" s="180" customFormat="1">
      <c r="A794" s="172">
        <v>4</v>
      </c>
      <c r="B794" s="173" t="s">
        <v>158</v>
      </c>
      <c r="C794" s="178">
        <v>11</v>
      </c>
      <c r="D794" s="178">
        <v>98</v>
      </c>
      <c r="E794" s="178">
        <v>285</v>
      </c>
      <c r="F794" s="178">
        <v>44</v>
      </c>
      <c r="G794" s="178">
        <v>183</v>
      </c>
      <c r="H794" s="178">
        <v>109</v>
      </c>
      <c r="I794" s="178">
        <v>9</v>
      </c>
      <c r="J794" s="178">
        <v>94</v>
      </c>
      <c r="K794" s="178">
        <v>25</v>
      </c>
      <c r="L794" s="178">
        <v>33</v>
      </c>
      <c r="M794" s="178">
        <v>36</v>
      </c>
      <c r="N794" s="178">
        <v>137</v>
      </c>
      <c r="O794" s="178">
        <v>0</v>
      </c>
      <c r="P794" s="178">
        <v>230</v>
      </c>
      <c r="Q794" s="181">
        <f t="shared" si="129"/>
        <v>1294</v>
      </c>
      <c r="R794" s="181">
        <f t="shared" si="130"/>
        <v>31477</v>
      </c>
      <c r="S794" s="181">
        <f t="shared" si="131"/>
        <v>32771</v>
      </c>
    </row>
    <row r="795" spans="1:19" s="180" customFormat="1">
      <c r="A795" s="172">
        <v>5</v>
      </c>
      <c r="B795" s="173" t="s">
        <v>159</v>
      </c>
      <c r="C795" s="178">
        <v>6</v>
      </c>
      <c r="D795" s="178">
        <v>3</v>
      </c>
      <c r="E795" s="178">
        <v>9</v>
      </c>
      <c r="F795" s="178">
        <v>1</v>
      </c>
      <c r="G795" s="178">
        <v>3</v>
      </c>
      <c r="H795" s="178">
        <v>3</v>
      </c>
      <c r="I795" s="178">
        <v>0</v>
      </c>
      <c r="J795" s="178">
        <v>6</v>
      </c>
      <c r="K795" s="178">
        <v>1</v>
      </c>
      <c r="L795" s="178">
        <v>1</v>
      </c>
      <c r="M795" s="178">
        <v>1</v>
      </c>
      <c r="N795" s="178">
        <v>2</v>
      </c>
      <c r="O795" s="178">
        <v>0</v>
      </c>
      <c r="P795" s="178">
        <v>4</v>
      </c>
      <c r="Q795" s="181">
        <f t="shared" si="129"/>
        <v>40</v>
      </c>
      <c r="R795" s="181">
        <f t="shared" si="130"/>
        <v>615</v>
      </c>
      <c r="S795" s="181">
        <f t="shared" si="131"/>
        <v>655</v>
      </c>
    </row>
    <row r="796" spans="1:19" s="180" customFormat="1">
      <c r="A796" s="172">
        <v>6</v>
      </c>
      <c r="B796" s="173" t="s">
        <v>160</v>
      </c>
      <c r="C796" s="178">
        <v>0</v>
      </c>
      <c r="D796" s="178">
        <v>3</v>
      </c>
      <c r="E796" s="178">
        <v>2</v>
      </c>
      <c r="F796" s="178">
        <v>1</v>
      </c>
      <c r="G796" s="178">
        <v>0</v>
      </c>
      <c r="H796" s="178">
        <v>3</v>
      </c>
      <c r="I796" s="178">
        <v>0</v>
      </c>
      <c r="J796" s="178">
        <v>7</v>
      </c>
      <c r="K796" s="178">
        <v>0</v>
      </c>
      <c r="L796" s="178">
        <v>1</v>
      </c>
      <c r="M796" s="178">
        <v>1</v>
      </c>
      <c r="N796" s="178">
        <v>1</v>
      </c>
      <c r="O796" s="178">
        <v>1</v>
      </c>
      <c r="P796" s="178">
        <v>6</v>
      </c>
      <c r="Q796" s="181">
        <f t="shared" si="129"/>
        <v>26</v>
      </c>
      <c r="R796" s="181">
        <f t="shared" si="130"/>
        <v>978</v>
      </c>
      <c r="S796" s="181">
        <f t="shared" si="131"/>
        <v>1004</v>
      </c>
    </row>
    <row r="797" spans="1:19" s="180" customFormat="1">
      <c r="A797" s="172">
        <v>7</v>
      </c>
      <c r="B797" s="173" t="s">
        <v>86</v>
      </c>
      <c r="C797" s="178">
        <v>1</v>
      </c>
      <c r="D797" s="178">
        <v>2</v>
      </c>
      <c r="E797" s="178">
        <v>3</v>
      </c>
      <c r="F797" s="178">
        <v>6</v>
      </c>
      <c r="G797" s="178">
        <v>0</v>
      </c>
      <c r="H797" s="178">
        <v>0</v>
      </c>
      <c r="I797" s="178">
        <v>0</v>
      </c>
      <c r="J797" s="178">
        <v>8</v>
      </c>
      <c r="K797" s="178">
        <v>0</v>
      </c>
      <c r="L797" s="178">
        <v>1</v>
      </c>
      <c r="M797" s="178">
        <v>2</v>
      </c>
      <c r="N797" s="178">
        <v>2</v>
      </c>
      <c r="O797" s="178">
        <v>0</v>
      </c>
      <c r="P797" s="178">
        <v>3</v>
      </c>
      <c r="Q797" s="181">
        <f t="shared" si="129"/>
        <v>28</v>
      </c>
      <c r="R797" s="181">
        <f t="shared" si="130"/>
        <v>975</v>
      </c>
      <c r="S797" s="181">
        <f t="shared" si="131"/>
        <v>1003</v>
      </c>
    </row>
    <row r="798" spans="1:19" s="180" customFormat="1">
      <c r="A798" s="172">
        <v>8</v>
      </c>
      <c r="B798" s="173" t="s">
        <v>161</v>
      </c>
      <c r="C798" s="178">
        <v>0</v>
      </c>
      <c r="D798" s="178">
        <v>0</v>
      </c>
      <c r="E798" s="178">
        <v>3</v>
      </c>
      <c r="F798" s="178">
        <v>5</v>
      </c>
      <c r="G798" s="178">
        <v>2</v>
      </c>
      <c r="H798" s="178">
        <v>2</v>
      </c>
      <c r="I798" s="178">
        <v>0</v>
      </c>
      <c r="J798" s="178">
        <v>5</v>
      </c>
      <c r="K798" s="178">
        <v>1</v>
      </c>
      <c r="L798" s="178">
        <v>0</v>
      </c>
      <c r="M798" s="178">
        <v>2</v>
      </c>
      <c r="N798" s="178">
        <v>4</v>
      </c>
      <c r="O798" s="178">
        <v>0</v>
      </c>
      <c r="P798" s="178">
        <v>0</v>
      </c>
      <c r="Q798" s="181">
        <f t="shared" si="129"/>
        <v>24</v>
      </c>
      <c r="R798" s="181">
        <f t="shared" si="130"/>
        <v>886</v>
      </c>
      <c r="S798" s="181">
        <f t="shared" si="131"/>
        <v>910</v>
      </c>
    </row>
    <row r="799" spans="1:19" s="180" customFormat="1">
      <c r="A799" s="172">
        <v>9</v>
      </c>
      <c r="B799" s="174" t="s">
        <v>10</v>
      </c>
      <c r="C799" s="178">
        <v>2</v>
      </c>
      <c r="D799" s="178">
        <v>2</v>
      </c>
      <c r="E799" s="178">
        <v>4</v>
      </c>
      <c r="F799" s="178">
        <v>3</v>
      </c>
      <c r="G799" s="178">
        <v>7</v>
      </c>
      <c r="H799" s="178">
        <v>7</v>
      </c>
      <c r="I799" s="178">
        <v>3</v>
      </c>
      <c r="J799" s="178">
        <v>8</v>
      </c>
      <c r="K799" s="178">
        <v>14</v>
      </c>
      <c r="L799" s="178">
        <v>3</v>
      </c>
      <c r="M799" s="178">
        <v>3</v>
      </c>
      <c r="N799" s="178">
        <v>5</v>
      </c>
      <c r="O799" s="178">
        <v>3</v>
      </c>
      <c r="P799" s="178">
        <v>1</v>
      </c>
      <c r="Q799" s="181">
        <f t="shared" si="129"/>
        <v>65</v>
      </c>
      <c r="R799" s="181">
        <f t="shared" si="130"/>
        <v>1180</v>
      </c>
      <c r="S799" s="181">
        <f t="shared" si="131"/>
        <v>1245</v>
      </c>
    </row>
    <row r="800" spans="1:19" s="180" customFormat="1">
      <c r="A800" s="234" t="s">
        <v>11</v>
      </c>
      <c r="B800" s="235"/>
      <c r="C800" s="183">
        <v>0</v>
      </c>
      <c r="D800" s="183">
        <v>0</v>
      </c>
      <c r="E800" s="183">
        <v>0</v>
      </c>
      <c r="F800" s="183">
        <v>0</v>
      </c>
      <c r="G800" s="183">
        <v>0</v>
      </c>
      <c r="H800" s="183">
        <v>0</v>
      </c>
      <c r="I800" s="183">
        <v>0</v>
      </c>
      <c r="J800" s="183">
        <v>0</v>
      </c>
      <c r="K800" s="183">
        <v>0</v>
      </c>
      <c r="L800" s="183">
        <v>0</v>
      </c>
      <c r="M800" s="183">
        <v>0</v>
      </c>
      <c r="N800" s="183">
        <v>0</v>
      </c>
      <c r="O800" s="183">
        <v>0</v>
      </c>
      <c r="P800" s="183">
        <v>0</v>
      </c>
      <c r="Q800" s="181">
        <f t="shared" si="129"/>
        <v>0</v>
      </c>
      <c r="R800" s="181">
        <f t="shared" si="130"/>
        <v>0</v>
      </c>
      <c r="S800" s="181">
        <f t="shared" si="131"/>
        <v>0</v>
      </c>
    </row>
    <row r="801" spans="1:19" s="180" customFormat="1">
      <c r="A801" s="236" t="s">
        <v>12</v>
      </c>
      <c r="B801" s="236"/>
      <c r="C801" s="181">
        <f t="shared" ref="C801:Q801" si="132">SUM(C791:C800)</f>
        <v>395</v>
      </c>
      <c r="D801" s="181">
        <f t="shared" si="132"/>
        <v>596</v>
      </c>
      <c r="E801" s="181">
        <f t="shared" si="132"/>
        <v>650</v>
      </c>
      <c r="F801" s="181">
        <f t="shared" si="132"/>
        <v>665</v>
      </c>
      <c r="G801" s="181">
        <f t="shared" si="132"/>
        <v>769</v>
      </c>
      <c r="H801" s="181">
        <f t="shared" si="132"/>
        <v>558</v>
      </c>
      <c r="I801" s="181">
        <f t="shared" si="132"/>
        <v>620</v>
      </c>
      <c r="J801" s="181">
        <f t="shared" si="132"/>
        <v>610</v>
      </c>
      <c r="K801" s="181">
        <f t="shared" si="132"/>
        <v>734</v>
      </c>
      <c r="L801" s="181">
        <f t="shared" si="132"/>
        <v>534</v>
      </c>
      <c r="M801" s="181">
        <f t="shared" si="132"/>
        <v>659</v>
      </c>
      <c r="N801" s="181">
        <f t="shared" si="132"/>
        <v>615</v>
      </c>
      <c r="O801" s="181">
        <f t="shared" si="132"/>
        <v>692</v>
      </c>
      <c r="P801" s="181">
        <f t="shared" si="132"/>
        <v>543</v>
      </c>
      <c r="Q801" s="181">
        <f t="shared" si="132"/>
        <v>8640</v>
      </c>
      <c r="R801" s="181">
        <f t="shared" si="130"/>
        <v>218487</v>
      </c>
      <c r="S801" s="181">
        <f t="shared" si="131"/>
        <v>227127</v>
      </c>
    </row>
    <row r="802" spans="1:19" ht="18">
      <c r="A802" s="5"/>
      <c r="B802" s="5"/>
      <c r="C802" s="6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8"/>
      <c r="R802" s="7"/>
      <c r="S802" s="7"/>
    </row>
    <row r="803" spans="1:19" ht="22.5">
      <c r="A803" s="83"/>
      <c r="B803" s="83"/>
      <c r="C803" s="10" t="s">
        <v>13</v>
      </c>
      <c r="D803" s="10" t="s">
        <v>13</v>
      </c>
      <c r="E803" s="10" t="s">
        <v>13</v>
      </c>
      <c r="F803" s="10" t="s">
        <v>13</v>
      </c>
      <c r="G803" s="10" t="s">
        <v>13</v>
      </c>
      <c r="H803" s="10" t="s">
        <v>13</v>
      </c>
      <c r="I803" s="10" t="s">
        <v>13</v>
      </c>
      <c r="J803" s="10" t="s">
        <v>13</v>
      </c>
      <c r="K803" s="10" t="s">
        <v>13</v>
      </c>
      <c r="L803" s="10" t="s">
        <v>13</v>
      </c>
      <c r="M803" s="10" t="s">
        <v>13</v>
      </c>
      <c r="N803" s="10" t="s">
        <v>13</v>
      </c>
      <c r="O803" s="10" t="s">
        <v>13</v>
      </c>
      <c r="P803" s="10" t="s">
        <v>13</v>
      </c>
      <c r="Q803" s="10" t="s">
        <v>13</v>
      </c>
      <c r="R803" s="10" t="s">
        <v>13</v>
      </c>
      <c r="S803" s="10" t="s">
        <v>13</v>
      </c>
    </row>
    <row r="804" spans="1:19">
      <c r="A804" s="83"/>
      <c r="B804" s="83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</row>
    <row r="805" spans="1:19" ht="22.5">
      <c r="A805" s="83"/>
      <c r="B805" s="83"/>
      <c r="C805" s="10" t="s">
        <v>14</v>
      </c>
      <c r="D805" s="10" t="s">
        <v>14</v>
      </c>
      <c r="E805" s="10" t="s">
        <v>14</v>
      </c>
      <c r="F805" s="10" t="s">
        <v>14</v>
      </c>
      <c r="G805" s="10" t="s">
        <v>14</v>
      </c>
      <c r="H805" s="10" t="s">
        <v>14</v>
      </c>
      <c r="I805" s="10" t="s">
        <v>14</v>
      </c>
      <c r="J805" s="10" t="s">
        <v>14</v>
      </c>
      <c r="K805" s="10" t="s">
        <v>14</v>
      </c>
      <c r="L805" s="10" t="s">
        <v>14</v>
      </c>
      <c r="M805" s="10" t="s">
        <v>14</v>
      </c>
      <c r="N805" s="10" t="s">
        <v>14</v>
      </c>
      <c r="O805" s="10" t="s">
        <v>14</v>
      </c>
      <c r="P805" s="10" t="s">
        <v>14</v>
      </c>
      <c r="Q805" s="10" t="s">
        <v>14</v>
      </c>
      <c r="R805" s="10" t="s">
        <v>14</v>
      </c>
      <c r="S805" s="10" t="s">
        <v>14</v>
      </c>
    </row>
    <row r="806" spans="1:19">
      <c r="A806" s="83"/>
      <c r="B806" s="83"/>
      <c r="C806" s="83"/>
      <c r="D806" s="83"/>
      <c r="E806" s="83"/>
      <c r="F806" s="83"/>
      <c r="G806" s="83"/>
      <c r="H806" s="83"/>
      <c r="I806" s="83"/>
      <c r="J806" s="83"/>
      <c r="K806" s="83"/>
      <c r="L806" s="83"/>
      <c r="M806" s="83"/>
      <c r="N806" s="83"/>
      <c r="O806" s="83"/>
      <c r="P806" s="83"/>
      <c r="Q806" s="83"/>
      <c r="R806" s="83"/>
      <c r="S806" s="83"/>
    </row>
    <row r="807" spans="1:19">
      <c r="A807" s="237" t="s">
        <v>15</v>
      </c>
      <c r="B807" s="237"/>
      <c r="C807" s="238" t="s">
        <v>16</v>
      </c>
      <c r="D807" s="238"/>
      <c r="E807" s="238"/>
      <c r="F807" s="238"/>
      <c r="G807" s="238"/>
      <c r="H807" s="238"/>
      <c r="I807" s="238"/>
      <c r="J807" s="238"/>
      <c r="K807" s="238"/>
      <c r="L807" s="238"/>
      <c r="M807" s="238"/>
      <c r="N807" s="238"/>
      <c r="O807" s="238"/>
      <c r="P807" s="238"/>
      <c r="Q807" s="238"/>
      <c r="R807" s="83"/>
      <c r="S807" s="83"/>
    </row>
    <row r="808" spans="1:19">
      <c r="A808" s="83"/>
      <c r="B808" s="83"/>
      <c r="C808" s="238" t="s">
        <v>17</v>
      </c>
      <c r="D808" s="238"/>
      <c r="E808" s="238"/>
      <c r="F808" s="238"/>
      <c r="G808" s="238"/>
      <c r="H808" s="238"/>
      <c r="I808" s="238"/>
      <c r="J808" s="238"/>
      <c r="K808" s="238"/>
      <c r="L808" s="238"/>
      <c r="M808" s="238"/>
      <c r="N808" s="238"/>
      <c r="O808" s="238"/>
      <c r="P808" s="238"/>
      <c r="Q808" s="238"/>
      <c r="R808" s="83"/>
      <c r="S808" s="83"/>
    </row>
    <row r="809" spans="1:19">
      <c r="A809" s="83"/>
      <c r="B809" s="83"/>
      <c r="C809" s="228" t="s">
        <v>45</v>
      </c>
      <c r="D809" s="228"/>
      <c r="E809" s="228"/>
      <c r="F809" s="228"/>
      <c r="G809" s="228"/>
      <c r="H809" s="228"/>
      <c r="I809" s="228"/>
      <c r="J809" s="228"/>
      <c r="K809" s="228"/>
      <c r="L809" s="228"/>
      <c r="M809" s="228"/>
      <c r="N809" s="228"/>
      <c r="O809" s="228"/>
      <c r="P809" s="228"/>
      <c r="Q809" s="228"/>
      <c r="R809" s="83"/>
      <c r="S809" s="83"/>
    </row>
    <row r="810" spans="1:19">
      <c r="A810" s="83"/>
      <c r="B810" s="83"/>
      <c r="C810" s="228" t="s">
        <v>46</v>
      </c>
      <c r="D810" s="228"/>
      <c r="E810" s="228"/>
      <c r="F810" s="228"/>
      <c r="G810" s="228"/>
      <c r="H810" s="228"/>
      <c r="I810" s="228"/>
      <c r="J810" s="228"/>
      <c r="K810" s="228"/>
      <c r="L810" s="228"/>
      <c r="M810" s="228"/>
      <c r="N810" s="228"/>
      <c r="O810" s="228"/>
      <c r="P810" s="228"/>
      <c r="Q810" s="228"/>
      <c r="R810" s="83"/>
      <c r="S810" s="83"/>
    </row>
    <row r="811" spans="1:19">
      <c r="A811" s="83"/>
      <c r="B811" s="61" t="s">
        <v>139</v>
      </c>
      <c r="C811" s="227" t="s">
        <v>138</v>
      </c>
      <c r="D811" s="227"/>
      <c r="E811" s="227"/>
      <c r="F811" s="227"/>
      <c r="G811" s="227"/>
      <c r="H811" s="227"/>
      <c r="I811" s="227"/>
      <c r="J811" s="227"/>
      <c r="K811" s="227"/>
      <c r="L811" s="227"/>
      <c r="M811" s="227"/>
      <c r="N811" s="227"/>
      <c r="O811" s="227"/>
      <c r="P811" s="227"/>
      <c r="Q811" s="227"/>
      <c r="R811" s="83"/>
      <c r="S811" s="83"/>
    </row>
    <row r="812" spans="1:19">
      <c r="A812" s="83"/>
      <c r="B812" s="61"/>
      <c r="C812" s="86"/>
      <c r="D812" s="86"/>
      <c r="E812" s="86"/>
      <c r="F812" s="86"/>
      <c r="G812" s="86"/>
      <c r="H812" s="86"/>
      <c r="I812" s="86"/>
      <c r="J812" s="86"/>
      <c r="K812" s="86"/>
      <c r="L812" s="86"/>
      <c r="M812" s="86"/>
      <c r="N812" s="86"/>
      <c r="O812" s="86"/>
      <c r="P812" s="86"/>
      <c r="Q812" s="86"/>
      <c r="R812" s="83"/>
      <c r="S812" s="83"/>
    </row>
    <row r="813" spans="1:19" ht="26.25">
      <c r="A813" s="229" t="s">
        <v>0</v>
      </c>
      <c r="B813" s="229"/>
      <c r="C813" s="229"/>
      <c r="D813" s="229"/>
      <c r="E813" s="229"/>
      <c r="F813" s="229"/>
      <c r="G813" s="229"/>
      <c r="H813" s="229"/>
      <c r="I813" s="229"/>
      <c r="J813" s="229"/>
      <c r="K813" s="229"/>
      <c r="L813" s="229"/>
      <c r="M813" s="229"/>
      <c r="N813" s="229"/>
      <c r="O813" s="229"/>
      <c r="P813" s="229"/>
      <c r="Q813" s="229"/>
      <c r="R813" s="229"/>
      <c r="S813" s="229"/>
    </row>
    <row r="814" spans="1:19" ht="19.5">
      <c r="A814" s="230" t="s">
        <v>83</v>
      </c>
      <c r="B814" s="230"/>
      <c r="C814" s="230"/>
      <c r="D814" s="230"/>
      <c r="E814" s="230"/>
      <c r="F814" s="230"/>
      <c r="G814" s="230"/>
      <c r="H814" s="230"/>
      <c r="I814" s="1"/>
      <c r="J814" s="1"/>
      <c r="K814" s="231" t="s">
        <v>197</v>
      </c>
      <c r="L814" s="231"/>
      <c r="M814" s="231"/>
      <c r="N814" s="231"/>
      <c r="O814" s="1"/>
      <c r="P814" s="232" t="s">
        <v>1</v>
      </c>
      <c r="Q814" s="232"/>
      <c r="R814" s="233">
        <v>44630</v>
      </c>
      <c r="S814" s="233"/>
    </row>
    <row r="815" spans="1:19">
      <c r="A815" s="242" t="s">
        <v>2</v>
      </c>
      <c r="B815" s="242"/>
      <c r="C815" s="82">
        <v>1</v>
      </c>
      <c r="D815" s="82">
        <v>2</v>
      </c>
      <c r="E815" s="82">
        <v>3</v>
      </c>
      <c r="F815" s="82">
        <v>4</v>
      </c>
      <c r="G815" s="82">
        <v>5</v>
      </c>
      <c r="H815" s="82">
        <v>6</v>
      </c>
      <c r="I815" s="82">
        <v>7</v>
      </c>
      <c r="J815" s="82">
        <v>8</v>
      </c>
      <c r="K815" s="82">
        <v>9</v>
      </c>
      <c r="L815" s="82">
        <v>10</v>
      </c>
      <c r="M815" s="82">
        <v>11</v>
      </c>
      <c r="N815" s="82">
        <v>12</v>
      </c>
      <c r="O815" s="82">
        <v>13</v>
      </c>
      <c r="P815" s="82">
        <v>14</v>
      </c>
      <c r="Q815" s="239" t="s">
        <v>3</v>
      </c>
      <c r="R815" s="239" t="s">
        <v>4</v>
      </c>
      <c r="S815" s="239" t="s">
        <v>5</v>
      </c>
    </row>
    <row r="816" spans="1:19">
      <c r="A816" s="242" t="s">
        <v>6</v>
      </c>
      <c r="B816" s="242"/>
      <c r="C816" s="82">
        <v>393</v>
      </c>
      <c r="D816" s="82">
        <v>394</v>
      </c>
      <c r="E816" s="82">
        <v>395</v>
      </c>
      <c r="F816" s="82">
        <v>396</v>
      </c>
      <c r="G816" s="82">
        <v>397</v>
      </c>
      <c r="H816" s="82">
        <v>398</v>
      </c>
      <c r="I816" s="82">
        <v>399</v>
      </c>
      <c r="J816" s="82">
        <v>400</v>
      </c>
      <c r="K816" s="82">
        <v>401</v>
      </c>
      <c r="L816" s="82">
        <v>402</v>
      </c>
      <c r="M816" s="82">
        <v>403</v>
      </c>
      <c r="N816" s="82">
        <v>404</v>
      </c>
      <c r="O816" s="82">
        <v>405</v>
      </c>
      <c r="P816" s="82">
        <v>406</v>
      </c>
      <c r="Q816" s="240"/>
      <c r="R816" s="240"/>
      <c r="S816" s="240"/>
    </row>
    <row r="817" spans="1:19" ht="31.5">
      <c r="A817" s="243" t="s">
        <v>18</v>
      </c>
      <c r="B817" s="244"/>
      <c r="C817" s="118" t="s">
        <v>565</v>
      </c>
      <c r="D817" s="118" t="s">
        <v>566</v>
      </c>
      <c r="E817" s="118" t="s">
        <v>567</v>
      </c>
      <c r="F817" s="118" t="s">
        <v>568</v>
      </c>
      <c r="G817" s="118" t="s">
        <v>569</v>
      </c>
      <c r="H817" s="118" t="s">
        <v>570</v>
      </c>
      <c r="I817" s="118" t="s">
        <v>571</v>
      </c>
      <c r="J817" s="118" t="s">
        <v>572</v>
      </c>
      <c r="K817" s="118" t="s">
        <v>573</v>
      </c>
      <c r="L817" s="118" t="s">
        <v>574</v>
      </c>
      <c r="M817" s="118" t="s">
        <v>575</v>
      </c>
      <c r="N817" s="118" t="s">
        <v>576</v>
      </c>
      <c r="O817" s="118" t="s">
        <v>577</v>
      </c>
      <c r="P817" s="166" t="s">
        <v>578</v>
      </c>
      <c r="Q817" s="240"/>
      <c r="R817" s="240"/>
      <c r="S817" s="240"/>
    </row>
    <row r="818" spans="1:19" ht="27" hidden="1" customHeight="1">
      <c r="A818" s="245" t="s">
        <v>20</v>
      </c>
      <c r="B818" s="246"/>
      <c r="C818" s="33">
        <v>579</v>
      </c>
      <c r="D818" s="33">
        <v>623</v>
      </c>
      <c r="E818" s="33">
        <v>553</v>
      </c>
      <c r="F818" s="33">
        <v>663</v>
      </c>
      <c r="G818" s="33">
        <v>579</v>
      </c>
      <c r="H818" s="33">
        <v>487</v>
      </c>
      <c r="I818" s="33">
        <v>500</v>
      </c>
      <c r="J818" s="33">
        <v>508</v>
      </c>
      <c r="K818" s="33">
        <v>667</v>
      </c>
      <c r="L818" s="33">
        <v>563</v>
      </c>
      <c r="M818" s="33">
        <v>377</v>
      </c>
      <c r="N818" s="33">
        <v>474</v>
      </c>
      <c r="O818" s="33">
        <v>429</v>
      </c>
      <c r="P818" s="25">
        <v>506</v>
      </c>
      <c r="Q818" s="240"/>
      <c r="R818" s="240"/>
      <c r="S818" s="240"/>
    </row>
    <row r="819" spans="1:19">
      <c r="A819" s="84" t="s">
        <v>7</v>
      </c>
      <c r="B819" s="82" t="s">
        <v>8</v>
      </c>
      <c r="C819" s="85" t="s">
        <v>9</v>
      </c>
      <c r="D819" s="85" t="s">
        <v>9</v>
      </c>
      <c r="E819" s="85" t="s">
        <v>9</v>
      </c>
      <c r="F819" s="85" t="s">
        <v>9</v>
      </c>
      <c r="G819" s="85" t="s">
        <v>9</v>
      </c>
      <c r="H819" s="85" t="s">
        <v>9</v>
      </c>
      <c r="I819" s="85" t="s">
        <v>9</v>
      </c>
      <c r="J819" s="85" t="s">
        <v>9</v>
      </c>
      <c r="K819" s="85" t="s">
        <v>9</v>
      </c>
      <c r="L819" s="85" t="s">
        <v>9</v>
      </c>
      <c r="M819" s="85" t="s">
        <v>9</v>
      </c>
      <c r="N819" s="85" t="s">
        <v>9</v>
      </c>
      <c r="O819" s="85" t="s">
        <v>9</v>
      </c>
      <c r="P819" s="85" t="s">
        <v>9</v>
      </c>
      <c r="Q819" s="241"/>
      <c r="R819" s="241"/>
      <c r="S819" s="241"/>
    </row>
    <row r="820" spans="1:19" s="180" customFormat="1">
      <c r="A820" s="172">
        <v>1</v>
      </c>
      <c r="B820" s="173" t="s">
        <v>85</v>
      </c>
      <c r="C820" s="178">
        <v>73</v>
      </c>
      <c r="D820" s="178">
        <v>65</v>
      </c>
      <c r="E820" s="178">
        <v>53</v>
      </c>
      <c r="F820" s="178">
        <v>228</v>
      </c>
      <c r="G820" s="178">
        <v>481</v>
      </c>
      <c r="H820" s="178">
        <v>418</v>
      </c>
      <c r="I820" s="178">
        <v>8</v>
      </c>
      <c r="J820" s="178">
        <v>27</v>
      </c>
      <c r="K820" s="178">
        <v>27</v>
      </c>
      <c r="L820" s="178">
        <v>38</v>
      </c>
      <c r="M820" s="178">
        <v>118</v>
      </c>
      <c r="N820" s="178">
        <v>102</v>
      </c>
      <c r="O820" s="178">
        <v>105</v>
      </c>
      <c r="P820" s="178">
        <v>172</v>
      </c>
      <c r="Q820" s="181">
        <f t="shared" ref="Q820:Q829" si="133">SUM(C820:P820)</f>
        <v>1915</v>
      </c>
      <c r="R820" s="181">
        <f t="shared" ref="R820:R830" si="134">S791</f>
        <v>53736</v>
      </c>
      <c r="S820" s="181">
        <f t="shared" ref="S820:S830" si="135">Q820+R820</f>
        <v>55651</v>
      </c>
    </row>
    <row r="821" spans="1:19" s="180" customFormat="1">
      <c r="A821" s="172">
        <v>2</v>
      </c>
      <c r="B821" s="173" t="s">
        <v>156</v>
      </c>
      <c r="C821" s="178">
        <v>357</v>
      </c>
      <c r="D821" s="178">
        <v>520</v>
      </c>
      <c r="E821" s="178">
        <v>436</v>
      </c>
      <c r="F821" s="178">
        <v>38</v>
      </c>
      <c r="G821" s="178">
        <v>32</v>
      </c>
      <c r="H821" s="178">
        <v>61</v>
      </c>
      <c r="I821" s="178">
        <v>306</v>
      </c>
      <c r="J821" s="178">
        <v>240</v>
      </c>
      <c r="K821" s="178">
        <v>566</v>
      </c>
      <c r="L821" s="178">
        <v>467</v>
      </c>
      <c r="M821" s="178">
        <v>236</v>
      </c>
      <c r="N821" s="178">
        <v>291</v>
      </c>
      <c r="O821" s="178">
        <v>273</v>
      </c>
      <c r="P821" s="178">
        <v>227</v>
      </c>
      <c r="Q821" s="181">
        <f t="shared" si="133"/>
        <v>4050</v>
      </c>
      <c r="R821" s="181">
        <f t="shared" si="134"/>
        <v>133261</v>
      </c>
      <c r="S821" s="181">
        <f t="shared" si="135"/>
        <v>137311</v>
      </c>
    </row>
    <row r="822" spans="1:19" s="180" customFormat="1">
      <c r="A822" s="172">
        <v>3</v>
      </c>
      <c r="B822" s="173" t="s">
        <v>157</v>
      </c>
      <c r="C822" s="178">
        <v>2</v>
      </c>
      <c r="D822" s="178">
        <v>14</v>
      </c>
      <c r="E822" s="178">
        <v>11</v>
      </c>
      <c r="F822" s="178">
        <v>5</v>
      </c>
      <c r="G822" s="178">
        <v>3</v>
      </c>
      <c r="H822" s="178">
        <v>2</v>
      </c>
      <c r="I822" s="178">
        <v>6</v>
      </c>
      <c r="J822" s="178">
        <v>15</v>
      </c>
      <c r="K822" s="178">
        <v>17</v>
      </c>
      <c r="L822" s="178">
        <v>34</v>
      </c>
      <c r="M822" s="178">
        <v>11</v>
      </c>
      <c r="N822" s="178">
        <v>4</v>
      </c>
      <c r="O822" s="178">
        <v>17</v>
      </c>
      <c r="P822" s="178">
        <v>6</v>
      </c>
      <c r="Q822" s="181">
        <f t="shared" si="133"/>
        <v>147</v>
      </c>
      <c r="R822" s="181">
        <f t="shared" si="134"/>
        <v>2542</v>
      </c>
      <c r="S822" s="181">
        <f t="shared" si="135"/>
        <v>2689</v>
      </c>
    </row>
    <row r="823" spans="1:19" s="180" customFormat="1">
      <c r="A823" s="172">
        <v>4</v>
      </c>
      <c r="B823" s="173" t="s">
        <v>158</v>
      </c>
      <c r="C823" s="178">
        <v>124</v>
      </c>
      <c r="D823" s="178">
        <v>1</v>
      </c>
      <c r="E823" s="178">
        <v>40</v>
      </c>
      <c r="F823" s="178">
        <v>375</v>
      </c>
      <c r="G823" s="178">
        <v>58</v>
      </c>
      <c r="H823" s="178">
        <v>5</v>
      </c>
      <c r="I823" s="178">
        <v>84</v>
      </c>
      <c r="J823" s="178">
        <v>203</v>
      </c>
      <c r="K823" s="178">
        <v>21</v>
      </c>
      <c r="L823" s="178">
        <v>4</v>
      </c>
      <c r="M823" s="178">
        <v>7</v>
      </c>
      <c r="N823" s="178">
        <v>64</v>
      </c>
      <c r="O823" s="178">
        <v>21</v>
      </c>
      <c r="P823" s="178">
        <v>88</v>
      </c>
      <c r="Q823" s="181">
        <f t="shared" si="133"/>
        <v>1095</v>
      </c>
      <c r="R823" s="181">
        <f t="shared" si="134"/>
        <v>32771</v>
      </c>
      <c r="S823" s="181">
        <f t="shared" si="135"/>
        <v>33866</v>
      </c>
    </row>
    <row r="824" spans="1:19" s="180" customFormat="1">
      <c r="A824" s="172">
        <v>5</v>
      </c>
      <c r="B824" s="173" t="s">
        <v>159</v>
      </c>
      <c r="C824" s="178">
        <v>3</v>
      </c>
      <c r="D824" s="178">
        <v>2</v>
      </c>
      <c r="E824" s="178">
        <v>2</v>
      </c>
      <c r="F824" s="178">
        <v>1</v>
      </c>
      <c r="G824" s="178">
        <v>0</v>
      </c>
      <c r="H824" s="178">
        <v>0</v>
      </c>
      <c r="I824" s="178">
        <v>1</v>
      </c>
      <c r="J824" s="178">
        <v>5</v>
      </c>
      <c r="K824" s="178">
        <v>2</v>
      </c>
      <c r="L824" s="178">
        <v>2</v>
      </c>
      <c r="M824" s="178">
        <v>0</v>
      </c>
      <c r="N824" s="178">
        <v>4</v>
      </c>
      <c r="O824" s="178">
        <v>0</v>
      </c>
      <c r="P824" s="178">
        <v>1</v>
      </c>
      <c r="Q824" s="181">
        <f t="shared" si="133"/>
        <v>23</v>
      </c>
      <c r="R824" s="181">
        <f t="shared" si="134"/>
        <v>655</v>
      </c>
      <c r="S824" s="181">
        <f t="shared" si="135"/>
        <v>678</v>
      </c>
    </row>
    <row r="825" spans="1:19" s="180" customFormat="1">
      <c r="A825" s="172">
        <v>6</v>
      </c>
      <c r="B825" s="173" t="s">
        <v>160</v>
      </c>
      <c r="C825" s="178">
        <v>13</v>
      </c>
      <c r="D825" s="178">
        <v>8</v>
      </c>
      <c r="E825" s="178">
        <v>8</v>
      </c>
      <c r="F825" s="178">
        <v>4</v>
      </c>
      <c r="G825" s="178">
        <v>0</v>
      </c>
      <c r="H825" s="178">
        <v>0</v>
      </c>
      <c r="I825" s="178">
        <v>89</v>
      </c>
      <c r="J825" s="178">
        <v>7</v>
      </c>
      <c r="K825" s="178">
        <v>6</v>
      </c>
      <c r="L825" s="178">
        <v>3</v>
      </c>
      <c r="M825" s="178">
        <v>1</v>
      </c>
      <c r="N825" s="178">
        <v>3</v>
      </c>
      <c r="O825" s="178">
        <v>3</v>
      </c>
      <c r="P825" s="178">
        <v>6</v>
      </c>
      <c r="Q825" s="181">
        <f t="shared" si="133"/>
        <v>151</v>
      </c>
      <c r="R825" s="181">
        <f t="shared" si="134"/>
        <v>1004</v>
      </c>
      <c r="S825" s="181">
        <f t="shared" si="135"/>
        <v>1155</v>
      </c>
    </row>
    <row r="826" spans="1:19" s="180" customFormat="1">
      <c r="A826" s="172">
        <v>7</v>
      </c>
      <c r="B826" s="173" t="s">
        <v>86</v>
      </c>
      <c r="C826" s="178">
        <v>3</v>
      </c>
      <c r="D826" s="178">
        <v>5</v>
      </c>
      <c r="E826" s="178">
        <v>1</v>
      </c>
      <c r="F826" s="178">
        <v>4</v>
      </c>
      <c r="G826" s="178">
        <v>2</v>
      </c>
      <c r="H826" s="178">
        <v>0</v>
      </c>
      <c r="I826" s="178">
        <v>1</v>
      </c>
      <c r="J826" s="178">
        <v>4</v>
      </c>
      <c r="K826" s="178">
        <v>12</v>
      </c>
      <c r="L826" s="178">
        <v>4</v>
      </c>
      <c r="M826" s="178">
        <v>2</v>
      </c>
      <c r="N826" s="178">
        <v>0</v>
      </c>
      <c r="O826" s="178">
        <v>0</v>
      </c>
      <c r="P826" s="178">
        <v>3</v>
      </c>
      <c r="Q826" s="181">
        <f t="shared" si="133"/>
        <v>41</v>
      </c>
      <c r="R826" s="181">
        <f t="shared" si="134"/>
        <v>1003</v>
      </c>
      <c r="S826" s="181">
        <f t="shared" si="135"/>
        <v>1044</v>
      </c>
    </row>
    <row r="827" spans="1:19" s="180" customFormat="1">
      <c r="A827" s="172">
        <v>8</v>
      </c>
      <c r="B827" s="173" t="s">
        <v>161</v>
      </c>
      <c r="C827" s="178">
        <v>2</v>
      </c>
      <c r="D827" s="178">
        <v>4</v>
      </c>
      <c r="E827" s="178">
        <v>1</v>
      </c>
      <c r="F827" s="178">
        <v>1</v>
      </c>
      <c r="G827" s="178">
        <v>1</v>
      </c>
      <c r="H827" s="178">
        <v>1</v>
      </c>
      <c r="I827" s="178">
        <v>2</v>
      </c>
      <c r="J827" s="178">
        <v>2</v>
      </c>
      <c r="K827" s="178">
        <v>7</v>
      </c>
      <c r="L827" s="178">
        <v>4</v>
      </c>
      <c r="M827" s="178">
        <v>0</v>
      </c>
      <c r="N827" s="178">
        <v>4</v>
      </c>
      <c r="O827" s="178">
        <v>5</v>
      </c>
      <c r="P827" s="178">
        <v>0</v>
      </c>
      <c r="Q827" s="181">
        <f t="shared" si="133"/>
        <v>34</v>
      </c>
      <c r="R827" s="181">
        <f t="shared" si="134"/>
        <v>910</v>
      </c>
      <c r="S827" s="181">
        <f t="shared" si="135"/>
        <v>944</v>
      </c>
    </row>
    <row r="828" spans="1:19" s="180" customFormat="1">
      <c r="A828" s="172">
        <v>9</v>
      </c>
      <c r="B828" s="174" t="s">
        <v>10</v>
      </c>
      <c r="C828" s="178">
        <v>2</v>
      </c>
      <c r="D828" s="178">
        <v>4</v>
      </c>
      <c r="E828" s="178">
        <v>1</v>
      </c>
      <c r="F828" s="178">
        <v>7</v>
      </c>
      <c r="G828" s="178">
        <v>2</v>
      </c>
      <c r="H828" s="178">
        <v>0</v>
      </c>
      <c r="I828" s="178">
        <v>3</v>
      </c>
      <c r="J828" s="178">
        <v>5</v>
      </c>
      <c r="K828" s="178">
        <v>9</v>
      </c>
      <c r="L828" s="178">
        <v>7</v>
      </c>
      <c r="M828" s="178">
        <v>2</v>
      </c>
      <c r="N828" s="178">
        <v>2</v>
      </c>
      <c r="O828" s="178">
        <v>5</v>
      </c>
      <c r="P828" s="178">
        <v>3</v>
      </c>
      <c r="Q828" s="181">
        <f t="shared" si="133"/>
        <v>52</v>
      </c>
      <c r="R828" s="181">
        <f t="shared" si="134"/>
        <v>1245</v>
      </c>
      <c r="S828" s="181">
        <f t="shared" si="135"/>
        <v>1297</v>
      </c>
    </row>
    <row r="829" spans="1:19" s="180" customFormat="1">
      <c r="A829" s="234" t="s">
        <v>11</v>
      </c>
      <c r="B829" s="235"/>
      <c r="C829" s="183">
        <v>0</v>
      </c>
      <c r="D829" s="183">
        <v>0</v>
      </c>
      <c r="E829" s="183">
        <v>0</v>
      </c>
      <c r="F829" s="183">
        <v>0</v>
      </c>
      <c r="G829" s="183">
        <v>0</v>
      </c>
      <c r="H829" s="183">
        <v>0</v>
      </c>
      <c r="I829" s="183">
        <v>0</v>
      </c>
      <c r="J829" s="183">
        <v>0</v>
      </c>
      <c r="K829" s="183">
        <v>0</v>
      </c>
      <c r="L829" s="183">
        <v>0</v>
      </c>
      <c r="M829" s="183">
        <v>0</v>
      </c>
      <c r="N829" s="183">
        <v>0</v>
      </c>
      <c r="O829" s="183">
        <v>0</v>
      </c>
      <c r="P829" s="183">
        <v>0</v>
      </c>
      <c r="Q829" s="181">
        <f t="shared" si="133"/>
        <v>0</v>
      </c>
      <c r="R829" s="181">
        <f t="shared" si="134"/>
        <v>0</v>
      </c>
      <c r="S829" s="181">
        <f t="shared" si="135"/>
        <v>0</v>
      </c>
    </row>
    <row r="830" spans="1:19" s="180" customFormat="1">
      <c r="A830" s="236" t="s">
        <v>12</v>
      </c>
      <c r="B830" s="236"/>
      <c r="C830" s="181">
        <f t="shared" ref="C830:Q830" si="136">SUM(C820:C829)</f>
        <v>579</v>
      </c>
      <c r="D830" s="181">
        <f t="shared" si="136"/>
        <v>623</v>
      </c>
      <c r="E830" s="181">
        <f t="shared" si="136"/>
        <v>553</v>
      </c>
      <c r="F830" s="181">
        <f t="shared" si="136"/>
        <v>663</v>
      </c>
      <c r="G830" s="181">
        <f t="shared" si="136"/>
        <v>579</v>
      </c>
      <c r="H830" s="181">
        <f t="shared" si="136"/>
        <v>487</v>
      </c>
      <c r="I830" s="181">
        <f t="shared" si="136"/>
        <v>500</v>
      </c>
      <c r="J830" s="181">
        <f t="shared" si="136"/>
        <v>508</v>
      </c>
      <c r="K830" s="181">
        <f t="shared" si="136"/>
        <v>667</v>
      </c>
      <c r="L830" s="181">
        <f t="shared" si="136"/>
        <v>563</v>
      </c>
      <c r="M830" s="181">
        <f t="shared" si="136"/>
        <v>377</v>
      </c>
      <c r="N830" s="181">
        <f t="shared" si="136"/>
        <v>474</v>
      </c>
      <c r="O830" s="181">
        <f t="shared" si="136"/>
        <v>429</v>
      </c>
      <c r="P830" s="181">
        <f t="shared" si="136"/>
        <v>506</v>
      </c>
      <c r="Q830" s="181">
        <f t="shared" si="136"/>
        <v>7508</v>
      </c>
      <c r="R830" s="181">
        <f t="shared" si="134"/>
        <v>227127</v>
      </c>
      <c r="S830" s="181">
        <f t="shared" si="135"/>
        <v>234635</v>
      </c>
    </row>
    <row r="831" spans="1:19" ht="18">
      <c r="A831" s="5"/>
      <c r="B831" s="5"/>
      <c r="C831" s="6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8"/>
      <c r="R831" s="7"/>
      <c r="S831" s="7"/>
    </row>
    <row r="832" spans="1:19" ht="22.5">
      <c r="A832" s="83"/>
      <c r="B832" s="83"/>
      <c r="C832" s="10" t="s">
        <v>13</v>
      </c>
      <c r="D832" s="10" t="s">
        <v>13</v>
      </c>
      <c r="E832" s="10" t="s">
        <v>13</v>
      </c>
      <c r="F832" s="10" t="s">
        <v>13</v>
      </c>
      <c r="G832" s="10" t="s">
        <v>13</v>
      </c>
      <c r="H832" s="10" t="s">
        <v>13</v>
      </c>
      <c r="I832" s="10" t="s">
        <v>13</v>
      </c>
      <c r="J832" s="10" t="s">
        <v>13</v>
      </c>
      <c r="K832" s="10" t="s">
        <v>13</v>
      </c>
      <c r="L832" s="10" t="s">
        <v>13</v>
      </c>
      <c r="M832" s="10" t="s">
        <v>13</v>
      </c>
      <c r="N832" s="10" t="s">
        <v>13</v>
      </c>
      <c r="O832" s="10" t="s">
        <v>13</v>
      </c>
      <c r="P832" s="10" t="s">
        <v>13</v>
      </c>
      <c r="Q832" s="10" t="s">
        <v>13</v>
      </c>
      <c r="R832" s="10" t="s">
        <v>13</v>
      </c>
      <c r="S832" s="10" t="s">
        <v>13</v>
      </c>
    </row>
    <row r="833" spans="1:19">
      <c r="A833" s="83"/>
      <c r="B833" s="83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</row>
    <row r="834" spans="1:19" ht="22.5">
      <c r="A834" s="83"/>
      <c r="B834" s="83"/>
      <c r="C834" s="10" t="s">
        <v>14</v>
      </c>
      <c r="D834" s="10" t="s">
        <v>14</v>
      </c>
      <c r="E834" s="10" t="s">
        <v>14</v>
      </c>
      <c r="F834" s="10" t="s">
        <v>14</v>
      </c>
      <c r="G834" s="10" t="s">
        <v>14</v>
      </c>
      <c r="H834" s="10" t="s">
        <v>14</v>
      </c>
      <c r="I834" s="10" t="s">
        <v>14</v>
      </c>
      <c r="J834" s="10" t="s">
        <v>14</v>
      </c>
      <c r="K834" s="10" t="s">
        <v>14</v>
      </c>
      <c r="L834" s="10" t="s">
        <v>14</v>
      </c>
      <c r="M834" s="10" t="s">
        <v>14</v>
      </c>
      <c r="N834" s="10" t="s">
        <v>14</v>
      </c>
      <c r="O834" s="10" t="s">
        <v>14</v>
      </c>
      <c r="P834" s="10" t="s">
        <v>14</v>
      </c>
      <c r="Q834" s="10" t="s">
        <v>14</v>
      </c>
      <c r="R834" s="10" t="s">
        <v>14</v>
      </c>
      <c r="S834" s="10" t="s">
        <v>14</v>
      </c>
    </row>
    <row r="835" spans="1:19">
      <c r="A835" s="83"/>
      <c r="B835" s="83"/>
      <c r="C835" s="83"/>
      <c r="D835" s="83"/>
      <c r="E835" s="83"/>
      <c r="F835" s="83"/>
      <c r="G835" s="83"/>
      <c r="H835" s="83"/>
      <c r="I835" s="83"/>
      <c r="J835" s="83"/>
      <c r="K835" s="83"/>
      <c r="L835" s="83"/>
      <c r="M835" s="83"/>
      <c r="N835" s="83"/>
      <c r="O835" s="83"/>
      <c r="P835" s="83"/>
      <c r="Q835" s="83"/>
      <c r="R835" s="83"/>
      <c r="S835" s="83"/>
    </row>
    <row r="836" spans="1:19">
      <c r="A836" s="237" t="s">
        <v>15</v>
      </c>
      <c r="B836" s="237"/>
      <c r="C836" s="238" t="s">
        <v>16</v>
      </c>
      <c r="D836" s="238"/>
      <c r="E836" s="238"/>
      <c r="F836" s="238"/>
      <c r="G836" s="238"/>
      <c r="H836" s="238"/>
      <c r="I836" s="238"/>
      <c r="J836" s="238"/>
      <c r="K836" s="238"/>
      <c r="L836" s="238"/>
      <c r="M836" s="238"/>
      <c r="N836" s="238"/>
      <c r="O836" s="238"/>
      <c r="P836" s="238"/>
      <c r="Q836" s="238"/>
      <c r="R836" s="83"/>
      <c r="S836" s="83"/>
    </row>
    <row r="837" spans="1:19">
      <c r="A837" s="83"/>
      <c r="B837" s="83"/>
      <c r="C837" s="238" t="s">
        <v>17</v>
      </c>
      <c r="D837" s="238"/>
      <c r="E837" s="238"/>
      <c r="F837" s="238"/>
      <c r="G837" s="238"/>
      <c r="H837" s="238"/>
      <c r="I837" s="238"/>
      <c r="J837" s="238"/>
      <c r="K837" s="238"/>
      <c r="L837" s="238"/>
      <c r="M837" s="238"/>
      <c r="N837" s="238"/>
      <c r="O837" s="238"/>
      <c r="P837" s="238"/>
      <c r="Q837" s="238"/>
      <c r="R837" s="83"/>
      <c r="S837" s="83"/>
    </row>
    <row r="838" spans="1:19">
      <c r="A838" s="83"/>
      <c r="B838" s="83"/>
      <c r="C838" s="228" t="s">
        <v>45</v>
      </c>
      <c r="D838" s="228"/>
      <c r="E838" s="228"/>
      <c r="F838" s="228"/>
      <c r="G838" s="228"/>
      <c r="H838" s="228"/>
      <c r="I838" s="228"/>
      <c r="J838" s="228"/>
      <c r="K838" s="228"/>
      <c r="L838" s="228"/>
      <c r="M838" s="228"/>
      <c r="N838" s="228"/>
      <c r="O838" s="228"/>
      <c r="P838" s="228"/>
      <c r="Q838" s="228"/>
      <c r="R838" s="83"/>
      <c r="S838" s="83"/>
    </row>
    <row r="839" spans="1:19">
      <c r="A839" s="83"/>
      <c r="B839" s="83"/>
      <c r="C839" s="228" t="s">
        <v>46</v>
      </c>
      <c r="D839" s="228"/>
      <c r="E839" s="228"/>
      <c r="F839" s="228"/>
      <c r="G839" s="228"/>
      <c r="H839" s="228"/>
      <c r="I839" s="228"/>
      <c r="J839" s="228"/>
      <c r="K839" s="228"/>
      <c r="L839" s="228"/>
      <c r="M839" s="228"/>
      <c r="N839" s="228"/>
      <c r="O839" s="228"/>
      <c r="P839" s="228"/>
      <c r="Q839" s="228"/>
      <c r="R839" s="83"/>
      <c r="S839" s="83"/>
    </row>
    <row r="840" spans="1:19">
      <c r="A840" s="83"/>
      <c r="B840" s="61" t="s">
        <v>139</v>
      </c>
      <c r="C840" s="227" t="s">
        <v>138</v>
      </c>
      <c r="D840" s="227"/>
      <c r="E840" s="227"/>
      <c r="F840" s="227"/>
      <c r="G840" s="227"/>
      <c r="H840" s="227"/>
      <c r="I840" s="227"/>
      <c r="J840" s="227"/>
      <c r="K840" s="227"/>
      <c r="L840" s="227"/>
      <c r="M840" s="227"/>
      <c r="N840" s="227"/>
      <c r="O840" s="227"/>
      <c r="P840" s="227"/>
      <c r="Q840" s="227"/>
      <c r="R840" s="83"/>
      <c r="S840" s="83"/>
    </row>
    <row r="841" spans="1:19">
      <c r="A841" s="83"/>
      <c r="B841" s="61"/>
      <c r="C841" s="86"/>
      <c r="D841" s="86"/>
      <c r="E841" s="86"/>
      <c r="F841" s="86"/>
      <c r="G841" s="86"/>
      <c r="H841" s="86"/>
      <c r="I841" s="86"/>
      <c r="J841" s="86"/>
      <c r="K841" s="86"/>
      <c r="L841" s="86"/>
      <c r="M841" s="86"/>
      <c r="N841" s="86"/>
      <c r="O841" s="86"/>
      <c r="P841" s="86"/>
      <c r="Q841" s="86"/>
      <c r="R841" s="83"/>
      <c r="S841" s="83"/>
    </row>
    <row r="842" spans="1:19" ht="26.25">
      <c r="A842" s="229" t="s">
        <v>0</v>
      </c>
      <c r="B842" s="229"/>
      <c r="C842" s="229"/>
      <c r="D842" s="229"/>
      <c r="E842" s="229"/>
      <c r="F842" s="229"/>
      <c r="G842" s="229"/>
      <c r="H842" s="229"/>
      <c r="I842" s="229"/>
      <c r="J842" s="229"/>
      <c r="K842" s="229"/>
      <c r="L842" s="229"/>
      <c r="M842" s="229"/>
      <c r="N842" s="229"/>
      <c r="O842" s="229"/>
      <c r="P842" s="229"/>
      <c r="Q842" s="229"/>
      <c r="R842" s="229"/>
      <c r="S842" s="229"/>
    </row>
    <row r="843" spans="1:19" ht="19.5">
      <c r="A843" s="230" t="s">
        <v>83</v>
      </c>
      <c r="B843" s="230"/>
      <c r="C843" s="230"/>
      <c r="D843" s="230"/>
      <c r="E843" s="230"/>
      <c r="F843" s="230"/>
      <c r="G843" s="230"/>
      <c r="H843" s="230"/>
      <c r="I843" s="1"/>
      <c r="J843" s="1"/>
      <c r="K843" s="231" t="s">
        <v>196</v>
      </c>
      <c r="L843" s="231"/>
      <c r="M843" s="231"/>
      <c r="N843" s="231"/>
      <c r="O843" s="1"/>
      <c r="P843" s="232" t="s">
        <v>1</v>
      </c>
      <c r="Q843" s="232"/>
      <c r="R843" s="233">
        <v>44630</v>
      </c>
      <c r="S843" s="233"/>
    </row>
    <row r="844" spans="1:19">
      <c r="A844" s="242" t="s">
        <v>2</v>
      </c>
      <c r="B844" s="242"/>
      <c r="C844" s="82">
        <v>1</v>
      </c>
      <c r="D844" s="82">
        <v>2</v>
      </c>
      <c r="E844" s="82">
        <v>3</v>
      </c>
      <c r="F844" s="82">
        <v>4</v>
      </c>
      <c r="G844" s="82">
        <v>5</v>
      </c>
      <c r="H844" s="82">
        <v>6</v>
      </c>
      <c r="I844" s="82">
        <v>7</v>
      </c>
      <c r="J844" s="82">
        <v>8</v>
      </c>
      <c r="K844" s="82">
        <v>9</v>
      </c>
      <c r="L844" s="82">
        <v>10</v>
      </c>
      <c r="M844" s="82">
        <v>11</v>
      </c>
      <c r="N844" s="82">
        <v>12</v>
      </c>
      <c r="O844" s="82">
        <v>13</v>
      </c>
      <c r="P844" s="82">
        <v>14</v>
      </c>
      <c r="Q844" s="239" t="s">
        <v>3</v>
      </c>
      <c r="R844" s="239" t="s">
        <v>4</v>
      </c>
      <c r="S844" s="239" t="s">
        <v>5</v>
      </c>
    </row>
    <row r="845" spans="1:19">
      <c r="A845" s="242" t="s">
        <v>6</v>
      </c>
      <c r="B845" s="242"/>
      <c r="C845" s="82">
        <v>407</v>
      </c>
      <c r="D845" s="82">
        <v>408</v>
      </c>
      <c r="E845" s="82">
        <v>409</v>
      </c>
      <c r="F845" s="82">
        <v>410</v>
      </c>
      <c r="G845" s="82">
        <v>411</v>
      </c>
      <c r="H845" s="82">
        <v>412</v>
      </c>
      <c r="I845" s="82">
        <v>413</v>
      </c>
      <c r="J845" s="82">
        <v>414</v>
      </c>
      <c r="K845" s="82">
        <v>415</v>
      </c>
      <c r="L845" s="82">
        <v>416</v>
      </c>
      <c r="M845" s="82">
        <v>417</v>
      </c>
      <c r="N845" s="82">
        <v>418</v>
      </c>
      <c r="O845" s="82">
        <v>419</v>
      </c>
      <c r="P845" s="82">
        <v>420</v>
      </c>
      <c r="Q845" s="240"/>
      <c r="R845" s="240"/>
      <c r="S845" s="240"/>
    </row>
    <row r="846" spans="1:19" ht="31.5">
      <c r="A846" s="243" t="s">
        <v>18</v>
      </c>
      <c r="B846" s="244"/>
      <c r="C846" s="118" t="s">
        <v>579</v>
      </c>
      <c r="D846" s="118" t="s">
        <v>580</v>
      </c>
      <c r="E846" s="118" t="s">
        <v>581</v>
      </c>
      <c r="F846" s="118" t="s">
        <v>582</v>
      </c>
      <c r="G846" s="118" t="s">
        <v>583</v>
      </c>
      <c r="H846" s="118" t="s">
        <v>584</v>
      </c>
      <c r="I846" s="118" t="s">
        <v>585</v>
      </c>
      <c r="J846" s="118" t="s">
        <v>586</v>
      </c>
      <c r="K846" s="118" t="s">
        <v>587</v>
      </c>
      <c r="L846" s="118" t="s">
        <v>588</v>
      </c>
      <c r="M846" s="118" t="s">
        <v>589</v>
      </c>
      <c r="N846" s="118" t="s">
        <v>590</v>
      </c>
      <c r="O846" s="118" t="s">
        <v>591</v>
      </c>
      <c r="P846" s="166" t="s">
        <v>592</v>
      </c>
      <c r="Q846" s="240"/>
      <c r="R846" s="240"/>
      <c r="S846" s="240"/>
    </row>
    <row r="847" spans="1:19" ht="27" hidden="1" customHeight="1">
      <c r="A847" s="245" t="s">
        <v>20</v>
      </c>
      <c r="B847" s="246"/>
      <c r="C847" s="33">
        <v>536</v>
      </c>
      <c r="D847" s="33">
        <v>343</v>
      </c>
      <c r="E847" s="33">
        <v>522</v>
      </c>
      <c r="F847" s="33">
        <v>558</v>
      </c>
      <c r="G847" s="33">
        <v>563</v>
      </c>
      <c r="H847" s="33">
        <v>586</v>
      </c>
      <c r="I847" s="33">
        <v>485</v>
      </c>
      <c r="J847" s="33">
        <v>498</v>
      </c>
      <c r="K847" s="33">
        <v>823</v>
      </c>
      <c r="L847" s="33">
        <v>400</v>
      </c>
      <c r="M847" s="33">
        <v>418</v>
      </c>
      <c r="N847" s="33">
        <v>438</v>
      </c>
      <c r="O847" s="33">
        <v>480</v>
      </c>
      <c r="P847" s="25">
        <v>785</v>
      </c>
      <c r="Q847" s="240"/>
      <c r="R847" s="240"/>
      <c r="S847" s="240"/>
    </row>
    <row r="848" spans="1:19">
      <c r="A848" s="84" t="s">
        <v>7</v>
      </c>
      <c r="B848" s="82" t="s">
        <v>8</v>
      </c>
      <c r="C848" s="85" t="s">
        <v>9</v>
      </c>
      <c r="D848" s="85" t="s">
        <v>9</v>
      </c>
      <c r="E848" s="85" t="s">
        <v>9</v>
      </c>
      <c r="F848" s="85" t="s">
        <v>9</v>
      </c>
      <c r="G848" s="85" t="s">
        <v>9</v>
      </c>
      <c r="H848" s="85" t="s">
        <v>9</v>
      </c>
      <c r="I848" s="85" t="s">
        <v>9</v>
      </c>
      <c r="J848" s="85" t="s">
        <v>9</v>
      </c>
      <c r="K848" s="85" t="s">
        <v>9</v>
      </c>
      <c r="L848" s="85" t="s">
        <v>9</v>
      </c>
      <c r="M848" s="85" t="s">
        <v>9</v>
      </c>
      <c r="N848" s="85" t="s">
        <v>9</v>
      </c>
      <c r="O848" s="85" t="s">
        <v>9</v>
      </c>
      <c r="P848" s="85" t="s">
        <v>9</v>
      </c>
      <c r="Q848" s="241"/>
      <c r="R848" s="241"/>
      <c r="S848" s="241"/>
    </row>
    <row r="849" spans="1:19" s="180" customFormat="1">
      <c r="A849" s="172">
        <v>1</v>
      </c>
      <c r="B849" s="173" t="s">
        <v>85</v>
      </c>
      <c r="C849" s="178">
        <v>55</v>
      </c>
      <c r="D849" s="178">
        <v>112</v>
      </c>
      <c r="E849" s="178">
        <v>47</v>
      </c>
      <c r="F849" s="178">
        <v>416</v>
      </c>
      <c r="G849" s="178">
        <v>425</v>
      </c>
      <c r="H849" s="178">
        <v>438</v>
      </c>
      <c r="I849" s="178">
        <v>95</v>
      </c>
      <c r="J849" s="178">
        <v>116</v>
      </c>
      <c r="K849" s="178">
        <v>75</v>
      </c>
      <c r="L849" s="178">
        <v>18</v>
      </c>
      <c r="M849" s="178">
        <v>11</v>
      </c>
      <c r="N849" s="178">
        <v>32</v>
      </c>
      <c r="O849" s="178">
        <v>24</v>
      </c>
      <c r="P849" s="178">
        <v>63</v>
      </c>
      <c r="Q849" s="181">
        <f t="shared" ref="Q849:Q858" si="137">SUM(C849:P849)</f>
        <v>1927</v>
      </c>
      <c r="R849" s="181">
        <f t="shared" ref="R849:R859" si="138">S820</f>
        <v>55651</v>
      </c>
      <c r="S849" s="181">
        <f t="shared" ref="S849:S859" si="139">Q849+R849</f>
        <v>57578</v>
      </c>
    </row>
    <row r="850" spans="1:19" s="180" customFormat="1">
      <c r="A850" s="172">
        <v>2</v>
      </c>
      <c r="B850" s="173" t="s">
        <v>156</v>
      </c>
      <c r="C850" s="178">
        <v>460</v>
      </c>
      <c r="D850" s="178">
        <v>203</v>
      </c>
      <c r="E850" s="178">
        <v>451</v>
      </c>
      <c r="F850" s="178">
        <v>125</v>
      </c>
      <c r="G850" s="178">
        <v>59</v>
      </c>
      <c r="H850" s="178">
        <v>76</v>
      </c>
      <c r="I850" s="178">
        <v>159</v>
      </c>
      <c r="J850" s="178">
        <v>372</v>
      </c>
      <c r="K850" s="178">
        <v>624</v>
      </c>
      <c r="L850" s="178">
        <v>267</v>
      </c>
      <c r="M850" s="178">
        <v>137</v>
      </c>
      <c r="N850" s="178">
        <v>378</v>
      </c>
      <c r="O850" s="178">
        <v>426</v>
      </c>
      <c r="P850" s="178">
        <v>699</v>
      </c>
      <c r="Q850" s="181">
        <f t="shared" si="137"/>
        <v>4436</v>
      </c>
      <c r="R850" s="181">
        <f t="shared" si="138"/>
        <v>137311</v>
      </c>
      <c r="S850" s="181">
        <f t="shared" si="139"/>
        <v>141747</v>
      </c>
    </row>
    <row r="851" spans="1:19" s="180" customFormat="1">
      <c r="A851" s="172">
        <v>3</v>
      </c>
      <c r="B851" s="173" t="s">
        <v>157</v>
      </c>
      <c r="C851" s="178">
        <v>3</v>
      </c>
      <c r="D851" s="178">
        <v>4</v>
      </c>
      <c r="E851" s="178">
        <v>5</v>
      </c>
      <c r="F851" s="178">
        <v>2</v>
      </c>
      <c r="G851" s="178">
        <v>8</v>
      </c>
      <c r="H851" s="178">
        <v>2</v>
      </c>
      <c r="I851" s="178">
        <v>5</v>
      </c>
      <c r="J851" s="178">
        <v>2</v>
      </c>
      <c r="K851" s="178">
        <v>1</v>
      </c>
      <c r="L851" s="178">
        <v>5</v>
      </c>
      <c r="M851" s="178">
        <v>5</v>
      </c>
      <c r="N851" s="178">
        <v>6</v>
      </c>
      <c r="O851" s="178">
        <v>8</v>
      </c>
      <c r="P851" s="178">
        <v>6</v>
      </c>
      <c r="Q851" s="181">
        <f t="shared" si="137"/>
        <v>62</v>
      </c>
      <c r="R851" s="181">
        <f t="shared" si="138"/>
        <v>2689</v>
      </c>
      <c r="S851" s="181">
        <f t="shared" si="139"/>
        <v>2751</v>
      </c>
    </row>
    <row r="852" spans="1:19" s="180" customFormat="1">
      <c r="A852" s="172">
        <v>4</v>
      </c>
      <c r="B852" s="173" t="s">
        <v>158</v>
      </c>
      <c r="C852" s="178">
        <v>3</v>
      </c>
      <c r="D852" s="178">
        <v>10</v>
      </c>
      <c r="E852" s="178">
        <v>3</v>
      </c>
      <c r="F852" s="178">
        <v>9</v>
      </c>
      <c r="G852" s="178">
        <v>58</v>
      </c>
      <c r="H852" s="178">
        <v>61</v>
      </c>
      <c r="I852" s="178">
        <v>212</v>
      </c>
      <c r="J852" s="178">
        <v>4</v>
      </c>
      <c r="K852" s="178">
        <v>113</v>
      </c>
      <c r="L852" s="178">
        <v>98</v>
      </c>
      <c r="M852" s="178">
        <v>254</v>
      </c>
      <c r="N852" s="178">
        <v>13</v>
      </c>
      <c r="O852" s="178">
        <v>12</v>
      </c>
      <c r="P852" s="178">
        <v>3</v>
      </c>
      <c r="Q852" s="181">
        <f t="shared" si="137"/>
        <v>853</v>
      </c>
      <c r="R852" s="181">
        <f t="shared" si="138"/>
        <v>33866</v>
      </c>
      <c r="S852" s="181">
        <f t="shared" si="139"/>
        <v>34719</v>
      </c>
    </row>
    <row r="853" spans="1:19" s="180" customFormat="1">
      <c r="A853" s="172">
        <v>5</v>
      </c>
      <c r="B853" s="173" t="s">
        <v>159</v>
      </c>
      <c r="C853" s="178">
        <v>0</v>
      </c>
      <c r="D853" s="178">
        <v>1</v>
      </c>
      <c r="E853" s="178">
        <v>3</v>
      </c>
      <c r="F853" s="178">
        <v>0</v>
      </c>
      <c r="G853" s="178">
        <v>0</v>
      </c>
      <c r="H853" s="178">
        <v>2</v>
      </c>
      <c r="I853" s="178">
        <v>4</v>
      </c>
      <c r="J853" s="178">
        <v>2</v>
      </c>
      <c r="K853" s="178">
        <v>0</v>
      </c>
      <c r="L853" s="178">
        <v>2</v>
      </c>
      <c r="M853" s="178">
        <v>3</v>
      </c>
      <c r="N853" s="178">
        <v>0</v>
      </c>
      <c r="O853" s="178">
        <v>0</v>
      </c>
      <c r="P853" s="178">
        <v>1</v>
      </c>
      <c r="Q853" s="181">
        <f t="shared" si="137"/>
        <v>18</v>
      </c>
      <c r="R853" s="181">
        <f t="shared" si="138"/>
        <v>678</v>
      </c>
      <c r="S853" s="181">
        <f t="shared" si="139"/>
        <v>696</v>
      </c>
    </row>
    <row r="854" spans="1:19" s="180" customFormat="1">
      <c r="A854" s="172">
        <v>6</v>
      </c>
      <c r="B854" s="173" t="s">
        <v>160</v>
      </c>
      <c r="C854" s="178">
        <v>4</v>
      </c>
      <c r="D854" s="178">
        <v>5</v>
      </c>
      <c r="E854" s="178">
        <v>5</v>
      </c>
      <c r="F854" s="178">
        <v>1</v>
      </c>
      <c r="G854" s="178">
        <v>2</v>
      </c>
      <c r="H854" s="178">
        <v>2</v>
      </c>
      <c r="I854" s="178">
        <v>1</v>
      </c>
      <c r="J854" s="178">
        <v>1</v>
      </c>
      <c r="K854" s="178">
        <v>0</v>
      </c>
      <c r="L854" s="178">
        <v>3</v>
      </c>
      <c r="M854" s="178">
        <v>4</v>
      </c>
      <c r="N854" s="178">
        <v>1</v>
      </c>
      <c r="O854" s="178">
        <v>2</v>
      </c>
      <c r="P854" s="178">
        <v>3</v>
      </c>
      <c r="Q854" s="181">
        <f t="shared" si="137"/>
        <v>34</v>
      </c>
      <c r="R854" s="181">
        <f t="shared" si="138"/>
        <v>1155</v>
      </c>
      <c r="S854" s="181">
        <f t="shared" si="139"/>
        <v>1189</v>
      </c>
    </row>
    <row r="855" spans="1:19" s="180" customFormat="1">
      <c r="A855" s="172">
        <v>7</v>
      </c>
      <c r="B855" s="173" t="s">
        <v>86</v>
      </c>
      <c r="C855" s="178">
        <v>3</v>
      </c>
      <c r="D855" s="178">
        <v>3</v>
      </c>
      <c r="E855" s="178">
        <v>0</v>
      </c>
      <c r="F855" s="178">
        <v>1</v>
      </c>
      <c r="G855" s="178">
        <v>2</v>
      </c>
      <c r="H855" s="178">
        <v>3</v>
      </c>
      <c r="I855" s="178">
        <v>4</v>
      </c>
      <c r="J855" s="178">
        <v>0</v>
      </c>
      <c r="K855" s="178">
        <v>3</v>
      </c>
      <c r="L855" s="178">
        <v>2</v>
      </c>
      <c r="M855" s="178">
        <v>3</v>
      </c>
      <c r="N855" s="178">
        <v>0</v>
      </c>
      <c r="O855" s="178">
        <v>1</v>
      </c>
      <c r="P855" s="178">
        <v>4</v>
      </c>
      <c r="Q855" s="181">
        <f t="shared" si="137"/>
        <v>29</v>
      </c>
      <c r="R855" s="181">
        <f t="shared" si="138"/>
        <v>1044</v>
      </c>
      <c r="S855" s="181">
        <f t="shared" si="139"/>
        <v>1073</v>
      </c>
    </row>
    <row r="856" spans="1:19" s="180" customFormat="1">
      <c r="A856" s="172">
        <v>8</v>
      </c>
      <c r="B856" s="173" t="s">
        <v>161</v>
      </c>
      <c r="C856" s="178">
        <v>1</v>
      </c>
      <c r="D856" s="178">
        <v>1</v>
      </c>
      <c r="E856" s="178">
        <v>1</v>
      </c>
      <c r="F856" s="178">
        <v>1</v>
      </c>
      <c r="G856" s="178">
        <v>3</v>
      </c>
      <c r="H856" s="178">
        <v>1</v>
      </c>
      <c r="I856" s="178">
        <v>4</v>
      </c>
      <c r="J856" s="178">
        <v>1</v>
      </c>
      <c r="K856" s="178">
        <v>4</v>
      </c>
      <c r="L856" s="178">
        <v>2</v>
      </c>
      <c r="M856" s="178">
        <v>0</v>
      </c>
      <c r="N856" s="178">
        <v>3</v>
      </c>
      <c r="O856" s="178">
        <v>3</v>
      </c>
      <c r="P856" s="178">
        <v>6</v>
      </c>
      <c r="Q856" s="181">
        <f t="shared" si="137"/>
        <v>31</v>
      </c>
      <c r="R856" s="181">
        <f t="shared" si="138"/>
        <v>944</v>
      </c>
      <c r="S856" s="181">
        <f t="shared" si="139"/>
        <v>975</v>
      </c>
    </row>
    <row r="857" spans="1:19" s="180" customFormat="1">
      <c r="A857" s="172">
        <v>9</v>
      </c>
      <c r="B857" s="174" t="s">
        <v>10</v>
      </c>
      <c r="C857" s="178">
        <v>7</v>
      </c>
      <c r="D857" s="178">
        <v>4</v>
      </c>
      <c r="E857" s="178">
        <v>7</v>
      </c>
      <c r="F857" s="178">
        <v>3</v>
      </c>
      <c r="G857" s="178">
        <v>6</v>
      </c>
      <c r="H857" s="178">
        <v>1</v>
      </c>
      <c r="I857" s="178">
        <v>1</v>
      </c>
      <c r="J857" s="178">
        <v>0</v>
      </c>
      <c r="K857" s="178">
        <v>3</v>
      </c>
      <c r="L857" s="178">
        <v>3</v>
      </c>
      <c r="M857" s="178">
        <v>1</v>
      </c>
      <c r="N857" s="178">
        <v>5</v>
      </c>
      <c r="O857" s="178">
        <v>4</v>
      </c>
      <c r="P857" s="178">
        <v>0</v>
      </c>
      <c r="Q857" s="181">
        <f t="shared" si="137"/>
        <v>45</v>
      </c>
      <c r="R857" s="181">
        <f t="shared" si="138"/>
        <v>1297</v>
      </c>
      <c r="S857" s="181">
        <f t="shared" si="139"/>
        <v>1342</v>
      </c>
    </row>
    <row r="858" spans="1:19" s="180" customFormat="1">
      <c r="A858" s="234" t="s">
        <v>11</v>
      </c>
      <c r="B858" s="235"/>
      <c r="C858" s="183">
        <v>0</v>
      </c>
      <c r="D858" s="183">
        <v>0</v>
      </c>
      <c r="E858" s="183">
        <v>0</v>
      </c>
      <c r="F858" s="183">
        <v>0</v>
      </c>
      <c r="G858" s="183">
        <v>0</v>
      </c>
      <c r="H858" s="183">
        <v>0</v>
      </c>
      <c r="I858" s="183">
        <v>0</v>
      </c>
      <c r="J858" s="183">
        <v>0</v>
      </c>
      <c r="K858" s="183">
        <v>0</v>
      </c>
      <c r="L858" s="183">
        <v>0</v>
      </c>
      <c r="M858" s="183">
        <v>0</v>
      </c>
      <c r="N858" s="183">
        <v>0</v>
      </c>
      <c r="O858" s="183">
        <v>0</v>
      </c>
      <c r="P858" s="183">
        <v>0</v>
      </c>
      <c r="Q858" s="181">
        <f t="shared" si="137"/>
        <v>0</v>
      </c>
      <c r="R858" s="181">
        <f t="shared" si="138"/>
        <v>0</v>
      </c>
      <c r="S858" s="181">
        <f t="shared" si="139"/>
        <v>0</v>
      </c>
    </row>
    <row r="859" spans="1:19" s="180" customFormat="1">
      <c r="A859" s="236" t="s">
        <v>12</v>
      </c>
      <c r="B859" s="236"/>
      <c r="C859" s="181">
        <f t="shared" ref="C859:Q859" si="140">SUM(C849:C858)</f>
        <v>536</v>
      </c>
      <c r="D859" s="181">
        <f t="shared" si="140"/>
        <v>343</v>
      </c>
      <c r="E859" s="181">
        <f t="shared" si="140"/>
        <v>522</v>
      </c>
      <c r="F859" s="181">
        <f t="shared" si="140"/>
        <v>558</v>
      </c>
      <c r="G859" s="181">
        <f t="shared" si="140"/>
        <v>563</v>
      </c>
      <c r="H859" s="181">
        <f t="shared" si="140"/>
        <v>586</v>
      </c>
      <c r="I859" s="181">
        <f t="shared" si="140"/>
        <v>485</v>
      </c>
      <c r="J859" s="181">
        <f t="shared" si="140"/>
        <v>498</v>
      </c>
      <c r="K859" s="181">
        <f t="shared" si="140"/>
        <v>823</v>
      </c>
      <c r="L859" s="181">
        <f t="shared" si="140"/>
        <v>400</v>
      </c>
      <c r="M859" s="181">
        <f t="shared" si="140"/>
        <v>418</v>
      </c>
      <c r="N859" s="181">
        <f t="shared" si="140"/>
        <v>438</v>
      </c>
      <c r="O859" s="181">
        <f t="shared" si="140"/>
        <v>480</v>
      </c>
      <c r="P859" s="181">
        <f t="shared" si="140"/>
        <v>785</v>
      </c>
      <c r="Q859" s="181">
        <f t="shared" si="140"/>
        <v>7435</v>
      </c>
      <c r="R859" s="181">
        <f t="shared" si="138"/>
        <v>234635</v>
      </c>
      <c r="S859" s="181">
        <f t="shared" si="139"/>
        <v>242070</v>
      </c>
    </row>
    <row r="860" spans="1:19" ht="18">
      <c r="A860" s="5"/>
      <c r="B860" s="5"/>
      <c r="C860" s="6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8"/>
      <c r="R860" s="7"/>
      <c r="S860" s="7"/>
    </row>
    <row r="861" spans="1:19" ht="22.5">
      <c r="A861" s="83"/>
      <c r="B861" s="83"/>
      <c r="C861" s="10" t="s">
        <v>13</v>
      </c>
      <c r="D861" s="10" t="s">
        <v>13</v>
      </c>
      <c r="E861" s="10" t="s">
        <v>13</v>
      </c>
      <c r="F861" s="10" t="s">
        <v>13</v>
      </c>
      <c r="G861" s="10" t="s">
        <v>13</v>
      </c>
      <c r="H861" s="10" t="s">
        <v>13</v>
      </c>
      <c r="I861" s="10" t="s">
        <v>13</v>
      </c>
      <c r="J861" s="10" t="s">
        <v>13</v>
      </c>
      <c r="K861" s="10" t="s">
        <v>13</v>
      </c>
      <c r="L861" s="10" t="s">
        <v>13</v>
      </c>
      <c r="M861" s="10" t="s">
        <v>13</v>
      </c>
      <c r="N861" s="10" t="s">
        <v>13</v>
      </c>
      <c r="O861" s="10" t="s">
        <v>13</v>
      </c>
      <c r="P861" s="10" t="s">
        <v>13</v>
      </c>
      <c r="Q861" s="10" t="s">
        <v>13</v>
      </c>
      <c r="R861" s="10" t="s">
        <v>13</v>
      </c>
      <c r="S861" s="10" t="s">
        <v>13</v>
      </c>
    </row>
    <row r="862" spans="1:19">
      <c r="A862" s="83"/>
      <c r="B862" s="83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</row>
    <row r="863" spans="1:19" ht="22.5">
      <c r="A863" s="83"/>
      <c r="B863" s="83"/>
      <c r="C863" s="10" t="s">
        <v>14</v>
      </c>
      <c r="D863" s="10" t="s">
        <v>14</v>
      </c>
      <c r="E863" s="10" t="s">
        <v>14</v>
      </c>
      <c r="F863" s="10" t="s">
        <v>14</v>
      </c>
      <c r="G863" s="10" t="s">
        <v>14</v>
      </c>
      <c r="H863" s="10" t="s">
        <v>14</v>
      </c>
      <c r="I863" s="10" t="s">
        <v>14</v>
      </c>
      <c r="J863" s="10" t="s">
        <v>14</v>
      </c>
      <c r="K863" s="10" t="s">
        <v>14</v>
      </c>
      <c r="L863" s="10" t="s">
        <v>14</v>
      </c>
      <c r="M863" s="10" t="s">
        <v>14</v>
      </c>
      <c r="N863" s="10" t="s">
        <v>14</v>
      </c>
      <c r="O863" s="10" t="s">
        <v>14</v>
      </c>
      <c r="P863" s="10" t="s">
        <v>14</v>
      </c>
      <c r="Q863" s="10" t="s">
        <v>14</v>
      </c>
      <c r="R863" s="10" t="s">
        <v>14</v>
      </c>
      <c r="S863" s="10" t="s">
        <v>14</v>
      </c>
    </row>
    <row r="864" spans="1:19">
      <c r="A864" s="83"/>
      <c r="B864" s="83"/>
      <c r="C864" s="83"/>
      <c r="D864" s="83"/>
      <c r="E864" s="83"/>
      <c r="F864" s="83"/>
      <c r="G864" s="83"/>
      <c r="H864" s="83"/>
      <c r="I864" s="83"/>
      <c r="J864" s="83"/>
      <c r="K864" s="83"/>
      <c r="L864" s="83"/>
      <c r="M864" s="83"/>
      <c r="N864" s="83"/>
      <c r="O864" s="83"/>
      <c r="P864" s="83"/>
      <c r="Q864" s="83"/>
      <c r="R864" s="83"/>
      <c r="S864" s="83"/>
    </row>
    <row r="865" spans="1:19">
      <c r="A865" s="237" t="s">
        <v>15</v>
      </c>
      <c r="B865" s="237"/>
      <c r="C865" s="238" t="s">
        <v>16</v>
      </c>
      <c r="D865" s="238"/>
      <c r="E865" s="238"/>
      <c r="F865" s="238"/>
      <c r="G865" s="238"/>
      <c r="H865" s="238"/>
      <c r="I865" s="238"/>
      <c r="J865" s="238"/>
      <c r="K865" s="238"/>
      <c r="L865" s="238"/>
      <c r="M865" s="238"/>
      <c r="N865" s="238"/>
      <c r="O865" s="238"/>
      <c r="P865" s="238"/>
      <c r="Q865" s="238"/>
      <c r="R865" s="83"/>
      <c r="S865" s="83"/>
    </row>
    <row r="866" spans="1:19">
      <c r="A866" s="83"/>
      <c r="B866" s="83"/>
      <c r="C866" s="238" t="s">
        <v>17</v>
      </c>
      <c r="D866" s="238"/>
      <c r="E866" s="238"/>
      <c r="F866" s="238"/>
      <c r="G866" s="238"/>
      <c r="H866" s="238"/>
      <c r="I866" s="238"/>
      <c r="J866" s="238"/>
      <c r="K866" s="238"/>
      <c r="L866" s="238"/>
      <c r="M866" s="238"/>
      <c r="N866" s="238"/>
      <c r="O866" s="238"/>
      <c r="P866" s="238"/>
      <c r="Q866" s="238"/>
      <c r="R866" s="83"/>
      <c r="S866" s="83"/>
    </row>
    <row r="867" spans="1:19">
      <c r="A867" s="83"/>
      <c r="B867" s="83"/>
      <c r="C867" s="228" t="s">
        <v>45</v>
      </c>
      <c r="D867" s="228"/>
      <c r="E867" s="228"/>
      <c r="F867" s="228"/>
      <c r="G867" s="228"/>
      <c r="H867" s="228"/>
      <c r="I867" s="228"/>
      <c r="J867" s="228"/>
      <c r="K867" s="228"/>
      <c r="L867" s="228"/>
      <c r="M867" s="228"/>
      <c r="N867" s="228"/>
      <c r="O867" s="228"/>
      <c r="P867" s="228"/>
      <c r="Q867" s="228"/>
      <c r="R867" s="83"/>
      <c r="S867" s="83"/>
    </row>
    <row r="868" spans="1:19">
      <c r="A868" s="83"/>
      <c r="B868" s="83"/>
      <c r="C868" s="228" t="s">
        <v>46</v>
      </c>
      <c r="D868" s="228"/>
      <c r="E868" s="228"/>
      <c r="F868" s="228"/>
      <c r="G868" s="228"/>
      <c r="H868" s="228"/>
      <c r="I868" s="228"/>
      <c r="J868" s="228"/>
      <c r="K868" s="228"/>
      <c r="L868" s="228"/>
      <c r="M868" s="228"/>
      <c r="N868" s="228"/>
      <c r="O868" s="228"/>
      <c r="P868" s="228"/>
      <c r="Q868" s="228"/>
      <c r="R868" s="83"/>
      <c r="S868" s="83"/>
    </row>
    <row r="869" spans="1:19">
      <c r="A869" s="83"/>
      <c r="B869" s="61" t="s">
        <v>139</v>
      </c>
      <c r="C869" s="227" t="s">
        <v>138</v>
      </c>
      <c r="D869" s="227"/>
      <c r="E869" s="227"/>
      <c r="F869" s="227"/>
      <c r="G869" s="227"/>
      <c r="H869" s="227"/>
      <c r="I869" s="227"/>
      <c r="J869" s="227"/>
      <c r="K869" s="227"/>
      <c r="L869" s="227"/>
      <c r="M869" s="227"/>
      <c r="N869" s="227"/>
      <c r="O869" s="227"/>
      <c r="P869" s="227"/>
      <c r="Q869" s="227"/>
      <c r="R869" s="83"/>
      <c r="S869" s="83"/>
    </row>
    <row r="870" spans="1:19">
      <c r="A870" s="83"/>
      <c r="B870" s="61"/>
      <c r="C870" s="86"/>
      <c r="D870" s="86"/>
      <c r="E870" s="86"/>
      <c r="F870" s="86"/>
      <c r="G870" s="86"/>
      <c r="H870" s="86"/>
      <c r="I870" s="86"/>
      <c r="J870" s="86"/>
      <c r="K870" s="86"/>
      <c r="L870" s="86"/>
      <c r="M870" s="86"/>
      <c r="N870" s="86"/>
      <c r="O870" s="86"/>
      <c r="P870" s="86"/>
      <c r="Q870" s="86"/>
      <c r="R870" s="83"/>
      <c r="S870" s="83"/>
    </row>
    <row r="871" spans="1:19" ht="26.25">
      <c r="A871" s="229" t="s">
        <v>0</v>
      </c>
      <c r="B871" s="229"/>
      <c r="C871" s="229"/>
      <c r="D871" s="229"/>
      <c r="E871" s="229"/>
      <c r="F871" s="229"/>
      <c r="G871" s="229"/>
      <c r="H871" s="229"/>
      <c r="I871" s="229"/>
      <c r="J871" s="229"/>
      <c r="K871" s="229"/>
      <c r="L871" s="229"/>
      <c r="M871" s="229"/>
      <c r="N871" s="229"/>
      <c r="O871" s="229"/>
      <c r="P871" s="229"/>
      <c r="Q871" s="229"/>
      <c r="R871" s="229"/>
      <c r="S871" s="229"/>
    </row>
    <row r="872" spans="1:19" ht="19.5">
      <c r="A872" s="230" t="s">
        <v>83</v>
      </c>
      <c r="B872" s="230"/>
      <c r="C872" s="230"/>
      <c r="D872" s="230"/>
      <c r="E872" s="230"/>
      <c r="F872" s="230"/>
      <c r="G872" s="230"/>
      <c r="H872" s="230"/>
      <c r="I872" s="1"/>
      <c r="J872" s="1"/>
      <c r="K872" s="231" t="s">
        <v>195</v>
      </c>
      <c r="L872" s="231"/>
      <c r="M872" s="231"/>
      <c r="N872" s="231"/>
      <c r="O872" s="1"/>
      <c r="P872" s="232" t="s">
        <v>1</v>
      </c>
      <c r="Q872" s="232"/>
      <c r="R872" s="233">
        <v>44630</v>
      </c>
      <c r="S872" s="233"/>
    </row>
    <row r="873" spans="1:19">
      <c r="A873" s="242" t="s">
        <v>2</v>
      </c>
      <c r="B873" s="242"/>
      <c r="C873" s="82">
        <v>1</v>
      </c>
      <c r="D873" s="82">
        <v>2</v>
      </c>
      <c r="E873" s="82">
        <v>3</v>
      </c>
      <c r="F873" s="82">
        <v>4</v>
      </c>
      <c r="G873" s="82">
        <v>5</v>
      </c>
      <c r="H873" s="82">
        <v>6</v>
      </c>
      <c r="I873" s="82">
        <v>7</v>
      </c>
      <c r="J873" s="82">
        <v>8</v>
      </c>
      <c r="K873" s="82">
        <v>9</v>
      </c>
      <c r="L873" s="82">
        <v>10</v>
      </c>
      <c r="M873" s="82">
        <v>11</v>
      </c>
      <c r="N873" s="82">
        <v>12</v>
      </c>
      <c r="O873" s="82">
        <v>13</v>
      </c>
      <c r="P873" s="82">
        <v>14</v>
      </c>
      <c r="Q873" s="239" t="s">
        <v>3</v>
      </c>
      <c r="R873" s="239" t="s">
        <v>4</v>
      </c>
      <c r="S873" s="239" t="s">
        <v>5</v>
      </c>
    </row>
    <row r="874" spans="1:19">
      <c r="A874" s="242" t="s">
        <v>6</v>
      </c>
      <c r="B874" s="242"/>
      <c r="C874" s="82">
        <v>421</v>
      </c>
      <c r="D874" s="82">
        <v>422</v>
      </c>
      <c r="E874" s="82">
        <v>423</v>
      </c>
      <c r="F874" s="82">
        <v>424</v>
      </c>
      <c r="G874" s="82">
        <v>425</v>
      </c>
      <c r="H874" s="82">
        <v>426</v>
      </c>
      <c r="I874" s="82">
        <v>427</v>
      </c>
      <c r="J874" s="82">
        <v>428</v>
      </c>
      <c r="K874" s="82">
        <v>429</v>
      </c>
      <c r="L874" s="82">
        <v>430</v>
      </c>
      <c r="M874" s="82">
        <v>431</v>
      </c>
      <c r="N874" s="82">
        <v>432</v>
      </c>
      <c r="O874" s="82">
        <v>433</v>
      </c>
      <c r="P874" s="82">
        <v>434</v>
      </c>
      <c r="Q874" s="240"/>
      <c r="R874" s="240"/>
      <c r="S874" s="240"/>
    </row>
    <row r="875" spans="1:19" ht="31.5">
      <c r="A875" s="243" t="s">
        <v>18</v>
      </c>
      <c r="B875" s="244"/>
      <c r="C875" s="118" t="s">
        <v>593</v>
      </c>
      <c r="D875" s="118" t="s">
        <v>594</v>
      </c>
      <c r="E875" s="118" t="s">
        <v>595</v>
      </c>
      <c r="F875" s="118" t="s">
        <v>596</v>
      </c>
      <c r="G875" s="118" t="s">
        <v>597</v>
      </c>
      <c r="H875" s="118" t="s">
        <v>598</v>
      </c>
      <c r="I875" s="118" t="s">
        <v>599</v>
      </c>
      <c r="J875" s="118" t="s">
        <v>600</v>
      </c>
      <c r="K875" s="118" t="s">
        <v>601</v>
      </c>
      <c r="L875" s="118" t="s">
        <v>602</v>
      </c>
      <c r="M875" s="118" t="s">
        <v>603</v>
      </c>
      <c r="N875" s="118" t="s">
        <v>604</v>
      </c>
      <c r="O875" s="118" t="s">
        <v>605</v>
      </c>
      <c r="P875" s="166" t="s">
        <v>606</v>
      </c>
      <c r="Q875" s="240"/>
      <c r="R875" s="240"/>
      <c r="S875" s="240"/>
    </row>
    <row r="876" spans="1:19" ht="26.25" hidden="1" customHeight="1">
      <c r="A876" s="245" t="s">
        <v>20</v>
      </c>
      <c r="B876" s="246"/>
      <c r="C876" s="33">
        <v>867</v>
      </c>
      <c r="D876" s="33">
        <v>684</v>
      </c>
      <c r="E876" s="33">
        <v>619</v>
      </c>
      <c r="F876" s="33">
        <v>571</v>
      </c>
      <c r="G876" s="33">
        <v>584</v>
      </c>
      <c r="H876" s="33">
        <v>707</v>
      </c>
      <c r="I876" s="33">
        <v>655</v>
      </c>
      <c r="J876" s="33">
        <v>333</v>
      </c>
      <c r="K876" s="33">
        <v>444</v>
      </c>
      <c r="L876" s="33">
        <v>470</v>
      </c>
      <c r="M876" s="33">
        <v>583</v>
      </c>
      <c r="N876" s="33">
        <v>406</v>
      </c>
      <c r="O876" s="33">
        <v>485</v>
      </c>
      <c r="P876" s="25">
        <v>337</v>
      </c>
      <c r="Q876" s="240"/>
      <c r="R876" s="240"/>
      <c r="S876" s="240"/>
    </row>
    <row r="877" spans="1:19">
      <c r="A877" s="84" t="s">
        <v>7</v>
      </c>
      <c r="B877" s="82" t="s">
        <v>8</v>
      </c>
      <c r="C877" s="85" t="s">
        <v>9</v>
      </c>
      <c r="D877" s="85" t="s">
        <v>9</v>
      </c>
      <c r="E877" s="85" t="s">
        <v>9</v>
      </c>
      <c r="F877" s="85" t="s">
        <v>9</v>
      </c>
      <c r="G877" s="85" t="s">
        <v>9</v>
      </c>
      <c r="H877" s="85" t="s">
        <v>9</v>
      </c>
      <c r="I877" s="85" t="s">
        <v>9</v>
      </c>
      <c r="J877" s="85" t="s">
        <v>9</v>
      </c>
      <c r="K877" s="85" t="s">
        <v>9</v>
      </c>
      <c r="L877" s="85" t="s">
        <v>9</v>
      </c>
      <c r="M877" s="85" t="s">
        <v>9</v>
      </c>
      <c r="N877" s="85" t="s">
        <v>9</v>
      </c>
      <c r="O877" s="85" t="s">
        <v>9</v>
      </c>
      <c r="P877" s="85" t="s">
        <v>9</v>
      </c>
      <c r="Q877" s="241"/>
      <c r="R877" s="241"/>
      <c r="S877" s="241"/>
    </row>
    <row r="878" spans="1:19" s="180" customFormat="1">
      <c r="A878" s="172">
        <v>1</v>
      </c>
      <c r="B878" s="173" t="s">
        <v>85</v>
      </c>
      <c r="C878" s="178">
        <v>114</v>
      </c>
      <c r="D878" s="178">
        <v>47</v>
      </c>
      <c r="E878" s="178">
        <v>110</v>
      </c>
      <c r="F878" s="178">
        <v>122</v>
      </c>
      <c r="G878" s="178">
        <v>181</v>
      </c>
      <c r="H878" s="178">
        <v>65</v>
      </c>
      <c r="I878" s="178">
        <v>56</v>
      </c>
      <c r="J878" s="178">
        <v>87</v>
      </c>
      <c r="K878" s="178">
        <v>132</v>
      </c>
      <c r="L878" s="178">
        <v>172</v>
      </c>
      <c r="M878" s="178">
        <v>77</v>
      </c>
      <c r="N878" s="178">
        <v>79</v>
      </c>
      <c r="O878" s="178">
        <v>44</v>
      </c>
      <c r="P878" s="178">
        <v>74</v>
      </c>
      <c r="Q878" s="181">
        <f t="shared" ref="Q878:Q887" si="141">SUM(C878:P878)</f>
        <v>1360</v>
      </c>
      <c r="R878" s="181">
        <f t="shared" ref="R878:R888" si="142">S849</f>
        <v>57578</v>
      </c>
      <c r="S878" s="181">
        <f t="shared" ref="S878:S888" si="143">Q878+R878</f>
        <v>58938</v>
      </c>
    </row>
    <row r="879" spans="1:19" s="180" customFormat="1">
      <c r="A879" s="172">
        <v>2</v>
      </c>
      <c r="B879" s="173" t="s">
        <v>156</v>
      </c>
      <c r="C879" s="178">
        <v>597</v>
      </c>
      <c r="D879" s="178">
        <v>599</v>
      </c>
      <c r="E879" s="178">
        <v>463</v>
      </c>
      <c r="F879" s="178">
        <v>410</v>
      </c>
      <c r="G879" s="178">
        <v>350</v>
      </c>
      <c r="H879" s="178">
        <v>379</v>
      </c>
      <c r="I879" s="178">
        <v>564</v>
      </c>
      <c r="J879" s="178">
        <v>224</v>
      </c>
      <c r="K879" s="178">
        <v>253</v>
      </c>
      <c r="L879" s="178">
        <v>270</v>
      </c>
      <c r="M879" s="178">
        <v>234</v>
      </c>
      <c r="N879" s="178">
        <v>302</v>
      </c>
      <c r="O879" s="178">
        <v>386</v>
      </c>
      <c r="P879" s="178">
        <v>148</v>
      </c>
      <c r="Q879" s="181">
        <f t="shared" si="141"/>
        <v>5179</v>
      </c>
      <c r="R879" s="181">
        <f t="shared" si="142"/>
        <v>141747</v>
      </c>
      <c r="S879" s="181">
        <f t="shared" si="143"/>
        <v>146926</v>
      </c>
    </row>
    <row r="880" spans="1:19" s="180" customFormat="1">
      <c r="A880" s="172">
        <v>3</v>
      </c>
      <c r="B880" s="173" t="s">
        <v>157</v>
      </c>
      <c r="C880" s="178">
        <v>4</v>
      </c>
      <c r="D880" s="178">
        <v>8</v>
      </c>
      <c r="E880" s="178">
        <v>3</v>
      </c>
      <c r="F880" s="178">
        <v>6</v>
      </c>
      <c r="G880" s="178">
        <v>6</v>
      </c>
      <c r="H880" s="178">
        <v>3</v>
      </c>
      <c r="I880" s="178">
        <v>6</v>
      </c>
      <c r="J880" s="178">
        <v>8</v>
      </c>
      <c r="K880" s="178">
        <v>7</v>
      </c>
      <c r="L880" s="178">
        <v>15</v>
      </c>
      <c r="M880" s="178">
        <v>29</v>
      </c>
      <c r="N880" s="178">
        <v>6</v>
      </c>
      <c r="O880" s="178">
        <v>1</v>
      </c>
      <c r="P880" s="178">
        <v>4</v>
      </c>
      <c r="Q880" s="181">
        <f t="shared" si="141"/>
        <v>106</v>
      </c>
      <c r="R880" s="181">
        <f t="shared" si="142"/>
        <v>2751</v>
      </c>
      <c r="S880" s="181">
        <f t="shared" si="143"/>
        <v>2857</v>
      </c>
    </row>
    <row r="881" spans="1:19" s="180" customFormat="1">
      <c r="A881" s="172">
        <v>4</v>
      </c>
      <c r="B881" s="173" t="s">
        <v>158</v>
      </c>
      <c r="C881" s="178">
        <v>131</v>
      </c>
      <c r="D881" s="178">
        <v>15</v>
      </c>
      <c r="E881" s="178">
        <v>30</v>
      </c>
      <c r="F881" s="178">
        <v>28</v>
      </c>
      <c r="G881" s="178">
        <v>29</v>
      </c>
      <c r="H881" s="178">
        <v>243</v>
      </c>
      <c r="I881" s="178">
        <v>16</v>
      </c>
      <c r="J881" s="178">
        <v>5</v>
      </c>
      <c r="K881" s="178">
        <v>40</v>
      </c>
      <c r="L881" s="178">
        <v>2</v>
      </c>
      <c r="M881" s="178">
        <v>226</v>
      </c>
      <c r="N881" s="178">
        <v>12</v>
      </c>
      <c r="O881" s="178">
        <v>46</v>
      </c>
      <c r="P881" s="178">
        <v>102</v>
      </c>
      <c r="Q881" s="181">
        <f t="shared" si="141"/>
        <v>925</v>
      </c>
      <c r="R881" s="181">
        <f t="shared" si="142"/>
        <v>34719</v>
      </c>
      <c r="S881" s="181">
        <f t="shared" si="143"/>
        <v>35644</v>
      </c>
    </row>
    <row r="882" spans="1:19" s="180" customFormat="1">
      <c r="A882" s="172">
        <v>5</v>
      </c>
      <c r="B882" s="173" t="s">
        <v>159</v>
      </c>
      <c r="C882" s="178">
        <v>8</v>
      </c>
      <c r="D882" s="178">
        <v>0</v>
      </c>
      <c r="E882" s="178">
        <v>2</v>
      </c>
      <c r="F882" s="178">
        <v>0</v>
      </c>
      <c r="G882" s="178">
        <v>2</v>
      </c>
      <c r="H882" s="178">
        <v>2</v>
      </c>
      <c r="I882" s="178">
        <v>0</v>
      </c>
      <c r="J882" s="178">
        <v>0</v>
      </c>
      <c r="K882" s="178">
        <v>0</v>
      </c>
      <c r="L882" s="178">
        <v>1</v>
      </c>
      <c r="M882" s="178">
        <v>8</v>
      </c>
      <c r="N882" s="178">
        <v>0</v>
      </c>
      <c r="O882" s="178">
        <v>2</v>
      </c>
      <c r="P882" s="178">
        <v>1</v>
      </c>
      <c r="Q882" s="181">
        <f t="shared" si="141"/>
        <v>26</v>
      </c>
      <c r="R882" s="181">
        <f t="shared" si="142"/>
        <v>696</v>
      </c>
      <c r="S882" s="181">
        <f t="shared" si="143"/>
        <v>722</v>
      </c>
    </row>
    <row r="883" spans="1:19" s="180" customFormat="1">
      <c r="A883" s="172">
        <v>6</v>
      </c>
      <c r="B883" s="173" t="s">
        <v>160</v>
      </c>
      <c r="C883" s="178">
        <v>3</v>
      </c>
      <c r="D883" s="178">
        <v>4</v>
      </c>
      <c r="E883" s="178">
        <v>0</v>
      </c>
      <c r="F883" s="178">
        <v>2</v>
      </c>
      <c r="G883" s="178">
        <v>3</v>
      </c>
      <c r="H883" s="178">
        <v>4</v>
      </c>
      <c r="I883" s="178">
        <v>5</v>
      </c>
      <c r="J883" s="178">
        <v>2</v>
      </c>
      <c r="K883" s="178">
        <v>2</v>
      </c>
      <c r="L883" s="178">
        <v>0</v>
      </c>
      <c r="M883" s="178">
        <v>6</v>
      </c>
      <c r="N883" s="178">
        <v>3</v>
      </c>
      <c r="O883" s="178">
        <v>1</v>
      </c>
      <c r="P883" s="178">
        <v>0</v>
      </c>
      <c r="Q883" s="181">
        <f t="shared" si="141"/>
        <v>35</v>
      </c>
      <c r="R883" s="181">
        <f t="shared" si="142"/>
        <v>1189</v>
      </c>
      <c r="S883" s="181">
        <f t="shared" si="143"/>
        <v>1224</v>
      </c>
    </row>
    <row r="884" spans="1:19" s="180" customFormat="1">
      <c r="A884" s="172">
        <v>7</v>
      </c>
      <c r="B884" s="173" t="s">
        <v>86</v>
      </c>
      <c r="C884" s="178">
        <v>4</v>
      </c>
      <c r="D884" s="178">
        <v>1</v>
      </c>
      <c r="E884" s="178">
        <v>1</v>
      </c>
      <c r="F884" s="178">
        <v>0</v>
      </c>
      <c r="G884" s="178">
        <v>4</v>
      </c>
      <c r="H884" s="178">
        <v>5</v>
      </c>
      <c r="I884" s="178">
        <v>5</v>
      </c>
      <c r="J884" s="178">
        <v>3</v>
      </c>
      <c r="K884" s="178">
        <v>1</v>
      </c>
      <c r="L884" s="178">
        <v>2</v>
      </c>
      <c r="M884" s="178">
        <v>0</v>
      </c>
      <c r="N884" s="178">
        <v>0</v>
      </c>
      <c r="O884" s="178">
        <v>2</v>
      </c>
      <c r="P884" s="178">
        <v>3</v>
      </c>
      <c r="Q884" s="181">
        <f t="shared" si="141"/>
        <v>31</v>
      </c>
      <c r="R884" s="181">
        <f t="shared" si="142"/>
        <v>1073</v>
      </c>
      <c r="S884" s="181">
        <f t="shared" si="143"/>
        <v>1104</v>
      </c>
    </row>
    <row r="885" spans="1:19" s="180" customFormat="1">
      <c r="A885" s="172">
        <v>8</v>
      </c>
      <c r="B885" s="173" t="s">
        <v>161</v>
      </c>
      <c r="C885" s="178">
        <v>2</v>
      </c>
      <c r="D885" s="178">
        <v>4</v>
      </c>
      <c r="E885" s="178">
        <v>3</v>
      </c>
      <c r="F885" s="178">
        <v>3</v>
      </c>
      <c r="G885" s="178">
        <v>2</v>
      </c>
      <c r="H885" s="178">
        <v>2</v>
      </c>
      <c r="I885" s="178">
        <v>2</v>
      </c>
      <c r="J885" s="178">
        <v>1</v>
      </c>
      <c r="K885" s="178">
        <v>2</v>
      </c>
      <c r="L885" s="178">
        <v>2</v>
      </c>
      <c r="M885" s="178">
        <v>2</v>
      </c>
      <c r="N885" s="178">
        <v>1</v>
      </c>
      <c r="O885" s="178">
        <v>2</v>
      </c>
      <c r="P885" s="178">
        <v>1</v>
      </c>
      <c r="Q885" s="181">
        <f t="shared" si="141"/>
        <v>29</v>
      </c>
      <c r="R885" s="181">
        <f t="shared" si="142"/>
        <v>975</v>
      </c>
      <c r="S885" s="181">
        <f t="shared" si="143"/>
        <v>1004</v>
      </c>
    </row>
    <row r="886" spans="1:19" s="180" customFormat="1">
      <c r="A886" s="172">
        <v>9</v>
      </c>
      <c r="B886" s="174" t="s">
        <v>10</v>
      </c>
      <c r="C886" s="178">
        <v>4</v>
      </c>
      <c r="D886" s="178">
        <v>6</v>
      </c>
      <c r="E886" s="178">
        <v>7</v>
      </c>
      <c r="F886" s="178">
        <v>0</v>
      </c>
      <c r="G886" s="178">
        <v>7</v>
      </c>
      <c r="H886" s="178">
        <v>4</v>
      </c>
      <c r="I886" s="178">
        <v>1</v>
      </c>
      <c r="J886" s="178">
        <v>3</v>
      </c>
      <c r="K886" s="178">
        <v>7</v>
      </c>
      <c r="L886" s="178">
        <v>6</v>
      </c>
      <c r="M886" s="178">
        <v>1</v>
      </c>
      <c r="N886" s="178">
        <v>3</v>
      </c>
      <c r="O886" s="178">
        <v>1</v>
      </c>
      <c r="P886" s="178">
        <v>4</v>
      </c>
      <c r="Q886" s="181">
        <f t="shared" si="141"/>
        <v>54</v>
      </c>
      <c r="R886" s="181">
        <f t="shared" si="142"/>
        <v>1342</v>
      </c>
      <c r="S886" s="181">
        <f t="shared" si="143"/>
        <v>1396</v>
      </c>
    </row>
    <row r="887" spans="1:19" s="180" customFormat="1">
      <c r="A887" s="234" t="s">
        <v>11</v>
      </c>
      <c r="B887" s="235"/>
      <c r="C887" s="183">
        <v>0</v>
      </c>
      <c r="D887" s="183">
        <v>0</v>
      </c>
      <c r="E887" s="183">
        <v>0</v>
      </c>
      <c r="F887" s="183">
        <v>0</v>
      </c>
      <c r="G887" s="183">
        <v>0</v>
      </c>
      <c r="H887" s="183">
        <v>0</v>
      </c>
      <c r="I887" s="183">
        <v>0</v>
      </c>
      <c r="J887" s="183">
        <v>0</v>
      </c>
      <c r="K887" s="183">
        <v>0</v>
      </c>
      <c r="L887" s="183">
        <v>0</v>
      </c>
      <c r="M887" s="183">
        <v>0</v>
      </c>
      <c r="N887" s="183">
        <v>0</v>
      </c>
      <c r="O887" s="183">
        <v>0</v>
      </c>
      <c r="P887" s="183">
        <v>0</v>
      </c>
      <c r="Q887" s="181">
        <f t="shared" si="141"/>
        <v>0</v>
      </c>
      <c r="R887" s="181">
        <f t="shared" si="142"/>
        <v>0</v>
      </c>
      <c r="S887" s="181">
        <f t="shared" si="143"/>
        <v>0</v>
      </c>
    </row>
    <row r="888" spans="1:19" s="180" customFormat="1">
      <c r="A888" s="236" t="s">
        <v>12</v>
      </c>
      <c r="B888" s="236"/>
      <c r="C888" s="181">
        <f t="shared" ref="C888:Q888" si="144">SUM(C878:C887)</f>
        <v>867</v>
      </c>
      <c r="D888" s="181">
        <f t="shared" si="144"/>
        <v>684</v>
      </c>
      <c r="E888" s="181">
        <f t="shared" si="144"/>
        <v>619</v>
      </c>
      <c r="F888" s="181">
        <f t="shared" si="144"/>
        <v>571</v>
      </c>
      <c r="G888" s="181">
        <f t="shared" si="144"/>
        <v>584</v>
      </c>
      <c r="H888" s="181">
        <f t="shared" si="144"/>
        <v>707</v>
      </c>
      <c r="I888" s="181">
        <f t="shared" si="144"/>
        <v>655</v>
      </c>
      <c r="J888" s="181">
        <f t="shared" si="144"/>
        <v>333</v>
      </c>
      <c r="K888" s="181">
        <f t="shared" si="144"/>
        <v>444</v>
      </c>
      <c r="L888" s="181">
        <f t="shared" si="144"/>
        <v>470</v>
      </c>
      <c r="M888" s="181">
        <f t="shared" si="144"/>
        <v>583</v>
      </c>
      <c r="N888" s="181">
        <f t="shared" si="144"/>
        <v>406</v>
      </c>
      <c r="O888" s="181">
        <f t="shared" si="144"/>
        <v>485</v>
      </c>
      <c r="P888" s="181">
        <f t="shared" si="144"/>
        <v>337</v>
      </c>
      <c r="Q888" s="181">
        <f t="shared" si="144"/>
        <v>7745</v>
      </c>
      <c r="R888" s="181">
        <f t="shared" si="142"/>
        <v>242070</v>
      </c>
      <c r="S888" s="181">
        <f t="shared" si="143"/>
        <v>249815</v>
      </c>
    </row>
    <row r="889" spans="1:19" ht="18">
      <c r="A889" s="5"/>
      <c r="B889" s="5"/>
      <c r="C889" s="6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8"/>
      <c r="R889" s="7"/>
      <c r="S889" s="7"/>
    </row>
    <row r="890" spans="1:19" ht="22.5">
      <c r="A890" s="83"/>
      <c r="B890" s="83"/>
      <c r="C890" s="10" t="s">
        <v>13</v>
      </c>
      <c r="D890" s="10" t="s">
        <v>13</v>
      </c>
      <c r="E890" s="10" t="s">
        <v>13</v>
      </c>
      <c r="F890" s="10" t="s">
        <v>13</v>
      </c>
      <c r="G890" s="10" t="s">
        <v>13</v>
      </c>
      <c r="H890" s="10" t="s">
        <v>13</v>
      </c>
      <c r="I890" s="10" t="s">
        <v>13</v>
      </c>
      <c r="J890" s="10" t="s">
        <v>13</v>
      </c>
      <c r="K890" s="10" t="s">
        <v>13</v>
      </c>
      <c r="L890" s="10" t="s">
        <v>13</v>
      </c>
      <c r="M890" s="10" t="s">
        <v>13</v>
      </c>
      <c r="N890" s="10" t="s">
        <v>13</v>
      </c>
      <c r="O890" s="10" t="s">
        <v>13</v>
      </c>
      <c r="P890" s="10" t="s">
        <v>13</v>
      </c>
      <c r="Q890" s="10" t="s">
        <v>13</v>
      </c>
      <c r="R890" s="10" t="s">
        <v>13</v>
      </c>
      <c r="S890" s="10" t="s">
        <v>13</v>
      </c>
    </row>
    <row r="891" spans="1:19">
      <c r="A891" s="83"/>
      <c r="B891" s="83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</row>
    <row r="892" spans="1:19" ht="22.5">
      <c r="A892" s="83"/>
      <c r="B892" s="83"/>
      <c r="C892" s="10" t="s">
        <v>14</v>
      </c>
      <c r="D892" s="10" t="s">
        <v>14</v>
      </c>
      <c r="E892" s="10" t="s">
        <v>14</v>
      </c>
      <c r="F892" s="10" t="s">
        <v>14</v>
      </c>
      <c r="G892" s="10" t="s">
        <v>14</v>
      </c>
      <c r="H892" s="10" t="s">
        <v>14</v>
      </c>
      <c r="I892" s="10" t="s">
        <v>14</v>
      </c>
      <c r="J892" s="10" t="s">
        <v>14</v>
      </c>
      <c r="K892" s="10" t="s">
        <v>14</v>
      </c>
      <c r="L892" s="10" t="s">
        <v>14</v>
      </c>
      <c r="M892" s="10" t="s">
        <v>14</v>
      </c>
      <c r="N892" s="10" t="s">
        <v>14</v>
      </c>
      <c r="O892" s="10" t="s">
        <v>14</v>
      </c>
      <c r="P892" s="10" t="s">
        <v>14</v>
      </c>
      <c r="Q892" s="10" t="s">
        <v>14</v>
      </c>
      <c r="R892" s="10" t="s">
        <v>14</v>
      </c>
      <c r="S892" s="10" t="s">
        <v>14</v>
      </c>
    </row>
    <row r="893" spans="1:19">
      <c r="A893" s="83"/>
      <c r="B893" s="83"/>
      <c r="C893" s="83"/>
      <c r="D893" s="83"/>
      <c r="E893" s="83"/>
      <c r="F893" s="83"/>
      <c r="G893" s="83"/>
      <c r="H893" s="83"/>
      <c r="I893" s="83"/>
      <c r="J893" s="83"/>
      <c r="K893" s="83"/>
      <c r="L893" s="83"/>
      <c r="M893" s="83"/>
      <c r="N893" s="83"/>
      <c r="O893" s="83"/>
      <c r="P893" s="83"/>
      <c r="Q893" s="83"/>
      <c r="R893" s="83"/>
      <c r="S893" s="83"/>
    </row>
    <row r="894" spans="1:19">
      <c r="A894" s="237" t="s">
        <v>15</v>
      </c>
      <c r="B894" s="237"/>
      <c r="C894" s="238" t="s">
        <v>16</v>
      </c>
      <c r="D894" s="238"/>
      <c r="E894" s="238"/>
      <c r="F894" s="238"/>
      <c r="G894" s="238"/>
      <c r="H894" s="238"/>
      <c r="I894" s="238"/>
      <c r="J894" s="238"/>
      <c r="K894" s="238"/>
      <c r="L894" s="238"/>
      <c r="M894" s="238"/>
      <c r="N894" s="238"/>
      <c r="O894" s="238"/>
      <c r="P894" s="238"/>
      <c r="Q894" s="238"/>
      <c r="R894" s="83"/>
      <c r="S894" s="83"/>
    </row>
    <row r="895" spans="1:19">
      <c r="A895" s="83"/>
      <c r="B895" s="83"/>
      <c r="C895" s="238" t="s">
        <v>17</v>
      </c>
      <c r="D895" s="238"/>
      <c r="E895" s="238"/>
      <c r="F895" s="238"/>
      <c r="G895" s="238"/>
      <c r="H895" s="238"/>
      <c r="I895" s="238"/>
      <c r="J895" s="238"/>
      <c r="K895" s="238"/>
      <c r="L895" s="238"/>
      <c r="M895" s="238"/>
      <c r="N895" s="238"/>
      <c r="O895" s="238"/>
      <c r="P895" s="238"/>
      <c r="Q895" s="238"/>
      <c r="R895" s="83"/>
      <c r="S895" s="83"/>
    </row>
    <row r="896" spans="1:19">
      <c r="A896" s="83"/>
      <c r="B896" s="83"/>
      <c r="C896" s="228" t="s">
        <v>45</v>
      </c>
      <c r="D896" s="228"/>
      <c r="E896" s="228"/>
      <c r="F896" s="228"/>
      <c r="G896" s="228"/>
      <c r="H896" s="228"/>
      <c r="I896" s="228"/>
      <c r="J896" s="228"/>
      <c r="K896" s="228"/>
      <c r="L896" s="228"/>
      <c r="M896" s="228"/>
      <c r="N896" s="228"/>
      <c r="O896" s="228"/>
      <c r="P896" s="228"/>
      <c r="Q896" s="228"/>
      <c r="R896" s="83"/>
      <c r="S896" s="83"/>
    </row>
    <row r="897" spans="1:19">
      <c r="A897" s="83"/>
      <c r="B897" s="83"/>
      <c r="C897" s="228" t="s">
        <v>46</v>
      </c>
      <c r="D897" s="228"/>
      <c r="E897" s="228"/>
      <c r="F897" s="228"/>
      <c r="G897" s="228"/>
      <c r="H897" s="228"/>
      <c r="I897" s="228"/>
      <c r="J897" s="228"/>
      <c r="K897" s="228"/>
      <c r="L897" s="228"/>
      <c r="M897" s="228"/>
      <c r="N897" s="228"/>
      <c r="O897" s="228"/>
      <c r="P897" s="228"/>
      <c r="Q897" s="228"/>
      <c r="R897" s="83"/>
      <c r="S897" s="83"/>
    </row>
    <row r="898" spans="1:19">
      <c r="A898" s="83"/>
      <c r="B898" s="61" t="s">
        <v>139</v>
      </c>
      <c r="C898" s="227" t="s">
        <v>138</v>
      </c>
      <c r="D898" s="227"/>
      <c r="E898" s="227"/>
      <c r="F898" s="227"/>
      <c r="G898" s="227"/>
      <c r="H898" s="227"/>
      <c r="I898" s="227"/>
      <c r="J898" s="227"/>
      <c r="K898" s="227"/>
      <c r="L898" s="227"/>
      <c r="M898" s="227"/>
      <c r="N898" s="227"/>
      <c r="O898" s="227"/>
      <c r="P898" s="227"/>
      <c r="Q898" s="227"/>
      <c r="R898" s="83"/>
      <c r="S898" s="83"/>
    </row>
    <row r="899" spans="1:19">
      <c r="A899" s="83"/>
      <c r="B899" s="61"/>
      <c r="C899" s="86"/>
      <c r="D899" s="86"/>
      <c r="E899" s="86"/>
      <c r="F899" s="86"/>
      <c r="G899" s="86"/>
      <c r="H899" s="86"/>
      <c r="I899" s="86"/>
      <c r="J899" s="86"/>
      <c r="K899" s="86"/>
      <c r="L899" s="86"/>
      <c r="M899" s="86"/>
      <c r="N899" s="86"/>
      <c r="O899" s="86"/>
      <c r="P899" s="86"/>
      <c r="Q899" s="86"/>
      <c r="R899" s="83"/>
      <c r="S899" s="83"/>
    </row>
    <row r="900" spans="1:19" ht="26.25">
      <c r="A900" s="229" t="s">
        <v>0</v>
      </c>
      <c r="B900" s="229"/>
      <c r="C900" s="229"/>
      <c r="D900" s="229"/>
      <c r="E900" s="229"/>
      <c r="F900" s="229"/>
      <c r="G900" s="229"/>
      <c r="H900" s="229"/>
      <c r="I900" s="229"/>
      <c r="J900" s="229"/>
      <c r="K900" s="229"/>
      <c r="L900" s="229"/>
      <c r="M900" s="229"/>
      <c r="N900" s="229"/>
      <c r="O900" s="229"/>
      <c r="P900" s="229"/>
      <c r="Q900" s="229"/>
      <c r="R900" s="229"/>
      <c r="S900" s="229"/>
    </row>
    <row r="901" spans="1:19" ht="19.5">
      <c r="A901" s="230" t="s">
        <v>83</v>
      </c>
      <c r="B901" s="230"/>
      <c r="C901" s="230"/>
      <c r="D901" s="230"/>
      <c r="E901" s="230"/>
      <c r="F901" s="230"/>
      <c r="G901" s="230"/>
      <c r="H901" s="230"/>
      <c r="I901" s="1"/>
      <c r="J901" s="1"/>
      <c r="K901" s="231" t="s">
        <v>194</v>
      </c>
      <c r="L901" s="231"/>
      <c r="M901" s="231"/>
      <c r="N901" s="231"/>
      <c r="O901" s="1"/>
      <c r="P901" s="232" t="s">
        <v>1</v>
      </c>
      <c r="Q901" s="232"/>
      <c r="R901" s="233">
        <v>44630</v>
      </c>
      <c r="S901" s="233"/>
    </row>
    <row r="902" spans="1:19">
      <c r="A902" s="242" t="s">
        <v>2</v>
      </c>
      <c r="B902" s="242"/>
      <c r="C902" s="82">
        <v>1</v>
      </c>
      <c r="D902" s="82">
        <v>2</v>
      </c>
      <c r="E902" s="82">
        <v>3</v>
      </c>
      <c r="F902" s="82">
        <v>4</v>
      </c>
      <c r="G902" s="169" t="s">
        <v>9</v>
      </c>
      <c r="H902" s="169" t="s">
        <v>9</v>
      </c>
      <c r="I902" s="169" t="s">
        <v>9</v>
      </c>
      <c r="J902" s="169" t="s">
        <v>9</v>
      </c>
      <c r="K902" s="169" t="s">
        <v>9</v>
      </c>
      <c r="L902" s="169" t="s">
        <v>9</v>
      </c>
      <c r="M902" s="169" t="s">
        <v>9</v>
      </c>
      <c r="N902" s="169" t="s">
        <v>9</v>
      </c>
      <c r="O902" s="169" t="s">
        <v>9</v>
      </c>
      <c r="P902" s="169" t="s">
        <v>9</v>
      </c>
      <c r="Q902" s="239" t="s">
        <v>3</v>
      </c>
      <c r="R902" s="239" t="s">
        <v>4</v>
      </c>
      <c r="S902" s="239" t="s">
        <v>5</v>
      </c>
    </row>
    <row r="903" spans="1:19">
      <c r="A903" s="242" t="s">
        <v>6</v>
      </c>
      <c r="B903" s="242"/>
      <c r="C903" s="82">
        <v>435</v>
      </c>
      <c r="D903" s="82">
        <v>436</v>
      </c>
      <c r="E903" s="82">
        <v>437</v>
      </c>
      <c r="F903" s="82">
        <v>438</v>
      </c>
      <c r="G903" s="169" t="s">
        <v>9</v>
      </c>
      <c r="H903" s="169" t="s">
        <v>9</v>
      </c>
      <c r="I903" s="169" t="s">
        <v>9</v>
      </c>
      <c r="J903" s="169" t="s">
        <v>9</v>
      </c>
      <c r="K903" s="169" t="s">
        <v>9</v>
      </c>
      <c r="L903" s="169" t="s">
        <v>9</v>
      </c>
      <c r="M903" s="169" t="s">
        <v>9</v>
      </c>
      <c r="N903" s="169" t="s">
        <v>9</v>
      </c>
      <c r="O903" s="169" t="s">
        <v>9</v>
      </c>
      <c r="P903" s="169" t="s">
        <v>9</v>
      </c>
      <c r="Q903" s="240"/>
      <c r="R903" s="240"/>
      <c r="S903" s="240"/>
    </row>
    <row r="904" spans="1:19" ht="31.5">
      <c r="A904" s="243" t="s">
        <v>18</v>
      </c>
      <c r="B904" s="244"/>
      <c r="C904" s="118" t="s">
        <v>607</v>
      </c>
      <c r="D904" s="118" t="s">
        <v>608</v>
      </c>
      <c r="E904" s="118" t="s">
        <v>609</v>
      </c>
      <c r="F904" s="118" t="s">
        <v>610</v>
      </c>
      <c r="G904" s="169" t="s">
        <v>9</v>
      </c>
      <c r="H904" s="169" t="s">
        <v>9</v>
      </c>
      <c r="I904" s="169" t="s">
        <v>9</v>
      </c>
      <c r="J904" s="169" t="s">
        <v>9</v>
      </c>
      <c r="K904" s="169" t="s">
        <v>9</v>
      </c>
      <c r="L904" s="169" t="s">
        <v>9</v>
      </c>
      <c r="M904" s="169" t="s">
        <v>9</v>
      </c>
      <c r="N904" s="169" t="s">
        <v>9</v>
      </c>
      <c r="O904" s="169" t="s">
        <v>9</v>
      </c>
      <c r="P904" s="169" t="s">
        <v>9</v>
      </c>
      <c r="Q904" s="240"/>
      <c r="R904" s="240"/>
      <c r="S904" s="240"/>
    </row>
    <row r="905" spans="1:19" ht="25.5" hidden="1" customHeight="1">
      <c r="A905" s="245" t="s">
        <v>20</v>
      </c>
      <c r="B905" s="246"/>
      <c r="C905" s="33">
        <v>635</v>
      </c>
      <c r="D905" s="33">
        <v>644</v>
      </c>
      <c r="E905" s="33">
        <v>636</v>
      </c>
      <c r="F905" s="33">
        <v>231</v>
      </c>
      <c r="G905" s="33"/>
      <c r="H905" s="33"/>
      <c r="I905" s="33"/>
      <c r="J905" s="33"/>
      <c r="K905" s="33"/>
      <c r="L905" s="33"/>
      <c r="M905" s="33"/>
      <c r="N905" s="33"/>
      <c r="O905" s="33"/>
      <c r="P905" s="25"/>
      <c r="Q905" s="240"/>
      <c r="R905" s="240"/>
      <c r="S905" s="240"/>
    </row>
    <row r="906" spans="1:19">
      <c r="A906" s="84" t="s">
        <v>7</v>
      </c>
      <c r="B906" s="82" t="s">
        <v>8</v>
      </c>
      <c r="C906" s="85" t="s">
        <v>9</v>
      </c>
      <c r="D906" s="85" t="s">
        <v>9</v>
      </c>
      <c r="E906" s="85" t="s">
        <v>9</v>
      </c>
      <c r="F906" s="85" t="s">
        <v>9</v>
      </c>
      <c r="G906" s="85" t="s">
        <v>9</v>
      </c>
      <c r="H906" s="85" t="s">
        <v>9</v>
      </c>
      <c r="I906" s="85" t="s">
        <v>9</v>
      </c>
      <c r="J906" s="85" t="s">
        <v>9</v>
      </c>
      <c r="K906" s="85" t="s">
        <v>9</v>
      </c>
      <c r="L906" s="85" t="s">
        <v>9</v>
      </c>
      <c r="M906" s="85" t="s">
        <v>9</v>
      </c>
      <c r="N906" s="85" t="s">
        <v>9</v>
      </c>
      <c r="O906" s="85" t="s">
        <v>9</v>
      </c>
      <c r="P906" s="85" t="s">
        <v>9</v>
      </c>
      <c r="Q906" s="241"/>
      <c r="R906" s="241"/>
      <c r="S906" s="241"/>
    </row>
    <row r="907" spans="1:19" s="180" customFormat="1">
      <c r="A907" s="172">
        <v>1</v>
      </c>
      <c r="B907" s="173" t="s">
        <v>85</v>
      </c>
      <c r="C907" s="178">
        <v>67</v>
      </c>
      <c r="D907" s="178">
        <v>71</v>
      </c>
      <c r="E907" s="178">
        <v>28</v>
      </c>
      <c r="F907" s="178">
        <v>103</v>
      </c>
      <c r="G907" s="185" t="s">
        <v>9</v>
      </c>
      <c r="H907" s="185" t="s">
        <v>9</v>
      </c>
      <c r="I907" s="185" t="s">
        <v>9</v>
      </c>
      <c r="J907" s="185" t="s">
        <v>9</v>
      </c>
      <c r="K907" s="185" t="s">
        <v>9</v>
      </c>
      <c r="L907" s="185" t="s">
        <v>9</v>
      </c>
      <c r="M907" s="185" t="s">
        <v>9</v>
      </c>
      <c r="N907" s="185" t="s">
        <v>9</v>
      </c>
      <c r="O907" s="185" t="s">
        <v>9</v>
      </c>
      <c r="P907" s="185" t="s">
        <v>9</v>
      </c>
      <c r="Q907" s="181">
        <f t="shared" ref="Q907:Q916" si="145">SUM(C907:P907)</f>
        <v>269</v>
      </c>
      <c r="R907" s="181">
        <f t="shared" ref="R907:R917" si="146">S878</f>
        <v>58938</v>
      </c>
      <c r="S907" s="181">
        <f t="shared" ref="S907:S917" si="147">Q907+R907</f>
        <v>59207</v>
      </c>
    </row>
    <row r="908" spans="1:19" s="180" customFormat="1">
      <c r="A908" s="172">
        <v>2</v>
      </c>
      <c r="B908" s="173" t="s">
        <v>156</v>
      </c>
      <c r="C908" s="178">
        <v>270</v>
      </c>
      <c r="D908" s="178">
        <v>548</v>
      </c>
      <c r="E908" s="178">
        <v>478</v>
      </c>
      <c r="F908" s="178">
        <v>120</v>
      </c>
      <c r="G908" s="185" t="s">
        <v>9</v>
      </c>
      <c r="H908" s="185" t="s">
        <v>9</v>
      </c>
      <c r="I908" s="185" t="s">
        <v>9</v>
      </c>
      <c r="J908" s="185" t="s">
        <v>9</v>
      </c>
      <c r="K908" s="185" t="s">
        <v>9</v>
      </c>
      <c r="L908" s="185" t="s">
        <v>9</v>
      </c>
      <c r="M908" s="185" t="s">
        <v>9</v>
      </c>
      <c r="N908" s="185" t="s">
        <v>9</v>
      </c>
      <c r="O908" s="185" t="s">
        <v>9</v>
      </c>
      <c r="P908" s="185" t="s">
        <v>9</v>
      </c>
      <c r="Q908" s="181">
        <f t="shared" si="145"/>
        <v>1416</v>
      </c>
      <c r="R908" s="181">
        <f t="shared" si="146"/>
        <v>146926</v>
      </c>
      <c r="S908" s="181">
        <f t="shared" si="147"/>
        <v>148342</v>
      </c>
    </row>
    <row r="909" spans="1:19" s="180" customFormat="1">
      <c r="A909" s="172">
        <v>3</v>
      </c>
      <c r="B909" s="173" t="s">
        <v>157</v>
      </c>
      <c r="C909" s="178">
        <v>12</v>
      </c>
      <c r="D909" s="178">
        <v>13</v>
      </c>
      <c r="E909" s="178">
        <v>5</v>
      </c>
      <c r="F909" s="178">
        <v>1</v>
      </c>
      <c r="G909" s="185" t="s">
        <v>9</v>
      </c>
      <c r="H909" s="185" t="s">
        <v>9</v>
      </c>
      <c r="I909" s="185" t="s">
        <v>9</v>
      </c>
      <c r="J909" s="185" t="s">
        <v>9</v>
      </c>
      <c r="K909" s="185" t="s">
        <v>9</v>
      </c>
      <c r="L909" s="185" t="s">
        <v>9</v>
      </c>
      <c r="M909" s="185" t="s">
        <v>9</v>
      </c>
      <c r="N909" s="185" t="s">
        <v>9</v>
      </c>
      <c r="O909" s="185" t="s">
        <v>9</v>
      </c>
      <c r="P909" s="185" t="s">
        <v>9</v>
      </c>
      <c r="Q909" s="181">
        <f t="shared" si="145"/>
        <v>31</v>
      </c>
      <c r="R909" s="181">
        <f t="shared" si="146"/>
        <v>2857</v>
      </c>
      <c r="S909" s="181">
        <f t="shared" si="147"/>
        <v>2888</v>
      </c>
    </row>
    <row r="910" spans="1:19" s="180" customFormat="1">
      <c r="A910" s="172">
        <v>4</v>
      </c>
      <c r="B910" s="173" t="s">
        <v>158</v>
      </c>
      <c r="C910" s="178">
        <v>279</v>
      </c>
      <c r="D910" s="178">
        <v>5</v>
      </c>
      <c r="E910" s="178">
        <v>112</v>
      </c>
      <c r="F910" s="178">
        <v>3</v>
      </c>
      <c r="G910" s="185" t="s">
        <v>9</v>
      </c>
      <c r="H910" s="185" t="s">
        <v>9</v>
      </c>
      <c r="I910" s="185" t="s">
        <v>9</v>
      </c>
      <c r="J910" s="185" t="s">
        <v>9</v>
      </c>
      <c r="K910" s="185" t="s">
        <v>9</v>
      </c>
      <c r="L910" s="185" t="s">
        <v>9</v>
      </c>
      <c r="M910" s="185" t="s">
        <v>9</v>
      </c>
      <c r="N910" s="185" t="s">
        <v>9</v>
      </c>
      <c r="O910" s="185" t="s">
        <v>9</v>
      </c>
      <c r="P910" s="185" t="s">
        <v>9</v>
      </c>
      <c r="Q910" s="181">
        <f t="shared" si="145"/>
        <v>399</v>
      </c>
      <c r="R910" s="181">
        <f t="shared" si="146"/>
        <v>35644</v>
      </c>
      <c r="S910" s="181">
        <f t="shared" si="147"/>
        <v>36043</v>
      </c>
    </row>
    <row r="911" spans="1:19" s="180" customFormat="1">
      <c r="A911" s="172">
        <v>5</v>
      </c>
      <c r="B911" s="173" t="s">
        <v>159</v>
      </c>
      <c r="C911" s="178">
        <v>2</v>
      </c>
      <c r="D911" s="178">
        <v>0</v>
      </c>
      <c r="E911" s="178">
        <v>4</v>
      </c>
      <c r="F911" s="178">
        <v>0</v>
      </c>
      <c r="G911" s="185" t="s">
        <v>9</v>
      </c>
      <c r="H911" s="185" t="s">
        <v>9</v>
      </c>
      <c r="I911" s="185" t="s">
        <v>9</v>
      </c>
      <c r="J911" s="185" t="s">
        <v>9</v>
      </c>
      <c r="K911" s="185" t="s">
        <v>9</v>
      </c>
      <c r="L911" s="185" t="s">
        <v>9</v>
      </c>
      <c r="M911" s="185" t="s">
        <v>9</v>
      </c>
      <c r="N911" s="185" t="s">
        <v>9</v>
      </c>
      <c r="O911" s="185" t="s">
        <v>9</v>
      </c>
      <c r="P911" s="185" t="s">
        <v>9</v>
      </c>
      <c r="Q911" s="181">
        <f t="shared" si="145"/>
        <v>6</v>
      </c>
      <c r="R911" s="181">
        <f t="shared" si="146"/>
        <v>722</v>
      </c>
      <c r="S911" s="181">
        <f t="shared" si="147"/>
        <v>728</v>
      </c>
    </row>
    <row r="912" spans="1:19" s="180" customFormat="1">
      <c r="A912" s="172">
        <v>6</v>
      </c>
      <c r="B912" s="173" t="s">
        <v>160</v>
      </c>
      <c r="C912" s="178">
        <v>2</v>
      </c>
      <c r="D912" s="178">
        <v>3</v>
      </c>
      <c r="E912" s="178">
        <v>4</v>
      </c>
      <c r="F912" s="178">
        <v>2</v>
      </c>
      <c r="G912" s="185" t="s">
        <v>9</v>
      </c>
      <c r="H912" s="185" t="s">
        <v>9</v>
      </c>
      <c r="I912" s="185" t="s">
        <v>9</v>
      </c>
      <c r="J912" s="185" t="s">
        <v>9</v>
      </c>
      <c r="K912" s="185" t="s">
        <v>9</v>
      </c>
      <c r="L912" s="185" t="s">
        <v>9</v>
      </c>
      <c r="M912" s="185" t="s">
        <v>9</v>
      </c>
      <c r="N912" s="185" t="s">
        <v>9</v>
      </c>
      <c r="O912" s="185" t="s">
        <v>9</v>
      </c>
      <c r="P912" s="185" t="s">
        <v>9</v>
      </c>
      <c r="Q912" s="181">
        <f t="shared" si="145"/>
        <v>11</v>
      </c>
      <c r="R912" s="181">
        <f t="shared" si="146"/>
        <v>1224</v>
      </c>
      <c r="S912" s="181">
        <f t="shared" si="147"/>
        <v>1235</v>
      </c>
    </row>
    <row r="913" spans="1:19" s="180" customFormat="1">
      <c r="A913" s="172">
        <v>7</v>
      </c>
      <c r="B913" s="173" t="s">
        <v>86</v>
      </c>
      <c r="C913" s="178">
        <v>2</v>
      </c>
      <c r="D913" s="178">
        <v>0</v>
      </c>
      <c r="E913" s="178">
        <v>3</v>
      </c>
      <c r="F913" s="178">
        <v>0</v>
      </c>
      <c r="G913" s="185" t="s">
        <v>9</v>
      </c>
      <c r="H913" s="185" t="s">
        <v>9</v>
      </c>
      <c r="I913" s="185" t="s">
        <v>9</v>
      </c>
      <c r="J913" s="185" t="s">
        <v>9</v>
      </c>
      <c r="K913" s="185" t="s">
        <v>9</v>
      </c>
      <c r="L913" s="185" t="s">
        <v>9</v>
      </c>
      <c r="M913" s="185" t="s">
        <v>9</v>
      </c>
      <c r="N913" s="185" t="s">
        <v>9</v>
      </c>
      <c r="O913" s="185" t="s">
        <v>9</v>
      </c>
      <c r="P913" s="185" t="s">
        <v>9</v>
      </c>
      <c r="Q913" s="181">
        <f t="shared" si="145"/>
        <v>5</v>
      </c>
      <c r="R913" s="181">
        <f t="shared" si="146"/>
        <v>1104</v>
      </c>
      <c r="S913" s="181">
        <f t="shared" si="147"/>
        <v>1109</v>
      </c>
    </row>
    <row r="914" spans="1:19" s="180" customFormat="1">
      <c r="A914" s="172">
        <v>8</v>
      </c>
      <c r="B914" s="173" t="s">
        <v>161</v>
      </c>
      <c r="C914" s="178">
        <v>0</v>
      </c>
      <c r="D914" s="178">
        <v>3</v>
      </c>
      <c r="E914" s="178">
        <v>0</v>
      </c>
      <c r="F914" s="178">
        <v>2</v>
      </c>
      <c r="G914" s="185" t="s">
        <v>9</v>
      </c>
      <c r="H914" s="185" t="s">
        <v>9</v>
      </c>
      <c r="I914" s="185" t="s">
        <v>9</v>
      </c>
      <c r="J914" s="185" t="s">
        <v>9</v>
      </c>
      <c r="K914" s="185" t="s">
        <v>9</v>
      </c>
      <c r="L914" s="185" t="s">
        <v>9</v>
      </c>
      <c r="M914" s="185" t="s">
        <v>9</v>
      </c>
      <c r="N914" s="185" t="s">
        <v>9</v>
      </c>
      <c r="O914" s="185" t="s">
        <v>9</v>
      </c>
      <c r="P914" s="185" t="s">
        <v>9</v>
      </c>
      <c r="Q914" s="181">
        <f t="shared" si="145"/>
        <v>5</v>
      </c>
      <c r="R914" s="181">
        <f t="shared" si="146"/>
        <v>1004</v>
      </c>
      <c r="S914" s="181">
        <f t="shared" si="147"/>
        <v>1009</v>
      </c>
    </row>
    <row r="915" spans="1:19" s="180" customFormat="1">
      <c r="A915" s="172">
        <v>9</v>
      </c>
      <c r="B915" s="174" t="s">
        <v>10</v>
      </c>
      <c r="C915" s="178">
        <v>1</v>
      </c>
      <c r="D915" s="178">
        <v>1</v>
      </c>
      <c r="E915" s="178">
        <v>2</v>
      </c>
      <c r="F915" s="178">
        <v>0</v>
      </c>
      <c r="G915" s="185" t="s">
        <v>9</v>
      </c>
      <c r="H915" s="185" t="s">
        <v>9</v>
      </c>
      <c r="I915" s="185" t="s">
        <v>9</v>
      </c>
      <c r="J915" s="185" t="s">
        <v>9</v>
      </c>
      <c r="K915" s="185" t="s">
        <v>9</v>
      </c>
      <c r="L915" s="185" t="s">
        <v>9</v>
      </c>
      <c r="M915" s="185" t="s">
        <v>9</v>
      </c>
      <c r="N915" s="185" t="s">
        <v>9</v>
      </c>
      <c r="O915" s="185" t="s">
        <v>9</v>
      </c>
      <c r="P915" s="185" t="s">
        <v>9</v>
      </c>
      <c r="Q915" s="181">
        <f t="shared" si="145"/>
        <v>4</v>
      </c>
      <c r="R915" s="181">
        <f t="shared" si="146"/>
        <v>1396</v>
      </c>
      <c r="S915" s="181">
        <f t="shared" si="147"/>
        <v>1400</v>
      </c>
    </row>
    <row r="916" spans="1:19" s="180" customFormat="1">
      <c r="A916" s="234" t="s">
        <v>11</v>
      </c>
      <c r="B916" s="235"/>
      <c r="C916" s="183">
        <v>0</v>
      </c>
      <c r="D916" s="183">
        <v>0</v>
      </c>
      <c r="E916" s="183">
        <v>0</v>
      </c>
      <c r="F916" s="183">
        <v>0</v>
      </c>
      <c r="G916" s="183">
        <v>0</v>
      </c>
      <c r="H916" s="183">
        <v>0</v>
      </c>
      <c r="I916" s="183">
        <v>0</v>
      </c>
      <c r="J916" s="183">
        <v>0</v>
      </c>
      <c r="K916" s="183">
        <v>0</v>
      </c>
      <c r="L916" s="183">
        <v>0</v>
      </c>
      <c r="M916" s="183">
        <v>0</v>
      </c>
      <c r="N916" s="183">
        <v>0</v>
      </c>
      <c r="O916" s="183">
        <v>0</v>
      </c>
      <c r="P916" s="183">
        <v>0</v>
      </c>
      <c r="Q916" s="181">
        <f t="shared" si="145"/>
        <v>0</v>
      </c>
      <c r="R916" s="181">
        <f t="shared" si="146"/>
        <v>0</v>
      </c>
      <c r="S916" s="181">
        <f t="shared" si="147"/>
        <v>0</v>
      </c>
    </row>
    <row r="917" spans="1:19" s="180" customFormat="1">
      <c r="A917" s="236" t="s">
        <v>12</v>
      </c>
      <c r="B917" s="236"/>
      <c r="C917" s="181">
        <f t="shared" ref="C917:Q917" si="148">SUM(C907:C916)</f>
        <v>635</v>
      </c>
      <c r="D917" s="181">
        <f t="shared" si="148"/>
        <v>644</v>
      </c>
      <c r="E917" s="181">
        <f t="shared" si="148"/>
        <v>636</v>
      </c>
      <c r="F917" s="181">
        <f t="shared" si="148"/>
        <v>231</v>
      </c>
      <c r="G917" s="181">
        <f t="shared" si="148"/>
        <v>0</v>
      </c>
      <c r="H917" s="181">
        <f t="shared" si="148"/>
        <v>0</v>
      </c>
      <c r="I917" s="181">
        <f t="shared" si="148"/>
        <v>0</v>
      </c>
      <c r="J917" s="181">
        <f t="shared" si="148"/>
        <v>0</v>
      </c>
      <c r="K917" s="181">
        <f t="shared" si="148"/>
        <v>0</v>
      </c>
      <c r="L917" s="181">
        <f t="shared" si="148"/>
        <v>0</v>
      </c>
      <c r="M917" s="181">
        <f t="shared" si="148"/>
        <v>0</v>
      </c>
      <c r="N917" s="181">
        <f t="shared" si="148"/>
        <v>0</v>
      </c>
      <c r="O917" s="181">
        <f t="shared" si="148"/>
        <v>0</v>
      </c>
      <c r="P917" s="181">
        <f t="shared" si="148"/>
        <v>0</v>
      </c>
      <c r="Q917" s="181">
        <f t="shared" si="148"/>
        <v>2146</v>
      </c>
      <c r="R917" s="181">
        <f t="shared" si="146"/>
        <v>249815</v>
      </c>
      <c r="S917" s="181">
        <f t="shared" si="147"/>
        <v>251961</v>
      </c>
    </row>
    <row r="918" spans="1:19" ht="18">
      <c r="A918" s="5"/>
      <c r="B918" s="5"/>
      <c r="C918" s="6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8"/>
      <c r="R918" s="7"/>
      <c r="S918" s="7"/>
    </row>
    <row r="919" spans="1:19" ht="22.5">
      <c r="A919" s="83"/>
      <c r="B919" s="83"/>
      <c r="C919" s="10" t="s">
        <v>13</v>
      </c>
      <c r="D919" s="10" t="s">
        <v>13</v>
      </c>
      <c r="E919" s="10" t="s">
        <v>13</v>
      </c>
      <c r="F919" s="10" t="s">
        <v>13</v>
      </c>
      <c r="G919" s="10" t="s">
        <v>13</v>
      </c>
      <c r="H919" s="10" t="s">
        <v>13</v>
      </c>
      <c r="I919" s="10" t="s">
        <v>13</v>
      </c>
      <c r="J919" s="10" t="s">
        <v>13</v>
      </c>
      <c r="K919" s="10" t="s">
        <v>13</v>
      </c>
      <c r="L919" s="10" t="s">
        <v>13</v>
      </c>
      <c r="M919" s="10" t="s">
        <v>13</v>
      </c>
      <c r="N919" s="10" t="s">
        <v>13</v>
      </c>
      <c r="O919" s="10" t="s">
        <v>13</v>
      </c>
      <c r="P919" s="10" t="s">
        <v>13</v>
      </c>
      <c r="Q919" s="10" t="s">
        <v>13</v>
      </c>
      <c r="R919" s="10" t="s">
        <v>13</v>
      </c>
      <c r="S919" s="10" t="s">
        <v>13</v>
      </c>
    </row>
    <row r="920" spans="1:19">
      <c r="A920" s="83"/>
      <c r="B920" s="83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</row>
    <row r="921" spans="1:19" ht="22.5">
      <c r="A921" s="83"/>
      <c r="B921" s="83"/>
      <c r="C921" s="10" t="s">
        <v>14</v>
      </c>
      <c r="D921" s="10" t="s">
        <v>14</v>
      </c>
      <c r="E921" s="10" t="s">
        <v>14</v>
      </c>
      <c r="F921" s="10" t="s">
        <v>14</v>
      </c>
      <c r="G921" s="10" t="s">
        <v>14</v>
      </c>
      <c r="H921" s="10" t="s">
        <v>14</v>
      </c>
      <c r="I921" s="10" t="s">
        <v>14</v>
      </c>
      <c r="J921" s="10" t="s">
        <v>14</v>
      </c>
      <c r="K921" s="10" t="s">
        <v>14</v>
      </c>
      <c r="L921" s="10" t="s">
        <v>14</v>
      </c>
      <c r="M921" s="10" t="s">
        <v>14</v>
      </c>
      <c r="N921" s="10" t="s">
        <v>14</v>
      </c>
      <c r="O921" s="10" t="s">
        <v>14</v>
      </c>
      <c r="P921" s="10" t="s">
        <v>14</v>
      </c>
      <c r="Q921" s="10" t="s">
        <v>14</v>
      </c>
      <c r="R921" s="10" t="s">
        <v>14</v>
      </c>
      <c r="S921" s="10" t="s">
        <v>14</v>
      </c>
    </row>
    <row r="922" spans="1:19">
      <c r="A922" s="83"/>
      <c r="B922" s="83"/>
      <c r="C922" s="83"/>
      <c r="D922" s="83"/>
      <c r="E922" s="83"/>
      <c r="F922" s="83"/>
      <c r="G922" s="83"/>
      <c r="H922" s="83"/>
      <c r="I922" s="83"/>
      <c r="J922" s="83"/>
      <c r="K922" s="83"/>
      <c r="L922" s="83"/>
      <c r="M922" s="83"/>
      <c r="N922" s="83"/>
      <c r="O922" s="83"/>
      <c r="P922" s="83"/>
      <c r="Q922" s="83"/>
      <c r="R922" s="83"/>
      <c r="S922" s="83"/>
    </row>
    <row r="923" spans="1:19">
      <c r="A923" s="237" t="s">
        <v>15</v>
      </c>
      <c r="B923" s="237"/>
      <c r="C923" s="238" t="s">
        <v>16</v>
      </c>
      <c r="D923" s="238"/>
      <c r="E923" s="238"/>
      <c r="F923" s="238"/>
      <c r="G923" s="238"/>
      <c r="H923" s="238"/>
      <c r="I923" s="238"/>
      <c r="J923" s="238"/>
      <c r="K923" s="238"/>
      <c r="L923" s="238"/>
      <c r="M923" s="238"/>
      <c r="N923" s="238"/>
      <c r="O923" s="238"/>
      <c r="P923" s="238"/>
      <c r="Q923" s="238"/>
      <c r="R923" s="83"/>
      <c r="S923" s="83"/>
    </row>
    <row r="924" spans="1:19">
      <c r="A924" s="83"/>
      <c r="B924" s="83"/>
      <c r="C924" s="238" t="s">
        <v>17</v>
      </c>
      <c r="D924" s="238"/>
      <c r="E924" s="238"/>
      <c r="F924" s="238"/>
      <c r="G924" s="238"/>
      <c r="H924" s="238"/>
      <c r="I924" s="238"/>
      <c r="J924" s="238"/>
      <c r="K924" s="238"/>
      <c r="L924" s="238"/>
      <c r="M924" s="238"/>
      <c r="N924" s="238"/>
      <c r="O924" s="238"/>
      <c r="P924" s="238"/>
      <c r="Q924" s="238"/>
      <c r="R924" s="83"/>
      <c r="S924" s="83"/>
    </row>
    <row r="925" spans="1:19">
      <c r="A925" s="83"/>
      <c r="B925" s="83"/>
      <c r="C925" s="228" t="s">
        <v>45</v>
      </c>
      <c r="D925" s="228"/>
      <c r="E925" s="228"/>
      <c r="F925" s="228"/>
      <c r="G925" s="228"/>
      <c r="H925" s="228"/>
      <c r="I925" s="228"/>
      <c r="J925" s="228"/>
      <c r="K925" s="228"/>
      <c r="L925" s="228"/>
      <c r="M925" s="228"/>
      <c r="N925" s="228"/>
      <c r="O925" s="228"/>
      <c r="P925" s="228"/>
      <c r="Q925" s="228"/>
      <c r="R925" s="83"/>
      <c r="S925" s="83"/>
    </row>
    <row r="926" spans="1:19">
      <c r="A926" s="83"/>
      <c r="B926" s="83"/>
      <c r="C926" s="228" t="s">
        <v>46</v>
      </c>
      <c r="D926" s="228"/>
      <c r="E926" s="228"/>
      <c r="F926" s="228"/>
      <c r="G926" s="228"/>
      <c r="H926" s="228"/>
      <c r="I926" s="228"/>
      <c r="J926" s="228"/>
      <c r="K926" s="228"/>
      <c r="L926" s="228"/>
      <c r="M926" s="228"/>
      <c r="N926" s="228"/>
      <c r="O926" s="228"/>
      <c r="P926" s="228"/>
      <c r="Q926" s="228"/>
      <c r="R926" s="83"/>
      <c r="S926" s="83"/>
    </row>
    <row r="927" spans="1:19">
      <c r="A927" s="83"/>
      <c r="B927" s="61" t="s">
        <v>139</v>
      </c>
      <c r="C927" s="227" t="s">
        <v>138</v>
      </c>
      <c r="D927" s="227"/>
      <c r="E927" s="227"/>
      <c r="F927" s="227"/>
      <c r="G927" s="227"/>
      <c r="H927" s="227"/>
      <c r="I927" s="227"/>
      <c r="J927" s="227"/>
      <c r="K927" s="227"/>
      <c r="L927" s="227"/>
      <c r="M927" s="227"/>
      <c r="N927" s="227"/>
      <c r="O927" s="227"/>
      <c r="P927" s="227"/>
      <c r="Q927" s="227"/>
      <c r="R927" s="83"/>
      <c r="S927" s="83"/>
    </row>
  </sheetData>
  <mergeCells count="640">
    <mergeCell ref="A916:B916"/>
    <mergeCell ref="A917:B917"/>
    <mergeCell ref="A923:B923"/>
    <mergeCell ref="C923:Q923"/>
    <mergeCell ref="C924:Q924"/>
    <mergeCell ref="C925:Q925"/>
    <mergeCell ref="C926:Q926"/>
    <mergeCell ref="C927:Q927"/>
    <mergeCell ref="A901:H901"/>
    <mergeCell ref="K901:N901"/>
    <mergeCell ref="P901:Q901"/>
    <mergeCell ref="R901:S901"/>
    <mergeCell ref="A902:B902"/>
    <mergeCell ref="Q902:Q906"/>
    <mergeCell ref="R902:R906"/>
    <mergeCell ref="S902:S906"/>
    <mergeCell ref="A903:B903"/>
    <mergeCell ref="A904:B904"/>
    <mergeCell ref="A905:B905"/>
    <mergeCell ref="A887:B887"/>
    <mergeCell ref="A888:B888"/>
    <mergeCell ref="A894:B894"/>
    <mergeCell ref="C894:Q894"/>
    <mergeCell ref="C895:Q895"/>
    <mergeCell ref="C896:Q896"/>
    <mergeCell ref="C897:Q897"/>
    <mergeCell ref="C898:Q898"/>
    <mergeCell ref="A900:S900"/>
    <mergeCell ref="A872:H872"/>
    <mergeCell ref="K872:N872"/>
    <mergeCell ref="P872:Q872"/>
    <mergeCell ref="R872:S872"/>
    <mergeCell ref="A873:B873"/>
    <mergeCell ref="Q873:Q877"/>
    <mergeCell ref="R873:R877"/>
    <mergeCell ref="S873:S877"/>
    <mergeCell ref="A874:B874"/>
    <mergeCell ref="A875:B875"/>
    <mergeCell ref="A876:B876"/>
    <mergeCell ref="A858:B858"/>
    <mergeCell ref="A859:B859"/>
    <mergeCell ref="A865:B865"/>
    <mergeCell ref="C865:Q865"/>
    <mergeCell ref="C866:Q866"/>
    <mergeCell ref="C867:Q867"/>
    <mergeCell ref="C868:Q868"/>
    <mergeCell ref="C869:Q869"/>
    <mergeCell ref="A871:S871"/>
    <mergeCell ref="A843:H843"/>
    <mergeCell ref="K843:N843"/>
    <mergeCell ref="P843:Q843"/>
    <mergeCell ref="R843:S843"/>
    <mergeCell ref="A844:B844"/>
    <mergeCell ref="Q844:Q848"/>
    <mergeCell ref="R844:R848"/>
    <mergeCell ref="S844:S848"/>
    <mergeCell ref="A845:B845"/>
    <mergeCell ref="A846:B846"/>
    <mergeCell ref="A847:B847"/>
    <mergeCell ref="A829:B829"/>
    <mergeCell ref="A830:B830"/>
    <mergeCell ref="A836:B836"/>
    <mergeCell ref="C836:Q836"/>
    <mergeCell ref="C837:Q837"/>
    <mergeCell ref="C838:Q838"/>
    <mergeCell ref="C839:Q839"/>
    <mergeCell ref="C840:Q840"/>
    <mergeCell ref="A842:S842"/>
    <mergeCell ref="A814:H814"/>
    <mergeCell ref="K814:N814"/>
    <mergeCell ref="P814:Q814"/>
    <mergeCell ref="R814:S814"/>
    <mergeCell ref="A815:B815"/>
    <mergeCell ref="Q815:Q819"/>
    <mergeCell ref="R815:R819"/>
    <mergeCell ref="S815:S819"/>
    <mergeCell ref="A816:B816"/>
    <mergeCell ref="A817:B817"/>
    <mergeCell ref="A818:B818"/>
    <mergeCell ref="A800:B800"/>
    <mergeCell ref="A801:B801"/>
    <mergeCell ref="A807:B807"/>
    <mergeCell ref="C807:Q807"/>
    <mergeCell ref="C808:Q808"/>
    <mergeCell ref="C809:Q809"/>
    <mergeCell ref="C810:Q810"/>
    <mergeCell ref="C811:Q811"/>
    <mergeCell ref="A813:S813"/>
    <mergeCell ref="A785:H785"/>
    <mergeCell ref="K785:N785"/>
    <mergeCell ref="P785:Q785"/>
    <mergeCell ref="R785:S785"/>
    <mergeCell ref="A786:B786"/>
    <mergeCell ref="Q786:Q790"/>
    <mergeCell ref="R786:R790"/>
    <mergeCell ref="S786:S790"/>
    <mergeCell ref="A787:B787"/>
    <mergeCell ref="A788:B788"/>
    <mergeCell ref="A789:B789"/>
    <mergeCell ref="A771:B771"/>
    <mergeCell ref="A772:B772"/>
    <mergeCell ref="A778:B778"/>
    <mergeCell ref="C778:Q778"/>
    <mergeCell ref="C779:Q779"/>
    <mergeCell ref="C780:Q780"/>
    <mergeCell ref="C781:Q781"/>
    <mergeCell ref="C782:Q782"/>
    <mergeCell ref="A784:S784"/>
    <mergeCell ref="A755:S755"/>
    <mergeCell ref="A756:H756"/>
    <mergeCell ref="K756:N756"/>
    <mergeCell ref="P756:Q756"/>
    <mergeCell ref="R756:S756"/>
    <mergeCell ref="A757:B757"/>
    <mergeCell ref="Q757:Q761"/>
    <mergeCell ref="R757:R761"/>
    <mergeCell ref="S757:S761"/>
    <mergeCell ref="A758:B758"/>
    <mergeCell ref="A759:B759"/>
    <mergeCell ref="A760:B760"/>
    <mergeCell ref="A742:B742"/>
    <mergeCell ref="A743:B743"/>
    <mergeCell ref="A749:B749"/>
    <mergeCell ref="C749:Q749"/>
    <mergeCell ref="C750:Q750"/>
    <mergeCell ref="C751:Q751"/>
    <mergeCell ref="C752:Q752"/>
    <mergeCell ref="A726:S726"/>
    <mergeCell ref="A727:H727"/>
    <mergeCell ref="K727:N727"/>
    <mergeCell ref="P727:Q727"/>
    <mergeCell ref="R727:S727"/>
    <mergeCell ref="A728:B728"/>
    <mergeCell ref="Q728:Q732"/>
    <mergeCell ref="R728:R732"/>
    <mergeCell ref="S728:S732"/>
    <mergeCell ref="A729:B729"/>
    <mergeCell ref="A730:B730"/>
    <mergeCell ref="A731:B731"/>
    <mergeCell ref="A720:B720"/>
    <mergeCell ref="C720:Q720"/>
    <mergeCell ref="C721:Q721"/>
    <mergeCell ref="C722:Q722"/>
    <mergeCell ref="A699:B699"/>
    <mergeCell ref="Q699:Q703"/>
    <mergeCell ref="R699:R703"/>
    <mergeCell ref="S699:S703"/>
    <mergeCell ref="A700:B700"/>
    <mergeCell ref="A701:B701"/>
    <mergeCell ref="A702:B702"/>
    <mergeCell ref="A713:B713"/>
    <mergeCell ref="A714:B714"/>
    <mergeCell ref="A691:B691"/>
    <mergeCell ref="C691:Q691"/>
    <mergeCell ref="C692:Q692"/>
    <mergeCell ref="C693:Q693"/>
    <mergeCell ref="A697:S697"/>
    <mergeCell ref="A698:H698"/>
    <mergeCell ref="K698:N698"/>
    <mergeCell ref="P698:Q698"/>
    <mergeCell ref="R698:S698"/>
    <mergeCell ref="C694:Q694"/>
    <mergeCell ref="C695:Q695"/>
    <mergeCell ref="A670:B670"/>
    <mergeCell ref="Q670:Q674"/>
    <mergeCell ref="R670:R674"/>
    <mergeCell ref="S670:S674"/>
    <mergeCell ref="A671:B671"/>
    <mergeCell ref="A672:B672"/>
    <mergeCell ref="A673:B673"/>
    <mergeCell ref="A684:B684"/>
    <mergeCell ref="A685:B685"/>
    <mergeCell ref="A662:B662"/>
    <mergeCell ref="C662:Q662"/>
    <mergeCell ref="C663:Q663"/>
    <mergeCell ref="C664:Q664"/>
    <mergeCell ref="A668:S668"/>
    <mergeCell ref="A669:H669"/>
    <mergeCell ref="K669:N669"/>
    <mergeCell ref="P669:Q669"/>
    <mergeCell ref="R669:S669"/>
    <mergeCell ref="C665:Q665"/>
    <mergeCell ref="C666:Q666"/>
    <mergeCell ref="A641:B641"/>
    <mergeCell ref="Q641:Q645"/>
    <mergeCell ref="R641:R645"/>
    <mergeCell ref="S641:S645"/>
    <mergeCell ref="A642:B642"/>
    <mergeCell ref="A643:B643"/>
    <mergeCell ref="A644:B644"/>
    <mergeCell ref="A655:B655"/>
    <mergeCell ref="A656:B656"/>
    <mergeCell ref="A633:B633"/>
    <mergeCell ref="C633:Q633"/>
    <mergeCell ref="C634:Q634"/>
    <mergeCell ref="C635:Q635"/>
    <mergeCell ref="A639:S639"/>
    <mergeCell ref="A640:H640"/>
    <mergeCell ref="K640:N640"/>
    <mergeCell ref="P640:Q640"/>
    <mergeCell ref="R640:S640"/>
    <mergeCell ref="C636:Q636"/>
    <mergeCell ref="C637:Q637"/>
    <mergeCell ref="A612:B612"/>
    <mergeCell ref="Q612:Q616"/>
    <mergeCell ref="R612:R616"/>
    <mergeCell ref="S612:S616"/>
    <mergeCell ref="A613:B613"/>
    <mergeCell ref="A614:B614"/>
    <mergeCell ref="A615:B615"/>
    <mergeCell ref="A626:B626"/>
    <mergeCell ref="A627:B627"/>
    <mergeCell ref="A604:B604"/>
    <mergeCell ref="C604:Q604"/>
    <mergeCell ref="C605:Q605"/>
    <mergeCell ref="C606:Q606"/>
    <mergeCell ref="A610:S610"/>
    <mergeCell ref="A611:H611"/>
    <mergeCell ref="K611:N611"/>
    <mergeCell ref="P611:Q611"/>
    <mergeCell ref="R611:S611"/>
    <mergeCell ref="C607:Q607"/>
    <mergeCell ref="C608:Q608"/>
    <mergeCell ref="A583:B583"/>
    <mergeCell ref="Q583:Q587"/>
    <mergeCell ref="R583:R587"/>
    <mergeCell ref="S583:S587"/>
    <mergeCell ref="A584:B584"/>
    <mergeCell ref="A585:B585"/>
    <mergeCell ref="A586:B586"/>
    <mergeCell ref="A597:B597"/>
    <mergeCell ref="A598:B598"/>
    <mergeCell ref="A575:B575"/>
    <mergeCell ref="C575:Q575"/>
    <mergeCell ref="C576:Q576"/>
    <mergeCell ref="C577:Q577"/>
    <mergeCell ref="A581:S581"/>
    <mergeCell ref="A582:H582"/>
    <mergeCell ref="K582:N582"/>
    <mergeCell ref="P582:Q582"/>
    <mergeCell ref="R582:S582"/>
    <mergeCell ref="C578:Q578"/>
    <mergeCell ref="C579:Q579"/>
    <mergeCell ref="A554:B554"/>
    <mergeCell ref="Q554:Q558"/>
    <mergeCell ref="R554:R558"/>
    <mergeCell ref="S554:S558"/>
    <mergeCell ref="A555:B555"/>
    <mergeCell ref="A556:B556"/>
    <mergeCell ref="A557:B557"/>
    <mergeCell ref="A568:B568"/>
    <mergeCell ref="A569:B569"/>
    <mergeCell ref="A546:B546"/>
    <mergeCell ref="C546:Q546"/>
    <mergeCell ref="C547:Q547"/>
    <mergeCell ref="C548:Q548"/>
    <mergeCell ref="A552:S552"/>
    <mergeCell ref="A553:H553"/>
    <mergeCell ref="K553:N553"/>
    <mergeCell ref="P553:Q553"/>
    <mergeCell ref="R553:S553"/>
    <mergeCell ref="C549:Q549"/>
    <mergeCell ref="C550:Q550"/>
    <mergeCell ref="A525:B525"/>
    <mergeCell ref="Q525:Q529"/>
    <mergeCell ref="R525:R529"/>
    <mergeCell ref="S525:S529"/>
    <mergeCell ref="A526:B526"/>
    <mergeCell ref="A527:B527"/>
    <mergeCell ref="A528:B528"/>
    <mergeCell ref="A539:B539"/>
    <mergeCell ref="A540:B540"/>
    <mergeCell ref="A517:B517"/>
    <mergeCell ref="C517:Q517"/>
    <mergeCell ref="C518:Q518"/>
    <mergeCell ref="C519:Q519"/>
    <mergeCell ref="A523:S523"/>
    <mergeCell ref="A524:H524"/>
    <mergeCell ref="K524:N524"/>
    <mergeCell ref="P524:Q524"/>
    <mergeCell ref="R524:S524"/>
    <mergeCell ref="C520:Q520"/>
    <mergeCell ref="C521:Q521"/>
    <mergeCell ref="A496:B496"/>
    <mergeCell ref="Q496:Q500"/>
    <mergeCell ref="R496:R500"/>
    <mergeCell ref="S496:S500"/>
    <mergeCell ref="A497:B497"/>
    <mergeCell ref="A498:B498"/>
    <mergeCell ref="A499:B499"/>
    <mergeCell ref="A510:B510"/>
    <mergeCell ref="A511:B511"/>
    <mergeCell ref="A488:B488"/>
    <mergeCell ref="C488:Q488"/>
    <mergeCell ref="C489:Q489"/>
    <mergeCell ref="C490:Q490"/>
    <mergeCell ref="A494:S494"/>
    <mergeCell ref="A495:H495"/>
    <mergeCell ref="K495:N495"/>
    <mergeCell ref="P495:Q495"/>
    <mergeCell ref="R495:S495"/>
    <mergeCell ref="C491:Q491"/>
    <mergeCell ref="C492:Q492"/>
    <mergeCell ref="A467:B467"/>
    <mergeCell ref="Q467:Q471"/>
    <mergeCell ref="R467:R471"/>
    <mergeCell ref="S467:S471"/>
    <mergeCell ref="A468:B468"/>
    <mergeCell ref="A469:B469"/>
    <mergeCell ref="A470:B470"/>
    <mergeCell ref="A481:B481"/>
    <mergeCell ref="A482:B482"/>
    <mergeCell ref="A459:B459"/>
    <mergeCell ref="C459:Q459"/>
    <mergeCell ref="C460:Q460"/>
    <mergeCell ref="C461:Q461"/>
    <mergeCell ref="A465:S465"/>
    <mergeCell ref="A466:H466"/>
    <mergeCell ref="K466:N466"/>
    <mergeCell ref="P466:Q466"/>
    <mergeCell ref="R466:S466"/>
    <mergeCell ref="C462:Q462"/>
    <mergeCell ref="C463:Q463"/>
    <mergeCell ref="A438:B438"/>
    <mergeCell ref="Q438:Q442"/>
    <mergeCell ref="R438:R442"/>
    <mergeCell ref="S438:S442"/>
    <mergeCell ref="A439:B439"/>
    <mergeCell ref="A440:B440"/>
    <mergeCell ref="A441:B441"/>
    <mergeCell ref="A452:B452"/>
    <mergeCell ref="A453:B453"/>
    <mergeCell ref="A430:B430"/>
    <mergeCell ref="C430:Q430"/>
    <mergeCell ref="C431:Q431"/>
    <mergeCell ref="C432:Q432"/>
    <mergeCell ref="A436:S436"/>
    <mergeCell ref="A437:H437"/>
    <mergeCell ref="K437:N437"/>
    <mergeCell ref="P437:Q437"/>
    <mergeCell ref="R437:S437"/>
    <mergeCell ref="C433:Q433"/>
    <mergeCell ref="C434:Q434"/>
    <mergeCell ref="A409:B409"/>
    <mergeCell ref="Q409:Q413"/>
    <mergeCell ref="R409:R413"/>
    <mergeCell ref="S409:S413"/>
    <mergeCell ref="A410:B410"/>
    <mergeCell ref="A411:B411"/>
    <mergeCell ref="A412:B412"/>
    <mergeCell ref="A423:B423"/>
    <mergeCell ref="A424:B424"/>
    <mergeCell ref="A401:B401"/>
    <mergeCell ref="C401:Q401"/>
    <mergeCell ref="C402:Q402"/>
    <mergeCell ref="C403:Q403"/>
    <mergeCell ref="A407:S407"/>
    <mergeCell ref="A408:H408"/>
    <mergeCell ref="K408:N408"/>
    <mergeCell ref="P408:Q408"/>
    <mergeCell ref="R408:S408"/>
    <mergeCell ref="C404:Q404"/>
    <mergeCell ref="C405:Q405"/>
    <mergeCell ref="A380:B380"/>
    <mergeCell ref="Q380:Q384"/>
    <mergeCell ref="R380:R384"/>
    <mergeCell ref="S380:S384"/>
    <mergeCell ref="A381:B381"/>
    <mergeCell ref="A382:B382"/>
    <mergeCell ref="A383:B383"/>
    <mergeCell ref="A394:B394"/>
    <mergeCell ref="A395:B395"/>
    <mergeCell ref="A372:B372"/>
    <mergeCell ref="C372:Q372"/>
    <mergeCell ref="C373:Q373"/>
    <mergeCell ref="C374:Q374"/>
    <mergeCell ref="A378:S378"/>
    <mergeCell ref="A379:H379"/>
    <mergeCell ref="K379:N379"/>
    <mergeCell ref="P379:Q379"/>
    <mergeCell ref="R379:S379"/>
    <mergeCell ref="C375:Q375"/>
    <mergeCell ref="C376:Q376"/>
    <mergeCell ref="A351:B351"/>
    <mergeCell ref="Q351:Q355"/>
    <mergeCell ref="R351:R355"/>
    <mergeCell ref="S351:S355"/>
    <mergeCell ref="A352:B352"/>
    <mergeCell ref="A353:B353"/>
    <mergeCell ref="A354:B354"/>
    <mergeCell ref="A365:B365"/>
    <mergeCell ref="A366:B366"/>
    <mergeCell ref="A343:B343"/>
    <mergeCell ref="C343:Q343"/>
    <mergeCell ref="C344:Q344"/>
    <mergeCell ref="C345:Q345"/>
    <mergeCell ref="A349:S349"/>
    <mergeCell ref="A350:H350"/>
    <mergeCell ref="K350:N350"/>
    <mergeCell ref="P350:Q350"/>
    <mergeCell ref="R350:S350"/>
    <mergeCell ref="C347:Q347"/>
    <mergeCell ref="A322:B322"/>
    <mergeCell ref="Q322:Q326"/>
    <mergeCell ref="R322:R326"/>
    <mergeCell ref="S322:S326"/>
    <mergeCell ref="A323:B323"/>
    <mergeCell ref="A324:B324"/>
    <mergeCell ref="A325:B325"/>
    <mergeCell ref="A336:B336"/>
    <mergeCell ref="A337:B337"/>
    <mergeCell ref="A314:B314"/>
    <mergeCell ref="C314:Q314"/>
    <mergeCell ref="C315:Q315"/>
    <mergeCell ref="C316:Q316"/>
    <mergeCell ref="A320:S320"/>
    <mergeCell ref="A321:H321"/>
    <mergeCell ref="K321:N321"/>
    <mergeCell ref="P321:Q321"/>
    <mergeCell ref="R321:S321"/>
    <mergeCell ref="C318:Q318"/>
    <mergeCell ref="A293:B293"/>
    <mergeCell ref="Q293:Q297"/>
    <mergeCell ref="R293:R297"/>
    <mergeCell ref="S293:S297"/>
    <mergeCell ref="A294:B294"/>
    <mergeCell ref="A295:B295"/>
    <mergeCell ref="A296:B296"/>
    <mergeCell ref="A307:B307"/>
    <mergeCell ref="A308:B308"/>
    <mergeCell ref="A285:B285"/>
    <mergeCell ref="C285:Q285"/>
    <mergeCell ref="C286:Q286"/>
    <mergeCell ref="C287:Q287"/>
    <mergeCell ref="A291:S291"/>
    <mergeCell ref="A292:H292"/>
    <mergeCell ref="K292:N292"/>
    <mergeCell ref="P292:Q292"/>
    <mergeCell ref="R292:S292"/>
    <mergeCell ref="C289:Q289"/>
    <mergeCell ref="A264:B264"/>
    <mergeCell ref="Q264:Q268"/>
    <mergeCell ref="R264:R268"/>
    <mergeCell ref="S264:S268"/>
    <mergeCell ref="A265:B265"/>
    <mergeCell ref="A266:B266"/>
    <mergeCell ref="A267:B267"/>
    <mergeCell ref="A278:B278"/>
    <mergeCell ref="A279:B279"/>
    <mergeCell ref="A256:B256"/>
    <mergeCell ref="C256:Q256"/>
    <mergeCell ref="C257:Q257"/>
    <mergeCell ref="C258:Q258"/>
    <mergeCell ref="A262:S262"/>
    <mergeCell ref="A263:H263"/>
    <mergeCell ref="K263:N263"/>
    <mergeCell ref="P263:Q263"/>
    <mergeCell ref="R263:S263"/>
    <mergeCell ref="A235:B235"/>
    <mergeCell ref="Q235:Q239"/>
    <mergeCell ref="R235:R239"/>
    <mergeCell ref="S235:S239"/>
    <mergeCell ref="A236:B236"/>
    <mergeCell ref="A237:B237"/>
    <mergeCell ref="A238:B238"/>
    <mergeCell ref="A249:B249"/>
    <mergeCell ref="A250:B250"/>
    <mergeCell ref="A227:B227"/>
    <mergeCell ref="C227:Q227"/>
    <mergeCell ref="C228:Q228"/>
    <mergeCell ref="C229:Q229"/>
    <mergeCell ref="A233:S233"/>
    <mergeCell ref="A234:H234"/>
    <mergeCell ref="K234:N234"/>
    <mergeCell ref="P234:Q234"/>
    <mergeCell ref="R234:S234"/>
    <mergeCell ref="A206:B206"/>
    <mergeCell ref="Q206:Q210"/>
    <mergeCell ref="R206:R210"/>
    <mergeCell ref="S206:S210"/>
    <mergeCell ref="A207:B207"/>
    <mergeCell ref="A208:B208"/>
    <mergeCell ref="A209:B209"/>
    <mergeCell ref="A220:B220"/>
    <mergeCell ref="A221:B221"/>
    <mergeCell ref="A198:B198"/>
    <mergeCell ref="C198:Q198"/>
    <mergeCell ref="C199:Q199"/>
    <mergeCell ref="C200:Q200"/>
    <mergeCell ref="A204:S204"/>
    <mergeCell ref="A205:H205"/>
    <mergeCell ref="K205:N205"/>
    <mergeCell ref="P205:Q205"/>
    <mergeCell ref="R205:S205"/>
    <mergeCell ref="A177:B177"/>
    <mergeCell ref="Q177:Q181"/>
    <mergeCell ref="R177:R181"/>
    <mergeCell ref="S177:S181"/>
    <mergeCell ref="A178:B178"/>
    <mergeCell ref="A179:B179"/>
    <mergeCell ref="A180:B180"/>
    <mergeCell ref="A191:B191"/>
    <mergeCell ref="A192:B192"/>
    <mergeCell ref="C113:Q113"/>
    <mergeCell ref="A104:B104"/>
    <mergeCell ref="A105:B105"/>
    <mergeCell ref="A111:B111"/>
    <mergeCell ref="C111:Q111"/>
    <mergeCell ref="C112:Q112"/>
    <mergeCell ref="A175:S175"/>
    <mergeCell ref="A176:H176"/>
    <mergeCell ref="K176:N176"/>
    <mergeCell ref="P176:Q176"/>
    <mergeCell ref="R176:S176"/>
    <mergeCell ref="A162:B162"/>
    <mergeCell ref="A163:B163"/>
    <mergeCell ref="A169:B169"/>
    <mergeCell ref="C169:Q169"/>
    <mergeCell ref="C170:Q170"/>
    <mergeCell ref="A148:B148"/>
    <mergeCell ref="Q148:Q152"/>
    <mergeCell ref="R148:R152"/>
    <mergeCell ref="S148:S152"/>
    <mergeCell ref="A149:B149"/>
    <mergeCell ref="A150:B150"/>
    <mergeCell ref="A151:B151"/>
    <mergeCell ref="A119:B119"/>
    <mergeCell ref="A88:S88"/>
    <mergeCell ref="A89:H89"/>
    <mergeCell ref="K89:N89"/>
    <mergeCell ref="P89:Q89"/>
    <mergeCell ref="R89:S89"/>
    <mergeCell ref="A90:B90"/>
    <mergeCell ref="Q90:Q94"/>
    <mergeCell ref="R90:R94"/>
    <mergeCell ref="S90:S94"/>
    <mergeCell ref="A91:B91"/>
    <mergeCell ref="A92:B92"/>
    <mergeCell ref="A93:B93"/>
    <mergeCell ref="A17:B17"/>
    <mergeCell ref="A18:B18"/>
    <mergeCell ref="A24:B24"/>
    <mergeCell ref="C53:Q53"/>
    <mergeCell ref="A6:B6"/>
    <mergeCell ref="R2:S2"/>
    <mergeCell ref="A30:S30"/>
    <mergeCell ref="A31:H31"/>
    <mergeCell ref="K31:N31"/>
    <mergeCell ref="P31:Q31"/>
    <mergeCell ref="R31:S31"/>
    <mergeCell ref="Q32:Q36"/>
    <mergeCell ref="R32:R36"/>
    <mergeCell ref="S32:S36"/>
    <mergeCell ref="A34:B34"/>
    <mergeCell ref="A35:B35"/>
    <mergeCell ref="A46:B46"/>
    <mergeCell ref="A47:B47"/>
    <mergeCell ref="A53:B53"/>
    <mergeCell ref="C24:Q24"/>
    <mergeCell ref="C25:Q25"/>
    <mergeCell ref="C26:Q26"/>
    <mergeCell ref="A32:B32"/>
    <mergeCell ref="A33:B33"/>
    <mergeCell ref="A1:S1"/>
    <mergeCell ref="A2:H2"/>
    <mergeCell ref="K2:N2"/>
    <mergeCell ref="P2:Q2"/>
    <mergeCell ref="A3:B3"/>
    <mergeCell ref="Q3:Q7"/>
    <mergeCell ref="R3:R7"/>
    <mergeCell ref="S3:S7"/>
    <mergeCell ref="A4:B4"/>
    <mergeCell ref="A5:B5"/>
    <mergeCell ref="A63:B63"/>
    <mergeCell ref="A64:B64"/>
    <mergeCell ref="C56:Q56"/>
    <mergeCell ref="C85:Q85"/>
    <mergeCell ref="A75:B75"/>
    <mergeCell ref="A76:B76"/>
    <mergeCell ref="A82:B82"/>
    <mergeCell ref="C82:Q82"/>
    <mergeCell ref="C83:Q83"/>
    <mergeCell ref="C84:Q84"/>
    <mergeCell ref="Q119:Q123"/>
    <mergeCell ref="C27:Q27"/>
    <mergeCell ref="C54:Q54"/>
    <mergeCell ref="C55:Q55"/>
    <mergeCell ref="A59:S59"/>
    <mergeCell ref="A60:H60"/>
    <mergeCell ref="K60:N60"/>
    <mergeCell ref="P60:Q60"/>
    <mergeCell ref="R60:S60"/>
    <mergeCell ref="R119:R123"/>
    <mergeCell ref="S119:S123"/>
    <mergeCell ref="A120:B120"/>
    <mergeCell ref="A121:B121"/>
    <mergeCell ref="A122:B122"/>
    <mergeCell ref="A117:S117"/>
    <mergeCell ref="A118:H118"/>
    <mergeCell ref="K118:N118"/>
    <mergeCell ref="P118:Q118"/>
    <mergeCell ref="R118:S118"/>
    <mergeCell ref="A61:B61"/>
    <mergeCell ref="Q61:Q65"/>
    <mergeCell ref="R61:R65"/>
    <mergeCell ref="S61:S65"/>
    <mergeCell ref="A62:B62"/>
    <mergeCell ref="A147:H147"/>
    <mergeCell ref="K147:N147"/>
    <mergeCell ref="P147:Q147"/>
    <mergeCell ref="R147:S147"/>
    <mergeCell ref="A133:B133"/>
    <mergeCell ref="A134:B134"/>
    <mergeCell ref="A140:B140"/>
    <mergeCell ref="C140:Q140"/>
    <mergeCell ref="C141:Q141"/>
    <mergeCell ref="C724:Q724"/>
    <mergeCell ref="C753:Q753"/>
    <mergeCell ref="C28:Q28"/>
    <mergeCell ref="C57:Q57"/>
    <mergeCell ref="C86:Q86"/>
    <mergeCell ref="C115:Q115"/>
    <mergeCell ref="C144:Q144"/>
    <mergeCell ref="C173:Q173"/>
    <mergeCell ref="C202:Q202"/>
    <mergeCell ref="C231:Q231"/>
    <mergeCell ref="C260:Q260"/>
    <mergeCell ref="C723:Q723"/>
    <mergeCell ref="C114:Q114"/>
    <mergeCell ref="C143:Q143"/>
    <mergeCell ref="C172:Q172"/>
    <mergeCell ref="C201:Q201"/>
    <mergeCell ref="C230:Q230"/>
    <mergeCell ref="C259:Q259"/>
    <mergeCell ref="C288:Q288"/>
    <mergeCell ref="C317:Q317"/>
    <mergeCell ref="C346:Q346"/>
    <mergeCell ref="C171:Q171"/>
    <mergeCell ref="C142:Q142"/>
    <mergeCell ref="A146:S146"/>
  </mergeCells>
  <pageMargins left="0.56999999999999995" right="0.09" top="0.49" bottom="0.38" header="0.17" footer="0.19"/>
  <pageSetup paperSize="5" orientation="landscape" r:id="rId1"/>
  <headerFooter>
    <oddFooter>&amp;R&amp;P</oddFooter>
  </headerFooter>
  <rowBreaks count="31" manualBreakCount="31">
    <brk id="28" max="16383" man="1"/>
    <brk id="57" max="16383" man="1"/>
    <brk id="86" max="16383" man="1"/>
    <brk id="115" max="16383" man="1"/>
    <brk id="144" max="16383" man="1"/>
    <brk id="173" max="16383" man="1"/>
    <brk id="202" max="16383" man="1"/>
    <brk id="231" max="16383" man="1"/>
    <brk id="260" max="16383" man="1"/>
    <brk id="289" max="16383" man="1"/>
    <brk id="318" max="16383" man="1"/>
    <brk id="347" max="16383" man="1"/>
    <brk id="376" max="16383" man="1"/>
    <brk id="405" max="16383" man="1"/>
    <brk id="434" max="16383" man="1"/>
    <brk id="463" max="16383" man="1"/>
    <brk id="492" max="16383" man="1"/>
    <brk id="521" max="16383" man="1"/>
    <brk id="550" max="16383" man="1"/>
    <brk id="579" max="16383" man="1"/>
    <brk id="608" max="16383" man="1"/>
    <brk id="637" max="16383" man="1"/>
    <brk id="666" max="16383" man="1"/>
    <brk id="695" max="16383" man="1"/>
    <brk id="724" max="16383" man="1"/>
    <brk id="753" max="16383" man="1"/>
    <brk id="782" max="16383" man="1"/>
    <brk id="811" max="16383" man="1"/>
    <brk id="840" max="16383" man="1"/>
    <brk id="869" max="16383" man="1"/>
    <brk id="898" max="16383" man="1"/>
  </rowBreaks>
  <ignoredErrors>
    <ignoredError sqref="C18:P18 R18 C47:P47 C76:P76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FFFF00"/>
  </sheetPr>
  <dimension ref="A1:O43"/>
  <sheetViews>
    <sheetView topLeftCell="A18" workbookViewId="0">
      <selection activeCell="N40" sqref="N40"/>
    </sheetView>
  </sheetViews>
  <sheetFormatPr defaultRowHeight="15"/>
  <cols>
    <col min="1" max="1" width="5.7109375" customWidth="1"/>
    <col min="3" max="4" width="13" customWidth="1"/>
    <col min="5" max="5" width="11.28515625" customWidth="1"/>
    <col min="6" max="6" width="11.7109375" customWidth="1"/>
    <col min="7" max="7" width="11.85546875" customWidth="1"/>
    <col min="8" max="8" width="12.5703125" customWidth="1"/>
    <col min="9" max="9" width="10" customWidth="1"/>
    <col min="10" max="10" width="9.5703125" customWidth="1"/>
    <col min="11" max="11" width="13" customWidth="1"/>
    <col min="12" max="12" width="9.7109375" customWidth="1"/>
    <col min="13" max="13" width="11" customWidth="1"/>
    <col min="14" max="14" width="10" customWidth="1"/>
    <col min="15" max="15" width="11.140625" customWidth="1"/>
  </cols>
  <sheetData>
    <row r="1" spans="1:15" ht="18" customHeight="1">
      <c r="A1" s="255" t="s">
        <v>48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255"/>
      <c r="O1" s="255"/>
    </row>
    <row r="2" spans="1:15" ht="15.75" customHeight="1">
      <c r="A2" s="255" t="s">
        <v>49</v>
      </c>
      <c r="B2" s="255"/>
      <c r="C2" s="255"/>
      <c r="D2" s="255"/>
      <c r="E2" s="255"/>
      <c r="F2" s="255"/>
      <c r="G2" s="255"/>
      <c r="H2" s="255"/>
      <c r="I2" s="255"/>
      <c r="J2" s="255"/>
      <c r="K2" s="255"/>
      <c r="L2" s="255"/>
      <c r="M2" s="255"/>
      <c r="N2" s="255"/>
      <c r="O2" s="255"/>
    </row>
    <row r="3" spans="1:15" ht="15.75" customHeight="1">
      <c r="A3" s="255" t="s">
        <v>50</v>
      </c>
      <c r="B3" s="255"/>
      <c r="C3" s="255"/>
      <c r="D3" s="255"/>
      <c r="E3" s="255"/>
      <c r="F3" s="255"/>
      <c r="G3" s="255"/>
      <c r="H3" s="255"/>
      <c r="I3" s="255"/>
      <c r="J3" s="255"/>
      <c r="K3" s="255"/>
      <c r="L3" s="255"/>
      <c r="M3" s="255"/>
      <c r="N3" s="255"/>
      <c r="O3" s="255"/>
    </row>
    <row r="4" spans="1:15" ht="17.25" customHeight="1">
      <c r="A4" s="255" t="s">
        <v>177</v>
      </c>
      <c r="B4" s="255"/>
      <c r="C4" s="255"/>
      <c r="D4" s="255"/>
      <c r="E4" s="255"/>
      <c r="F4" s="255"/>
      <c r="G4" s="255"/>
      <c r="H4" s="255"/>
      <c r="I4" s="255"/>
      <c r="J4" s="255"/>
      <c r="K4" s="255"/>
      <c r="L4" s="255"/>
      <c r="M4" s="255"/>
      <c r="N4" s="255"/>
      <c r="O4" s="255"/>
    </row>
    <row r="5" spans="1:15" ht="15" customHeight="1">
      <c r="A5" s="256" t="s">
        <v>51</v>
      </c>
      <c r="B5" s="256"/>
      <c r="C5" s="256"/>
      <c r="D5" s="256"/>
      <c r="E5" s="256"/>
      <c r="F5" s="256"/>
      <c r="G5" s="256"/>
      <c r="H5" s="256"/>
      <c r="I5" s="256"/>
      <c r="J5" s="256"/>
      <c r="K5" s="256"/>
      <c r="L5" s="256"/>
      <c r="M5" s="256"/>
      <c r="N5" s="256"/>
      <c r="O5" s="256"/>
    </row>
    <row r="6" spans="1:15" ht="23.25">
      <c r="A6" s="258" t="s">
        <v>179</v>
      </c>
      <c r="B6" s="258"/>
      <c r="C6" s="258"/>
      <c r="D6" s="258"/>
      <c r="E6" s="258"/>
      <c r="F6" s="258"/>
      <c r="G6" s="94"/>
      <c r="H6" s="257" t="s">
        <v>186</v>
      </c>
      <c r="I6" s="257"/>
      <c r="J6" s="257"/>
      <c r="K6" s="257"/>
      <c r="L6" s="257"/>
      <c r="M6" s="257"/>
      <c r="N6" s="257"/>
      <c r="O6" s="257"/>
    </row>
    <row r="7" spans="1:15" ht="61.5" customHeight="1">
      <c r="A7" s="260" t="s">
        <v>199</v>
      </c>
      <c r="B7" s="261" t="s">
        <v>52</v>
      </c>
      <c r="C7" s="110" t="s">
        <v>180</v>
      </c>
      <c r="D7" s="110" t="s">
        <v>169</v>
      </c>
      <c r="E7" s="110" t="s">
        <v>170</v>
      </c>
      <c r="F7" s="110" t="s">
        <v>171</v>
      </c>
      <c r="G7" s="110" t="s">
        <v>172</v>
      </c>
      <c r="H7" s="110" t="s">
        <v>173</v>
      </c>
      <c r="I7" s="110" t="s">
        <v>174</v>
      </c>
      <c r="J7" s="110" t="s">
        <v>175</v>
      </c>
      <c r="K7" s="110" t="s">
        <v>84</v>
      </c>
      <c r="L7" s="262" t="s">
        <v>53</v>
      </c>
      <c r="M7" s="263" t="s">
        <v>200</v>
      </c>
      <c r="N7" s="253" t="s">
        <v>54</v>
      </c>
      <c r="O7" s="254" t="s">
        <v>55</v>
      </c>
    </row>
    <row r="8" spans="1:15" ht="15.75">
      <c r="A8" s="260"/>
      <c r="B8" s="261"/>
      <c r="C8" s="108">
        <v>1</v>
      </c>
      <c r="D8" s="108">
        <v>2</v>
      </c>
      <c r="E8" s="108">
        <v>3</v>
      </c>
      <c r="F8" s="108">
        <v>4</v>
      </c>
      <c r="G8" s="108">
        <v>5</v>
      </c>
      <c r="H8" s="108">
        <v>6</v>
      </c>
      <c r="I8" s="108">
        <v>7</v>
      </c>
      <c r="J8" s="108">
        <v>8</v>
      </c>
      <c r="K8" s="108">
        <v>9</v>
      </c>
      <c r="L8" s="262"/>
      <c r="M8" s="264"/>
      <c r="N8" s="253"/>
      <c r="O8" s="254"/>
    </row>
    <row r="9" spans="1:15" ht="15.75">
      <c r="A9" s="31">
        <v>1</v>
      </c>
      <c r="B9" s="36" t="s">
        <v>56</v>
      </c>
      <c r="C9" s="70">
        <f>'Refer Para 27'!Q8</f>
        <v>1896</v>
      </c>
      <c r="D9" s="70">
        <f>'Refer Para 27'!Q9</f>
        <v>5276</v>
      </c>
      <c r="E9" s="70">
        <f>'Refer Para 27'!Q10</f>
        <v>140</v>
      </c>
      <c r="F9" s="70">
        <f>'Refer Para 27'!Q11</f>
        <v>986</v>
      </c>
      <c r="G9" s="70">
        <f>'Refer Para 27'!Q12</f>
        <v>19</v>
      </c>
      <c r="H9" s="70">
        <f>'Refer Para 27'!Q13</f>
        <v>31</v>
      </c>
      <c r="I9" s="70">
        <f>'Refer Para 27'!Q14</f>
        <v>41</v>
      </c>
      <c r="J9" s="70">
        <f>'Refer Para 27'!Q15</f>
        <v>46</v>
      </c>
      <c r="K9" s="70">
        <f>'Refer Para 27'!Q16</f>
        <v>43</v>
      </c>
      <c r="L9" s="70">
        <f t="shared" ref="L9:L34" si="0">SUM(C9:K9)</f>
        <v>8478</v>
      </c>
      <c r="M9" s="70">
        <v>0</v>
      </c>
      <c r="N9" s="70">
        <f>L9-M9</f>
        <v>8478</v>
      </c>
      <c r="O9" s="70">
        <v>0</v>
      </c>
    </row>
    <row r="10" spans="1:15" ht="15.75">
      <c r="A10" s="31">
        <v>2</v>
      </c>
      <c r="B10" s="36" t="s">
        <v>57</v>
      </c>
      <c r="C10" s="70">
        <f>'Refer Para 27'!Q37</f>
        <v>1854</v>
      </c>
      <c r="D10" s="70">
        <f>'Refer Para 27'!Q38</f>
        <v>4386</v>
      </c>
      <c r="E10" s="70">
        <f>'Refer Para 27'!Q39</f>
        <v>72</v>
      </c>
      <c r="F10" s="70">
        <f>'Refer Para 27'!Q40</f>
        <v>1527</v>
      </c>
      <c r="G10" s="70">
        <f>'Refer Para 27'!Q41</f>
        <v>37</v>
      </c>
      <c r="H10" s="70">
        <f>'Refer Para 27'!Q42</f>
        <v>42</v>
      </c>
      <c r="I10" s="70">
        <f>'Refer Para 27'!Q43</f>
        <v>32</v>
      </c>
      <c r="J10" s="70">
        <f>'Refer Para 27'!Q44</f>
        <v>21</v>
      </c>
      <c r="K10" s="70">
        <f>'Refer Para 27'!Q45</f>
        <v>38</v>
      </c>
      <c r="L10" s="70">
        <f t="shared" si="0"/>
        <v>8009</v>
      </c>
      <c r="M10" s="70">
        <v>0</v>
      </c>
      <c r="N10" s="70">
        <f t="shared" ref="N10:N40" si="1">L10-M10</f>
        <v>8009</v>
      </c>
      <c r="O10" s="70">
        <v>0</v>
      </c>
    </row>
    <row r="11" spans="1:15" ht="15.75">
      <c r="A11" s="31">
        <v>3</v>
      </c>
      <c r="B11" s="36" t="s">
        <v>58</v>
      </c>
      <c r="C11" s="70">
        <f>'Refer Para 27'!Q66</f>
        <v>2757</v>
      </c>
      <c r="D11" s="70">
        <f>'Refer Para 27'!Q67</f>
        <v>3954</v>
      </c>
      <c r="E11" s="70">
        <f>'Refer Para 27'!Q68</f>
        <v>51</v>
      </c>
      <c r="F11" s="70">
        <f>'Refer Para 27'!Q69</f>
        <v>1270</v>
      </c>
      <c r="G11" s="70">
        <f>'Refer Para 27'!Q70</f>
        <v>19</v>
      </c>
      <c r="H11" s="70">
        <f>'Refer Para 27'!Q71</f>
        <v>18</v>
      </c>
      <c r="I11" s="70">
        <f>'Refer Para 27'!Q72</f>
        <v>35</v>
      </c>
      <c r="J11" s="70">
        <f>'Refer Para 27'!Q73</f>
        <v>16</v>
      </c>
      <c r="K11" s="70">
        <f>'Refer Para 27'!Q74</f>
        <v>30</v>
      </c>
      <c r="L11" s="70">
        <f t="shared" si="0"/>
        <v>8150</v>
      </c>
      <c r="M11" s="70">
        <v>0</v>
      </c>
      <c r="N11" s="70">
        <f t="shared" si="1"/>
        <v>8150</v>
      </c>
      <c r="O11" s="70">
        <v>0</v>
      </c>
    </row>
    <row r="12" spans="1:15" ht="15.75">
      <c r="A12" s="31">
        <v>4</v>
      </c>
      <c r="B12" s="36" t="s">
        <v>59</v>
      </c>
      <c r="C12" s="70">
        <f>'Refer Para 27'!Q95</f>
        <v>2049</v>
      </c>
      <c r="D12" s="70">
        <f>'Refer Para 27'!Q96</f>
        <v>4637</v>
      </c>
      <c r="E12" s="70">
        <f>'Refer Para 27'!Q97</f>
        <v>81</v>
      </c>
      <c r="F12" s="70">
        <f>'Refer Para 27'!Q98</f>
        <v>1170</v>
      </c>
      <c r="G12" s="70">
        <f>'Refer Para 27'!Q99</f>
        <v>13</v>
      </c>
      <c r="H12" s="70">
        <f>'Refer Para 27'!Q100</f>
        <v>17</v>
      </c>
      <c r="I12" s="70">
        <f>'Refer Para 27'!Q101</f>
        <v>26</v>
      </c>
      <c r="J12" s="70">
        <f>'Refer Para 27'!Q102</f>
        <v>28</v>
      </c>
      <c r="K12" s="70">
        <f>'Refer Para 27'!Q103</f>
        <v>54</v>
      </c>
      <c r="L12" s="70">
        <f t="shared" si="0"/>
        <v>8075</v>
      </c>
      <c r="M12" s="70">
        <v>0</v>
      </c>
      <c r="N12" s="70">
        <f t="shared" si="1"/>
        <v>8075</v>
      </c>
      <c r="O12" s="70">
        <v>0</v>
      </c>
    </row>
    <row r="13" spans="1:15" ht="15.75">
      <c r="A13" s="31">
        <v>5</v>
      </c>
      <c r="B13" s="36" t="s">
        <v>60</v>
      </c>
      <c r="C13" s="70">
        <f>'Refer Para 27'!Q124</f>
        <v>1632</v>
      </c>
      <c r="D13" s="70">
        <f>'Refer Para 27'!Q125</f>
        <v>4352</v>
      </c>
      <c r="E13" s="70">
        <f>'Refer Para 27'!Q126</f>
        <v>85</v>
      </c>
      <c r="F13" s="70">
        <f>'Refer Para 27'!Q127</f>
        <v>1673</v>
      </c>
      <c r="G13" s="70">
        <f>'Refer Para 27'!Q128</f>
        <v>25</v>
      </c>
      <c r="H13" s="70">
        <f>'Refer Para 27'!Q129</f>
        <v>40</v>
      </c>
      <c r="I13" s="70">
        <f>'Refer Para 27'!Q130</f>
        <v>28</v>
      </c>
      <c r="J13" s="70">
        <f>'Refer Para 27'!Q131</f>
        <v>30</v>
      </c>
      <c r="K13" s="70">
        <f>'Refer Para 27'!Q132</f>
        <v>34</v>
      </c>
      <c r="L13" s="70">
        <f t="shared" si="0"/>
        <v>7899</v>
      </c>
      <c r="M13" s="70">
        <v>0</v>
      </c>
      <c r="N13" s="70">
        <f t="shared" si="1"/>
        <v>7899</v>
      </c>
      <c r="O13" s="70">
        <v>0</v>
      </c>
    </row>
    <row r="14" spans="1:15" ht="15.75">
      <c r="A14" s="31">
        <v>6</v>
      </c>
      <c r="B14" s="36" t="s">
        <v>61</v>
      </c>
      <c r="C14" s="70">
        <f>'Refer Para 27'!Q153</f>
        <v>1511</v>
      </c>
      <c r="D14" s="70">
        <f>'Refer Para 27'!Q154</f>
        <v>4937</v>
      </c>
      <c r="E14" s="70">
        <f>'Refer Para 27'!Q155</f>
        <v>144</v>
      </c>
      <c r="F14" s="70">
        <f>'Refer Para 27'!Q156</f>
        <v>1660</v>
      </c>
      <c r="G14" s="70">
        <f>'Refer Para 27'!Q157</f>
        <v>26</v>
      </c>
      <c r="H14" s="70">
        <f>'Refer Para 27'!Q158</f>
        <v>51</v>
      </c>
      <c r="I14" s="70">
        <f>'Refer Para 27'!Q159</f>
        <v>47</v>
      </c>
      <c r="J14" s="70">
        <f>'Refer Para 27'!Q160</f>
        <v>25</v>
      </c>
      <c r="K14" s="70">
        <f>'Refer Para 27'!Q161</f>
        <v>25</v>
      </c>
      <c r="L14" s="70">
        <f t="shared" si="0"/>
        <v>8426</v>
      </c>
      <c r="M14" s="70">
        <v>0</v>
      </c>
      <c r="N14" s="70">
        <f t="shared" si="1"/>
        <v>8426</v>
      </c>
      <c r="O14" s="70">
        <v>0</v>
      </c>
    </row>
    <row r="15" spans="1:15" ht="15.75">
      <c r="A15" s="31">
        <v>7</v>
      </c>
      <c r="B15" s="36" t="s">
        <v>62</v>
      </c>
      <c r="C15" s="70">
        <f>'Refer Para 27'!Q182</f>
        <v>1427</v>
      </c>
      <c r="D15" s="70">
        <f>'Refer Para 27'!Q183</f>
        <v>5112</v>
      </c>
      <c r="E15" s="70">
        <f>'Refer Para 27'!Q184</f>
        <v>101</v>
      </c>
      <c r="F15" s="70">
        <f>'Refer Para 27'!Q185</f>
        <v>1037</v>
      </c>
      <c r="G15" s="70">
        <f>'Refer Para 27'!Q186</f>
        <v>20</v>
      </c>
      <c r="H15" s="70">
        <f>'Refer Para 27'!Q187</f>
        <v>29</v>
      </c>
      <c r="I15" s="70">
        <f>'Refer Para 27'!Q188</f>
        <v>29</v>
      </c>
      <c r="J15" s="70">
        <f>'Refer Para 27'!Q189</f>
        <v>42</v>
      </c>
      <c r="K15" s="70">
        <f>'Refer Para 27'!Q190</f>
        <v>43</v>
      </c>
      <c r="L15" s="70">
        <f t="shared" si="0"/>
        <v>7840</v>
      </c>
      <c r="M15" s="70">
        <v>0</v>
      </c>
      <c r="N15" s="70">
        <f t="shared" si="1"/>
        <v>7840</v>
      </c>
      <c r="O15" s="70">
        <v>0</v>
      </c>
    </row>
    <row r="16" spans="1:15" ht="15.75">
      <c r="A16" s="31">
        <v>8</v>
      </c>
      <c r="B16" s="36" t="s">
        <v>63</v>
      </c>
      <c r="C16" s="70">
        <f>'Refer Para 27'!Q211</f>
        <v>1380</v>
      </c>
      <c r="D16" s="70">
        <f>'Refer Para 27'!Q212</f>
        <v>5695</v>
      </c>
      <c r="E16" s="70">
        <f>'Refer Para 27'!Q213</f>
        <v>73</v>
      </c>
      <c r="F16" s="70">
        <f>'Refer Para 27'!Q214</f>
        <v>1699</v>
      </c>
      <c r="G16" s="70">
        <f>'Refer Para 27'!Q215</f>
        <v>24</v>
      </c>
      <c r="H16" s="70">
        <f>'Refer Para 27'!Q216</f>
        <v>38</v>
      </c>
      <c r="I16" s="70">
        <f>'Refer Para 27'!Q217</f>
        <v>27</v>
      </c>
      <c r="J16" s="70">
        <f>'Refer Para 27'!Q218</f>
        <v>29</v>
      </c>
      <c r="K16" s="70">
        <f>'Refer Para 27'!Q219</f>
        <v>28</v>
      </c>
      <c r="L16" s="70">
        <f t="shared" si="0"/>
        <v>8993</v>
      </c>
      <c r="M16" s="70">
        <v>0</v>
      </c>
      <c r="N16" s="70">
        <f t="shared" si="1"/>
        <v>8993</v>
      </c>
      <c r="O16" s="70">
        <v>0</v>
      </c>
    </row>
    <row r="17" spans="1:15" ht="15.75">
      <c r="A17" s="31">
        <v>9</v>
      </c>
      <c r="B17" s="36" t="s">
        <v>64</v>
      </c>
      <c r="C17" s="70">
        <f>'Refer Para 27'!Q240</f>
        <v>3402</v>
      </c>
      <c r="D17" s="70">
        <f>'Refer Para 27'!Q241</f>
        <v>3636</v>
      </c>
      <c r="E17" s="70">
        <f>'Refer Para 27'!Q242</f>
        <v>77</v>
      </c>
      <c r="F17" s="70">
        <f>'Refer Para 27'!Q243</f>
        <v>1610</v>
      </c>
      <c r="G17" s="70">
        <f>'Refer Para 27'!Q244</f>
        <v>27</v>
      </c>
      <c r="H17" s="70">
        <f>'Refer Para 27'!Q245</f>
        <v>20</v>
      </c>
      <c r="I17" s="70">
        <f>'Refer Para 27'!Q246</f>
        <v>24</v>
      </c>
      <c r="J17" s="70">
        <f>'Refer Para 27'!Q247</f>
        <v>26</v>
      </c>
      <c r="K17" s="70">
        <f>'Refer Para 27'!Q248</f>
        <v>47</v>
      </c>
      <c r="L17" s="70">
        <f t="shared" si="0"/>
        <v>8869</v>
      </c>
      <c r="M17" s="70">
        <v>0</v>
      </c>
      <c r="N17" s="70">
        <f t="shared" si="1"/>
        <v>8869</v>
      </c>
      <c r="O17" s="70">
        <v>0</v>
      </c>
    </row>
    <row r="18" spans="1:15" ht="15.75">
      <c r="A18" s="31">
        <v>10</v>
      </c>
      <c r="B18" s="36" t="s">
        <v>65</v>
      </c>
      <c r="C18" s="70">
        <f>'Refer Para 27'!Q269</f>
        <v>5414</v>
      </c>
      <c r="D18" s="70">
        <f>'Refer Para 27'!Q270</f>
        <v>2999</v>
      </c>
      <c r="E18" s="70">
        <f>'Refer Para 27'!Q271</f>
        <v>113</v>
      </c>
      <c r="F18" s="70">
        <f>'Refer Para 27'!Q272</f>
        <v>860</v>
      </c>
      <c r="G18" s="70">
        <f>'Refer Para 27'!Q273</f>
        <v>16</v>
      </c>
      <c r="H18" s="70">
        <f>'Refer Para 27'!Q274</f>
        <v>18</v>
      </c>
      <c r="I18" s="70">
        <f>'Refer Para 27'!Q275</f>
        <v>21</v>
      </c>
      <c r="J18" s="70">
        <f>'Refer Para 27'!Q276</f>
        <v>9</v>
      </c>
      <c r="K18" s="70">
        <f>'Refer Para 27'!Q277</f>
        <v>98</v>
      </c>
      <c r="L18" s="70">
        <f t="shared" si="0"/>
        <v>9548</v>
      </c>
      <c r="M18" s="70">
        <v>0</v>
      </c>
      <c r="N18" s="70">
        <f t="shared" si="1"/>
        <v>9548</v>
      </c>
      <c r="O18" s="70">
        <v>0</v>
      </c>
    </row>
    <row r="19" spans="1:15" ht="15.75">
      <c r="A19" s="31">
        <v>11</v>
      </c>
      <c r="B19" s="36" t="s">
        <v>66</v>
      </c>
      <c r="C19" s="70">
        <f>'Refer Para 27'!Q298</f>
        <v>1861</v>
      </c>
      <c r="D19" s="70">
        <f>'Refer Para 27'!Q299</f>
        <v>4893</v>
      </c>
      <c r="E19" s="70">
        <f>'Refer Para 27'!Q300</f>
        <v>76</v>
      </c>
      <c r="F19" s="70">
        <f>'Refer Para 27'!Q301</f>
        <v>1020</v>
      </c>
      <c r="G19" s="70">
        <f>'Refer Para 27'!Q302</f>
        <v>29</v>
      </c>
      <c r="H19" s="70">
        <f>'Refer Para 27'!Q303</f>
        <v>30</v>
      </c>
      <c r="I19" s="70">
        <f>'Refer Para 27'!Q304</f>
        <v>30</v>
      </c>
      <c r="J19" s="70">
        <f>'Refer Para 27'!Q305</f>
        <v>21</v>
      </c>
      <c r="K19" s="70">
        <f>'Refer Para 27'!Q306</f>
        <v>35</v>
      </c>
      <c r="L19" s="70">
        <f t="shared" si="0"/>
        <v>7995</v>
      </c>
      <c r="M19" s="70">
        <v>0</v>
      </c>
      <c r="N19" s="70">
        <f t="shared" si="1"/>
        <v>7995</v>
      </c>
      <c r="O19" s="70">
        <v>0</v>
      </c>
    </row>
    <row r="20" spans="1:15" ht="15.75">
      <c r="A20" s="31">
        <v>12</v>
      </c>
      <c r="B20" s="36" t="s">
        <v>67</v>
      </c>
      <c r="C20" s="70">
        <f>'Refer Para 27'!Q327</f>
        <v>1164</v>
      </c>
      <c r="D20" s="70">
        <f>'Refer Para 27'!Q328</f>
        <v>5137</v>
      </c>
      <c r="E20" s="70">
        <f>'Refer Para 27'!Q329</f>
        <v>74</v>
      </c>
      <c r="F20" s="70">
        <f>'Refer Para 27'!Q330</f>
        <v>815</v>
      </c>
      <c r="G20" s="70">
        <f>'Refer Para 27'!Q331</f>
        <v>64</v>
      </c>
      <c r="H20" s="70">
        <f>'Refer Para 27'!Q332</f>
        <v>62</v>
      </c>
      <c r="I20" s="70">
        <f>'Refer Para 27'!Q333</f>
        <v>31</v>
      </c>
      <c r="J20" s="70">
        <f>'Refer Para 27'!Q334</f>
        <v>18</v>
      </c>
      <c r="K20" s="70">
        <f>'Refer Para 27'!Q335</f>
        <v>22</v>
      </c>
      <c r="L20" s="70">
        <f t="shared" si="0"/>
        <v>7387</v>
      </c>
      <c r="M20" s="70">
        <v>0</v>
      </c>
      <c r="N20" s="70">
        <f t="shared" si="1"/>
        <v>7387</v>
      </c>
      <c r="O20" s="70">
        <v>0</v>
      </c>
    </row>
    <row r="21" spans="1:15" ht="15.75">
      <c r="A21" s="31">
        <v>13</v>
      </c>
      <c r="B21" s="36" t="s">
        <v>68</v>
      </c>
      <c r="C21" s="70">
        <f>'Refer Para 27'!Q356</f>
        <v>1128</v>
      </c>
      <c r="D21" s="70">
        <f>'Refer Para 27'!Q357</f>
        <v>4298</v>
      </c>
      <c r="E21" s="70">
        <f>'Refer Para 27'!Q358</f>
        <v>76</v>
      </c>
      <c r="F21" s="70">
        <f>'Refer Para 27'!Q359</f>
        <v>1465</v>
      </c>
      <c r="G21" s="70">
        <f>'Refer Para 27'!Q360</f>
        <v>10</v>
      </c>
      <c r="H21" s="70">
        <f>'Refer Para 27'!Q361</f>
        <v>142</v>
      </c>
      <c r="I21" s="70">
        <f>'Refer Para 27'!Q362</f>
        <v>19</v>
      </c>
      <c r="J21" s="70">
        <f>'Refer Para 27'!Q363</f>
        <v>25</v>
      </c>
      <c r="K21" s="70">
        <f>'Refer Para 27'!Q364</f>
        <v>32</v>
      </c>
      <c r="L21" s="70">
        <f t="shared" si="0"/>
        <v>7195</v>
      </c>
      <c r="M21" s="70">
        <v>0</v>
      </c>
      <c r="N21" s="70">
        <f t="shared" si="1"/>
        <v>7195</v>
      </c>
      <c r="O21" s="70">
        <v>0</v>
      </c>
    </row>
    <row r="22" spans="1:15" ht="15.75">
      <c r="A22" s="31">
        <v>14</v>
      </c>
      <c r="B22" s="36" t="s">
        <v>69</v>
      </c>
      <c r="C22" s="70">
        <f>'Refer Para 27'!Q385</f>
        <v>3151</v>
      </c>
      <c r="D22" s="70">
        <f>'Refer Para 27'!Q386</f>
        <v>3774</v>
      </c>
      <c r="E22" s="70">
        <f>'Refer Para 27'!Q387</f>
        <v>73</v>
      </c>
      <c r="F22" s="70">
        <f>'Refer Para 27'!Q388</f>
        <v>1325</v>
      </c>
      <c r="G22" s="70">
        <f>'Refer Para 27'!Q389</f>
        <v>25</v>
      </c>
      <c r="H22" s="70">
        <f>'Refer Para 27'!Q390</f>
        <v>26</v>
      </c>
      <c r="I22" s="70">
        <f>'Refer Para 27'!Q391</f>
        <v>27</v>
      </c>
      <c r="J22" s="70">
        <f>'Refer Para 27'!Q392</f>
        <v>33</v>
      </c>
      <c r="K22" s="70">
        <f>'Refer Para 27'!Q393</f>
        <v>40</v>
      </c>
      <c r="L22" s="70">
        <f t="shared" si="0"/>
        <v>8474</v>
      </c>
      <c r="M22" s="70">
        <v>0</v>
      </c>
      <c r="N22" s="70">
        <f t="shared" si="1"/>
        <v>8474</v>
      </c>
      <c r="O22" s="70">
        <v>0</v>
      </c>
    </row>
    <row r="23" spans="1:15" ht="15.75">
      <c r="A23" s="31">
        <v>15</v>
      </c>
      <c r="B23" s="36" t="s">
        <v>70</v>
      </c>
      <c r="C23" s="70">
        <f>'Refer Para 27'!Q414</f>
        <v>2194</v>
      </c>
      <c r="D23" s="70">
        <f>'Refer Para 27'!Q415</f>
        <v>4837</v>
      </c>
      <c r="E23" s="70">
        <f>'Refer Para 27'!Q416</f>
        <v>110</v>
      </c>
      <c r="F23" s="70">
        <f>'Refer Para 27'!Q417</f>
        <v>1365</v>
      </c>
      <c r="G23" s="70">
        <f>'Refer Para 27'!Q418</f>
        <v>15</v>
      </c>
      <c r="H23" s="70">
        <f>'Refer Para 27'!Q419</f>
        <v>39</v>
      </c>
      <c r="I23" s="70">
        <f>'Refer Para 27'!Q420</f>
        <v>33</v>
      </c>
      <c r="J23" s="70">
        <f>'Refer Para 27'!Q421</f>
        <v>52</v>
      </c>
      <c r="K23" s="70">
        <f>'Refer Para 27'!Q422</f>
        <v>35</v>
      </c>
      <c r="L23" s="70">
        <f t="shared" si="0"/>
        <v>8680</v>
      </c>
      <c r="M23" s="70">
        <v>0</v>
      </c>
      <c r="N23" s="70">
        <f t="shared" si="1"/>
        <v>8680</v>
      </c>
      <c r="O23" s="70">
        <v>0</v>
      </c>
    </row>
    <row r="24" spans="1:15" ht="15.75">
      <c r="A24" s="31">
        <v>16</v>
      </c>
      <c r="B24" s="36" t="s">
        <v>71</v>
      </c>
      <c r="C24" s="70">
        <f>'Refer Para 27'!Q443</f>
        <v>583</v>
      </c>
      <c r="D24" s="70">
        <f>'Refer Para 27'!Q444</f>
        <v>6785</v>
      </c>
      <c r="E24" s="70">
        <f>'Refer Para 27'!Q445</f>
        <v>156</v>
      </c>
      <c r="F24" s="70">
        <f>'Refer Para 27'!Q446</f>
        <v>1375</v>
      </c>
      <c r="G24" s="70">
        <f>'Refer Para 27'!Q447</f>
        <v>26</v>
      </c>
      <c r="H24" s="70">
        <f>'Refer Para 27'!Q448</f>
        <v>48</v>
      </c>
      <c r="I24" s="70">
        <f>'Refer Para 27'!Q449</f>
        <v>85</v>
      </c>
      <c r="J24" s="70">
        <f>'Refer Para 27'!Q450</f>
        <v>49</v>
      </c>
      <c r="K24" s="70">
        <f>'Refer Para 27'!Q451</f>
        <v>60</v>
      </c>
      <c r="L24" s="70">
        <f t="shared" si="0"/>
        <v>9167</v>
      </c>
      <c r="M24" s="70">
        <v>0</v>
      </c>
      <c r="N24" s="70">
        <f t="shared" si="1"/>
        <v>9167</v>
      </c>
      <c r="O24" s="70">
        <v>0</v>
      </c>
    </row>
    <row r="25" spans="1:15" ht="15.75">
      <c r="A25" s="31">
        <v>17</v>
      </c>
      <c r="B25" s="36" t="s">
        <v>72</v>
      </c>
      <c r="C25" s="70">
        <f>'Refer Para 27'!Q472</f>
        <v>2388</v>
      </c>
      <c r="D25" s="70">
        <f>'Refer Para 27'!Q473</f>
        <v>4194</v>
      </c>
      <c r="E25" s="70">
        <f>'Refer Para 27'!Q474</f>
        <v>54</v>
      </c>
      <c r="F25" s="70">
        <f>'Refer Para 27'!Q475</f>
        <v>771</v>
      </c>
      <c r="G25" s="70">
        <f>'Refer Para 27'!Q476</f>
        <v>14</v>
      </c>
      <c r="H25" s="70">
        <f>'Refer Para 27'!Q477</f>
        <v>11</v>
      </c>
      <c r="I25" s="70">
        <f>'Refer Para 27'!Q478</f>
        <v>33</v>
      </c>
      <c r="J25" s="70">
        <f>'Refer Para 27'!Q479</f>
        <v>34</v>
      </c>
      <c r="K25" s="70">
        <f>'Refer Para 27'!Q480</f>
        <v>36</v>
      </c>
      <c r="L25" s="70">
        <f t="shared" si="0"/>
        <v>7535</v>
      </c>
      <c r="M25" s="70">
        <v>0</v>
      </c>
      <c r="N25" s="70">
        <f t="shared" si="1"/>
        <v>7535</v>
      </c>
      <c r="O25" s="70">
        <v>0</v>
      </c>
    </row>
    <row r="26" spans="1:15" ht="15.75">
      <c r="A26" s="31">
        <v>18</v>
      </c>
      <c r="B26" s="36" t="s">
        <v>73</v>
      </c>
      <c r="C26" s="70">
        <f>'Refer Para 27'!Q501</f>
        <v>3667</v>
      </c>
      <c r="D26" s="70">
        <f>'Refer Para 27'!Q502</f>
        <v>4064</v>
      </c>
      <c r="E26" s="70">
        <f>'Refer Para 27'!Q503</f>
        <v>42</v>
      </c>
      <c r="F26" s="70">
        <f>'Refer Para 27'!Q504</f>
        <v>802</v>
      </c>
      <c r="G26" s="70">
        <f>'Refer Para 27'!Q505</f>
        <v>21</v>
      </c>
      <c r="H26" s="70">
        <f>'Refer Para 27'!Q506</f>
        <v>12</v>
      </c>
      <c r="I26" s="70">
        <f>'Refer Para 27'!Q507</f>
        <v>37</v>
      </c>
      <c r="J26" s="70">
        <f>'Refer Para 27'!Q508</f>
        <v>26</v>
      </c>
      <c r="K26" s="70">
        <f>'Refer Para 27'!Q509</f>
        <v>59</v>
      </c>
      <c r="L26" s="70">
        <f t="shared" si="0"/>
        <v>8730</v>
      </c>
      <c r="M26" s="70">
        <v>0</v>
      </c>
      <c r="N26" s="70">
        <f t="shared" si="1"/>
        <v>8730</v>
      </c>
      <c r="O26" s="70">
        <v>0</v>
      </c>
    </row>
    <row r="27" spans="1:15" ht="15.75">
      <c r="A27" s="31">
        <v>19</v>
      </c>
      <c r="B27" s="36" t="s">
        <v>74</v>
      </c>
      <c r="C27" s="70">
        <f>'Refer Para 27'!Q530</f>
        <v>1047</v>
      </c>
      <c r="D27" s="70">
        <f>'Refer Para 27'!Q531</f>
        <v>6370</v>
      </c>
      <c r="E27" s="70">
        <f>'Refer Para 27'!Q532</f>
        <v>83</v>
      </c>
      <c r="F27" s="70">
        <f>'Refer Para 27'!Q533</f>
        <v>535</v>
      </c>
      <c r="G27" s="70">
        <f>'Refer Para 27'!Q534</f>
        <v>19</v>
      </c>
      <c r="H27" s="70">
        <f>'Refer Para 27'!Q535</f>
        <v>27</v>
      </c>
      <c r="I27" s="70">
        <f>'Refer Para 27'!Q536</f>
        <v>56</v>
      </c>
      <c r="J27" s="70">
        <f>'Refer Para 27'!Q537</f>
        <v>56</v>
      </c>
      <c r="K27" s="70">
        <f>'Refer Para 27'!Q538</f>
        <v>54</v>
      </c>
      <c r="L27" s="70">
        <f t="shared" si="0"/>
        <v>8247</v>
      </c>
      <c r="M27" s="70">
        <v>0</v>
      </c>
      <c r="N27" s="70">
        <f t="shared" si="1"/>
        <v>8247</v>
      </c>
      <c r="O27" s="70">
        <v>0</v>
      </c>
    </row>
    <row r="28" spans="1:15" ht="15.75">
      <c r="A28" s="31">
        <v>20</v>
      </c>
      <c r="B28" s="36" t="s">
        <v>75</v>
      </c>
      <c r="C28" s="70">
        <f>'Refer Para 27'!Q559</f>
        <v>1282</v>
      </c>
      <c r="D28" s="70">
        <f>'Refer Para 27'!Q560</f>
        <v>5961</v>
      </c>
      <c r="E28" s="70">
        <f>'Refer Para 27'!Q561</f>
        <v>92</v>
      </c>
      <c r="F28" s="70">
        <f>'Refer Para 27'!Q562</f>
        <v>937</v>
      </c>
      <c r="G28" s="70">
        <f>'Refer Para 27'!Q563</f>
        <v>17</v>
      </c>
      <c r="H28" s="70">
        <f>'Refer Para 27'!Q564</f>
        <v>32</v>
      </c>
      <c r="I28" s="70">
        <f>'Refer Para 27'!Q565</f>
        <v>43</v>
      </c>
      <c r="J28" s="70">
        <f>'Refer Para 27'!Q566</f>
        <v>43</v>
      </c>
      <c r="K28" s="70">
        <f>'Refer Para 27'!Q567</f>
        <v>47</v>
      </c>
      <c r="L28" s="70">
        <f t="shared" si="0"/>
        <v>8454</v>
      </c>
      <c r="M28" s="70">
        <v>0</v>
      </c>
      <c r="N28" s="70">
        <f t="shared" si="1"/>
        <v>8454</v>
      </c>
      <c r="O28" s="70">
        <v>0</v>
      </c>
    </row>
    <row r="29" spans="1:15" ht="15.75">
      <c r="A29" s="31">
        <v>21</v>
      </c>
      <c r="B29" s="36" t="s">
        <v>76</v>
      </c>
      <c r="C29" s="70">
        <f>'Refer Para 27'!Q588</f>
        <v>831</v>
      </c>
      <c r="D29" s="70">
        <f>'Refer Para 27'!Q589</f>
        <v>5905</v>
      </c>
      <c r="E29" s="70">
        <f>'Refer Para 27'!Q590</f>
        <v>178</v>
      </c>
      <c r="F29" s="70">
        <f>'Refer Para 27'!Q591</f>
        <v>842</v>
      </c>
      <c r="G29" s="70">
        <f>'Refer Para 27'!Q592</f>
        <v>13</v>
      </c>
      <c r="H29" s="70">
        <f>'Refer Para 27'!Q593</f>
        <v>24</v>
      </c>
      <c r="I29" s="70">
        <f>'Refer Para 27'!Q594</f>
        <v>48</v>
      </c>
      <c r="J29" s="70">
        <f>'Refer Para 27'!Q595</f>
        <v>47</v>
      </c>
      <c r="K29" s="70">
        <f>'Refer Para 27'!Q596</f>
        <v>52</v>
      </c>
      <c r="L29" s="70">
        <f t="shared" si="0"/>
        <v>7940</v>
      </c>
      <c r="M29" s="70">
        <v>0</v>
      </c>
      <c r="N29" s="70">
        <f t="shared" si="1"/>
        <v>7940</v>
      </c>
      <c r="O29" s="70">
        <v>0</v>
      </c>
    </row>
    <row r="30" spans="1:15" ht="15.75">
      <c r="A30" s="31">
        <v>22</v>
      </c>
      <c r="B30" s="36" t="s">
        <v>77</v>
      </c>
      <c r="C30" s="70">
        <f>'Refer Para 27'!Q617</f>
        <v>985</v>
      </c>
      <c r="D30" s="70">
        <f>'Refer Para 27'!Q618</f>
        <v>4274</v>
      </c>
      <c r="E30" s="70">
        <f>'Refer Para 27'!Q619</f>
        <v>111</v>
      </c>
      <c r="F30" s="70">
        <f>'Refer Para 27'!Q620</f>
        <v>1230</v>
      </c>
      <c r="G30" s="70">
        <f>'Refer Para 27'!Q621</f>
        <v>13</v>
      </c>
      <c r="H30" s="70">
        <f>'Refer Para 27'!Q622</f>
        <v>20</v>
      </c>
      <c r="I30" s="70">
        <f>'Refer Para 27'!Q623</f>
        <v>21</v>
      </c>
      <c r="J30" s="70">
        <f>'Refer Para 27'!Q624</f>
        <v>27</v>
      </c>
      <c r="K30" s="70">
        <f>'Refer Para 27'!Q625</f>
        <v>19</v>
      </c>
      <c r="L30" s="70">
        <f t="shared" si="0"/>
        <v>6700</v>
      </c>
      <c r="M30" s="70">
        <v>0</v>
      </c>
      <c r="N30" s="70">
        <f t="shared" si="1"/>
        <v>6700</v>
      </c>
      <c r="O30" s="70">
        <v>0</v>
      </c>
    </row>
    <row r="31" spans="1:15" ht="15.75">
      <c r="A31" s="31">
        <v>23</v>
      </c>
      <c r="B31" s="36" t="s">
        <v>78</v>
      </c>
      <c r="C31" s="70">
        <f>'Refer Para 27'!Q646</f>
        <v>681</v>
      </c>
      <c r="D31" s="70">
        <f>'Refer Para 27'!Q647</f>
        <v>5931</v>
      </c>
      <c r="E31" s="70">
        <f>'Refer Para 27'!Q648</f>
        <v>58</v>
      </c>
      <c r="F31" s="70">
        <f>'Refer Para 27'!Q649</f>
        <v>1194</v>
      </c>
      <c r="G31" s="70">
        <f>'Refer Para 27'!Q650</f>
        <v>16</v>
      </c>
      <c r="H31" s="70">
        <f>'Refer Para 27'!Q651</f>
        <v>40</v>
      </c>
      <c r="I31" s="70">
        <f>'Refer Para 27'!Q652</f>
        <v>43</v>
      </c>
      <c r="J31" s="70">
        <f>'Refer Para 27'!Q653</f>
        <v>30</v>
      </c>
      <c r="K31" s="70">
        <f>'Refer Para 27'!Q654</f>
        <v>46</v>
      </c>
      <c r="L31" s="70">
        <f t="shared" si="0"/>
        <v>8039</v>
      </c>
      <c r="M31" s="70">
        <v>0</v>
      </c>
      <c r="N31" s="70">
        <f t="shared" si="1"/>
        <v>8039</v>
      </c>
      <c r="O31" s="70">
        <v>0</v>
      </c>
    </row>
    <row r="32" spans="1:15" ht="15.75">
      <c r="A32" s="31">
        <v>24</v>
      </c>
      <c r="B32" s="36" t="s">
        <v>79</v>
      </c>
      <c r="C32" s="70">
        <f>'Refer Para 27'!Q675</f>
        <v>777</v>
      </c>
      <c r="D32" s="70">
        <f>'Refer Para 27'!Q676</f>
        <v>4930</v>
      </c>
      <c r="E32" s="70">
        <f>'Refer Para 27'!Q677</f>
        <v>104</v>
      </c>
      <c r="F32" s="70">
        <f>'Refer Para 27'!Q678</f>
        <v>1181</v>
      </c>
      <c r="G32" s="70">
        <f>'Refer Para 27'!Q679</f>
        <v>33</v>
      </c>
      <c r="H32" s="70">
        <f>'Refer Para 27'!Q680</f>
        <v>59</v>
      </c>
      <c r="I32" s="70">
        <f>'Refer Para 27'!Q681</f>
        <v>35</v>
      </c>
      <c r="J32" s="70">
        <f>'Refer Para 27'!Q682</f>
        <v>39</v>
      </c>
      <c r="K32" s="70">
        <f>'Refer Para 27'!Q683</f>
        <v>54</v>
      </c>
      <c r="L32" s="70">
        <f t="shared" si="0"/>
        <v>7212</v>
      </c>
      <c r="M32" s="70">
        <v>0</v>
      </c>
      <c r="N32" s="70">
        <f t="shared" si="1"/>
        <v>7212</v>
      </c>
      <c r="O32" s="70">
        <v>0</v>
      </c>
    </row>
    <row r="33" spans="1:15" ht="15.75">
      <c r="A33" s="31">
        <v>25</v>
      </c>
      <c r="B33" s="36" t="s">
        <v>80</v>
      </c>
      <c r="C33" s="71">
        <f>'Refer Para 27'!Q704</f>
        <v>1167</v>
      </c>
      <c r="D33" s="70">
        <f>'Refer Para 27'!Q705</f>
        <v>5651</v>
      </c>
      <c r="E33" s="70">
        <f>'Refer Para 27'!Q706</f>
        <v>94</v>
      </c>
      <c r="F33" s="70">
        <f>'Refer Para 27'!Q707</f>
        <v>798</v>
      </c>
      <c r="G33" s="70">
        <f>'Refer Para 27'!Q708</f>
        <v>25</v>
      </c>
      <c r="H33" s="70">
        <f>'Refer Para 27'!Q709</f>
        <v>29</v>
      </c>
      <c r="I33" s="70">
        <f>'Refer Para 27'!Q710</f>
        <v>45</v>
      </c>
      <c r="J33" s="70">
        <f>'Refer Para 27'!Q711</f>
        <v>40</v>
      </c>
      <c r="K33" s="70">
        <f>'Refer Para 27'!Q712</f>
        <v>55</v>
      </c>
      <c r="L33" s="70">
        <f t="shared" si="0"/>
        <v>7904</v>
      </c>
      <c r="M33" s="70">
        <v>0</v>
      </c>
      <c r="N33" s="70">
        <f t="shared" si="1"/>
        <v>7904</v>
      </c>
      <c r="O33" s="70">
        <v>0</v>
      </c>
    </row>
    <row r="34" spans="1:15" ht="15.75">
      <c r="A34" s="31">
        <v>26</v>
      </c>
      <c r="B34" s="36" t="s">
        <v>82</v>
      </c>
      <c r="C34" s="70">
        <f>'Refer Para 27'!Q733</f>
        <v>905</v>
      </c>
      <c r="D34" s="70">
        <f>'Refer Para 27'!Q734</f>
        <v>4621</v>
      </c>
      <c r="E34" s="70">
        <f>'Refer Para 27'!Q735</f>
        <v>123</v>
      </c>
      <c r="F34" s="70">
        <f>'Refer Para 27'!Q736</f>
        <v>1293</v>
      </c>
      <c r="G34" s="70">
        <f>'Refer Para 27'!Q737</f>
        <v>31</v>
      </c>
      <c r="H34" s="70">
        <f>'Refer Para 27'!Q738</f>
        <v>36</v>
      </c>
      <c r="I34" s="70">
        <f>'Refer Para 27'!Q739</f>
        <v>41</v>
      </c>
      <c r="J34" s="70">
        <f>'Refer Para 27'!Q740</f>
        <v>29</v>
      </c>
      <c r="K34" s="70">
        <f>'Refer Para 27'!Q741</f>
        <v>35</v>
      </c>
      <c r="L34" s="70">
        <f t="shared" si="0"/>
        <v>7114</v>
      </c>
      <c r="M34" s="70">
        <v>0</v>
      </c>
      <c r="N34" s="70">
        <f t="shared" si="1"/>
        <v>7114</v>
      </c>
      <c r="O34" s="70">
        <v>0</v>
      </c>
    </row>
    <row r="35" spans="1:15" s="73" customFormat="1" ht="15.75">
      <c r="A35" s="31">
        <v>27</v>
      </c>
      <c r="B35" s="36" t="s">
        <v>187</v>
      </c>
      <c r="C35" s="70">
        <f>'Refer Para 27'!Q762</f>
        <v>1223</v>
      </c>
      <c r="D35" s="70">
        <f>'Refer Para 27'!Q763</f>
        <v>4922</v>
      </c>
      <c r="E35" s="70">
        <f>'Refer Para 27'!Q764</f>
        <v>48</v>
      </c>
      <c r="F35" s="70">
        <f>'Refer Para 27'!Q765</f>
        <v>1037</v>
      </c>
      <c r="G35" s="70">
        <f>'Refer Para 27'!Q766</f>
        <v>18</v>
      </c>
      <c r="H35" s="70">
        <f>'Refer Para 27'!Q767</f>
        <v>37</v>
      </c>
      <c r="I35" s="70">
        <f>'Refer Para 27'!Q768</f>
        <v>38</v>
      </c>
      <c r="J35" s="70">
        <f>'Refer Para 27'!Q769</f>
        <v>45</v>
      </c>
      <c r="K35" s="70">
        <f>'Refer Para 27'!Q770</f>
        <v>59</v>
      </c>
      <c r="L35" s="70">
        <f t="shared" ref="L35:L40" si="2">SUM(C35:K35)</f>
        <v>7427</v>
      </c>
      <c r="M35" s="70">
        <v>0</v>
      </c>
      <c r="N35" s="70">
        <f t="shared" si="1"/>
        <v>7427</v>
      </c>
      <c r="O35" s="70">
        <v>0</v>
      </c>
    </row>
    <row r="36" spans="1:15" s="73" customFormat="1" ht="15.75">
      <c r="A36" s="31">
        <v>28</v>
      </c>
      <c r="B36" s="36" t="s">
        <v>188</v>
      </c>
      <c r="C36" s="70">
        <f>'Refer Para 27'!Q791</f>
        <v>5380</v>
      </c>
      <c r="D36" s="70">
        <f>'Refer Para 27'!Q792</f>
        <v>1730</v>
      </c>
      <c r="E36" s="70">
        <f>'Refer Para 27'!Q793</f>
        <v>53</v>
      </c>
      <c r="F36" s="70">
        <f>'Refer Para 27'!Q794</f>
        <v>1294</v>
      </c>
      <c r="G36" s="70">
        <f>'Refer Para 27'!Q795</f>
        <v>40</v>
      </c>
      <c r="H36" s="70">
        <f>'Refer Para 27'!Q796</f>
        <v>26</v>
      </c>
      <c r="I36" s="70">
        <f>'Refer Para 27'!Q797</f>
        <v>28</v>
      </c>
      <c r="J36" s="70">
        <f>'Refer Para 27'!Q798</f>
        <v>24</v>
      </c>
      <c r="K36" s="70">
        <f>'Refer Para 27'!Q799</f>
        <v>65</v>
      </c>
      <c r="L36" s="70">
        <f t="shared" si="2"/>
        <v>8640</v>
      </c>
      <c r="M36" s="70">
        <v>0</v>
      </c>
      <c r="N36" s="70">
        <f t="shared" si="1"/>
        <v>8640</v>
      </c>
      <c r="O36" s="70">
        <v>0</v>
      </c>
    </row>
    <row r="37" spans="1:15" s="73" customFormat="1" ht="15.75">
      <c r="A37" s="31">
        <v>29</v>
      </c>
      <c r="B37" s="36" t="s">
        <v>189</v>
      </c>
      <c r="C37" s="70">
        <f>'Refer Para 27'!Q820</f>
        <v>1915</v>
      </c>
      <c r="D37" s="70">
        <f>'Refer Para 27'!Q821</f>
        <v>4050</v>
      </c>
      <c r="E37" s="70">
        <f>'Refer Para 27'!Q822</f>
        <v>147</v>
      </c>
      <c r="F37" s="70">
        <f>'Refer Para 27'!Q823</f>
        <v>1095</v>
      </c>
      <c r="G37" s="70">
        <f>'Refer Para 27'!Q824</f>
        <v>23</v>
      </c>
      <c r="H37" s="70">
        <f>'Refer Para 27'!Q825</f>
        <v>151</v>
      </c>
      <c r="I37" s="70">
        <f>'Refer Para 27'!Q826</f>
        <v>41</v>
      </c>
      <c r="J37" s="70">
        <f>'Refer Para 27'!Q827</f>
        <v>34</v>
      </c>
      <c r="K37" s="70">
        <f>'Refer Para 27'!Q828</f>
        <v>52</v>
      </c>
      <c r="L37" s="70">
        <f t="shared" si="2"/>
        <v>7508</v>
      </c>
      <c r="M37" s="70">
        <v>0</v>
      </c>
      <c r="N37" s="70">
        <f t="shared" si="1"/>
        <v>7508</v>
      </c>
      <c r="O37" s="70">
        <v>0</v>
      </c>
    </row>
    <row r="38" spans="1:15" s="73" customFormat="1" ht="15.75">
      <c r="A38" s="31">
        <v>30</v>
      </c>
      <c r="B38" s="36" t="s">
        <v>190</v>
      </c>
      <c r="C38" s="70">
        <f>'Refer Para 27'!Q849</f>
        <v>1927</v>
      </c>
      <c r="D38" s="70">
        <f>'Refer Para 27'!Q850</f>
        <v>4436</v>
      </c>
      <c r="E38" s="70">
        <f>'Refer Para 27'!Q851</f>
        <v>62</v>
      </c>
      <c r="F38" s="70">
        <f>'Refer Para 27'!Q852</f>
        <v>853</v>
      </c>
      <c r="G38" s="70">
        <f>'Refer Para 27'!Q853</f>
        <v>18</v>
      </c>
      <c r="H38" s="70">
        <f>'Refer Para 27'!Q854</f>
        <v>34</v>
      </c>
      <c r="I38" s="70">
        <f>'Refer Para 27'!Q855</f>
        <v>29</v>
      </c>
      <c r="J38" s="70">
        <f>'Refer Para 27'!Q856</f>
        <v>31</v>
      </c>
      <c r="K38" s="70">
        <f>'Refer Para 27'!Q857</f>
        <v>45</v>
      </c>
      <c r="L38" s="70">
        <f t="shared" si="2"/>
        <v>7435</v>
      </c>
      <c r="M38" s="70">
        <v>0</v>
      </c>
      <c r="N38" s="70">
        <f t="shared" si="1"/>
        <v>7435</v>
      </c>
      <c r="O38" s="70">
        <v>0</v>
      </c>
    </row>
    <row r="39" spans="1:15" s="73" customFormat="1" ht="15.75">
      <c r="A39" s="31">
        <v>31</v>
      </c>
      <c r="B39" s="36" t="s">
        <v>191</v>
      </c>
      <c r="C39" s="70">
        <f>'Refer Para 27'!Q878</f>
        <v>1360</v>
      </c>
      <c r="D39" s="70">
        <f>'Refer Para 27'!Q879</f>
        <v>5179</v>
      </c>
      <c r="E39" s="70">
        <f>'Refer Para 27'!Q880</f>
        <v>106</v>
      </c>
      <c r="F39" s="70">
        <f>'Refer Para 27'!Q881</f>
        <v>925</v>
      </c>
      <c r="G39" s="70">
        <f>'Refer Para 27'!Q882</f>
        <v>26</v>
      </c>
      <c r="H39" s="70">
        <f>'Refer Para 27'!Q883</f>
        <v>35</v>
      </c>
      <c r="I39" s="70">
        <f>'Refer Para 27'!Q884</f>
        <v>31</v>
      </c>
      <c r="J39" s="70">
        <f>'Refer Para 27'!Q885</f>
        <v>29</v>
      </c>
      <c r="K39" s="70">
        <f>'Refer Para 27'!Q886</f>
        <v>54</v>
      </c>
      <c r="L39" s="70">
        <f t="shared" si="2"/>
        <v>7745</v>
      </c>
      <c r="M39" s="70">
        <v>0</v>
      </c>
      <c r="N39" s="70">
        <f t="shared" si="1"/>
        <v>7745</v>
      </c>
      <c r="O39" s="70">
        <v>0</v>
      </c>
    </row>
    <row r="40" spans="1:15" s="73" customFormat="1" ht="15.75">
      <c r="A40" s="31">
        <v>32</v>
      </c>
      <c r="B40" s="36" t="s">
        <v>192</v>
      </c>
      <c r="C40" s="70">
        <f>'Refer Para 27'!Q907</f>
        <v>269</v>
      </c>
      <c r="D40" s="70">
        <f>'Refer Para 27'!Q908</f>
        <v>1416</v>
      </c>
      <c r="E40" s="70">
        <f>'Refer Para 27'!Q909</f>
        <v>31</v>
      </c>
      <c r="F40" s="70">
        <f>'Refer Para 27'!Q910</f>
        <v>399</v>
      </c>
      <c r="G40" s="70">
        <f>'Refer Para 27'!Q911</f>
        <v>6</v>
      </c>
      <c r="H40" s="70">
        <f>'Refer Para 27'!Q912</f>
        <v>11</v>
      </c>
      <c r="I40" s="70">
        <f>'Refer Para 27'!Q913</f>
        <v>5</v>
      </c>
      <c r="J40" s="70">
        <f>'Refer Para 27'!Q914</f>
        <v>5</v>
      </c>
      <c r="K40" s="70">
        <f>'Refer Para 27'!Q915</f>
        <v>4</v>
      </c>
      <c r="L40" s="70">
        <f t="shared" si="2"/>
        <v>2146</v>
      </c>
      <c r="M40" s="70">
        <v>0</v>
      </c>
      <c r="N40" s="70">
        <f t="shared" si="1"/>
        <v>2146</v>
      </c>
      <c r="O40" s="70">
        <v>0</v>
      </c>
    </row>
    <row r="41" spans="1:15" ht="18.75">
      <c r="A41" s="266" t="s">
        <v>81</v>
      </c>
      <c r="B41" s="266"/>
      <c r="C41" s="109">
        <f>SUM(C9:C40)</f>
        <v>59207</v>
      </c>
      <c r="D41" s="109">
        <f t="shared" ref="D41:O41" si="3">SUM(D9:D40)</f>
        <v>148342</v>
      </c>
      <c r="E41" s="109">
        <f t="shared" si="3"/>
        <v>2888</v>
      </c>
      <c r="F41" s="109">
        <f t="shared" si="3"/>
        <v>36043</v>
      </c>
      <c r="G41" s="109">
        <f t="shared" si="3"/>
        <v>728</v>
      </c>
      <c r="H41" s="109">
        <f t="shared" si="3"/>
        <v>1235</v>
      </c>
      <c r="I41" s="109">
        <f t="shared" si="3"/>
        <v>1109</v>
      </c>
      <c r="J41" s="109">
        <f t="shared" si="3"/>
        <v>1009</v>
      </c>
      <c r="K41" s="109">
        <f t="shared" si="3"/>
        <v>1400</v>
      </c>
      <c r="L41" s="109">
        <f t="shared" si="3"/>
        <v>251961</v>
      </c>
      <c r="M41" s="109">
        <f t="shared" si="3"/>
        <v>0</v>
      </c>
      <c r="N41" s="109">
        <f t="shared" si="3"/>
        <v>251961</v>
      </c>
      <c r="O41" s="109">
        <f t="shared" si="3"/>
        <v>0</v>
      </c>
    </row>
    <row r="42" spans="1:15" ht="18" customHeight="1">
      <c r="A42" s="265" t="s">
        <v>150</v>
      </c>
      <c r="B42" s="265"/>
      <c r="C42" s="70">
        <v>261</v>
      </c>
      <c r="D42" s="70">
        <v>783</v>
      </c>
      <c r="E42" s="70">
        <v>26</v>
      </c>
      <c r="F42" s="70">
        <v>150</v>
      </c>
      <c r="G42" s="70">
        <v>10</v>
      </c>
      <c r="H42" s="70">
        <v>2</v>
      </c>
      <c r="I42" s="70">
        <v>0</v>
      </c>
      <c r="J42" s="70">
        <v>2</v>
      </c>
      <c r="K42" s="70">
        <v>2</v>
      </c>
      <c r="L42" s="70">
        <f>SUM(C42:K42)</f>
        <v>1236</v>
      </c>
      <c r="M42" s="70">
        <v>542</v>
      </c>
      <c r="N42" s="70">
        <f>L42+M42</f>
        <v>1778</v>
      </c>
      <c r="O42" s="70">
        <v>0</v>
      </c>
    </row>
    <row r="43" spans="1:15" ht="21">
      <c r="A43" s="259" t="s">
        <v>151</v>
      </c>
      <c r="B43" s="259"/>
      <c r="C43" s="109">
        <f>C41+C42</f>
        <v>59468</v>
      </c>
      <c r="D43" s="109">
        <f t="shared" ref="D43:O43" si="4">D41+D42</f>
        <v>149125</v>
      </c>
      <c r="E43" s="109">
        <f t="shared" si="4"/>
        <v>2914</v>
      </c>
      <c r="F43" s="109">
        <f t="shared" si="4"/>
        <v>36193</v>
      </c>
      <c r="G43" s="109">
        <f t="shared" si="4"/>
        <v>738</v>
      </c>
      <c r="H43" s="109">
        <f t="shared" si="4"/>
        <v>1237</v>
      </c>
      <c r="I43" s="109">
        <f t="shared" si="4"/>
        <v>1109</v>
      </c>
      <c r="J43" s="109">
        <f t="shared" si="4"/>
        <v>1011</v>
      </c>
      <c r="K43" s="109">
        <f t="shared" si="4"/>
        <v>1402</v>
      </c>
      <c r="L43" s="109">
        <f t="shared" si="4"/>
        <v>253197</v>
      </c>
      <c r="M43" s="109">
        <f t="shared" si="4"/>
        <v>542</v>
      </c>
      <c r="N43" s="109">
        <f t="shared" si="4"/>
        <v>253739</v>
      </c>
      <c r="O43" s="109">
        <f t="shared" si="4"/>
        <v>0</v>
      </c>
    </row>
  </sheetData>
  <mergeCells count="16">
    <mergeCell ref="A43:B43"/>
    <mergeCell ref="A7:A8"/>
    <mergeCell ref="B7:B8"/>
    <mergeCell ref="L7:L8"/>
    <mergeCell ref="M7:M8"/>
    <mergeCell ref="A42:B42"/>
    <mergeCell ref="A41:B41"/>
    <mergeCell ref="N7:N8"/>
    <mergeCell ref="O7:O8"/>
    <mergeCell ref="A1:O1"/>
    <mergeCell ref="A2:O2"/>
    <mergeCell ref="A3:O3"/>
    <mergeCell ref="A4:O4"/>
    <mergeCell ref="A5:O5"/>
    <mergeCell ref="H6:O6"/>
    <mergeCell ref="A6:F6"/>
  </mergeCells>
  <pageMargins left="0.77" right="0.25" top="0.26" bottom="0.26" header="0.18" footer="0.18"/>
  <pageSetup paperSize="5" orientation="landscape" r:id="rId1"/>
  <ignoredErrors>
    <ignoredError sqref="N42 N9:N34 C10:L31 C32:L34 C9:K9 L9 C35:N40" unlocked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FF0000"/>
  </sheetPr>
  <dimension ref="A1:O453"/>
  <sheetViews>
    <sheetView zoomScaleSheetLayoutView="98" workbookViewId="0">
      <selection activeCell="N448" sqref="N448"/>
    </sheetView>
  </sheetViews>
  <sheetFormatPr defaultRowHeight="15"/>
  <cols>
    <col min="1" max="1" width="2.7109375" style="73" customWidth="1"/>
    <col min="2" max="2" width="11.140625" style="76" customWidth="1"/>
    <col min="3" max="6" width="11.5703125" style="73" customWidth="1"/>
    <col min="7" max="7" width="10.28515625" style="73" customWidth="1"/>
    <col min="8" max="8" width="11.5703125" style="73" customWidth="1"/>
    <col min="9" max="9" width="8.42578125" style="73" customWidth="1"/>
    <col min="10" max="10" width="9.5703125" style="73" customWidth="1"/>
    <col min="11" max="11" width="11.85546875" style="72" customWidth="1"/>
    <col min="12" max="12" width="12.7109375" style="72" customWidth="1"/>
    <col min="13" max="13" width="11.5703125" style="73" customWidth="1"/>
    <col min="14" max="14" width="12.7109375" style="72" customWidth="1"/>
    <col min="15" max="15" width="13.140625" style="72" customWidth="1"/>
    <col min="16" max="16" width="7.7109375" style="73" customWidth="1"/>
    <col min="17" max="16384" width="9.140625" style="73"/>
  </cols>
  <sheetData>
    <row r="1" spans="1:15" ht="18" customHeight="1">
      <c r="A1" s="269" t="s">
        <v>48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</row>
    <row r="2" spans="1:15" ht="18.75" customHeight="1">
      <c r="A2" s="255" t="s">
        <v>49</v>
      </c>
      <c r="B2" s="255"/>
      <c r="C2" s="255"/>
      <c r="D2" s="255"/>
      <c r="E2" s="255"/>
      <c r="F2" s="255"/>
      <c r="G2" s="255"/>
      <c r="H2" s="255"/>
      <c r="I2" s="255"/>
      <c r="J2" s="255"/>
      <c r="K2" s="255"/>
      <c r="L2" s="255"/>
      <c r="M2" s="255"/>
      <c r="N2" s="255"/>
      <c r="O2" s="255"/>
    </row>
    <row r="3" spans="1:15" ht="18.75" customHeight="1">
      <c r="A3" s="255" t="s">
        <v>50</v>
      </c>
      <c r="B3" s="255"/>
      <c r="C3" s="255"/>
      <c r="D3" s="255"/>
      <c r="E3" s="255"/>
      <c r="F3" s="255"/>
      <c r="G3" s="255"/>
      <c r="H3" s="255"/>
      <c r="I3" s="255"/>
      <c r="J3" s="255"/>
      <c r="K3" s="255"/>
      <c r="L3" s="255"/>
      <c r="M3" s="255"/>
      <c r="N3" s="255"/>
      <c r="O3" s="255"/>
    </row>
    <row r="4" spans="1:15" ht="18.75" customHeight="1">
      <c r="A4" s="270" t="s">
        <v>177</v>
      </c>
      <c r="B4" s="271"/>
      <c r="C4" s="271"/>
      <c r="D4" s="271"/>
      <c r="E4" s="271"/>
      <c r="F4" s="271"/>
      <c r="G4" s="271"/>
      <c r="H4" s="271"/>
      <c r="I4" s="271"/>
      <c r="J4" s="271"/>
      <c r="K4" s="271"/>
      <c r="L4" s="271"/>
      <c r="M4" s="271"/>
      <c r="N4" s="271"/>
      <c r="O4" s="271"/>
    </row>
    <row r="5" spans="1:15" ht="18" customHeight="1">
      <c r="A5" s="256" t="s">
        <v>51</v>
      </c>
      <c r="B5" s="256"/>
      <c r="C5" s="256"/>
      <c r="D5" s="256"/>
      <c r="E5" s="256"/>
      <c r="F5" s="256"/>
      <c r="G5" s="256"/>
      <c r="H5" s="256"/>
      <c r="I5" s="256"/>
      <c r="J5" s="256"/>
      <c r="K5" s="256"/>
      <c r="L5" s="256"/>
      <c r="M5" s="256"/>
      <c r="N5" s="256"/>
      <c r="O5" s="256"/>
    </row>
    <row r="6" spans="1:15" ht="24" thickBot="1">
      <c r="A6" s="93"/>
      <c r="B6" s="268" t="s">
        <v>179</v>
      </c>
      <c r="C6" s="268"/>
      <c r="D6" s="268"/>
      <c r="E6" s="268"/>
      <c r="F6" s="94"/>
      <c r="G6" s="267" t="s">
        <v>178</v>
      </c>
      <c r="H6" s="267"/>
      <c r="I6" s="267"/>
      <c r="J6" s="267"/>
      <c r="K6" s="267"/>
      <c r="L6" s="267"/>
      <c r="M6" s="267"/>
      <c r="N6" s="267"/>
      <c r="O6" s="267"/>
    </row>
    <row r="7" spans="1:15" s="55" customFormat="1" ht="47.25">
      <c r="B7" s="96" t="s">
        <v>137</v>
      </c>
      <c r="C7" s="95" t="s">
        <v>180</v>
      </c>
      <c r="D7" s="95" t="s">
        <v>169</v>
      </c>
      <c r="E7" s="95" t="s">
        <v>170</v>
      </c>
      <c r="F7" s="95" t="s">
        <v>171</v>
      </c>
      <c r="G7" s="95" t="s">
        <v>172</v>
      </c>
      <c r="H7" s="95" t="s">
        <v>173</v>
      </c>
      <c r="I7" s="95" t="s">
        <v>174</v>
      </c>
      <c r="J7" s="95" t="s">
        <v>175</v>
      </c>
      <c r="K7" s="95" t="s">
        <v>53</v>
      </c>
      <c r="L7" s="95" t="s">
        <v>181</v>
      </c>
      <c r="M7" s="95" t="s">
        <v>84</v>
      </c>
      <c r="N7" s="167" t="s">
        <v>54</v>
      </c>
      <c r="O7" s="97" t="s">
        <v>55</v>
      </c>
    </row>
    <row r="8" spans="1:15" ht="15.75">
      <c r="B8" s="78">
        <v>1</v>
      </c>
      <c r="C8" s="103">
        <f>'Refer Para 27'!C8</f>
        <v>258</v>
      </c>
      <c r="D8" s="103">
        <f>'Refer Para 27'!C9</f>
        <v>438</v>
      </c>
      <c r="E8" s="103">
        <f>'Refer Para 27'!C10</f>
        <v>8</v>
      </c>
      <c r="F8" s="103">
        <f>'Refer Para 27'!C11</f>
        <v>35</v>
      </c>
      <c r="G8" s="103">
        <f>'Refer Para 27'!C12</f>
        <v>1</v>
      </c>
      <c r="H8" s="103">
        <f>'Refer Para 27'!C13</f>
        <v>2</v>
      </c>
      <c r="I8" s="103">
        <f>'Refer Para 27'!C14</f>
        <v>2</v>
      </c>
      <c r="J8" s="103">
        <f>'Refer Para 27'!C15</f>
        <v>2</v>
      </c>
      <c r="K8" s="78">
        <f t="shared" ref="K8:K71" si="0">SUM(C8:J8)</f>
        <v>746</v>
      </c>
      <c r="L8" s="103">
        <v>0</v>
      </c>
      <c r="M8" s="103">
        <f>'Refer Para 27'!C16</f>
        <v>2</v>
      </c>
      <c r="N8" s="78">
        <f>K8+M8-L8</f>
        <v>748</v>
      </c>
      <c r="O8" s="103">
        <v>0</v>
      </c>
    </row>
    <row r="9" spans="1:15" ht="15.75">
      <c r="B9" s="78">
        <v>2</v>
      </c>
      <c r="C9" s="103">
        <f>'Refer Para 27'!D8</f>
        <v>151</v>
      </c>
      <c r="D9" s="103">
        <f>'Refer Para 27'!D9</f>
        <v>197</v>
      </c>
      <c r="E9" s="103">
        <f>'Refer Para 27'!D10</f>
        <v>10</v>
      </c>
      <c r="F9" s="103">
        <f>'Refer Para 27'!D11</f>
        <v>293</v>
      </c>
      <c r="G9" s="103">
        <f>'Refer Para 27'!D12</f>
        <v>2</v>
      </c>
      <c r="H9" s="103">
        <f>'Refer Para 27'!D13</f>
        <v>3</v>
      </c>
      <c r="I9" s="103">
        <f>'Refer Para 27'!D14</f>
        <v>6</v>
      </c>
      <c r="J9" s="103">
        <f>'Refer Para 27'!D15</f>
        <v>0</v>
      </c>
      <c r="K9" s="78">
        <f t="shared" si="0"/>
        <v>662</v>
      </c>
      <c r="L9" s="103">
        <v>0</v>
      </c>
      <c r="M9" s="103">
        <f>'Refer Para 27'!D16</f>
        <v>1</v>
      </c>
      <c r="N9" s="78">
        <f t="shared" ref="N9:N72" si="1">K9+M9-L9</f>
        <v>663</v>
      </c>
      <c r="O9" s="103">
        <v>0</v>
      </c>
    </row>
    <row r="10" spans="1:15" ht="15.75">
      <c r="B10" s="78">
        <v>3</v>
      </c>
      <c r="C10" s="103">
        <f>'Refer Para 27'!E8</f>
        <v>45</v>
      </c>
      <c r="D10" s="103">
        <f>'Refer Para 27'!E9</f>
        <v>527</v>
      </c>
      <c r="E10" s="103">
        <f>'Refer Para 27'!E10</f>
        <v>16</v>
      </c>
      <c r="F10" s="103">
        <f>'Refer Para 27'!E11</f>
        <v>95</v>
      </c>
      <c r="G10" s="103">
        <f>'Refer Para 27'!E12</f>
        <v>5</v>
      </c>
      <c r="H10" s="103">
        <f>'Refer Para 27'!E13</f>
        <v>6</v>
      </c>
      <c r="I10" s="103">
        <f>'Refer Para 27'!E14</f>
        <v>12</v>
      </c>
      <c r="J10" s="103">
        <f>'Refer Para 27'!E15</f>
        <v>11</v>
      </c>
      <c r="K10" s="78">
        <f t="shared" si="0"/>
        <v>717</v>
      </c>
      <c r="L10" s="103">
        <v>0</v>
      </c>
      <c r="M10" s="103">
        <f>'Refer Para 27'!E16</f>
        <v>7</v>
      </c>
      <c r="N10" s="78">
        <f t="shared" si="1"/>
        <v>724</v>
      </c>
      <c r="O10" s="103">
        <v>0</v>
      </c>
    </row>
    <row r="11" spans="1:15" ht="15.75">
      <c r="B11" s="78">
        <v>4</v>
      </c>
      <c r="C11" s="103">
        <f>'Refer Para 27'!F8</f>
        <v>63</v>
      </c>
      <c r="D11" s="103">
        <f>'Refer Para 27'!F9</f>
        <v>339</v>
      </c>
      <c r="E11" s="103">
        <f>'Refer Para 27'!F10</f>
        <v>18</v>
      </c>
      <c r="F11" s="103">
        <f>'Refer Para 27'!F11</f>
        <v>64</v>
      </c>
      <c r="G11" s="103">
        <f>'Refer Para 27'!F12</f>
        <v>2</v>
      </c>
      <c r="H11" s="103">
        <f>'Refer Para 27'!F13</f>
        <v>1</v>
      </c>
      <c r="I11" s="103">
        <f>'Refer Para 27'!F14</f>
        <v>0</v>
      </c>
      <c r="J11" s="103">
        <f>'Refer Para 27'!F15</f>
        <v>6</v>
      </c>
      <c r="K11" s="78">
        <f t="shared" si="0"/>
        <v>493</v>
      </c>
      <c r="L11" s="103">
        <v>0</v>
      </c>
      <c r="M11" s="103">
        <f>'Refer Para 27'!F16</f>
        <v>2</v>
      </c>
      <c r="N11" s="78">
        <f t="shared" si="1"/>
        <v>495</v>
      </c>
      <c r="O11" s="103">
        <v>0</v>
      </c>
    </row>
    <row r="12" spans="1:15" ht="15.75">
      <c r="B12" s="78">
        <v>5</v>
      </c>
      <c r="C12" s="103">
        <f>'Refer Para 27'!G8</f>
        <v>67</v>
      </c>
      <c r="D12" s="103">
        <f>'Refer Para 27'!G9</f>
        <v>305</v>
      </c>
      <c r="E12" s="103">
        <f>'Refer Para 27'!G10</f>
        <v>28</v>
      </c>
      <c r="F12" s="103">
        <f>'Refer Para 27'!G11</f>
        <v>75</v>
      </c>
      <c r="G12" s="103">
        <f>'Refer Para 27'!G12</f>
        <v>0</v>
      </c>
      <c r="H12" s="103">
        <f>'Refer Para 27'!G13</f>
        <v>2</v>
      </c>
      <c r="I12" s="103">
        <f>'Refer Para 27'!G14</f>
        <v>5</v>
      </c>
      <c r="J12" s="103">
        <f>'Refer Para 27'!G15</f>
        <v>9</v>
      </c>
      <c r="K12" s="78">
        <f t="shared" si="0"/>
        <v>491</v>
      </c>
      <c r="L12" s="103">
        <v>0</v>
      </c>
      <c r="M12" s="103">
        <f>'Refer Para 27'!G16</f>
        <v>6</v>
      </c>
      <c r="N12" s="78">
        <f t="shared" si="1"/>
        <v>497</v>
      </c>
      <c r="O12" s="103">
        <v>0</v>
      </c>
    </row>
    <row r="13" spans="1:15" ht="15.75">
      <c r="B13" s="78">
        <v>6</v>
      </c>
      <c r="C13" s="103">
        <f>'Refer Para 27'!H8</f>
        <v>52</v>
      </c>
      <c r="D13" s="103">
        <f>'Refer Para 27'!H9</f>
        <v>666</v>
      </c>
      <c r="E13" s="103">
        <f>'Refer Para 27'!H10</f>
        <v>9</v>
      </c>
      <c r="F13" s="103">
        <f>'Refer Para 27'!H11</f>
        <v>1</v>
      </c>
      <c r="G13" s="103">
        <f>'Refer Para 27'!H12</f>
        <v>1</v>
      </c>
      <c r="H13" s="103">
        <f>'Refer Para 27'!H13</f>
        <v>0</v>
      </c>
      <c r="I13" s="103">
        <f>'Refer Para 27'!H14</f>
        <v>4</v>
      </c>
      <c r="J13" s="103">
        <f>'Refer Para 27'!H15</f>
        <v>7</v>
      </c>
      <c r="K13" s="78">
        <f t="shared" si="0"/>
        <v>740</v>
      </c>
      <c r="L13" s="103">
        <v>0</v>
      </c>
      <c r="M13" s="103">
        <f>'Refer Para 27'!H16</f>
        <v>10</v>
      </c>
      <c r="N13" s="78">
        <f t="shared" si="1"/>
        <v>750</v>
      </c>
      <c r="O13" s="103">
        <v>0</v>
      </c>
    </row>
    <row r="14" spans="1:15" ht="15.75">
      <c r="B14" s="78">
        <v>7</v>
      </c>
      <c r="C14" s="103">
        <f>'Refer Para 27'!I8</f>
        <v>28</v>
      </c>
      <c r="D14" s="103">
        <f>'Refer Para 27'!I9</f>
        <v>557</v>
      </c>
      <c r="E14" s="103">
        <f>'Refer Para 27'!I10</f>
        <v>10</v>
      </c>
      <c r="F14" s="103">
        <f>'Refer Para 27'!I11</f>
        <v>7</v>
      </c>
      <c r="G14" s="103">
        <f>'Refer Para 27'!I12</f>
        <v>1</v>
      </c>
      <c r="H14" s="103">
        <f>'Refer Para 27'!I13</f>
        <v>2</v>
      </c>
      <c r="I14" s="103">
        <f>'Refer Para 27'!I14</f>
        <v>1</v>
      </c>
      <c r="J14" s="103">
        <f>'Refer Para 27'!I15</f>
        <v>2</v>
      </c>
      <c r="K14" s="78">
        <f t="shared" si="0"/>
        <v>608</v>
      </c>
      <c r="L14" s="103">
        <v>0</v>
      </c>
      <c r="M14" s="103">
        <f>'Refer Para 27'!I16</f>
        <v>2</v>
      </c>
      <c r="N14" s="78">
        <f t="shared" si="1"/>
        <v>610</v>
      </c>
      <c r="O14" s="103">
        <v>0</v>
      </c>
    </row>
    <row r="15" spans="1:15" ht="15.75">
      <c r="B15" s="78">
        <v>8</v>
      </c>
      <c r="C15" s="103">
        <f>'Refer Para 27'!J8</f>
        <v>160</v>
      </c>
      <c r="D15" s="103">
        <f>'Refer Para 27'!J9</f>
        <v>613</v>
      </c>
      <c r="E15" s="103">
        <f>'Refer Para 27'!J10</f>
        <v>13</v>
      </c>
      <c r="F15" s="103">
        <f>'Refer Para 27'!J11</f>
        <v>3</v>
      </c>
      <c r="G15" s="103">
        <f>'Refer Para 27'!J12</f>
        <v>1</v>
      </c>
      <c r="H15" s="103">
        <f>'Refer Para 27'!J13</f>
        <v>2</v>
      </c>
      <c r="I15" s="103">
        <f>'Refer Para 27'!J14</f>
        <v>1</v>
      </c>
      <c r="J15" s="103">
        <f>'Refer Para 27'!J15</f>
        <v>2</v>
      </c>
      <c r="K15" s="78">
        <f t="shared" si="0"/>
        <v>795</v>
      </c>
      <c r="L15" s="103">
        <v>0</v>
      </c>
      <c r="M15" s="103">
        <f>'Refer Para 27'!J16</f>
        <v>1</v>
      </c>
      <c r="N15" s="78">
        <f t="shared" si="1"/>
        <v>796</v>
      </c>
      <c r="O15" s="103">
        <v>0</v>
      </c>
    </row>
    <row r="16" spans="1:15" ht="15.75">
      <c r="B16" s="78">
        <v>9</v>
      </c>
      <c r="C16" s="103">
        <f>'Refer Para 27'!K8</f>
        <v>161</v>
      </c>
      <c r="D16" s="103">
        <f>'Refer Para 27'!K9</f>
        <v>322</v>
      </c>
      <c r="E16" s="103">
        <f>'Refer Para 27'!K10</f>
        <v>1</v>
      </c>
      <c r="F16" s="103">
        <f>'Refer Para 27'!K11</f>
        <v>78</v>
      </c>
      <c r="G16" s="103">
        <f>'Refer Para 27'!K12</f>
        <v>2</v>
      </c>
      <c r="H16" s="103">
        <f>'Refer Para 27'!K13</f>
        <v>2</v>
      </c>
      <c r="I16" s="103">
        <f>'Refer Para 27'!K14</f>
        <v>1</v>
      </c>
      <c r="J16" s="103">
        <f>'Refer Para 27'!K15</f>
        <v>4</v>
      </c>
      <c r="K16" s="78">
        <f t="shared" si="0"/>
        <v>571</v>
      </c>
      <c r="L16" s="103">
        <v>0</v>
      </c>
      <c r="M16" s="103">
        <f>'Refer Para 27'!K16</f>
        <v>2</v>
      </c>
      <c r="N16" s="78">
        <f t="shared" si="1"/>
        <v>573</v>
      </c>
      <c r="O16" s="103">
        <v>0</v>
      </c>
    </row>
    <row r="17" spans="2:15" ht="15.75">
      <c r="B17" s="78">
        <v>10</v>
      </c>
      <c r="C17" s="103">
        <f>'Refer Para 27'!L8</f>
        <v>264</v>
      </c>
      <c r="D17" s="103">
        <f>'Refer Para 27'!L9</f>
        <v>321</v>
      </c>
      <c r="E17" s="103">
        <f>'Refer Para 27'!L10</f>
        <v>2</v>
      </c>
      <c r="F17" s="103">
        <f>'Refer Para 27'!L11</f>
        <v>42</v>
      </c>
      <c r="G17" s="103">
        <f>'Refer Para 27'!L12</f>
        <v>0</v>
      </c>
      <c r="H17" s="103">
        <f>'Refer Para 27'!L13</f>
        <v>3</v>
      </c>
      <c r="I17" s="103">
        <f>'Refer Para 27'!L14</f>
        <v>0</v>
      </c>
      <c r="J17" s="103">
        <f>'Refer Para 27'!L15</f>
        <v>0</v>
      </c>
      <c r="K17" s="78">
        <f t="shared" si="0"/>
        <v>632</v>
      </c>
      <c r="L17" s="103">
        <v>0</v>
      </c>
      <c r="M17" s="103">
        <f>'Refer Para 27'!L16</f>
        <v>2</v>
      </c>
      <c r="N17" s="78">
        <f t="shared" si="1"/>
        <v>634</v>
      </c>
      <c r="O17" s="103">
        <v>0</v>
      </c>
    </row>
    <row r="18" spans="2:15" ht="15.75">
      <c r="B18" s="78">
        <v>11</v>
      </c>
      <c r="C18" s="103">
        <f>'Refer Para 27'!M8</f>
        <v>200</v>
      </c>
      <c r="D18" s="103">
        <f>'Refer Para 27'!M9</f>
        <v>344</v>
      </c>
      <c r="E18" s="103">
        <f>'Refer Para 27'!M10</f>
        <v>13</v>
      </c>
      <c r="F18" s="103">
        <f>'Refer Para 27'!M11</f>
        <v>4</v>
      </c>
      <c r="G18" s="103">
        <f>'Refer Para 27'!M12</f>
        <v>1</v>
      </c>
      <c r="H18" s="103">
        <f>'Refer Para 27'!M13</f>
        <v>1</v>
      </c>
      <c r="I18" s="103">
        <f>'Refer Para 27'!M14</f>
        <v>0</v>
      </c>
      <c r="J18" s="103">
        <f>'Refer Para 27'!M15</f>
        <v>0</v>
      </c>
      <c r="K18" s="78">
        <f t="shared" si="0"/>
        <v>563</v>
      </c>
      <c r="L18" s="103">
        <v>0</v>
      </c>
      <c r="M18" s="103">
        <f>'Refer Para 27'!M16</f>
        <v>1</v>
      </c>
      <c r="N18" s="78">
        <f t="shared" si="1"/>
        <v>564</v>
      </c>
      <c r="O18" s="103">
        <v>0</v>
      </c>
    </row>
    <row r="19" spans="2:15" ht="15.75">
      <c r="B19" s="78">
        <v>12</v>
      </c>
      <c r="C19" s="103">
        <f>'Refer Para 27'!N8</f>
        <v>48</v>
      </c>
      <c r="D19" s="103">
        <f>'Refer Para 27'!N9</f>
        <v>319</v>
      </c>
      <c r="E19" s="103">
        <f>'Refer Para 27'!N10</f>
        <v>8</v>
      </c>
      <c r="F19" s="103">
        <f>'Refer Para 27'!N11</f>
        <v>118</v>
      </c>
      <c r="G19" s="103">
        <f>'Refer Para 27'!N12</f>
        <v>3</v>
      </c>
      <c r="H19" s="103">
        <f>'Refer Para 27'!N13</f>
        <v>6</v>
      </c>
      <c r="I19" s="103">
        <f>'Refer Para 27'!N14</f>
        <v>5</v>
      </c>
      <c r="J19" s="103">
        <f>'Refer Para 27'!N15</f>
        <v>0</v>
      </c>
      <c r="K19" s="78">
        <f t="shared" si="0"/>
        <v>507</v>
      </c>
      <c r="L19" s="103">
        <v>0</v>
      </c>
      <c r="M19" s="103">
        <f>'Refer Para 27'!N16</f>
        <v>0</v>
      </c>
      <c r="N19" s="78">
        <f t="shared" si="1"/>
        <v>507</v>
      </c>
      <c r="O19" s="103">
        <v>0</v>
      </c>
    </row>
    <row r="20" spans="2:15" ht="15.75">
      <c r="B20" s="78">
        <v>13</v>
      </c>
      <c r="C20" s="103">
        <f>'Refer Para 27'!O8</f>
        <v>213</v>
      </c>
      <c r="D20" s="103">
        <f>'Refer Para 27'!O9</f>
        <v>190</v>
      </c>
      <c r="E20" s="103">
        <f>'Refer Para 27'!O10</f>
        <v>1</v>
      </c>
      <c r="F20" s="103">
        <f>'Refer Para 27'!O11</f>
        <v>12</v>
      </c>
      <c r="G20" s="103">
        <f>'Refer Para 27'!O12</f>
        <v>0</v>
      </c>
      <c r="H20" s="103">
        <f>'Refer Para 27'!O13</f>
        <v>0</v>
      </c>
      <c r="I20" s="103">
        <f>'Refer Para 27'!O14</f>
        <v>2</v>
      </c>
      <c r="J20" s="103">
        <f>'Refer Para 27'!O15</f>
        <v>1</v>
      </c>
      <c r="K20" s="78">
        <f t="shared" si="0"/>
        <v>419</v>
      </c>
      <c r="L20" s="103">
        <v>0</v>
      </c>
      <c r="M20" s="103">
        <f>'Refer Para 27'!O16</f>
        <v>6</v>
      </c>
      <c r="N20" s="78">
        <f t="shared" si="1"/>
        <v>425</v>
      </c>
      <c r="O20" s="103">
        <v>0</v>
      </c>
    </row>
    <row r="21" spans="2:15" ht="15.75">
      <c r="B21" s="78">
        <v>14</v>
      </c>
      <c r="C21" s="103">
        <f>'Refer Para 27'!P8</f>
        <v>186</v>
      </c>
      <c r="D21" s="103">
        <f>'Refer Para 27'!P9</f>
        <v>138</v>
      </c>
      <c r="E21" s="103">
        <f>'Refer Para 27'!P10</f>
        <v>3</v>
      </c>
      <c r="F21" s="103">
        <f>'Refer Para 27'!P11</f>
        <v>159</v>
      </c>
      <c r="G21" s="103">
        <f>'Refer Para 27'!P12</f>
        <v>0</v>
      </c>
      <c r="H21" s="103">
        <f>'Refer Para 27'!P13</f>
        <v>1</v>
      </c>
      <c r="I21" s="103">
        <f>'Refer Para 27'!P14</f>
        <v>2</v>
      </c>
      <c r="J21" s="103">
        <f>'Refer Para 27'!P15</f>
        <v>2</v>
      </c>
      <c r="K21" s="78">
        <f t="shared" si="0"/>
        <v>491</v>
      </c>
      <c r="L21" s="103">
        <v>0</v>
      </c>
      <c r="M21" s="103">
        <f>'Refer Para 27'!P16</f>
        <v>1</v>
      </c>
      <c r="N21" s="78">
        <f t="shared" si="1"/>
        <v>492</v>
      </c>
      <c r="O21" s="103">
        <v>0</v>
      </c>
    </row>
    <row r="22" spans="2:15" ht="15.75">
      <c r="B22" s="78">
        <v>15</v>
      </c>
      <c r="C22" s="103">
        <f>'Refer Para 27'!C37</f>
        <v>170</v>
      </c>
      <c r="D22" s="103">
        <f>'Refer Para 27'!C38</f>
        <v>379</v>
      </c>
      <c r="E22" s="103">
        <f>'Refer Para 27'!C39</f>
        <v>10</v>
      </c>
      <c r="F22" s="103">
        <f>'Refer Para 27'!C40</f>
        <v>59</v>
      </c>
      <c r="G22" s="103">
        <f>'Refer Para 27'!C41</f>
        <v>2</v>
      </c>
      <c r="H22" s="103">
        <f>'Refer Para 27'!C42</f>
        <v>3</v>
      </c>
      <c r="I22" s="103">
        <f>'Refer Para 27'!C43</f>
        <v>1</v>
      </c>
      <c r="J22" s="103">
        <f>'Refer Para 27'!C44</f>
        <v>3</v>
      </c>
      <c r="K22" s="78">
        <f t="shared" si="0"/>
        <v>627</v>
      </c>
      <c r="L22" s="103">
        <v>0</v>
      </c>
      <c r="M22" s="103">
        <f>'Refer Para 27'!C45</f>
        <v>6</v>
      </c>
      <c r="N22" s="78">
        <f t="shared" si="1"/>
        <v>633</v>
      </c>
      <c r="O22" s="103">
        <v>0</v>
      </c>
    </row>
    <row r="23" spans="2:15" ht="15.75">
      <c r="B23" s="78">
        <v>16</v>
      </c>
      <c r="C23" s="103">
        <f>'Refer Para 27'!D37</f>
        <v>44</v>
      </c>
      <c r="D23" s="103">
        <f>'Refer Para 27'!D38</f>
        <v>601</v>
      </c>
      <c r="E23" s="103">
        <f>'Refer Para 27'!D39</f>
        <v>7</v>
      </c>
      <c r="F23" s="103">
        <f>'Refer Para 27'!D40</f>
        <v>63</v>
      </c>
      <c r="G23" s="103">
        <f>'Refer Para 27'!D41</f>
        <v>10</v>
      </c>
      <c r="H23" s="103">
        <f>'Refer Para 27'!D42</f>
        <v>1</v>
      </c>
      <c r="I23" s="103">
        <f>'Refer Para 27'!D43</f>
        <v>1</v>
      </c>
      <c r="J23" s="103">
        <f>'Refer Para 27'!D44</f>
        <v>4</v>
      </c>
      <c r="K23" s="78">
        <f t="shared" si="0"/>
        <v>731</v>
      </c>
      <c r="L23" s="103">
        <v>0</v>
      </c>
      <c r="M23" s="103">
        <f>'Refer Para 27'!D45</f>
        <v>8</v>
      </c>
      <c r="N23" s="78">
        <f t="shared" si="1"/>
        <v>739</v>
      </c>
      <c r="O23" s="103">
        <v>0</v>
      </c>
    </row>
    <row r="24" spans="2:15" ht="15.75">
      <c r="B24" s="78">
        <v>17</v>
      </c>
      <c r="C24" s="103">
        <f>'Refer Para 27'!E37</f>
        <v>179</v>
      </c>
      <c r="D24" s="103">
        <f>'Refer Para 27'!E38</f>
        <v>199</v>
      </c>
      <c r="E24" s="103">
        <f>'Refer Para 27'!E39</f>
        <v>4</v>
      </c>
      <c r="F24" s="103">
        <f>'Refer Para 27'!E40</f>
        <v>2</v>
      </c>
      <c r="G24" s="103">
        <f>'Refer Para 27'!E41</f>
        <v>0</v>
      </c>
      <c r="H24" s="103">
        <f>'Refer Para 27'!E42</f>
        <v>5</v>
      </c>
      <c r="I24" s="103">
        <f>'Refer Para 27'!E43</f>
        <v>0</v>
      </c>
      <c r="J24" s="103">
        <f>'Refer Para 27'!E44</f>
        <v>2</v>
      </c>
      <c r="K24" s="78">
        <f t="shared" si="0"/>
        <v>391</v>
      </c>
      <c r="L24" s="103">
        <v>0</v>
      </c>
      <c r="M24" s="103">
        <f>'Refer Para 27'!E45</f>
        <v>0</v>
      </c>
      <c r="N24" s="78">
        <f t="shared" si="1"/>
        <v>391</v>
      </c>
      <c r="O24" s="103">
        <v>0</v>
      </c>
    </row>
    <row r="25" spans="2:15" ht="15.75">
      <c r="B25" s="78">
        <v>18</v>
      </c>
      <c r="C25" s="103">
        <f>'Refer Para 27'!F37</f>
        <v>133</v>
      </c>
      <c r="D25" s="103">
        <f>'Refer Para 27'!F38</f>
        <v>157</v>
      </c>
      <c r="E25" s="103">
        <f>'Refer Para 27'!F39</f>
        <v>2</v>
      </c>
      <c r="F25" s="103">
        <f>'Refer Para 27'!F40</f>
        <v>30</v>
      </c>
      <c r="G25" s="103">
        <f>'Refer Para 27'!F41</f>
        <v>0</v>
      </c>
      <c r="H25" s="103">
        <f>'Refer Para 27'!F42</f>
        <v>0</v>
      </c>
      <c r="I25" s="103">
        <f>'Refer Para 27'!F43</f>
        <v>1</v>
      </c>
      <c r="J25" s="103">
        <f>'Refer Para 27'!F44</f>
        <v>0</v>
      </c>
      <c r="K25" s="78">
        <f t="shared" si="0"/>
        <v>323</v>
      </c>
      <c r="L25" s="103">
        <v>0</v>
      </c>
      <c r="M25" s="103">
        <f>'Refer Para 27'!F45</f>
        <v>1</v>
      </c>
      <c r="N25" s="78">
        <f t="shared" si="1"/>
        <v>324</v>
      </c>
      <c r="O25" s="103">
        <v>0</v>
      </c>
    </row>
    <row r="26" spans="2:15" ht="15.75">
      <c r="B26" s="78">
        <v>19</v>
      </c>
      <c r="C26" s="103">
        <f>'Refer Para 27'!G37</f>
        <v>234</v>
      </c>
      <c r="D26" s="103">
        <f>'Refer Para 27'!G38</f>
        <v>196</v>
      </c>
      <c r="E26" s="103">
        <f>'Refer Para 27'!G39</f>
        <v>2</v>
      </c>
      <c r="F26" s="103">
        <f>'Refer Para 27'!G40</f>
        <v>174</v>
      </c>
      <c r="G26" s="103">
        <f>'Refer Para 27'!G41</f>
        <v>0</v>
      </c>
      <c r="H26" s="103">
        <f>'Refer Para 27'!G42</f>
        <v>5</v>
      </c>
      <c r="I26" s="103">
        <f>'Refer Para 27'!G43</f>
        <v>2</v>
      </c>
      <c r="J26" s="103">
        <f>'Refer Para 27'!G44</f>
        <v>1</v>
      </c>
      <c r="K26" s="78">
        <f t="shared" si="0"/>
        <v>614</v>
      </c>
      <c r="L26" s="103">
        <v>0</v>
      </c>
      <c r="M26" s="103">
        <f>'Refer Para 27'!G45</f>
        <v>3</v>
      </c>
      <c r="N26" s="78">
        <f t="shared" si="1"/>
        <v>617</v>
      </c>
      <c r="O26" s="103">
        <v>0</v>
      </c>
    </row>
    <row r="27" spans="2:15" ht="15.75">
      <c r="B27" s="78">
        <v>20</v>
      </c>
      <c r="C27" s="103">
        <f>'Refer Para 27'!H37</f>
        <v>113</v>
      </c>
      <c r="D27" s="103">
        <f>'Refer Para 27'!H38</f>
        <v>167</v>
      </c>
      <c r="E27" s="103">
        <f>'Refer Para 27'!H39</f>
        <v>0</v>
      </c>
      <c r="F27" s="103">
        <f>'Refer Para 27'!H40</f>
        <v>281</v>
      </c>
      <c r="G27" s="103">
        <f>'Refer Para 27'!H41</f>
        <v>3</v>
      </c>
      <c r="H27" s="103">
        <f>'Refer Para 27'!H42</f>
        <v>5</v>
      </c>
      <c r="I27" s="103">
        <f>'Refer Para 27'!H43</f>
        <v>1</v>
      </c>
      <c r="J27" s="103">
        <f>'Refer Para 27'!H44</f>
        <v>4</v>
      </c>
      <c r="K27" s="78">
        <f t="shared" si="0"/>
        <v>574</v>
      </c>
      <c r="L27" s="103">
        <v>0</v>
      </c>
      <c r="M27" s="103">
        <f>'Refer Para 27'!H45</f>
        <v>0</v>
      </c>
      <c r="N27" s="78">
        <f t="shared" si="1"/>
        <v>574</v>
      </c>
      <c r="O27" s="103">
        <v>0</v>
      </c>
    </row>
    <row r="28" spans="2:15" ht="15.75">
      <c r="B28" s="78">
        <v>21</v>
      </c>
      <c r="C28" s="103">
        <f>'Refer Para 27'!I37</f>
        <v>126</v>
      </c>
      <c r="D28" s="103">
        <f>'Refer Para 27'!I38</f>
        <v>188</v>
      </c>
      <c r="E28" s="103">
        <f>'Refer Para 27'!I39</f>
        <v>3</v>
      </c>
      <c r="F28" s="103">
        <f>'Refer Para 27'!I40</f>
        <v>206</v>
      </c>
      <c r="G28" s="103">
        <f>'Refer Para 27'!I41</f>
        <v>1</v>
      </c>
      <c r="H28" s="103">
        <f>'Refer Para 27'!I42</f>
        <v>0</v>
      </c>
      <c r="I28" s="103">
        <f>'Refer Para 27'!I43</f>
        <v>1</v>
      </c>
      <c r="J28" s="103">
        <f>'Refer Para 27'!I44</f>
        <v>1</v>
      </c>
      <c r="K28" s="78">
        <f t="shared" si="0"/>
        <v>526</v>
      </c>
      <c r="L28" s="103">
        <v>0</v>
      </c>
      <c r="M28" s="103">
        <f>'Refer Para 27'!I45</f>
        <v>1</v>
      </c>
      <c r="N28" s="78">
        <f t="shared" si="1"/>
        <v>527</v>
      </c>
      <c r="O28" s="103">
        <v>0</v>
      </c>
    </row>
    <row r="29" spans="2:15" ht="15.75">
      <c r="B29" s="78">
        <v>22</v>
      </c>
      <c r="C29" s="103">
        <f>'Refer Para 27'!J37</f>
        <v>63</v>
      </c>
      <c r="D29" s="103">
        <f>'Refer Para 27'!J38</f>
        <v>321</v>
      </c>
      <c r="E29" s="103">
        <f>'Refer Para 27'!J39</f>
        <v>6</v>
      </c>
      <c r="F29" s="103">
        <f>'Refer Para 27'!J40</f>
        <v>215</v>
      </c>
      <c r="G29" s="103">
        <f>'Refer Para 27'!J41</f>
        <v>2</v>
      </c>
      <c r="H29" s="103">
        <f>'Refer Para 27'!J42</f>
        <v>5</v>
      </c>
      <c r="I29" s="103">
        <f>'Refer Para 27'!J43</f>
        <v>4</v>
      </c>
      <c r="J29" s="103">
        <f>'Refer Para 27'!J44</f>
        <v>1</v>
      </c>
      <c r="K29" s="78">
        <f t="shared" si="0"/>
        <v>617</v>
      </c>
      <c r="L29" s="103">
        <v>0</v>
      </c>
      <c r="M29" s="103">
        <f>'Refer Para 27'!J45</f>
        <v>3</v>
      </c>
      <c r="N29" s="78">
        <f t="shared" si="1"/>
        <v>620</v>
      </c>
      <c r="O29" s="103">
        <v>0</v>
      </c>
    </row>
    <row r="30" spans="2:15" ht="15.75">
      <c r="B30" s="78">
        <v>23</v>
      </c>
      <c r="C30" s="103">
        <f>'Refer Para 27'!K37</f>
        <v>23</v>
      </c>
      <c r="D30" s="103">
        <f>'Refer Para 27'!K38</f>
        <v>392</v>
      </c>
      <c r="E30" s="103">
        <f>'Refer Para 27'!K39</f>
        <v>6</v>
      </c>
      <c r="F30" s="103">
        <f>'Refer Para 27'!K40</f>
        <v>92</v>
      </c>
      <c r="G30" s="103">
        <f>'Refer Para 27'!K41</f>
        <v>0</v>
      </c>
      <c r="H30" s="103">
        <f>'Refer Para 27'!K42</f>
        <v>2</v>
      </c>
      <c r="I30" s="103">
        <f>'Refer Para 27'!K43</f>
        <v>2</v>
      </c>
      <c r="J30" s="103">
        <f>'Refer Para 27'!K44</f>
        <v>0</v>
      </c>
      <c r="K30" s="78">
        <f t="shared" si="0"/>
        <v>517</v>
      </c>
      <c r="L30" s="103">
        <v>0</v>
      </c>
      <c r="M30" s="103">
        <f>'Refer Para 27'!K45</f>
        <v>2</v>
      </c>
      <c r="N30" s="78">
        <f t="shared" si="1"/>
        <v>519</v>
      </c>
      <c r="O30" s="103">
        <v>0</v>
      </c>
    </row>
    <row r="31" spans="2:15" ht="15.75">
      <c r="B31" s="78">
        <v>24</v>
      </c>
      <c r="C31" s="103">
        <f>'Refer Para 27'!L37</f>
        <v>26</v>
      </c>
      <c r="D31" s="103">
        <f>'Refer Para 27'!L38</f>
        <v>398</v>
      </c>
      <c r="E31" s="103">
        <f>'Refer Para 27'!L39</f>
        <v>6</v>
      </c>
      <c r="F31" s="103">
        <f>'Refer Para 27'!L40</f>
        <v>9</v>
      </c>
      <c r="G31" s="103">
        <f>'Refer Para 27'!L41</f>
        <v>2</v>
      </c>
      <c r="H31" s="103">
        <f>'Refer Para 27'!L42</f>
        <v>4</v>
      </c>
      <c r="I31" s="103">
        <f>'Refer Para 27'!L43</f>
        <v>8</v>
      </c>
      <c r="J31" s="103">
        <f>'Refer Para 27'!L44</f>
        <v>1</v>
      </c>
      <c r="K31" s="78">
        <f t="shared" si="0"/>
        <v>454</v>
      </c>
      <c r="L31" s="103">
        <v>0</v>
      </c>
      <c r="M31" s="103">
        <f>'Refer Para 27'!L45</f>
        <v>1</v>
      </c>
      <c r="N31" s="78">
        <f t="shared" si="1"/>
        <v>455</v>
      </c>
      <c r="O31" s="103">
        <v>0</v>
      </c>
    </row>
    <row r="32" spans="2:15" ht="15.75">
      <c r="B32" s="78">
        <v>25</v>
      </c>
      <c r="C32" s="103">
        <f>'Refer Para 27'!M37</f>
        <v>195</v>
      </c>
      <c r="D32" s="103">
        <f>'Refer Para 27'!M38</f>
        <v>443</v>
      </c>
      <c r="E32" s="103">
        <f>'Refer Para 27'!M39</f>
        <v>4</v>
      </c>
      <c r="F32" s="103">
        <f>'Refer Para 27'!M40</f>
        <v>4</v>
      </c>
      <c r="G32" s="103">
        <f>'Refer Para 27'!M41</f>
        <v>0</v>
      </c>
      <c r="H32" s="103">
        <f>'Refer Para 27'!M42</f>
        <v>1</v>
      </c>
      <c r="I32" s="103">
        <f>'Refer Para 27'!M43</f>
        <v>0</v>
      </c>
      <c r="J32" s="103">
        <f>'Refer Para 27'!M44</f>
        <v>0</v>
      </c>
      <c r="K32" s="78">
        <f t="shared" si="0"/>
        <v>647</v>
      </c>
      <c r="L32" s="103">
        <v>0</v>
      </c>
      <c r="M32" s="103">
        <f>'Refer Para 27'!M45</f>
        <v>3</v>
      </c>
      <c r="N32" s="78">
        <f t="shared" si="1"/>
        <v>650</v>
      </c>
      <c r="O32" s="103">
        <v>0</v>
      </c>
    </row>
    <row r="33" spans="2:15" ht="15.75">
      <c r="B33" s="78">
        <v>26</v>
      </c>
      <c r="C33" s="103">
        <f>'Refer Para 27'!N37</f>
        <v>313</v>
      </c>
      <c r="D33" s="103">
        <f>'Refer Para 27'!N38</f>
        <v>367</v>
      </c>
      <c r="E33" s="103">
        <f>'Refer Para 27'!N39</f>
        <v>1</v>
      </c>
      <c r="F33" s="103">
        <f>'Refer Para 27'!N40</f>
        <v>7</v>
      </c>
      <c r="G33" s="103">
        <f>'Refer Para 27'!N41</f>
        <v>1</v>
      </c>
      <c r="H33" s="103">
        <f>'Refer Para 27'!N42</f>
        <v>0</v>
      </c>
      <c r="I33" s="103">
        <f>'Refer Para 27'!N43</f>
        <v>3</v>
      </c>
      <c r="J33" s="103">
        <f>'Refer Para 27'!N44</f>
        <v>1</v>
      </c>
      <c r="K33" s="78">
        <f t="shared" si="0"/>
        <v>693</v>
      </c>
      <c r="L33" s="103">
        <v>0</v>
      </c>
      <c r="M33" s="103">
        <f>'Refer Para 27'!N45</f>
        <v>3</v>
      </c>
      <c r="N33" s="78">
        <f t="shared" si="1"/>
        <v>696</v>
      </c>
      <c r="O33" s="103">
        <v>0</v>
      </c>
    </row>
    <row r="34" spans="2:15" ht="15.75">
      <c r="B34" s="78">
        <v>27</v>
      </c>
      <c r="C34" s="103">
        <f>'Refer Para 27'!O37</f>
        <v>157</v>
      </c>
      <c r="D34" s="103">
        <f>'Refer Para 27'!O38</f>
        <v>379</v>
      </c>
      <c r="E34" s="103">
        <f>'Refer Para 27'!O39</f>
        <v>14</v>
      </c>
      <c r="F34" s="103">
        <f>'Refer Para 27'!O40</f>
        <v>14</v>
      </c>
      <c r="G34" s="103">
        <f>'Refer Para 27'!O41</f>
        <v>6</v>
      </c>
      <c r="H34" s="103">
        <f>'Refer Para 27'!O42</f>
        <v>2</v>
      </c>
      <c r="I34" s="103">
        <f>'Refer Para 27'!O43</f>
        <v>3</v>
      </c>
      <c r="J34" s="103">
        <f>'Refer Para 27'!O44</f>
        <v>2</v>
      </c>
      <c r="K34" s="78">
        <f t="shared" si="0"/>
        <v>577</v>
      </c>
      <c r="L34" s="103">
        <v>0</v>
      </c>
      <c r="M34" s="103">
        <f>'Refer Para 27'!O45</f>
        <v>4</v>
      </c>
      <c r="N34" s="78">
        <f t="shared" si="1"/>
        <v>581</v>
      </c>
      <c r="O34" s="103">
        <v>0</v>
      </c>
    </row>
    <row r="35" spans="2:15" ht="15.75">
      <c r="B35" s="78">
        <v>28</v>
      </c>
      <c r="C35" s="103">
        <f>'Refer Para 27'!P37</f>
        <v>78</v>
      </c>
      <c r="D35" s="103">
        <f>'Refer Para 27'!P38</f>
        <v>199</v>
      </c>
      <c r="E35" s="103">
        <f>'Refer Para 27'!P39</f>
        <v>7</v>
      </c>
      <c r="F35" s="103">
        <f>'Refer Para 27'!P40</f>
        <v>371</v>
      </c>
      <c r="G35" s="103">
        <f>'Refer Para 27'!P41</f>
        <v>10</v>
      </c>
      <c r="H35" s="103">
        <f>'Refer Para 27'!P42</f>
        <v>9</v>
      </c>
      <c r="I35" s="103">
        <f>'Refer Para 27'!P43</f>
        <v>5</v>
      </c>
      <c r="J35" s="103">
        <f>'Refer Para 27'!P44</f>
        <v>1</v>
      </c>
      <c r="K35" s="78">
        <f t="shared" si="0"/>
        <v>680</v>
      </c>
      <c r="L35" s="103">
        <v>0</v>
      </c>
      <c r="M35" s="103">
        <f>'Refer Para 27'!P45</f>
        <v>3</v>
      </c>
      <c r="N35" s="78">
        <f t="shared" si="1"/>
        <v>683</v>
      </c>
      <c r="O35" s="103">
        <v>0</v>
      </c>
    </row>
    <row r="36" spans="2:15" ht="15.75">
      <c r="B36" s="78">
        <v>29</v>
      </c>
      <c r="C36" s="103">
        <f>'Refer Para 27'!C66</f>
        <v>134</v>
      </c>
      <c r="D36" s="103">
        <f>'Refer Para 27'!C67</f>
        <v>447</v>
      </c>
      <c r="E36" s="103">
        <f>'Refer Para 27'!C68</f>
        <v>3</v>
      </c>
      <c r="F36" s="103">
        <f>'Refer Para 27'!C69</f>
        <v>87</v>
      </c>
      <c r="G36" s="103">
        <f>'Refer Para 27'!C70</f>
        <v>0</v>
      </c>
      <c r="H36" s="103">
        <f>'Refer Para 27'!C71</f>
        <v>1</v>
      </c>
      <c r="I36" s="103">
        <f>'Refer Para 27'!C72</f>
        <v>6</v>
      </c>
      <c r="J36" s="103">
        <f>'Refer Para 27'!C73</f>
        <v>1</v>
      </c>
      <c r="K36" s="78">
        <f t="shared" si="0"/>
        <v>679</v>
      </c>
      <c r="L36" s="103">
        <v>0</v>
      </c>
      <c r="M36" s="103">
        <f>'Refer Para 27'!C74</f>
        <v>5</v>
      </c>
      <c r="N36" s="78">
        <f t="shared" si="1"/>
        <v>684</v>
      </c>
      <c r="O36" s="103">
        <v>0</v>
      </c>
    </row>
    <row r="37" spans="2:15" ht="15.75">
      <c r="B37" s="78">
        <v>30</v>
      </c>
      <c r="C37" s="103">
        <f>'Refer Para 27'!D66</f>
        <v>43</v>
      </c>
      <c r="D37" s="103">
        <f>'Refer Para 27'!D67</f>
        <v>327</v>
      </c>
      <c r="E37" s="103">
        <f>'Refer Para 27'!D68</f>
        <v>1</v>
      </c>
      <c r="F37" s="103">
        <f>'Refer Para 27'!D69</f>
        <v>31</v>
      </c>
      <c r="G37" s="103">
        <f>'Refer Para 27'!D70</f>
        <v>0</v>
      </c>
      <c r="H37" s="103">
        <f>'Refer Para 27'!D71</f>
        <v>1</v>
      </c>
      <c r="I37" s="103">
        <f>'Refer Para 27'!D72</f>
        <v>3</v>
      </c>
      <c r="J37" s="103">
        <f>'Refer Para 27'!D73</f>
        <v>0</v>
      </c>
      <c r="K37" s="78">
        <f t="shared" si="0"/>
        <v>406</v>
      </c>
      <c r="L37" s="103">
        <v>0</v>
      </c>
      <c r="M37" s="103">
        <f>'Refer Para 27'!D74</f>
        <v>0</v>
      </c>
      <c r="N37" s="78">
        <f t="shared" si="1"/>
        <v>406</v>
      </c>
      <c r="O37" s="103">
        <v>0</v>
      </c>
    </row>
    <row r="38" spans="2:15" ht="15.75">
      <c r="B38" s="78">
        <v>31</v>
      </c>
      <c r="C38" s="103">
        <f>'Refer Para 27'!E66</f>
        <v>66</v>
      </c>
      <c r="D38" s="103">
        <f>'Refer Para 27'!E67</f>
        <v>369</v>
      </c>
      <c r="E38" s="103">
        <f>'Refer Para 27'!E68</f>
        <v>4</v>
      </c>
      <c r="F38" s="103">
        <f>'Refer Para 27'!E69</f>
        <v>2</v>
      </c>
      <c r="G38" s="103">
        <f>'Refer Para 27'!E70</f>
        <v>1</v>
      </c>
      <c r="H38" s="103">
        <f>'Refer Para 27'!E71</f>
        <v>0</v>
      </c>
      <c r="I38" s="103">
        <f>'Refer Para 27'!E72</f>
        <v>0</v>
      </c>
      <c r="J38" s="103">
        <f>'Refer Para 27'!E73</f>
        <v>0</v>
      </c>
      <c r="K38" s="78">
        <f t="shared" si="0"/>
        <v>442</v>
      </c>
      <c r="L38" s="103">
        <v>0</v>
      </c>
      <c r="M38" s="103">
        <f>'Refer Para 27'!E74</f>
        <v>0</v>
      </c>
      <c r="N38" s="78">
        <f t="shared" si="1"/>
        <v>442</v>
      </c>
      <c r="O38" s="103">
        <v>0</v>
      </c>
    </row>
    <row r="39" spans="2:15" ht="15.75">
      <c r="B39" s="78">
        <v>32</v>
      </c>
      <c r="C39" s="103">
        <f>'Refer Para 27'!F66</f>
        <v>348</v>
      </c>
      <c r="D39" s="103">
        <f>'Refer Para 27'!F67</f>
        <v>188</v>
      </c>
      <c r="E39" s="103">
        <f>'Refer Para 27'!F68</f>
        <v>2</v>
      </c>
      <c r="F39" s="103">
        <f>'Refer Para 27'!F69</f>
        <v>12</v>
      </c>
      <c r="G39" s="103">
        <f>'Refer Para 27'!F70</f>
        <v>0</v>
      </c>
      <c r="H39" s="103">
        <f>'Refer Para 27'!F71</f>
        <v>0</v>
      </c>
      <c r="I39" s="103">
        <f>'Refer Para 27'!F72</f>
        <v>0</v>
      </c>
      <c r="J39" s="103">
        <f>'Refer Para 27'!F73</f>
        <v>0</v>
      </c>
      <c r="K39" s="78">
        <f t="shared" si="0"/>
        <v>550</v>
      </c>
      <c r="L39" s="103">
        <v>0</v>
      </c>
      <c r="M39" s="103">
        <f>'Refer Para 27'!F74</f>
        <v>0</v>
      </c>
      <c r="N39" s="78">
        <f t="shared" si="1"/>
        <v>550</v>
      </c>
      <c r="O39" s="103">
        <v>0</v>
      </c>
    </row>
    <row r="40" spans="2:15" ht="15.75">
      <c r="B40" s="78">
        <v>33</v>
      </c>
      <c r="C40" s="103">
        <f>'Refer Para 27'!G66</f>
        <v>226</v>
      </c>
      <c r="D40" s="103">
        <f>'Refer Para 27'!G67</f>
        <v>171</v>
      </c>
      <c r="E40" s="103">
        <f>'Refer Para 27'!G68</f>
        <v>0</v>
      </c>
      <c r="F40" s="103">
        <f>'Refer Para 27'!G69</f>
        <v>0</v>
      </c>
      <c r="G40" s="103">
        <f>'Refer Para 27'!G70</f>
        <v>1</v>
      </c>
      <c r="H40" s="103">
        <f>'Refer Para 27'!G71</f>
        <v>1</v>
      </c>
      <c r="I40" s="103">
        <f>'Refer Para 27'!G72</f>
        <v>0</v>
      </c>
      <c r="J40" s="103">
        <f>'Refer Para 27'!G73</f>
        <v>1</v>
      </c>
      <c r="K40" s="78">
        <f t="shared" si="0"/>
        <v>400</v>
      </c>
      <c r="L40" s="103">
        <v>0</v>
      </c>
      <c r="M40" s="103">
        <f>'Refer Para 27'!G74</f>
        <v>0</v>
      </c>
      <c r="N40" s="78">
        <f t="shared" si="1"/>
        <v>400</v>
      </c>
      <c r="O40" s="103">
        <v>0</v>
      </c>
    </row>
    <row r="41" spans="2:15" ht="15.75">
      <c r="B41" s="78">
        <v>34</v>
      </c>
      <c r="C41" s="103">
        <f>'Refer Para 27'!H66</f>
        <v>119</v>
      </c>
      <c r="D41" s="103">
        <f>'Refer Para 27'!H67</f>
        <v>237</v>
      </c>
      <c r="E41" s="103">
        <f>'Refer Para 27'!H68</f>
        <v>3</v>
      </c>
      <c r="F41" s="103">
        <f>'Refer Para 27'!H69</f>
        <v>44</v>
      </c>
      <c r="G41" s="103">
        <f>'Refer Para 27'!H70</f>
        <v>0</v>
      </c>
      <c r="H41" s="103">
        <f>'Refer Para 27'!H71</f>
        <v>0</v>
      </c>
      <c r="I41" s="103">
        <f>'Refer Para 27'!H72</f>
        <v>0</v>
      </c>
      <c r="J41" s="103">
        <f>'Refer Para 27'!H73</f>
        <v>1</v>
      </c>
      <c r="K41" s="78">
        <f t="shared" si="0"/>
        <v>404</v>
      </c>
      <c r="L41" s="103">
        <v>0</v>
      </c>
      <c r="M41" s="103">
        <f>'Refer Para 27'!H74</f>
        <v>1</v>
      </c>
      <c r="N41" s="78">
        <f t="shared" si="1"/>
        <v>405</v>
      </c>
      <c r="O41" s="103">
        <v>0</v>
      </c>
    </row>
    <row r="42" spans="2:15" ht="15.75">
      <c r="B42" s="78">
        <v>35</v>
      </c>
      <c r="C42" s="103">
        <f>'Refer Para 27'!I66</f>
        <v>222</v>
      </c>
      <c r="D42" s="103">
        <f>'Refer Para 27'!I67</f>
        <v>309</v>
      </c>
      <c r="E42" s="103">
        <f>'Refer Para 27'!I68</f>
        <v>1</v>
      </c>
      <c r="F42" s="103">
        <f>'Refer Para 27'!I69</f>
        <v>15</v>
      </c>
      <c r="G42" s="103">
        <f>'Refer Para 27'!I70</f>
        <v>1</v>
      </c>
      <c r="H42" s="103">
        <f>'Refer Para 27'!I71</f>
        <v>2</v>
      </c>
      <c r="I42" s="103">
        <f>'Refer Para 27'!I72</f>
        <v>2</v>
      </c>
      <c r="J42" s="103">
        <f>'Refer Para 27'!I73</f>
        <v>1</v>
      </c>
      <c r="K42" s="78">
        <f t="shared" si="0"/>
        <v>553</v>
      </c>
      <c r="L42" s="103">
        <v>0</v>
      </c>
      <c r="M42" s="103">
        <f>'Refer Para 27'!I74</f>
        <v>4</v>
      </c>
      <c r="N42" s="78">
        <f t="shared" si="1"/>
        <v>557</v>
      </c>
      <c r="O42" s="103">
        <v>0</v>
      </c>
    </row>
    <row r="43" spans="2:15" ht="15.75">
      <c r="B43" s="78">
        <v>36</v>
      </c>
      <c r="C43" s="103">
        <f>'Refer Para 27'!J66</f>
        <v>270</v>
      </c>
      <c r="D43" s="103">
        <f>'Refer Para 27'!J67</f>
        <v>85</v>
      </c>
      <c r="E43" s="103">
        <f>'Refer Para 27'!J68</f>
        <v>1</v>
      </c>
      <c r="F43" s="103">
        <f>'Refer Para 27'!J69</f>
        <v>224</v>
      </c>
      <c r="G43" s="103">
        <f>'Refer Para 27'!J70</f>
        <v>2</v>
      </c>
      <c r="H43" s="103">
        <f>'Refer Para 27'!J71</f>
        <v>0</v>
      </c>
      <c r="I43" s="103">
        <f>'Refer Para 27'!J72</f>
        <v>2</v>
      </c>
      <c r="J43" s="103">
        <f>'Refer Para 27'!J73</f>
        <v>2</v>
      </c>
      <c r="K43" s="78">
        <f t="shared" si="0"/>
        <v>586</v>
      </c>
      <c r="L43" s="103">
        <v>0</v>
      </c>
      <c r="M43" s="103">
        <f>'Refer Para 27'!J74</f>
        <v>3</v>
      </c>
      <c r="N43" s="78">
        <f t="shared" si="1"/>
        <v>589</v>
      </c>
      <c r="O43" s="103">
        <v>0</v>
      </c>
    </row>
    <row r="44" spans="2:15" ht="15.75">
      <c r="B44" s="78">
        <v>37</v>
      </c>
      <c r="C44" s="103">
        <f>'Refer Para 27'!K66</f>
        <v>290</v>
      </c>
      <c r="D44" s="103">
        <f>'Refer Para 27'!K67</f>
        <v>374</v>
      </c>
      <c r="E44" s="103">
        <f>'Refer Para 27'!K68</f>
        <v>8</v>
      </c>
      <c r="F44" s="103">
        <f>'Refer Para 27'!K69</f>
        <v>10</v>
      </c>
      <c r="G44" s="103">
        <f>'Refer Para 27'!K70</f>
        <v>1</v>
      </c>
      <c r="H44" s="103">
        <f>'Refer Para 27'!K71</f>
        <v>3</v>
      </c>
      <c r="I44" s="103">
        <f>'Refer Para 27'!K72</f>
        <v>3</v>
      </c>
      <c r="J44" s="103">
        <f>'Refer Para 27'!K73</f>
        <v>2</v>
      </c>
      <c r="K44" s="78">
        <f t="shared" si="0"/>
        <v>691</v>
      </c>
      <c r="L44" s="103">
        <v>0</v>
      </c>
      <c r="M44" s="103">
        <f>'Refer Para 27'!K74</f>
        <v>2</v>
      </c>
      <c r="N44" s="78">
        <f t="shared" si="1"/>
        <v>693</v>
      </c>
      <c r="O44" s="103">
        <v>0</v>
      </c>
    </row>
    <row r="45" spans="2:15" ht="15.75">
      <c r="B45" s="78">
        <v>38</v>
      </c>
      <c r="C45" s="103">
        <f>'Refer Para 27'!L66</f>
        <v>206</v>
      </c>
      <c r="D45" s="103">
        <f>'Refer Para 27'!L67</f>
        <v>196</v>
      </c>
      <c r="E45" s="103">
        <f>'Refer Para 27'!L68</f>
        <v>5</v>
      </c>
      <c r="F45" s="103">
        <f>'Refer Para 27'!L69</f>
        <v>393</v>
      </c>
      <c r="G45" s="103">
        <f>'Refer Para 27'!L70</f>
        <v>1</v>
      </c>
      <c r="H45" s="103">
        <f>'Refer Para 27'!L71</f>
        <v>1</v>
      </c>
      <c r="I45" s="103">
        <f>'Refer Para 27'!L72</f>
        <v>3</v>
      </c>
      <c r="J45" s="103">
        <f>'Refer Para 27'!L73</f>
        <v>2</v>
      </c>
      <c r="K45" s="78">
        <f t="shared" si="0"/>
        <v>807</v>
      </c>
      <c r="L45" s="103">
        <v>0</v>
      </c>
      <c r="M45" s="103">
        <f>'Refer Para 27'!L74</f>
        <v>3</v>
      </c>
      <c r="N45" s="78">
        <f t="shared" si="1"/>
        <v>810</v>
      </c>
      <c r="O45" s="103">
        <v>0</v>
      </c>
    </row>
    <row r="46" spans="2:15" ht="15.75">
      <c r="B46" s="78">
        <v>39</v>
      </c>
      <c r="C46" s="103">
        <f>'Refer Para 27'!M66</f>
        <v>169</v>
      </c>
      <c r="D46" s="103">
        <f>'Refer Para 27'!M67</f>
        <v>208</v>
      </c>
      <c r="E46" s="103">
        <f>'Refer Para 27'!M68</f>
        <v>8</v>
      </c>
      <c r="F46" s="103">
        <f>'Refer Para 27'!M69</f>
        <v>285</v>
      </c>
      <c r="G46" s="103">
        <f>'Refer Para 27'!M70</f>
        <v>4</v>
      </c>
      <c r="H46" s="103">
        <f>'Refer Para 27'!M71</f>
        <v>3</v>
      </c>
      <c r="I46" s="103">
        <f>'Refer Para 27'!M72</f>
        <v>3</v>
      </c>
      <c r="J46" s="103">
        <f>'Refer Para 27'!M73</f>
        <v>0</v>
      </c>
      <c r="K46" s="78">
        <f t="shared" si="0"/>
        <v>680</v>
      </c>
      <c r="L46" s="103">
        <v>0</v>
      </c>
      <c r="M46" s="103">
        <f>'Refer Para 27'!M74</f>
        <v>2</v>
      </c>
      <c r="N46" s="78">
        <f t="shared" si="1"/>
        <v>682</v>
      </c>
      <c r="O46" s="103">
        <v>0</v>
      </c>
    </row>
    <row r="47" spans="2:15" ht="15.75">
      <c r="B47" s="78">
        <v>40</v>
      </c>
      <c r="C47" s="103">
        <f>'Refer Para 27'!N66</f>
        <v>341</v>
      </c>
      <c r="D47" s="103">
        <f>'Refer Para 27'!N67</f>
        <v>273</v>
      </c>
      <c r="E47" s="103">
        <f>'Refer Para 27'!N68</f>
        <v>8</v>
      </c>
      <c r="F47" s="103">
        <f>'Refer Para 27'!N69</f>
        <v>11</v>
      </c>
      <c r="G47" s="103">
        <f>'Refer Para 27'!N70</f>
        <v>1</v>
      </c>
      <c r="H47" s="103">
        <f>'Refer Para 27'!N71</f>
        <v>1</v>
      </c>
      <c r="I47" s="103">
        <f>'Refer Para 27'!N72</f>
        <v>4</v>
      </c>
      <c r="J47" s="103">
        <f>'Refer Para 27'!N73</f>
        <v>2</v>
      </c>
      <c r="K47" s="78">
        <f t="shared" si="0"/>
        <v>641</v>
      </c>
      <c r="L47" s="103">
        <v>0</v>
      </c>
      <c r="M47" s="103">
        <f>'Refer Para 27'!N74</f>
        <v>1</v>
      </c>
      <c r="N47" s="78">
        <f t="shared" si="1"/>
        <v>642</v>
      </c>
      <c r="O47" s="103">
        <v>0</v>
      </c>
    </row>
    <row r="48" spans="2:15" ht="15.75">
      <c r="B48" s="78">
        <v>41</v>
      </c>
      <c r="C48" s="103">
        <f>'Refer Para 27'!O66</f>
        <v>152</v>
      </c>
      <c r="D48" s="103">
        <f>'Refer Para 27'!O67</f>
        <v>314</v>
      </c>
      <c r="E48" s="103">
        <f>'Refer Para 27'!O68</f>
        <v>2</v>
      </c>
      <c r="F48" s="103">
        <f>'Refer Para 27'!O69</f>
        <v>141</v>
      </c>
      <c r="G48" s="103">
        <f>'Refer Para 27'!O70</f>
        <v>4</v>
      </c>
      <c r="H48" s="103">
        <f>'Refer Para 27'!O71</f>
        <v>3</v>
      </c>
      <c r="I48" s="103">
        <f>'Refer Para 27'!O72</f>
        <v>6</v>
      </c>
      <c r="J48" s="103">
        <f>'Refer Para 27'!O73</f>
        <v>1</v>
      </c>
      <c r="K48" s="78">
        <f t="shared" si="0"/>
        <v>623</v>
      </c>
      <c r="L48" s="103">
        <v>0</v>
      </c>
      <c r="M48" s="103">
        <f>'Refer Para 27'!O74</f>
        <v>2</v>
      </c>
      <c r="N48" s="78">
        <f t="shared" si="1"/>
        <v>625</v>
      </c>
      <c r="O48" s="103">
        <v>0</v>
      </c>
    </row>
    <row r="49" spans="2:15" ht="15.75">
      <c r="B49" s="78">
        <v>42</v>
      </c>
      <c r="C49" s="103">
        <f>'Refer Para 27'!P66</f>
        <v>171</v>
      </c>
      <c r="D49" s="103">
        <f>'Refer Para 27'!P67</f>
        <v>456</v>
      </c>
      <c r="E49" s="103">
        <f>'Refer Para 27'!P68</f>
        <v>5</v>
      </c>
      <c r="F49" s="103">
        <f>'Refer Para 27'!P69</f>
        <v>15</v>
      </c>
      <c r="G49" s="103">
        <f>'Refer Para 27'!P70</f>
        <v>3</v>
      </c>
      <c r="H49" s="103">
        <f>'Refer Para 27'!P71</f>
        <v>2</v>
      </c>
      <c r="I49" s="103">
        <f>'Refer Para 27'!P72</f>
        <v>3</v>
      </c>
      <c r="J49" s="103">
        <f>'Refer Para 27'!P73</f>
        <v>3</v>
      </c>
      <c r="K49" s="78">
        <f t="shared" si="0"/>
        <v>658</v>
      </c>
      <c r="L49" s="103">
        <v>0</v>
      </c>
      <c r="M49" s="103">
        <f>'Refer Para 27'!P74</f>
        <v>7</v>
      </c>
      <c r="N49" s="78">
        <f t="shared" si="1"/>
        <v>665</v>
      </c>
      <c r="O49" s="103">
        <v>0</v>
      </c>
    </row>
    <row r="50" spans="2:15" ht="15.75">
      <c r="B50" s="78">
        <v>43</v>
      </c>
      <c r="C50" s="103">
        <f>'Refer Para 27'!C95</f>
        <v>130</v>
      </c>
      <c r="D50" s="103">
        <f>'Refer Para 27'!C96</f>
        <v>379</v>
      </c>
      <c r="E50" s="103">
        <f>'Refer Para 27'!C97</f>
        <v>11</v>
      </c>
      <c r="F50" s="103">
        <f>'Refer Para 27'!C98</f>
        <v>106</v>
      </c>
      <c r="G50" s="103">
        <f>'Refer Para 27'!C99</f>
        <v>2</v>
      </c>
      <c r="H50" s="103">
        <f>'Refer Para 27'!C100</f>
        <v>1</v>
      </c>
      <c r="I50" s="103">
        <f>'Refer Para 27'!C101</f>
        <v>5</v>
      </c>
      <c r="J50" s="103">
        <f>'Refer Para 27'!C102</f>
        <v>3</v>
      </c>
      <c r="K50" s="78">
        <f t="shared" si="0"/>
        <v>637</v>
      </c>
      <c r="L50" s="103">
        <v>0</v>
      </c>
      <c r="M50" s="103">
        <f>'Refer Para 27'!C103</f>
        <v>5</v>
      </c>
      <c r="N50" s="78">
        <f t="shared" si="1"/>
        <v>642</v>
      </c>
      <c r="O50" s="103">
        <v>0</v>
      </c>
    </row>
    <row r="51" spans="2:15" ht="15.75">
      <c r="B51" s="78">
        <v>44</v>
      </c>
      <c r="C51" s="103">
        <f>'Refer Para 27'!D95</f>
        <v>85</v>
      </c>
      <c r="D51" s="103">
        <f>'Refer Para 27'!D96</f>
        <v>455</v>
      </c>
      <c r="E51" s="103">
        <f>'Refer Para 27'!D97</f>
        <v>5</v>
      </c>
      <c r="F51" s="103">
        <f>'Refer Para 27'!D98</f>
        <v>8</v>
      </c>
      <c r="G51" s="103">
        <f>'Refer Para 27'!D99</f>
        <v>1</v>
      </c>
      <c r="H51" s="103">
        <f>'Refer Para 27'!D100</f>
        <v>3</v>
      </c>
      <c r="I51" s="103">
        <f>'Refer Para 27'!D101</f>
        <v>1</v>
      </c>
      <c r="J51" s="103">
        <f>'Refer Para 27'!D102</f>
        <v>1</v>
      </c>
      <c r="K51" s="78">
        <f t="shared" si="0"/>
        <v>559</v>
      </c>
      <c r="L51" s="103">
        <v>0</v>
      </c>
      <c r="M51" s="103">
        <f>'Refer Para 27'!D103</f>
        <v>18</v>
      </c>
      <c r="N51" s="78">
        <f t="shared" si="1"/>
        <v>577</v>
      </c>
      <c r="O51" s="103">
        <v>0</v>
      </c>
    </row>
    <row r="52" spans="2:15" ht="15.75">
      <c r="B52" s="78">
        <v>45</v>
      </c>
      <c r="C52" s="103">
        <f>'Refer Para 27'!E95</f>
        <v>249</v>
      </c>
      <c r="D52" s="103">
        <f>'Refer Para 27'!E96</f>
        <v>227</v>
      </c>
      <c r="E52" s="103">
        <f>'Refer Para 27'!E97</f>
        <v>3</v>
      </c>
      <c r="F52" s="103">
        <f>'Refer Para 27'!E98</f>
        <v>44</v>
      </c>
      <c r="G52" s="103">
        <f>'Refer Para 27'!E99</f>
        <v>2</v>
      </c>
      <c r="H52" s="103">
        <f>'Refer Para 27'!E100</f>
        <v>0</v>
      </c>
      <c r="I52" s="103">
        <f>'Refer Para 27'!E101</f>
        <v>0</v>
      </c>
      <c r="J52" s="103">
        <f>'Refer Para 27'!E102</f>
        <v>2</v>
      </c>
      <c r="K52" s="78">
        <f t="shared" si="0"/>
        <v>527</v>
      </c>
      <c r="L52" s="103">
        <v>0</v>
      </c>
      <c r="M52" s="103">
        <f>'Refer Para 27'!E103</f>
        <v>2</v>
      </c>
      <c r="N52" s="78">
        <f t="shared" si="1"/>
        <v>529</v>
      </c>
      <c r="O52" s="103">
        <v>0</v>
      </c>
    </row>
    <row r="53" spans="2:15" ht="15.75">
      <c r="B53" s="78">
        <v>46</v>
      </c>
      <c r="C53" s="103">
        <f>'Refer Para 27'!F95</f>
        <v>182</v>
      </c>
      <c r="D53" s="103">
        <f>'Refer Para 27'!F96</f>
        <v>181</v>
      </c>
      <c r="E53" s="103">
        <f>'Refer Para 27'!F97</f>
        <v>3</v>
      </c>
      <c r="F53" s="103">
        <f>'Refer Para 27'!F98</f>
        <v>161</v>
      </c>
      <c r="G53" s="103">
        <f>'Refer Para 27'!F99</f>
        <v>0</v>
      </c>
      <c r="H53" s="103">
        <f>'Refer Para 27'!F100</f>
        <v>0</v>
      </c>
      <c r="I53" s="103">
        <f>'Refer Para 27'!F101</f>
        <v>4</v>
      </c>
      <c r="J53" s="103">
        <f>'Refer Para 27'!F102</f>
        <v>3</v>
      </c>
      <c r="K53" s="78">
        <f t="shared" si="0"/>
        <v>534</v>
      </c>
      <c r="L53" s="103">
        <v>0</v>
      </c>
      <c r="M53" s="103">
        <f>'Refer Para 27'!F103</f>
        <v>4</v>
      </c>
      <c r="N53" s="78">
        <f t="shared" si="1"/>
        <v>538</v>
      </c>
      <c r="O53" s="103">
        <v>0</v>
      </c>
    </row>
    <row r="54" spans="2:15" ht="15.75">
      <c r="B54" s="78">
        <v>47</v>
      </c>
      <c r="C54" s="103">
        <f>'Refer Para 27'!G95</f>
        <v>68</v>
      </c>
      <c r="D54" s="103">
        <f>'Refer Para 27'!G96</f>
        <v>296</v>
      </c>
      <c r="E54" s="103">
        <f>'Refer Para 27'!G97</f>
        <v>5</v>
      </c>
      <c r="F54" s="103">
        <f>'Refer Para 27'!G98</f>
        <v>79</v>
      </c>
      <c r="G54" s="103">
        <f>'Refer Para 27'!G99</f>
        <v>0</v>
      </c>
      <c r="H54" s="103">
        <f>'Refer Para 27'!G100</f>
        <v>2</v>
      </c>
      <c r="I54" s="103">
        <f>'Refer Para 27'!G101</f>
        <v>0</v>
      </c>
      <c r="J54" s="103">
        <f>'Refer Para 27'!G102</f>
        <v>1</v>
      </c>
      <c r="K54" s="78">
        <f t="shared" si="0"/>
        <v>451</v>
      </c>
      <c r="L54" s="103">
        <v>0</v>
      </c>
      <c r="M54" s="103">
        <f>'Refer Para 27'!G103</f>
        <v>4</v>
      </c>
      <c r="N54" s="78">
        <f t="shared" si="1"/>
        <v>455</v>
      </c>
      <c r="O54" s="103">
        <v>0</v>
      </c>
    </row>
    <row r="55" spans="2:15" ht="15.75">
      <c r="B55" s="78">
        <v>48</v>
      </c>
      <c r="C55" s="103">
        <f>'Refer Para 27'!H95</f>
        <v>58</v>
      </c>
      <c r="D55" s="103">
        <f>'Refer Para 27'!H96</f>
        <v>362</v>
      </c>
      <c r="E55" s="103">
        <f>'Refer Para 27'!H97</f>
        <v>9</v>
      </c>
      <c r="F55" s="103">
        <f>'Refer Para 27'!H98</f>
        <v>30</v>
      </c>
      <c r="G55" s="103">
        <f>'Refer Para 27'!H99</f>
        <v>0</v>
      </c>
      <c r="H55" s="103">
        <f>'Refer Para 27'!H100</f>
        <v>0</v>
      </c>
      <c r="I55" s="103">
        <f>'Refer Para 27'!H101</f>
        <v>1</v>
      </c>
      <c r="J55" s="103">
        <f>'Refer Para 27'!H102</f>
        <v>2</v>
      </c>
      <c r="K55" s="78">
        <f t="shared" si="0"/>
        <v>462</v>
      </c>
      <c r="L55" s="103">
        <v>0</v>
      </c>
      <c r="M55" s="103">
        <f>'Refer Para 27'!H103</f>
        <v>1</v>
      </c>
      <c r="N55" s="78">
        <f t="shared" si="1"/>
        <v>463</v>
      </c>
      <c r="O55" s="103">
        <v>0</v>
      </c>
    </row>
    <row r="56" spans="2:15" ht="15.75">
      <c r="B56" s="78">
        <v>49</v>
      </c>
      <c r="C56" s="103">
        <f>'Refer Para 27'!I95</f>
        <v>108</v>
      </c>
      <c r="D56" s="103">
        <f>'Refer Para 27'!I96</f>
        <v>471</v>
      </c>
      <c r="E56" s="103">
        <f>'Refer Para 27'!I97</f>
        <v>5</v>
      </c>
      <c r="F56" s="103">
        <f>'Refer Para 27'!I98</f>
        <v>5</v>
      </c>
      <c r="G56" s="103">
        <f>'Refer Para 27'!I99</f>
        <v>0</v>
      </c>
      <c r="H56" s="103">
        <f>'Refer Para 27'!I100</f>
        <v>1</v>
      </c>
      <c r="I56" s="103">
        <f>'Refer Para 27'!I101</f>
        <v>1</v>
      </c>
      <c r="J56" s="103">
        <f>'Refer Para 27'!I102</f>
        <v>2</v>
      </c>
      <c r="K56" s="78">
        <f t="shared" si="0"/>
        <v>593</v>
      </c>
      <c r="L56" s="103">
        <v>0</v>
      </c>
      <c r="M56" s="103">
        <f>'Refer Para 27'!I103</f>
        <v>5</v>
      </c>
      <c r="N56" s="78">
        <f t="shared" si="1"/>
        <v>598</v>
      </c>
      <c r="O56" s="103">
        <v>0</v>
      </c>
    </row>
    <row r="57" spans="2:15" ht="15.75">
      <c r="B57" s="78">
        <v>50</v>
      </c>
      <c r="C57" s="103">
        <f>'Refer Para 27'!J95</f>
        <v>233</v>
      </c>
      <c r="D57" s="103">
        <f>'Refer Para 27'!J96</f>
        <v>198</v>
      </c>
      <c r="E57" s="103">
        <f>'Refer Para 27'!J97</f>
        <v>3</v>
      </c>
      <c r="F57" s="103">
        <f>'Refer Para 27'!J98</f>
        <v>47</v>
      </c>
      <c r="G57" s="103">
        <f>'Refer Para 27'!J99</f>
        <v>1</v>
      </c>
      <c r="H57" s="103">
        <f>'Refer Para 27'!J100</f>
        <v>0</v>
      </c>
      <c r="I57" s="103">
        <f>'Refer Para 27'!J101</f>
        <v>1</v>
      </c>
      <c r="J57" s="103">
        <f>'Refer Para 27'!J102</f>
        <v>0</v>
      </c>
      <c r="K57" s="78">
        <f t="shared" si="0"/>
        <v>483</v>
      </c>
      <c r="L57" s="103">
        <v>0</v>
      </c>
      <c r="M57" s="103">
        <f>'Refer Para 27'!J103</f>
        <v>1</v>
      </c>
      <c r="N57" s="78">
        <f t="shared" si="1"/>
        <v>484</v>
      </c>
      <c r="O57" s="103">
        <v>0</v>
      </c>
    </row>
    <row r="58" spans="2:15" ht="15.75">
      <c r="B58" s="78">
        <v>51</v>
      </c>
      <c r="C58" s="103">
        <f>'Refer Para 27'!K95</f>
        <v>257</v>
      </c>
      <c r="D58" s="103">
        <f>'Refer Para 27'!K96</f>
        <v>229</v>
      </c>
      <c r="E58" s="103">
        <f>'Refer Para 27'!K97</f>
        <v>1</v>
      </c>
      <c r="F58" s="103">
        <f>'Refer Para 27'!K98</f>
        <v>6</v>
      </c>
      <c r="G58" s="103">
        <f>'Refer Para 27'!K99</f>
        <v>0</v>
      </c>
      <c r="H58" s="103">
        <f>'Refer Para 27'!K100</f>
        <v>2</v>
      </c>
      <c r="I58" s="103">
        <f>'Refer Para 27'!K101</f>
        <v>1</v>
      </c>
      <c r="J58" s="103">
        <f>'Refer Para 27'!K102</f>
        <v>2</v>
      </c>
      <c r="K58" s="78">
        <f t="shared" si="0"/>
        <v>498</v>
      </c>
      <c r="L58" s="103">
        <v>0</v>
      </c>
      <c r="M58" s="103">
        <f>'Refer Para 27'!K103</f>
        <v>2</v>
      </c>
      <c r="N58" s="78">
        <f t="shared" si="1"/>
        <v>500</v>
      </c>
      <c r="O58" s="103">
        <v>0</v>
      </c>
    </row>
    <row r="59" spans="2:15" ht="15.75">
      <c r="B59" s="78">
        <v>52</v>
      </c>
      <c r="C59" s="103">
        <f>'Refer Para 27'!L95</f>
        <v>136</v>
      </c>
      <c r="D59" s="103">
        <f>'Refer Para 27'!L96</f>
        <v>583</v>
      </c>
      <c r="E59" s="103">
        <f>'Refer Para 27'!L97</f>
        <v>7</v>
      </c>
      <c r="F59" s="103">
        <f>'Refer Para 27'!L98</f>
        <v>9</v>
      </c>
      <c r="G59" s="103">
        <f>'Refer Para 27'!L99</f>
        <v>1</v>
      </c>
      <c r="H59" s="103">
        <f>'Refer Para 27'!L100</f>
        <v>2</v>
      </c>
      <c r="I59" s="103">
        <f>'Refer Para 27'!L101</f>
        <v>4</v>
      </c>
      <c r="J59" s="103">
        <f>'Refer Para 27'!L102</f>
        <v>2</v>
      </c>
      <c r="K59" s="78">
        <f t="shared" si="0"/>
        <v>744</v>
      </c>
      <c r="L59" s="103">
        <v>0</v>
      </c>
      <c r="M59" s="103">
        <f>'Refer Para 27'!L103</f>
        <v>0</v>
      </c>
      <c r="N59" s="78">
        <f t="shared" si="1"/>
        <v>744</v>
      </c>
      <c r="O59" s="103">
        <v>0</v>
      </c>
    </row>
    <row r="60" spans="2:15" ht="15.75">
      <c r="B60" s="78">
        <v>53</v>
      </c>
      <c r="C60" s="103">
        <f>'Refer Para 27'!M95</f>
        <v>17</v>
      </c>
      <c r="D60" s="103">
        <f>'Refer Para 27'!M96</f>
        <v>45</v>
      </c>
      <c r="E60" s="103">
        <f>'Refer Para 27'!M97</f>
        <v>2</v>
      </c>
      <c r="F60" s="103">
        <f>'Refer Para 27'!M98</f>
        <v>660</v>
      </c>
      <c r="G60" s="103">
        <f>'Refer Para 27'!M99</f>
        <v>3</v>
      </c>
      <c r="H60" s="103">
        <f>'Refer Para 27'!M100</f>
        <v>4</v>
      </c>
      <c r="I60" s="103">
        <f>'Refer Para 27'!M101</f>
        <v>4</v>
      </c>
      <c r="J60" s="103">
        <f>'Refer Para 27'!M102</f>
        <v>4</v>
      </c>
      <c r="K60" s="78">
        <f t="shared" si="0"/>
        <v>739</v>
      </c>
      <c r="L60" s="103">
        <v>0</v>
      </c>
      <c r="M60" s="103">
        <f>'Refer Para 27'!M103</f>
        <v>1</v>
      </c>
      <c r="N60" s="78">
        <f t="shared" si="1"/>
        <v>740</v>
      </c>
      <c r="O60" s="103">
        <v>0</v>
      </c>
    </row>
    <row r="61" spans="2:15" ht="15.75">
      <c r="B61" s="78">
        <v>54</v>
      </c>
      <c r="C61" s="103">
        <f>'Refer Para 27'!N95</f>
        <v>87</v>
      </c>
      <c r="D61" s="103">
        <f>'Refer Para 27'!N96</f>
        <v>527</v>
      </c>
      <c r="E61" s="103">
        <f>'Refer Para 27'!N97</f>
        <v>10</v>
      </c>
      <c r="F61" s="103">
        <f>'Refer Para 27'!N98</f>
        <v>7</v>
      </c>
      <c r="G61" s="103">
        <f>'Refer Para 27'!N99</f>
        <v>1</v>
      </c>
      <c r="H61" s="103">
        <f>'Refer Para 27'!N100</f>
        <v>1</v>
      </c>
      <c r="I61" s="103">
        <f>'Refer Para 27'!N101</f>
        <v>0</v>
      </c>
      <c r="J61" s="103">
        <f>'Refer Para 27'!N102</f>
        <v>1</v>
      </c>
      <c r="K61" s="78">
        <f t="shared" si="0"/>
        <v>634</v>
      </c>
      <c r="L61" s="103">
        <v>0</v>
      </c>
      <c r="M61" s="103">
        <f>'Refer Para 27'!N103</f>
        <v>1</v>
      </c>
      <c r="N61" s="78">
        <f t="shared" si="1"/>
        <v>635</v>
      </c>
      <c r="O61" s="103">
        <v>0</v>
      </c>
    </row>
    <row r="62" spans="2:15" ht="15.75">
      <c r="B62" s="78">
        <v>55</v>
      </c>
      <c r="C62" s="103">
        <f>'Refer Para 27'!O95</f>
        <v>222</v>
      </c>
      <c r="D62" s="103">
        <f>'Refer Para 27'!O96</f>
        <v>502</v>
      </c>
      <c r="E62" s="103">
        <f>'Refer Para 27'!O97</f>
        <v>14</v>
      </c>
      <c r="F62" s="103">
        <f>'Refer Para 27'!O98</f>
        <v>6</v>
      </c>
      <c r="G62" s="103">
        <f>'Refer Para 27'!O99</f>
        <v>1</v>
      </c>
      <c r="H62" s="103">
        <f>'Refer Para 27'!O100</f>
        <v>1</v>
      </c>
      <c r="I62" s="103">
        <f>'Refer Para 27'!O101</f>
        <v>4</v>
      </c>
      <c r="J62" s="103">
        <f>'Refer Para 27'!O102</f>
        <v>5</v>
      </c>
      <c r="K62" s="78">
        <f t="shared" si="0"/>
        <v>755</v>
      </c>
      <c r="L62" s="103">
        <v>0</v>
      </c>
      <c r="M62" s="103">
        <f>'Refer Para 27'!O103</f>
        <v>7</v>
      </c>
      <c r="N62" s="78">
        <f t="shared" si="1"/>
        <v>762</v>
      </c>
      <c r="O62" s="103">
        <v>0</v>
      </c>
    </row>
    <row r="63" spans="2:15" ht="15.75">
      <c r="B63" s="78">
        <v>56</v>
      </c>
      <c r="C63" s="103">
        <f>'Refer Para 27'!P95</f>
        <v>217</v>
      </c>
      <c r="D63" s="103">
        <f>'Refer Para 27'!P96</f>
        <v>182</v>
      </c>
      <c r="E63" s="103">
        <f>'Refer Para 27'!P97</f>
        <v>3</v>
      </c>
      <c r="F63" s="103">
        <f>'Refer Para 27'!P98</f>
        <v>2</v>
      </c>
      <c r="G63" s="103">
        <f>'Refer Para 27'!P99</f>
        <v>1</v>
      </c>
      <c r="H63" s="103">
        <f>'Refer Para 27'!P100</f>
        <v>0</v>
      </c>
      <c r="I63" s="103">
        <f>'Refer Para 27'!P101</f>
        <v>0</v>
      </c>
      <c r="J63" s="103">
        <f>'Refer Para 27'!P102</f>
        <v>0</v>
      </c>
      <c r="K63" s="78">
        <f t="shared" si="0"/>
        <v>405</v>
      </c>
      <c r="L63" s="103">
        <v>0</v>
      </c>
      <c r="M63" s="103">
        <f>'Refer Para 27'!P103</f>
        <v>3</v>
      </c>
      <c r="N63" s="78">
        <f t="shared" si="1"/>
        <v>408</v>
      </c>
      <c r="O63" s="103">
        <v>0</v>
      </c>
    </row>
    <row r="64" spans="2:15" ht="15.75">
      <c r="B64" s="78">
        <v>57</v>
      </c>
      <c r="C64" s="103">
        <f>'Refer Para 27'!C124</f>
        <v>172</v>
      </c>
      <c r="D64" s="103">
        <f>'Refer Para 27'!C125</f>
        <v>409</v>
      </c>
      <c r="E64" s="103">
        <f>'Refer Para 27'!C126</f>
        <v>7</v>
      </c>
      <c r="F64" s="103">
        <f>'Refer Para 27'!C127</f>
        <v>10</v>
      </c>
      <c r="G64" s="103">
        <f>'Refer Para 27'!C128</f>
        <v>0</v>
      </c>
      <c r="H64" s="103">
        <f>'Refer Para 27'!C129</f>
        <v>3</v>
      </c>
      <c r="I64" s="103">
        <f>'Refer Para 27'!C130</f>
        <v>6</v>
      </c>
      <c r="J64" s="103">
        <f>'Refer Para 27'!C131</f>
        <v>4</v>
      </c>
      <c r="K64" s="78">
        <f t="shared" si="0"/>
        <v>611</v>
      </c>
      <c r="L64" s="103">
        <v>0</v>
      </c>
      <c r="M64" s="103">
        <f>'Refer Para 27'!C132</f>
        <v>3</v>
      </c>
      <c r="N64" s="78">
        <f t="shared" si="1"/>
        <v>614</v>
      </c>
      <c r="O64" s="103">
        <v>0</v>
      </c>
    </row>
    <row r="65" spans="2:15" ht="15.75">
      <c r="B65" s="78">
        <v>58</v>
      </c>
      <c r="C65" s="103">
        <f>'Refer Para 27'!D124</f>
        <v>89</v>
      </c>
      <c r="D65" s="103">
        <f>'Refer Para 27'!D125</f>
        <v>501</v>
      </c>
      <c r="E65" s="103">
        <f>'Refer Para 27'!D126</f>
        <v>6</v>
      </c>
      <c r="F65" s="103">
        <f>'Refer Para 27'!D127</f>
        <v>10</v>
      </c>
      <c r="G65" s="103">
        <f>'Refer Para 27'!D128</f>
        <v>0</v>
      </c>
      <c r="H65" s="103">
        <f>'Refer Para 27'!D129</f>
        <v>4</v>
      </c>
      <c r="I65" s="103">
        <f>'Refer Para 27'!D130</f>
        <v>2</v>
      </c>
      <c r="J65" s="103">
        <f>'Refer Para 27'!D131</f>
        <v>1</v>
      </c>
      <c r="K65" s="78">
        <f t="shared" si="0"/>
        <v>613</v>
      </c>
      <c r="L65" s="103">
        <v>0</v>
      </c>
      <c r="M65" s="103">
        <f>'Refer Para 27'!D132</f>
        <v>0</v>
      </c>
      <c r="N65" s="78">
        <f t="shared" si="1"/>
        <v>613</v>
      </c>
      <c r="O65" s="103">
        <v>0</v>
      </c>
    </row>
    <row r="66" spans="2:15" ht="15.75">
      <c r="B66" s="78">
        <v>59</v>
      </c>
      <c r="C66" s="103">
        <f>'Refer Para 27'!E124</f>
        <v>253</v>
      </c>
      <c r="D66" s="103">
        <f>'Refer Para 27'!E125</f>
        <v>425</v>
      </c>
      <c r="E66" s="103">
        <f>'Refer Para 27'!E126</f>
        <v>4</v>
      </c>
      <c r="F66" s="103">
        <f>'Refer Para 27'!E127</f>
        <v>2</v>
      </c>
      <c r="G66" s="103">
        <f>'Refer Para 27'!E128</f>
        <v>1</v>
      </c>
      <c r="H66" s="103">
        <f>'Refer Para 27'!E129</f>
        <v>3</v>
      </c>
      <c r="I66" s="103">
        <f>'Refer Para 27'!E130</f>
        <v>3</v>
      </c>
      <c r="J66" s="103">
        <f>'Refer Para 27'!E131</f>
        <v>1</v>
      </c>
      <c r="K66" s="78">
        <f t="shared" si="0"/>
        <v>692</v>
      </c>
      <c r="L66" s="103">
        <v>0</v>
      </c>
      <c r="M66" s="103">
        <f>'Refer Para 27'!E132</f>
        <v>2</v>
      </c>
      <c r="N66" s="78">
        <f t="shared" si="1"/>
        <v>694</v>
      </c>
      <c r="O66" s="103">
        <v>0</v>
      </c>
    </row>
    <row r="67" spans="2:15" ht="15.75">
      <c r="B67" s="78">
        <v>60</v>
      </c>
      <c r="C67" s="103">
        <f>'Refer Para 27'!F124</f>
        <v>114</v>
      </c>
      <c r="D67" s="103">
        <f>'Refer Para 27'!F125</f>
        <v>172</v>
      </c>
      <c r="E67" s="103">
        <f>'Refer Para 27'!F126</f>
        <v>2</v>
      </c>
      <c r="F67" s="103">
        <f>'Refer Para 27'!F127</f>
        <v>152</v>
      </c>
      <c r="G67" s="103">
        <f>'Refer Para 27'!F128</f>
        <v>2</v>
      </c>
      <c r="H67" s="103">
        <f>'Refer Para 27'!F129</f>
        <v>1</v>
      </c>
      <c r="I67" s="103">
        <f>'Refer Para 27'!F130</f>
        <v>0</v>
      </c>
      <c r="J67" s="103">
        <f>'Refer Para 27'!F131</f>
        <v>0</v>
      </c>
      <c r="K67" s="78">
        <f t="shared" si="0"/>
        <v>443</v>
      </c>
      <c r="L67" s="103">
        <v>0</v>
      </c>
      <c r="M67" s="103">
        <f>'Refer Para 27'!F132</f>
        <v>2</v>
      </c>
      <c r="N67" s="78">
        <f t="shared" si="1"/>
        <v>445</v>
      </c>
      <c r="O67" s="103">
        <v>0</v>
      </c>
    </row>
    <row r="68" spans="2:15" ht="15.75">
      <c r="B68" s="78">
        <v>61</v>
      </c>
      <c r="C68" s="103">
        <f>'Refer Para 27'!G124</f>
        <v>116</v>
      </c>
      <c r="D68" s="103">
        <f>'Refer Para 27'!G125</f>
        <v>134</v>
      </c>
      <c r="E68" s="103">
        <f>'Refer Para 27'!G126</f>
        <v>7</v>
      </c>
      <c r="F68" s="103">
        <f>'Refer Para 27'!G127</f>
        <v>261</v>
      </c>
      <c r="G68" s="103">
        <f>'Refer Para 27'!G128</f>
        <v>5</v>
      </c>
      <c r="H68" s="103">
        <f>'Refer Para 27'!G129</f>
        <v>5</v>
      </c>
      <c r="I68" s="103">
        <f>'Refer Para 27'!G130</f>
        <v>0</v>
      </c>
      <c r="J68" s="103">
        <f>'Refer Para 27'!G131</f>
        <v>1</v>
      </c>
      <c r="K68" s="78">
        <f t="shared" si="0"/>
        <v>529</v>
      </c>
      <c r="L68" s="103">
        <v>0</v>
      </c>
      <c r="M68" s="103">
        <f>'Refer Para 27'!G132</f>
        <v>6</v>
      </c>
      <c r="N68" s="78">
        <f t="shared" si="1"/>
        <v>535</v>
      </c>
      <c r="O68" s="103">
        <v>0</v>
      </c>
    </row>
    <row r="69" spans="2:15" ht="15.75">
      <c r="B69" s="78">
        <v>62</v>
      </c>
      <c r="C69" s="103">
        <f>'Refer Para 27'!H124</f>
        <v>183</v>
      </c>
      <c r="D69" s="103">
        <f>'Refer Para 27'!H125</f>
        <v>227</v>
      </c>
      <c r="E69" s="103">
        <f>'Refer Para 27'!H126</f>
        <v>3</v>
      </c>
      <c r="F69" s="103">
        <f>'Refer Para 27'!H127</f>
        <v>201</v>
      </c>
      <c r="G69" s="103">
        <f>'Refer Para 27'!H128</f>
        <v>2</v>
      </c>
      <c r="H69" s="103">
        <f>'Refer Para 27'!H129</f>
        <v>2</v>
      </c>
      <c r="I69" s="103">
        <f>'Refer Para 27'!H130</f>
        <v>0</v>
      </c>
      <c r="J69" s="103">
        <f>'Refer Para 27'!H131</f>
        <v>2</v>
      </c>
      <c r="K69" s="78">
        <f t="shared" si="0"/>
        <v>620</v>
      </c>
      <c r="L69" s="103">
        <v>0</v>
      </c>
      <c r="M69" s="103">
        <f>'Refer Para 27'!H132</f>
        <v>2</v>
      </c>
      <c r="N69" s="78">
        <f t="shared" si="1"/>
        <v>622</v>
      </c>
      <c r="O69" s="103">
        <v>0</v>
      </c>
    </row>
    <row r="70" spans="2:15" ht="15.75">
      <c r="B70" s="78">
        <v>63</v>
      </c>
      <c r="C70" s="103">
        <f>'Refer Para 27'!I124</f>
        <v>119</v>
      </c>
      <c r="D70" s="103">
        <f>'Refer Para 27'!I125</f>
        <v>279</v>
      </c>
      <c r="E70" s="103">
        <f>'Refer Para 27'!I126</f>
        <v>5</v>
      </c>
      <c r="F70" s="103">
        <f>'Refer Para 27'!I127</f>
        <v>45</v>
      </c>
      <c r="G70" s="103">
        <f>'Refer Para 27'!I128</f>
        <v>2</v>
      </c>
      <c r="H70" s="103">
        <f>'Refer Para 27'!I129</f>
        <v>6</v>
      </c>
      <c r="I70" s="103">
        <f>'Refer Para 27'!I130</f>
        <v>2</v>
      </c>
      <c r="J70" s="103">
        <f>'Refer Para 27'!I131</f>
        <v>4</v>
      </c>
      <c r="K70" s="78">
        <f t="shared" si="0"/>
        <v>462</v>
      </c>
      <c r="L70" s="103">
        <v>0</v>
      </c>
      <c r="M70" s="103">
        <f>'Refer Para 27'!I132</f>
        <v>3</v>
      </c>
      <c r="N70" s="78">
        <f t="shared" si="1"/>
        <v>465</v>
      </c>
      <c r="O70" s="103">
        <v>0</v>
      </c>
    </row>
    <row r="71" spans="2:15" ht="15.75">
      <c r="B71" s="78">
        <v>64</v>
      </c>
      <c r="C71" s="103">
        <f>'Refer Para 27'!J124</f>
        <v>87</v>
      </c>
      <c r="D71" s="103">
        <f>'Refer Para 27'!J125</f>
        <v>284</v>
      </c>
      <c r="E71" s="103">
        <f>'Refer Para 27'!J126</f>
        <v>3</v>
      </c>
      <c r="F71" s="103">
        <f>'Refer Para 27'!J127</f>
        <v>189</v>
      </c>
      <c r="G71" s="103">
        <f>'Refer Para 27'!J128</f>
        <v>2</v>
      </c>
      <c r="H71" s="103">
        <f>'Refer Para 27'!J129</f>
        <v>3</v>
      </c>
      <c r="I71" s="103">
        <f>'Refer Para 27'!J130</f>
        <v>2</v>
      </c>
      <c r="J71" s="103">
        <f>'Refer Para 27'!J131</f>
        <v>1</v>
      </c>
      <c r="K71" s="78">
        <f t="shared" si="0"/>
        <v>571</v>
      </c>
      <c r="L71" s="103">
        <v>0</v>
      </c>
      <c r="M71" s="103">
        <f>'Refer Para 27'!J132</f>
        <v>4</v>
      </c>
      <c r="N71" s="78">
        <f t="shared" si="1"/>
        <v>575</v>
      </c>
      <c r="O71" s="103">
        <v>0</v>
      </c>
    </row>
    <row r="72" spans="2:15" ht="15.75">
      <c r="B72" s="78">
        <v>65</v>
      </c>
      <c r="C72" s="103">
        <f>'Refer Para 27'!K124</f>
        <v>209</v>
      </c>
      <c r="D72" s="103">
        <f>'Refer Para 27'!K125</f>
        <v>418</v>
      </c>
      <c r="E72" s="103">
        <f>'Refer Para 27'!K126</f>
        <v>8</v>
      </c>
      <c r="F72" s="103">
        <f>'Refer Para 27'!K127</f>
        <v>14</v>
      </c>
      <c r="G72" s="103">
        <f>'Refer Para 27'!K128</f>
        <v>0</v>
      </c>
      <c r="H72" s="103">
        <f>'Refer Para 27'!K129</f>
        <v>0</v>
      </c>
      <c r="I72" s="103">
        <f>'Refer Para 27'!K130</f>
        <v>1</v>
      </c>
      <c r="J72" s="103">
        <f>'Refer Para 27'!K131</f>
        <v>0</v>
      </c>
      <c r="K72" s="78">
        <f t="shared" ref="K72:K135" si="2">SUM(C72:J72)</f>
        <v>650</v>
      </c>
      <c r="L72" s="103">
        <v>0</v>
      </c>
      <c r="M72" s="103">
        <f>'Refer Para 27'!K132</f>
        <v>4</v>
      </c>
      <c r="N72" s="78">
        <f t="shared" si="1"/>
        <v>654</v>
      </c>
      <c r="O72" s="103">
        <v>0</v>
      </c>
    </row>
    <row r="73" spans="2:15" ht="15.75">
      <c r="B73" s="78">
        <v>66</v>
      </c>
      <c r="C73" s="103">
        <f>'Refer Para 27'!L124</f>
        <v>144</v>
      </c>
      <c r="D73" s="103">
        <f>'Refer Para 27'!L125</f>
        <v>221</v>
      </c>
      <c r="E73" s="103">
        <f>'Refer Para 27'!L126</f>
        <v>12</v>
      </c>
      <c r="F73" s="103">
        <f>'Refer Para 27'!L127</f>
        <v>138</v>
      </c>
      <c r="G73" s="103">
        <f>'Refer Para 27'!L128</f>
        <v>1</v>
      </c>
      <c r="H73" s="103">
        <f>'Refer Para 27'!L129</f>
        <v>4</v>
      </c>
      <c r="I73" s="103">
        <f>'Refer Para 27'!L130</f>
        <v>3</v>
      </c>
      <c r="J73" s="103">
        <f>'Refer Para 27'!L131</f>
        <v>2</v>
      </c>
      <c r="K73" s="78">
        <f t="shared" si="2"/>
        <v>525</v>
      </c>
      <c r="L73" s="103">
        <v>0</v>
      </c>
      <c r="M73" s="103">
        <f>'Refer Para 27'!L132</f>
        <v>1</v>
      </c>
      <c r="N73" s="78">
        <f t="shared" ref="N73:N136" si="3">K73+M73-L73</f>
        <v>526</v>
      </c>
      <c r="O73" s="103">
        <v>0</v>
      </c>
    </row>
    <row r="74" spans="2:15" ht="15.75">
      <c r="B74" s="78">
        <v>67</v>
      </c>
      <c r="C74" s="103">
        <f>'Refer Para 27'!M124</f>
        <v>22</v>
      </c>
      <c r="D74" s="103">
        <f>'Refer Para 27'!M125</f>
        <v>73</v>
      </c>
      <c r="E74" s="103">
        <f>'Refer Para 27'!M126</f>
        <v>2</v>
      </c>
      <c r="F74" s="103">
        <f>'Refer Para 27'!M127</f>
        <v>399</v>
      </c>
      <c r="G74" s="103">
        <f>'Refer Para 27'!M128</f>
        <v>5</v>
      </c>
      <c r="H74" s="103">
        <f>'Refer Para 27'!M129</f>
        <v>6</v>
      </c>
      <c r="I74" s="103">
        <f>'Refer Para 27'!M130</f>
        <v>1</v>
      </c>
      <c r="J74" s="103">
        <f>'Refer Para 27'!M131</f>
        <v>1</v>
      </c>
      <c r="K74" s="78">
        <f t="shared" si="2"/>
        <v>509</v>
      </c>
      <c r="L74" s="103">
        <v>0</v>
      </c>
      <c r="M74" s="103">
        <f>'Refer Para 27'!M132</f>
        <v>0</v>
      </c>
      <c r="N74" s="78">
        <f t="shared" si="3"/>
        <v>509</v>
      </c>
      <c r="O74" s="103">
        <v>0</v>
      </c>
    </row>
    <row r="75" spans="2:15" ht="15.75">
      <c r="B75" s="78">
        <v>68</v>
      </c>
      <c r="C75" s="103">
        <f>'Refer Para 27'!N124</f>
        <v>75</v>
      </c>
      <c r="D75" s="103">
        <f>'Refer Para 27'!N125</f>
        <v>206</v>
      </c>
      <c r="E75" s="103">
        <f>'Refer Para 27'!N126</f>
        <v>11</v>
      </c>
      <c r="F75" s="103">
        <f>'Refer Para 27'!N127</f>
        <v>197</v>
      </c>
      <c r="G75" s="103">
        <f>'Refer Para 27'!N128</f>
        <v>4</v>
      </c>
      <c r="H75" s="103">
        <f>'Refer Para 27'!N129</f>
        <v>0</v>
      </c>
      <c r="I75" s="103">
        <f>'Refer Para 27'!N130</f>
        <v>4</v>
      </c>
      <c r="J75" s="103">
        <f>'Refer Para 27'!N131</f>
        <v>2</v>
      </c>
      <c r="K75" s="78">
        <f t="shared" si="2"/>
        <v>499</v>
      </c>
      <c r="L75" s="103">
        <v>0</v>
      </c>
      <c r="M75" s="103">
        <f>'Refer Para 27'!N132</f>
        <v>2</v>
      </c>
      <c r="N75" s="78">
        <f t="shared" si="3"/>
        <v>501</v>
      </c>
      <c r="O75" s="103">
        <v>0</v>
      </c>
    </row>
    <row r="76" spans="2:15" ht="15.75">
      <c r="B76" s="78">
        <v>69</v>
      </c>
      <c r="C76" s="103">
        <f>'Refer Para 27'!O124</f>
        <v>34</v>
      </c>
      <c r="D76" s="103">
        <f>'Refer Para 27'!O125</f>
        <v>463</v>
      </c>
      <c r="E76" s="103">
        <f>'Refer Para 27'!O126</f>
        <v>9</v>
      </c>
      <c r="F76" s="103">
        <f>'Refer Para 27'!O127</f>
        <v>49</v>
      </c>
      <c r="G76" s="103">
        <f>'Refer Para 27'!O128</f>
        <v>1</v>
      </c>
      <c r="H76" s="103">
        <f>'Refer Para 27'!O129</f>
        <v>2</v>
      </c>
      <c r="I76" s="103">
        <f>'Refer Para 27'!O130</f>
        <v>1</v>
      </c>
      <c r="J76" s="103">
        <f>'Refer Para 27'!O131</f>
        <v>2</v>
      </c>
      <c r="K76" s="78">
        <f t="shared" si="2"/>
        <v>561</v>
      </c>
      <c r="L76" s="103">
        <v>0</v>
      </c>
      <c r="M76" s="103">
        <f>'Refer Para 27'!O132</f>
        <v>3</v>
      </c>
      <c r="N76" s="78">
        <f t="shared" si="3"/>
        <v>564</v>
      </c>
      <c r="O76" s="103">
        <v>0</v>
      </c>
    </row>
    <row r="77" spans="2:15" ht="15.75">
      <c r="B77" s="78">
        <v>70</v>
      </c>
      <c r="C77" s="103">
        <f>'Refer Para 27'!P124</f>
        <v>15</v>
      </c>
      <c r="D77" s="103">
        <f>'Refer Para 27'!P125</f>
        <v>540</v>
      </c>
      <c r="E77" s="103">
        <f>'Refer Para 27'!P126</f>
        <v>6</v>
      </c>
      <c r="F77" s="103">
        <f>'Refer Para 27'!P127</f>
        <v>6</v>
      </c>
      <c r="G77" s="103">
        <f>'Refer Para 27'!P128</f>
        <v>0</v>
      </c>
      <c r="H77" s="103">
        <f>'Refer Para 27'!P129</f>
        <v>1</v>
      </c>
      <c r="I77" s="103">
        <f>'Refer Para 27'!P130</f>
        <v>3</v>
      </c>
      <c r="J77" s="103">
        <f>'Refer Para 27'!P131</f>
        <v>9</v>
      </c>
      <c r="K77" s="78">
        <f t="shared" si="2"/>
        <v>580</v>
      </c>
      <c r="L77" s="103">
        <v>0</v>
      </c>
      <c r="M77" s="103">
        <f>'Refer Para 27'!P132</f>
        <v>2</v>
      </c>
      <c r="N77" s="78">
        <f t="shared" si="3"/>
        <v>582</v>
      </c>
      <c r="O77" s="103">
        <v>0</v>
      </c>
    </row>
    <row r="78" spans="2:15" ht="15.75">
      <c r="B78" s="78">
        <v>71</v>
      </c>
      <c r="C78" s="103">
        <f>'Refer Para 27'!C153</f>
        <v>149</v>
      </c>
      <c r="D78" s="103">
        <f>'Refer Para 27'!C154</f>
        <v>376</v>
      </c>
      <c r="E78" s="103">
        <f>'Refer Para 27'!C155</f>
        <v>16</v>
      </c>
      <c r="F78" s="103">
        <f>'Refer Para 27'!C156</f>
        <v>4</v>
      </c>
      <c r="G78" s="103">
        <f>'Refer Para 27'!C157</f>
        <v>0</v>
      </c>
      <c r="H78" s="103">
        <f>'Refer Para 27'!C158</f>
        <v>9</v>
      </c>
      <c r="I78" s="103">
        <f>'Refer Para 27'!C159</f>
        <v>5</v>
      </c>
      <c r="J78" s="103">
        <f>'Refer Para 27'!C160</f>
        <v>2</v>
      </c>
      <c r="K78" s="78">
        <f t="shared" si="2"/>
        <v>561</v>
      </c>
      <c r="L78" s="103">
        <v>0</v>
      </c>
      <c r="M78" s="103">
        <f>'Refer Para 27'!C161</f>
        <v>0</v>
      </c>
      <c r="N78" s="78">
        <f t="shared" si="3"/>
        <v>561</v>
      </c>
      <c r="O78" s="103">
        <v>0</v>
      </c>
    </row>
    <row r="79" spans="2:15" ht="15.75">
      <c r="B79" s="78">
        <v>72</v>
      </c>
      <c r="C79" s="103">
        <f>'Refer Para 27'!D153</f>
        <v>170</v>
      </c>
      <c r="D79" s="103">
        <f>'Refer Para 27'!D154</f>
        <v>387</v>
      </c>
      <c r="E79" s="103">
        <f>'Refer Para 27'!D155</f>
        <v>8</v>
      </c>
      <c r="F79" s="103">
        <f>'Refer Para 27'!D156</f>
        <v>4</v>
      </c>
      <c r="G79" s="103">
        <f>'Refer Para 27'!D157</f>
        <v>2</v>
      </c>
      <c r="H79" s="103">
        <f>'Refer Para 27'!D158</f>
        <v>2</v>
      </c>
      <c r="I79" s="103">
        <f>'Refer Para 27'!D159</f>
        <v>3</v>
      </c>
      <c r="J79" s="103">
        <f>'Refer Para 27'!D160</f>
        <v>1</v>
      </c>
      <c r="K79" s="78">
        <f t="shared" si="2"/>
        <v>577</v>
      </c>
      <c r="L79" s="103">
        <v>0</v>
      </c>
      <c r="M79" s="103">
        <f>'Refer Para 27'!D161</f>
        <v>0</v>
      </c>
      <c r="N79" s="78">
        <f t="shared" si="3"/>
        <v>577</v>
      </c>
      <c r="O79" s="103">
        <v>0</v>
      </c>
    </row>
    <row r="80" spans="2:15" ht="15.75">
      <c r="B80" s="78">
        <v>73</v>
      </c>
      <c r="C80" s="103">
        <f>'Refer Para 27'!E153</f>
        <v>171</v>
      </c>
      <c r="D80" s="103">
        <f>'Refer Para 27'!E154</f>
        <v>318</v>
      </c>
      <c r="E80" s="103">
        <f>'Refer Para 27'!E155</f>
        <v>3</v>
      </c>
      <c r="F80" s="103">
        <f>'Refer Para 27'!E156</f>
        <v>109</v>
      </c>
      <c r="G80" s="103">
        <f>'Refer Para 27'!E157</f>
        <v>2</v>
      </c>
      <c r="H80" s="103">
        <f>'Refer Para 27'!E158</f>
        <v>7</v>
      </c>
      <c r="I80" s="103">
        <f>'Refer Para 27'!E159</f>
        <v>1</v>
      </c>
      <c r="J80" s="103">
        <f>'Refer Para 27'!E160</f>
        <v>6</v>
      </c>
      <c r="K80" s="78">
        <f t="shared" si="2"/>
        <v>617</v>
      </c>
      <c r="L80" s="103">
        <v>0</v>
      </c>
      <c r="M80" s="103">
        <f>'Refer Para 27'!E161</f>
        <v>2</v>
      </c>
      <c r="N80" s="78">
        <f t="shared" si="3"/>
        <v>619</v>
      </c>
      <c r="O80" s="103">
        <v>0</v>
      </c>
    </row>
    <row r="81" spans="2:15" ht="15.75">
      <c r="B81" s="78">
        <v>74</v>
      </c>
      <c r="C81" s="103">
        <f>'Refer Para 27'!F153</f>
        <v>113</v>
      </c>
      <c r="D81" s="103">
        <f>'Refer Para 27'!F154</f>
        <v>201</v>
      </c>
      <c r="E81" s="103">
        <f>'Refer Para 27'!F155</f>
        <v>1</v>
      </c>
      <c r="F81" s="103">
        <f>'Refer Para 27'!F156</f>
        <v>279</v>
      </c>
      <c r="G81" s="103">
        <f>'Refer Para 27'!F157</f>
        <v>3</v>
      </c>
      <c r="H81" s="103">
        <f>'Refer Para 27'!F158</f>
        <v>7</v>
      </c>
      <c r="I81" s="103">
        <f>'Refer Para 27'!F159</f>
        <v>3</v>
      </c>
      <c r="J81" s="103">
        <f>'Refer Para 27'!F160</f>
        <v>0</v>
      </c>
      <c r="K81" s="78">
        <f t="shared" si="2"/>
        <v>607</v>
      </c>
      <c r="L81" s="103">
        <v>0</v>
      </c>
      <c r="M81" s="103">
        <f>'Refer Para 27'!F161</f>
        <v>4</v>
      </c>
      <c r="N81" s="78">
        <f t="shared" si="3"/>
        <v>611</v>
      </c>
      <c r="O81" s="103">
        <v>0</v>
      </c>
    </row>
    <row r="82" spans="2:15" ht="15.75">
      <c r="B82" s="78">
        <v>75</v>
      </c>
      <c r="C82" s="103">
        <f>'Refer Para 27'!G153</f>
        <v>34</v>
      </c>
      <c r="D82" s="103">
        <f>'Refer Para 27'!G154</f>
        <v>659</v>
      </c>
      <c r="E82" s="103">
        <f>'Refer Para 27'!G155</f>
        <v>8</v>
      </c>
      <c r="F82" s="103">
        <f>'Refer Para 27'!G156</f>
        <v>14</v>
      </c>
      <c r="G82" s="103">
        <f>'Refer Para 27'!G157</f>
        <v>2</v>
      </c>
      <c r="H82" s="103">
        <f>'Refer Para 27'!G158</f>
        <v>3</v>
      </c>
      <c r="I82" s="103">
        <f>'Refer Para 27'!G159</f>
        <v>5</v>
      </c>
      <c r="J82" s="103">
        <f>'Refer Para 27'!G160</f>
        <v>5</v>
      </c>
      <c r="K82" s="78">
        <f t="shared" si="2"/>
        <v>730</v>
      </c>
      <c r="L82" s="103">
        <v>0</v>
      </c>
      <c r="M82" s="103">
        <f>'Refer Para 27'!G161</f>
        <v>5</v>
      </c>
      <c r="N82" s="78">
        <f t="shared" si="3"/>
        <v>735</v>
      </c>
      <c r="O82" s="103">
        <v>0</v>
      </c>
    </row>
    <row r="83" spans="2:15" ht="15.75">
      <c r="B83" s="78">
        <v>76</v>
      </c>
      <c r="C83" s="103">
        <f>'Refer Para 27'!H153</f>
        <v>41</v>
      </c>
      <c r="D83" s="103">
        <f>'Refer Para 27'!H154</f>
        <v>661</v>
      </c>
      <c r="E83" s="103">
        <f>'Refer Para 27'!H155</f>
        <v>1</v>
      </c>
      <c r="F83" s="103">
        <f>'Refer Para 27'!H156</f>
        <v>4</v>
      </c>
      <c r="G83" s="103">
        <f>'Refer Para 27'!H157</f>
        <v>1</v>
      </c>
      <c r="H83" s="103">
        <f>'Refer Para 27'!H158</f>
        <v>6</v>
      </c>
      <c r="I83" s="103">
        <f>'Refer Para 27'!H159</f>
        <v>3</v>
      </c>
      <c r="J83" s="103">
        <f>'Refer Para 27'!H160</f>
        <v>0</v>
      </c>
      <c r="K83" s="78">
        <f t="shared" si="2"/>
        <v>717</v>
      </c>
      <c r="L83" s="103">
        <v>0</v>
      </c>
      <c r="M83" s="103">
        <f>'Refer Para 27'!H161</f>
        <v>2</v>
      </c>
      <c r="N83" s="78">
        <f t="shared" si="3"/>
        <v>719</v>
      </c>
      <c r="O83" s="103">
        <v>0</v>
      </c>
    </row>
    <row r="84" spans="2:15" ht="15.75">
      <c r="B84" s="78">
        <v>77</v>
      </c>
      <c r="C84" s="103">
        <f>'Refer Para 27'!I153</f>
        <v>177</v>
      </c>
      <c r="D84" s="103">
        <f>'Refer Para 27'!I154</f>
        <v>184</v>
      </c>
      <c r="E84" s="103">
        <f>'Refer Para 27'!I155</f>
        <v>8</v>
      </c>
      <c r="F84" s="103">
        <f>'Refer Para 27'!I156</f>
        <v>243</v>
      </c>
      <c r="G84" s="103">
        <f>'Refer Para 27'!I157</f>
        <v>3</v>
      </c>
      <c r="H84" s="103">
        <f>'Refer Para 27'!I158</f>
        <v>4</v>
      </c>
      <c r="I84" s="103">
        <f>'Refer Para 27'!I159</f>
        <v>2</v>
      </c>
      <c r="J84" s="103">
        <f>'Refer Para 27'!I160</f>
        <v>2</v>
      </c>
      <c r="K84" s="78">
        <f t="shared" si="2"/>
        <v>623</v>
      </c>
      <c r="L84" s="103">
        <v>0</v>
      </c>
      <c r="M84" s="103">
        <f>'Refer Para 27'!I161</f>
        <v>2</v>
      </c>
      <c r="N84" s="78">
        <f t="shared" si="3"/>
        <v>625</v>
      </c>
      <c r="O84" s="103">
        <v>0</v>
      </c>
    </row>
    <row r="85" spans="2:15" ht="15.75">
      <c r="B85" s="78">
        <v>78</v>
      </c>
      <c r="C85" s="103">
        <f>'Refer Para 27'!J153</f>
        <v>99</v>
      </c>
      <c r="D85" s="103">
        <f>'Refer Para 27'!J154</f>
        <v>278</v>
      </c>
      <c r="E85" s="103">
        <f>'Refer Para 27'!J155</f>
        <v>14</v>
      </c>
      <c r="F85" s="103">
        <f>'Refer Para 27'!J156</f>
        <v>73</v>
      </c>
      <c r="G85" s="103">
        <f>'Refer Para 27'!J157</f>
        <v>2</v>
      </c>
      <c r="H85" s="103">
        <f>'Refer Para 27'!J158</f>
        <v>2</v>
      </c>
      <c r="I85" s="103">
        <f>'Refer Para 27'!J159</f>
        <v>3</v>
      </c>
      <c r="J85" s="103">
        <f>'Refer Para 27'!J160</f>
        <v>1</v>
      </c>
      <c r="K85" s="78">
        <f t="shared" si="2"/>
        <v>472</v>
      </c>
      <c r="L85" s="103">
        <v>0</v>
      </c>
      <c r="M85" s="103">
        <f>'Refer Para 27'!J161</f>
        <v>1</v>
      </c>
      <c r="N85" s="78">
        <f t="shared" si="3"/>
        <v>473</v>
      </c>
      <c r="O85" s="103">
        <v>0</v>
      </c>
    </row>
    <row r="86" spans="2:15" ht="15.75">
      <c r="B86" s="78">
        <v>79</v>
      </c>
      <c r="C86" s="103">
        <f>'Refer Para 27'!K153</f>
        <v>89</v>
      </c>
      <c r="D86" s="103">
        <f>'Refer Para 27'!K154</f>
        <v>157</v>
      </c>
      <c r="E86" s="103">
        <f>'Refer Para 27'!K155</f>
        <v>19</v>
      </c>
      <c r="F86" s="103">
        <f>'Refer Para 27'!K156</f>
        <v>174</v>
      </c>
      <c r="G86" s="103">
        <f>'Refer Para 27'!K157</f>
        <v>2</v>
      </c>
      <c r="H86" s="103">
        <f>'Refer Para 27'!K158</f>
        <v>2</v>
      </c>
      <c r="I86" s="103">
        <f>'Refer Para 27'!K159</f>
        <v>7</v>
      </c>
      <c r="J86" s="103">
        <f>'Refer Para 27'!K160</f>
        <v>1</v>
      </c>
      <c r="K86" s="78">
        <f t="shared" si="2"/>
        <v>451</v>
      </c>
      <c r="L86" s="103">
        <v>0</v>
      </c>
      <c r="M86" s="103">
        <f>'Refer Para 27'!K161</f>
        <v>0</v>
      </c>
      <c r="N86" s="78">
        <f t="shared" si="3"/>
        <v>451</v>
      </c>
      <c r="O86" s="103">
        <v>0</v>
      </c>
    </row>
    <row r="87" spans="2:15" ht="15.75">
      <c r="B87" s="78">
        <v>80</v>
      </c>
      <c r="C87" s="103">
        <f>'Refer Para 27'!L153</f>
        <v>161</v>
      </c>
      <c r="D87" s="103">
        <f>'Refer Para 27'!L154</f>
        <v>288</v>
      </c>
      <c r="E87" s="103">
        <f>'Refer Para 27'!L155</f>
        <v>16</v>
      </c>
      <c r="F87" s="103">
        <f>'Refer Para 27'!L156</f>
        <v>25</v>
      </c>
      <c r="G87" s="103">
        <f>'Refer Para 27'!L157</f>
        <v>0</v>
      </c>
      <c r="H87" s="103">
        <f>'Refer Para 27'!L158</f>
        <v>2</v>
      </c>
      <c r="I87" s="103">
        <f>'Refer Para 27'!L159</f>
        <v>0</v>
      </c>
      <c r="J87" s="103">
        <f>'Refer Para 27'!L160</f>
        <v>1</v>
      </c>
      <c r="K87" s="78">
        <f t="shared" si="2"/>
        <v>493</v>
      </c>
      <c r="L87" s="103">
        <v>0</v>
      </c>
      <c r="M87" s="103">
        <f>'Refer Para 27'!L161</f>
        <v>0</v>
      </c>
      <c r="N87" s="78">
        <f t="shared" si="3"/>
        <v>493</v>
      </c>
      <c r="O87" s="103">
        <v>0</v>
      </c>
    </row>
    <row r="88" spans="2:15" ht="15.75">
      <c r="B88" s="78">
        <v>81</v>
      </c>
      <c r="C88" s="103">
        <f>'Refer Para 27'!M153</f>
        <v>97</v>
      </c>
      <c r="D88" s="103">
        <f>'Refer Para 27'!M154</f>
        <v>180</v>
      </c>
      <c r="E88" s="103">
        <f>'Refer Para 27'!M155</f>
        <v>5</v>
      </c>
      <c r="F88" s="103">
        <f>'Refer Para 27'!M156</f>
        <v>186</v>
      </c>
      <c r="G88" s="103">
        <f>'Refer Para 27'!M157</f>
        <v>2</v>
      </c>
      <c r="H88" s="103">
        <f>'Refer Para 27'!M158</f>
        <v>1</v>
      </c>
      <c r="I88" s="103">
        <f>'Refer Para 27'!M159</f>
        <v>0</v>
      </c>
      <c r="J88" s="103">
        <f>'Refer Para 27'!M160</f>
        <v>1</v>
      </c>
      <c r="K88" s="78">
        <f t="shared" si="2"/>
        <v>472</v>
      </c>
      <c r="L88" s="103">
        <v>0</v>
      </c>
      <c r="M88" s="103">
        <f>'Refer Para 27'!M161</f>
        <v>2</v>
      </c>
      <c r="N88" s="78">
        <f t="shared" si="3"/>
        <v>474</v>
      </c>
      <c r="O88" s="103">
        <v>0</v>
      </c>
    </row>
    <row r="89" spans="2:15" ht="15.75">
      <c r="B89" s="78">
        <v>82</v>
      </c>
      <c r="C89" s="103">
        <f>'Refer Para 27'!N153</f>
        <v>14</v>
      </c>
      <c r="D89" s="103">
        <f>'Refer Para 27'!N154</f>
        <v>549</v>
      </c>
      <c r="E89" s="103">
        <f>'Refer Para 27'!N155</f>
        <v>19</v>
      </c>
      <c r="F89" s="103">
        <f>'Refer Para 27'!N156</f>
        <v>44</v>
      </c>
      <c r="G89" s="103">
        <f>'Refer Para 27'!N157</f>
        <v>2</v>
      </c>
      <c r="H89" s="103">
        <f>'Refer Para 27'!N158</f>
        <v>1</v>
      </c>
      <c r="I89" s="103">
        <f>'Refer Para 27'!N159</f>
        <v>5</v>
      </c>
      <c r="J89" s="103">
        <f>'Refer Para 27'!N160</f>
        <v>1</v>
      </c>
      <c r="K89" s="78">
        <f t="shared" si="2"/>
        <v>635</v>
      </c>
      <c r="L89" s="103">
        <v>0</v>
      </c>
      <c r="M89" s="103">
        <f>'Refer Para 27'!N161</f>
        <v>6</v>
      </c>
      <c r="N89" s="78">
        <f t="shared" si="3"/>
        <v>641</v>
      </c>
      <c r="O89" s="103">
        <v>0</v>
      </c>
    </row>
    <row r="90" spans="2:15" ht="15.75">
      <c r="B90" s="78">
        <v>83</v>
      </c>
      <c r="C90" s="103">
        <f>'Refer Para 27'!O153</f>
        <v>178</v>
      </c>
      <c r="D90" s="103">
        <f>'Refer Para 27'!O154</f>
        <v>460</v>
      </c>
      <c r="E90" s="103">
        <f>'Refer Para 27'!O155</f>
        <v>23</v>
      </c>
      <c r="F90" s="103">
        <f>'Refer Para 27'!O156</f>
        <v>46</v>
      </c>
      <c r="G90" s="103">
        <f>'Refer Para 27'!O157</f>
        <v>1</v>
      </c>
      <c r="H90" s="103">
        <f>'Refer Para 27'!O158</f>
        <v>4</v>
      </c>
      <c r="I90" s="103">
        <f>'Refer Para 27'!O159</f>
        <v>0</v>
      </c>
      <c r="J90" s="103">
        <f>'Refer Para 27'!O160</f>
        <v>1</v>
      </c>
      <c r="K90" s="78">
        <f t="shared" si="2"/>
        <v>713</v>
      </c>
      <c r="L90" s="103">
        <v>0</v>
      </c>
      <c r="M90" s="103">
        <f>'Refer Para 27'!O161</f>
        <v>0</v>
      </c>
      <c r="N90" s="78">
        <f t="shared" si="3"/>
        <v>713</v>
      </c>
      <c r="O90" s="103">
        <v>0</v>
      </c>
    </row>
    <row r="91" spans="2:15" ht="15.75">
      <c r="B91" s="78">
        <v>84</v>
      </c>
      <c r="C91" s="103">
        <f>'Refer Para 27'!P153</f>
        <v>18</v>
      </c>
      <c r="D91" s="103">
        <f>'Refer Para 27'!P154</f>
        <v>239</v>
      </c>
      <c r="E91" s="103">
        <f>'Refer Para 27'!P155</f>
        <v>3</v>
      </c>
      <c r="F91" s="103">
        <f>'Refer Para 27'!P156</f>
        <v>455</v>
      </c>
      <c r="G91" s="103">
        <f>'Refer Para 27'!P157</f>
        <v>4</v>
      </c>
      <c r="H91" s="103">
        <f>'Refer Para 27'!P158</f>
        <v>1</v>
      </c>
      <c r="I91" s="103">
        <f>'Refer Para 27'!P159</f>
        <v>10</v>
      </c>
      <c r="J91" s="103">
        <f>'Refer Para 27'!P160</f>
        <v>3</v>
      </c>
      <c r="K91" s="78">
        <f t="shared" si="2"/>
        <v>733</v>
      </c>
      <c r="L91" s="103">
        <v>0</v>
      </c>
      <c r="M91" s="103">
        <f>'Refer Para 27'!P161</f>
        <v>1</v>
      </c>
      <c r="N91" s="78">
        <f t="shared" si="3"/>
        <v>734</v>
      </c>
      <c r="O91" s="103">
        <v>0</v>
      </c>
    </row>
    <row r="92" spans="2:15" ht="15.75">
      <c r="B92" s="78">
        <v>85</v>
      </c>
      <c r="C92" s="103">
        <f>'Refer Para 27'!C182</f>
        <v>90</v>
      </c>
      <c r="D92" s="103">
        <f>'Refer Para 27'!C183</f>
        <v>273</v>
      </c>
      <c r="E92" s="103">
        <f>'Refer Para 27'!C184</f>
        <v>7</v>
      </c>
      <c r="F92" s="103">
        <f>'Refer Para 27'!C185</f>
        <v>74</v>
      </c>
      <c r="G92" s="103">
        <f>'Refer Para 27'!C186</f>
        <v>1</v>
      </c>
      <c r="H92" s="103">
        <f>'Refer Para 27'!C187</f>
        <v>1</v>
      </c>
      <c r="I92" s="103">
        <f>'Refer Para 27'!C188</f>
        <v>2</v>
      </c>
      <c r="J92" s="103">
        <f>'Refer Para 27'!C189</f>
        <v>5</v>
      </c>
      <c r="K92" s="78">
        <f t="shared" si="2"/>
        <v>453</v>
      </c>
      <c r="L92" s="103">
        <v>0</v>
      </c>
      <c r="M92" s="103">
        <f>'Refer Para 27'!C190</f>
        <v>4</v>
      </c>
      <c r="N92" s="78">
        <f t="shared" si="3"/>
        <v>457</v>
      </c>
      <c r="O92" s="103">
        <v>0</v>
      </c>
    </row>
    <row r="93" spans="2:15" ht="15.75">
      <c r="B93" s="78">
        <v>86</v>
      </c>
      <c r="C93" s="103">
        <f>'Refer Para 27'!D182</f>
        <v>44</v>
      </c>
      <c r="D93" s="103">
        <f>'Refer Para 27'!D183</f>
        <v>249</v>
      </c>
      <c r="E93" s="103">
        <f>'Refer Para 27'!D184</f>
        <v>7</v>
      </c>
      <c r="F93" s="103">
        <f>'Refer Para 27'!D185</f>
        <v>154</v>
      </c>
      <c r="G93" s="103">
        <f>'Refer Para 27'!D186</f>
        <v>0</v>
      </c>
      <c r="H93" s="103">
        <f>'Refer Para 27'!D187</f>
        <v>2</v>
      </c>
      <c r="I93" s="103">
        <f>'Refer Para 27'!D188</f>
        <v>3</v>
      </c>
      <c r="J93" s="103">
        <f>'Refer Para 27'!D189</f>
        <v>0</v>
      </c>
      <c r="K93" s="78">
        <f t="shared" si="2"/>
        <v>459</v>
      </c>
      <c r="L93" s="103">
        <v>0</v>
      </c>
      <c r="M93" s="103">
        <f>'Refer Para 27'!D190</f>
        <v>0</v>
      </c>
      <c r="N93" s="78">
        <f t="shared" si="3"/>
        <v>459</v>
      </c>
      <c r="O93" s="103">
        <v>0</v>
      </c>
    </row>
    <row r="94" spans="2:15" ht="15.75">
      <c r="B94" s="78">
        <v>87</v>
      </c>
      <c r="C94" s="103">
        <f>'Refer Para 27'!E182</f>
        <v>96</v>
      </c>
      <c r="D94" s="103">
        <f>'Refer Para 27'!E183</f>
        <v>417</v>
      </c>
      <c r="E94" s="103">
        <f>'Refer Para 27'!E184</f>
        <v>7</v>
      </c>
      <c r="F94" s="103">
        <f>'Refer Para 27'!E185</f>
        <v>5</v>
      </c>
      <c r="G94" s="103">
        <f>'Refer Para 27'!E186</f>
        <v>0</v>
      </c>
      <c r="H94" s="103">
        <f>'Refer Para 27'!E187</f>
        <v>1</v>
      </c>
      <c r="I94" s="103">
        <f>'Refer Para 27'!E188</f>
        <v>0</v>
      </c>
      <c r="J94" s="103">
        <f>'Refer Para 27'!E189</f>
        <v>1</v>
      </c>
      <c r="K94" s="78">
        <f t="shared" si="2"/>
        <v>527</v>
      </c>
      <c r="L94" s="103">
        <v>0</v>
      </c>
      <c r="M94" s="103">
        <f>'Refer Para 27'!E190</f>
        <v>6</v>
      </c>
      <c r="N94" s="78">
        <f t="shared" si="3"/>
        <v>533</v>
      </c>
      <c r="O94" s="103">
        <v>0</v>
      </c>
    </row>
    <row r="95" spans="2:15" ht="15.75">
      <c r="B95" s="78">
        <v>88</v>
      </c>
      <c r="C95" s="103">
        <f>'Refer Para 27'!F182</f>
        <v>63</v>
      </c>
      <c r="D95" s="103">
        <f>'Refer Para 27'!F183</f>
        <v>250</v>
      </c>
      <c r="E95" s="103">
        <f>'Refer Para 27'!F184</f>
        <v>4</v>
      </c>
      <c r="F95" s="103">
        <f>'Refer Para 27'!F185</f>
        <v>228</v>
      </c>
      <c r="G95" s="103">
        <f>'Refer Para 27'!F186</f>
        <v>3</v>
      </c>
      <c r="H95" s="103">
        <f>'Refer Para 27'!F187</f>
        <v>4</v>
      </c>
      <c r="I95" s="103">
        <f>'Refer Para 27'!F188</f>
        <v>5</v>
      </c>
      <c r="J95" s="103">
        <f>'Refer Para 27'!F189</f>
        <v>2</v>
      </c>
      <c r="K95" s="78">
        <f t="shared" si="2"/>
        <v>559</v>
      </c>
      <c r="L95" s="103">
        <v>0</v>
      </c>
      <c r="M95" s="103">
        <f>'Refer Para 27'!F190</f>
        <v>4</v>
      </c>
      <c r="N95" s="78">
        <f t="shared" si="3"/>
        <v>563</v>
      </c>
      <c r="O95" s="103">
        <v>0</v>
      </c>
    </row>
    <row r="96" spans="2:15" ht="15.75">
      <c r="B96" s="78">
        <v>89</v>
      </c>
      <c r="C96" s="103">
        <f>'Refer Para 27'!G182</f>
        <v>107</v>
      </c>
      <c r="D96" s="103">
        <f>'Refer Para 27'!G183</f>
        <v>440</v>
      </c>
      <c r="E96" s="103">
        <f>'Refer Para 27'!G184</f>
        <v>14</v>
      </c>
      <c r="F96" s="103">
        <f>'Refer Para 27'!G185</f>
        <v>30</v>
      </c>
      <c r="G96" s="103">
        <f>'Refer Para 27'!G186</f>
        <v>1</v>
      </c>
      <c r="H96" s="103">
        <f>'Refer Para 27'!G187</f>
        <v>0</v>
      </c>
      <c r="I96" s="103">
        <f>'Refer Para 27'!G188</f>
        <v>2</v>
      </c>
      <c r="J96" s="103">
        <f>'Refer Para 27'!G189</f>
        <v>6</v>
      </c>
      <c r="K96" s="78">
        <f t="shared" si="2"/>
        <v>600</v>
      </c>
      <c r="L96" s="103">
        <v>0</v>
      </c>
      <c r="M96" s="103">
        <f>'Refer Para 27'!G190</f>
        <v>2</v>
      </c>
      <c r="N96" s="78">
        <f t="shared" si="3"/>
        <v>602</v>
      </c>
      <c r="O96" s="103">
        <v>0</v>
      </c>
    </row>
    <row r="97" spans="2:15" ht="15.75">
      <c r="B97" s="78">
        <v>90</v>
      </c>
      <c r="C97" s="103">
        <f>'Refer Para 27'!H182</f>
        <v>66</v>
      </c>
      <c r="D97" s="103">
        <f>'Refer Para 27'!H183</f>
        <v>184</v>
      </c>
      <c r="E97" s="103">
        <f>'Refer Para 27'!H184</f>
        <v>4</v>
      </c>
      <c r="F97" s="103">
        <f>'Refer Para 27'!H185</f>
        <v>194</v>
      </c>
      <c r="G97" s="103">
        <f>'Refer Para 27'!H186</f>
        <v>5</v>
      </c>
      <c r="H97" s="103">
        <f>'Refer Para 27'!H187</f>
        <v>7</v>
      </c>
      <c r="I97" s="103">
        <f>'Refer Para 27'!H188</f>
        <v>4</v>
      </c>
      <c r="J97" s="103">
        <f>'Refer Para 27'!H189</f>
        <v>4</v>
      </c>
      <c r="K97" s="78">
        <f t="shared" si="2"/>
        <v>468</v>
      </c>
      <c r="L97" s="103">
        <v>0</v>
      </c>
      <c r="M97" s="103">
        <f>'Refer Para 27'!H190</f>
        <v>3</v>
      </c>
      <c r="N97" s="78">
        <f t="shared" si="3"/>
        <v>471</v>
      </c>
      <c r="O97" s="103">
        <v>0</v>
      </c>
    </row>
    <row r="98" spans="2:15" ht="15.75">
      <c r="B98" s="78">
        <v>91</v>
      </c>
      <c r="C98" s="103">
        <f>'Refer Para 27'!I182</f>
        <v>36</v>
      </c>
      <c r="D98" s="103">
        <f>'Refer Para 27'!I183</f>
        <v>443</v>
      </c>
      <c r="E98" s="103">
        <f>'Refer Para 27'!I184</f>
        <v>2</v>
      </c>
      <c r="F98" s="103">
        <f>'Refer Para 27'!I185</f>
        <v>25</v>
      </c>
      <c r="G98" s="103">
        <f>'Refer Para 27'!I186</f>
        <v>1</v>
      </c>
      <c r="H98" s="103">
        <f>'Refer Para 27'!I187</f>
        <v>2</v>
      </c>
      <c r="I98" s="103">
        <f>'Refer Para 27'!I188</f>
        <v>1</v>
      </c>
      <c r="J98" s="103">
        <f>'Refer Para 27'!I189</f>
        <v>4</v>
      </c>
      <c r="K98" s="78">
        <f t="shared" si="2"/>
        <v>514</v>
      </c>
      <c r="L98" s="103">
        <v>0</v>
      </c>
      <c r="M98" s="103">
        <f>'Refer Para 27'!I190</f>
        <v>2</v>
      </c>
      <c r="N98" s="78">
        <f t="shared" si="3"/>
        <v>516</v>
      </c>
      <c r="O98" s="103">
        <v>0</v>
      </c>
    </row>
    <row r="99" spans="2:15" ht="15.75">
      <c r="B99" s="78">
        <v>92</v>
      </c>
      <c r="C99" s="103">
        <f>'Refer Para 27'!J182</f>
        <v>113</v>
      </c>
      <c r="D99" s="103">
        <f>'Refer Para 27'!J183</f>
        <v>466</v>
      </c>
      <c r="E99" s="103">
        <f>'Refer Para 27'!J184</f>
        <v>4</v>
      </c>
      <c r="F99" s="103">
        <f>'Refer Para 27'!J185</f>
        <v>1</v>
      </c>
      <c r="G99" s="103">
        <f>'Refer Para 27'!J186</f>
        <v>3</v>
      </c>
      <c r="H99" s="103">
        <f>'Refer Para 27'!J187</f>
        <v>2</v>
      </c>
      <c r="I99" s="103">
        <f>'Refer Para 27'!J188</f>
        <v>0</v>
      </c>
      <c r="J99" s="103">
        <f>'Refer Para 27'!J189</f>
        <v>3</v>
      </c>
      <c r="K99" s="78">
        <f t="shared" si="2"/>
        <v>592</v>
      </c>
      <c r="L99" s="103">
        <v>0</v>
      </c>
      <c r="M99" s="103">
        <f>'Refer Para 27'!J190</f>
        <v>1</v>
      </c>
      <c r="N99" s="78">
        <f t="shared" si="3"/>
        <v>593</v>
      </c>
      <c r="O99" s="103">
        <v>0</v>
      </c>
    </row>
    <row r="100" spans="2:15" ht="15.75">
      <c r="B100" s="78">
        <v>93</v>
      </c>
      <c r="C100" s="103">
        <f>'Refer Para 27'!K182</f>
        <v>333</v>
      </c>
      <c r="D100" s="103">
        <f>'Refer Para 27'!K183</f>
        <v>312</v>
      </c>
      <c r="E100" s="103">
        <f>'Refer Para 27'!K184</f>
        <v>2</v>
      </c>
      <c r="F100" s="103">
        <f>'Refer Para 27'!K185</f>
        <v>3</v>
      </c>
      <c r="G100" s="103">
        <f>'Refer Para 27'!K186</f>
        <v>0</v>
      </c>
      <c r="H100" s="103">
        <f>'Refer Para 27'!K187</f>
        <v>1</v>
      </c>
      <c r="I100" s="103">
        <f>'Refer Para 27'!K188</f>
        <v>0</v>
      </c>
      <c r="J100" s="103">
        <f>'Refer Para 27'!K189</f>
        <v>0</v>
      </c>
      <c r="K100" s="78">
        <f t="shared" si="2"/>
        <v>651</v>
      </c>
      <c r="L100" s="103">
        <v>0</v>
      </c>
      <c r="M100" s="103">
        <f>'Refer Para 27'!K190</f>
        <v>7</v>
      </c>
      <c r="N100" s="78">
        <f t="shared" si="3"/>
        <v>658</v>
      </c>
      <c r="O100" s="103">
        <v>0</v>
      </c>
    </row>
    <row r="101" spans="2:15" ht="15.75">
      <c r="B101" s="78">
        <v>94</v>
      </c>
      <c r="C101" s="103">
        <f>'Refer Para 27'!L182</f>
        <v>181</v>
      </c>
      <c r="D101" s="103">
        <f>'Refer Para 27'!L183</f>
        <v>360</v>
      </c>
      <c r="E101" s="103">
        <f>'Refer Para 27'!L184</f>
        <v>25</v>
      </c>
      <c r="F101" s="103">
        <f>'Refer Para 27'!L185</f>
        <v>4</v>
      </c>
      <c r="G101" s="103">
        <f>'Refer Para 27'!L186</f>
        <v>1</v>
      </c>
      <c r="H101" s="103">
        <f>'Refer Para 27'!L187</f>
        <v>3</v>
      </c>
      <c r="I101" s="103">
        <f>'Refer Para 27'!L188</f>
        <v>2</v>
      </c>
      <c r="J101" s="103">
        <f>'Refer Para 27'!L189</f>
        <v>2</v>
      </c>
      <c r="K101" s="78">
        <f t="shared" si="2"/>
        <v>578</v>
      </c>
      <c r="L101" s="103">
        <v>0</v>
      </c>
      <c r="M101" s="103">
        <f>'Refer Para 27'!L190</f>
        <v>4</v>
      </c>
      <c r="N101" s="78">
        <f t="shared" si="3"/>
        <v>582</v>
      </c>
      <c r="O101" s="103">
        <v>0</v>
      </c>
    </row>
    <row r="102" spans="2:15" ht="15.75">
      <c r="B102" s="78">
        <v>95</v>
      </c>
      <c r="C102" s="103">
        <f>'Refer Para 27'!M182</f>
        <v>35</v>
      </c>
      <c r="D102" s="103">
        <f>'Refer Para 27'!M183</f>
        <v>474</v>
      </c>
      <c r="E102" s="103">
        <f>'Refer Para 27'!M184</f>
        <v>5</v>
      </c>
      <c r="F102" s="103">
        <f>'Refer Para 27'!M185</f>
        <v>164</v>
      </c>
      <c r="G102" s="103">
        <f>'Refer Para 27'!M186</f>
        <v>3</v>
      </c>
      <c r="H102" s="103">
        <f>'Refer Para 27'!M187</f>
        <v>3</v>
      </c>
      <c r="I102" s="103">
        <f>'Refer Para 27'!M188</f>
        <v>4</v>
      </c>
      <c r="J102" s="103">
        <f>'Refer Para 27'!M189</f>
        <v>5</v>
      </c>
      <c r="K102" s="78">
        <f t="shared" si="2"/>
        <v>693</v>
      </c>
      <c r="L102" s="103">
        <v>0</v>
      </c>
      <c r="M102" s="103">
        <f>'Refer Para 27'!M190</f>
        <v>2</v>
      </c>
      <c r="N102" s="78">
        <f t="shared" si="3"/>
        <v>695</v>
      </c>
      <c r="O102" s="103">
        <v>0</v>
      </c>
    </row>
    <row r="103" spans="2:15" ht="15.75">
      <c r="B103" s="78">
        <v>96</v>
      </c>
      <c r="C103" s="103">
        <f>'Refer Para 27'!N182</f>
        <v>6</v>
      </c>
      <c r="D103" s="103">
        <f>'Refer Para 27'!N183</f>
        <v>526</v>
      </c>
      <c r="E103" s="103">
        <f>'Refer Para 27'!N184</f>
        <v>6</v>
      </c>
      <c r="F103" s="103">
        <f>'Refer Para 27'!N185</f>
        <v>118</v>
      </c>
      <c r="G103" s="103">
        <f>'Refer Para 27'!N186</f>
        <v>0</v>
      </c>
      <c r="H103" s="103">
        <f>'Refer Para 27'!N187</f>
        <v>2</v>
      </c>
      <c r="I103" s="103">
        <f>'Refer Para 27'!N188</f>
        <v>5</v>
      </c>
      <c r="J103" s="103">
        <f>'Refer Para 27'!N189</f>
        <v>6</v>
      </c>
      <c r="K103" s="78">
        <f t="shared" si="2"/>
        <v>669</v>
      </c>
      <c r="L103" s="103">
        <v>0</v>
      </c>
      <c r="M103" s="103">
        <f>'Refer Para 27'!N190</f>
        <v>5</v>
      </c>
      <c r="N103" s="78">
        <f t="shared" si="3"/>
        <v>674</v>
      </c>
      <c r="O103" s="103">
        <v>0</v>
      </c>
    </row>
    <row r="104" spans="2:15" ht="15.75">
      <c r="B104" s="78">
        <v>97</v>
      </c>
      <c r="C104" s="103">
        <f>'Refer Para 27'!O182</f>
        <v>116</v>
      </c>
      <c r="D104" s="103">
        <f>'Refer Para 27'!O183</f>
        <v>186</v>
      </c>
      <c r="E104" s="103">
        <f>'Refer Para 27'!O184</f>
        <v>3</v>
      </c>
      <c r="F104" s="103">
        <f>'Refer Para 27'!O185</f>
        <v>12</v>
      </c>
      <c r="G104" s="103">
        <f>'Refer Para 27'!O186</f>
        <v>0</v>
      </c>
      <c r="H104" s="103">
        <f>'Refer Para 27'!O187</f>
        <v>0</v>
      </c>
      <c r="I104" s="103">
        <f>'Refer Para 27'!O188</f>
        <v>1</v>
      </c>
      <c r="J104" s="103">
        <f>'Refer Para 27'!O189</f>
        <v>4</v>
      </c>
      <c r="K104" s="78">
        <f t="shared" si="2"/>
        <v>322</v>
      </c>
      <c r="L104" s="103">
        <v>0</v>
      </c>
      <c r="M104" s="103">
        <f>'Refer Para 27'!O190</f>
        <v>1</v>
      </c>
      <c r="N104" s="78">
        <f t="shared" si="3"/>
        <v>323</v>
      </c>
      <c r="O104" s="103">
        <v>0</v>
      </c>
    </row>
    <row r="105" spans="2:15" ht="15.75">
      <c r="B105" s="78">
        <v>98</v>
      </c>
      <c r="C105" s="103">
        <f>'Refer Para 27'!P182</f>
        <v>141</v>
      </c>
      <c r="D105" s="103">
        <f>'Refer Para 27'!P183</f>
        <v>532</v>
      </c>
      <c r="E105" s="103">
        <f>'Refer Para 27'!P184</f>
        <v>11</v>
      </c>
      <c r="F105" s="103">
        <f>'Refer Para 27'!P185</f>
        <v>25</v>
      </c>
      <c r="G105" s="103">
        <f>'Refer Para 27'!P186</f>
        <v>2</v>
      </c>
      <c r="H105" s="103">
        <f>'Refer Para 27'!P187</f>
        <v>1</v>
      </c>
      <c r="I105" s="103">
        <f>'Refer Para 27'!P188</f>
        <v>0</v>
      </c>
      <c r="J105" s="103">
        <f>'Refer Para 27'!P189</f>
        <v>0</v>
      </c>
      <c r="K105" s="78">
        <f t="shared" si="2"/>
        <v>712</v>
      </c>
      <c r="L105" s="103">
        <v>0</v>
      </c>
      <c r="M105" s="103">
        <f>'Refer Para 27'!P190</f>
        <v>2</v>
      </c>
      <c r="N105" s="78">
        <f t="shared" si="3"/>
        <v>714</v>
      </c>
      <c r="O105" s="103">
        <v>0</v>
      </c>
    </row>
    <row r="106" spans="2:15" ht="15.75">
      <c r="B106" s="78">
        <v>99</v>
      </c>
      <c r="C106" s="103">
        <f>'Refer Para 27'!C211</f>
        <v>105</v>
      </c>
      <c r="D106" s="103">
        <f>'Refer Para 27'!C212</f>
        <v>229</v>
      </c>
      <c r="E106" s="103">
        <f>'Refer Para 27'!C213</f>
        <v>5</v>
      </c>
      <c r="F106" s="103">
        <f>'Refer Para 27'!C214</f>
        <v>104</v>
      </c>
      <c r="G106" s="103">
        <f>'Refer Para 27'!C215</f>
        <v>1</v>
      </c>
      <c r="H106" s="103">
        <f>'Refer Para 27'!C216</f>
        <v>1</v>
      </c>
      <c r="I106" s="103">
        <f>'Refer Para 27'!C217</f>
        <v>1</v>
      </c>
      <c r="J106" s="103">
        <f>'Refer Para 27'!C218</f>
        <v>0</v>
      </c>
      <c r="K106" s="78">
        <f t="shared" si="2"/>
        <v>446</v>
      </c>
      <c r="L106" s="103">
        <v>0</v>
      </c>
      <c r="M106" s="103">
        <f>'Refer Para 27'!C219</f>
        <v>0</v>
      </c>
      <c r="N106" s="78">
        <f t="shared" si="3"/>
        <v>446</v>
      </c>
      <c r="O106" s="103">
        <v>0</v>
      </c>
    </row>
    <row r="107" spans="2:15" ht="15.75">
      <c r="B107" s="78">
        <v>100</v>
      </c>
      <c r="C107" s="103">
        <f>'Refer Para 27'!D211</f>
        <v>46</v>
      </c>
      <c r="D107" s="103">
        <f>'Refer Para 27'!D212</f>
        <v>766</v>
      </c>
      <c r="E107" s="103">
        <f>'Refer Para 27'!D213</f>
        <v>5</v>
      </c>
      <c r="F107" s="103">
        <f>'Refer Para 27'!D214</f>
        <v>27</v>
      </c>
      <c r="G107" s="103">
        <f>'Refer Para 27'!D215</f>
        <v>0</v>
      </c>
      <c r="H107" s="103">
        <f>'Refer Para 27'!D216</f>
        <v>3</v>
      </c>
      <c r="I107" s="103">
        <f>'Refer Para 27'!D217</f>
        <v>3</v>
      </c>
      <c r="J107" s="103">
        <f>'Refer Para 27'!D218</f>
        <v>10</v>
      </c>
      <c r="K107" s="78">
        <f t="shared" si="2"/>
        <v>860</v>
      </c>
      <c r="L107" s="103">
        <v>0</v>
      </c>
      <c r="M107" s="103">
        <f>'Refer Para 27'!D219</f>
        <v>1</v>
      </c>
      <c r="N107" s="78">
        <f t="shared" si="3"/>
        <v>861</v>
      </c>
      <c r="O107" s="103">
        <v>0</v>
      </c>
    </row>
    <row r="108" spans="2:15" ht="15.75">
      <c r="B108" s="78">
        <v>101</v>
      </c>
      <c r="C108" s="103">
        <f>'Refer Para 27'!E211</f>
        <v>148</v>
      </c>
      <c r="D108" s="103">
        <f>'Refer Para 27'!E212</f>
        <v>451</v>
      </c>
      <c r="E108" s="103">
        <f>'Refer Para 27'!E213</f>
        <v>6</v>
      </c>
      <c r="F108" s="103">
        <f>'Refer Para 27'!E214</f>
        <v>148</v>
      </c>
      <c r="G108" s="103">
        <f>'Refer Para 27'!E215</f>
        <v>3</v>
      </c>
      <c r="H108" s="103">
        <f>'Refer Para 27'!E216</f>
        <v>5</v>
      </c>
      <c r="I108" s="103">
        <f>'Refer Para 27'!E217</f>
        <v>2</v>
      </c>
      <c r="J108" s="103">
        <f>'Refer Para 27'!E218</f>
        <v>4</v>
      </c>
      <c r="K108" s="78">
        <f t="shared" si="2"/>
        <v>767</v>
      </c>
      <c r="L108" s="103">
        <v>0</v>
      </c>
      <c r="M108" s="103">
        <f>'Refer Para 27'!E219</f>
        <v>11</v>
      </c>
      <c r="N108" s="78">
        <f t="shared" si="3"/>
        <v>778</v>
      </c>
      <c r="O108" s="103">
        <v>0</v>
      </c>
    </row>
    <row r="109" spans="2:15" ht="15.75">
      <c r="B109" s="78">
        <v>102</v>
      </c>
      <c r="C109" s="103">
        <f>'Refer Para 27'!F211</f>
        <v>16</v>
      </c>
      <c r="D109" s="103">
        <f>'Refer Para 27'!F212</f>
        <v>472</v>
      </c>
      <c r="E109" s="103">
        <f>'Refer Para 27'!F213</f>
        <v>2</v>
      </c>
      <c r="F109" s="103">
        <f>'Refer Para 27'!F214</f>
        <v>229</v>
      </c>
      <c r="G109" s="103">
        <f>'Refer Para 27'!F215</f>
        <v>1</v>
      </c>
      <c r="H109" s="103">
        <f>'Refer Para 27'!F216</f>
        <v>1</v>
      </c>
      <c r="I109" s="103">
        <f>'Refer Para 27'!F217</f>
        <v>1</v>
      </c>
      <c r="J109" s="103">
        <f>'Refer Para 27'!F218</f>
        <v>2</v>
      </c>
      <c r="K109" s="78">
        <f t="shared" si="2"/>
        <v>724</v>
      </c>
      <c r="L109" s="103">
        <v>0</v>
      </c>
      <c r="M109" s="103">
        <f>'Refer Para 27'!F219</f>
        <v>2</v>
      </c>
      <c r="N109" s="78">
        <f t="shared" si="3"/>
        <v>726</v>
      </c>
      <c r="O109" s="103">
        <v>0</v>
      </c>
    </row>
    <row r="110" spans="2:15" ht="15.75">
      <c r="B110" s="78">
        <v>103</v>
      </c>
      <c r="C110" s="103">
        <f>'Refer Para 27'!G211</f>
        <v>245</v>
      </c>
      <c r="D110" s="103">
        <f>'Refer Para 27'!G212</f>
        <v>426</v>
      </c>
      <c r="E110" s="103">
        <f>'Refer Para 27'!G213</f>
        <v>7</v>
      </c>
      <c r="F110" s="103">
        <f>'Refer Para 27'!G214</f>
        <v>44</v>
      </c>
      <c r="G110" s="103">
        <f>'Refer Para 27'!G215</f>
        <v>0</v>
      </c>
      <c r="H110" s="103">
        <f>'Refer Para 27'!G216</f>
        <v>2</v>
      </c>
      <c r="I110" s="103">
        <f>'Refer Para 27'!G217</f>
        <v>1</v>
      </c>
      <c r="J110" s="103">
        <f>'Refer Para 27'!G218</f>
        <v>1</v>
      </c>
      <c r="K110" s="78">
        <f t="shared" si="2"/>
        <v>726</v>
      </c>
      <c r="L110" s="103">
        <v>0</v>
      </c>
      <c r="M110" s="103">
        <f>'Refer Para 27'!G219</f>
        <v>5</v>
      </c>
      <c r="N110" s="78">
        <f t="shared" si="3"/>
        <v>731</v>
      </c>
      <c r="O110" s="103">
        <v>0</v>
      </c>
    </row>
    <row r="111" spans="2:15" ht="15.75">
      <c r="B111" s="78">
        <v>104</v>
      </c>
      <c r="C111" s="103">
        <f>'Refer Para 27'!H211</f>
        <v>136</v>
      </c>
      <c r="D111" s="103">
        <f>'Refer Para 27'!H212</f>
        <v>568</v>
      </c>
      <c r="E111" s="103">
        <f>'Refer Para 27'!H213</f>
        <v>6</v>
      </c>
      <c r="F111" s="103">
        <f>'Refer Para 27'!H214</f>
        <v>50</v>
      </c>
      <c r="G111" s="103">
        <f>'Refer Para 27'!H215</f>
        <v>1</v>
      </c>
      <c r="H111" s="103">
        <f>'Refer Para 27'!H216</f>
        <v>3</v>
      </c>
      <c r="I111" s="103">
        <f>'Refer Para 27'!H217</f>
        <v>1</v>
      </c>
      <c r="J111" s="103">
        <f>'Refer Para 27'!H218</f>
        <v>2</v>
      </c>
      <c r="K111" s="78">
        <f t="shared" si="2"/>
        <v>767</v>
      </c>
      <c r="L111" s="103">
        <v>0</v>
      </c>
      <c r="M111" s="103">
        <f>'Refer Para 27'!H219</f>
        <v>2</v>
      </c>
      <c r="N111" s="78">
        <f t="shared" si="3"/>
        <v>769</v>
      </c>
      <c r="O111" s="103">
        <v>0</v>
      </c>
    </row>
    <row r="112" spans="2:15" ht="15.75">
      <c r="B112" s="78">
        <v>105</v>
      </c>
      <c r="C112" s="103">
        <f>'Refer Para 27'!I211</f>
        <v>74</v>
      </c>
      <c r="D112" s="103">
        <f>'Refer Para 27'!I212</f>
        <v>528</v>
      </c>
      <c r="E112" s="103">
        <f>'Refer Para 27'!I213</f>
        <v>1</v>
      </c>
      <c r="F112" s="103">
        <f>'Refer Para 27'!I214</f>
        <v>30</v>
      </c>
      <c r="G112" s="103">
        <f>'Refer Para 27'!I215</f>
        <v>0</v>
      </c>
      <c r="H112" s="103">
        <f>'Refer Para 27'!I216</f>
        <v>5</v>
      </c>
      <c r="I112" s="103">
        <f>'Refer Para 27'!I217</f>
        <v>0</v>
      </c>
      <c r="J112" s="103">
        <f>'Refer Para 27'!I218</f>
        <v>0</v>
      </c>
      <c r="K112" s="78">
        <f t="shared" si="2"/>
        <v>638</v>
      </c>
      <c r="L112" s="103">
        <v>0</v>
      </c>
      <c r="M112" s="103">
        <f>'Refer Para 27'!I219</f>
        <v>0</v>
      </c>
      <c r="N112" s="78">
        <f t="shared" si="3"/>
        <v>638</v>
      </c>
      <c r="O112" s="103">
        <v>0</v>
      </c>
    </row>
    <row r="113" spans="2:15" ht="15.75">
      <c r="B113" s="78">
        <v>106</v>
      </c>
      <c r="C113" s="103">
        <f>'Refer Para 27'!J211</f>
        <v>65</v>
      </c>
      <c r="D113" s="103">
        <f>'Refer Para 27'!J212</f>
        <v>326</v>
      </c>
      <c r="E113" s="103">
        <f>'Refer Para 27'!J213</f>
        <v>3</v>
      </c>
      <c r="F113" s="103">
        <f>'Refer Para 27'!J214</f>
        <v>157</v>
      </c>
      <c r="G113" s="103">
        <f>'Refer Para 27'!J215</f>
        <v>4</v>
      </c>
      <c r="H113" s="103">
        <f>'Refer Para 27'!J216</f>
        <v>2</v>
      </c>
      <c r="I113" s="103">
        <f>'Refer Para 27'!J217</f>
        <v>0</v>
      </c>
      <c r="J113" s="103">
        <f>'Refer Para 27'!J218</f>
        <v>0</v>
      </c>
      <c r="K113" s="78">
        <f t="shared" si="2"/>
        <v>557</v>
      </c>
      <c r="L113" s="103">
        <v>0</v>
      </c>
      <c r="M113" s="103">
        <f>'Refer Para 27'!J219</f>
        <v>1</v>
      </c>
      <c r="N113" s="78">
        <f t="shared" si="3"/>
        <v>558</v>
      </c>
      <c r="O113" s="103">
        <v>0</v>
      </c>
    </row>
    <row r="114" spans="2:15" ht="15.75">
      <c r="B114" s="78">
        <v>107</v>
      </c>
      <c r="C114" s="103">
        <f>'Refer Para 27'!K211</f>
        <v>75</v>
      </c>
      <c r="D114" s="103">
        <f>'Refer Para 27'!K212</f>
        <v>301</v>
      </c>
      <c r="E114" s="103">
        <f>'Refer Para 27'!K213</f>
        <v>9</v>
      </c>
      <c r="F114" s="103">
        <f>'Refer Para 27'!K214</f>
        <v>168</v>
      </c>
      <c r="G114" s="103">
        <f>'Refer Para 27'!K215</f>
        <v>2</v>
      </c>
      <c r="H114" s="103">
        <f>'Refer Para 27'!K216</f>
        <v>5</v>
      </c>
      <c r="I114" s="103">
        <f>'Refer Para 27'!K217</f>
        <v>1</v>
      </c>
      <c r="J114" s="103">
        <f>'Refer Para 27'!K218</f>
        <v>0</v>
      </c>
      <c r="K114" s="78">
        <f t="shared" si="2"/>
        <v>561</v>
      </c>
      <c r="L114" s="103">
        <v>0</v>
      </c>
      <c r="M114" s="103">
        <f>'Refer Para 27'!K219</f>
        <v>1</v>
      </c>
      <c r="N114" s="78">
        <f t="shared" si="3"/>
        <v>562</v>
      </c>
      <c r="O114" s="103">
        <v>0</v>
      </c>
    </row>
    <row r="115" spans="2:15" ht="15.75">
      <c r="B115" s="78">
        <v>108</v>
      </c>
      <c r="C115" s="103">
        <f>'Refer Para 27'!L211</f>
        <v>79</v>
      </c>
      <c r="D115" s="103">
        <f>'Refer Para 27'!L212</f>
        <v>166</v>
      </c>
      <c r="E115" s="103">
        <f>'Refer Para 27'!L213</f>
        <v>4</v>
      </c>
      <c r="F115" s="103">
        <f>'Refer Para 27'!L214</f>
        <v>160</v>
      </c>
      <c r="G115" s="103">
        <f>'Refer Para 27'!L215</f>
        <v>0</v>
      </c>
      <c r="H115" s="103">
        <f>'Refer Para 27'!L216</f>
        <v>0</v>
      </c>
      <c r="I115" s="103">
        <f>'Refer Para 27'!L217</f>
        <v>7</v>
      </c>
      <c r="J115" s="103">
        <f>'Refer Para 27'!L218</f>
        <v>1</v>
      </c>
      <c r="K115" s="78">
        <f t="shared" si="2"/>
        <v>417</v>
      </c>
      <c r="L115" s="103">
        <v>0</v>
      </c>
      <c r="M115" s="103">
        <f>'Refer Para 27'!L219</f>
        <v>2</v>
      </c>
      <c r="N115" s="78">
        <f t="shared" si="3"/>
        <v>419</v>
      </c>
      <c r="O115" s="103">
        <v>0</v>
      </c>
    </row>
    <row r="116" spans="2:15" ht="15.75">
      <c r="B116" s="78">
        <v>109</v>
      </c>
      <c r="C116" s="103">
        <f>'Refer Para 27'!M211</f>
        <v>55</v>
      </c>
      <c r="D116" s="103">
        <f>'Refer Para 27'!M212</f>
        <v>356</v>
      </c>
      <c r="E116" s="103">
        <f>'Refer Para 27'!M213</f>
        <v>7</v>
      </c>
      <c r="F116" s="103">
        <f>'Refer Para 27'!M214</f>
        <v>174</v>
      </c>
      <c r="G116" s="103">
        <f>'Refer Para 27'!M215</f>
        <v>3</v>
      </c>
      <c r="H116" s="103">
        <f>'Refer Para 27'!M216</f>
        <v>3</v>
      </c>
      <c r="I116" s="103">
        <f>'Refer Para 27'!M217</f>
        <v>4</v>
      </c>
      <c r="J116" s="103">
        <f>'Refer Para 27'!M218</f>
        <v>1</v>
      </c>
      <c r="K116" s="78">
        <f t="shared" si="2"/>
        <v>603</v>
      </c>
      <c r="L116" s="103">
        <v>0</v>
      </c>
      <c r="M116" s="103">
        <f>'Refer Para 27'!M219</f>
        <v>1</v>
      </c>
      <c r="N116" s="78">
        <f t="shared" si="3"/>
        <v>604</v>
      </c>
      <c r="O116" s="103">
        <v>0</v>
      </c>
    </row>
    <row r="117" spans="2:15" ht="15.75">
      <c r="B117" s="78">
        <v>110</v>
      </c>
      <c r="C117" s="103">
        <f>'Refer Para 27'!N211</f>
        <v>260</v>
      </c>
      <c r="D117" s="103">
        <f>'Refer Para 27'!N212</f>
        <v>380</v>
      </c>
      <c r="E117" s="103">
        <f>'Refer Para 27'!N213</f>
        <v>10</v>
      </c>
      <c r="F117" s="103">
        <f>'Refer Para 27'!N214</f>
        <v>63</v>
      </c>
      <c r="G117" s="103">
        <f>'Refer Para 27'!N215</f>
        <v>1</v>
      </c>
      <c r="H117" s="103">
        <f>'Refer Para 27'!N216</f>
        <v>1</v>
      </c>
      <c r="I117" s="103">
        <f>'Refer Para 27'!N217</f>
        <v>3</v>
      </c>
      <c r="J117" s="103">
        <f>'Refer Para 27'!N218</f>
        <v>3</v>
      </c>
      <c r="K117" s="78">
        <f t="shared" si="2"/>
        <v>721</v>
      </c>
      <c r="L117" s="103">
        <v>0</v>
      </c>
      <c r="M117" s="103">
        <f>'Refer Para 27'!N219</f>
        <v>0</v>
      </c>
      <c r="N117" s="78">
        <f t="shared" si="3"/>
        <v>721</v>
      </c>
      <c r="O117" s="103">
        <v>0</v>
      </c>
    </row>
    <row r="118" spans="2:15" ht="15.75">
      <c r="B118" s="78">
        <v>111</v>
      </c>
      <c r="C118" s="103">
        <f>'Refer Para 27'!O211</f>
        <v>19</v>
      </c>
      <c r="D118" s="103">
        <f>'Refer Para 27'!O212</f>
        <v>426</v>
      </c>
      <c r="E118" s="103">
        <f>'Refer Para 27'!O213</f>
        <v>0</v>
      </c>
      <c r="F118" s="103">
        <f>'Refer Para 27'!O214</f>
        <v>207</v>
      </c>
      <c r="G118" s="103">
        <f>'Refer Para 27'!O215</f>
        <v>2</v>
      </c>
      <c r="H118" s="103">
        <f>'Refer Para 27'!O216</f>
        <v>3</v>
      </c>
      <c r="I118" s="103">
        <f>'Refer Para 27'!O217</f>
        <v>0</v>
      </c>
      <c r="J118" s="103">
        <f>'Refer Para 27'!O218</f>
        <v>3</v>
      </c>
      <c r="K118" s="78">
        <f t="shared" si="2"/>
        <v>660</v>
      </c>
      <c r="L118" s="103">
        <v>0</v>
      </c>
      <c r="M118" s="103">
        <f>'Refer Para 27'!O219</f>
        <v>0</v>
      </c>
      <c r="N118" s="78">
        <f t="shared" si="3"/>
        <v>660</v>
      </c>
      <c r="O118" s="103">
        <v>0</v>
      </c>
    </row>
    <row r="119" spans="2:15" ht="15.75">
      <c r="B119" s="78">
        <v>112</v>
      </c>
      <c r="C119" s="103">
        <f>'Refer Para 27'!P211</f>
        <v>57</v>
      </c>
      <c r="D119" s="103">
        <f>'Refer Para 27'!P212</f>
        <v>300</v>
      </c>
      <c r="E119" s="103">
        <f>'Refer Para 27'!P213</f>
        <v>8</v>
      </c>
      <c r="F119" s="103">
        <f>'Refer Para 27'!P214</f>
        <v>138</v>
      </c>
      <c r="G119" s="103">
        <f>'Refer Para 27'!P215</f>
        <v>6</v>
      </c>
      <c r="H119" s="103">
        <f>'Refer Para 27'!P216</f>
        <v>4</v>
      </c>
      <c r="I119" s="103">
        <f>'Refer Para 27'!P217</f>
        <v>3</v>
      </c>
      <c r="J119" s="103">
        <f>'Refer Para 27'!P218</f>
        <v>2</v>
      </c>
      <c r="K119" s="78">
        <f t="shared" si="2"/>
        <v>518</v>
      </c>
      <c r="L119" s="103">
        <v>0</v>
      </c>
      <c r="M119" s="103">
        <f>'Refer Para 27'!P219</f>
        <v>2</v>
      </c>
      <c r="N119" s="78">
        <f t="shared" si="3"/>
        <v>520</v>
      </c>
      <c r="O119" s="103">
        <v>0</v>
      </c>
    </row>
    <row r="120" spans="2:15" ht="15.75">
      <c r="B120" s="78">
        <v>113</v>
      </c>
      <c r="C120" s="103">
        <f>'Refer Para 27'!C240</f>
        <v>78</v>
      </c>
      <c r="D120" s="103">
        <f>'Refer Para 27'!C241</f>
        <v>280</v>
      </c>
      <c r="E120" s="103">
        <f>'Refer Para 27'!C242</f>
        <v>3</v>
      </c>
      <c r="F120" s="103">
        <f>'Refer Para 27'!C243</f>
        <v>200</v>
      </c>
      <c r="G120" s="103">
        <f>'Refer Para 27'!C244</f>
        <v>2</v>
      </c>
      <c r="H120" s="103">
        <f>'Refer Para 27'!C245</f>
        <v>2</v>
      </c>
      <c r="I120" s="103">
        <f>'Refer Para 27'!C246</f>
        <v>1</v>
      </c>
      <c r="J120" s="103">
        <f>'Refer Para 27'!C247</f>
        <v>0</v>
      </c>
      <c r="K120" s="78">
        <f t="shared" si="2"/>
        <v>566</v>
      </c>
      <c r="L120" s="103">
        <v>0</v>
      </c>
      <c r="M120" s="103">
        <f>'Refer Para 27'!C248</f>
        <v>4</v>
      </c>
      <c r="N120" s="78">
        <f t="shared" si="3"/>
        <v>570</v>
      </c>
      <c r="O120" s="103">
        <v>0</v>
      </c>
    </row>
    <row r="121" spans="2:15" ht="15.75">
      <c r="B121" s="78">
        <v>114</v>
      </c>
      <c r="C121" s="103">
        <f>'Refer Para 27'!D240</f>
        <v>231</v>
      </c>
      <c r="D121" s="103">
        <f>'Refer Para 27'!D241</f>
        <v>199</v>
      </c>
      <c r="E121" s="103">
        <f>'Refer Para 27'!D242</f>
        <v>2</v>
      </c>
      <c r="F121" s="103">
        <f>'Refer Para 27'!D243</f>
        <v>46</v>
      </c>
      <c r="G121" s="103">
        <f>'Refer Para 27'!D244</f>
        <v>3</v>
      </c>
      <c r="H121" s="103">
        <f>'Refer Para 27'!D245</f>
        <v>2</v>
      </c>
      <c r="I121" s="103">
        <f>'Refer Para 27'!D246</f>
        <v>0</v>
      </c>
      <c r="J121" s="103">
        <f>'Refer Para 27'!D247</f>
        <v>1</v>
      </c>
      <c r="K121" s="78">
        <f t="shared" si="2"/>
        <v>484</v>
      </c>
      <c r="L121" s="103">
        <v>0</v>
      </c>
      <c r="M121" s="103">
        <f>'Refer Para 27'!D248</f>
        <v>6</v>
      </c>
      <c r="N121" s="78">
        <f t="shared" si="3"/>
        <v>490</v>
      </c>
      <c r="O121" s="103">
        <v>0</v>
      </c>
    </row>
    <row r="122" spans="2:15" ht="15.75">
      <c r="B122" s="78">
        <v>115</v>
      </c>
      <c r="C122" s="103">
        <f>'Refer Para 27'!E240</f>
        <v>77</v>
      </c>
      <c r="D122" s="103">
        <f>'Refer Para 27'!E241</f>
        <v>203</v>
      </c>
      <c r="E122" s="103">
        <f>'Refer Para 27'!E242</f>
        <v>6</v>
      </c>
      <c r="F122" s="103">
        <f>'Refer Para 27'!E243</f>
        <v>196</v>
      </c>
      <c r="G122" s="103">
        <f>'Refer Para 27'!E244</f>
        <v>1</v>
      </c>
      <c r="H122" s="103">
        <f>'Refer Para 27'!E245</f>
        <v>1</v>
      </c>
      <c r="I122" s="103">
        <f>'Refer Para 27'!E246</f>
        <v>5</v>
      </c>
      <c r="J122" s="103">
        <f>'Refer Para 27'!E247</f>
        <v>2</v>
      </c>
      <c r="K122" s="78">
        <f t="shared" si="2"/>
        <v>491</v>
      </c>
      <c r="L122" s="103">
        <v>0</v>
      </c>
      <c r="M122" s="103">
        <f>'Refer Para 27'!E248</f>
        <v>2</v>
      </c>
      <c r="N122" s="78">
        <f t="shared" si="3"/>
        <v>493</v>
      </c>
      <c r="O122" s="103">
        <v>0</v>
      </c>
    </row>
    <row r="123" spans="2:15" ht="15.75">
      <c r="B123" s="78">
        <v>116</v>
      </c>
      <c r="C123" s="103">
        <f>'Refer Para 27'!F240</f>
        <v>41</v>
      </c>
      <c r="D123" s="103">
        <f>'Refer Para 27'!F241</f>
        <v>261</v>
      </c>
      <c r="E123" s="103">
        <f>'Refer Para 27'!F242</f>
        <v>3</v>
      </c>
      <c r="F123" s="103">
        <f>'Refer Para 27'!F243</f>
        <v>114</v>
      </c>
      <c r="G123" s="103">
        <f>'Refer Para 27'!F244</f>
        <v>7</v>
      </c>
      <c r="H123" s="103">
        <f>'Refer Para 27'!F245</f>
        <v>1</v>
      </c>
      <c r="I123" s="103">
        <f>'Refer Para 27'!F246</f>
        <v>1</v>
      </c>
      <c r="J123" s="103">
        <f>'Refer Para 27'!F247</f>
        <v>2</v>
      </c>
      <c r="K123" s="78">
        <f t="shared" si="2"/>
        <v>430</v>
      </c>
      <c r="L123" s="103">
        <v>0</v>
      </c>
      <c r="M123" s="103">
        <f>'Refer Para 27'!F248</f>
        <v>2</v>
      </c>
      <c r="N123" s="78">
        <f t="shared" si="3"/>
        <v>432</v>
      </c>
      <c r="O123" s="103">
        <v>0</v>
      </c>
    </row>
    <row r="124" spans="2:15" ht="15.75">
      <c r="B124" s="78">
        <v>117</v>
      </c>
      <c r="C124" s="103">
        <f>'Refer Para 27'!G240</f>
        <v>11</v>
      </c>
      <c r="D124" s="103">
        <f>'Refer Para 27'!G241</f>
        <v>724</v>
      </c>
      <c r="E124" s="103">
        <f>'Refer Para 27'!G242</f>
        <v>7</v>
      </c>
      <c r="F124" s="103">
        <f>'Refer Para 27'!G243</f>
        <v>9</v>
      </c>
      <c r="G124" s="103">
        <f>'Refer Para 27'!G244</f>
        <v>1</v>
      </c>
      <c r="H124" s="103">
        <f>'Refer Para 27'!G245</f>
        <v>1</v>
      </c>
      <c r="I124" s="103">
        <f>'Refer Para 27'!G246</f>
        <v>3</v>
      </c>
      <c r="J124" s="103">
        <f>'Refer Para 27'!G247</f>
        <v>7</v>
      </c>
      <c r="K124" s="78">
        <f t="shared" si="2"/>
        <v>763</v>
      </c>
      <c r="L124" s="103">
        <v>0</v>
      </c>
      <c r="M124" s="103">
        <f>'Refer Para 27'!G248</f>
        <v>2</v>
      </c>
      <c r="N124" s="78">
        <f t="shared" si="3"/>
        <v>765</v>
      </c>
      <c r="O124" s="103">
        <v>0</v>
      </c>
    </row>
    <row r="125" spans="2:15" ht="15.75">
      <c r="B125" s="78">
        <v>118</v>
      </c>
      <c r="C125" s="103">
        <f>'Refer Para 27'!H240</f>
        <v>15</v>
      </c>
      <c r="D125" s="103">
        <f>'Refer Para 27'!H241</f>
        <v>405</v>
      </c>
      <c r="E125" s="103">
        <f>'Refer Para 27'!H242</f>
        <v>4</v>
      </c>
      <c r="F125" s="103">
        <f>'Refer Para 27'!H243</f>
        <v>279</v>
      </c>
      <c r="G125" s="103">
        <f>'Refer Para 27'!H244</f>
        <v>1</v>
      </c>
      <c r="H125" s="103">
        <f>'Refer Para 27'!H245</f>
        <v>5</v>
      </c>
      <c r="I125" s="103">
        <f>'Refer Para 27'!H246</f>
        <v>5</v>
      </c>
      <c r="J125" s="103">
        <f>'Refer Para 27'!H247</f>
        <v>6</v>
      </c>
      <c r="K125" s="78">
        <f t="shared" si="2"/>
        <v>720</v>
      </c>
      <c r="L125" s="103">
        <v>0</v>
      </c>
      <c r="M125" s="103">
        <f>'Refer Para 27'!H248</f>
        <v>4</v>
      </c>
      <c r="N125" s="78">
        <f t="shared" si="3"/>
        <v>724</v>
      </c>
      <c r="O125" s="103">
        <v>0</v>
      </c>
    </row>
    <row r="126" spans="2:15" ht="15.75">
      <c r="B126" s="78">
        <v>119</v>
      </c>
      <c r="C126" s="103">
        <f>'Refer Para 27'!I240</f>
        <v>54</v>
      </c>
      <c r="D126" s="103">
        <f>'Refer Para 27'!I241</f>
        <v>553</v>
      </c>
      <c r="E126" s="103">
        <f>'Refer Para 27'!I242</f>
        <v>11</v>
      </c>
      <c r="F126" s="103">
        <f>'Refer Para 27'!I243</f>
        <v>47</v>
      </c>
      <c r="G126" s="103">
        <f>'Refer Para 27'!I244</f>
        <v>2</v>
      </c>
      <c r="H126" s="103">
        <f>'Refer Para 27'!I245</f>
        <v>0</v>
      </c>
      <c r="I126" s="103">
        <f>'Refer Para 27'!I246</f>
        <v>3</v>
      </c>
      <c r="J126" s="103">
        <f>'Refer Para 27'!I247</f>
        <v>3</v>
      </c>
      <c r="K126" s="78">
        <f t="shared" si="2"/>
        <v>673</v>
      </c>
      <c r="L126" s="103">
        <v>0</v>
      </c>
      <c r="M126" s="103">
        <f>'Refer Para 27'!I248</f>
        <v>2</v>
      </c>
      <c r="N126" s="78">
        <f t="shared" si="3"/>
        <v>675</v>
      </c>
      <c r="O126" s="103">
        <v>0</v>
      </c>
    </row>
    <row r="127" spans="2:15" ht="15.75">
      <c r="B127" s="78">
        <v>120</v>
      </c>
      <c r="C127" s="103">
        <f>'Refer Para 27'!J240</f>
        <v>81</v>
      </c>
      <c r="D127" s="103">
        <f>'Refer Para 27'!J241</f>
        <v>247</v>
      </c>
      <c r="E127" s="103">
        <f>'Refer Para 27'!J242</f>
        <v>5</v>
      </c>
      <c r="F127" s="103">
        <f>'Refer Para 27'!J243</f>
        <v>173</v>
      </c>
      <c r="G127" s="103">
        <f>'Refer Para 27'!J244</f>
        <v>1</v>
      </c>
      <c r="H127" s="103">
        <f>'Refer Para 27'!J245</f>
        <v>1</v>
      </c>
      <c r="I127" s="103">
        <f>'Refer Para 27'!J246</f>
        <v>0</v>
      </c>
      <c r="J127" s="103">
        <f>'Refer Para 27'!J247</f>
        <v>1</v>
      </c>
      <c r="K127" s="78">
        <f t="shared" si="2"/>
        <v>509</v>
      </c>
      <c r="L127" s="103">
        <v>0</v>
      </c>
      <c r="M127" s="103">
        <f>'Refer Para 27'!J248</f>
        <v>5</v>
      </c>
      <c r="N127" s="78">
        <f t="shared" si="3"/>
        <v>514</v>
      </c>
      <c r="O127" s="103">
        <v>0</v>
      </c>
    </row>
    <row r="128" spans="2:15" ht="15.75">
      <c r="B128" s="78">
        <v>121</v>
      </c>
      <c r="C128" s="103">
        <f>'Refer Para 27'!K240</f>
        <v>260</v>
      </c>
      <c r="D128" s="103">
        <f>'Refer Para 27'!K241</f>
        <v>217</v>
      </c>
      <c r="E128" s="103">
        <f>'Refer Para 27'!K242</f>
        <v>12</v>
      </c>
      <c r="F128" s="103">
        <f>'Refer Para 27'!K243</f>
        <v>138</v>
      </c>
      <c r="G128" s="103">
        <f>'Refer Para 27'!K244</f>
        <v>2</v>
      </c>
      <c r="H128" s="103">
        <f>'Refer Para 27'!K245</f>
        <v>0</v>
      </c>
      <c r="I128" s="103">
        <f>'Refer Para 27'!K246</f>
        <v>1</v>
      </c>
      <c r="J128" s="103">
        <f>'Refer Para 27'!K247</f>
        <v>0</v>
      </c>
      <c r="K128" s="78">
        <f t="shared" si="2"/>
        <v>630</v>
      </c>
      <c r="L128" s="103">
        <v>0</v>
      </c>
      <c r="M128" s="103">
        <f>'Refer Para 27'!K248</f>
        <v>2</v>
      </c>
      <c r="N128" s="78">
        <f t="shared" si="3"/>
        <v>632</v>
      </c>
      <c r="O128" s="103">
        <v>0</v>
      </c>
    </row>
    <row r="129" spans="2:15" ht="15.75">
      <c r="B129" s="78">
        <v>122</v>
      </c>
      <c r="C129" s="103">
        <f>'Refer Para 27'!L240</f>
        <v>503</v>
      </c>
      <c r="D129" s="103">
        <f>'Refer Para 27'!L241</f>
        <v>84</v>
      </c>
      <c r="E129" s="103">
        <f>'Refer Para 27'!L242</f>
        <v>4</v>
      </c>
      <c r="F129" s="103">
        <f>'Refer Para 27'!L243</f>
        <v>113</v>
      </c>
      <c r="G129" s="103">
        <f>'Refer Para 27'!L244</f>
        <v>0</v>
      </c>
      <c r="H129" s="103">
        <f>'Refer Para 27'!L245</f>
        <v>1</v>
      </c>
      <c r="I129" s="103">
        <f>'Refer Para 27'!L246</f>
        <v>1</v>
      </c>
      <c r="J129" s="103">
        <f>'Refer Para 27'!L247</f>
        <v>2</v>
      </c>
      <c r="K129" s="78">
        <f t="shared" si="2"/>
        <v>708</v>
      </c>
      <c r="L129" s="103">
        <v>0</v>
      </c>
      <c r="M129" s="103">
        <f>'Refer Para 27'!L248</f>
        <v>4</v>
      </c>
      <c r="N129" s="78">
        <f t="shared" si="3"/>
        <v>712</v>
      </c>
      <c r="O129" s="103">
        <v>0</v>
      </c>
    </row>
    <row r="130" spans="2:15" ht="15.75">
      <c r="B130" s="78">
        <v>123</v>
      </c>
      <c r="C130" s="103">
        <f>'Refer Para 27'!M240</f>
        <v>702</v>
      </c>
      <c r="D130" s="103">
        <f>'Refer Para 27'!M241</f>
        <v>14</v>
      </c>
      <c r="E130" s="103">
        <f>'Refer Para 27'!M242</f>
        <v>1</v>
      </c>
      <c r="F130" s="103">
        <f>'Refer Para 27'!M243</f>
        <v>22</v>
      </c>
      <c r="G130" s="103">
        <f>'Refer Para 27'!M244</f>
        <v>2</v>
      </c>
      <c r="H130" s="103">
        <f>'Refer Para 27'!M245</f>
        <v>2</v>
      </c>
      <c r="I130" s="103">
        <f>'Refer Para 27'!M246</f>
        <v>0</v>
      </c>
      <c r="J130" s="103">
        <f>'Refer Para 27'!M247</f>
        <v>0</v>
      </c>
      <c r="K130" s="78">
        <f t="shared" si="2"/>
        <v>743</v>
      </c>
      <c r="L130" s="103">
        <v>0</v>
      </c>
      <c r="M130" s="103">
        <f>'Refer Para 27'!M248</f>
        <v>6</v>
      </c>
      <c r="N130" s="78">
        <f t="shared" si="3"/>
        <v>749</v>
      </c>
      <c r="O130" s="103">
        <v>0</v>
      </c>
    </row>
    <row r="131" spans="2:15" ht="15.75">
      <c r="B131" s="78">
        <v>124</v>
      </c>
      <c r="C131" s="103">
        <f>'Refer Para 27'!N240</f>
        <v>376</v>
      </c>
      <c r="D131" s="103">
        <f>'Refer Para 27'!N241</f>
        <v>172</v>
      </c>
      <c r="E131" s="103">
        <f>'Refer Para 27'!N242</f>
        <v>7</v>
      </c>
      <c r="F131" s="103">
        <f>'Refer Para 27'!N243</f>
        <v>31</v>
      </c>
      <c r="G131" s="103">
        <f>'Refer Para 27'!N244</f>
        <v>2</v>
      </c>
      <c r="H131" s="103">
        <f>'Refer Para 27'!N245</f>
        <v>0</v>
      </c>
      <c r="I131" s="103">
        <f>'Refer Para 27'!N246</f>
        <v>0</v>
      </c>
      <c r="J131" s="103">
        <f>'Refer Para 27'!N247</f>
        <v>1</v>
      </c>
      <c r="K131" s="78">
        <f t="shared" si="2"/>
        <v>589</v>
      </c>
      <c r="L131" s="103">
        <v>0</v>
      </c>
      <c r="M131" s="103">
        <f>'Refer Para 27'!N248</f>
        <v>1</v>
      </c>
      <c r="N131" s="78">
        <f t="shared" si="3"/>
        <v>590</v>
      </c>
      <c r="O131" s="103">
        <v>0</v>
      </c>
    </row>
    <row r="132" spans="2:15" ht="15.75">
      <c r="B132" s="78">
        <v>125</v>
      </c>
      <c r="C132" s="103">
        <f>'Refer Para 27'!O240</f>
        <v>310</v>
      </c>
      <c r="D132" s="103">
        <f>'Refer Para 27'!O241</f>
        <v>208</v>
      </c>
      <c r="E132" s="103">
        <f>'Refer Para 27'!O242</f>
        <v>6</v>
      </c>
      <c r="F132" s="103">
        <f>'Refer Para 27'!O243</f>
        <v>186</v>
      </c>
      <c r="G132" s="103">
        <f>'Refer Para 27'!O244</f>
        <v>2</v>
      </c>
      <c r="H132" s="103">
        <f>'Refer Para 27'!O245</f>
        <v>3</v>
      </c>
      <c r="I132" s="103">
        <f>'Refer Para 27'!O246</f>
        <v>4</v>
      </c>
      <c r="J132" s="103">
        <f>'Refer Para 27'!O247</f>
        <v>1</v>
      </c>
      <c r="K132" s="78">
        <f t="shared" si="2"/>
        <v>720</v>
      </c>
      <c r="L132" s="103">
        <v>0</v>
      </c>
      <c r="M132" s="103">
        <f>'Refer Para 27'!O248</f>
        <v>2</v>
      </c>
      <c r="N132" s="78">
        <f t="shared" si="3"/>
        <v>722</v>
      </c>
      <c r="O132" s="103">
        <v>0</v>
      </c>
    </row>
    <row r="133" spans="2:15" ht="15.75">
      <c r="B133" s="78">
        <v>126</v>
      </c>
      <c r="C133" s="103">
        <f>'Refer Para 27'!P240</f>
        <v>663</v>
      </c>
      <c r="D133" s="103">
        <f>'Refer Para 27'!P241</f>
        <v>69</v>
      </c>
      <c r="E133" s="103">
        <f>'Refer Para 27'!P242</f>
        <v>6</v>
      </c>
      <c r="F133" s="103">
        <f>'Refer Para 27'!P243</f>
        <v>56</v>
      </c>
      <c r="G133" s="103">
        <f>'Refer Para 27'!P244</f>
        <v>1</v>
      </c>
      <c r="H133" s="103">
        <f>'Refer Para 27'!P245</f>
        <v>1</v>
      </c>
      <c r="I133" s="103">
        <f>'Refer Para 27'!P246</f>
        <v>0</v>
      </c>
      <c r="J133" s="103">
        <f>'Refer Para 27'!P247</f>
        <v>0</v>
      </c>
      <c r="K133" s="78">
        <f t="shared" si="2"/>
        <v>796</v>
      </c>
      <c r="L133" s="103">
        <v>0</v>
      </c>
      <c r="M133" s="103">
        <f>'Refer Para 27'!P248</f>
        <v>5</v>
      </c>
      <c r="N133" s="78">
        <f t="shared" si="3"/>
        <v>801</v>
      </c>
      <c r="O133" s="103">
        <v>0</v>
      </c>
    </row>
    <row r="134" spans="2:15" ht="15.75">
      <c r="B134" s="78">
        <v>127</v>
      </c>
      <c r="C134" s="103">
        <f>'Refer Para 27'!C269</f>
        <v>268</v>
      </c>
      <c r="D134" s="103">
        <f>'Refer Para 27'!C270</f>
        <v>211</v>
      </c>
      <c r="E134" s="103">
        <f>'Refer Para 27'!C271</f>
        <v>9</v>
      </c>
      <c r="F134" s="103">
        <f>'Refer Para 27'!C272</f>
        <v>113</v>
      </c>
      <c r="G134" s="103">
        <f>'Refer Para 27'!C273</f>
        <v>2</v>
      </c>
      <c r="H134" s="103">
        <f>'Refer Para 27'!C274</f>
        <v>3</v>
      </c>
      <c r="I134" s="103">
        <f>'Refer Para 27'!C275</f>
        <v>0</v>
      </c>
      <c r="J134" s="103">
        <f>'Refer Para 27'!C276</f>
        <v>2</v>
      </c>
      <c r="K134" s="78">
        <f t="shared" si="2"/>
        <v>608</v>
      </c>
      <c r="L134" s="103">
        <v>0</v>
      </c>
      <c r="M134" s="103">
        <f>'Refer Para 27'!C277</f>
        <v>5</v>
      </c>
      <c r="N134" s="78">
        <f t="shared" si="3"/>
        <v>613</v>
      </c>
      <c r="O134" s="103">
        <v>0</v>
      </c>
    </row>
    <row r="135" spans="2:15" ht="15.75">
      <c r="B135" s="78">
        <v>128</v>
      </c>
      <c r="C135" s="103">
        <f>'Refer Para 27'!D269</f>
        <v>556</v>
      </c>
      <c r="D135" s="103">
        <f>'Refer Para 27'!D270</f>
        <v>155</v>
      </c>
      <c r="E135" s="103">
        <f>'Refer Para 27'!D271</f>
        <v>2</v>
      </c>
      <c r="F135" s="103">
        <f>'Refer Para 27'!D272</f>
        <v>24</v>
      </c>
      <c r="G135" s="103">
        <f>'Refer Para 27'!D273</f>
        <v>2</v>
      </c>
      <c r="H135" s="103">
        <f>'Refer Para 27'!D274</f>
        <v>1</v>
      </c>
      <c r="I135" s="103">
        <f>'Refer Para 27'!D275</f>
        <v>2</v>
      </c>
      <c r="J135" s="103">
        <f>'Refer Para 27'!D276</f>
        <v>1</v>
      </c>
      <c r="K135" s="78">
        <f t="shared" si="2"/>
        <v>743</v>
      </c>
      <c r="L135" s="103">
        <v>0</v>
      </c>
      <c r="M135" s="103">
        <f>'Refer Para 27'!D277</f>
        <v>61</v>
      </c>
      <c r="N135" s="78">
        <f t="shared" si="3"/>
        <v>804</v>
      </c>
      <c r="O135" s="103">
        <v>0</v>
      </c>
    </row>
    <row r="136" spans="2:15" ht="15.75">
      <c r="B136" s="78">
        <v>129</v>
      </c>
      <c r="C136" s="103">
        <f>'Refer Para 27'!E269</f>
        <v>543</v>
      </c>
      <c r="D136" s="103">
        <f>'Refer Para 27'!E270</f>
        <v>174</v>
      </c>
      <c r="E136" s="103">
        <f>'Refer Para 27'!E271</f>
        <v>3</v>
      </c>
      <c r="F136" s="103">
        <f>'Refer Para 27'!E272</f>
        <v>29</v>
      </c>
      <c r="G136" s="103">
        <f>'Refer Para 27'!E273</f>
        <v>2</v>
      </c>
      <c r="H136" s="103">
        <f>'Refer Para 27'!E274</f>
        <v>2</v>
      </c>
      <c r="I136" s="103">
        <f>'Refer Para 27'!E275</f>
        <v>1</v>
      </c>
      <c r="J136" s="103">
        <f>'Refer Para 27'!E276</f>
        <v>1</v>
      </c>
      <c r="K136" s="78">
        <f t="shared" ref="K136:K199" si="4">SUM(C136:J136)</f>
        <v>755</v>
      </c>
      <c r="L136" s="103">
        <v>0</v>
      </c>
      <c r="M136" s="103">
        <f>'Refer Para 27'!E277</f>
        <v>2</v>
      </c>
      <c r="N136" s="78">
        <f t="shared" si="3"/>
        <v>757</v>
      </c>
      <c r="O136" s="103">
        <v>0</v>
      </c>
    </row>
    <row r="137" spans="2:15" ht="15.75">
      <c r="B137" s="78">
        <v>130</v>
      </c>
      <c r="C137" s="103">
        <f>'Refer Para 27'!F269</f>
        <v>284</v>
      </c>
      <c r="D137" s="103">
        <f>'Refer Para 27'!F270</f>
        <v>295</v>
      </c>
      <c r="E137" s="103">
        <f>'Refer Para 27'!F271</f>
        <v>3</v>
      </c>
      <c r="F137" s="103">
        <f>'Refer Para 27'!F272</f>
        <v>4</v>
      </c>
      <c r="G137" s="103">
        <f>'Refer Para 27'!F273</f>
        <v>2</v>
      </c>
      <c r="H137" s="103">
        <f>'Refer Para 27'!F274</f>
        <v>1</v>
      </c>
      <c r="I137" s="103">
        <f>'Refer Para 27'!F275</f>
        <v>0</v>
      </c>
      <c r="J137" s="103">
        <f>'Refer Para 27'!F276</f>
        <v>0</v>
      </c>
      <c r="K137" s="78">
        <f t="shared" si="4"/>
        <v>589</v>
      </c>
      <c r="L137" s="103">
        <v>0</v>
      </c>
      <c r="M137" s="103">
        <f>'Refer Para 27'!F277</f>
        <v>3</v>
      </c>
      <c r="N137" s="78">
        <f t="shared" ref="N137:N200" si="5">K137+M137-L137</f>
        <v>592</v>
      </c>
      <c r="O137" s="103">
        <v>0</v>
      </c>
    </row>
    <row r="138" spans="2:15" ht="15.75">
      <c r="B138" s="78">
        <v>131</v>
      </c>
      <c r="C138" s="103">
        <f>'Refer Para 27'!G269</f>
        <v>318</v>
      </c>
      <c r="D138" s="103">
        <f>'Refer Para 27'!G270</f>
        <v>286</v>
      </c>
      <c r="E138" s="103">
        <f>'Refer Para 27'!G271</f>
        <v>13</v>
      </c>
      <c r="F138" s="103">
        <f>'Refer Para 27'!G272</f>
        <v>7</v>
      </c>
      <c r="G138" s="103">
        <f>'Refer Para 27'!G273</f>
        <v>1</v>
      </c>
      <c r="H138" s="103">
        <f>'Refer Para 27'!G274</f>
        <v>1</v>
      </c>
      <c r="I138" s="103">
        <f>'Refer Para 27'!G275</f>
        <v>0</v>
      </c>
      <c r="J138" s="103">
        <f>'Refer Para 27'!G276</f>
        <v>0</v>
      </c>
      <c r="K138" s="78">
        <f t="shared" si="4"/>
        <v>626</v>
      </c>
      <c r="L138" s="103">
        <v>0</v>
      </c>
      <c r="M138" s="103">
        <f>'Refer Para 27'!G277</f>
        <v>4</v>
      </c>
      <c r="N138" s="78">
        <f t="shared" si="5"/>
        <v>630</v>
      </c>
      <c r="O138" s="103">
        <v>0</v>
      </c>
    </row>
    <row r="139" spans="2:15" ht="15.75">
      <c r="B139" s="78">
        <v>132</v>
      </c>
      <c r="C139" s="103">
        <f>'Refer Para 27'!H269</f>
        <v>225</v>
      </c>
      <c r="D139" s="103">
        <f>'Refer Para 27'!H270</f>
        <v>349</v>
      </c>
      <c r="E139" s="103">
        <f>'Refer Para 27'!H271</f>
        <v>7</v>
      </c>
      <c r="F139" s="103">
        <f>'Refer Para 27'!H272</f>
        <v>7</v>
      </c>
      <c r="G139" s="103">
        <f>'Refer Para 27'!H273</f>
        <v>2</v>
      </c>
      <c r="H139" s="103">
        <f>'Refer Para 27'!H274</f>
        <v>2</v>
      </c>
      <c r="I139" s="103">
        <f>'Refer Para 27'!H275</f>
        <v>1</v>
      </c>
      <c r="J139" s="103">
        <f>'Refer Para 27'!H276</f>
        <v>0</v>
      </c>
      <c r="K139" s="78">
        <f t="shared" si="4"/>
        <v>593</v>
      </c>
      <c r="L139" s="103">
        <v>0</v>
      </c>
      <c r="M139" s="103">
        <f>'Refer Para 27'!H277</f>
        <v>0</v>
      </c>
      <c r="N139" s="78">
        <f t="shared" si="5"/>
        <v>593</v>
      </c>
      <c r="O139" s="103">
        <v>0</v>
      </c>
    </row>
    <row r="140" spans="2:15" ht="15.75">
      <c r="B140" s="78">
        <v>133</v>
      </c>
      <c r="C140" s="103">
        <f>'Refer Para 27'!I269</f>
        <v>236</v>
      </c>
      <c r="D140" s="103">
        <f>'Refer Para 27'!I270</f>
        <v>172</v>
      </c>
      <c r="E140" s="103">
        <f>'Refer Para 27'!I271</f>
        <v>4</v>
      </c>
      <c r="F140" s="103">
        <f>'Refer Para 27'!I272</f>
        <v>347</v>
      </c>
      <c r="G140" s="103">
        <f>'Refer Para 27'!I273</f>
        <v>0</v>
      </c>
      <c r="H140" s="103">
        <f>'Refer Para 27'!I274</f>
        <v>2</v>
      </c>
      <c r="I140" s="103">
        <f>'Refer Para 27'!I275</f>
        <v>6</v>
      </c>
      <c r="J140" s="103">
        <f>'Refer Para 27'!I276</f>
        <v>1</v>
      </c>
      <c r="K140" s="78">
        <f t="shared" si="4"/>
        <v>768</v>
      </c>
      <c r="L140" s="103">
        <v>0</v>
      </c>
      <c r="M140" s="103">
        <f>'Refer Para 27'!I277</f>
        <v>0</v>
      </c>
      <c r="N140" s="78">
        <f t="shared" si="5"/>
        <v>768</v>
      </c>
      <c r="O140" s="103">
        <v>0</v>
      </c>
    </row>
    <row r="141" spans="2:15" ht="15.75">
      <c r="B141" s="78">
        <v>134</v>
      </c>
      <c r="C141" s="103">
        <f>'Refer Para 27'!J269</f>
        <v>606</v>
      </c>
      <c r="D141" s="103">
        <f>'Refer Para 27'!J270</f>
        <v>34</v>
      </c>
      <c r="E141" s="103">
        <f>'Refer Para 27'!J271</f>
        <v>7</v>
      </c>
      <c r="F141" s="103">
        <f>'Refer Para 27'!J272</f>
        <v>11</v>
      </c>
      <c r="G141" s="103">
        <f>'Refer Para 27'!J273</f>
        <v>0</v>
      </c>
      <c r="H141" s="103">
        <f>'Refer Para 27'!J274</f>
        <v>2</v>
      </c>
      <c r="I141" s="103">
        <f>'Refer Para 27'!J275</f>
        <v>0</v>
      </c>
      <c r="J141" s="103">
        <f>'Refer Para 27'!J276</f>
        <v>1</v>
      </c>
      <c r="K141" s="78">
        <f t="shared" si="4"/>
        <v>661</v>
      </c>
      <c r="L141" s="103">
        <v>0</v>
      </c>
      <c r="M141" s="103">
        <f>'Refer Para 27'!J277</f>
        <v>4</v>
      </c>
      <c r="N141" s="78">
        <f t="shared" si="5"/>
        <v>665</v>
      </c>
      <c r="O141" s="103">
        <v>0</v>
      </c>
    </row>
    <row r="142" spans="2:15" ht="15.75">
      <c r="B142" s="78">
        <v>135</v>
      </c>
      <c r="C142" s="103">
        <f>'Refer Para 27'!K269</f>
        <v>538</v>
      </c>
      <c r="D142" s="103">
        <f>'Refer Para 27'!K270</f>
        <v>75</v>
      </c>
      <c r="E142" s="103">
        <f>'Refer Para 27'!K271</f>
        <v>14</v>
      </c>
      <c r="F142" s="103">
        <f>'Refer Para 27'!K272</f>
        <v>106</v>
      </c>
      <c r="G142" s="103">
        <f>'Refer Para 27'!K273</f>
        <v>0</v>
      </c>
      <c r="H142" s="103">
        <f>'Refer Para 27'!K274</f>
        <v>0</v>
      </c>
      <c r="I142" s="103">
        <f>'Refer Para 27'!K275</f>
        <v>3</v>
      </c>
      <c r="J142" s="103">
        <f>'Refer Para 27'!K276</f>
        <v>0</v>
      </c>
      <c r="K142" s="78">
        <f t="shared" si="4"/>
        <v>736</v>
      </c>
      <c r="L142" s="103">
        <v>0</v>
      </c>
      <c r="M142" s="103">
        <f>'Refer Para 27'!K277</f>
        <v>1</v>
      </c>
      <c r="N142" s="78">
        <f t="shared" si="5"/>
        <v>737</v>
      </c>
      <c r="O142" s="103">
        <v>0</v>
      </c>
    </row>
    <row r="143" spans="2:15" ht="15.75">
      <c r="B143" s="78">
        <v>136</v>
      </c>
      <c r="C143" s="103">
        <f>'Refer Para 27'!L269</f>
        <v>347</v>
      </c>
      <c r="D143" s="103">
        <f>'Refer Para 27'!L270</f>
        <v>295</v>
      </c>
      <c r="E143" s="103">
        <f>'Refer Para 27'!L271</f>
        <v>28</v>
      </c>
      <c r="F143" s="103">
        <f>'Refer Para 27'!L272</f>
        <v>37</v>
      </c>
      <c r="G143" s="103">
        <f>'Refer Para 27'!L273</f>
        <v>2</v>
      </c>
      <c r="H143" s="103">
        <f>'Refer Para 27'!L274</f>
        <v>0</v>
      </c>
      <c r="I143" s="103">
        <f>'Refer Para 27'!L275</f>
        <v>2</v>
      </c>
      <c r="J143" s="103">
        <f>'Refer Para 27'!L276</f>
        <v>2</v>
      </c>
      <c r="K143" s="78">
        <f t="shared" si="4"/>
        <v>713</v>
      </c>
      <c r="L143" s="103">
        <v>0</v>
      </c>
      <c r="M143" s="103">
        <f>'Refer Para 27'!L277</f>
        <v>7</v>
      </c>
      <c r="N143" s="78">
        <f t="shared" si="5"/>
        <v>720</v>
      </c>
      <c r="O143" s="103">
        <v>0</v>
      </c>
    </row>
    <row r="144" spans="2:15" ht="15.75">
      <c r="B144" s="78">
        <v>137</v>
      </c>
      <c r="C144" s="103">
        <f>'Refer Para 27'!M269</f>
        <v>737</v>
      </c>
      <c r="D144" s="103">
        <f>'Refer Para 27'!M270</f>
        <v>6</v>
      </c>
      <c r="E144" s="103">
        <f>'Refer Para 27'!M271</f>
        <v>6</v>
      </c>
      <c r="F144" s="103">
        <f>'Refer Para 27'!M272</f>
        <v>29</v>
      </c>
      <c r="G144" s="103">
        <f>'Refer Para 27'!M273</f>
        <v>0</v>
      </c>
      <c r="H144" s="103">
        <f>'Refer Para 27'!M274</f>
        <v>0</v>
      </c>
      <c r="I144" s="103">
        <f>'Refer Para 27'!M275</f>
        <v>1</v>
      </c>
      <c r="J144" s="103">
        <f>'Refer Para 27'!M276</f>
        <v>0</v>
      </c>
      <c r="K144" s="78">
        <f t="shared" si="4"/>
        <v>779</v>
      </c>
      <c r="L144" s="103">
        <v>0</v>
      </c>
      <c r="M144" s="103">
        <f>'Refer Para 27'!M277</f>
        <v>2</v>
      </c>
      <c r="N144" s="78">
        <f t="shared" si="5"/>
        <v>781</v>
      </c>
      <c r="O144" s="103">
        <v>0</v>
      </c>
    </row>
    <row r="145" spans="2:15" ht="15.75">
      <c r="B145" s="78">
        <v>138</v>
      </c>
      <c r="C145" s="103">
        <f>'Refer Para 27'!N269</f>
        <v>572</v>
      </c>
      <c r="D145" s="103">
        <f>'Refer Para 27'!N270</f>
        <v>158</v>
      </c>
      <c r="E145" s="103">
        <f>'Refer Para 27'!N271</f>
        <v>3</v>
      </c>
      <c r="F145" s="103">
        <f>'Refer Para 27'!N272</f>
        <v>5</v>
      </c>
      <c r="G145" s="103">
        <f>'Refer Para 27'!N273</f>
        <v>1</v>
      </c>
      <c r="H145" s="103">
        <f>'Refer Para 27'!N274</f>
        <v>0</v>
      </c>
      <c r="I145" s="103">
        <f>'Refer Para 27'!N275</f>
        <v>1</v>
      </c>
      <c r="J145" s="103">
        <f>'Refer Para 27'!N276</f>
        <v>1</v>
      </c>
      <c r="K145" s="78">
        <f t="shared" si="4"/>
        <v>741</v>
      </c>
      <c r="L145" s="103">
        <v>0</v>
      </c>
      <c r="M145" s="103">
        <f>'Refer Para 27'!N277</f>
        <v>5</v>
      </c>
      <c r="N145" s="78">
        <f t="shared" si="5"/>
        <v>746</v>
      </c>
      <c r="O145" s="103">
        <v>0</v>
      </c>
    </row>
    <row r="146" spans="2:15" ht="15.75">
      <c r="B146" s="78">
        <v>139</v>
      </c>
      <c r="C146" s="103">
        <f>'Refer Para 27'!O269</f>
        <v>102</v>
      </c>
      <c r="D146" s="103">
        <f>'Refer Para 27'!O270</f>
        <v>495</v>
      </c>
      <c r="E146" s="103">
        <f>'Refer Para 27'!O271</f>
        <v>7</v>
      </c>
      <c r="F146" s="103">
        <f>'Refer Para 27'!O272</f>
        <v>2</v>
      </c>
      <c r="G146" s="103">
        <f>'Refer Para 27'!O273</f>
        <v>2</v>
      </c>
      <c r="H146" s="103">
        <f>'Refer Para 27'!O274</f>
        <v>1</v>
      </c>
      <c r="I146" s="103">
        <f>'Refer Para 27'!O275</f>
        <v>3</v>
      </c>
      <c r="J146" s="103">
        <f>'Refer Para 27'!O276</f>
        <v>0</v>
      </c>
      <c r="K146" s="78">
        <f t="shared" si="4"/>
        <v>612</v>
      </c>
      <c r="L146" s="103">
        <v>0</v>
      </c>
      <c r="M146" s="103">
        <f>'Refer Para 27'!O277</f>
        <v>1</v>
      </c>
      <c r="N146" s="78">
        <f t="shared" si="5"/>
        <v>613</v>
      </c>
      <c r="O146" s="103">
        <v>0</v>
      </c>
    </row>
    <row r="147" spans="2:15" ht="15.75">
      <c r="B147" s="78">
        <v>140</v>
      </c>
      <c r="C147" s="103">
        <f>'Refer Para 27'!P269</f>
        <v>82</v>
      </c>
      <c r="D147" s="103">
        <f>'Refer Para 27'!P270</f>
        <v>294</v>
      </c>
      <c r="E147" s="103">
        <f>'Refer Para 27'!P271</f>
        <v>7</v>
      </c>
      <c r="F147" s="103">
        <f>'Refer Para 27'!P272</f>
        <v>139</v>
      </c>
      <c r="G147" s="103">
        <f>'Refer Para 27'!P273</f>
        <v>0</v>
      </c>
      <c r="H147" s="103">
        <f>'Refer Para 27'!P274</f>
        <v>3</v>
      </c>
      <c r="I147" s="103">
        <f>'Refer Para 27'!P275</f>
        <v>1</v>
      </c>
      <c r="J147" s="103">
        <f>'Refer Para 27'!P276</f>
        <v>0</v>
      </c>
      <c r="K147" s="78">
        <f t="shared" si="4"/>
        <v>526</v>
      </c>
      <c r="L147" s="103">
        <v>0</v>
      </c>
      <c r="M147" s="103">
        <f>'Refer Para 27'!P277</f>
        <v>3</v>
      </c>
      <c r="N147" s="78">
        <f t="shared" si="5"/>
        <v>529</v>
      </c>
      <c r="O147" s="103">
        <v>0</v>
      </c>
    </row>
    <row r="148" spans="2:15" ht="15.75">
      <c r="B148" s="78">
        <v>141</v>
      </c>
      <c r="C148" s="103">
        <f>'Refer Para 27'!C298</f>
        <v>84</v>
      </c>
      <c r="D148" s="103">
        <f>'Refer Para 27'!C299</f>
        <v>429</v>
      </c>
      <c r="E148" s="103">
        <f>'Refer Para 27'!C300</f>
        <v>5</v>
      </c>
      <c r="F148" s="103">
        <f>'Refer Para 27'!C301</f>
        <v>45</v>
      </c>
      <c r="G148" s="103">
        <f>'Refer Para 27'!C302</f>
        <v>0</v>
      </c>
      <c r="H148" s="103">
        <f>'Refer Para 27'!C303</f>
        <v>3</v>
      </c>
      <c r="I148" s="103">
        <f>'Refer Para 27'!C304</f>
        <v>3</v>
      </c>
      <c r="J148" s="103">
        <f>'Refer Para 27'!C305</f>
        <v>0</v>
      </c>
      <c r="K148" s="78">
        <f t="shared" si="4"/>
        <v>569</v>
      </c>
      <c r="L148" s="103">
        <v>0</v>
      </c>
      <c r="M148" s="103">
        <f>'Refer Para 27'!C306</f>
        <v>2</v>
      </c>
      <c r="N148" s="78">
        <f t="shared" si="5"/>
        <v>571</v>
      </c>
      <c r="O148" s="103">
        <v>0</v>
      </c>
    </row>
    <row r="149" spans="2:15" ht="15.75">
      <c r="B149" s="78">
        <v>142</v>
      </c>
      <c r="C149" s="103">
        <f>'Refer Para 27'!D298</f>
        <v>38</v>
      </c>
      <c r="D149" s="103">
        <f>'Refer Para 27'!D299</f>
        <v>363</v>
      </c>
      <c r="E149" s="103">
        <f>'Refer Para 27'!D300</f>
        <v>4</v>
      </c>
      <c r="F149" s="103">
        <f>'Refer Para 27'!D301</f>
        <v>11</v>
      </c>
      <c r="G149" s="103">
        <f>'Refer Para 27'!D302</f>
        <v>2</v>
      </c>
      <c r="H149" s="103">
        <f>'Refer Para 27'!D303</f>
        <v>1</v>
      </c>
      <c r="I149" s="103">
        <f>'Refer Para 27'!D304</f>
        <v>1</v>
      </c>
      <c r="J149" s="103">
        <f>'Refer Para 27'!D305</f>
        <v>0</v>
      </c>
      <c r="K149" s="78">
        <f t="shared" si="4"/>
        <v>420</v>
      </c>
      <c r="L149" s="103">
        <v>0</v>
      </c>
      <c r="M149" s="103">
        <f>'Refer Para 27'!D306</f>
        <v>0</v>
      </c>
      <c r="N149" s="78">
        <f t="shared" si="5"/>
        <v>420</v>
      </c>
      <c r="O149" s="103">
        <v>0</v>
      </c>
    </row>
    <row r="150" spans="2:15" ht="15.75">
      <c r="B150" s="78">
        <v>143</v>
      </c>
      <c r="C150" s="103">
        <f>'Refer Para 27'!E298</f>
        <v>200</v>
      </c>
      <c r="D150" s="103">
        <f>'Refer Para 27'!E299</f>
        <v>312</v>
      </c>
      <c r="E150" s="103">
        <f>'Refer Para 27'!E300</f>
        <v>4</v>
      </c>
      <c r="F150" s="103">
        <f>'Refer Para 27'!E301</f>
        <v>75</v>
      </c>
      <c r="G150" s="103">
        <f>'Refer Para 27'!E302</f>
        <v>2</v>
      </c>
      <c r="H150" s="103">
        <f>'Refer Para 27'!E303</f>
        <v>1</v>
      </c>
      <c r="I150" s="103">
        <f>'Refer Para 27'!E304</f>
        <v>2</v>
      </c>
      <c r="J150" s="103">
        <f>'Refer Para 27'!E305</f>
        <v>1</v>
      </c>
      <c r="K150" s="78">
        <f t="shared" si="4"/>
        <v>597</v>
      </c>
      <c r="L150" s="103">
        <v>0</v>
      </c>
      <c r="M150" s="103">
        <f>'Refer Para 27'!E306</f>
        <v>4</v>
      </c>
      <c r="N150" s="78">
        <f t="shared" si="5"/>
        <v>601</v>
      </c>
      <c r="O150" s="103">
        <v>0</v>
      </c>
    </row>
    <row r="151" spans="2:15" ht="15.75">
      <c r="B151" s="78">
        <v>144</v>
      </c>
      <c r="C151" s="103">
        <f>'Refer Para 27'!F298</f>
        <v>257</v>
      </c>
      <c r="D151" s="103">
        <f>'Refer Para 27'!F299</f>
        <v>255</v>
      </c>
      <c r="E151" s="103">
        <f>'Refer Para 27'!F300</f>
        <v>11</v>
      </c>
      <c r="F151" s="103">
        <f>'Refer Para 27'!F301</f>
        <v>32</v>
      </c>
      <c r="G151" s="103">
        <f>'Refer Para 27'!F302</f>
        <v>2</v>
      </c>
      <c r="H151" s="103">
        <f>'Refer Para 27'!F303</f>
        <v>1</v>
      </c>
      <c r="I151" s="103">
        <f>'Refer Para 27'!F304</f>
        <v>4</v>
      </c>
      <c r="J151" s="103">
        <f>'Refer Para 27'!F305</f>
        <v>0</v>
      </c>
      <c r="K151" s="78">
        <f t="shared" si="4"/>
        <v>562</v>
      </c>
      <c r="L151" s="103">
        <v>0</v>
      </c>
      <c r="M151" s="103">
        <f>'Refer Para 27'!F306</f>
        <v>0</v>
      </c>
      <c r="N151" s="78">
        <f t="shared" si="5"/>
        <v>562</v>
      </c>
      <c r="O151" s="103">
        <v>0</v>
      </c>
    </row>
    <row r="152" spans="2:15" ht="15.75">
      <c r="B152" s="78">
        <v>145</v>
      </c>
      <c r="C152" s="103">
        <f>'Refer Para 27'!G298</f>
        <v>256</v>
      </c>
      <c r="D152" s="103">
        <f>'Refer Para 27'!G299</f>
        <v>342</v>
      </c>
      <c r="E152" s="103">
        <f>'Refer Para 27'!G300</f>
        <v>10</v>
      </c>
      <c r="F152" s="103">
        <f>'Refer Para 27'!G301</f>
        <v>41</v>
      </c>
      <c r="G152" s="103">
        <f>'Refer Para 27'!G302</f>
        <v>6</v>
      </c>
      <c r="H152" s="103">
        <f>'Refer Para 27'!G303</f>
        <v>2</v>
      </c>
      <c r="I152" s="103">
        <f>'Refer Para 27'!G304</f>
        <v>1</v>
      </c>
      <c r="J152" s="103">
        <f>'Refer Para 27'!G305</f>
        <v>1</v>
      </c>
      <c r="K152" s="78">
        <f t="shared" si="4"/>
        <v>659</v>
      </c>
      <c r="L152" s="103">
        <v>0</v>
      </c>
      <c r="M152" s="103">
        <f>'Refer Para 27'!G306</f>
        <v>1</v>
      </c>
      <c r="N152" s="78">
        <f t="shared" si="5"/>
        <v>660</v>
      </c>
      <c r="O152" s="103">
        <v>0</v>
      </c>
    </row>
    <row r="153" spans="2:15" ht="15.75">
      <c r="B153" s="78">
        <v>146</v>
      </c>
      <c r="C153" s="103">
        <f>'Refer Para 27'!H298</f>
        <v>222</v>
      </c>
      <c r="D153" s="103">
        <f>'Refer Para 27'!H299</f>
        <v>303</v>
      </c>
      <c r="E153" s="103">
        <f>'Refer Para 27'!H300</f>
        <v>4</v>
      </c>
      <c r="F153" s="103">
        <f>'Refer Para 27'!H301</f>
        <v>25</v>
      </c>
      <c r="G153" s="103">
        <f>'Refer Para 27'!H302</f>
        <v>7</v>
      </c>
      <c r="H153" s="103">
        <f>'Refer Para 27'!H303</f>
        <v>5</v>
      </c>
      <c r="I153" s="103">
        <f>'Refer Para 27'!H304</f>
        <v>0</v>
      </c>
      <c r="J153" s="103">
        <f>'Refer Para 27'!H305</f>
        <v>1</v>
      </c>
      <c r="K153" s="78">
        <f t="shared" si="4"/>
        <v>567</v>
      </c>
      <c r="L153" s="103">
        <v>0</v>
      </c>
      <c r="M153" s="103">
        <f>'Refer Para 27'!H306</f>
        <v>3</v>
      </c>
      <c r="N153" s="78">
        <f t="shared" si="5"/>
        <v>570</v>
      </c>
      <c r="O153" s="103">
        <v>0</v>
      </c>
    </row>
    <row r="154" spans="2:15" ht="15.75">
      <c r="B154" s="78">
        <v>147</v>
      </c>
      <c r="C154" s="103">
        <f>'Refer Para 27'!I298</f>
        <v>108</v>
      </c>
      <c r="D154" s="103">
        <f>'Refer Para 27'!I299</f>
        <v>436</v>
      </c>
      <c r="E154" s="103">
        <f>'Refer Para 27'!I300</f>
        <v>3</v>
      </c>
      <c r="F154" s="103">
        <f>'Refer Para 27'!I301</f>
        <v>31</v>
      </c>
      <c r="G154" s="103">
        <f>'Refer Para 27'!I302</f>
        <v>0</v>
      </c>
      <c r="H154" s="103">
        <f>'Refer Para 27'!I303</f>
        <v>0</v>
      </c>
      <c r="I154" s="103">
        <f>'Refer Para 27'!I304</f>
        <v>1</v>
      </c>
      <c r="J154" s="103">
        <f>'Refer Para 27'!I305</f>
        <v>1</v>
      </c>
      <c r="K154" s="78">
        <f t="shared" si="4"/>
        <v>580</v>
      </c>
      <c r="L154" s="103">
        <v>0</v>
      </c>
      <c r="M154" s="103">
        <f>'Refer Para 27'!I306</f>
        <v>4</v>
      </c>
      <c r="N154" s="78">
        <f t="shared" si="5"/>
        <v>584</v>
      </c>
      <c r="O154" s="103">
        <v>0</v>
      </c>
    </row>
    <row r="155" spans="2:15" ht="15.75">
      <c r="B155" s="78">
        <v>148</v>
      </c>
      <c r="C155" s="103">
        <f>'Refer Para 27'!J298</f>
        <v>182</v>
      </c>
      <c r="D155" s="103">
        <f>'Refer Para 27'!J299</f>
        <v>354</v>
      </c>
      <c r="E155" s="103">
        <f>'Refer Para 27'!J300</f>
        <v>9</v>
      </c>
      <c r="F155" s="103">
        <f>'Refer Para 27'!J301</f>
        <v>185</v>
      </c>
      <c r="G155" s="103">
        <f>'Refer Para 27'!J302</f>
        <v>3</v>
      </c>
      <c r="H155" s="103">
        <f>'Refer Para 27'!J303</f>
        <v>3</v>
      </c>
      <c r="I155" s="103">
        <f>'Refer Para 27'!J304</f>
        <v>7</v>
      </c>
      <c r="J155" s="103">
        <f>'Refer Para 27'!J305</f>
        <v>1</v>
      </c>
      <c r="K155" s="78">
        <f t="shared" si="4"/>
        <v>744</v>
      </c>
      <c r="L155" s="103">
        <v>0</v>
      </c>
      <c r="M155" s="103">
        <f>'Refer Para 27'!J306</f>
        <v>5</v>
      </c>
      <c r="N155" s="78">
        <f t="shared" si="5"/>
        <v>749</v>
      </c>
      <c r="O155" s="103">
        <v>0</v>
      </c>
    </row>
    <row r="156" spans="2:15" ht="15.75">
      <c r="B156" s="78">
        <v>149</v>
      </c>
      <c r="C156" s="103">
        <f>'Refer Para 27'!K298</f>
        <v>52</v>
      </c>
      <c r="D156" s="103">
        <f>'Refer Para 27'!K299</f>
        <v>236</v>
      </c>
      <c r="E156" s="103">
        <f>'Refer Para 27'!K300</f>
        <v>7</v>
      </c>
      <c r="F156" s="103">
        <f>'Refer Para 27'!K301</f>
        <v>135</v>
      </c>
      <c r="G156" s="103">
        <f>'Refer Para 27'!K302</f>
        <v>0</v>
      </c>
      <c r="H156" s="103">
        <f>'Refer Para 27'!K303</f>
        <v>1</v>
      </c>
      <c r="I156" s="103">
        <f>'Refer Para 27'!K304</f>
        <v>2</v>
      </c>
      <c r="J156" s="103">
        <f>'Refer Para 27'!K305</f>
        <v>1</v>
      </c>
      <c r="K156" s="78">
        <f t="shared" si="4"/>
        <v>434</v>
      </c>
      <c r="L156" s="103">
        <v>0</v>
      </c>
      <c r="M156" s="103">
        <f>'Refer Para 27'!K306</f>
        <v>3</v>
      </c>
      <c r="N156" s="78">
        <f t="shared" si="5"/>
        <v>437</v>
      </c>
      <c r="O156" s="103">
        <v>0</v>
      </c>
    </row>
    <row r="157" spans="2:15" ht="15.75">
      <c r="B157" s="78">
        <v>150</v>
      </c>
      <c r="C157" s="103">
        <f>'Refer Para 27'!L298</f>
        <v>95</v>
      </c>
      <c r="D157" s="103">
        <f>'Refer Para 27'!L299</f>
        <v>393</v>
      </c>
      <c r="E157" s="103">
        <f>'Refer Para 27'!L300</f>
        <v>3</v>
      </c>
      <c r="F157" s="103">
        <f>'Refer Para 27'!L301</f>
        <v>57</v>
      </c>
      <c r="G157" s="103">
        <f>'Refer Para 27'!L302</f>
        <v>2</v>
      </c>
      <c r="H157" s="103">
        <f>'Refer Para 27'!L303</f>
        <v>3</v>
      </c>
      <c r="I157" s="103">
        <f>'Refer Para 27'!L304</f>
        <v>7</v>
      </c>
      <c r="J157" s="103">
        <f>'Refer Para 27'!L305</f>
        <v>2</v>
      </c>
      <c r="K157" s="78">
        <f t="shared" si="4"/>
        <v>562</v>
      </c>
      <c r="L157" s="103">
        <v>0</v>
      </c>
      <c r="M157" s="103">
        <f>'Refer Para 27'!L306</f>
        <v>6</v>
      </c>
      <c r="N157" s="78">
        <f t="shared" si="5"/>
        <v>568</v>
      </c>
      <c r="O157" s="103">
        <v>0</v>
      </c>
    </row>
    <row r="158" spans="2:15" ht="15.75">
      <c r="B158" s="78">
        <v>151</v>
      </c>
      <c r="C158" s="103">
        <f>'Refer Para 27'!M298</f>
        <v>20</v>
      </c>
      <c r="D158" s="103">
        <f>'Refer Para 27'!M299</f>
        <v>308</v>
      </c>
      <c r="E158" s="103">
        <f>'Refer Para 27'!M300</f>
        <v>2</v>
      </c>
      <c r="F158" s="103">
        <f>'Refer Para 27'!M301</f>
        <v>74</v>
      </c>
      <c r="G158" s="103">
        <f>'Refer Para 27'!M302</f>
        <v>1</v>
      </c>
      <c r="H158" s="103">
        <f>'Refer Para 27'!M303</f>
        <v>3</v>
      </c>
      <c r="I158" s="103">
        <f>'Refer Para 27'!M304</f>
        <v>0</v>
      </c>
      <c r="J158" s="103">
        <f>'Refer Para 27'!M305</f>
        <v>4</v>
      </c>
      <c r="K158" s="78">
        <f t="shared" si="4"/>
        <v>412</v>
      </c>
      <c r="L158" s="103">
        <v>0</v>
      </c>
      <c r="M158" s="103">
        <f>'Refer Para 27'!M306</f>
        <v>1</v>
      </c>
      <c r="N158" s="78">
        <f t="shared" si="5"/>
        <v>413</v>
      </c>
      <c r="O158" s="103">
        <v>0</v>
      </c>
    </row>
    <row r="159" spans="2:15" ht="15.75">
      <c r="B159" s="78">
        <v>152</v>
      </c>
      <c r="C159" s="103">
        <f>'Refer Para 27'!N298</f>
        <v>193</v>
      </c>
      <c r="D159" s="103">
        <f>'Refer Para 27'!N299</f>
        <v>129</v>
      </c>
      <c r="E159" s="103">
        <f>'Refer Para 27'!N300</f>
        <v>3</v>
      </c>
      <c r="F159" s="103">
        <f>'Refer Para 27'!N301</f>
        <v>282</v>
      </c>
      <c r="G159" s="103">
        <f>'Refer Para 27'!N302</f>
        <v>3</v>
      </c>
      <c r="H159" s="103">
        <f>'Refer Para 27'!N303</f>
        <v>0</v>
      </c>
      <c r="I159" s="103">
        <f>'Refer Para 27'!N304</f>
        <v>0</v>
      </c>
      <c r="J159" s="103">
        <f>'Refer Para 27'!N305</f>
        <v>0</v>
      </c>
      <c r="K159" s="78">
        <f t="shared" si="4"/>
        <v>610</v>
      </c>
      <c r="L159" s="103">
        <v>0</v>
      </c>
      <c r="M159" s="103">
        <f>'Refer Para 27'!N306</f>
        <v>0</v>
      </c>
      <c r="N159" s="78">
        <f t="shared" si="5"/>
        <v>610</v>
      </c>
      <c r="O159" s="103">
        <v>0</v>
      </c>
    </row>
    <row r="160" spans="2:15" ht="15.75">
      <c r="B160" s="78">
        <v>153</v>
      </c>
      <c r="C160" s="103">
        <f>'Refer Para 27'!O298</f>
        <v>114</v>
      </c>
      <c r="D160" s="103">
        <f>'Refer Para 27'!O299</f>
        <v>666</v>
      </c>
      <c r="E160" s="103">
        <f>'Refer Para 27'!O300</f>
        <v>7</v>
      </c>
      <c r="F160" s="103">
        <f>'Refer Para 27'!O301</f>
        <v>14</v>
      </c>
      <c r="G160" s="103">
        <f>'Refer Para 27'!O302</f>
        <v>1</v>
      </c>
      <c r="H160" s="103">
        <f>'Refer Para 27'!O303</f>
        <v>5</v>
      </c>
      <c r="I160" s="103">
        <f>'Refer Para 27'!O304</f>
        <v>1</v>
      </c>
      <c r="J160" s="103">
        <f>'Refer Para 27'!O305</f>
        <v>8</v>
      </c>
      <c r="K160" s="78">
        <f t="shared" si="4"/>
        <v>816</v>
      </c>
      <c r="L160" s="103">
        <v>0</v>
      </c>
      <c r="M160" s="103">
        <f>'Refer Para 27'!O306</f>
        <v>5</v>
      </c>
      <c r="N160" s="78">
        <f t="shared" si="5"/>
        <v>821</v>
      </c>
      <c r="O160" s="103">
        <v>0</v>
      </c>
    </row>
    <row r="161" spans="2:15" ht="15.75">
      <c r="B161" s="78">
        <v>154</v>
      </c>
      <c r="C161" s="103">
        <f>'Refer Para 27'!P298</f>
        <v>40</v>
      </c>
      <c r="D161" s="103">
        <f>'Refer Para 27'!P299</f>
        <v>367</v>
      </c>
      <c r="E161" s="103">
        <f>'Refer Para 27'!P300</f>
        <v>4</v>
      </c>
      <c r="F161" s="103">
        <f>'Refer Para 27'!P301</f>
        <v>13</v>
      </c>
      <c r="G161" s="103">
        <f>'Refer Para 27'!P302</f>
        <v>0</v>
      </c>
      <c r="H161" s="103">
        <f>'Refer Para 27'!P303</f>
        <v>2</v>
      </c>
      <c r="I161" s="103">
        <f>'Refer Para 27'!P304</f>
        <v>1</v>
      </c>
      <c r="J161" s="103">
        <f>'Refer Para 27'!P305</f>
        <v>1</v>
      </c>
      <c r="K161" s="78">
        <f t="shared" si="4"/>
        <v>428</v>
      </c>
      <c r="L161" s="103">
        <v>0</v>
      </c>
      <c r="M161" s="103">
        <f>'Refer Para 27'!P306</f>
        <v>1</v>
      </c>
      <c r="N161" s="78">
        <f t="shared" si="5"/>
        <v>429</v>
      </c>
      <c r="O161" s="103">
        <v>0</v>
      </c>
    </row>
    <row r="162" spans="2:15" ht="15.75">
      <c r="B162" s="78">
        <v>155</v>
      </c>
      <c r="C162" s="103">
        <f>'Refer Para 27'!C327</f>
        <v>70</v>
      </c>
      <c r="D162" s="103">
        <f>'Refer Para 27'!C328</f>
        <v>300</v>
      </c>
      <c r="E162" s="103">
        <f>'Refer Para 27'!C329</f>
        <v>1</v>
      </c>
      <c r="F162" s="103">
        <f>'Refer Para 27'!C330</f>
        <v>2</v>
      </c>
      <c r="G162" s="103">
        <f>'Refer Para 27'!C331</f>
        <v>0</v>
      </c>
      <c r="H162" s="103">
        <f>'Refer Para 27'!C332</f>
        <v>0</v>
      </c>
      <c r="I162" s="103">
        <f>'Refer Para 27'!C333</f>
        <v>1</v>
      </c>
      <c r="J162" s="103">
        <f>'Refer Para 27'!C334</f>
        <v>0</v>
      </c>
      <c r="K162" s="78">
        <f t="shared" si="4"/>
        <v>374</v>
      </c>
      <c r="L162" s="103">
        <v>0</v>
      </c>
      <c r="M162" s="103">
        <f>'Refer Para 27'!C335</f>
        <v>1</v>
      </c>
      <c r="N162" s="78">
        <f t="shared" si="5"/>
        <v>375</v>
      </c>
      <c r="O162" s="103">
        <v>0</v>
      </c>
    </row>
    <row r="163" spans="2:15" ht="15.75">
      <c r="B163" s="78">
        <v>156</v>
      </c>
      <c r="C163" s="103">
        <f>'Refer Para 27'!D327</f>
        <v>10</v>
      </c>
      <c r="D163" s="103">
        <f>'Refer Para 27'!D328</f>
        <v>471</v>
      </c>
      <c r="E163" s="103">
        <f>'Refer Para 27'!D329</f>
        <v>4</v>
      </c>
      <c r="F163" s="103">
        <f>'Refer Para 27'!D330</f>
        <v>35</v>
      </c>
      <c r="G163" s="103">
        <f>'Refer Para 27'!D331</f>
        <v>0</v>
      </c>
      <c r="H163" s="103">
        <f>'Refer Para 27'!D332</f>
        <v>11</v>
      </c>
      <c r="I163" s="103">
        <f>'Refer Para 27'!D333</f>
        <v>4</v>
      </c>
      <c r="J163" s="103">
        <f>'Refer Para 27'!D334</f>
        <v>0</v>
      </c>
      <c r="K163" s="78">
        <f t="shared" si="4"/>
        <v>535</v>
      </c>
      <c r="L163" s="103">
        <v>0</v>
      </c>
      <c r="M163" s="103">
        <f>'Refer Para 27'!D335</f>
        <v>2</v>
      </c>
      <c r="N163" s="78">
        <f t="shared" si="5"/>
        <v>537</v>
      </c>
      <c r="O163" s="103">
        <v>0</v>
      </c>
    </row>
    <row r="164" spans="2:15" ht="15.75">
      <c r="B164" s="78">
        <v>157</v>
      </c>
      <c r="C164" s="103">
        <f>'Refer Para 27'!E327</f>
        <v>29</v>
      </c>
      <c r="D164" s="103">
        <f>'Refer Para 27'!E328</f>
        <v>272</v>
      </c>
      <c r="E164" s="103">
        <f>'Refer Para 27'!E329</f>
        <v>7</v>
      </c>
      <c r="F164" s="103">
        <f>'Refer Para 27'!E330</f>
        <v>282</v>
      </c>
      <c r="G164" s="103">
        <f>'Refer Para 27'!E331</f>
        <v>5</v>
      </c>
      <c r="H164" s="103">
        <f>'Refer Para 27'!E332</f>
        <v>8</v>
      </c>
      <c r="I164" s="103">
        <f>'Refer Para 27'!E333</f>
        <v>0</v>
      </c>
      <c r="J164" s="103">
        <f>'Refer Para 27'!E334</f>
        <v>0</v>
      </c>
      <c r="K164" s="78">
        <f t="shared" si="4"/>
        <v>603</v>
      </c>
      <c r="L164" s="103">
        <v>0</v>
      </c>
      <c r="M164" s="103">
        <f>'Refer Para 27'!E335</f>
        <v>1</v>
      </c>
      <c r="N164" s="78">
        <f t="shared" si="5"/>
        <v>604</v>
      </c>
      <c r="O164" s="103">
        <v>0</v>
      </c>
    </row>
    <row r="165" spans="2:15" ht="15.75">
      <c r="B165" s="78">
        <v>158</v>
      </c>
      <c r="C165" s="103">
        <f>'Refer Para 27'!F327</f>
        <v>29</v>
      </c>
      <c r="D165" s="103">
        <f>'Refer Para 27'!F328</f>
        <v>245</v>
      </c>
      <c r="E165" s="103">
        <f>'Refer Para 27'!F329</f>
        <v>21</v>
      </c>
      <c r="F165" s="103">
        <f>'Refer Para 27'!F330</f>
        <v>145</v>
      </c>
      <c r="G165" s="103">
        <f>'Refer Para 27'!F331</f>
        <v>2</v>
      </c>
      <c r="H165" s="103">
        <f>'Refer Para 27'!F332</f>
        <v>10</v>
      </c>
      <c r="I165" s="103">
        <f>'Refer Para 27'!F333</f>
        <v>7</v>
      </c>
      <c r="J165" s="103">
        <f>'Refer Para 27'!F334</f>
        <v>0</v>
      </c>
      <c r="K165" s="78">
        <f t="shared" si="4"/>
        <v>459</v>
      </c>
      <c r="L165" s="103">
        <v>0</v>
      </c>
      <c r="M165" s="103">
        <f>'Refer Para 27'!F335</f>
        <v>2</v>
      </c>
      <c r="N165" s="78">
        <f t="shared" si="5"/>
        <v>461</v>
      </c>
      <c r="O165" s="103">
        <v>0</v>
      </c>
    </row>
    <row r="166" spans="2:15" ht="15.75">
      <c r="B166" s="78">
        <v>159</v>
      </c>
      <c r="C166" s="103">
        <f>'Refer Para 27'!G327</f>
        <v>13</v>
      </c>
      <c r="D166" s="103">
        <f>'Refer Para 27'!G328</f>
        <v>574</v>
      </c>
      <c r="E166" s="103">
        <f>'Refer Para 27'!G329</f>
        <v>2</v>
      </c>
      <c r="F166" s="103">
        <f>'Refer Para 27'!G330</f>
        <v>7</v>
      </c>
      <c r="G166" s="103">
        <f>'Refer Para 27'!G331</f>
        <v>2</v>
      </c>
      <c r="H166" s="103">
        <f>'Refer Para 27'!G332</f>
        <v>3</v>
      </c>
      <c r="I166" s="103">
        <f>'Refer Para 27'!G333</f>
        <v>4</v>
      </c>
      <c r="J166" s="103">
        <f>'Refer Para 27'!G334</f>
        <v>1</v>
      </c>
      <c r="K166" s="78">
        <f t="shared" si="4"/>
        <v>606</v>
      </c>
      <c r="L166" s="103">
        <v>0</v>
      </c>
      <c r="M166" s="103">
        <f>'Refer Para 27'!G335</f>
        <v>1</v>
      </c>
      <c r="N166" s="78">
        <f t="shared" si="5"/>
        <v>607</v>
      </c>
      <c r="O166" s="103">
        <v>0</v>
      </c>
    </row>
    <row r="167" spans="2:15" ht="15.75">
      <c r="B167" s="78">
        <v>160</v>
      </c>
      <c r="C167" s="103">
        <f>'Refer Para 27'!H327</f>
        <v>16</v>
      </c>
      <c r="D167" s="103">
        <f>'Refer Para 27'!H328</f>
        <v>520</v>
      </c>
      <c r="E167" s="103">
        <f>'Refer Para 27'!H329</f>
        <v>2</v>
      </c>
      <c r="F167" s="103">
        <f>'Refer Para 27'!H330</f>
        <v>12</v>
      </c>
      <c r="G167" s="103">
        <f>'Refer Para 27'!H331</f>
        <v>0</v>
      </c>
      <c r="H167" s="103">
        <f>'Refer Para 27'!H332</f>
        <v>3</v>
      </c>
      <c r="I167" s="103">
        <f>'Refer Para 27'!H333</f>
        <v>4</v>
      </c>
      <c r="J167" s="103">
        <f>'Refer Para 27'!H334</f>
        <v>1</v>
      </c>
      <c r="K167" s="78">
        <f t="shared" si="4"/>
        <v>558</v>
      </c>
      <c r="L167" s="103">
        <v>0</v>
      </c>
      <c r="M167" s="103">
        <f>'Refer Para 27'!H335</f>
        <v>0</v>
      </c>
      <c r="N167" s="78">
        <f t="shared" si="5"/>
        <v>558</v>
      </c>
      <c r="O167" s="103">
        <v>0</v>
      </c>
    </row>
    <row r="168" spans="2:15" ht="15.75">
      <c r="B168" s="78">
        <v>161</v>
      </c>
      <c r="C168" s="103">
        <f>'Refer Para 27'!I327</f>
        <v>100</v>
      </c>
      <c r="D168" s="103">
        <f>'Refer Para 27'!I328</f>
        <v>211</v>
      </c>
      <c r="E168" s="103">
        <f>'Refer Para 27'!I329</f>
        <v>8</v>
      </c>
      <c r="F168" s="103">
        <f>'Refer Para 27'!I330</f>
        <v>81</v>
      </c>
      <c r="G168" s="103">
        <f>'Refer Para 27'!I331</f>
        <v>41</v>
      </c>
      <c r="H168" s="103">
        <f>'Refer Para 27'!I332</f>
        <v>1</v>
      </c>
      <c r="I168" s="103">
        <f>'Refer Para 27'!I333</f>
        <v>1</v>
      </c>
      <c r="J168" s="103">
        <f>'Refer Para 27'!I334</f>
        <v>1</v>
      </c>
      <c r="K168" s="78">
        <f t="shared" si="4"/>
        <v>444</v>
      </c>
      <c r="L168" s="103">
        <v>0</v>
      </c>
      <c r="M168" s="103">
        <f>'Refer Para 27'!I335</f>
        <v>0</v>
      </c>
      <c r="N168" s="78">
        <f t="shared" si="5"/>
        <v>444</v>
      </c>
      <c r="O168" s="103">
        <v>0</v>
      </c>
    </row>
    <row r="169" spans="2:15" ht="15.75">
      <c r="B169" s="78">
        <v>162</v>
      </c>
      <c r="C169" s="103">
        <f>'Refer Para 27'!J327</f>
        <v>53</v>
      </c>
      <c r="D169" s="103">
        <f>'Refer Para 27'!J328</f>
        <v>329</v>
      </c>
      <c r="E169" s="103">
        <f>'Refer Para 27'!J329</f>
        <v>15</v>
      </c>
      <c r="F169" s="103">
        <f>'Refer Para 27'!J330</f>
        <v>2</v>
      </c>
      <c r="G169" s="103">
        <f>'Refer Para 27'!J331</f>
        <v>5</v>
      </c>
      <c r="H169" s="103">
        <f>'Refer Para 27'!J332</f>
        <v>2</v>
      </c>
      <c r="I169" s="103">
        <f>'Refer Para 27'!J333</f>
        <v>1</v>
      </c>
      <c r="J169" s="103">
        <f>'Refer Para 27'!J334</f>
        <v>1</v>
      </c>
      <c r="K169" s="78">
        <f t="shared" si="4"/>
        <v>408</v>
      </c>
      <c r="L169" s="103">
        <v>0</v>
      </c>
      <c r="M169" s="103">
        <f>'Refer Para 27'!J335</f>
        <v>1</v>
      </c>
      <c r="N169" s="78">
        <f t="shared" si="5"/>
        <v>409</v>
      </c>
      <c r="O169" s="103">
        <v>0</v>
      </c>
    </row>
    <row r="170" spans="2:15" ht="15.75">
      <c r="B170" s="78">
        <v>163</v>
      </c>
      <c r="C170" s="103">
        <f>'Refer Para 27'!K327</f>
        <v>85</v>
      </c>
      <c r="D170" s="103">
        <f>'Refer Para 27'!K328</f>
        <v>631</v>
      </c>
      <c r="E170" s="103">
        <f>'Refer Para 27'!K329</f>
        <v>1</v>
      </c>
      <c r="F170" s="103">
        <f>'Refer Para 27'!K330</f>
        <v>7</v>
      </c>
      <c r="G170" s="103">
        <f>'Refer Para 27'!K331</f>
        <v>0</v>
      </c>
      <c r="H170" s="103">
        <f>'Refer Para 27'!K332</f>
        <v>14</v>
      </c>
      <c r="I170" s="103">
        <f>'Refer Para 27'!K333</f>
        <v>3</v>
      </c>
      <c r="J170" s="103">
        <f>'Refer Para 27'!K334</f>
        <v>2</v>
      </c>
      <c r="K170" s="78">
        <f t="shared" si="4"/>
        <v>743</v>
      </c>
      <c r="L170" s="103">
        <v>0</v>
      </c>
      <c r="M170" s="103">
        <f>'Refer Para 27'!K335</f>
        <v>1</v>
      </c>
      <c r="N170" s="78">
        <f t="shared" si="5"/>
        <v>744</v>
      </c>
      <c r="O170" s="103">
        <v>0</v>
      </c>
    </row>
    <row r="171" spans="2:15" ht="15.75">
      <c r="B171" s="78">
        <v>164</v>
      </c>
      <c r="C171" s="103">
        <f>'Refer Para 27'!L327</f>
        <v>75</v>
      </c>
      <c r="D171" s="103">
        <f>'Refer Para 27'!L328</f>
        <v>202</v>
      </c>
      <c r="E171" s="103">
        <f>'Refer Para 27'!L329</f>
        <v>5</v>
      </c>
      <c r="F171" s="103">
        <f>'Refer Para 27'!L330</f>
        <v>233</v>
      </c>
      <c r="G171" s="103">
        <f>'Refer Para 27'!L331</f>
        <v>8</v>
      </c>
      <c r="H171" s="103">
        <f>'Refer Para 27'!L332</f>
        <v>4</v>
      </c>
      <c r="I171" s="103">
        <f>'Refer Para 27'!L333</f>
        <v>3</v>
      </c>
      <c r="J171" s="103">
        <f>'Refer Para 27'!L334</f>
        <v>0</v>
      </c>
      <c r="K171" s="78">
        <f t="shared" si="4"/>
        <v>530</v>
      </c>
      <c r="L171" s="103">
        <v>0</v>
      </c>
      <c r="M171" s="103">
        <f>'Refer Para 27'!L335</f>
        <v>3</v>
      </c>
      <c r="N171" s="78">
        <f t="shared" si="5"/>
        <v>533</v>
      </c>
      <c r="O171" s="103">
        <v>0</v>
      </c>
    </row>
    <row r="172" spans="2:15" ht="15.75">
      <c r="B172" s="78">
        <v>165</v>
      </c>
      <c r="C172" s="103">
        <f>'Refer Para 27'!M327</f>
        <v>24</v>
      </c>
      <c r="D172" s="103">
        <f>'Refer Para 27'!M328</f>
        <v>503</v>
      </c>
      <c r="E172" s="103">
        <f>'Refer Para 27'!M329</f>
        <v>5</v>
      </c>
      <c r="F172" s="103">
        <f>'Refer Para 27'!M330</f>
        <v>3</v>
      </c>
      <c r="G172" s="103">
        <f>'Refer Para 27'!M331</f>
        <v>0</v>
      </c>
      <c r="H172" s="103">
        <f>'Refer Para 27'!M332</f>
        <v>3</v>
      </c>
      <c r="I172" s="103">
        <f>'Refer Para 27'!M333</f>
        <v>0</v>
      </c>
      <c r="J172" s="103">
        <f>'Refer Para 27'!M334</f>
        <v>5</v>
      </c>
      <c r="K172" s="78">
        <f t="shared" si="4"/>
        <v>543</v>
      </c>
      <c r="L172" s="103">
        <v>0</v>
      </c>
      <c r="M172" s="103">
        <f>'Refer Para 27'!M335</f>
        <v>2</v>
      </c>
      <c r="N172" s="78">
        <f t="shared" si="5"/>
        <v>545</v>
      </c>
      <c r="O172" s="103">
        <v>0</v>
      </c>
    </row>
    <row r="173" spans="2:15" ht="15.75">
      <c r="B173" s="78">
        <v>166</v>
      </c>
      <c r="C173" s="103">
        <f>'Refer Para 27'!N327</f>
        <v>9</v>
      </c>
      <c r="D173" s="103">
        <f>'Refer Para 27'!N328</f>
        <v>599</v>
      </c>
      <c r="E173" s="103">
        <f>'Refer Para 27'!N329</f>
        <v>1</v>
      </c>
      <c r="F173" s="103">
        <f>'Refer Para 27'!N330</f>
        <v>2</v>
      </c>
      <c r="G173" s="103">
        <f>'Refer Para 27'!N331</f>
        <v>0</v>
      </c>
      <c r="H173" s="103">
        <f>'Refer Para 27'!N332</f>
        <v>1</v>
      </c>
      <c r="I173" s="103">
        <f>'Refer Para 27'!N333</f>
        <v>1</v>
      </c>
      <c r="J173" s="103">
        <f>'Refer Para 27'!N334</f>
        <v>5</v>
      </c>
      <c r="K173" s="78">
        <f t="shared" si="4"/>
        <v>618</v>
      </c>
      <c r="L173" s="103">
        <v>0</v>
      </c>
      <c r="M173" s="103">
        <f>'Refer Para 27'!N335</f>
        <v>0</v>
      </c>
      <c r="N173" s="78">
        <f t="shared" si="5"/>
        <v>618</v>
      </c>
      <c r="O173" s="103">
        <v>0</v>
      </c>
    </row>
    <row r="174" spans="2:15" ht="15.75">
      <c r="B174" s="78">
        <v>167</v>
      </c>
      <c r="C174" s="103">
        <f>'Refer Para 27'!O327</f>
        <v>288</v>
      </c>
      <c r="D174" s="103">
        <f>'Refer Para 27'!O328</f>
        <v>187</v>
      </c>
      <c r="E174" s="103">
        <f>'Refer Para 27'!O329</f>
        <v>2</v>
      </c>
      <c r="F174" s="103">
        <f>'Refer Para 27'!O330</f>
        <v>1</v>
      </c>
      <c r="G174" s="103">
        <f>'Refer Para 27'!O331</f>
        <v>1</v>
      </c>
      <c r="H174" s="103">
        <f>'Refer Para 27'!O332</f>
        <v>1</v>
      </c>
      <c r="I174" s="103">
        <f>'Refer Para 27'!O333</f>
        <v>2</v>
      </c>
      <c r="J174" s="103">
        <f>'Refer Para 27'!O334</f>
        <v>2</v>
      </c>
      <c r="K174" s="78">
        <f t="shared" si="4"/>
        <v>484</v>
      </c>
      <c r="L174" s="103">
        <v>0</v>
      </c>
      <c r="M174" s="103">
        <f>'Refer Para 27'!O335</f>
        <v>3</v>
      </c>
      <c r="N174" s="78">
        <f t="shared" si="5"/>
        <v>487</v>
      </c>
      <c r="O174" s="103">
        <v>0</v>
      </c>
    </row>
    <row r="175" spans="2:15" ht="15.75">
      <c r="B175" s="78">
        <v>168</v>
      </c>
      <c r="C175" s="103">
        <f>'Refer Para 27'!P327</f>
        <v>363</v>
      </c>
      <c r="D175" s="103">
        <f>'Refer Para 27'!P328</f>
        <v>93</v>
      </c>
      <c r="E175" s="103">
        <f>'Refer Para 27'!P329</f>
        <v>0</v>
      </c>
      <c r="F175" s="103">
        <f>'Refer Para 27'!P330</f>
        <v>3</v>
      </c>
      <c r="G175" s="103">
        <f>'Refer Para 27'!P331</f>
        <v>0</v>
      </c>
      <c r="H175" s="103">
        <f>'Refer Para 27'!P332</f>
        <v>1</v>
      </c>
      <c r="I175" s="103">
        <f>'Refer Para 27'!P333</f>
        <v>0</v>
      </c>
      <c r="J175" s="103">
        <f>'Refer Para 27'!P334</f>
        <v>0</v>
      </c>
      <c r="K175" s="78">
        <f t="shared" si="4"/>
        <v>460</v>
      </c>
      <c r="L175" s="103">
        <v>0</v>
      </c>
      <c r="M175" s="103">
        <f>'Refer Para 27'!P335</f>
        <v>5</v>
      </c>
      <c r="N175" s="78">
        <f t="shared" si="5"/>
        <v>465</v>
      </c>
      <c r="O175" s="103">
        <v>0</v>
      </c>
    </row>
    <row r="176" spans="2:15" ht="15.75">
      <c r="B176" s="78">
        <v>169</v>
      </c>
      <c r="C176" s="103">
        <f>'Refer Para 27'!C356</f>
        <v>194</v>
      </c>
      <c r="D176" s="103">
        <f>'Refer Para 27'!C357</f>
        <v>304</v>
      </c>
      <c r="E176" s="103">
        <f>'Refer Para 27'!C358</f>
        <v>2</v>
      </c>
      <c r="F176" s="103">
        <f>'Refer Para 27'!C359</f>
        <v>5</v>
      </c>
      <c r="G176" s="103">
        <f>'Refer Para 27'!C360</f>
        <v>1</v>
      </c>
      <c r="H176" s="103">
        <f>'Refer Para 27'!C361</f>
        <v>13</v>
      </c>
      <c r="I176" s="103">
        <f>'Refer Para 27'!C362</f>
        <v>2</v>
      </c>
      <c r="J176" s="103">
        <f>'Refer Para 27'!C363</f>
        <v>0</v>
      </c>
      <c r="K176" s="78">
        <f t="shared" si="4"/>
        <v>521</v>
      </c>
      <c r="L176" s="103">
        <v>0</v>
      </c>
      <c r="M176" s="103">
        <f>'Refer Para 27'!C364</f>
        <v>1</v>
      </c>
      <c r="N176" s="78">
        <f t="shared" si="5"/>
        <v>522</v>
      </c>
      <c r="O176" s="103">
        <v>0</v>
      </c>
    </row>
    <row r="177" spans="2:15" ht="15.75">
      <c r="B177" s="78">
        <v>170</v>
      </c>
      <c r="C177" s="103">
        <f>'Refer Para 27'!D356</f>
        <v>189</v>
      </c>
      <c r="D177" s="103">
        <f>'Refer Para 27'!D357</f>
        <v>101</v>
      </c>
      <c r="E177" s="103">
        <f>'Refer Para 27'!D358</f>
        <v>1</v>
      </c>
      <c r="F177" s="103">
        <f>'Refer Para 27'!D359</f>
        <v>207</v>
      </c>
      <c r="G177" s="103">
        <f>'Refer Para 27'!D360</f>
        <v>0</v>
      </c>
      <c r="H177" s="103">
        <f>'Refer Para 27'!D361</f>
        <v>1</v>
      </c>
      <c r="I177" s="103">
        <f>'Refer Para 27'!D362</f>
        <v>0</v>
      </c>
      <c r="J177" s="103">
        <f>'Refer Para 27'!D363</f>
        <v>1</v>
      </c>
      <c r="K177" s="78">
        <f t="shared" si="4"/>
        <v>500</v>
      </c>
      <c r="L177" s="103">
        <v>0</v>
      </c>
      <c r="M177" s="103">
        <f>'Refer Para 27'!D364</f>
        <v>3</v>
      </c>
      <c r="N177" s="78">
        <f t="shared" si="5"/>
        <v>503</v>
      </c>
      <c r="O177" s="103">
        <v>0</v>
      </c>
    </row>
    <row r="178" spans="2:15" ht="15.75">
      <c r="B178" s="78">
        <v>171</v>
      </c>
      <c r="C178" s="103">
        <f>'Refer Para 27'!E356</f>
        <v>28</v>
      </c>
      <c r="D178" s="103">
        <f>'Refer Para 27'!E357</f>
        <v>107</v>
      </c>
      <c r="E178" s="103">
        <f>'Refer Para 27'!E358</f>
        <v>4</v>
      </c>
      <c r="F178" s="103">
        <f>'Refer Para 27'!E359</f>
        <v>553</v>
      </c>
      <c r="G178" s="103">
        <f>'Refer Para 27'!E360</f>
        <v>0</v>
      </c>
      <c r="H178" s="103">
        <f>'Refer Para 27'!E361</f>
        <v>10</v>
      </c>
      <c r="I178" s="103">
        <f>'Refer Para 27'!E362</f>
        <v>1</v>
      </c>
      <c r="J178" s="103">
        <f>'Refer Para 27'!E363</f>
        <v>1</v>
      </c>
      <c r="K178" s="78">
        <f t="shared" si="4"/>
        <v>704</v>
      </c>
      <c r="L178" s="103">
        <v>0</v>
      </c>
      <c r="M178" s="103">
        <f>'Refer Para 27'!E364</f>
        <v>3</v>
      </c>
      <c r="N178" s="78">
        <f t="shared" si="5"/>
        <v>707</v>
      </c>
      <c r="O178" s="103">
        <v>0</v>
      </c>
    </row>
    <row r="179" spans="2:15" ht="15.75">
      <c r="B179" s="78">
        <v>172</v>
      </c>
      <c r="C179" s="103">
        <f>'Refer Para 27'!F356</f>
        <v>7</v>
      </c>
      <c r="D179" s="103">
        <f>'Refer Para 27'!F357</f>
        <v>371</v>
      </c>
      <c r="E179" s="103">
        <f>'Refer Para 27'!F358</f>
        <v>3</v>
      </c>
      <c r="F179" s="103">
        <f>'Refer Para 27'!F359</f>
        <v>124</v>
      </c>
      <c r="G179" s="103">
        <f>'Refer Para 27'!F360</f>
        <v>1</v>
      </c>
      <c r="H179" s="103">
        <f>'Refer Para 27'!F361</f>
        <v>3</v>
      </c>
      <c r="I179" s="103">
        <f>'Refer Para 27'!F362</f>
        <v>1</v>
      </c>
      <c r="J179" s="103">
        <f>'Refer Para 27'!F363</f>
        <v>1</v>
      </c>
      <c r="K179" s="78">
        <f t="shared" si="4"/>
        <v>511</v>
      </c>
      <c r="L179" s="103">
        <v>0</v>
      </c>
      <c r="M179" s="103">
        <f>'Refer Para 27'!F364</f>
        <v>1</v>
      </c>
      <c r="N179" s="78">
        <f t="shared" si="5"/>
        <v>512</v>
      </c>
      <c r="O179" s="103">
        <v>0</v>
      </c>
    </row>
    <row r="180" spans="2:15" ht="15.75">
      <c r="B180" s="78">
        <v>173</v>
      </c>
      <c r="C180" s="103">
        <f>'Refer Para 27'!G356</f>
        <v>11</v>
      </c>
      <c r="D180" s="103">
        <f>'Refer Para 27'!G357</f>
        <v>458</v>
      </c>
      <c r="E180" s="103">
        <f>'Refer Para 27'!G358</f>
        <v>2</v>
      </c>
      <c r="F180" s="103">
        <f>'Refer Para 27'!G359</f>
        <v>6</v>
      </c>
      <c r="G180" s="103">
        <f>'Refer Para 27'!G360</f>
        <v>1</v>
      </c>
      <c r="H180" s="103">
        <f>'Refer Para 27'!G361</f>
        <v>2</v>
      </c>
      <c r="I180" s="103">
        <f>'Refer Para 27'!G362</f>
        <v>0</v>
      </c>
      <c r="J180" s="103">
        <f>'Refer Para 27'!G363</f>
        <v>1</v>
      </c>
      <c r="K180" s="78">
        <f t="shared" si="4"/>
        <v>481</v>
      </c>
      <c r="L180" s="103">
        <v>0</v>
      </c>
      <c r="M180" s="103">
        <f>'Refer Para 27'!G364</f>
        <v>3</v>
      </c>
      <c r="N180" s="78">
        <f t="shared" si="5"/>
        <v>484</v>
      </c>
      <c r="O180" s="103">
        <v>0</v>
      </c>
    </row>
    <row r="181" spans="2:15" ht="15.75">
      <c r="B181" s="78">
        <v>174</v>
      </c>
      <c r="C181" s="103">
        <f>'Refer Para 27'!H356</f>
        <v>26</v>
      </c>
      <c r="D181" s="103">
        <f>'Refer Para 27'!H357</f>
        <v>287</v>
      </c>
      <c r="E181" s="103">
        <f>'Refer Para 27'!H358</f>
        <v>10</v>
      </c>
      <c r="F181" s="103">
        <f>'Refer Para 27'!H359</f>
        <v>101</v>
      </c>
      <c r="G181" s="103">
        <f>'Refer Para 27'!H360</f>
        <v>1</v>
      </c>
      <c r="H181" s="103">
        <f>'Refer Para 27'!H361</f>
        <v>1</v>
      </c>
      <c r="I181" s="103">
        <f>'Refer Para 27'!H362</f>
        <v>0</v>
      </c>
      <c r="J181" s="103">
        <f>'Refer Para 27'!H363</f>
        <v>1</v>
      </c>
      <c r="K181" s="78">
        <f t="shared" si="4"/>
        <v>427</v>
      </c>
      <c r="L181" s="103">
        <v>0</v>
      </c>
      <c r="M181" s="103">
        <f>'Refer Para 27'!H364</f>
        <v>1</v>
      </c>
      <c r="N181" s="78">
        <f t="shared" si="5"/>
        <v>428</v>
      </c>
      <c r="O181" s="103">
        <v>0</v>
      </c>
    </row>
    <row r="182" spans="2:15" ht="15.75">
      <c r="B182" s="78">
        <v>175</v>
      </c>
      <c r="C182" s="103">
        <f>'Refer Para 27'!I356</f>
        <v>76</v>
      </c>
      <c r="D182" s="103">
        <f>'Refer Para 27'!I357</f>
        <v>291</v>
      </c>
      <c r="E182" s="103">
        <f>'Refer Para 27'!I358</f>
        <v>22</v>
      </c>
      <c r="F182" s="103">
        <f>'Refer Para 27'!I359</f>
        <v>25</v>
      </c>
      <c r="G182" s="103">
        <f>'Refer Para 27'!I360</f>
        <v>0</v>
      </c>
      <c r="H182" s="103">
        <f>'Refer Para 27'!I361</f>
        <v>10</v>
      </c>
      <c r="I182" s="103">
        <f>'Refer Para 27'!I362</f>
        <v>0</v>
      </c>
      <c r="J182" s="103">
        <f>'Refer Para 27'!I363</f>
        <v>2</v>
      </c>
      <c r="K182" s="78">
        <f t="shared" si="4"/>
        <v>426</v>
      </c>
      <c r="L182" s="103">
        <v>0</v>
      </c>
      <c r="M182" s="103">
        <f>'Refer Para 27'!I364</f>
        <v>0</v>
      </c>
      <c r="N182" s="78">
        <f t="shared" si="5"/>
        <v>426</v>
      </c>
      <c r="O182" s="103">
        <v>0</v>
      </c>
    </row>
    <row r="183" spans="2:15" ht="15.75">
      <c r="B183" s="78">
        <v>176</v>
      </c>
      <c r="C183" s="103">
        <f>'Refer Para 27'!J356</f>
        <v>21</v>
      </c>
      <c r="D183" s="103">
        <f>'Refer Para 27'!J357</f>
        <v>380</v>
      </c>
      <c r="E183" s="103">
        <f>'Refer Para 27'!J358</f>
        <v>7</v>
      </c>
      <c r="F183" s="103">
        <f>'Refer Para 27'!J359</f>
        <v>14</v>
      </c>
      <c r="G183" s="103">
        <f>'Refer Para 27'!J360</f>
        <v>0</v>
      </c>
      <c r="H183" s="103">
        <f>'Refer Para 27'!J361</f>
        <v>54</v>
      </c>
      <c r="I183" s="103">
        <f>'Refer Para 27'!J362</f>
        <v>7</v>
      </c>
      <c r="J183" s="103">
        <f>'Refer Para 27'!J363</f>
        <v>3</v>
      </c>
      <c r="K183" s="78">
        <f t="shared" si="4"/>
        <v>486</v>
      </c>
      <c r="L183" s="103">
        <v>0</v>
      </c>
      <c r="M183" s="103">
        <f>'Refer Para 27'!J364</f>
        <v>2</v>
      </c>
      <c r="N183" s="78">
        <f t="shared" si="5"/>
        <v>488</v>
      </c>
      <c r="O183" s="103">
        <v>0</v>
      </c>
    </row>
    <row r="184" spans="2:15" ht="15.75">
      <c r="B184" s="78">
        <v>177</v>
      </c>
      <c r="C184" s="103">
        <f>'Refer Para 27'!K356</f>
        <v>39</v>
      </c>
      <c r="D184" s="103">
        <f>'Refer Para 27'!K357</f>
        <v>403</v>
      </c>
      <c r="E184" s="103">
        <f>'Refer Para 27'!K358</f>
        <v>1</v>
      </c>
      <c r="F184" s="103">
        <f>'Refer Para 27'!K359</f>
        <v>9</v>
      </c>
      <c r="G184" s="103">
        <f>'Refer Para 27'!K360</f>
        <v>1</v>
      </c>
      <c r="H184" s="103">
        <f>'Refer Para 27'!K361</f>
        <v>8</v>
      </c>
      <c r="I184" s="103">
        <f>'Refer Para 27'!K362</f>
        <v>4</v>
      </c>
      <c r="J184" s="103">
        <f>'Refer Para 27'!K363</f>
        <v>2</v>
      </c>
      <c r="K184" s="78">
        <f t="shared" si="4"/>
        <v>467</v>
      </c>
      <c r="L184" s="103">
        <v>0</v>
      </c>
      <c r="M184" s="103">
        <f>'Refer Para 27'!K364</f>
        <v>4</v>
      </c>
      <c r="N184" s="78">
        <f t="shared" si="5"/>
        <v>471</v>
      </c>
      <c r="O184" s="103">
        <v>0</v>
      </c>
    </row>
    <row r="185" spans="2:15" ht="15.75">
      <c r="B185" s="78">
        <v>178</v>
      </c>
      <c r="C185" s="103">
        <f>'Refer Para 27'!L356</f>
        <v>77</v>
      </c>
      <c r="D185" s="103">
        <f>'Refer Para 27'!L357</f>
        <v>356</v>
      </c>
      <c r="E185" s="103">
        <f>'Refer Para 27'!L358</f>
        <v>2</v>
      </c>
      <c r="F185" s="103">
        <f>'Refer Para 27'!L359</f>
        <v>32</v>
      </c>
      <c r="G185" s="103">
        <f>'Refer Para 27'!L360</f>
        <v>0</v>
      </c>
      <c r="H185" s="103">
        <f>'Refer Para 27'!L361</f>
        <v>3</v>
      </c>
      <c r="I185" s="103">
        <f>'Refer Para 27'!L362</f>
        <v>1</v>
      </c>
      <c r="J185" s="103">
        <f>'Refer Para 27'!L363</f>
        <v>2</v>
      </c>
      <c r="K185" s="78">
        <f t="shared" si="4"/>
        <v>473</v>
      </c>
      <c r="L185" s="103">
        <v>0</v>
      </c>
      <c r="M185" s="103">
        <f>'Refer Para 27'!L364</f>
        <v>3</v>
      </c>
      <c r="N185" s="78">
        <f t="shared" si="5"/>
        <v>476</v>
      </c>
      <c r="O185" s="103">
        <v>0</v>
      </c>
    </row>
    <row r="186" spans="2:15" ht="15.75">
      <c r="B186" s="78">
        <v>179</v>
      </c>
      <c r="C186" s="103">
        <f>'Refer Para 27'!M356</f>
        <v>178</v>
      </c>
      <c r="D186" s="103">
        <f>'Refer Para 27'!M357</f>
        <v>84</v>
      </c>
      <c r="E186" s="103">
        <f>'Refer Para 27'!M358</f>
        <v>3</v>
      </c>
      <c r="F186" s="103">
        <f>'Refer Para 27'!M359</f>
        <v>123</v>
      </c>
      <c r="G186" s="103">
        <f>'Refer Para 27'!M360</f>
        <v>2</v>
      </c>
      <c r="H186" s="103">
        <f>'Refer Para 27'!M361</f>
        <v>10</v>
      </c>
      <c r="I186" s="103">
        <f>'Refer Para 27'!M362</f>
        <v>3</v>
      </c>
      <c r="J186" s="103">
        <f>'Refer Para 27'!M363</f>
        <v>4</v>
      </c>
      <c r="K186" s="78">
        <f t="shared" si="4"/>
        <v>407</v>
      </c>
      <c r="L186" s="103">
        <v>0</v>
      </c>
      <c r="M186" s="103">
        <f>'Refer Para 27'!M364</f>
        <v>2</v>
      </c>
      <c r="N186" s="78">
        <f t="shared" si="5"/>
        <v>409</v>
      </c>
      <c r="O186" s="103">
        <v>0</v>
      </c>
    </row>
    <row r="187" spans="2:15" ht="15.75">
      <c r="B187" s="78">
        <v>180</v>
      </c>
      <c r="C187" s="103">
        <f>'Refer Para 27'!N356</f>
        <v>21</v>
      </c>
      <c r="D187" s="103">
        <f>'Refer Para 27'!N357</f>
        <v>324</v>
      </c>
      <c r="E187" s="103">
        <f>'Refer Para 27'!N358</f>
        <v>9</v>
      </c>
      <c r="F187" s="103">
        <f>'Refer Para 27'!N359</f>
        <v>229</v>
      </c>
      <c r="G187" s="103">
        <f>'Refer Para 27'!N360</f>
        <v>2</v>
      </c>
      <c r="H187" s="103">
        <f>'Refer Para 27'!N361</f>
        <v>10</v>
      </c>
      <c r="I187" s="103">
        <f>'Refer Para 27'!N362</f>
        <v>0</v>
      </c>
      <c r="J187" s="103">
        <f>'Refer Para 27'!N363</f>
        <v>2</v>
      </c>
      <c r="K187" s="78">
        <f t="shared" si="4"/>
        <v>597</v>
      </c>
      <c r="L187" s="103">
        <v>0</v>
      </c>
      <c r="M187" s="103">
        <f>'Refer Para 27'!N364</f>
        <v>2</v>
      </c>
      <c r="N187" s="78">
        <f t="shared" si="5"/>
        <v>599</v>
      </c>
      <c r="O187" s="103">
        <v>0</v>
      </c>
    </row>
    <row r="188" spans="2:15" ht="15.75">
      <c r="B188" s="78">
        <v>181</v>
      </c>
      <c r="C188" s="103">
        <f>'Refer Para 27'!O356</f>
        <v>13</v>
      </c>
      <c r="D188" s="103">
        <f>'Refer Para 27'!O357</f>
        <v>591</v>
      </c>
      <c r="E188" s="103">
        <f>'Refer Para 27'!O358</f>
        <v>9</v>
      </c>
      <c r="F188" s="103">
        <f>'Refer Para 27'!O359</f>
        <v>34</v>
      </c>
      <c r="G188" s="103">
        <f>'Refer Para 27'!O360</f>
        <v>1</v>
      </c>
      <c r="H188" s="103">
        <f>'Refer Para 27'!O361</f>
        <v>13</v>
      </c>
      <c r="I188" s="103">
        <f>'Refer Para 27'!O362</f>
        <v>0</v>
      </c>
      <c r="J188" s="103">
        <f>'Refer Para 27'!O363</f>
        <v>4</v>
      </c>
      <c r="K188" s="78">
        <f t="shared" si="4"/>
        <v>665</v>
      </c>
      <c r="L188" s="103">
        <v>0</v>
      </c>
      <c r="M188" s="103">
        <f>'Refer Para 27'!O364</f>
        <v>3</v>
      </c>
      <c r="N188" s="78">
        <f t="shared" si="5"/>
        <v>668</v>
      </c>
      <c r="O188" s="103">
        <v>0</v>
      </c>
    </row>
    <row r="189" spans="2:15" ht="15.75">
      <c r="B189" s="78">
        <v>182</v>
      </c>
      <c r="C189" s="103">
        <f>'Refer Para 27'!P356</f>
        <v>248</v>
      </c>
      <c r="D189" s="103">
        <f>'Refer Para 27'!P357</f>
        <v>241</v>
      </c>
      <c r="E189" s="103">
        <f>'Refer Para 27'!P358</f>
        <v>1</v>
      </c>
      <c r="F189" s="103">
        <f>'Refer Para 27'!P359</f>
        <v>3</v>
      </c>
      <c r="G189" s="103">
        <f>'Refer Para 27'!P360</f>
        <v>0</v>
      </c>
      <c r="H189" s="103">
        <f>'Refer Para 27'!P361</f>
        <v>4</v>
      </c>
      <c r="I189" s="103">
        <f>'Refer Para 27'!P362</f>
        <v>0</v>
      </c>
      <c r="J189" s="103">
        <f>'Refer Para 27'!P363</f>
        <v>1</v>
      </c>
      <c r="K189" s="78">
        <f t="shared" si="4"/>
        <v>498</v>
      </c>
      <c r="L189" s="103">
        <v>0</v>
      </c>
      <c r="M189" s="103">
        <f>'Refer Para 27'!P364</f>
        <v>4</v>
      </c>
      <c r="N189" s="78">
        <f t="shared" si="5"/>
        <v>502</v>
      </c>
      <c r="O189" s="103">
        <v>0</v>
      </c>
    </row>
    <row r="190" spans="2:15" ht="15.75">
      <c r="B190" s="78">
        <v>183</v>
      </c>
      <c r="C190" s="103">
        <f>'Refer Para 27'!C385</f>
        <v>27</v>
      </c>
      <c r="D190" s="103">
        <f>'Refer Para 27'!C386</f>
        <v>371</v>
      </c>
      <c r="E190" s="103">
        <f>'Refer Para 27'!C387</f>
        <v>2</v>
      </c>
      <c r="F190" s="103">
        <f>'Refer Para 27'!C388</f>
        <v>0</v>
      </c>
      <c r="G190" s="103">
        <f>'Refer Para 27'!C389</f>
        <v>0</v>
      </c>
      <c r="H190" s="103">
        <f>'Refer Para 27'!C390</f>
        <v>4</v>
      </c>
      <c r="I190" s="103">
        <f>'Refer Para 27'!C391</f>
        <v>0</v>
      </c>
      <c r="J190" s="103">
        <f>'Refer Para 27'!C392</f>
        <v>0</v>
      </c>
      <c r="K190" s="78">
        <f t="shared" si="4"/>
        <v>404</v>
      </c>
      <c r="L190" s="103">
        <v>0</v>
      </c>
      <c r="M190" s="103">
        <f>'Refer Para 27'!C393</f>
        <v>0</v>
      </c>
      <c r="N190" s="78">
        <f t="shared" si="5"/>
        <v>404</v>
      </c>
      <c r="O190" s="103">
        <v>0</v>
      </c>
    </row>
    <row r="191" spans="2:15" ht="15.75">
      <c r="B191" s="78">
        <v>184</v>
      </c>
      <c r="C191" s="103">
        <f>'Refer Para 27'!D385</f>
        <v>68</v>
      </c>
      <c r="D191" s="103">
        <f>'Refer Para 27'!D386</f>
        <v>432</v>
      </c>
      <c r="E191" s="103">
        <f>'Refer Para 27'!D387</f>
        <v>3</v>
      </c>
      <c r="F191" s="103">
        <f>'Refer Para 27'!D388</f>
        <v>125</v>
      </c>
      <c r="G191" s="103">
        <f>'Refer Para 27'!D389</f>
        <v>4</v>
      </c>
      <c r="H191" s="103">
        <f>'Refer Para 27'!D390</f>
        <v>1</v>
      </c>
      <c r="I191" s="103">
        <f>'Refer Para 27'!D391</f>
        <v>3</v>
      </c>
      <c r="J191" s="103">
        <f>'Refer Para 27'!D392</f>
        <v>0</v>
      </c>
      <c r="K191" s="78">
        <f t="shared" si="4"/>
        <v>636</v>
      </c>
      <c r="L191" s="103">
        <v>0</v>
      </c>
      <c r="M191" s="103">
        <f>'Refer Para 27'!D393</f>
        <v>4</v>
      </c>
      <c r="N191" s="78">
        <f t="shared" si="5"/>
        <v>640</v>
      </c>
      <c r="O191" s="103">
        <v>0</v>
      </c>
    </row>
    <row r="192" spans="2:15" ht="15.75">
      <c r="B192" s="78">
        <v>185</v>
      </c>
      <c r="C192" s="103">
        <f>'Refer Para 27'!E385</f>
        <v>115</v>
      </c>
      <c r="D192" s="103">
        <f>'Refer Para 27'!E386</f>
        <v>462</v>
      </c>
      <c r="E192" s="103">
        <f>'Refer Para 27'!E387</f>
        <v>6</v>
      </c>
      <c r="F192" s="103">
        <f>'Refer Para 27'!E388</f>
        <v>41</v>
      </c>
      <c r="G192" s="103">
        <f>'Refer Para 27'!E389</f>
        <v>0</v>
      </c>
      <c r="H192" s="103">
        <f>'Refer Para 27'!E390</f>
        <v>1</v>
      </c>
      <c r="I192" s="103">
        <f>'Refer Para 27'!E391</f>
        <v>1</v>
      </c>
      <c r="J192" s="103">
        <f>'Refer Para 27'!E392</f>
        <v>1</v>
      </c>
      <c r="K192" s="78">
        <f t="shared" si="4"/>
        <v>627</v>
      </c>
      <c r="L192" s="103">
        <v>0</v>
      </c>
      <c r="M192" s="103">
        <f>'Refer Para 27'!E393</f>
        <v>2</v>
      </c>
      <c r="N192" s="78">
        <f t="shared" si="5"/>
        <v>629</v>
      </c>
      <c r="O192" s="103">
        <v>0</v>
      </c>
    </row>
    <row r="193" spans="2:15" ht="15.75">
      <c r="B193" s="78">
        <v>186</v>
      </c>
      <c r="C193" s="103">
        <f>'Refer Para 27'!F385</f>
        <v>22</v>
      </c>
      <c r="D193" s="103">
        <f>'Refer Para 27'!F386</f>
        <v>406</v>
      </c>
      <c r="E193" s="103">
        <f>'Refer Para 27'!F387</f>
        <v>19</v>
      </c>
      <c r="F193" s="103">
        <f>'Refer Para 27'!F388</f>
        <v>78</v>
      </c>
      <c r="G193" s="103">
        <f>'Refer Para 27'!F389</f>
        <v>1</v>
      </c>
      <c r="H193" s="103">
        <f>'Refer Para 27'!F390</f>
        <v>0</v>
      </c>
      <c r="I193" s="103">
        <f>'Refer Para 27'!F391</f>
        <v>1</v>
      </c>
      <c r="J193" s="103">
        <f>'Refer Para 27'!F392</f>
        <v>0</v>
      </c>
      <c r="K193" s="78">
        <f t="shared" si="4"/>
        <v>527</v>
      </c>
      <c r="L193" s="103">
        <v>0</v>
      </c>
      <c r="M193" s="103">
        <f>'Refer Para 27'!F393</f>
        <v>1</v>
      </c>
      <c r="N193" s="78">
        <f t="shared" si="5"/>
        <v>528</v>
      </c>
      <c r="O193" s="103">
        <v>0</v>
      </c>
    </row>
    <row r="194" spans="2:15" ht="15.75">
      <c r="B194" s="78">
        <v>187</v>
      </c>
      <c r="C194" s="103">
        <f>'Refer Para 27'!G385</f>
        <v>102</v>
      </c>
      <c r="D194" s="103">
        <f>'Refer Para 27'!G386</f>
        <v>157</v>
      </c>
      <c r="E194" s="103">
        <f>'Refer Para 27'!G387</f>
        <v>8</v>
      </c>
      <c r="F194" s="103">
        <f>'Refer Para 27'!G388</f>
        <v>303</v>
      </c>
      <c r="G194" s="103">
        <f>'Refer Para 27'!G389</f>
        <v>2</v>
      </c>
      <c r="H194" s="103">
        <f>'Refer Para 27'!G390</f>
        <v>5</v>
      </c>
      <c r="I194" s="103">
        <f>'Refer Para 27'!G391</f>
        <v>8</v>
      </c>
      <c r="J194" s="103">
        <f>'Refer Para 27'!G392</f>
        <v>3</v>
      </c>
      <c r="K194" s="78">
        <f t="shared" si="4"/>
        <v>588</v>
      </c>
      <c r="L194" s="103">
        <v>0</v>
      </c>
      <c r="M194" s="103">
        <f>'Refer Para 27'!G393</f>
        <v>7</v>
      </c>
      <c r="N194" s="78">
        <f t="shared" si="5"/>
        <v>595</v>
      </c>
      <c r="O194" s="103">
        <v>0</v>
      </c>
    </row>
    <row r="195" spans="2:15" ht="15.75">
      <c r="B195" s="78">
        <v>188</v>
      </c>
      <c r="C195" s="103">
        <f>'Refer Para 27'!H385</f>
        <v>215</v>
      </c>
      <c r="D195" s="103">
        <f>'Refer Para 27'!H386</f>
        <v>195</v>
      </c>
      <c r="E195" s="103">
        <f>'Refer Para 27'!H387</f>
        <v>2</v>
      </c>
      <c r="F195" s="103">
        <f>'Refer Para 27'!H388</f>
        <v>164</v>
      </c>
      <c r="G195" s="103">
        <f>'Refer Para 27'!H389</f>
        <v>2</v>
      </c>
      <c r="H195" s="103">
        <f>'Refer Para 27'!H390</f>
        <v>5</v>
      </c>
      <c r="I195" s="103">
        <f>'Refer Para 27'!H391</f>
        <v>3</v>
      </c>
      <c r="J195" s="103">
        <f>'Refer Para 27'!H392</f>
        <v>4</v>
      </c>
      <c r="K195" s="78">
        <f t="shared" si="4"/>
        <v>590</v>
      </c>
      <c r="L195" s="103">
        <v>0</v>
      </c>
      <c r="M195" s="103">
        <f>'Refer Para 27'!H393</f>
        <v>2</v>
      </c>
      <c r="N195" s="78">
        <f t="shared" si="5"/>
        <v>592</v>
      </c>
      <c r="O195" s="103">
        <v>0</v>
      </c>
    </row>
    <row r="196" spans="2:15" ht="15.75">
      <c r="B196" s="78">
        <v>189</v>
      </c>
      <c r="C196" s="103">
        <f>'Refer Para 27'!I385</f>
        <v>194</v>
      </c>
      <c r="D196" s="103">
        <f>'Refer Para 27'!I386</f>
        <v>366</v>
      </c>
      <c r="E196" s="103">
        <f>'Refer Para 27'!I387</f>
        <v>6</v>
      </c>
      <c r="F196" s="103">
        <f>'Refer Para 27'!I388</f>
        <v>12</v>
      </c>
      <c r="G196" s="103">
        <f>'Refer Para 27'!I389</f>
        <v>0</v>
      </c>
      <c r="H196" s="103">
        <f>'Refer Para 27'!I390</f>
        <v>3</v>
      </c>
      <c r="I196" s="103">
        <f>'Refer Para 27'!I391</f>
        <v>3</v>
      </c>
      <c r="J196" s="103">
        <f>'Refer Para 27'!I392</f>
        <v>4</v>
      </c>
      <c r="K196" s="78">
        <f t="shared" si="4"/>
        <v>588</v>
      </c>
      <c r="L196" s="103">
        <v>0</v>
      </c>
      <c r="M196" s="103">
        <f>'Refer Para 27'!I393</f>
        <v>3</v>
      </c>
      <c r="N196" s="78">
        <f t="shared" si="5"/>
        <v>591</v>
      </c>
      <c r="O196" s="103">
        <v>0</v>
      </c>
    </row>
    <row r="197" spans="2:15" ht="15.75">
      <c r="B197" s="78">
        <v>190</v>
      </c>
      <c r="C197" s="103">
        <f>'Refer Para 27'!J385</f>
        <v>166</v>
      </c>
      <c r="D197" s="103">
        <f>'Refer Para 27'!J386</f>
        <v>170</v>
      </c>
      <c r="E197" s="103">
        <f>'Refer Para 27'!J387</f>
        <v>2</v>
      </c>
      <c r="F197" s="103">
        <f>'Refer Para 27'!J388</f>
        <v>11</v>
      </c>
      <c r="G197" s="103">
        <f>'Refer Para 27'!J389</f>
        <v>1</v>
      </c>
      <c r="H197" s="103">
        <f>'Refer Para 27'!J390</f>
        <v>0</v>
      </c>
      <c r="I197" s="103">
        <f>'Refer Para 27'!J391</f>
        <v>2</v>
      </c>
      <c r="J197" s="103">
        <f>'Refer Para 27'!J392</f>
        <v>1</v>
      </c>
      <c r="K197" s="78">
        <f t="shared" si="4"/>
        <v>353</v>
      </c>
      <c r="L197" s="103">
        <v>0</v>
      </c>
      <c r="M197" s="103">
        <f>'Refer Para 27'!J393</f>
        <v>3</v>
      </c>
      <c r="N197" s="78">
        <f t="shared" si="5"/>
        <v>356</v>
      </c>
      <c r="O197" s="103">
        <v>0</v>
      </c>
    </row>
    <row r="198" spans="2:15" ht="15.75">
      <c r="B198" s="78">
        <v>191</v>
      </c>
      <c r="C198" s="103">
        <f>'Refer Para 27'!K385</f>
        <v>465</v>
      </c>
      <c r="D198" s="103">
        <f>'Refer Para 27'!K386</f>
        <v>184</v>
      </c>
      <c r="E198" s="103">
        <f>'Refer Para 27'!K387</f>
        <v>2</v>
      </c>
      <c r="F198" s="103">
        <f>'Refer Para 27'!K388</f>
        <v>14</v>
      </c>
      <c r="G198" s="103">
        <f>'Refer Para 27'!K389</f>
        <v>4</v>
      </c>
      <c r="H198" s="103">
        <f>'Refer Para 27'!K390</f>
        <v>0</v>
      </c>
      <c r="I198" s="103">
        <f>'Refer Para 27'!K391</f>
        <v>0</v>
      </c>
      <c r="J198" s="103">
        <f>'Refer Para 27'!K392</f>
        <v>2</v>
      </c>
      <c r="K198" s="78">
        <f t="shared" si="4"/>
        <v>671</v>
      </c>
      <c r="L198" s="103">
        <v>0</v>
      </c>
      <c r="M198" s="103">
        <f>'Refer Para 27'!K393</f>
        <v>3</v>
      </c>
      <c r="N198" s="78">
        <f t="shared" si="5"/>
        <v>674</v>
      </c>
      <c r="O198" s="103">
        <v>0</v>
      </c>
    </row>
    <row r="199" spans="2:15" ht="15.75">
      <c r="B199" s="78">
        <v>192</v>
      </c>
      <c r="C199" s="103">
        <f>'Refer Para 27'!L385</f>
        <v>543</v>
      </c>
      <c r="D199" s="103">
        <f>'Refer Para 27'!L386</f>
        <v>35</v>
      </c>
      <c r="E199" s="103">
        <f>'Refer Para 27'!L387</f>
        <v>10</v>
      </c>
      <c r="F199" s="103">
        <f>'Refer Para 27'!L388</f>
        <v>38</v>
      </c>
      <c r="G199" s="103">
        <f>'Refer Para 27'!L389</f>
        <v>1</v>
      </c>
      <c r="H199" s="103">
        <f>'Refer Para 27'!L390</f>
        <v>1</v>
      </c>
      <c r="I199" s="103">
        <f>'Refer Para 27'!L391</f>
        <v>1</v>
      </c>
      <c r="J199" s="103">
        <f>'Refer Para 27'!L392</f>
        <v>1</v>
      </c>
      <c r="K199" s="78">
        <f t="shared" si="4"/>
        <v>630</v>
      </c>
      <c r="L199" s="103">
        <v>0</v>
      </c>
      <c r="M199" s="103">
        <f>'Refer Para 27'!L393</f>
        <v>3</v>
      </c>
      <c r="N199" s="78">
        <f t="shared" si="5"/>
        <v>633</v>
      </c>
      <c r="O199" s="103">
        <v>0</v>
      </c>
    </row>
    <row r="200" spans="2:15" ht="15.75">
      <c r="B200" s="78">
        <v>193</v>
      </c>
      <c r="C200" s="103">
        <f>'Refer Para 27'!M385</f>
        <v>484</v>
      </c>
      <c r="D200" s="103">
        <f>'Refer Para 27'!M386</f>
        <v>153</v>
      </c>
      <c r="E200" s="103">
        <f>'Refer Para 27'!M387</f>
        <v>2</v>
      </c>
      <c r="F200" s="103">
        <f>'Refer Para 27'!M388</f>
        <v>12</v>
      </c>
      <c r="G200" s="103">
        <f>'Refer Para 27'!M389</f>
        <v>3</v>
      </c>
      <c r="H200" s="103">
        <f>'Refer Para 27'!M390</f>
        <v>1</v>
      </c>
      <c r="I200" s="103">
        <f>'Refer Para 27'!M391</f>
        <v>1</v>
      </c>
      <c r="J200" s="103">
        <f>'Refer Para 27'!M392</f>
        <v>2</v>
      </c>
      <c r="K200" s="78">
        <f t="shared" ref="K200:K263" si="6">SUM(C200:J200)</f>
        <v>658</v>
      </c>
      <c r="L200" s="103">
        <v>0</v>
      </c>
      <c r="M200" s="103">
        <f>'Refer Para 27'!M393</f>
        <v>6</v>
      </c>
      <c r="N200" s="78">
        <f t="shared" si="5"/>
        <v>664</v>
      </c>
      <c r="O200" s="103">
        <v>0</v>
      </c>
    </row>
    <row r="201" spans="2:15" ht="15.75">
      <c r="B201" s="78">
        <v>194</v>
      </c>
      <c r="C201" s="103">
        <f>'Refer Para 27'!N385</f>
        <v>543</v>
      </c>
      <c r="D201" s="103">
        <f>'Refer Para 27'!N386</f>
        <v>116</v>
      </c>
      <c r="E201" s="103">
        <f>'Refer Para 27'!N387</f>
        <v>5</v>
      </c>
      <c r="F201" s="103">
        <f>'Refer Para 27'!N388</f>
        <v>13</v>
      </c>
      <c r="G201" s="103">
        <f>'Refer Para 27'!N389</f>
        <v>0</v>
      </c>
      <c r="H201" s="103">
        <f>'Refer Para 27'!N390</f>
        <v>2</v>
      </c>
      <c r="I201" s="103">
        <f>'Refer Para 27'!N391</f>
        <v>1</v>
      </c>
      <c r="J201" s="103">
        <f>'Refer Para 27'!N392</f>
        <v>5</v>
      </c>
      <c r="K201" s="78">
        <f t="shared" si="6"/>
        <v>685</v>
      </c>
      <c r="L201" s="103">
        <v>0</v>
      </c>
      <c r="M201" s="103">
        <f>'Refer Para 27'!N393</f>
        <v>4</v>
      </c>
      <c r="N201" s="78">
        <f t="shared" ref="N201:N264" si="7">K201+M201-L201</f>
        <v>689</v>
      </c>
      <c r="O201" s="103">
        <v>0</v>
      </c>
    </row>
    <row r="202" spans="2:15" ht="15.75">
      <c r="B202" s="78">
        <v>195</v>
      </c>
      <c r="C202" s="103">
        <f>'Refer Para 27'!O385</f>
        <v>17</v>
      </c>
      <c r="D202" s="103">
        <f>'Refer Para 27'!O386</f>
        <v>36</v>
      </c>
      <c r="E202" s="103">
        <f>'Refer Para 27'!O387</f>
        <v>2</v>
      </c>
      <c r="F202" s="103">
        <f>'Refer Para 27'!O388</f>
        <v>507</v>
      </c>
      <c r="G202" s="103">
        <f>'Refer Para 27'!O389</f>
        <v>4</v>
      </c>
      <c r="H202" s="103">
        <f>'Refer Para 27'!O390</f>
        <v>2</v>
      </c>
      <c r="I202" s="103">
        <f>'Refer Para 27'!O391</f>
        <v>0</v>
      </c>
      <c r="J202" s="103">
        <f>'Refer Para 27'!O392</f>
        <v>2</v>
      </c>
      <c r="K202" s="78">
        <f t="shared" si="6"/>
        <v>570</v>
      </c>
      <c r="L202" s="103">
        <v>0</v>
      </c>
      <c r="M202" s="103">
        <f>'Refer Para 27'!O393</f>
        <v>0</v>
      </c>
      <c r="N202" s="78">
        <f t="shared" si="7"/>
        <v>570</v>
      </c>
      <c r="O202" s="103">
        <v>0</v>
      </c>
    </row>
    <row r="203" spans="2:15" ht="15.75">
      <c r="B203" s="78">
        <v>196</v>
      </c>
      <c r="C203" s="103">
        <f>'Refer Para 27'!P385</f>
        <v>190</v>
      </c>
      <c r="D203" s="103">
        <f>'Refer Para 27'!P386</f>
        <v>691</v>
      </c>
      <c r="E203" s="103">
        <f>'Refer Para 27'!P387</f>
        <v>4</v>
      </c>
      <c r="F203" s="103">
        <f>'Refer Para 27'!P388</f>
        <v>7</v>
      </c>
      <c r="G203" s="103">
        <f>'Refer Para 27'!P389</f>
        <v>3</v>
      </c>
      <c r="H203" s="103">
        <f>'Refer Para 27'!P390</f>
        <v>1</v>
      </c>
      <c r="I203" s="103">
        <f>'Refer Para 27'!P391</f>
        <v>3</v>
      </c>
      <c r="J203" s="103">
        <f>'Refer Para 27'!P392</f>
        <v>8</v>
      </c>
      <c r="K203" s="78">
        <f t="shared" si="6"/>
        <v>907</v>
      </c>
      <c r="L203" s="103">
        <v>0</v>
      </c>
      <c r="M203" s="103">
        <f>'Refer Para 27'!P393</f>
        <v>2</v>
      </c>
      <c r="N203" s="78">
        <f t="shared" si="7"/>
        <v>909</v>
      </c>
      <c r="O203" s="103">
        <v>0</v>
      </c>
    </row>
    <row r="204" spans="2:15" ht="15.75">
      <c r="B204" s="78">
        <v>197</v>
      </c>
      <c r="C204" s="103">
        <f>'Refer Para 27'!C414</f>
        <v>561</v>
      </c>
      <c r="D204" s="103">
        <f>'Refer Para 27'!C415</f>
        <v>11</v>
      </c>
      <c r="E204" s="103">
        <f>'Refer Para 27'!C416</f>
        <v>4</v>
      </c>
      <c r="F204" s="103">
        <f>'Refer Para 27'!C417</f>
        <v>28</v>
      </c>
      <c r="G204" s="103">
        <f>'Refer Para 27'!C418</f>
        <v>0</v>
      </c>
      <c r="H204" s="103">
        <f>'Refer Para 27'!C419</f>
        <v>0</v>
      </c>
      <c r="I204" s="103">
        <f>'Refer Para 27'!C420</f>
        <v>0</v>
      </c>
      <c r="J204" s="103">
        <f>'Refer Para 27'!C421</f>
        <v>0</v>
      </c>
      <c r="K204" s="78">
        <f t="shared" si="6"/>
        <v>604</v>
      </c>
      <c r="L204" s="103">
        <v>0</v>
      </c>
      <c r="M204" s="103">
        <f>'Refer Para 27'!C422</f>
        <v>1</v>
      </c>
      <c r="N204" s="78">
        <f t="shared" si="7"/>
        <v>605</v>
      </c>
      <c r="O204" s="103">
        <v>0</v>
      </c>
    </row>
    <row r="205" spans="2:15" ht="15.75">
      <c r="B205" s="78">
        <v>198</v>
      </c>
      <c r="C205" s="103">
        <f>'Refer Para 27'!D414</f>
        <v>499</v>
      </c>
      <c r="D205" s="103">
        <f>'Refer Para 27'!D415</f>
        <v>52</v>
      </c>
      <c r="E205" s="103">
        <f>'Refer Para 27'!D416</f>
        <v>4</v>
      </c>
      <c r="F205" s="103">
        <f>'Refer Para 27'!D417</f>
        <v>24</v>
      </c>
      <c r="G205" s="103">
        <f>'Refer Para 27'!D418</f>
        <v>0</v>
      </c>
      <c r="H205" s="103">
        <f>'Refer Para 27'!D419</f>
        <v>1</v>
      </c>
      <c r="I205" s="103">
        <f>'Refer Para 27'!D420</f>
        <v>2</v>
      </c>
      <c r="J205" s="103">
        <f>'Refer Para 27'!D421</f>
        <v>3</v>
      </c>
      <c r="K205" s="78">
        <f t="shared" si="6"/>
        <v>585</v>
      </c>
      <c r="L205" s="103">
        <v>0</v>
      </c>
      <c r="M205" s="103">
        <f>'Refer Para 27'!D422</f>
        <v>3</v>
      </c>
      <c r="N205" s="78">
        <f t="shared" si="7"/>
        <v>588</v>
      </c>
      <c r="O205" s="103">
        <v>0</v>
      </c>
    </row>
    <row r="206" spans="2:15" ht="15.75">
      <c r="B206" s="78">
        <v>199</v>
      </c>
      <c r="C206" s="103">
        <f>'Refer Para 27'!E414</f>
        <v>11</v>
      </c>
      <c r="D206" s="103">
        <f>'Refer Para 27'!E415</f>
        <v>83</v>
      </c>
      <c r="E206" s="103">
        <f>'Refer Para 27'!E416</f>
        <v>5</v>
      </c>
      <c r="F206" s="103">
        <f>'Refer Para 27'!E417</f>
        <v>543</v>
      </c>
      <c r="G206" s="103">
        <f>'Refer Para 27'!E418</f>
        <v>3</v>
      </c>
      <c r="H206" s="103">
        <f>'Refer Para 27'!E419</f>
        <v>7</v>
      </c>
      <c r="I206" s="103">
        <f>'Refer Para 27'!E420</f>
        <v>3</v>
      </c>
      <c r="J206" s="103">
        <f>'Refer Para 27'!E421</f>
        <v>0</v>
      </c>
      <c r="K206" s="78">
        <f t="shared" si="6"/>
        <v>655</v>
      </c>
      <c r="L206" s="103">
        <v>0</v>
      </c>
      <c r="M206" s="103">
        <f>'Refer Para 27'!E422</f>
        <v>0</v>
      </c>
      <c r="N206" s="78">
        <f t="shared" si="7"/>
        <v>655</v>
      </c>
      <c r="O206" s="103">
        <v>0</v>
      </c>
    </row>
    <row r="207" spans="2:15" ht="15.75">
      <c r="B207" s="78">
        <v>200</v>
      </c>
      <c r="C207" s="103">
        <f>'Refer Para 27'!F414</f>
        <v>28</v>
      </c>
      <c r="D207" s="103">
        <f>'Refer Para 27'!F415</f>
        <v>753</v>
      </c>
      <c r="E207" s="103">
        <f>'Refer Para 27'!F416</f>
        <v>6</v>
      </c>
      <c r="F207" s="103">
        <f>'Refer Para 27'!F417</f>
        <v>7</v>
      </c>
      <c r="G207" s="103">
        <f>'Refer Para 27'!F418</f>
        <v>0</v>
      </c>
      <c r="H207" s="103">
        <f>'Refer Para 27'!F419</f>
        <v>3</v>
      </c>
      <c r="I207" s="103">
        <f>'Refer Para 27'!F420</f>
        <v>0</v>
      </c>
      <c r="J207" s="103">
        <f>'Refer Para 27'!F421</f>
        <v>6</v>
      </c>
      <c r="K207" s="78">
        <f t="shared" si="6"/>
        <v>803</v>
      </c>
      <c r="L207" s="103">
        <v>0</v>
      </c>
      <c r="M207" s="103">
        <f>'Refer Para 27'!F422</f>
        <v>3</v>
      </c>
      <c r="N207" s="78">
        <f t="shared" si="7"/>
        <v>806</v>
      </c>
      <c r="O207" s="103">
        <v>0</v>
      </c>
    </row>
    <row r="208" spans="2:15" ht="15.75">
      <c r="B208" s="78">
        <v>201</v>
      </c>
      <c r="C208" s="103">
        <f>'Refer Para 27'!G414</f>
        <v>77</v>
      </c>
      <c r="D208" s="103">
        <f>'Refer Para 27'!G415</f>
        <v>321</v>
      </c>
      <c r="E208" s="103">
        <f>'Refer Para 27'!G416</f>
        <v>3</v>
      </c>
      <c r="F208" s="103">
        <f>'Refer Para 27'!G417</f>
        <v>49</v>
      </c>
      <c r="G208" s="103">
        <f>'Refer Para 27'!G418</f>
        <v>0</v>
      </c>
      <c r="H208" s="103">
        <f>'Refer Para 27'!G419</f>
        <v>4</v>
      </c>
      <c r="I208" s="103">
        <f>'Refer Para 27'!G420</f>
        <v>0</v>
      </c>
      <c r="J208" s="103">
        <f>'Refer Para 27'!G421</f>
        <v>6</v>
      </c>
      <c r="K208" s="78">
        <f t="shared" si="6"/>
        <v>460</v>
      </c>
      <c r="L208" s="103">
        <v>0</v>
      </c>
      <c r="M208" s="103">
        <f>'Refer Para 27'!G422</f>
        <v>0</v>
      </c>
      <c r="N208" s="78">
        <f t="shared" si="7"/>
        <v>460</v>
      </c>
      <c r="O208" s="103">
        <v>0</v>
      </c>
    </row>
    <row r="209" spans="2:15" ht="15.75">
      <c r="B209" s="78">
        <v>202</v>
      </c>
      <c r="C209" s="103">
        <f>'Refer Para 27'!H414</f>
        <v>113</v>
      </c>
      <c r="D209" s="103">
        <f>'Refer Para 27'!H415</f>
        <v>301</v>
      </c>
      <c r="E209" s="103">
        <f>'Refer Para 27'!H416</f>
        <v>7</v>
      </c>
      <c r="F209" s="103">
        <f>'Refer Para 27'!H417</f>
        <v>182</v>
      </c>
      <c r="G209" s="103">
        <f>'Refer Para 27'!H418</f>
        <v>1</v>
      </c>
      <c r="H209" s="103">
        <f>'Refer Para 27'!H419</f>
        <v>4</v>
      </c>
      <c r="I209" s="103">
        <f>'Refer Para 27'!H420</f>
        <v>5</v>
      </c>
      <c r="J209" s="103">
        <f>'Refer Para 27'!H421</f>
        <v>4</v>
      </c>
      <c r="K209" s="78">
        <f t="shared" si="6"/>
        <v>617</v>
      </c>
      <c r="L209" s="103">
        <v>0</v>
      </c>
      <c r="M209" s="103">
        <f>'Refer Para 27'!H422</f>
        <v>5</v>
      </c>
      <c r="N209" s="78">
        <f t="shared" si="7"/>
        <v>622</v>
      </c>
      <c r="O209" s="103">
        <v>0</v>
      </c>
    </row>
    <row r="210" spans="2:15" ht="15.75">
      <c r="B210" s="78">
        <v>203</v>
      </c>
      <c r="C210" s="103">
        <f>'Refer Para 27'!I414</f>
        <v>108</v>
      </c>
      <c r="D210" s="103">
        <f>'Refer Para 27'!I415</f>
        <v>475</v>
      </c>
      <c r="E210" s="103">
        <f>'Refer Para 27'!I416</f>
        <v>11</v>
      </c>
      <c r="F210" s="103">
        <f>'Refer Para 27'!I417</f>
        <v>7</v>
      </c>
      <c r="G210" s="103">
        <f>'Refer Para 27'!I418</f>
        <v>2</v>
      </c>
      <c r="H210" s="103">
        <f>'Refer Para 27'!I419</f>
        <v>5</v>
      </c>
      <c r="I210" s="103">
        <f>'Refer Para 27'!I420</f>
        <v>3</v>
      </c>
      <c r="J210" s="103">
        <f>'Refer Para 27'!I421</f>
        <v>7</v>
      </c>
      <c r="K210" s="78">
        <f t="shared" si="6"/>
        <v>618</v>
      </c>
      <c r="L210" s="103">
        <v>0</v>
      </c>
      <c r="M210" s="103">
        <f>'Refer Para 27'!I422</f>
        <v>6</v>
      </c>
      <c r="N210" s="78">
        <f t="shared" si="7"/>
        <v>624</v>
      </c>
      <c r="O210" s="103">
        <v>0</v>
      </c>
    </row>
    <row r="211" spans="2:15" ht="15.75">
      <c r="B211" s="78">
        <v>204</v>
      </c>
      <c r="C211" s="103">
        <f>'Refer Para 27'!J414</f>
        <v>70</v>
      </c>
      <c r="D211" s="103">
        <f>'Refer Para 27'!J415</f>
        <v>514</v>
      </c>
      <c r="E211" s="103">
        <f>'Refer Para 27'!J416</f>
        <v>18</v>
      </c>
      <c r="F211" s="103">
        <f>'Refer Para 27'!J417</f>
        <v>54</v>
      </c>
      <c r="G211" s="103">
        <f>'Refer Para 27'!J418</f>
        <v>2</v>
      </c>
      <c r="H211" s="103">
        <f>'Refer Para 27'!J419</f>
        <v>3</v>
      </c>
      <c r="I211" s="103">
        <f>'Refer Para 27'!J420</f>
        <v>4</v>
      </c>
      <c r="J211" s="103">
        <f>'Refer Para 27'!J421</f>
        <v>5</v>
      </c>
      <c r="K211" s="78">
        <f t="shared" si="6"/>
        <v>670</v>
      </c>
      <c r="L211" s="103">
        <v>0</v>
      </c>
      <c r="M211" s="103">
        <f>'Refer Para 27'!J422</f>
        <v>5</v>
      </c>
      <c r="N211" s="78">
        <f t="shared" si="7"/>
        <v>675</v>
      </c>
      <c r="O211" s="103">
        <v>0</v>
      </c>
    </row>
    <row r="212" spans="2:15" ht="15.75">
      <c r="B212" s="78">
        <v>205</v>
      </c>
      <c r="C212" s="103">
        <f>'Refer Para 27'!K414</f>
        <v>148</v>
      </c>
      <c r="D212" s="103">
        <f>'Refer Para 27'!K415</f>
        <v>156</v>
      </c>
      <c r="E212" s="103">
        <f>'Refer Para 27'!K416</f>
        <v>8</v>
      </c>
      <c r="F212" s="103">
        <f>'Refer Para 27'!K417</f>
        <v>128</v>
      </c>
      <c r="G212" s="103">
        <f>'Refer Para 27'!K418</f>
        <v>2</v>
      </c>
      <c r="H212" s="103">
        <f>'Refer Para 27'!K419</f>
        <v>0</v>
      </c>
      <c r="I212" s="103">
        <f>'Refer Para 27'!K420</f>
        <v>1</v>
      </c>
      <c r="J212" s="103">
        <f>'Refer Para 27'!K421</f>
        <v>1</v>
      </c>
      <c r="K212" s="78">
        <f t="shared" si="6"/>
        <v>444</v>
      </c>
      <c r="L212" s="103">
        <v>0</v>
      </c>
      <c r="M212" s="103">
        <f>'Refer Para 27'!K422</f>
        <v>1</v>
      </c>
      <c r="N212" s="78">
        <f t="shared" si="7"/>
        <v>445</v>
      </c>
      <c r="O212" s="103">
        <v>0</v>
      </c>
    </row>
    <row r="213" spans="2:15" ht="15.75">
      <c r="B213" s="78">
        <v>206</v>
      </c>
      <c r="C213" s="103">
        <f>'Refer Para 27'!L414</f>
        <v>318</v>
      </c>
      <c r="D213" s="103">
        <f>'Refer Para 27'!L415</f>
        <v>335</v>
      </c>
      <c r="E213" s="103">
        <f>'Refer Para 27'!L416</f>
        <v>9</v>
      </c>
      <c r="F213" s="103">
        <f>'Refer Para 27'!L417</f>
        <v>54</v>
      </c>
      <c r="G213" s="103">
        <f>'Refer Para 27'!L418</f>
        <v>3</v>
      </c>
      <c r="H213" s="103">
        <f>'Refer Para 27'!L419</f>
        <v>1</v>
      </c>
      <c r="I213" s="103">
        <f>'Refer Para 27'!L420</f>
        <v>3</v>
      </c>
      <c r="J213" s="103">
        <f>'Refer Para 27'!L421</f>
        <v>1</v>
      </c>
      <c r="K213" s="78">
        <f t="shared" si="6"/>
        <v>724</v>
      </c>
      <c r="L213" s="103">
        <v>0</v>
      </c>
      <c r="M213" s="103">
        <f>'Refer Para 27'!L422</f>
        <v>5</v>
      </c>
      <c r="N213" s="78">
        <f t="shared" si="7"/>
        <v>729</v>
      </c>
      <c r="O213" s="103">
        <v>0</v>
      </c>
    </row>
    <row r="214" spans="2:15" ht="15.75">
      <c r="B214" s="78">
        <v>207</v>
      </c>
      <c r="C214" s="103">
        <f>'Refer Para 27'!M414</f>
        <v>143</v>
      </c>
      <c r="D214" s="103">
        <f>'Refer Para 27'!M415</f>
        <v>310</v>
      </c>
      <c r="E214" s="103">
        <f>'Refer Para 27'!M416</f>
        <v>6</v>
      </c>
      <c r="F214" s="103">
        <f>'Refer Para 27'!M417</f>
        <v>121</v>
      </c>
      <c r="G214" s="103">
        <f>'Refer Para 27'!M418</f>
        <v>2</v>
      </c>
      <c r="H214" s="103">
        <f>'Refer Para 27'!M419</f>
        <v>5</v>
      </c>
      <c r="I214" s="103">
        <f>'Refer Para 27'!M420</f>
        <v>0</v>
      </c>
      <c r="J214" s="103">
        <f>'Refer Para 27'!M421</f>
        <v>4</v>
      </c>
      <c r="K214" s="78">
        <f t="shared" si="6"/>
        <v>591</v>
      </c>
      <c r="L214" s="103">
        <v>0</v>
      </c>
      <c r="M214" s="103">
        <f>'Refer Para 27'!M422</f>
        <v>3</v>
      </c>
      <c r="N214" s="78">
        <f t="shared" si="7"/>
        <v>594</v>
      </c>
      <c r="O214" s="103">
        <v>0</v>
      </c>
    </row>
    <row r="215" spans="2:15" ht="15.75">
      <c r="B215" s="78">
        <v>208</v>
      </c>
      <c r="C215" s="103">
        <f>'Refer Para 27'!N414</f>
        <v>64</v>
      </c>
      <c r="D215" s="103">
        <f>'Refer Para 27'!N415</f>
        <v>454</v>
      </c>
      <c r="E215" s="103">
        <f>'Refer Para 27'!N416</f>
        <v>4</v>
      </c>
      <c r="F215" s="103">
        <f>'Refer Para 27'!N417</f>
        <v>18</v>
      </c>
      <c r="G215" s="103">
        <f>'Refer Para 27'!N418</f>
        <v>0</v>
      </c>
      <c r="H215" s="103">
        <f>'Refer Para 27'!N419</f>
        <v>1</v>
      </c>
      <c r="I215" s="103">
        <f>'Refer Para 27'!N420</f>
        <v>6</v>
      </c>
      <c r="J215" s="103">
        <f>'Refer Para 27'!N421</f>
        <v>5</v>
      </c>
      <c r="K215" s="78">
        <f t="shared" si="6"/>
        <v>552</v>
      </c>
      <c r="L215" s="103">
        <v>0</v>
      </c>
      <c r="M215" s="103">
        <f>'Refer Para 27'!N422</f>
        <v>1</v>
      </c>
      <c r="N215" s="78">
        <f t="shared" si="7"/>
        <v>553</v>
      </c>
      <c r="O215" s="103">
        <v>0</v>
      </c>
    </row>
    <row r="216" spans="2:15" ht="15.75">
      <c r="B216" s="78">
        <v>209</v>
      </c>
      <c r="C216" s="103">
        <f>'Refer Para 27'!O414</f>
        <v>51</v>
      </c>
      <c r="D216" s="103">
        <f>'Refer Para 27'!O415</f>
        <v>592</v>
      </c>
      <c r="E216" s="103">
        <f>'Refer Para 27'!O416</f>
        <v>10</v>
      </c>
      <c r="F216" s="103">
        <f>'Refer Para 27'!O417</f>
        <v>0</v>
      </c>
      <c r="G216" s="103">
        <f>'Refer Para 27'!O418</f>
        <v>0</v>
      </c>
      <c r="H216" s="103">
        <f>'Refer Para 27'!O419</f>
        <v>4</v>
      </c>
      <c r="I216" s="103">
        <f>'Refer Para 27'!O420</f>
        <v>5</v>
      </c>
      <c r="J216" s="103">
        <f>'Refer Para 27'!O421</f>
        <v>8</v>
      </c>
      <c r="K216" s="78">
        <f t="shared" si="6"/>
        <v>670</v>
      </c>
      <c r="L216" s="103">
        <v>0</v>
      </c>
      <c r="M216" s="103">
        <f>'Refer Para 27'!O422</f>
        <v>2</v>
      </c>
      <c r="N216" s="78">
        <f t="shared" si="7"/>
        <v>672</v>
      </c>
      <c r="O216" s="103">
        <v>0</v>
      </c>
    </row>
    <row r="217" spans="2:15" ht="15.75">
      <c r="B217" s="78">
        <v>210</v>
      </c>
      <c r="C217" s="103">
        <f>'Refer Para 27'!P414</f>
        <v>3</v>
      </c>
      <c r="D217" s="103">
        <f>'Refer Para 27'!P415</f>
        <v>480</v>
      </c>
      <c r="E217" s="103">
        <f>'Refer Para 27'!P416</f>
        <v>15</v>
      </c>
      <c r="F217" s="103">
        <f>'Refer Para 27'!P417</f>
        <v>150</v>
      </c>
      <c r="G217" s="103">
        <f>'Refer Para 27'!P418</f>
        <v>0</v>
      </c>
      <c r="H217" s="103">
        <f>'Refer Para 27'!P419</f>
        <v>1</v>
      </c>
      <c r="I217" s="103">
        <f>'Refer Para 27'!P420</f>
        <v>1</v>
      </c>
      <c r="J217" s="103">
        <f>'Refer Para 27'!P421</f>
        <v>2</v>
      </c>
      <c r="K217" s="78">
        <f t="shared" si="6"/>
        <v>652</v>
      </c>
      <c r="L217" s="103">
        <v>0</v>
      </c>
      <c r="M217" s="103">
        <f>'Refer Para 27'!P422</f>
        <v>0</v>
      </c>
      <c r="N217" s="78">
        <f t="shared" si="7"/>
        <v>652</v>
      </c>
      <c r="O217" s="103">
        <v>0</v>
      </c>
    </row>
    <row r="218" spans="2:15" ht="15.75">
      <c r="B218" s="78">
        <v>211</v>
      </c>
      <c r="C218" s="103">
        <f>'Refer Para 27'!C443</f>
        <v>9</v>
      </c>
      <c r="D218" s="103">
        <f>'Refer Para 27'!C444</f>
        <v>495</v>
      </c>
      <c r="E218" s="103">
        <f>'Refer Para 27'!C445</f>
        <v>4</v>
      </c>
      <c r="F218" s="103">
        <f>'Refer Para 27'!C446</f>
        <v>167</v>
      </c>
      <c r="G218" s="103">
        <f>'Refer Para 27'!C447</f>
        <v>2</v>
      </c>
      <c r="H218" s="103">
        <f>'Refer Para 27'!C448</f>
        <v>3</v>
      </c>
      <c r="I218" s="103">
        <f>'Refer Para 27'!C449</f>
        <v>0</v>
      </c>
      <c r="J218" s="103">
        <f>'Refer Para 27'!C450</f>
        <v>2</v>
      </c>
      <c r="K218" s="78">
        <f t="shared" si="6"/>
        <v>682</v>
      </c>
      <c r="L218" s="103">
        <v>0</v>
      </c>
      <c r="M218" s="103">
        <f>'Refer Para 27'!C451</f>
        <v>2</v>
      </c>
      <c r="N218" s="78">
        <f t="shared" si="7"/>
        <v>684</v>
      </c>
      <c r="O218" s="103">
        <v>0</v>
      </c>
    </row>
    <row r="219" spans="2:15" ht="15.75">
      <c r="B219" s="78">
        <v>212</v>
      </c>
      <c r="C219" s="103">
        <f>'Refer Para 27'!D443</f>
        <v>33</v>
      </c>
      <c r="D219" s="103">
        <f>'Refer Para 27'!D444</f>
        <v>583</v>
      </c>
      <c r="E219" s="103">
        <f>'Refer Para 27'!D445</f>
        <v>6</v>
      </c>
      <c r="F219" s="103">
        <f>'Refer Para 27'!D446</f>
        <v>28</v>
      </c>
      <c r="G219" s="103">
        <f>'Refer Para 27'!D447</f>
        <v>1</v>
      </c>
      <c r="H219" s="103">
        <f>'Refer Para 27'!D448</f>
        <v>0</v>
      </c>
      <c r="I219" s="103">
        <f>'Refer Para 27'!D449</f>
        <v>3</v>
      </c>
      <c r="J219" s="103">
        <f>'Refer Para 27'!D450</f>
        <v>0</v>
      </c>
      <c r="K219" s="78">
        <f t="shared" si="6"/>
        <v>654</v>
      </c>
      <c r="L219" s="103">
        <v>0</v>
      </c>
      <c r="M219" s="103">
        <f>'Refer Para 27'!D451</f>
        <v>4</v>
      </c>
      <c r="N219" s="78">
        <f t="shared" si="7"/>
        <v>658</v>
      </c>
      <c r="O219" s="103">
        <v>0</v>
      </c>
    </row>
    <row r="220" spans="2:15" ht="15.75">
      <c r="B220" s="78">
        <v>213</v>
      </c>
      <c r="C220" s="103">
        <f>'Refer Para 27'!E443</f>
        <v>37</v>
      </c>
      <c r="D220" s="103">
        <f>'Refer Para 27'!E444</f>
        <v>523</v>
      </c>
      <c r="E220" s="103">
        <f>'Refer Para 27'!E445</f>
        <v>8</v>
      </c>
      <c r="F220" s="103">
        <f>'Refer Para 27'!E446</f>
        <v>174</v>
      </c>
      <c r="G220" s="103">
        <f>'Refer Para 27'!E447</f>
        <v>2</v>
      </c>
      <c r="H220" s="103">
        <f>'Refer Para 27'!E448</f>
        <v>7</v>
      </c>
      <c r="I220" s="103">
        <f>'Refer Para 27'!E449</f>
        <v>17</v>
      </c>
      <c r="J220" s="103">
        <f>'Refer Para 27'!E450</f>
        <v>6</v>
      </c>
      <c r="K220" s="78">
        <f t="shared" si="6"/>
        <v>774</v>
      </c>
      <c r="L220" s="103">
        <v>0</v>
      </c>
      <c r="M220" s="103">
        <f>'Refer Para 27'!E451</f>
        <v>6</v>
      </c>
      <c r="N220" s="78">
        <f t="shared" si="7"/>
        <v>780</v>
      </c>
      <c r="O220" s="103">
        <v>0</v>
      </c>
    </row>
    <row r="221" spans="2:15" ht="15.75">
      <c r="B221" s="78">
        <v>214</v>
      </c>
      <c r="C221" s="103">
        <f>'Refer Para 27'!F443</f>
        <v>36</v>
      </c>
      <c r="D221" s="103">
        <f>'Refer Para 27'!F444</f>
        <v>483</v>
      </c>
      <c r="E221" s="103">
        <f>'Refer Para 27'!F445</f>
        <v>11</v>
      </c>
      <c r="F221" s="103">
        <f>'Refer Para 27'!F446</f>
        <v>118</v>
      </c>
      <c r="G221" s="103">
        <f>'Refer Para 27'!F447</f>
        <v>3</v>
      </c>
      <c r="H221" s="103">
        <f>'Refer Para 27'!F448</f>
        <v>7</v>
      </c>
      <c r="I221" s="103">
        <f>'Refer Para 27'!F449</f>
        <v>20</v>
      </c>
      <c r="J221" s="103">
        <f>'Refer Para 27'!F450</f>
        <v>11</v>
      </c>
      <c r="K221" s="78">
        <f t="shared" si="6"/>
        <v>689</v>
      </c>
      <c r="L221" s="103">
        <v>0</v>
      </c>
      <c r="M221" s="103">
        <f>'Refer Para 27'!F451</f>
        <v>7</v>
      </c>
      <c r="N221" s="78">
        <f t="shared" si="7"/>
        <v>696</v>
      </c>
      <c r="O221" s="103">
        <v>0</v>
      </c>
    </row>
    <row r="222" spans="2:15" ht="15.75">
      <c r="B222" s="78">
        <v>215</v>
      </c>
      <c r="C222" s="103">
        <f>'Refer Para 27'!G443</f>
        <v>62</v>
      </c>
      <c r="D222" s="103">
        <f>'Refer Para 27'!G444</f>
        <v>734</v>
      </c>
      <c r="E222" s="103">
        <f>'Refer Para 27'!G445</f>
        <v>1</v>
      </c>
      <c r="F222" s="103">
        <f>'Refer Para 27'!G446</f>
        <v>9</v>
      </c>
      <c r="G222" s="103">
        <f>'Refer Para 27'!G447</f>
        <v>1</v>
      </c>
      <c r="H222" s="103">
        <f>'Refer Para 27'!G448</f>
        <v>3</v>
      </c>
      <c r="I222" s="103">
        <f>'Refer Para 27'!G449</f>
        <v>7</v>
      </c>
      <c r="J222" s="103">
        <f>'Refer Para 27'!G450</f>
        <v>2</v>
      </c>
      <c r="K222" s="78">
        <f t="shared" si="6"/>
        <v>819</v>
      </c>
      <c r="L222" s="103">
        <v>0</v>
      </c>
      <c r="M222" s="103">
        <f>'Refer Para 27'!G451</f>
        <v>10</v>
      </c>
      <c r="N222" s="78">
        <f t="shared" si="7"/>
        <v>829</v>
      </c>
      <c r="O222" s="103">
        <v>0</v>
      </c>
    </row>
    <row r="223" spans="2:15" ht="15.75">
      <c r="B223" s="78">
        <v>216</v>
      </c>
      <c r="C223" s="103">
        <f>'Refer Para 27'!H443</f>
        <v>26</v>
      </c>
      <c r="D223" s="103">
        <f>'Refer Para 27'!H444</f>
        <v>543</v>
      </c>
      <c r="E223" s="103">
        <f>'Refer Para 27'!H445</f>
        <v>16</v>
      </c>
      <c r="F223" s="103">
        <f>'Refer Para 27'!H446</f>
        <v>67</v>
      </c>
      <c r="G223" s="103">
        <f>'Refer Para 27'!H447</f>
        <v>5</v>
      </c>
      <c r="H223" s="103">
        <f>'Refer Para 27'!H448</f>
        <v>3</v>
      </c>
      <c r="I223" s="103">
        <f>'Refer Para 27'!H449</f>
        <v>6</v>
      </c>
      <c r="J223" s="103">
        <f>'Refer Para 27'!H450</f>
        <v>2</v>
      </c>
      <c r="K223" s="78">
        <f t="shared" si="6"/>
        <v>668</v>
      </c>
      <c r="L223" s="103">
        <v>0</v>
      </c>
      <c r="M223" s="103">
        <f>'Refer Para 27'!H451</f>
        <v>4</v>
      </c>
      <c r="N223" s="78">
        <f t="shared" si="7"/>
        <v>672</v>
      </c>
      <c r="O223" s="103">
        <v>0</v>
      </c>
    </row>
    <row r="224" spans="2:15" ht="15.75">
      <c r="B224" s="78">
        <v>217</v>
      </c>
      <c r="C224" s="103">
        <f>'Refer Para 27'!I443</f>
        <v>90</v>
      </c>
      <c r="D224" s="103">
        <f>'Refer Para 27'!I444</f>
        <v>637</v>
      </c>
      <c r="E224" s="103">
        <f>'Refer Para 27'!I445</f>
        <v>5</v>
      </c>
      <c r="F224" s="103">
        <f>'Refer Para 27'!I446</f>
        <v>103</v>
      </c>
      <c r="G224" s="103">
        <f>'Refer Para 27'!I447</f>
        <v>0</v>
      </c>
      <c r="H224" s="103">
        <f>'Refer Para 27'!I448</f>
        <v>1</v>
      </c>
      <c r="I224" s="103">
        <f>'Refer Para 27'!I449</f>
        <v>5</v>
      </c>
      <c r="J224" s="103">
        <f>'Refer Para 27'!I450</f>
        <v>2</v>
      </c>
      <c r="K224" s="78">
        <f t="shared" si="6"/>
        <v>843</v>
      </c>
      <c r="L224" s="103">
        <v>0</v>
      </c>
      <c r="M224" s="103">
        <f>'Refer Para 27'!I451</f>
        <v>2</v>
      </c>
      <c r="N224" s="78">
        <f t="shared" si="7"/>
        <v>845</v>
      </c>
      <c r="O224" s="103">
        <v>0</v>
      </c>
    </row>
    <row r="225" spans="2:15" ht="15.75">
      <c r="B225" s="78">
        <v>218</v>
      </c>
      <c r="C225" s="103">
        <f>'Refer Para 27'!J443</f>
        <v>45</v>
      </c>
      <c r="D225" s="103">
        <f>'Refer Para 27'!J444</f>
        <v>288</v>
      </c>
      <c r="E225" s="103">
        <f>'Refer Para 27'!J445</f>
        <v>25</v>
      </c>
      <c r="F225" s="103">
        <f>'Refer Para 27'!J446</f>
        <v>9</v>
      </c>
      <c r="G225" s="103">
        <f>'Refer Para 27'!J447</f>
        <v>3</v>
      </c>
      <c r="H225" s="103">
        <f>'Refer Para 27'!J448</f>
        <v>1</v>
      </c>
      <c r="I225" s="103">
        <f>'Refer Para 27'!J449</f>
        <v>5</v>
      </c>
      <c r="J225" s="103">
        <f>'Refer Para 27'!J450</f>
        <v>2</v>
      </c>
      <c r="K225" s="78">
        <f t="shared" si="6"/>
        <v>378</v>
      </c>
      <c r="L225" s="103">
        <v>0</v>
      </c>
      <c r="M225" s="103">
        <f>'Refer Para 27'!J451</f>
        <v>5</v>
      </c>
      <c r="N225" s="78">
        <f t="shared" si="7"/>
        <v>383</v>
      </c>
      <c r="O225" s="103">
        <v>0</v>
      </c>
    </row>
    <row r="226" spans="2:15" ht="15.75">
      <c r="B226" s="78">
        <v>219</v>
      </c>
      <c r="C226" s="103">
        <f>'Refer Para 27'!K443</f>
        <v>18</v>
      </c>
      <c r="D226" s="103">
        <f>'Refer Para 27'!K444</f>
        <v>117</v>
      </c>
      <c r="E226" s="103">
        <f>'Refer Para 27'!K445</f>
        <v>16</v>
      </c>
      <c r="F226" s="103">
        <f>'Refer Para 27'!K446</f>
        <v>224</v>
      </c>
      <c r="G226" s="103">
        <f>'Refer Para 27'!K447</f>
        <v>1</v>
      </c>
      <c r="H226" s="103">
        <f>'Refer Para 27'!K448</f>
        <v>5</v>
      </c>
      <c r="I226" s="103">
        <f>'Refer Para 27'!K449</f>
        <v>2</v>
      </c>
      <c r="J226" s="103">
        <f>'Refer Para 27'!K450</f>
        <v>0</v>
      </c>
      <c r="K226" s="78">
        <f t="shared" si="6"/>
        <v>383</v>
      </c>
      <c r="L226" s="103">
        <v>0</v>
      </c>
      <c r="M226" s="103">
        <f>'Refer Para 27'!K451</f>
        <v>0</v>
      </c>
      <c r="N226" s="78">
        <f t="shared" si="7"/>
        <v>383</v>
      </c>
      <c r="O226" s="103">
        <v>0</v>
      </c>
    </row>
    <row r="227" spans="2:15" ht="15.75">
      <c r="B227" s="78">
        <v>220</v>
      </c>
      <c r="C227" s="103">
        <f>'Refer Para 27'!L443</f>
        <v>82</v>
      </c>
      <c r="D227" s="103">
        <f>'Refer Para 27'!L444</f>
        <v>322</v>
      </c>
      <c r="E227" s="103">
        <f>'Refer Para 27'!L445</f>
        <v>14</v>
      </c>
      <c r="F227" s="103">
        <f>'Refer Para 27'!L446</f>
        <v>254</v>
      </c>
      <c r="G227" s="103">
        <f>'Refer Para 27'!L447</f>
        <v>3</v>
      </c>
      <c r="H227" s="103">
        <f>'Refer Para 27'!L448</f>
        <v>5</v>
      </c>
      <c r="I227" s="103">
        <f>'Refer Para 27'!L449</f>
        <v>6</v>
      </c>
      <c r="J227" s="103">
        <f>'Refer Para 27'!L450</f>
        <v>5</v>
      </c>
      <c r="K227" s="78">
        <f t="shared" si="6"/>
        <v>691</v>
      </c>
      <c r="L227" s="103">
        <v>0</v>
      </c>
      <c r="M227" s="103">
        <f>'Refer Para 27'!L451</f>
        <v>4</v>
      </c>
      <c r="N227" s="78">
        <f t="shared" si="7"/>
        <v>695</v>
      </c>
      <c r="O227" s="103">
        <v>0</v>
      </c>
    </row>
    <row r="228" spans="2:15" ht="15.75">
      <c r="B228" s="78">
        <v>221</v>
      </c>
      <c r="C228" s="103">
        <f>'Refer Para 27'!M443</f>
        <v>24</v>
      </c>
      <c r="D228" s="103">
        <f>'Refer Para 27'!M444</f>
        <v>547</v>
      </c>
      <c r="E228" s="103">
        <f>'Refer Para 27'!M445</f>
        <v>6</v>
      </c>
      <c r="F228" s="103">
        <f>'Refer Para 27'!M446</f>
        <v>22</v>
      </c>
      <c r="G228" s="103">
        <f>'Refer Para 27'!M447</f>
        <v>1</v>
      </c>
      <c r="H228" s="103">
        <f>'Refer Para 27'!M448</f>
        <v>5</v>
      </c>
      <c r="I228" s="103">
        <f>'Refer Para 27'!M449</f>
        <v>3</v>
      </c>
      <c r="J228" s="103">
        <f>'Refer Para 27'!M450</f>
        <v>1</v>
      </c>
      <c r="K228" s="78">
        <f t="shared" si="6"/>
        <v>609</v>
      </c>
      <c r="L228" s="103">
        <v>0</v>
      </c>
      <c r="M228" s="103">
        <f>'Refer Para 27'!M451</f>
        <v>3</v>
      </c>
      <c r="N228" s="78">
        <f t="shared" si="7"/>
        <v>612</v>
      </c>
      <c r="O228" s="103">
        <v>0</v>
      </c>
    </row>
    <row r="229" spans="2:15" ht="15.75">
      <c r="B229" s="78">
        <v>222</v>
      </c>
      <c r="C229" s="103">
        <f>'Refer Para 27'!N443</f>
        <v>66</v>
      </c>
      <c r="D229" s="103">
        <f>'Refer Para 27'!N444</f>
        <v>367</v>
      </c>
      <c r="E229" s="103">
        <f>'Refer Para 27'!N445</f>
        <v>13</v>
      </c>
      <c r="F229" s="103">
        <f>'Refer Para 27'!N446</f>
        <v>137</v>
      </c>
      <c r="G229" s="103">
        <f>'Refer Para 27'!N447</f>
        <v>3</v>
      </c>
      <c r="H229" s="103">
        <f>'Refer Para 27'!N448</f>
        <v>4</v>
      </c>
      <c r="I229" s="103">
        <f>'Refer Para 27'!N449</f>
        <v>1</v>
      </c>
      <c r="J229" s="103">
        <f>'Refer Para 27'!N450</f>
        <v>3</v>
      </c>
      <c r="K229" s="78">
        <f t="shared" si="6"/>
        <v>594</v>
      </c>
      <c r="L229" s="103">
        <v>0</v>
      </c>
      <c r="M229" s="103">
        <f>'Refer Para 27'!N451</f>
        <v>5</v>
      </c>
      <c r="N229" s="78">
        <f t="shared" si="7"/>
        <v>599</v>
      </c>
      <c r="O229" s="103">
        <v>0</v>
      </c>
    </row>
    <row r="230" spans="2:15" ht="15.75">
      <c r="B230" s="78">
        <v>223</v>
      </c>
      <c r="C230" s="103">
        <f>'Refer Para 27'!O443</f>
        <v>52</v>
      </c>
      <c r="D230" s="103">
        <f>'Refer Para 27'!O444</f>
        <v>450</v>
      </c>
      <c r="E230" s="103">
        <f>'Refer Para 27'!O445</f>
        <v>29</v>
      </c>
      <c r="F230" s="103">
        <f>'Refer Para 27'!O446</f>
        <v>62</v>
      </c>
      <c r="G230" s="103">
        <f>'Refer Para 27'!O447</f>
        <v>1</v>
      </c>
      <c r="H230" s="103">
        <f>'Refer Para 27'!O448</f>
        <v>3</v>
      </c>
      <c r="I230" s="103">
        <f>'Refer Para 27'!O449</f>
        <v>8</v>
      </c>
      <c r="J230" s="103">
        <f>'Refer Para 27'!O450</f>
        <v>8</v>
      </c>
      <c r="K230" s="78">
        <f t="shared" si="6"/>
        <v>613</v>
      </c>
      <c r="L230" s="103">
        <v>0</v>
      </c>
      <c r="M230" s="103">
        <f>'Refer Para 27'!O451</f>
        <v>8</v>
      </c>
      <c r="N230" s="78">
        <f t="shared" si="7"/>
        <v>621</v>
      </c>
      <c r="O230" s="103">
        <v>0</v>
      </c>
    </row>
    <row r="231" spans="2:15" ht="15.75">
      <c r="B231" s="78">
        <v>224</v>
      </c>
      <c r="C231" s="103">
        <f>'Refer Para 27'!P443</f>
        <v>3</v>
      </c>
      <c r="D231" s="103">
        <f>'Refer Para 27'!P444</f>
        <v>696</v>
      </c>
      <c r="E231" s="103">
        <f>'Refer Para 27'!P445</f>
        <v>2</v>
      </c>
      <c r="F231" s="103">
        <f>'Refer Para 27'!P446</f>
        <v>1</v>
      </c>
      <c r="G231" s="103">
        <f>'Refer Para 27'!P447</f>
        <v>0</v>
      </c>
      <c r="H231" s="103">
        <f>'Refer Para 27'!P448</f>
        <v>1</v>
      </c>
      <c r="I231" s="103">
        <f>'Refer Para 27'!P449</f>
        <v>2</v>
      </c>
      <c r="J231" s="103">
        <f>'Refer Para 27'!P450</f>
        <v>5</v>
      </c>
      <c r="K231" s="78">
        <f t="shared" si="6"/>
        <v>710</v>
      </c>
      <c r="L231" s="103">
        <v>0</v>
      </c>
      <c r="M231" s="103">
        <f>'Refer Para 27'!P451</f>
        <v>0</v>
      </c>
      <c r="N231" s="78">
        <f t="shared" si="7"/>
        <v>710</v>
      </c>
      <c r="O231" s="103">
        <v>0</v>
      </c>
    </row>
    <row r="232" spans="2:15" ht="15.75">
      <c r="B232" s="78">
        <v>225</v>
      </c>
      <c r="C232" s="103">
        <f>'Refer Para 27'!C472</f>
        <v>76</v>
      </c>
      <c r="D232" s="103">
        <f>'Refer Para 27'!C473</f>
        <v>495</v>
      </c>
      <c r="E232" s="103">
        <f>'Refer Para 27'!C474</f>
        <v>1</v>
      </c>
      <c r="F232" s="103">
        <f>'Refer Para 27'!C475</f>
        <v>42</v>
      </c>
      <c r="G232" s="103">
        <f>'Refer Para 27'!C476</f>
        <v>2</v>
      </c>
      <c r="H232" s="103">
        <f>'Refer Para 27'!C477</f>
        <v>1</v>
      </c>
      <c r="I232" s="103">
        <f>'Refer Para 27'!C478</f>
        <v>1</v>
      </c>
      <c r="J232" s="103">
        <f>'Refer Para 27'!C479</f>
        <v>3</v>
      </c>
      <c r="K232" s="78">
        <f t="shared" si="6"/>
        <v>621</v>
      </c>
      <c r="L232" s="103">
        <v>0</v>
      </c>
      <c r="M232" s="103">
        <f>'Refer Para 27'!C480</f>
        <v>3</v>
      </c>
      <c r="N232" s="78">
        <f t="shared" si="7"/>
        <v>624</v>
      </c>
      <c r="O232" s="103">
        <v>0</v>
      </c>
    </row>
    <row r="233" spans="2:15" ht="15.75">
      <c r="B233" s="78">
        <v>226</v>
      </c>
      <c r="C233" s="103">
        <f>'Refer Para 27'!D472</f>
        <v>87</v>
      </c>
      <c r="D233" s="103">
        <f>'Refer Para 27'!D473</f>
        <v>208</v>
      </c>
      <c r="E233" s="103">
        <f>'Refer Para 27'!D474</f>
        <v>5</v>
      </c>
      <c r="F233" s="103">
        <f>'Refer Para 27'!D475</f>
        <v>142</v>
      </c>
      <c r="G233" s="103">
        <f>'Refer Para 27'!D476</f>
        <v>2</v>
      </c>
      <c r="H233" s="103">
        <f>'Refer Para 27'!D477</f>
        <v>2</v>
      </c>
      <c r="I233" s="103">
        <f>'Refer Para 27'!D478</f>
        <v>0</v>
      </c>
      <c r="J233" s="103">
        <f>'Refer Para 27'!D479</f>
        <v>1</v>
      </c>
      <c r="K233" s="78">
        <f t="shared" si="6"/>
        <v>447</v>
      </c>
      <c r="L233" s="103">
        <v>0</v>
      </c>
      <c r="M233" s="103">
        <f>'Refer Para 27'!D480</f>
        <v>1</v>
      </c>
      <c r="N233" s="78">
        <f t="shared" si="7"/>
        <v>448</v>
      </c>
      <c r="O233" s="103">
        <v>0</v>
      </c>
    </row>
    <row r="234" spans="2:15" ht="15.75">
      <c r="B234" s="78">
        <v>227</v>
      </c>
      <c r="C234" s="103">
        <f>'Refer Para 27'!E472</f>
        <v>260</v>
      </c>
      <c r="D234" s="103">
        <f>'Refer Para 27'!E473</f>
        <v>65</v>
      </c>
      <c r="E234" s="103">
        <f>'Refer Para 27'!E474</f>
        <v>2</v>
      </c>
      <c r="F234" s="103">
        <f>'Refer Para 27'!E475</f>
        <v>48</v>
      </c>
      <c r="G234" s="103">
        <f>'Refer Para 27'!E476</f>
        <v>0</v>
      </c>
      <c r="H234" s="103">
        <f>'Refer Para 27'!E477</f>
        <v>0</v>
      </c>
      <c r="I234" s="103">
        <f>'Refer Para 27'!E478</f>
        <v>0</v>
      </c>
      <c r="J234" s="103">
        <f>'Refer Para 27'!E479</f>
        <v>1</v>
      </c>
      <c r="K234" s="78">
        <f t="shared" si="6"/>
        <v>376</v>
      </c>
      <c r="L234" s="103">
        <v>0</v>
      </c>
      <c r="M234" s="103">
        <f>'Refer Para 27'!E480</f>
        <v>6</v>
      </c>
      <c r="N234" s="78">
        <f t="shared" si="7"/>
        <v>382</v>
      </c>
      <c r="O234" s="103">
        <v>0</v>
      </c>
    </row>
    <row r="235" spans="2:15" ht="15.75">
      <c r="B235" s="78">
        <v>228</v>
      </c>
      <c r="C235" s="103">
        <f>'Refer Para 27'!F472</f>
        <v>351</v>
      </c>
      <c r="D235" s="103">
        <f>'Refer Para 27'!F473</f>
        <v>57</v>
      </c>
      <c r="E235" s="103">
        <f>'Refer Para 27'!F474</f>
        <v>3</v>
      </c>
      <c r="F235" s="103">
        <f>'Refer Para 27'!F475</f>
        <v>10</v>
      </c>
      <c r="G235" s="103">
        <f>'Refer Para 27'!F476</f>
        <v>1</v>
      </c>
      <c r="H235" s="103">
        <f>'Refer Para 27'!F477</f>
        <v>0</v>
      </c>
      <c r="I235" s="103">
        <f>'Refer Para 27'!F478</f>
        <v>1</v>
      </c>
      <c r="J235" s="103">
        <f>'Refer Para 27'!F479</f>
        <v>0</v>
      </c>
      <c r="K235" s="78">
        <f t="shared" si="6"/>
        <v>423</v>
      </c>
      <c r="L235" s="103">
        <v>0</v>
      </c>
      <c r="M235" s="103">
        <f>'Refer Para 27'!F480</f>
        <v>3</v>
      </c>
      <c r="N235" s="78">
        <f t="shared" si="7"/>
        <v>426</v>
      </c>
      <c r="O235" s="103">
        <v>0</v>
      </c>
    </row>
    <row r="236" spans="2:15" ht="15.75">
      <c r="B236" s="78">
        <v>229</v>
      </c>
      <c r="C236" s="103">
        <f>'Refer Para 27'!G472</f>
        <v>335</v>
      </c>
      <c r="D236" s="103">
        <f>'Refer Para 27'!G473</f>
        <v>18</v>
      </c>
      <c r="E236" s="103">
        <f>'Refer Para 27'!G474</f>
        <v>0</v>
      </c>
      <c r="F236" s="103">
        <f>'Refer Para 27'!G475</f>
        <v>36</v>
      </c>
      <c r="G236" s="103">
        <f>'Refer Para 27'!G476</f>
        <v>1</v>
      </c>
      <c r="H236" s="103">
        <f>'Refer Para 27'!G477</f>
        <v>0</v>
      </c>
      <c r="I236" s="103">
        <f>'Refer Para 27'!G478</f>
        <v>0</v>
      </c>
      <c r="J236" s="103">
        <f>'Refer Para 27'!G479</f>
        <v>0</v>
      </c>
      <c r="K236" s="78">
        <f t="shared" si="6"/>
        <v>390</v>
      </c>
      <c r="L236" s="103">
        <v>0</v>
      </c>
      <c r="M236" s="103">
        <f>'Refer Para 27'!G480</f>
        <v>0</v>
      </c>
      <c r="N236" s="78">
        <f t="shared" si="7"/>
        <v>390</v>
      </c>
      <c r="O236" s="103">
        <v>0</v>
      </c>
    </row>
    <row r="237" spans="2:15" ht="15.75">
      <c r="B237" s="78">
        <v>230</v>
      </c>
      <c r="C237" s="103">
        <f>'Refer Para 27'!H472</f>
        <v>11</v>
      </c>
      <c r="D237" s="103">
        <f>'Refer Para 27'!H473</f>
        <v>463</v>
      </c>
      <c r="E237" s="103">
        <f>'Refer Para 27'!H474</f>
        <v>4</v>
      </c>
      <c r="F237" s="103">
        <f>'Refer Para 27'!H475</f>
        <v>2</v>
      </c>
      <c r="G237" s="103">
        <f>'Refer Para 27'!H476</f>
        <v>0</v>
      </c>
      <c r="H237" s="103">
        <f>'Refer Para 27'!H477</f>
        <v>1</v>
      </c>
      <c r="I237" s="103">
        <f>'Refer Para 27'!H478</f>
        <v>2</v>
      </c>
      <c r="J237" s="103">
        <f>'Refer Para 27'!H479</f>
        <v>1</v>
      </c>
      <c r="K237" s="78">
        <f t="shared" si="6"/>
        <v>484</v>
      </c>
      <c r="L237" s="103">
        <v>0</v>
      </c>
      <c r="M237" s="103">
        <f>'Refer Para 27'!H480</f>
        <v>1</v>
      </c>
      <c r="N237" s="78">
        <f t="shared" si="7"/>
        <v>485</v>
      </c>
      <c r="O237" s="103">
        <v>0</v>
      </c>
    </row>
    <row r="238" spans="2:15" ht="15.75">
      <c r="B238" s="78">
        <v>231</v>
      </c>
      <c r="C238" s="103">
        <f>'Refer Para 27'!I472</f>
        <v>4</v>
      </c>
      <c r="D238" s="103">
        <f>'Refer Para 27'!I473</f>
        <v>537</v>
      </c>
      <c r="E238" s="103">
        <f>'Refer Para 27'!I474</f>
        <v>2</v>
      </c>
      <c r="F238" s="103">
        <f>'Refer Para 27'!I475</f>
        <v>9</v>
      </c>
      <c r="G238" s="103">
        <f>'Refer Para 27'!I476</f>
        <v>0</v>
      </c>
      <c r="H238" s="103">
        <f>'Refer Para 27'!I477</f>
        <v>0</v>
      </c>
      <c r="I238" s="103">
        <f>'Refer Para 27'!I478</f>
        <v>1</v>
      </c>
      <c r="J238" s="103">
        <f>'Refer Para 27'!I479</f>
        <v>2</v>
      </c>
      <c r="K238" s="78">
        <f t="shared" si="6"/>
        <v>555</v>
      </c>
      <c r="L238" s="103">
        <v>0</v>
      </c>
      <c r="M238" s="103">
        <f>'Refer Para 27'!I480</f>
        <v>2</v>
      </c>
      <c r="N238" s="78">
        <f t="shared" si="7"/>
        <v>557</v>
      </c>
      <c r="O238" s="103">
        <v>0</v>
      </c>
    </row>
    <row r="239" spans="2:15" ht="15.75">
      <c r="B239" s="78">
        <v>232</v>
      </c>
      <c r="C239" s="103">
        <f>'Refer Para 27'!J472</f>
        <v>64</v>
      </c>
      <c r="D239" s="103">
        <f>'Refer Para 27'!J473</f>
        <v>435</v>
      </c>
      <c r="E239" s="103">
        <f>'Refer Para 27'!J474</f>
        <v>6</v>
      </c>
      <c r="F239" s="103">
        <f>'Refer Para 27'!J475</f>
        <v>81</v>
      </c>
      <c r="G239" s="103">
        <f>'Refer Para 27'!J476</f>
        <v>0</v>
      </c>
      <c r="H239" s="103">
        <f>'Refer Para 27'!J477</f>
        <v>1</v>
      </c>
      <c r="I239" s="103">
        <f>'Refer Para 27'!J478</f>
        <v>6</v>
      </c>
      <c r="J239" s="103">
        <f>'Refer Para 27'!J479</f>
        <v>3</v>
      </c>
      <c r="K239" s="78">
        <f t="shared" si="6"/>
        <v>596</v>
      </c>
      <c r="L239" s="103">
        <v>0</v>
      </c>
      <c r="M239" s="103">
        <f>'Refer Para 27'!J480</f>
        <v>1</v>
      </c>
      <c r="N239" s="78">
        <f t="shared" si="7"/>
        <v>597</v>
      </c>
      <c r="O239" s="103">
        <v>0</v>
      </c>
    </row>
    <row r="240" spans="2:15" ht="15.75">
      <c r="B240" s="78">
        <v>233</v>
      </c>
      <c r="C240" s="103">
        <f>'Refer Para 27'!K472</f>
        <v>50</v>
      </c>
      <c r="D240" s="103">
        <f>'Refer Para 27'!K473</f>
        <v>324</v>
      </c>
      <c r="E240" s="103">
        <f>'Refer Para 27'!K474</f>
        <v>9</v>
      </c>
      <c r="F240" s="103">
        <f>'Refer Para 27'!K475</f>
        <v>210</v>
      </c>
      <c r="G240" s="103">
        <f>'Refer Para 27'!K476</f>
        <v>4</v>
      </c>
      <c r="H240" s="103">
        <f>'Refer Para 27'!K477</f>
        <v>2</v>
      </c>
      <c r="I240" s="103">
        <f>'Refer Para 27'!K478</f>
        <v>1</v>
      </c>
      <c r="J240" s="103">
        <f>'Refer Para 27'!K479</f>
        <v>2</v>
      </c>
      <c r="K240" s="78">
        <f t="shared" si="6"/>
        <v>602</v>
      </c>
      <c r="L240" s="103">
        <v>0</v>
      </c>
      <c r="M240" s="103">
        <f>'Refer Para 27'!K480</f>
        <v>2</v>
      </c>
      <c r="N240" s="78">
        <f t="shared" si="7"/>
        <v>604</v>
      </c>
      <c r="O240" s="103">
        <v>0</v>
      </c>
    </row>
    <row r="241" spans="2:15" ht="15.75">
      <c r="B241" s="78">
        <v>234</v>
      </c>
      <c r="C241" s="103">
        <f>'Refer Para 27'!L472</f>
        <v>83</v>
      </c>
      <c r="D241" s="103">
        <f>'Refer Para 27'!L473</f>
        <v>298</v>
      </c>
      <c r="E241" s="103">
        <f>'Refer Para 27'!L474</f>
        <v>7</v>
      </c>
      <c r="F241" s="103">
        <f>'Refer Para 27'!L475</f>
        <v>123</v>
      </c>
      <c r="G241" s="103">
        <f>'Refer Para 27'!L476</f>
        <v>2</v>
      </c>
      <c r="H241" s="103">
        <f>'Refer Para 27'!L477</f>
        <v>1</v>
      </c>
      <c r="I241" s="103">
        <f>'Refer Para 27'!L478</f>
        <v>8</v>
      </c>
      <c r="J241" s="103">
        <f>'Refer Para 27'!L479</f>
        <v>4</v>
      </c>
      <c r="K241" s="78">
        <f t="shared" si="6"/>
        <v>526</v>
      </c>
      <c r="L241" s="103">
        <v>0</v>
      </c>
      <c r="M241" s="103">
        <f>'Refer Para 27'!L480</f>
        <v>1</v>
      </c>
      <c r="N241" s="78">
        <f t="shared" si="7"/>
        <v>527</v>
      </c>
      <c r="O241" s="103">
        <v>0</v>
      </c>
    </row>
    <row r="242" spans="2:15" ht="15.75">
      <c r="B242" s="78">
        <v>235</v>
      </c>
      <c r="C242" s="103">
        <f>'Refer Para 27'!M472</f>
        <v>26</v>
      </c>
      <c r="D242" s="103">
        <f>'Refer Para 27'!M473</f>
        <v>481</v>
      </c>
      <c r="E242" s="103">
        <f>'Refer Para 27'!M474</f>
        <v>4</v>
      </c>
      <c r="F242" s="103">
        <f>'Refer Para 27'!M475</f>
        <v>53</v>
      </c>
      <c r="G242" s="103">
        <f>'Refer Para 27'!M476</f>
        <v>1</v>
      </c>
      <c r="H242" s="103">
        <f>'Refer Para 27'!M477</f>
        <v>1</v>
      </c>
      <c r="I242" s="103">
        <f>'Refer Para 27'!M478</f>
        <v>1</v>
      </c>
      <c r="J242" s="103">
        <f>'Refer Para 27'!M479</f>
        <v>6</v>
      </c>
      <c r="K242" s="78">
        <f t="shared" si="6"/>
        <v>573</v>
      </c>
      <c r="L242" s="103">
        <v>0</v>
      </c>
      <c r="M242" s="103">
        <f>'Refer Para 27'!M480</f>
        <v>6</v>
      </c>
      <c r="N242" s="78">
        <f t="shared" si="7"/>
        <v>579</v>
      </c>
      <c r="O242" s="103">
        <v>0</v>
      </c>
    </row>
    <row r="243" spans="2:15" ht="15.75">
      <c r="B243" s="78">
        <v>236</v>
      </c>
      <c r="C243" s="103">
        <f>'Refer Para 27'!N472</f>
        <v>7</v>
      </c>
      <c r="D243" s="103">
        <f>'Refer Para 27'!N473</f>
        <v>476</v>
      </c>
      <c r="E243" s="103">
        <f>'Refer Para 27'!N474</f>
        <v>8</v>
      </c>
      <c r="F243" s="103">
        <f>'Refer Para 27'!N475</f>
        <v>1</v>
      </c>
      <c r="G243" s="103">
        <f>'Refer Para 27'!N476</f>
        <v>1</v>
      </c>
      <c r="H243" s="103">
        <f>'Refer Para 27'!N477</f>
        <v>1</v>
      </c>
      <c r="I243" s="103">
        <f>'Refer Para 27'!N478</f>
        <v>8</v>
      </c>
      <c r="J243" s="103">
        <f>'Refer Para 27'!N479</f>
        <v>9</v>
      </c>
      <c r="K243" s="78">
        <f t="shared" si="6"/>
        <v>511</v>
      </c>
      <c r="L243" s="103">
        <v>0</v>
      </c>
      <c r="M243" s="103">
        <f>'Refer Para 27'!N480</f>
        <v>2</v>
      </c>
      <c r="N243" s="78">
        <f t="shared" si="7"/>
        <v>513</v>
      </c>
      <c r="O243" s="103">
        <v>0</v>
      </c>
    </row>
    <row r="244" spans="2:15" ht="15.75">
      <c r="B244" s="78">
        <v>237</v>
      </c>
      <c r="C244" s="103">
        <f>'Refer Para 27'!O472</f>
        <v>612</v>
      </c>
      <c r="D244" s="103">
        <f>'Refer Para 27'!O473</f>
        <v>30</v>
      </c>
      <c r="E244" s="103">
        <f>'Refer Para 27'!O474</f>
        <v>1</v>
      </c>
      <c r="F244" s="103">
        <f>'Refer Para 27'!O475</f>
        <v>7</v>
      </c>
      <c r="G244" s="103">
        <f>'Refer Para 27'!O476</f>
        <v>0</v>
      </c>
      <c r="H244" s="103">
        <f>'Refer Para 27'!O477</f>
        <v>1</v>
      </c>
      <c r="I244" s="103">
        <f>'Refer Para 27'!O478</f>
        <v>1</v>
      </c>
      <c r="J244" s="103">
        <f>'Refer Para 27'!O479</f>
        <v>0</v>
      </c>
      <c r="K244" s="78">
        <f t="shared" si="6"/>
        <v>652</v>
      </c>
      <c r="L244" s="103">
        <v>0</v>
      </c>
      <c r="M244" s="103">
        <f>'Refer Para 27'!O480</f>
        <v>7</v>
      </c>
      <c r="N244" s="78">
        <f t="shared" si="7"/>
        <v>659</v>
      </c>
      <c r="O244" s="103">
        <v>0</v>
      </c>
    </row>
    <row r="245" spans="2:15" ht="15.75">
      <c r="B245" s="78">
        <v>238</v>
      </c>
      <c r="C245" s="103">
        <f>'Refer Para 27'!P472</f>
        <v>422</v>
      </c>
      <c r="D245" s="103">
        <f>'Refer Para 27'!P473</f>
        <v>307</v>
      </c>
      <c r="E245" s="103">
        <f>'Refer Para 27'!P474</f>
        <v>2</v>
      </c>
      <c r="F245" s="103">
        <f>'Refer Para 27'!P475</f>
        <v>7</v>
      </c>
      <c r="G245" s="103">
        <f>'Refer Para 27'!P476</f>
        <v>0</v>
      </c>
      <c r="H245" s="103">
        <f>'Refer Para 27'!P477</f>
        <v>0</v>
      </c>
      <c r="I245" s="103">
        <f>'Refer Para 27'!P478</f>
        <v>3</v>
      </c>
      <c r="J245" s="103">
        <f>'Refer Para 27'!P479</f>
        <v>2</v>
      </c>
      <c r="K245" s="78">
        <f t="shared" si="6"/>
        <v>743</v>
      </c>
      <c r="L245" s="103">
        <v>0</v>
      </c>
      <c r="M245" s="103">
        <f>'Refer Para 27'!P480</f>
        <v>1</v>
      </c>
      <c r="N245" s="78">
        <f t="shared" si="7"/>
        <v>744</v>
      </c>
      <c r="O245" s="103">
        <v>0</v>
      </c>
    </row>
    <row r="246" spans="2:15" ht="15.75">
      <c r="B246" s="78">
        <v>239</v>
      </c>
      <c r="C246" s="103">
        <f>'Refer Para 27'!C501</f>
        <v>149</v>
      </c>
      <c r="D246" s="103">
        <f>'Refer Para 27'!C502</f>
        <v>369</v>
      </c>
      <c r="E246" s="103">
        <f>'Refer Para 27'!C503</f>
        <v>1</v>
      </c>
      <c r="F246" s="103">
        <f>'Refer Para 27'!C504</f>
        <v>8</v>
      </c>
      <c r="G246" s="103">
        <f>'Refer Para 27'!C505</f>
        <v>0</v>
      </c>
      <c r="H246" s="103">
        <f>'Refer Para 27'!C506</f>
        <v>2</v>
      </c>
      <c r="I246" s="103">
        <f>'Refer Para 27'!C507</f>
        <v>2</v>
      </c>
      <c r="J246" s="103">
        <f>'Refer Para 27'!C508</f>
        <v>6</v>
      </c>
      <c r="K246" s="78">
        <f t="shared" si="6"/>
        <v>537</v>
      </c>
      <c r="L246" s="103">
        <v>0</v>
      </c>
      <c r="M246" s="103">
        <f>'Refer Para 27'!C509</f>
        <v>3</v>
      </c>
      <c r="N246" s="78">
        <f t="shared" si="7"/>
        <v>540</v>
      </c>
      <c r="O246" s="103">
        <v>0</v>
      </c>
    </row>
    <row r="247" spans="2:15" ht="15.75">
      <c r="B247" s="78">
        <v>240</v>
      </c>
      <c r="C247" s="103">
        <f>'Refer Para 27'!D501</f>
        <v>353</v>
      </c>
      <c r="D247" s="103">
        <f>'Refer Para 27'!D502</f>
        <v>76</v>
      </c>
      <c r="E247" s="103">
        <f>'Refer Para 27'!D503</f>
        <v>1</v>
      </c>
      <c r="F247" s="103">
        <f>'Refer Para 27'!D504</f>
        <v>9</v>
      </c>
      <c r="G247" s="103">
        <f>'Refer Para 27'!D505</f>
        <v>0</v>
      </c>
      <c r="H247" s="103">
        <f>'Refer Para 27'!D506</f>
        <v>0</v>
      </c>
      <c r="I247" s="103">
        <f>'Refer Para 27'!D507</f>
        <v>1</v>
      </c>
      <c r="J247" s="103">
        <f>'Refer Para 27'!D508</f>
        <v>2</v>
      </c>
      <c r="K247" s="78">
        <f t="shared" si="6"/>
        <v>442</v>
      </c>
      <c r="L247" s="103">
        <v>0</v>
      </c>
      <c r="M247" s="103">
        <f>'Refer Para 27'!D509</f>
        <v>5</v>
      </c>
      <c r="N247" s="78">
        <f t="shared" si="7"/>
        <v>447</v>
      </c>
      <c r="O247" s="103">
        <v>0</v>
      </c>
    </row>
    <row r="248" spans="2:15" ht="15.75">
      <c r="B248" s="78">
        <v>241</v>
      </c>
      <c r="C248" s="103">
        <f>'Refer Para 27'!E501</f>
        <v>99</v>
      </c>
      <c r="D248" s="103">
        <f>'Refer Para 27'!E502</f>
        <v>134</v>
      </c>
      <c r="E248" s="103">
        <f>'Refer Para 27'!E503</f>
        <v>4</v>
      </c>
      <c r="F248" s="103">
        <f>'Refer Para 27'!E504</f>
        <v>495</v>
      </c>
      <c r="G248" s="103">
        <f>'Refer Para 27'!E505</f>
        <v>3</v>
      </c>
      <c r="H248" s="103">
        <f>'Refer Para 27'!E506</f>
        <v>3</v>
      </c>
      <c r="I248" s="103">
        <f>'Refer Para 27'!E507</f>
        <v>6</v>
      </c>
      <c r="J248" s="103">
        <f>'Refer Para 27'!E508</f>
        <v>2</v>
      </c>
      <c r="K248" s="78">
        <f t="shared" si="6"/>
        <v>746</v>
      </c>
      <c r="L248" s="103">
        <v>0</v>
      </c>
      <c r="M248" s="103">
        <f>'Refer Para 27'!E509</f>
        <v>8</v>
      </c>
      <c r="N248" s="78">
        <f t="shared" si="7"/>
        <v>754</v>
      </c>
      <c r="O248" s="103">
        <v>0</v>
      </c>
    </row>
    <row r="249" spans="2:15" ht="15.75">
      <c r="B249" s="78">
        <v>242</v>
      </c>
      <c r="C249" s="103">
        <f>'Refer Para 27'!F501</f>
        <v>174</v>
      </c>
      <c r="D249" s="103">
        <f>'Refer Para 27'!F502</f>
        <v>550</v>
      </c>
      <c r="E249" s="103">
        <f>'Refer Para 27'!F503</f>
        <v>10</v>
      </c>
      <c r="F249" s="103">
        <f>'Refer Para 27'!F504</f>
        <v>2</v>
      </c>
      <c r="G249" s="103">
        <f>'Refer Para 27'!F505</f>
        <v>1</v>
      </c>
      <c r="H249" s="103">
        <f>'Refer Para 27'!F506</f>
        <v>0</v>
      </c>
      <c r="I249" s="103">
        <f>'Refer Para 27'!F507</f>
        <v>3</v>
      </c>
      <c r="J249" s="103">
        <f>'Refer Para 27'!F508</f>
        <v>3</v>
      </c>
      <c r="K249" s="78">
        <f t="shared" si="6"/>
        <v>743</v>
      </c>
      <c r="L249" s="103">
        <v>0</v>
      </c>
      <c r="M249" s="103">
        <f>'Refer Para 27'!F509</f>
        <v>5</v>
      </c>
      <c r="N249" s="78">
        <f t="shared" si="7"/>
        <v>748</v>
      </c>
      <c r="O249" s="103">
        <v>0</v>
      </c>
    </row>
    <row r="250" spans="2:15" ht="15.75">
      <c r="B250" s="78">
        <v>243</v>
      </c>
      <c r="C250" s="103">
        <f>'Refer Para 27'!G501</f>
        <v>283</v>
      </c>
      <c r="D250" s="103">
        <f>'Refer Para 27'!G502</f>
        <v>361</v>
      </c>
      <c r="E250" s="103">
        <f>'Refer Para 27'!G503</f>
        <v>6</v>
      </c>
      <c r="F250" s="103">
        <f>'Refer Para 27'!G504</f>
        <v>1</v>
      </c>
      <c r="G250" s="103">
        <f>'Refer Para 27'!G505</f>
        <v>1</v>
      </c>
      <c r="H250" s="103">
        <f>'Refer Para 27'!G506</f>
        <v>0</v>
      </c>
      <c r="I250" s="103">
        <f>'Refer Para 27'!G507</f>
        <v>0</v>
      </c>
      <c r="J250" s="103">
        <f>'Refer Para 27'!G508</f>
        <v>1</v>
      </c>
      <c r="K250" s="78">
        <f t="shared" si="6"/>
        <v>653</v>
      </c>
      <c r="L250" s="103">
        <v>0</v>
      </c>
      <c r="M250" s="103">
        <f>'Refer Para 27'!G509</f>
        <v>9</v>
      </c>
      <c r="N250" s="78">
        <f t="shared" si="7"/>
        <v>662</v>
      </c>
      <c r="O250" s="103">
        <v>0</v>
      </c>
    </row>
    <row r="251" spans="2:15" ht="15.75">
      <c r="B251" s="78">
        <v>244</v>
      </c>
      <c r="C251" s="103">
        <f>'Refer Para 27'!H501</f>
        <v>258</v>
      </c>
      <c r="D251" s="103">
        <f>'Refer Para 27'!H502</f>
        <v>377</v>
      </c>
      <c r="E251" s="103">
        <f>'Refer Para 27'!H503</f>
        <v>3</v>
      </c>
      <c r="F251" s="103">
        <f>'Refer Para 27'!H504</f>
        <v>3</v>
      </c>
      <c r="G251" s="103">
        <f>'Refer Para 27'!H505</f>
        <v>2</v>
      </c>
      <c r="H251" s="103">
        <f>'Refer Para 27'!H506</f>
        <v>0</v>
      </c>
      <c r="I251" s="103">
        <f>'Refer Para 27'!H507</f>
        <v>3</v>
      </c>
      <c r="J251" s="103">
        <f>'Refer Para 27'!H508</f>
        <v>1</v>
      </c>
      <c r="K251" s="78">
        <f t="shared" si="6"/>
        <v>647</v>
      </c>
      <c r="L251" s="103">
        <v>0</v>
      </c>
      <c r="M251" s="103">
        <f>'Refer Para 27'!H509</f>
        <v>6</v>
      </c>
      <c r="N251" s="78">
        <f t="shared" si="7"/>
        <v>653</v>
      </c>
      <c r="O251" s="103">
        <v>0</v>
      </c>
    </row>
    <row r="252" spans="2:15" ht="15.75">
      <c r="B252" s="78">
        <v>245</v>
      </c>
      <c r="C252" s="103">
        <f>'Refer Para 27'!I501</f>
        <v>98</v>
      </c>
      <c r="D252" s="103">
        <f>'Refer Para 27'!I502</f>
        <v>533</v>
      </c>
      <c r="E252" s="103">
        <f>'Refer Para 27'!I503</f>
        <v>2</v>
      </c>
      <c r="F252" s="103">
        <f>'Refer Para 27'!I504</f>
        <v>10</v>
      </c>
      <c r="G252" s="103">
        <f>'Refer Para 27'!I505</f>
        <v>0</v>
      </c>
      <c r="H252" s="103">
        <f>'Refer Para 27'!I506</f>
        <v>0</v>
      </c>
      <c r="I252" s="103">
        <f>'Refer Para 27'!I507</f>
        <v>3</v>
      </c>
      <c r="J252" s="103">
        <f>'Refer Para 27'!I508</f>
        <v>0</v>
      </c>
      <c r="K252" s="78">
        <f t="shared" si="6"/>
        <v>646</v>
      </c>
      <c r="L252" s="103">
        <v>0</v>
      </c>
      <c r="M252" s="103">
        <f>'Refer Para 27'!I509</f>
        <v>3</v>
      </c>
      <c r="N252" s="78">
        <f t="shared" si="7"/>
        <v>649</v>
      </c>
      <c r="O252" s="103">
        <v>0</v>
      </c>
    </row>
    <row r="253" spans="2:15" ht="15.75">
      <c r="B253" s="78">
        <v>246</v>
      </c>
      <c r="C253" s="103">
        <f>'Refer Para 27'!J501</f>
        <v>238</v>
      </c>
      <c r="D253" s="103">
        <f>'Refer Para 27'!J502</f>
        <v>205</v>
      </c>
      <c r="E253" s="103">
        <f>'Refer Para 27'!J503</f>
        <v>3</v>
      </c>
      <c r="F253" s="103">
        <f>'Refer Para 27'!J504</f>
        <v>0</v>
      </c>
      <c r="G253" s="103">
        <f>'Refer Para 27'!J505</f>
        <v>0</v>
      </c>
      <c r="H253" s="103">
        <f>'Refer Para 27'!J506</f>
        <v>2</v>
      </c>
      <c r="I253" s="103">
        <f>'Refer Para 27'!J507</f>
        <v>2</v>
      </c>
      <c r="J253" s="103">
        <f>'Refer Para 27'!J508</f>
        <v>0</v>
      </c>
      <c r="K253" s="78">
        <f t="shared" si="6"/>
        <v>450</v>
      </c>
      <c r="L253" s="103">
        <v>0</v>
      </c>
      <c r="M253" s="103">
        <f>'Refer Para 27'!J509</f>
        <v>3</v>
      </c>
      <c r="N253" s="78">
        <f t="shared" si="7"/>
        <v>453</v>
      </c>
      <c r="O253" s="103">
        <v>0</v>
      </c>
    </row>
    <row r="254" spans="2:15" ht="15.75">
      <c r="B254" s="78">
        <v>247</v>
      </c>
      <c r="C254" s="103">
        <f>'Refer Para 27'!K501</f>
        <v>640</v>
      </c>
      <c r="D254" s="103">
        <f>'Refer Para 27'!K502</f>
        <v>11</v>
      </c>
      <c r="E254" s="103">
        <f>'Refer Para 27'!K503</f>
        <v>1</v>
      </c>
      <c r="F254" s="103">
        <f>'Refer Para 27'!K504</f>
        <v>6</v>
      </c>
      <c r="G254" s="103">
        <f>'Refer Para 27'!K505</f>
        <v>1</v>
      </c>
      <c r="H254" s="103">
        <f>'Refer Para 27'!K506</f>
        <v>0</v>
      </c>
      <c r="I254" s="103">
        <f>'Refer Para 27'!K507</f>
        <v>0</v>
      </c>
      <c r="J254" s="103">
        <f>'Refer Para 27'!K508</f>
        <v>2</v>
      </c>
      <c r="K254" s="78">
        <f t="shared" si="6"/>
        <v>661</v>
      </c>
      <c r="L254" s="103">
        <v>0</v>
      </c>
      <c r="M254" s="103">
        <f>'Refer Para 27'!K509</f>
        <v>2</v>
      </c>
      <c r="N254" s="78">
        <f t="shared" si="7"/>
        <v>663</v>
      </c>
      <c r="O254" s="103">
        <v>0</v>
      </c>
    </row>
    <row r="255" spans="2:15" ht="15.75">
      <c r="B255" s="78">
        <v>248</v>
      </c>
      <c r="C255" s="103">
        <f>'Refer Para 27'!L501</f>
        <v>531</v>
      </c>
      <c r="D255" s="103">
        <f>'Refer Para 27'!L502</f>
        <v>153</v>
      </c>
      <c r="E255" s="103">
        <f>'Refer Para 27'!L503</f>
        <v>1</v>
      </c>
      <c r="F255" s="103">
        <f>'Refer Para 27'!L504</f>
        <v>0</v>
      </c>
      <c r="G255" s="103">
        <f>'Refer Para 27'!L505</f>
        <v>2</v>
      </c>
      <c r="H255" s="103">
        <f>'Refer Para 27'!L506</f>
        <v>0</v>
      </c>
      <c r="I255" s="103">
        <f>'Refer Para 27'!L507</f>
        <v>1</v>
      </c>
      <c r="J255" s="103">
        <f>'Refer Para 27'!L508</f>
        <v>1</v>
      </c>
      <c r="K255" s="78">
        <f t="shared" si="6"/>
        <v>689</v>
      </c>
      <c r="L255" s="103">
        <v>0</v>
      </c>
      <c r="M255" s="103">
        <f>'Refer Para 27'!L509</f>
        <v>2</v>
      </c>
      <c r="N255" s="78">
        <f t="shared" si="7"/>
        <v>691</v>
      </c>
      <c r="O255" s="103">
        <v>0</v>
      </c>
    </row>
    <row r="256" spans="2:15" ht="15.75">
      <c r="B256" s="78">
        <v>249</v>
      </c>
      <c r="C256" s="103">
        <f>'Refer Para 27'!M501</f>
        <v>744</v>
      </c>
      <c r="D256" s="103">
        <f>'Refer Para 27'!M502</f>
        <v>23</v>
      </c>
      <c r="E256" s="103">
        <f>'Refer Para 27'!M503</f>
        <v>1</v>
      </c>
      <c r="F256" s="103">
        <f>'Refer Para 27'!M504</f>
        <v>5</v>
      </c>
      <c r="G256" s="103">
        <f>'Refer Para 27'!M505</f>
        <v>5</v>
      </c>
      <c r="H256" s="103">
        <f>'Refer Para 27'!M506</f>
        <v>0</v>
      </c>
      <c r="I256" s="103">
        <f>'Refer Para 27'!M507</f>
        <v>1</v>
      </c>
      <c r="J256" s="103">
        <f>'Refer Para 27'!M508</f>
        <v>0</v>
      </c>
      <c r="K256" s="78">
        <f t="shared" si="6"/>
        <v>779</v>
      </c>
      <c r="L256" s="103">
        <v>0</v>
      </c>
      <c r="M256" s="103">
        <f>'Refer Para 27'!M509</f>
        <v>6</v>
      </c>
      <c r="N256" s="78">
        <f t="shared" si="7"/>
        <v>785</v>
      </c>
      <c r="O256" s="103">
        <v>0</v>
      </c>
    </row>
    <row r="257" spans="2:15" ht="15.75">
      <c r="B257" s="78">
        <v>250</v>
      </c>
      <c r="C257" s="103">
        <f>'Refer Para 27'!N501</f>
        <v>56</v>
      </c>
      <c r="D257" s="103">
        <f>'Refer Para 27'!N502</f>
        <v>333</v>
      </c>
      <c r="E257" s="103">
        <f>'Refer Para 27'!N503</f>
        <v>2</v>
      </c>
      <c r="F257" s="103">
        <f>'Refer Para 27'!N504</f>
        <v>99</v>
      </c>
      <c r="G257" s="103">
        <f>'Refer Para 27'!N505</f>
        <v>2</v>
      </c>
      <c r="H257" s="103">
        <f>'Refer Para 27'!N506</f>
        <v>1</v>
      </c>
      <c r="I257" s="103">
        <f>'Refer Para 27'!N507</f>
        <v>3</v>
      </c>
      <c r="J257" s="103">
        <f>'Refer Para 27'!N508</f>
        <v>1</v>
      </c>
      <c r="K257" s="78">
        <f t="shared" si="6"/>
        <v>497</v>
      </c>
      <c r="L257" s="103">
        <v>0</v>
      </c>
      <c r="M257" s="103">
        <f>'Refer Para 27'!N509</f>
        <v>1</v>
      </c>
      <c r="N257" s="78">
        <f t="shared" si="7"/>
        <v>498</v>
      </c>
      <c r="O257" s="103">
        <v>0</v>
      </c>
    </row>
    <row r="258" spans="2:15" ht="15.75">
      <c r="B258" s="78">
        <v>251</v>
      </c>
      <c r="C258" s="103">
        <f>'Refer Para 27'!O501</f>
        <v>28</v>
      </c>
      <c r="D258" s="103">
        <f>'Refer Para 27'!O502</f>
        <v>200</v>
      </c>
      <c r="E258" s="103">
        <f>'Refer Para 27'!O503</f>
        <v>1</v>
      </c>
      <c r="F258" s="103">
        <f>'Refer Para 27'!O504</f>
        <v>149</v>
      </c>
      <c r="G258" s="103">
        <f>'Refer Para 27'!O505</f>
        <v>3</v>
      </c>
      <c r="H258" s="103">
        <f>'Refer Para 27'!O506</f>
        <v>1</v>
      </c>
      <c r="I258" s="103">
        <f>'Refer Para 27'!O507</f>
        <v>3</v>
      </c>
      <c r="J258" s="103">
        <f>'Refer Para 27'!O508</f>
        <v>1</v>
      </c>
      <c r="K258" s="78">
        <f t="shared" si="6"/>
        <v>386</v>
      </c>
      <c r="L258" s="103">
        <v>0</v>
      </c>
      <c r="M258" s="103">
        <f>'Refer Para 27'!O509</f>
        <v>0</v>
      </c>
      <c r="N258" s="78">
        <f t="shared" si="7"/>
        <v>386</v>
      </c>
      <c r="O258" s="103">
        <v>0</v>
      </c>
    </row>
    <row r="259" spans="2:15" ht="15.75">
      <c r="B259" s="78">
        <v>252</v>
      </c>
      <c r="C259" s="103">
        <f>'Refer Para 27'!P501</f>
        <v>16</v>
      </c>
      <c r="D259" s="103">
        <f>'Refer Para 27'!P502</f>
        <v>739</v>
      </c>
      <c r="E259" s="103">
        <f>'Refer Para 27'!P503</f>
        <v>6</v>
      </c>
      <c r="F259" s="103">
        <f>'Refer Para 27'!P504</f>
        <v>15</v>
      </c>
      <c r="G259" s="103">
        <f>'Refer Para 27'!P505</f>
        <v>1</v>
      </c>
      <c r="H259" s="103">
        <f>'Refer Para 27'!P506</f>
        <v>3</v>
      </c>
      <c r="I259" s="103">
        <f>'Refer Para 27'!P507</f>
        <v>9</v>
      </c>
      <c r="J259" s="103">
        <f>'Refer Para 27'!P508</f>
        <v>6</v>
      </c>
      <c r="K259" s="78">
        <f t="shared" si="6"/>
        <v>795</v>
      </c>
      <c r="L259" s="103">
        <v>0</v>
      </c>
      <c r="M259" s="103">
        <f>'Refer Para 27'!P509</f>
        <v>6</v>
      </c>
      <c r="N259" s="78">
        <f t="shared" si="7"/>
        <v>801</v>
      </c>
      <c r="O259" s="103">
        <v>0</v>
      </c>
    </row>
    <row r="260" spans="2:15" ht="15.75">
      <c r="B260" s="78">
        <v>253</v>
      </c>
      <c r="C260" s="103">
        <f>'Refer Para 27'!C530</f>
        <v>24</v>
      </c>
      <c r="D260" s="103">
        <f>'Refer Para 27'!C531</f>
        <v>656</v>
      </c>
      <c r="E260" s="103">
        <f>'Refer Para 27'!C532</f>
        <v>2</v>
      </c>
      <c r="F260" s="103">
        <f>'Refer Para 27'!C533</f>
        <v>1</v>
      </c>
      <c r="G260" s="103">
        <f>'Refer Para 27'!C534</f>
        <v>3</v>
      </c>
      <c r="H260" s="103">
        <f>'Refer Para 27'!C535</f>
        <v>5</v>
      </c>
      <c r="I260" s="103">
        <f>'Refer Para 27'!C536</f>
        <v>7</v>
      </c>
      <c r="J260" s="103">
        <f>'Refer Para 27'!C537</f>
        <v>7</v>
      </c>
      <c r="K260" s="78">
        <f t="shared" si="6"/>
        <v>705</v>
      </c>
      <c r="L260" s="103">
        <v>0</v>
      </c>
      <c r="M260" s="103">
        <f>'Refer Para 27'!C538</f>
        <v>5</v>
      </c>
      <c r="N260" s="78">
        <f t="shared" si="7"/>
        <v>710</v>
      </c>
      <c r="O260" s="103">
        <v>0</v>
      </c>
    </row>
    <row r="261" spans="2:15" ht="15.75">
      <c r="B261" s="78">
        <v>254</v>
      </c>
      <c r="C261" s="103">
        <f>'Refer Para 27'!D530</f>
        <v>19</v>
      </c>
      <c r="D261" s="103">
        <f>'Refer Para 27'!D531</f>
        <v>616</v>
      </c>
      <c r="E261" s="103">
        <f>'Refer Para 27'!D532</f>
        <v>8</v>
      </c>
      <c r="F261" s="103">
        <f>'Refer Para 27'!D533</f>
        <v>4</v>
      </c>
      <c r="G261" s="103">
        <f>'Refer Para 27'!D534</f>
        <v>1</v>
      </c>
      <c r="H261" s="103">
        <f>'Refer Para 27'!D535</f>
        <v>0</v>
      </c>
      <c r="I261" s="103">
        <f>'Refer Para 27'!D536</f>
        <v>5</v>
      </c>
      <c r="J261" s="103">
        <f>'Refer Para 27'!D537</f>
        <v>5</v>
      </c>
      <c r="K261" s="78">
        <f t="shared" si="6"/>
        <v>658</v>
      </c>
      <c r="L261" s="103">
        <v>0</v>
      </c>
      <c r="M261" s="103">
        <f>'Refer Para 27'!D538</f>
        <v>2</v>
      </c>
      <c r="N261" s="78">
        <f t="shared" si="7"/>
        <v>660</v>
      </c>
      <c r="O261" s="103">
        <v>0</v>
      </c>
    </row>
    <row r="262" spans="2:15" ht="15.75">
      <c r="B262" s="78">
        <v>255</v>
      </c>
      <c r="C262" s="103">
        <f>'Refer Para 27'!E530</f>
        <v>29</v>
      </c>
      <c r="D262" s="103">
        <f>'Refer Para 27'!E531</f>
        <v>454</v>
      </c>
      <c r="E262" s="103">
        <f>'Refer Para 27'!E532</f>
        <v>6</v>
      </c>
      <c r="F262" s="103">
        <f>'Refer Para 27'!E533</f>
        <v>44</v>
      </c>
      <c r="G262" s="103">
        <f>'Refer Para 27'!E534</f>
        <v>2</v>
      </c>
      <c r="H262" s="103">
        <f>'Refer Para 27'!E535</f>
        <v>2</v>
      </c>
      <c r="I262" s="103">
        <f>'Refer Para 27'!E536</f>
        <v>6</v>
      </c>
      <c r="J262" s="103">
        <f>'Refer Para 27'!E537</f>
        <v>3</v>
      </c>
      <c r="K262" s="78">
        <f t="shared" si="6"/>
        <v>546</v>
      </c>
      <c r="L262" s="103">
        <v>0</v>
      </c>
      <c r="M262" s="103">
        <f>'Refer Para 27'!E538</f>
        <v>3</v>
      </c>
      <c r="N262" s="78">
        <f t="shared" si="7"/>
        <v>549</v>
      </c>
      <c r="O262" s="103">
        <v>0</v>
      </c>
    </row>
    <row r="263" spans="2:15" ht="15.75">
      <c r="B263" s="78">
        <v>256</v>
      </c>
      <c r="C263" s="103">
        <f>'Refer Para 27'!F530</f>
        <v>13</v>
      </c>
      <c r="D263" s="103">
        <f>'Refer Para 27'!F531</f>
        <v>729</v>
      </c>
      <c r="E263" s="103">
        <f>'Refer Para 27'!F532</f>
        <v>4</v>
      </c>
      <c r="F263" s="103">
        <f>'Refer Para 27'!F533</f>
        <v>9</v>
      </c>
      <c r="G263" s="103">
        <f>'Refer Para 27'!F534</f>
        <v>0</v>
      </c>
      <c r="H263" s="103">
        <f>'Refer Para 27'!F535</f>
        <v>2</v>
      </c>
      <c r="I263" s="103">
        <f>'Refer Para 27'!F536</f>
        <v>2</v>
      </c>
      <c r="J263" s="103">
        <f>'Refer Para 27'!F537</f>
        <v>7</v>
      </c>
      <c r="K263" s="78">
        <f t="shared" si="6"/>
        <v>766</v>
      </c>
      <c r="L263" s="103">
        <v>0</v>
      </c>
      <c r="M263" s="103">
        <f>'Refer Para 27'!F538</f>
        <v>3</v>
      </c>
      <c r="N263" s="78">
        <f t="shared" si="7"/>
        <v>769</v>
      </c>
      <c r="O263" s="103">
        <v>0</v>
      </c>
    </row>
    <row r="264" spans="2:15" ht="15.75">
      <c r="B264" s="78">
        <v>257</v>
      </c>
      <c r="C264" s="103">
        <f>'Refer Para 27'!G530</f>
        <v>35</v>
      </c>
      <c r="D264" s="103">
        <f>'Refer Para 27'!G531</f>
        <v>478</v>
      </c>
      <c r="E264" s="103">
        <f>'Refer Para 27'!G532</f>
        <v>0</v>
      </c>
      <c r="F264" s="103">
        <f>'Refer Para 27'!G533</f>
        <v>1</v>
      </c>
      <c r="G264" s="103">
        <f>'Refer Para 27'!G534</f>
        <v>1</v>
      </c>
      <c r="H264" s="103">
        <f>'Refer Para 27'!G535</f>
        <v>0</v>
      </c>
      <c r="I264" s="103">
        <f>'Refer Para 27'!G536</f>
        <v>3</v>
      </c>
      <c r="J264" s="103">
        <f>'Refer Para 27'!G537</f>
        <v>2</v>
      </c>
      <c r="K264" s="78">
        <f t="shared" ref="K264:K327" si="8">SUM(C264:J264)</f>
        <v>520</v>
      </c>
      <c r="L264" s="103">
        <v>0</v>
      </c>
      <c r="M264" s="103">
        <f>'Refer Para 27'!G538</f>
        <v>5</v>
      </c>
      <c r="N264" s="78">
        <f t="shared" si="7"/>
        <v>525</v>
      </c>
      <c r="O264" s="103">
        <v>0</v>
      </c>
    </row>
    <row r="265" spans="2:15" ht="15.75">
      <c r="B265" s="78">
        <v>258</v>
      </c>
      <c r="C265" s="103">
        <f>'Refer Para 27'!H530</f>
        <v>28</v>
      </c>
      <c r="D265" s="103">
        <f>'Refer Para 27'!H531</f>
        <v>457</v>
      </c>
      <c r="E265" s="103">
        <f>'Refer Para 27'!H532</f>
        <v>3</v>
      </c>
      <c r="F265" s="103">
        <f>'Refer Para 27'!H533</f>
        <v>23</v>
      </c>
      <c r="G265" s="103">
        <f>'Refer Para 27'!H534</f>
        <v>1</v>
      </c>
      <c r="H265" s="103">
        <f>'Refer Para 27'!H535</f>
        <v>0</v>
      </c>
      <c r="I265" s="103">
        <f>'Refer Para 27'!H536</f>
        <v>13</v>
      </c>
      <c r="J265" s="103">
        <f>'Refer Para 27'!H537</f>
        <v>3</v>
      </c>
      <c r="K265" s="78">
        <f t="shared" si="8"/>
        <v>528</v>
      </c>
      <c r="L265" s="103">
        <v>0</v>
      </c>
      <c r="M265" s="103">
        <f>'Refer Para 27'!H538</f>
        <v>5</v>
      </c>
      <c r="N265" s="78">
        <f t="shared" ref="N265:N328" si="9">K265+M265-L265</f>
        <v>533</v>
      </c>
      <c r="O265" s="103">
        <v>0</v>
      </c>
    </row>
    <row r="266" spans="2:15" ht="15.75">
      <c r="B266" s="78">
        <v>259</v>
      </c>
      <c r="C266" s="103">
        <f>'Refer Para 27'!I530</f>
        <v>43</v>
      </c>
      <c r="D266" s="103">
        <f>'Refer Para 27'!I531</f>
        <v>419</v>
      </c>
      <c r="E266" s="103">
        <f>'Refer Para 27'!I532</f>
        <v>8</v>
      </c>
      <c r="F266" s="103">
        <f>'Refer Para 27'!I533</f>
        <v>55</v>
      </c>
      <c r="G266" s="103">
        <f>'Refer Para 27'!I534</f>
        <v>0</v>
      </c>
      <c r="H266" s="103">
        <f>'Refer Para 27'!I535</f>
        <v>1</v>
      </c>
      <c r="I266" s="103">
        <f>'Refer Para 27'!I536</f>
        <v>2</v>
      </c>
      <c r="J266" s="103">
        <f>'Refer Para 27'!I537</f>
        <v>2</v>
      </c>
      <c r="K266" s="78">
        <f t="shared" si="8"/>
        <v>530</v>
      </c>
      <c r="L266" s="103">
        <v>0</v>
      </c>
      <c r="M266" s="103">
        <f>'Refer Para 27'!I538</f>
        <v>9</v>
      </c>
      <c r="N266" s="78">
        <f t="shared" si="9"/>
        <v>539</v>
      </c>
      <c r="O266" s="103">
        <v>0</v>
      </c>
    </row>
    <row r="267" spans="2:15" ht="15.75">
      <c r="B267" s="78">
        <v>260</v>
      </c>
      <c r="C267" s="103">
        <f>'Refer Para 27'!J530</f>
        <v>13</v>
      </c>
      <c r="D267" s="103">
        <f>'Refer Para 27'!J531</f>
        <v>477</v>
      </c>
      <c r="E267" s="103">
        <f>'Refer Para 27'!J532</f>
        <v>4</v>
      </c>
      <c r="F267" s="103">
        <f>'Refer Para 27'!J533</f>
        <v>6</v>
      </c>
      <c r="G267" s="103">
        <f>'Refer Para 27'!J534</f>
        <v>1</v>
      </c>
      <c r="H267" s="103">
        <f>'Refer Para 27'!J535</f>
        <v>6</v>
      </c>
      <c r="I267" s="103">
        <f>'Refer Para 27'!J536</f>
        <v>3</v>
      </c>
      <c r="J267" s="103">
        <f>'Refer Para 27'!J537</f>
        <v>5</v>
      </c>
      <c r="K267" s="78">
        <f t="shared" si="8"/>
        <v>515</v>
      </c>
      <c r="L267" s="103">
        <v>0</v>
      </c>
      <c r="M267" s="103">
        <f>'Refer Para 27'!J538</f>
        <v>6</v>
      </c>
      <c r="N267" s="78">
        <f t="shared" si="9"/>
        <v>521</v>
      </c>
      <c r="O267" s="103">
        <v>0</v>
      </c>
    </row>
    <row r="268" spans="2:15" ht="15.75">
      <c r="B268" s="78">
        <v>261</v>
      </c>
      <c r="C268" s="103">
        <f>'Refer Para 27'!K530</f>
        <v>66</v>
      </c>
      <c r="D268" s="103">
        <f>'Refer Para 27'!K531</f>
        <v>163</v>
      </c>
      <c r="E268" s="103">
        <f>'Refer Para 27'!K532</f>
        <v>7</v>
      </c>
      <c r="F268" s="103">
        <f>'Refer Para 27'!K533</f>
        <v>109</v>
      </c>
      <c r="G268" s="103">
        <f>'Refer Para 27'!K534</f>
        <v>2</v>
      </c>
      <c r="H268" s="103">
        <f>'Refer Para 27'!K535</f>
        <v>3</v>
      </c>
      <c r="I268" s="103">
        <f>'Refer Para 27'!K536</f>
        <v>3</v>
      </c>
      <c r="J268" s="103">
        <f>'Refer Para 27'!K537</f>
        <v>3</v>
      </c>
      <c r="K268" s="78">
        <f t="shared" si="8"/>
        <v>356</v>
      </c>
      <c r="L268" s="103">
        <v>0</v>
      </c>
      <c r="M268" s="103">
        <f>'Refer Para 27'!K538</f>
        <v>4</v>
      </c>
      <c r="N268" s="78">
        <f t="shared" si="9"/>
        <v>360</v>
      </c>
      <c r="O268" s="103">
        <v>0</v>
      </c>
    </row>
    <row r="269" spans="2:15" ht="15.75">
      <c r="B269" s="78">
        <v>262</v>
      </c>
      <c r="C269" s="103">
        <f>'Refer Para 27'!L530</f>
        <v>96</v>
      </c>
      <c r="D269" s="103">
        <f>'Refer Para 27'!L531</f>
        <v>477</v>
      </c>
      <c r="E269" s="103">
        <f>'Refer Para 27'!L532</f>
        <v>5</v>
      </c>
      <c r="F269" s="103">
        <f>'Refer Para 27'!L533</f>
        <v>1</v>
      </c>
      <c r="G269" s="103">
        <f>'Refer Para 27'!L534</f>
        <v>0</v>
      </c>
      <c r="H269" s="103">
        <f>'Refer Para 27'!L535</f>
        <v>3</v>
      </c>
      <c r="I269" s="103">
        <f>'Refer Para 27'!L536</f>
        <v>3</v>
      </c>
      <c r="J269" s="103">
        <f>'Refer Para 27'!L537</f>
        <v>5</v>
      </c>
      <c r="K269" s="78">
        <f t="shared" si="8"/>
        <v>590</v>
      </c>
      <c r="L269" s="103">
        <v>0</v>
      </c>
      <c r="M269" s="103">
        <f>'Refer Para 27'!L538</f>
        <v>2</v>
      </c>
      <c r="N269" s="78">
        <f t="shared" si="9"/>
        <v>592</v>
      </c>
      <c r="O269" s="103">
        <v>0</v>
      </c>
    </row>
    <row r="270" spans="2:15" ht="15.75">
      <c r="B270" s="78">
        <v>263</v>
      </c>
      <c r="C270" s="103">
        <f>'Refer Para 27'!M530</f>
        <v>27</v>
      </c>
      <c r="D270" s="103">
        <f>'Refer Para 27'!M531</f>
        <v>509</v>
      </c>
      <c r="E270" s="103">
        <f>'Refer Para 27'!M532</f>
        <v>6</v>
      </c>
      <c r="F270" s="103">
        <f>'Refer Para 27'!M533</f>
        <v>174</v>
      </c>
      <c r="G270" s="103">
        <f>'Refer Para 27'!M534</f>
        <v>1</v>
      </c>
      <c r="H270" s="103">
        <f>'Refer Para 27'!M535</f>
        <v>1</v>
      </c>
      <c r="I270" s="103">
        <f>'Refer Para 27'!M536</f>
        <v>0</v>
      </c>
      <c r="J270" s="103">
        <f>'Refer Para 27'!M537</f>
        <v>3</v>
      </c>
      <c r="K270" s="78">
        <f t="shared" si="8"/>
        <v>721</v>
      </c>
      <c r="L270" s="103">
        <v>0</v>
      </c>
      <c r="M270" s="103">
        <f>'Refer Para 27'!M538</f>
        <v>3</v>
      </c>
      <c r="N270" s="78">
        <f t="shared" si="9"/>
        <v>724</v>
      </c>
      <c r="O270" s="103">
        <v>0</v>
      </c>
    </row>
    <row r="271" spans="2:15" ht="15.75">
      <c r="B271" s="78">
        <v>264</v>
      </c>
      <c r="C271" s="103">
        <f>'Refer Para 27'!N530</f>
        <v>358</v>
      </c>
      <c r="D271" s="103">
        <f>'Refer Para 27'!N531</f>
        <v>202</v>
      </c>
      <c r="E271" s="103">
        <f>'Refer Para 27'!N532</f>
        <v>18</v>
      </c>
      <c r="F271" s="103">
        <f>'Refer Para 27'!N533</f>
        <v>97</v>
      </c>
      <c r="G271" s="103">
        <f>'Refer Para 27'!N534</f>
        <v>2</v>
      </c>
      <c r="H271" s="103">
        <f>'Refer Para 27'!N535</f>
        <v>3</v>
      </c>
      <c r="I271" s="103">
        <f>'Refer Para 27'!N536</f>
        <v>4</v>
      </c>
      <c r="J271" s="103">
        <f>'Refer Para 27'!N537</f>
        <v>2</v>
      </c>
      <c r="K271" s="78">
        <f t="shared" si="8"/>
        <v>686</v>
      </c>
      <c r="L271" s="103">
        <v>0</v>
      </c>
      <c r="M271" s="103">
        <f>'Refer Para 27'!N538</f>
        <v>3</v>
      </c>
      <c r="N271" s="78">
        <f t="shared" si="9"/>
        <v>689</v>
      </c>
      <c r="O271" s="103">
        <v>0</v>
      </c>
    </row>
    <row r="272" spans="2:15" ht="15.75">
      <c r="B272" s="78">
        <v>265</v>
      </c>
      <c r="C272" s="103">
        <f>'Refer Para 27'!O530</f>
        <v>271</v>
      </c>
      <c r="D272" s="103">
        <f>'Refer Para 27'!O531</f>
        <v>194</v>
      </c>
      <c r="E272" s="103">
        <f>'Refer Para 27'!O532</f>
        <v>0</v>
      </c>
      <c r="F272" s="103">
        <f>'Refer Para 27'!O533</f>
        <v>6</v>
      </c>
      <c r="G272" s="103">
        <f>'Refer Para 27'!O534</f>
        <v>1</v>
      </c>
      <c r="H272" s="103">
        <f>'Refer Para 27'!O535</f>
        <v>0</v>
      </c>
      <c r="I272" s="103">
        <f>'Refer Para 27'!O536</f>
        <v>1</v>
      </c>
      <c r="J272" s="103">
        <f>'Refer Para 27'!O537</f>
        <v>1</v>
      </c>
      <c r="K272" s="78">
        <f t="shared" si="8"/>
        <v>474</v>
      </c>
      <c r="L272" s="103">
        <v>0</v>
      </c>
      <c r="M272" s="103">
        <f>'Refer Para 27'!O538</f>
        <v>1</v>
      </c>
      <c r="N272" s="78">
        <f t="shared" si="9"/>
        <v>475</v>
      </c>
      <c r="O272" s="103">
        <v>0</v>
      </c>
    </row>
    <row r="273" spans="2:15" ht="15.75">
      <c r="B273" s="78">
        <v>266</v>
      </c>
      <c r="C273" s="103">
        <f>'Refer Para 27'!P530</f>
        <v>25</v>
      </c>
      <c r="D273" s="103">
        <f>'Refer Para 27'!P531</f>
        <v>539</v>
      </c>
      <c r="E273" s="103">
        <f>'Refer Para 27'!P532</f>
        <v>12</v>
      </c>
      <c r="F273" s="103">
        <f>'Refer Para 27'!P533</f>
        <v>5</v>
      </c>
      <c r="G273" s="103">
        <f>'Refer Para 27'!P534</f>
        <v>4</v>
      </c>
      <c r="H273" s="103">
        <f>'Refer Para 27'!P535</f>
        <v>1</v>
      </c>
      <c r="I273" s="103">
        <f>'Refer Para 27'!P536</f>
        <v>4</v>
      </c>
      <c r="J273" s="103">
        <f>'Refer Para 27'!P537</f>
        <v>8</v>
      </c>
      <c r="K273" s="78">
        <f t="shared" si="8"/>
        <v>598</v>
      </c>
      <c r="L273" s="103">
        <v>0</v>
      </c>
      <c r="M273" s="103">
        <f>'Refer Para 27'!P538</f>
        <v>3</v>
      </c>
      <c r="N273" s="78">
        <f t="shared" si="9"/>
        <v>601</v>
      </c>
      <c r="O273" s="103">
        <v>0</v>
      </c>
    </row>
    <row r="274" spans="2:15" ht="15.75">
      <c r="B274" s="78">
        <v>267</v>
      </c>
      <c r="C274" s="103">
        <f>'Refer Para 27'!C559</f>
        <v>9</v>
      </c>
      <c r="D274" s="103">
        <f>'Refer Para 27'!C560</f>
        <v>296</v>
      </c>
      <c r="E274" s="103">
        <f>'Refer Para 27'!C561</f>
        <v>0</v>
      </c>
      <c r="F274" s="103">
        <f>'Refer Para 27'!C562</f>
        <v>2</v>
      </c>
      <c r="G274" s="103">
        <f>'Refer Para 27'!C563</f>
        <v>0</v>
      </c>
      <c r="H274" s="103">
        <f>'Refer Para 27'!C564</f>
        <v>2</v>
      </c>
      <c r="I274" s="103">
        <f>'Refer Para 27'!C565</f>
        <v>2</v>
      </c>
      <c r="J274" s="103">
        <f>'Refer Para 27'!C566</f>
        <v>1</v>
      </c>
      <c r="K274" s="78">
        <f t="shared" si="8"/>
        <v>312</v>
      </c>
      <c r="L274" s="103">
        <v>0</v>
      </c>
      <c r="M274" s="103">
        <f>'Refer Para 27'!C567</f>
        <v>2</v>
      </c>
      <c r="N274" s="78">
        <f t="shared" si="9"/>
        <v>314</v>
      </c>
      <c r="O274" s="103">
        <v>0</v>
      </c>
    </row>
    <row r="275" spans="2:15" ht="15.75">
      <c r="B275" s="78">
        <v>268</v>
      </c>
      <c r="C275" s="103">
        <f>'Refer Para 27'!D559</f>
        <v>23</v>
      </c>
      <c r="D275" s="103">
        <f>'Refer Para 27'!D560</f>
        <v>334</v>
      </c>
      <c r="E275" s="103">
        <f>'Refer Para 27'!D561</f>
        <v>6</v>
      </c>
      <c r="F275" s="103">
        <f>'Refer Para 27'!D562</f>
        <v>86</v>
      </c>
      <c r="G275" s="103">
        <f>'Refer Para 27'!D563</f>
        <v>1</v>
      </c>
      <c r="H275" s="103">
        <f>'Refer Para 27'!D564</f>
        <v>1</v>
      </c>
      <c r="I275" s="103">
        <f>'Refer Para 27'!D565</f>
        <v>1</v>
      </c>
      <c r="J275" s="103">
        <f>'Refer Para 27'!D566</f>
        <v>0</v>
      </c>
      <c r="K275" s="78">
        <f t="shared" si="8"/>
        <v>452</v>
      </c>
      <c r="L275" s="103">
        <v>0</v>
      </c>
      <c r="M275" s="103">
        <f>'Refer Para 27'!D567</f>
        <v>3</v>
      </c>
      <c r="N275" s="78">
        <f t="shared" si="9"/>
        <v>455</v>
      </c>
      <c r="O275" s="103">
        <v>0</v>
      </c>
    </row>
    <row r="276" spans="2:15" ht="15.75">
      <c r="B276" s="78">
        <v>269</v>
      </c>
      <c r="C276" s="103">
        <f>'Refer Para 27'!E559</f>
        <v>87</v>
      </c>
      <c r="D276" s="103">
        <f>'Refer Para 27'!E560</f>
        <v>529</v>
      </c>
      <c r="E276" s="103">
        <f>'Refer Para 27'!E561</f>
        <v>6</v>
      </c>
      <c r="F276" s="103">
        <f>'Refer Para 27'!E562</f>
        <v>1</v>
      </c>
      <c r="G276" s="103">
        <f>'Refer Para 27'!E563</f>
        <v>1</v>
      </c>
      <c r="H276" s="103">
        <f>'Refer Para 27'!E564</f>
        <v>3</v>
      </c>
      <c r="I276" s="103">
        <f>'Refer Para 27'!E565</f>
        <v>6</v>
      </c>
      <c r="J276" s="103">
        <f>'Refer Para 27'!E566</f>
        <v>1</v>
      </c>
      <c r="K276" s="78">
        <f t="shared" si="8"/>
        <v>634</v>
      </c>
      <c r="L276" s="103">
        <v>0</v>
      </c>
      <c r="M276" s="103">
        <f>'Refer Para 27'!E567</f>
        <v>4</v>
      </c>
      <c r="N276" s="78">
        <f t="shared" si="9"/>
        <v>638</v>
      </c>
      <c r="O276" s="103">
        <v>0</v>
      </c>
    </row>
    <row r="277" spans="2:15" ht="15.75">
      <c r="B277" s="78">
        <v>270</v>
      </c>
      <c r="C277" s="103">
        <f>'Refer Para 27'!F559</f>
        <v>16</v>
      </c>
      <c r="D277" s="103">
        <f>'Refer Para 27'!F560</f>
        <v>575</v>
      </c>
      <c r="E277" s="103">
        <f>'Refer Para 27'!F561</f>
        <v>2</v>
      </c>
      <c r="F277" s="103">
        <f>'Refer Para 27'!F562</f>
        <v>3</v>
      </c>
      <c r="G277" s="103">
        <f>'Refer Para 27'!F563</f>
        <v>0</v>
      </c>
      <c r="H277" s="103">
        <f>'Refer Para 27'!F564</f>
        <v>4</v>
      </c>
      <c r="I277" s="103">
        <f>'Refer Para 27'!F565</f>
        <v>7</v>
      </c>
      <c r="J277" s="103">
        <f>'Refer Para 27'!F566</f>
        <v>3</v>
      </c>
      <c r="K277" s="78">
        <f t="shared" si="8"/>
        <v>610</v>
      </c>
      <c r="L277" s="103">
        <v>0</v>
      </c>
      <c r="M277" s="103">
        <f>'Refer Para 27'!F567</f>
        <v>0</v>
      </c>
      <c r="N277" s="78">
        <f t="shared" si="9"/>
        <v>610</v>
      </c>
      <c r="O277" s="103">
        <v>0</v>
      </c>
    </row>
    <row r="278" spans="2:15" ht="15.75">
      <c r="B278" s="78">
        <v>271</v>
      </c>
      <c r="C278" s="103">
        <f>'Refer Para 27'!G559</f>
        <v>33</v>
      </c>
      <c r="D278" s="103">
        <f>'Refer Para 27'!G560</f>
        <v>636</v>
      </c>
      <c r="E278" s="103">
        <f>'Refer Para 27'!G561</f>
        <v>6</v>
      </c>
      <c r="F278" s="103">
        <f>'Refer Para 27'!G562</f>
        <v>2</v>
      </c>
      <c r="G278" s="103">
        <f>'Refer Para 27'!G563</f>
        <v>1</v>
      </c>
      <c r="H278" s="103">
        <f>'Refer Para 27'!G564</f>
        <v>3</v>
      </c>
      <c r="I278" s="103">
        <f>'Refer Para 27'!G565</f>
        <v>1</v>
      </c>
      <c r="J278" s="103">
        <f>'Refer Para 27'!G566</f>
        <v>8</v>
      </c>
      <c r="K278" s="78">
        <f t="shared" si="8"/>
        <v>690</v>
      </c>
      <c r="L278" s="103">
        <v>0</v>
      </c>
      <c r="M278" s="103">
        <f>'Refer Para 27'!G567</f>
        <v>8</v>
      </c>
      <c r="N278" s="78">
        <f t="shared" si="9"/>
        <v>698</v>
      </c>
      <c r="O278" s="103">
        <v>0</v>
      </c>
    </row>
    <row r="279" spans="2:15" ht="15.75">
      <c r="B279" s="78">
        <v>272</v>
      </c>
      <c r="C279" s="103">
        <f>'Refer Para 27'!H559</f>
        <v>79</v>
      </c>
      <c r="D279" s="103">
        <f>'Refer Para 27'!H560</f>
        <v>505</v>
      </c>
      <c r="E279" s="103">
        <f>'Refer Para 27'!H561</f>
        <v>6</v>
      </c>
      <c r="F279" s="103">
        <f>'Refer Para 27'!H562</f>
        <v>85</v>
      </c>
      <c r="G279" s="103">
        <f>'Refer Para 27'!H563</f>
        <v>0</v>
      </c>
      <c r="H279" s="103">
        <f>'Refer Para 27'!H564</f>
        <v>1</v>
      </c>
      <c r="I279" s="103">
        <f>'Refer Para 27'!H565</f>
        <v>3</v>
      </c>
      <c r="J279" s="103">
        <f>'Refer Para 27'!H566</f>
        <v>5</v>
      </c>
      <c r="K279" s="78">
        <f t="shared" si="8"/>
        <v>684</v>
      </c>
      <c r="L279" s="103">
        <v>0</v>
      </c>
      <c r="M279" s="103">
        <f>'Refer Para 27'!H567</f>
        <v>5</v>
      </c>
      <c r="N279" s="78">
        <f t="shared" si="9"/>
        <v>689</v>
      </c>
      <c r="O279" s="103">
        <v>0</v>
      </c>
    </row>
    <row r="280" spans="2:15" ht="15.75">
      <c r="B280" s="78">
        <v>273</v>
      </c>
      <c r="C280" s="103">
        <f>'Refer Para 27'!I559</f>
        <v>167</v>
      </c>
      <c r="D280" s="103">
        <f>'Refer Para 27'!I560</f>
        <v>211</v>
      </c>
      <c r="E280" s="103">
        <f>'Refer Para 27'!I561</f>
        <v>2</v>
      </c>
      <c r="F280" s="103">
        <f>'Refer Para 27'!I562</f>
        <v>253</v>
      </c>
      <c r="G280" s="103">
        <f>'Refer Para 27'!I563</f>
        <v>4</v>
      </c>
      <c r="H280" s="103">
        <f>'Refer Para 27'!I564</f>
        <v>4</v>
      </c>
      <c r="I280" s="103">
        <f>'Refer Para 27'!I565</f>
        <v>4</v>
      </c>
      <c r="J280" s="103">
        <f>'Refer Para 27'!I566</f>
        <v>1</v>
      </c>
      <c r="K280" s="78">
        <f t="shared" si="8"/>
        <v>646</v>
      </c>
      <c r="L280" s="103">
        <v>0</v>
      </c>
      <c r="M280" s="103">
        <f>'Refer Para 27'!I567</f>
        <v>2</v>
      </c>
      <c r="N280" s="78">
        <f t="shared" si="9"/>
        <v>648</v>
      </c>
      <c r="O280" s="103">
        <v>0</v>
      </c>
    </row>
    <row r="281" spans="2:15" ht="15.75">
      <c r="B281" s="78">
        <v>274</v>
      </c>
      <c r="C281" s="103">
        <f>'Refer Para 27'!J559</f>
        <v>78</v>
      </c>
      <c r="D281" s="103">
        <f>'Refer Para 27'!J560</f>
        <v>471</v>
      </c>
      <c r="E281" s="103">
        <f>'Refer Para 27'!J561</f>
        <v>6</v>
      </c>
      <c r="F281" s="103">
        <f>'Refer Para 27'!J562</f>
        <v>151</v>
      </c>
      <c r="G281" s="103">
        <f>'Refer Para 27'!J563</f>
        <v>1</v>
      </c>
      <c r="H281" s="103">
        <f>'Refer Para 27'!J564</f>
        <v>2</v>
      </c>
      <c r="I281" s="103">
        <f>'Refer Para 27'!J565</f>
        <v>3</v>
      </c>
      <c r="J281" s="103">
        <f>'Refer Para 27'!J566</f>
        <v>2</v>
      </c>
      <c r="K281" s="78">
        <f t="shared" si="8"/>
        <v>714</v>
      </c>
      <c r="L281" s="103">
        <v>0</v>
      </c>
      <c r="M281" s="103">
        <f>'Refer Para 27'!J567</f>
        <v>3</v>
      </c>
      <c r="N281" s="78">
        <f t="shared" si="9"/>
        <v>717</v>
      </c>
      <c r="O281" s="103">
        <v>0</v>
      </c>
    </row>
    <row r="282" spans="2:15" ht="15.75">
      <c r="B282" s="78">
        <v>275</v>
      </c>
      <c r="C282" s="103">
        <f>'Refer Para 27'!K559</f>
        <v>325</v>
      </c>
      <c r="D282" s="103">
        <f>'Refer Para 27'!K560</f>
        <v>353</v>
      </c>
      <c r="E282" s="103">
        <f>'Refer Para 27'!K561</f>
        <v>10</v>
      </c>
      <c r="F282" s="103">
        <f>'Refer Para 27'!K562</f>
        <v>7</v>
      </c>
      <c r="G282" s="103">
        <f>'Refer Para 27'!K563</f>
        <v>0</v>
      </c>
      <c r="H282" s="103">
        <f>'Refer Para 27'!K564</f>
        <v>1</v>
      </c>
      <c r="I282" s="103">
        <f>'Refer Para 27'!K565</f>
        <v>2</v>
      </c>
      <c r="J282" s="103">
        <f>'Refer Para 27'!K566</f>
        <v>3</v>
      </c>
      <c r="K282" s="78">
        <f t="shared" si="8"/>
        <v>701</v>
      </c>
      <c r="L282" s="103">
        <v>0</v>
      </c>
      <c r="M282" s="103">
        <f>'Refer Para 27'!K567</f>
        <v>3</v>
      </c>
      <c r="N282" s="78">
        <f t="shared" si="9"/>
        <v>704</v>
      </c>
      <c r="O282" s="103">
        <v>0</v>
      </c>
    </row>
    <row r="283" spans="2:15" ht="15.75">
      <c r="B283" s="78">
        <v>276</v>
      </c>
      <c r="C283" s="103">
        <f>'Refer Para 27'!L559</f>
        <v>82</v>
      </c>
      <c r="D283" s="103">
        <f>'Refer Para 27'!L560</f>
        <v>474</v>
      </c>
      <c r="E283" s="103">
        <f>'Refer Para 27'!L561</f>
        <v>7</v>
      </c>
      <c r="F283" s="103">
        <f>'Refer Para 27'!L562</f>
        <v>67</v>
      </c>
      <c r="G283" s="103">
        <f>'Refer Para 27'!L563</f>
        <v>2</v>
      </c>
      <c r="H283" s="103">
        <f>'Refer Para 27'!L564</f>
        <v>0</v>
      </c>
      <c r="I283" s="103">
        <f>'Refer Para 27'!L565</f>
        <v>8</v>
      </c>
      <c r="J283" s="103">
        <f>'Refer Para 27'!L566</f>
        <v>3</v>
      </c>
      <c r="K283" s="78">
        <f t="shared" si="8"/>
        <v>643</v>
      </c>
      <c r="L283" s="103">
        <v>0</v>
      </c>
      <c r="M283" s="103">
        <f>'Refer Para 27'!L567</f>
        <v>3</v>
      </c>
      <c r="N283" s="78">
        <f t="shared" si="9"/>
        <v>646</v>
      </c>
      <c r="O283" s="103">
        <v>0</v>
      </c>
    </row>
    <row r="284" spans="2:15" ht="15.75">
      <c r="B284" s="78">
        <v>277</v>
      </c>
      <c r="C284" s="103">
        <f>'Refer Para 27'!M559</f>
        <v>101</v>
      </c>
      <c r="D284" s="103">
        <f>'Refer Para 27'!M560</f>
        <v>427</v>
      </c>
      <c r="E284" s="103">
        <f>'Refer Para 27'!M561</f>
        <v>2</v>
      </c>
      <c r="F284" s="103">
        <f>'Refer Para 27'!M562</f>
        <v>87</v>
      </c>
      <c r="G284" s="103">
        <f>'Refer Para 27'!M563</f>
        <v>1</v>
      </c>
      <c r="H284" s="103">
        <f>'Refer Para 27'!M564</f>
        <v>2</v>
      </c>
      <c r="I284" s="103">
        <f>'Refer Para 27'!M565</f>
        <v>0</v>
      </c>
      <c r="J284" s="103">
        <f>'Refer Para 27'!M566</f>
        <v>2</v>
      </c>
      <c r="K284" s="78">
        <f t="shared" si="8"/>
        <v>622</v>
      </c>
      <c r="L284" s="103">
        <v>0</v>
      </c>
      <c r="M284" s="103">
        <f>'Refer Para 27'!M567</f>
        <v>8</v>
      </c>
      <c r="N284" s="78">
        <f t="shared" si="9"/>
        <v>630</v>
      </c>
      <c r="O284" s="103">
        <v>0</v>
      </c>
    </row>
    <row r="285" spans="2:15" ht="15.75">
      <c r="B285" s="78">
        <v>278</v>
      </c>
      <c r="C285" s="103">
        <f>'Refer Para 27'!N559</f>
        <v>33</v>
      </c>
      <c r="D285" s="103">
        <f>'Refer Para 27'!N560</f>
        <v>232</v>
      </c>
      <c r="E285" s="103">
        <f>'Refer Para 27'!N561</f>
        <v>10</v>
      </c>
      <c r="F285" s="103">
        <f>'Refer Para 27'!N562</f>
        <v>83</v>
      </c>
      <c r="G285" s="103">
        <f>'Refer Para 27'!N563</f>
        <v>1</v>
      </c>
      <c r="H285" s="103">
        <f>'Refer Para 27'!N564</f>
        <v>3</v>
      </c>
      <c r="I285" s="103">
        <f>'Refer Para 27'!N565</f>
        <v>3</v>
      </c>
      <c r="J285" s="103">
        <f>'Refer Para 27'!N566</f>
        <v>5</v>
      </c>
      <c r="K285" s="78">
        <f t="shared" si="8"/>
        <v>370</v>
      </c>
      <c r="L285" s="103">
        <v>0</v>
      </c>
      <c r="M285" s="103">
        <f>'Refer Para 27'!N567</f>
        <v>2</v>
      </c>
      <c r="N285" s="78">
        <f t="shared" si="9"/>
        <v>372</v>
      </c>
      <c r="O285" s="103">
        <v>0</v>
      </c>
    </row>
    <row r="286" spans="2:15" ht="15.75">
      <c r="B286" s="78">
        <v>279</v>
      </c>
      <c r="C286" s="103">
        <f>'Refer Para 27'!O559</f>
        <v>35</v>
      </c>
      <c r="D286" s="103">
        <f>'Refer Para 27'!O560</f>
        <v>386</v>
      </c>
      <c r="E286" s="103">
        <f>'Refer Para 27'!O561</f>
        <v>24</v>
      </c>
      <c r="F286" s="103">
        <f>'Refer Para 27'!O562</f>
        <v>66</v>
      </c>
      <c r="G286" s="103">
        <f>'Refer Para 27'!O563</f>
        <v>5</v>
      </c>
      <c r="H286" s="103">
        <f>'Refer Para 27'!O564</f>
        <v>3</v>
      </c>
      <c r="I286" s="103">
        <f>'Refer Para 27'!O565</f>
        <v>2</v>
      </c>
      <c r="J286" s="103">
        <f>'Refer Para 27'!O566</f>
        <v>5</v>
      </c>
      <c r="K286" s="78">
        <f t="shared" si="8"/>
        <v>526</v>
      </c>
      <c r="L286" s="103">
        <v>0</v>
      </c>
      <c r="M286" s="103">
        <f>'Refer Para 27'!O567</f>
        <v>1</v>
      </c>
      <c r="N286" s="78">
        <f t="shared" si="9"/>
        <v>527</v>
      </c>
      <c r="O286" s="103">
        <v>0</v>
      </c>
    </row>
    <row r="287" spans="2:15" ht="15.75">
      <c r="B287" s="78">
        <v>280</v>
      </c>
      <c r="C287" s="103">
        <f>'Refer Para 27'!P559</f>
        <v>214</v>
      </c>
      <c r="D287" s="103">
        <f>'Refer Para 27'!P560</f>
        <v>532</v>
      </c>
      <c r="E287" s="103">
        <f>'Refer Para 27'!P561</f>
        <v>5</v>
      </c>
      <c r="F287" s="103">
        <f>'Refer Para 27'!P562</f>
        <v>44</v>
      </c>
      <c r="G287" s="103">
        <f>'Refer Para 27'!P563</f>
        <v>0</v>
      </c>
      <c r="H287" s="103">
        <f>'Refer Para 27'!P564</f>
        <v>3</v>
      </c>
      <c r="I287" s="103">
        <f>'Refer Para 27'!P565</f>
        <v>1</v>
      </c>
      <c r="J287" s="103">
        <f>'Refer Para 27'!P566</f>
        <v>4</v>
      </c>
      <c r="K287" s="78">
        <f t="shared" si="8"/>
        <v>803</v>
      </c>
      <c r="L287" s="103">
        <v>0</v>
      </c>
      <c r="M287" s="103">
        <f>'Refer Para 27'!P567</f>
        <v>3</v>
      </c>
      <c r="N287" s="78">
        <f t="shared" si="9"/>
        <v>806</v>
      </c>
      <c r="O287" s="103">
        <v>0</v>
      </c>
    </row>
    <row r="288" spans="2:15" ht="15.75">
      <c r="B288" s="78">
        <v>281</v>
      </c>
      <c r="C288" s="103">
        <f>'Refer Para 27'!C588</f>
        <v>95</v>
      </c>
      <c r="D288" s="103">
        <f>'Refer Para 27'!C589</f>
        <v>267</v>
      </c>
      <c r="E288" s="103">
        <f>'Refer Para 27'!C590</f>
        <v>2</v>
      </c>
      <c r="F288" s="103">
        <f>'Refer Para 27'!C591</f>
        <v>134</v>
      </c>
      <c r="G288" s="103">
        <f>'Refer Para 27'!C592</f>
        <v>1</v>
      </c>
      <c r="H288" s="103">
        <f>'Refer Para 27'!C593</f>
        <v>1</v>
      </c>
      <c r="I288" s="103">
        <f>'Refer Para 27'!C594</f>
        <v>6</v>
      </c>
      <c r="J288" s="103">
        <f>'Refer Para 27'!C595</f>
        <v>6</v>
      </c>
      <c r="K288" s="78">
        <f t="shared" si="8"/>
        <v>512</v>
      </c>
      <c r="L288" s="103">
        <v>0</v>
      </c>
      <c r="M288" s="103">
        <f>'Refer Para 27'!C596</f>
        <v>9</v>
      </c>
      <c r="N288" s="78">
        <f t="shared" si="9"/>
        <v>521</v>
      </c>
      <c r="O288" s="103">
        <v>0</v>
      </c>
    </row>
    <row r="289" spans="2:15" ht="15.75">
      <c r="B289" s="78">
        <v>282</v>
      </c>
      <c r="C289" s="103">
        <f>'Refer Para 27'!D588</f>
        <v>66</v>
      </c>
      <c r="D289" s="103">
        <f>'Refer Para 27'!D589</f>
        <v>299</v>
      </c>
      <c r="E289" s="103">
        <f>'Refer Para 27'!D590</f>
        <v>2</v>
      </c>
      <c r="F289" s="103">
        <f>'Refer Para 27'!D591</f>
        <v>4</v>
      </c>
      <c r="G289" s="103">
        <f>'Refer Para 27'!D592</f>
        <v>0</v>
      </c>
      <c r="H289" s="103">
        <f>'Refer Para 27'!D593</f>
        <v>0</v>
      </c>
      <c r="I289" s="103">
        <f>'Refer Para 27'!D594</f>
        <v>1</v>
      </c>
      <c r="J289" s="103">
        <f>'Refer Para 27'!D595</f>
        <v>2</v>
      </c>
      <c r="K289" s="78">
        <f t="shared" si="8"/>
        <v>374</v>
      </c>
      <c r="L289" s="103">
        <v>0</v>
      </c>
      <c r="M289" s="103">
        <f>'Refer Para 27'!D596</f>
        <v>3</v>
      </c>
      <c r="N289" s="78">
        <f t="shared" si="9"/>
        <v>377</v>
      </c>
      <c r="O289" s="103">
        <v>0</v>
      </c>
    </row>
    <row r="290" spans="2:15" ht="15.75">
      <c r="B290" s="78">
        <v>283</v>
      </c>
      <c r="C290" s="103">
        <f>'Refer Para 27'!E588</f>
        <v>26</v>
      </c>
      <c r="D290" s="103">
        <f>'Refer Para 27'!E589</f>
        <v>543</v>
      </c>
      <c r="E290" s="103">
        <f>'Refer Para 27'!E590</f>
        <v>4</v>
      </c>
      <c r="F290" s="103">
        <f>'Refer Para 27'!E591</f>
        <v>4</v>
      </c>
      <c r="G290" s="103">
        <f>'Refer Para 27'!E592</f>
        <v>1</v>
      </c>
      <c r="H290" s="103">
        <f>'Refer Para 27'!E593</f>
        <v>2</v>
      </c>
      <c r="I290" s="103">
        <f>'Refer Para 27'!E594</f>
        <v>6</v>
      </c>
      <c r="J290" s="103">
        <f>'Refer Para 27'!E595</f>
        <v>5</v>
      </c>
      <c r="K290" s="78">
        <f t="shared" si="8"/>
        <v>591</v>
      </c>
      <c r="L290" s="103">
        <v>0</v>
      </c>
      <c r="M290" s="103">
        <f>'Refer Para 27'!E596</f>
        <v>5</v>
      </c>
      <c r="N290" s="78">
        <f t="shared" si="9"/>
        <v>596</v>
      </c>
      <c r="O290" s="103">
        <v>0</v>
      </c>
    </row>
    <row r="291" spans="2:15" ht="15.75">
      <c r="B291" s="78">
        <v>284</v>
      </c>
      <c r="C291" s="103">
        <f>'Refer Para 27'!F588</f>
        <v>43</v>
      </c>
      <c r="D291" s="103">
        <f>'Refer Para 27'!F589</f>
        <v>393</v>
      </c>
      <c r="E291" s="103">
        <f>'Refer Para 27'!F590</f>
        <v>7</v>
      </c>
      <c r="F291" s="103">
        <f>'Refer Para 27'!F591</f>
        <v>162</v>
      </c>
      <c r="G291" s="103">
        <f>'Refer Para 27'!F592</f>
        <v>0</v>
      </c>
      <c r="H291" s="103">
        <f>'Refer Para 27'!F593</f>
        <v>8</v>
      </c>
      <c r="I291" s="103">
        <f>'Refer Para 27'!F594</f>
        <v>2</v>
      </c>
      <c r="J291" s="103">
        <f>'Refer Para 27'!F595</f>
        <v>6</v>
      </c>
      <c r="K291" s="78">
        <f t="shared" si="8"/>
        <v>621</v>
      </c>
      <c r="L291" s="103">
        <v>0</v>
      </c>
      <c r="M291" s="103">
        <f>'Refer Para 27'!F596</f>
        <v>2</v>
      </c>
      <c r="N291" s="78">
        <f t="shared" si="9"/>
        <v>623</v>
      </c>
      <c r="O291" s="103">
        <v>0</v>
      </c>
    </row>
    <row r="292" spans="2:15" ht="15.75">
      <c r="B292" s="78">
        <v>285</v>
      </c>
      <c r="C292" s="103">
        <f>'Refer Para 27'!G588</f>
        <v>36</v>
      </c>
      <c r="D292" s="103">
        <f>'Refer Para 27'!G589</f>
        <v>540</v>
      </c>
      <c r="E292" s="103">
        <f>'Refer Para 27'!G590</f>
        <v>6</v>
      </c>
      <c r="F292" s="103">
        <f>'Refer Para 27'!G591</f>
        <v>7</v>
      </c>
      <c r="G292" s="103">
        <f>'Refer Para 27'!G592</f>
        <v>0</v>
      </c>
      <c r="H292" s="103">
        <f>'Refer Para 27'!G593</f>
        <v>0</v>
      </c>
      <c r="I292" s="103">
        <f>'Refer Para 27'!G594</f>
        <v>0</v>
      </c>
      <c r="J292" s="103">
        <f>'Refer Para 27'!G595</f>
        <v>3</v>
      </c>
      <c r="K292" s="78">
        <f t="shared" si="8"/>
        <v>592</v>
      </c>
      <c r="L292" s="103">
        <v>0</v>
      </c>
      <c r="M292" s="103">
        <f>'Refer Para 27'!G596</f>
        <v>2</v>
      </c>
      <c r="N292" s="78">
        <f t="shared" si="9"/>
        <v>594</v>
      </c>
      <c r="O292" s="103">
        <v>0</v>
      </c>
    </row>
    <row r="293" spans="2:15" ht="15.75">
      <c r="B293" s="78">
        <v>286</v>
      </c>
      <c r="C293" s="103">
        <f>'Refer Para 27'!H588</f>
        <v>3</v>
      </c>
      <c r="D293" s="103">
        <f>'Refer Para 27'!H589</f>
        <v>596</v>
      </c>
      <c r="E293" s="103">
        <f>'Refer Para 27'!H590</f>
        <v>11</v>
      </c>
      <c r="F293" s="103">
        <f>'Refer Para 27'!H591</f>
        <v>3</v>
      </c>
      <c r="G293" s="103">
        <f>'Refer Para 27'!H592</f>
        <v>0</v>
      </c>
      <c r="H293" s="103">
        <f>'Refer Para 27'!H593</f>
        <v>2</v>
      </c>
      <c r="I293" s="103">
        <f>'Refer Para 27'!H594</f>
        <v>6</v>
      </c>
      <c r="J293" s="103">
        <f>'Refer Para 27'!H595</f>
        <v>9</v>
      </c>
      <c r="K293" s="78">
        <f t="shared" si="8"/>
        <v>630</v>
      </c>
      <c r="L293" s="103">
        <v>0</v>
      </c>
      <c r="M293" s="103">
        <f>'Refer Para 27'!H596</f>
        <v>6</v>
      </c>
      <c r="N293" s="78">
        <f t="shared" si="9"/>
        <v>636</v>
      </c>
      <c r="O293" s="103">
        <v>0</v>
      </c>
    </row>
    <row r="294" spans="2:15" ht="15.75">
      <c r="B294" s="78">
        <v>287</v>
      </c>
      <c r="C294" s="103">
        <f>'Refer Para 27'!I588</f>
        <v>49</v>
      </c>
      <c r="D294" s="103">
        <f>'Refer Para 27'!I589</f>
        <v>449</v>
      </c>
      <c r="E294" s="103">
        <f>'Refer Para 27'!I590</f>
        <v>19</v>
      </c>
      <c r="F294" s="103">
        <f>'Refer Para 27'!I591</f>
        <v>52</v>
      </c>
      <c r="G294" s="103">
        <f>'Refer Para 27'!I592</f>
        <v>1</v>
      </c>
      <c r="H294" s="103">
        <f>'Refer Para 27'!I593</f>
        <v>4</v>
      </c>
      <c r="I294" s="103">
        <f>'Refer Para 27'!I594</f>
        <v>2</v>
      </c>
      <c r="J294" s="103">
        <f>'Refer Para 27'!I595</f>
        <v>1</v>
      </c>
      <c r="K294" s="78">
        <f t="shared" si="8"/>
        <v>577</v>
      </c>
      <c r="L294" s="103">
        <v>0</v>
      </c>
      <c r="M294" s="103">
        <f>'Refer Para 27'!I596</f>
        <v>2</v>
      </c>
      <c r="N294" s="78">
        <f t="shared" si="9"/>
        <v>579</v>
      </c>
      <c r="O294" s="103">
        <v>0</v>
      </c>
    </row>
    <row r="295" spans="2:15" ht="15.75">
      <c r="B295" s="78">
        <v>288</v>
      </c>
      <c r="C295" s="103">
        <f>'Refer Para 27'!J588</f>
        <v>31</v>
      </c>
      <c r="D295" s="103">
        <f>'Refer Para 27'!J589</f>
        <v>632</v>
      </c>
      <c r="E295" s="103">
        <f>'Refer Para 27'!J590</f>
        <v>5</v>
      </c>
      <c r="F295" s="103">
        <f>'Refer Para 27'!J591</f>
        <v>3</v>
      </c>
      <c r="G295" s="103">
        <f>'Refer Para 27'!J592</f>
        <v>0</v>
      </c>
      <c r="H295" s="103">
        <f>'Refer Para 27'!J593</f>
        <v>1</v>
      </c>
      <c r="I295" s="103">
        <f>'Refer Para 27'!J594</f>
        <v>3</v>
      </c>
      <c r="J295" s="103">
        <f>'Refer Para 27'!J595</f>
        <v>0</v>
      </c>
      <c r="K295" s="78">
        <f t="shared" si="8"/>
        <v>675</v>
      </c>
      <c r="L295" s="103">
        <v>0</v>
      </c>
      <c r="M295" s="103">
        <f>'Refer Para 27'!J596</f>
        <v>5</v>
      </c>
      <c r="N295" s="78">
        <f t="shared" si="9"/>
        <v>680</v>
      </c>
      <c r="O295" s="103">
        <v>0</v>
      </c>
    </row>
    <row r="296" spans="2:15" ht="15.75">
      <c r="B296" s="78">
        <v>289</v>
      </c>
      <c r="C296" s="103">
        <f>'Refer Para 27'!K588</f>
        <v>102</v>
      </c>
      <c r="D296" s="103">
        <f>'Refer Para 27'!K589</f>
        <v>500</v>
      </c>
      <c r="E296" s="103">
        <f>'Refer Para 27'!K590</f>
        <v>12</v>
      </c>
      <c r="F296" s="103">
        <f>'Refer Para 27'!K591</f>
        <v>4</v>
      </c>
      <c r="G296" s="103">
        <f>'Refer Para 27'!K592</f>
        <v>0</v>
      </c>
      <c r="H296" s="103">
        <f>'Refer Para 27'!K593</f>
        <v>0</v>
      </c>
      <c r="I296" s="103">
        <f>'Refer Para 27'!K594</f>
        <v>2</v>
      </c>
      <c r="J296" s="103">
        <f>'Refer Para 27'!K595</f>
        <v>1</v>
      </c>
      <c r="K296" s="78">
        <f t="shared" si="8"/>
        <v>621</v>
      </c>
      <c r="L296" s="103">
        <v>0</v>
      </c>
      <c r="M296" s="103">
        <f>'Refer Para 27'!K596</f>
        <v>0</v>
      </c>
      <c r="N296" s="78">
        <f t="shared" si="9"/>
        <v>621</v>
      </c>
      <c r="O296" s="103">
        <v>0</v>
      </c>
    </row>
    <row r="297" spans="2:15" ht="15.75">
      <c r="B297" s="78">
        <v>290</v>
      </c>
      <c r="C297" s="103">
        <f>'Refer Para 27'!L588</f>
        <v>115</v>
      </c>
      <c r="D297" s="103">
        <f>'Refer Para 27'!L589</f>
        <v>427</v>
      </c>
      <c r="E297" s="103">
        <f>'Refer Para 27'!L590</f>
        <v>5</v>
      </c>
      <c r="F297" s="103">
        <f>'Refer Para 27'!L591</f>
        <v>123</v>
      </c>
      <c r="G297" s="103">
        <f>'Refer Para 27'!L592</f>
        <v>3</v>
      </c>
      <c r="H297" s="103">
        <f>'Refer Para 27'!L593</f>
        <v>1</v>
      </c>
      <c r="I297" s="103">
        <f>'Refer Para 27'!L594</f>
        <v>9</v>
      </c>
      <c r="J297" s="103">
        <f>'Refer Para 27'!L595</f>
        <v>5</v>
      </c>
      <c r="K297" s="78">
        <f t="shared" si="8"/>
        <v>688</v>
      </c>
      <c r="L297" s="103">
        <v>0</v>
      </c>
      <c r="M297" s="103">
        <f>'Refer Para 27'!L596</f>
        <v>8</v>
      </c>
      <c r="N297" s="78">
        <f t="shared" si="9"/>
        <v>696</v>
      </c>
      <c r="O297" s="103">
        <v>0</v>
      </c>
    </row>
    <row r="298" spans="2:15" ht="15.75">
      <c r="B298" s="78">
        <v>291</v>
      </c>
      <c r="C298" s="103">
        <f>'Refer Para 27'!M588</f>
        <v>25</v>
      </c>
      <c r="D298" s="103">
        <f>'Refer Para 27'!M589</f>
        <v>669</v>
      </c>
      <c r="E298" s="103">
        <f>'Refer Para 27'!M590</f>
        <v>9</v>
      </c>
      <c r="F298" s="103">
        <f>'Refer Para 27'!M591</f>
        <v>103</v>
      </c>
      <c r="G298" s="103">
        <f>'Refer Para 27'!M592</f>
        <v>4</v>
      </c>
      <c r="H298" s="103">
        <f>'Refer Para 27'!M593</f>
        <v>3</v>
      </c>
      <c r="I298" s="103">
        <f>'Refer Para 27'!M594</f>
        <v>7</v>
      </c>
      <c r="J298" s="103">
        <f>'Refer Para 27'!M595</f>
        <v>7</v>
      </c>
      <c r="K298" s="78">
        <f t="shared" si="8"/>
        <v>827</v>
      </c>
      <c r="L298" s="103">
        <v>0</v>
      </c>
      <c r="M298" s="103">
        <f>'Refer Para 27'!M596</f>
        <v>5</v>
      </c>
      <c r="N298" s="78">
        <f t="shared" si="9"/>
        <v>832</v>
      </c>
      <c r="O298" s="103">
        <v>0</v>
      </c>
    </row>
    <row r="299" spans="2:15" ht="15.75">
      <c r="B299" s="78">
        <v>292</v>
      </c>
      <c r="C299" s="103">
        <f>'Refer Para 27'!N588</f>
        <v>23</v>
      </c>
      <c r="D299" s="103">
        <f>'Refer Para 27'!N589</f>
        <v>196</v>
      </c>
      <c r="E299" s="103">
        <f>'Refer Para 27'!N590</f>
        <v>15</v>
      </c>
      <c r="F299" s="103">
        <f>'Refer Para 27'!N591</f>
        <v>24</v>
      </c>
      <c r="G299" s="103">
        <f>'Refer Para 27'!N592</f>
        <v>0</v>
      </c>
      <c r="H299" s="103">
        <f>'Refer Para 27'!N593</f>
        <v>0</v>
      </c>
      <c r="I299" s="103">
        <f>'Refer Para 27'!N594</f>
        <v>2</v>
      </c>
      <c r="J299" s="103">
        <f>'Refer Para 27'!N595</f>
        <v>1</v>
      </c>
      <c r="K299" s="78">
        <f t="shared" si="8"/>
        <v>261</v>
      </c>
      <c r="L299" s="103">
        <v>0</v>
      </c>
      <c r="M299" s="103">
        <f>'Refer Para 27'!N596</f>
        <v>1</v>
      </c>
      <c r="N299" s="78">
        <f t="shared" si="9"/>
        <v>262</v>
      </c>
      <c r="O299" s="103">
        <v>0</v>
      </c>
    </row>
    <row r="300" spans="2:15" ht="15.75">
      <c r="B300" s="78">
        <v>293</v>
      </c>
      <c r="C300" s="103">
        <f>'Refer Para 27'!O588</f>
        <v>38</v>
      </c>
      <c r="D300" s="103">
        <f>'Refer Para 27'!O589</f>
        <v>94</v>
      </c>
      <c r="E300" s="103">
        <f>'Refer Para 27'!O590</f>
        <v>70</v>
      </c>
      <c r="F300" s="103">
        <f>'Refer Para 27'!O591</f>
        <v>104</v>
      </c>
      <c r="G300" s="103">
        <f>'Refer Para 27'!O592</f>
        <v>1</v>
      </c>
      <c r="H300" s="103">
        <f>'Refer Para 27'!O593</f>
        <v>1</v>
      </c>
      <c r="I300" s="103">
        <f>'Refer Para 27'!O594</f>
        <v>1</v>
      </c>
      <c r="J300" s="103">
        <f>'Refer Para 27'!O595</f>
        <v>0</v>
      </c>
      <c r="K300" s="78">
        <f t="shared" si="8"/>
        <v>309</v>
      </c>
      <c r="L300" s="103">
        <v>0</v>
      </c>
      <c r="M300" s="103">
        <f>'Refer Para 27'!O596</f>
        <v>2</v>
      </c>
      <c r="N300" s="78">
        <f t="shared" si="9"/>
        <v>311</v>
      </c>
      <c r="O300" s="103">
        <v>0</v>
      </c>
    </row>
    <row r="301" spans="2:15" ht="15.75">
      <c r="B301" s="78">
        <v>294</v>
      </c>
      <c r="C301" s="103">
        <f>'Refer Para 27'!P588</f>
        <v>179</v>
      </c>
      <c r="D301" s="103">
        <f>'Refer Para 27'!P589</f>
        <v>300</v>
      </c>
      <c r="E301" s="103">
        <f>'Refer Para 27'!P590</f>
        <v>11</v>
      </c>
      <c r="F301" s="103">
        <f>'Refer Para 27'!P591</f>
        <v>115</v>
      </c>
      <c r="G301" s="103">
        <f>'Refer Para 27'!P592</f>
        <v>2</v>
      </c>
      <c r="H301" s="103">
        <f>'Refer Para 27'!P593</f>
        <v>1</v>
      </c>
      <c r="I301" s="103">
        <f>'Refer Para 27'!P594</f>
        <v>1</v>
      </c>
      <c r="J301" s="103">
        <f>'Refer Para 27'!P595</f>
        <v>1</v>
      </c>
      <c r="K301" s="78">
        <f t="shared" si="8"/>
        <v>610</v>
      </c>
      <c r="L301" s="103">
        <v>0</v>
      </c>
      <c r="M301" s="103">
        <f>'Refer Para 27'!P596</f>
        <v>2</v>
      </c>
      <c r="N301" s="78">
        <f t="shared" si="9"/>
        <v>612</v>
      </c>
      <c r="O301" s="103">
        <v>0</v>
      </c>
    </row>
    <row r="302" spans="2:15" ht="15.75">
      <c r="B302" s="78">
        <v>295</v>
      </c>
      <c r="C302" s="103">
        <f>'Refer Para 27'!C617</f>
        <v>54</v>
      </c>
      <c r="D302" s="103">
        <f>'Refer Para 27'!C618</f>
        <v>107</v>
      </c>
      <c r="E302" s="103">
        <f>'Refer Para 27'!C619</f>
        <v>1</v>
      </c>
      <c r="F302" s="103">
        <f>'Refer Para 27'!C620</f>
        <v>189</v>
      </c>
      <c r="G302" s="103">
        <f>'Refer Para 27'!C621</f>
        <v>0</v>
      </c>
      <c r="H302" s="103">
        <f>'Refer Para 27'!C622</f>
        <v>1</v>
      </c>
      <c r="I302" s="103">
        <f>'Refer Para 27'!C623</f>
        <v>1</v>
      </c>
      <c r="J302" s="103">
        <f>'Refer Para 27'!C624</f>
        <v>0</v>
      </c>
      <c r="K302" s="78">
        <f t="shared" si="8"/>
        <v>353</v>
      </c>
      <c r="L302" s="103">
        <v>0</v>
      </c>
      <c r="M302" s="103">
        <f>'Refer Para 27'!C625</f>
        <v>1</v>
      </c>
      <c r="N302" s="78">
        <f t="shared" si="9"/>
        <v>354</v>
      </c>
      <c r="O302" s="103">
        <v>0</v>
      </c>
    </row>
    <row r="303" spans="2:15" ht="15.75">
      <c r="B303" s="78">
        <v>296</v>
      </c>
      <c r="C303" s="103">
        <f>'Refer Para 27'!D617</f>
        <v>348</v>
      </c>
      <c r="D303" s="103">
        <f>'Refer Para 27'!D618</f>
        <v>256</v>
      </c>
      <c r="E303" s="103">
        <f>'Refer Para 27'!D619</f>
        <v>5</v>
      </c>
      <c r="F303" s="103">
        <f>'Refer Para 27'!D620</f>
        <v>8</v>
      </c>
      <c r="G303" s="103">
        <f>'Refer Para 27'!D621</f>
        <v>2</v>
      </c>
      <c r="H303" s="103">
        <f>'Refer Para 27'!D622</f>
        <v>3</v>
      </c>
      <c r="I303" s="103">
        <f>'Refer Para 27'!D623</f>
        <v>0</v>
      </c>
      <c r="J303" s="103">
        <f>'Refer Para 27'!D624</f>
        <v>0</v>
      </c>
      <c r="K303" s="78">
        <f t="shared" si="8"/>
        <v>622</v>
      </c>
      <c r="L303" s="103">
        <v>0</v>
      </c>
      <c r="M303" s="103">
        <f>'Refer Para 27'!D625</f>
        <v>1</v>
      </c>
      <c r="N303" s="78">
        <f t="shared" si="9"/>
        <v>623</v>
      </c>
      <c r="O303" s="103">
        <v>0</v>
      </c>
    </row>
    <row r="304" spans="2:15" ht="15.75">
      <c r="B304" s="78">
        <v>297</v>
      </c>
      <c r="C304" s="103">
        <f>'Refer Para 27'!E617</f>
        <v>119</v>
      </c>
      <c r="D304" s="103">
        <f>'Refer Para 27'!E618</f>
        <v>94</v>
      </c>
      <c r="E304" s="103">
        <f>'Refer Para 27'!E619</f>
        <v>4</v>
      </c>
      <c r="F304" s="103">
        <f>'Refer Para 27'!E620</f>
        <v>287</v>
      </c>
      <c r="G304" s="103">
        <f>'Refer Para 27'!E621</f>
        <v>1</v>
      </c>
      <c r="H304" s="103">
        <f>'Refer Para 27'!E622</f>
        <v>1</v>
      </c>
      <c r="I304" s="103">
        <f>'Refer Para 27'!E623</f>
        <v>2</v>
      </c>
      <c r="J304" s="103">
        <f>'Refer Para 27'!E624</f>
        <v>0</v>
      </c>
      <c r="K304" s="78">
        <f t="shared" si="8"/>
        <v>508</v>
      </c>
      <c r="L304" s="103">
        <v>0</v>
      </c>
      <c r="M304" s="103">
        <f>'Refer Para 27'!E625</f>
        <v>0</v>
      </c>
      <c r="N304" s="78">
        <f t="shared" si="9"/>
        <v>508</v>
      </c>
      <c r="O304" s="103">
        <v>0</v>
      </c>
    </row>
    <row r="305" spans="2:15" ht="15.75">
      <c r="B305" s="78">
        <v>298</v>
      </c>
      <c r="C305" s="103">
        <f>'Refer Para 27'!F617</f>
        <v>94</v>
      </c>
      <c r="D305" s="103">
        <f>'Refer Para 27'!F618</f>
        <v>169</v>
      </c>
      <c r="E305" s="103">
        <f>'Refer Para 27'!F619</f>
        <v>5</v>
      </c>
      <c r="F305" s="103">
        <f>'Refer Para 27'!F620</f>
        <v>111</v>
      </c>
      <c r="G305" s="103">
        <f>'Refer Para 27'!F621</f>
        <v>2</v>
      </c>
      <c r="H305" s="103">
        <f>'Refer Para 27'!F622</f>
        <v>2</v>
      </c>
      <c r="I305" s="103">
        <f>'Refer Para 27'!F623</f>
        <v>2</v>
      </c>
      <c r="J305" s="103">
        <f>'Refer Para 27'!F624</f>
        <v>1</v>
      </c>
      <c r="K305" s="78">
        <f t="shared" si="8"/>
        <v>386</v>
      </c>
      <c r="L305" s="103">
        <v>0</v>
      </c>
      <c r="M305" s="103">
        <f>'Refer Para 27'!F625</f>
        <v>1</v>
      </c>
      <c r="N305" s="78">
        <f t="shared" si="9"/>
        <v>387</v>
      </c>
      <c r="O305" s="103">
        <v>0</v>
      </c>
    </row>
    <row r="306" spans="2:15" ht="15.75">
      <c r="B306" s="78">
        <v>299</v>
      </c>
      <c r="C306" s="103">
        <f>'Refer Para 27'!G617</f>
        <v>15</v>
      </c>
      <c r="D306" s="103">
        <f>'Refer Para 27'!G618</f>
        <v>514</v>
      </c>
      <c r="E306" s="103">
        <f>'Refer Para 27'!G619</f>
        <v>3</v>
      </c>
      <c r="F306" s="103">
        <f>'Refer Para 27'!G620</f>
        <v>110</v>
      </c>
      <c r="G306" s="103">
        <f>'Refer Para 27'!G621</f>
        <v>0</v>
      </c>
      <c r="H306" s="103">
        <f>'Refer Para 27'!G622</f>
        <v>3</v>
      </c>
      <c r="I306" s="103">
        <f>'Refer Para 27'!G623</f>
        <v>6</v>
      </c>
      <c r="J306" s="103">
        <f>'Refer Para 27'!G624</f>
        <v>4</v>
      </c>
      <c r="K306" s="78">
        <f t="shared" si="8"/>
        <v>655</v>
      </c>
      <c r="L306" s="103">
        <v>0</v>
      </c>
      <c r="M306" s="103">
        <f>'Refer Para 27'!G625</f>
        <v>3</v>
      </c>
      <c r="N306" s="78">
        <f t="shared" si="9"/>
        <v>658</v>
      </c>
      <c r="O306" s="103">
        <v>0</v>
      </c>
    </row>
    <row r="307" spans="2:15" ht="15.75">
      <c r="B307" s="78">
        <v>300</v>
      </c>
      <c r="C307" s="103">
        <f>'Refer Para 27'!H617</f>
        <v>90</v>
      </c>
      <c r="D307" s="103">
        <f>'Refer Para 27'!H618</f>
        <v>217</v>
      </c>
      <c r="E307" s="103">
        <f>'Refer Para 27'!H619</f>
        <v>27</v>
      </c>
      <c r="F307" s="103">
        <f>'Refer Para 27'!H620</f>
        <v>42</v>
      </c>
      <c r="G307" s="103">
        <f>'Refer Para 27'!H621</f>
        <v>2</v>
      </c>
      <c r="H307" s="103">
        <f>'Refer Para 27'!H622</f>
        <v>1</v>
      </c>
      <c r="I307" s="103">
        <f>'Refer Para 27'!H623</f>
        <v>0</v>
      </c>
      <c r="J307" s="103">
        <f>'Refer Para 27'!H624</f>
        <v>0</v>
      </c>
      <c r="K307" s="78">
        <f t="shared" si="8"/>
        <v>379</v>
      </c>
      <c r="L307" s="103">
        <v>0</v>
      </c>
      <c r="M307" s="103">
        <f>'Refer Para 27'!H625</f>
        <v>0</v>
      </c>
      <c r="N307" s="78">
        <f t="shared" si="9"/>
        <v>379</v>
      </c>
      <c r="O307" s="103">
        <v>0</v>
      </c>
    </row>
    <row r="308" spans="2:15" ht="15.75">
      <c r="B308" s="78">
        <v>301</v>
      </c>
      <c r="C308" s="103">
        <f>'Refer Para 27'!I617</f>
        <v>103</v>
      </c>
      <c r="D308" s="103">
        <f>'Refer Para 27'!I618</f>
        <v>78</v>
      </c>
      <c r="E308" s="103">
        <f>'Refer Para 27'!I619</f>
        <v>5</v>
      </c>
      <c r="F308" s="103">
        <f>'Refer Para 27'!I620</f>
        <v>231</v>
      </c>
      <c r="G308" s="103">
        <f>'Refer Para 27'!I621</f>
        <v>1</v>
      </c>
      <c r="H308" s="103">
        <f>'Refer Para 27'!I622</f>
        <v>3</v>
      </c>
      <c r="I308" s="103">
        <f>'Refer Para 27'!I623</f>
        <v>1</v>
      </c>
      <c r="J308" s="103">
        <f>'Refer Para 27'!I624</f>
        <v>0</v>
      </c>
      <c r="K308" s="78">
        <f t="shared" si="8"/>
        <v>422</v>
      </c>
      <c r="L308" s="103">
        <v>0</v>
      </c>
      <c r="M308" s="103">
        <f>'Refer Para 27'!I625</f>
        <v>2</v>
      </c>
      <c r="N308" s="78">
        <f t="shared" si="9"/>
        <v>424</v>
      </c>
      <c r="O308" s="103">
        <v>0</v>
      </c>
    </row>
    <row r="309" spans="2:15" ht="15.75">
      <c r="B309" s="78">
        <v>302</v>
      </c>
      <c r="C309" s="103">
        <f>'Refer Para 27'!J617</f>
        <v>11</v>
      </c>
      <c r="D309" s="103">
        <f>'Refer Para 27'!J618</f>
        <v>277</v>
      </c>
      <c r="E309" s="103">
        <f>'Refer Para 27'!J619</f>
        <v>15</v>
      </c>
      <c r="F309" s="103">
        <f>'Refer Para 27'!J620</f>
        <v>136</v>
      </c>
      <c r="G309" s="103">
        <f>'Refer Para 27'!J621</f>
        <v>1</v>
      </c>
      <c r="H309" s="103">
        <f>'Refer Para 27'!J622</f>
        <v>3</v>
      </c>
      <c r="I309" s="103">
        <f>'Refer Para 27'!J623</f>
        <v>1</v>
      </c>
      <c r="J309" s="103">
        <f>'Refer Para 27'!J624</f>
        <v>1</v>
      </c>
      <c r="K309" s="78">
        <f t="shared" si="8"/>
        <v>445</v>
      </c>
      <c r="L309" s="103">
        <v>0</v>
      </c>
      <c r="M309" s="103">
        <f>'Refer Para 27'!J625</f>
        <v>0</v>
      </c>
      <c r="N309" s="78">
        <f t="shared" si="9"/>
        <v>445</v>
      </c>
      <c r="O309" s="103">
        <v>0</v>
      </c>
    </row>
    <row r="310" spans="2:15" ht="15.75">
      <c r="B310" s="78">
        <v>303</v>
      </c>
      <c r="C310" s="103">
        <f>'Refer Para 27'!K617</f>
        <v>21</v>
      </c>
      <c r="D310" s="103">
        <f>'Refer Para 27'!K618</f>
        <v>414</v>
      </c>
      <c r="E310" s="103">
        <f>'Refer Para 27'!K619</f>
        <v>22</v>
      </c>
      <c r="F310" s="103">
        <f>'Refer Para 27'!K620</f>
        <v>4</v>
      </c>
      <c r="G310" s="103">
        <f>'Refer Para 27'!K621</f>
        <v>0</v>
      </c>
      <c r="H310" s="103">
        <f>'Refer Para 27'!K622</f>
        <v>0</v>
      </c>
      <c r="I310" s="103">
        <f>'Refer Para 27'!K623</f>
        <v>3</v>
      </c>
      <c r="J310" s="103">
        <f>'Refer Para 27'!K624</f>
        <v>3</v>
      </c>
      <c r="K310" s="78">
        <f t="shared" si="8"/>
        <v>467</v>
      </c>
      <c r="L310" s="103">
        <v>0</v>
      </c>
      <c r="M310" s="103">
        <f>'Refer Para 27'!K625</f>
        <v>2</v>
      </c>
      <c r="N310" s="78">
        <f t="shared" si="9"/>
        <v>469</v>
      </c>
      <c r="O310" s="103">
        <v>0</v>
      </c>
    </row>
    <row r="311" spans="2:15" ht="15.75">
      <c r="B311" s="78">
        <v>304</v>
      </c>
      <c r="C311" s="103">
        <f>'Refer Para 27'!L617</f>
        <v>5</v>
      </c>
      <c r="D311" s="103">
        <f>'Refer Para 27'!L618</f>
        <v>323</v>
      </c>
      <c r="E311" s="103">
        <f>'Refer Para 27'!L619</f>
        <v>3</v>
      </c>
      <c r="F311" s="103">
        <f>'Refer Para 27'!L620</f>
        <v>77</v>
      </c>
      <c r="G311" s="103">
        <f>'Refer Para 27'!L621</f>
        <v>2</v>
      </c>
      <c r="H311" s="103">
        <f>'Refer Para 27'!L622</f>
        <v>1</v>
      </c>
      <c r="I311" s="103">
        <f>'Refer Para 27'!L623</f>
        <v>0</v>
      </c>
      <c r="J311" s="103">
        <f>'Refer Para 27'!L624</f>
        <v>2</v>
      </c>
      <c r="K311" s="78">
        <f t="shared" si="8"/>
        <v>413</v>
      </c>
      <c r="L311" s="103">
        <v>0</v>
      </c>
      <c r="M311" s="103">
        <f>'Refer Para 27'!L625</f>
        <v>1</v>
      </c>
      <c r="N311" s="78">
        <f t="shared" si="9"/>
        <v>414</v>
      </c>
      <c r="O311" s="103">
        <v>0</v>
      </c>
    </row>
    <row r="312" spans="2:15" ht="15.75">
      <c r="B312" s="78">
        <v>305</v>
      </c>
      <c r="C312" s="103">
        <f>'Refer Para 27'!M617</f>
        <v>4</v>
      </c>
      <c r="D312" s="103">
        <f>'Refer Para 27'!M618</f>
        <v>607</v>
      </c>
      <c r="E312" s="103">
        <f>'Refer Para 27'!M619</f>
        <v>4</v>
      </c>
      <c r="F312" s="103">
        <f>'Refer Para 27'!M620</f>
        <v>0</v>
      </c>
      <c r="G312" s="103">
        <f>'Refer Para 27'!M621</f>
        <v>1</v>
      </c>
      <c r="H312" s="103">
        <f>'Refer Para 27'!M622</f>
        <v>0</v>
      </c>
      <c r="I312" s="103">
        <f>'Refer Para 27'!M623</f>
        <v>0</v>
      </c>
      <c r="J312" s="103">
        <f>'Refer Para 27'!M624</f>
        <v>8</v>
      </c>
      <c r="K312" s="78">
        <f t="shared" si="8"/>
        <v>624</v>
      </c>
      <c r="L312" s="103">
        <v>0</v>
      </c>
      <c r="M312" s="103">
        <f>'Refer Para 27'!M625</f>
        <v>0</v>
      </c>
      <c r="N312" s="78">
        <f t="shared" si="9"/>
        <v>624</v>
      </c>
      <c r="O312" s="103">
        <v>0</v>
      </c>
    </row>
    <row r="313" spans="2:15" ht="15.75">
      <c r="B313" s="78">
        <v>306</v>
      </c>
      <c r="C313" s="103">
        <f>'Refer Para 27'!N617</f>
        <v>38</v>
      </c>
      <c r="D313" s="103">
        <f>'Refer Para 27'!N618</f>
        <v>194</v>
      </c>
      <c r="E313" s="103">
        <f>'Refer Para 27'!N619</f>
        <v>2</v>
      </c>
      <c r="F313" s="103">
        <f>'Refer Para 27'!N620</f>
        <v>3</v>
      </c>
      <c r="G313" s="103">
        <f>'Refer Para 27'!N621</f>
        <v>1</v>
      </c>
      <c r="H313" s="103">
        <f>'Refer Para 27'!N622</f>
        <v>1</v>
      </c>
      <c r="I313" s="103">
        <f>'Refer Para 27'!N623</f>
        <v>0</v>
      </c>
      <c r="J313" s="103">
        <f>'Refer Para 27'!N624</f>
        <v>1</v>
      </c>
      <c r="K313" s="78">
        <f t="shared" si="8"/>
        <v>240</v>
      </c>
      <c r="L313" s="103">
        <v>0</v>
      </c>
      <c r="M313" s="103">
        <f>'Refer Para 27'!N625</f>
        <v>1</v>
      </c>
      <c r="N313" s="78">
        <f t="shared" si="9"/>
        <v>241</v>
      </c>
      <c r="O313" s="103">
        <v>0</v>
      </c>
    </row>
    <row r="314" spans="2:15" ht="15.75">
      <c r="B314" s="78">
        <v>307</v>
      </c>
      <c r="C314" s="103">
        <f>'Refer Para 27'!O617</f>
        <v>24</v>
      </c>
      <c r="D314" s="103">
        <f>'Refer Para 27'!O618</f>
        <v>592</v>
      </c>
      <c r="E314" s="103">
        <f>'Refer Para 27'!O619</f>
        <v>8</v>
      </c>
      <c r="F314" s="103">
        <f>'Refer Para 27'!O620</f>
        <v>4</v>
      </c>
      <c r="G314" s="103">
        <f>'Refer Para 27'!O621</f>
        <v>0</v>
      </c>
      <c r="H314" s="103">
        <f>'Refer Para 27'!O622</f>
        <v>1</v>
      </c>
      <c r="I314" s="103">
        <f>'Refer Para 27'!O623</f>
        <v>4</v>
      </c>
      <c r="J314" s="103">
        <f>'Refer Para 27'!O624</f>
        <v>3</v>
      </c>
      <c r="K314" s="78">
        <f t="shared" si="8"/>
        <v>636</v>
      </c>
      <c r="L314" s="103">
        <v>0</v>
      </c>
      <c r="M314" s="103">
        <f>'Refer Para 27'!O625</f>
        <v>5</v>
      </c>
      <c r="N314" s="78">
        <f t="shared" si="9"/>
        <v>641</v>
      </c>
      <c r="O314" s="103">
        <v>0</v>
      </c>
    </row>
    <row r="315" spans="2:15" ht="15.75">
      <c r="B315" s="78">
        <v>308</v>
      </c>
      <c r="C315" s="103">
        <f>'Refer Para 27'!P617</f>
        <v>59</v>
      </c>
      <c r="D315" s="103">
        <f>'Refer Para 27'!P618</f>
        <v>432</v>
      </c>
      <c r="E315" s="103">
        <f>'Refer Para 27'!P619</f>
        <v>7</v>
      </c>
      <c r="F315" s="103">
        <f>'Refer Para 27'!P620</f>
        <v>28</v>
      </c>
      <c r="G315" s="103">
        <f>'Refer Para 27'!P621</f>
        <v>0</v>
      </c>
      <c r="H315" s="103">
        <f>'Refer Para 27'!P622</f>
        <v>0</v>
      </c>
      <c r="I315" s="103">
        <f>'Refer Para 27'!P623</f>
        <v>1</v>
      </c>
      <c r="J315" s="103">
        <f>'Refer Para 27'!P624</f>
        <v>4</v>
      </c>
      <c r="K315" s="78">
        <f t="shared" si="8"/>
        <v>531</v>
      </c>
      <c r="L315" s="103">
        <v>0</v>
      </c>
      <c r="M315" s="103">
        <f>'Refer Para 27'!P625</f>
        <v>2</v>
      </c>
      <c r="N315" s="78">
        <f t="shared" si="9"/>
        <v>533</v>
      </c>
      <c r="O315" s="103">
        <v>0</v>
      </c>
    </row>
    <row r="316" spans="2:15" ht="15.75">
      <c r="B316" s="78">
        <v>309</v>
      </c>
      <c r="C316" s="103">
        <f>'Refer Para 27'!C646</f>
        <v>80</v>
      </c>
      <c r="D316" s="103">
        <f>'Refer Para 27'!C647</f>
        <v>324</v>
      </c>
      <c r="E316" s="103">
        <f>'Refer Para 27'!C648</f>
        <v>4</v>
      </c>
      <c r="F316" s="103">
        <f>'Refer Para 27'!C649</f>
        <v>17</v>
      </c>
      <c r="G316" s="103">
        <f>'Refer Para 27'!C650</f>
        <v>1</v>
      </c>
      <c r="H316" s="103">
        <f>'Refer Para 27'!C651</f>
        <v>3</v>
      </c>
      <c r="I316" s="103">
        <f>'Refer Para 27'!C652</f>
        <v>2</v>
      </c>
      <c r="J316" s="103">
        <f>'Refer Para 27'!C653</f>
        <v>1</v>
      </c>
      <c r="K316" s="78">
        <f t="shared" si="8"/>
        <v>432</v>
      </c>
      <c r="L316" s="103">
        <v>0</v>
      </c>
      <c r="M316" s="103">
        <f>'Refer Para 27'!C654</f>
        <v>6</v>
      </c>
      <c r="N316" s="78">
        <f t="shared" si="9"/>
        <v>438</v>
      </c>
      <c r="O316" s="103">
        <v>0</v>
      </c>
    </row>
    <row r="317" spans="2:15" ht="15.75">
      <c r="B317" s="78">
        <v>310</v>
      </c>
      <c r="C317" s="103">
        <f>'Refer Para 27'!D646</f>
        <v>60</v>
      </c>
      <c r="D317" s="103">
        <f>'Refer Para 27'!D647</f>
        <v>256</v>
      </c>
      <c r="E317" s="103">
        <f>'Refer Para 27'!D648</f>
        <v>4</v>
      </c>
      <c r="F317" s="103">
        <f>'Refer Para 27'!D649</f>
        <v>207</v>
      </c>
      <c r="G317" s="103">
        <f>'Refer Para 27'!D650</f>
        <v>4</v>
      </c>
      <c r="H317" s="103">
        <f>'Refer Para 27'!D651</f>
        <v>6</v>
      </c>
      <c r="I317" s="103">
        <f>'Refer Para 27'!D652</f>
        <v>5</v>
      </c>
      <c r="J317" s="103">
        <f>'Refer Para 27'!D653</f>
        <v>1</v>
      </c>
      <c r="K317" s="78">
        <f t="shared" si="8"/>
        <v>543</v>
      </c>
      <c r="L317" s="103">
        <v>0</v>
      </c>
      <c r="M317" s="103">
        <f>'Refer Para 27'!D654</f>
        <v>5</v>
      </c>
      <c r="N317" s="78">
        <f t="shared" si="9"/>
        <v>548</v>
      </c>
      <c r="O317" s="103">
        <v>0</v>
      </c>
    </row>
    <row r="318" spans="2:15" ht="15.75">
      <c r="B318" s="78">
        <v>311</v>
      </c>
      <c r="C318" s="103">
        <f>'Refer Para 27'!E646</f>
        <v>7</v>
      </c>
      <c r="D318" s="103">
        <f>'Refer Para 27'!E647</f>
        <v>304</v>
      </c>
      <c r="E318" s="103">
        <f>'Refer Para 27'!E648</f>
        <v>4</v>
      </c>
      <c r="F318" s="103">
        <f>'Refer Para 27'!E649</f>
        <v>97</v>
      </c>
      <c r="G318" s="103">
        <f>'Refer Para 27'!E650</f>
        <v>0</v>
      </c>
      <c r="H318" s="103">
        <f>'Refer Para 27'!E651</f>
        <v>1</v>
      </c>
      <c r="I318" s="103">
        <f>'Refer Para 27'!E652</f>
        <v>1</v>
      </c>
      <c r="J318" s="103">
        <f>'Refer Para 27'!E653</f>
        <v>0</v>
      </c>
      <c r="K318" s="78">
        <f t="shared" si="8"/>
        <v>414</v>
      </c>
      <c r="L318" s="103">
        <v>0</v>
      </c>
      <c r="M318" s="103">
        <f>'Refer Para 27'!E654</f>
        <v>1</v>
      </c>
      <c r="N318" s="78">
        <f t="shared" si="9"/>
        <v>415</v>
      </c>
      <c r="O318" s="103">
        <v>0</v>
      </c>
    </row>
    <row r="319" spans="2:15" ht="15.75">
      <c r="B319" s="78">
        <v>312</v>
      </c>
      <c r="C319" s="103">
        <f>'Refer Para 27'!F646</f>
        <v>3</v>
      </c>
      <c r="D319" s="103">
        <f>'Refer Para 27'!F647</f>
        <v>270</v>
      </c>
      <c r="E319" s="103">
        <f>'Refer Para 27'!F648</f>
        <v>1</v>
      </c>
      <c r="F319" s="103">
        <f>'Refer Para 27'!F649</f>
        <v>148</v>
      </c>
      <c r="G319" s="103">
        <f>'Refer Para 27'!F650</f>
        <v>2</v>
      </c>
      <c r="H319" s="103">
        <f>'Refer Para 27'!F651</f>
        <v>3</v>
      </c>
      <c r="I319" s="103">
        <f>'Refer Para 27'!F652</f>
        <v>0</v>
      </c>
      <c r="J319" s="103">
        <f>'Refer Para 27'!F653</f>
        <v>2</v>
      </c>
      <c r="K319" s="78">
        <f t="shared" si="8"/>
        <v>429</v>
      </c>
      <c r="L319" s="103">
        <v>0</v>
      </c>
      <c r="M319" s="103">
        <f>'Refer Para 27'!F654</f>
        <v>2</v>
      </c>
      <c r="N319" s="78">
        <f t="shared" si="9"/>
        <v>431</v>
      </c>
      <c r="O319" s="103">
        <v>0</v>
      </c>
    </row>
    <row r="320" spans="2:15" ht="15.75">
      <c r="B320" s="78">
        <v>313</v>
      </c>
      <c r="C320" s="103">
        <f>'Refer Para 27'!G646</f>
        <v>25</v>
      </c>
      <c r="D320" s="103">
        <f>'Refer Para 27'!G647</f>
        <v>716</v>
      </c>
      <c r="E320" s="103">
        <f>'Refer Para 27'!G648</f>
        <v>4</v>
      </c>
      <c r="F320" s="103">
        <f>'Refer Para 27'!G649</f>
        <v>14</v>
      </c>
      <c r="G320" s="103">
        <f>'Refer Para 27'!G650</f>
        <v>0</v>
      </c>
      <c r="H320" s="103">
        <f>'Refer Para 27'!G651</f>
        <v>0</v>
      </c>
      <c r="I320" s="103">
        <f>'Refer Para 27'!G652</f>
        <v>3</v>
      </c>
      <c r="J320" s="103">
        <f>'Refer Para 27'!G653</f>
        <v>3</v>
      </c>
      <c r="K320" s="78">
        <f t="shared" si="8"/>
        <v>765</v>
      </c>
      <c r="L320" s="103">
        <v>0</v>
      </c>
      <c r="M320" s="103">
        <f>'Refer Para 27'!G654</f>
        <v>2</v>
      </c>
      <c r="N320" s="78">
        <f t="shared" si="9"/>
        <v>767</v>
      </c>
      <c r="O320" s="103">
        <v>0</v>
      </c>
    </row>
    <row r="321" spans="2:15" ht="15.75">
      <c r="B321" s="78">
        <v>314</v>
      </c>
      <c r="C321" s="103">
        <f>'Refer Para 27'!H646</f>
        <v>253</v>
      </c>
      <c r="D321" s="103">
        <f>'Refer Para 27'!H647</f>
        <v>320</v>
      </c>
      <c r="E321" s="103">
        <f>'Refer Para 27'!H648</f>
        <v>5</v>
      </c>
      <c r="F321" s="103">
        <f>'Refer Para 27'!H649</f>
        <v>37</v>
      </c>
      <c r="G321" s="103">
        <f>'Refer Para 27'!H650</f>
        <v>3</v>
      </c>
      <c r="H321" s="103">
        <f>'Refer Para 27'!H651</f>
        <v>4</v>
      </c>
      <c r="I321" s="103">
        <f>'Refer Para 27'!H652</f>
        <v>0</v>
      </c>
      <c r="J321" s="103">
        <f>'Refer Para 27'!H653</f>
        <v>0</v>
      </c>
      <c r="K321" s="78">
        <f t="shared" si="8"/>
        <v>622</v>
      </c>
      <c r="L321" s="103">
        <v>0</v>
      </c>
      <c r="M321" s="103">
        <f>'Refer Para 27'!H654</f>
        <v>3</v>
      </c>
      <c r="N321" s="78">
        <f t="shared" si="9"/>
        <v>625</v>
      </c>
      <c r="O321" s="103">
        <v>0</v>
      </c>
    </row>
    <row r="322" spans="2:15" ht="15.75">
      <c r="B322" s="78">
        <v>315</v>
      </c>
      <c r="C322" s="103">
        <f>'Refer Para 27'!I646</f>
        <v>27</v>
      </c>
      <c r="D322" s="103">
        <f>'Refer Para 27'!I647</f>
        <v>330</v>
      </c>
      <c r="E322" s="103">
        <f>'Refer Para 27'!I648</f>
        <v>3</v>
      </c>
      <c r="F322" s="103">
        <f>'Refer Para 27'!I649</f>
        <v>122</v>
      </c>
      <c r="G322" s="103">
        <f>'Refer Para 27'!I650</f>
        <v>0</v>
      </c>
      <c r="H322" s="103">
        <f>'Refer Para 27'!I651</f>
        <v>3</v>
      </c>
      <c r="I322" s="103">
        <f>'Refer Para 27'!I652</f>
        <v>2</v>
      </c>
      <c r="J322" s="103">
        <f>'Refer Para 27'!I653</f>
        <v>0</v>
      </c>
      <c r="K322" s="78">
        <f t="shared" si="8"/>
        <v>487</v>
      </c>
      <c r="L322" s="103">
        <v>0</v>
      </c>
      <c r="M322" s="103">
        <f>'Refer Para 27'!I654</f>
        <v>3</v>
      </c>
      <c r="N322" s="78">
        <f t="shared" si="9"/>
        <v>490</v>
      </c>
      <c r="O322" s="103">
        <v>0</v>
      </c>
    </row>
    <row r="323" spans="2:15" ht="15.75">
      <c r="B323" s="78">
        <v>316</v>
      </c>
      <c r="C323" s="103">
        <f>'Refer Para 27'!J646</f>
        <v>10</v>
      </c>
      <c r="D323" s="103">
        <f>'Refer Para 27'!J647</f>
        <v>711</v>
      </c>
      <c r="E323" s="103">
        <f>'Refer Para 27'!J648</f>
        <v>3</v>
      </c>
      <c r="F323" s="103">
        <f>'Refer Para 27'!J649</f>
        <v>1</v>
      </c>
      <c r="G323" s="103">
        <f>'Refer Para 27'!J650</f>
        <v>1</v>
      </c>
      <c r="H323" s="103">
        <f>'Refer Para 27'!J651</f>
        <v>4</v>
      </c>
      <c r="I323" s="103">
        <f>'Refer Para 27'!J652</f>
        <v>2</v>
      </c>
      <c r="J323" s="103">
        <f>'Refer Para 27'!J653</f>
        <v>4</v>
      </c>
      <c r="K323" s="78">
        <f t="shared" si="8"/>
        <v>736</v>
      </c>
      <c r="L323" s="103">
        <v>0</v>
      </c>
      <c r="M323" s="103">
        <f>'Refer Para 27'!J654</f>
        <v>2</v>
      </c>
      <c r="N323" s="78">
        <f t="shared" si="9"/>
        <v>738</v>
      </c>
      <c r="O323" s="103">
        <v>0</v>
      </c>
    </row>
    <row r="324" spans="2:15" ht="15.75">
      <c r="B324" s="78">
        <v>317</v>
      </c>
      <c r="C324" s="103">
        <f>'Refer Para 27'!K646</f>
        <v>16</v>
      </c>
      <c r="D324" s="103">
        <f>'Refer Para 27'!K647</f>
        <v>478</v>
      </c>
      <c r="E324" s="103">
        <f>'Refer Para 27'!K648</f>
        <v>4</v>
      </c>
      <c r="F324" s="103">
        <f>'Refer Para 27'!K649</f>
        <v>76</v>
      </c>
      <c r="G324" s="103">
        <f>'Refer Para 27'!K650</f>
        <v>1</v>
      </c>
      <c r="H324" s="103">
        <f>'Refer Para 27'!K651</f>
        <v>5</v>
      </c>
      <c r="I324" s="103">
        <f>'Refer Para 27'!K652</f>
        <v>9</v>
      </c>
      <c r="J324" s="103">
        <f>'Refer Para 27'!K653</f>
        <v>8</v>
      </c>
      <c r="K324" s="78">
        <f t="shared" si="8"/>
        <v>597</v>
      </c>
      <c r="L324" s="103">
        <v>0</v>
      </c>
      <c r="M324" s="103">
        <f>'Refer Para 27'!K654</f>
        <v>4</v>
      </c>
      <c r="N324" s="78">
        <f t="shared" si="9"/>
        <v>601</v>
      </c>
      <c r="O324" s="103">
        <v>0</v>
      </c>
    </row>
    <row r="325" spans="2:15" ht="15.75">
      <c r="B325" s="78">
        <v>318</v>
      </c>
      <c r="C325" s="103">
        <f>'Refer Para 27'!L646</f>
        <v>59</v>
      </c>
      <c r="D325" s="103">
        <f>'Refer Para 27'!L647</f>
        <v>256</v>
      </c>
      <c r="E325" s="103">
        <f>'Refer Para 27'!L648</f>
        <v>11</v>
      </c>
      <c r="F325" s="103">
        <f>'Refer Para 27'!L649</f>
        <v>297</v>
      </c>
      <c r="G325" s="103">
        <f>'Refer Para 27'!L650</f>
        <v>2</v>
      </c>
      <c r="H325" s="103">
        <f>'Refer Para 27'!L651</f>
        <v>4</v>
      </c>
      <c r="I325" s="103">
        <f>'Refer Para 27'!L652</f>
        <v>9</v>
      </c>
      <c r="J325" s="103">
        <f>'Refer Para 27'!L653</f>
        <v>3</v>
      </c>
      <c r="K325" s="78">
        <f t="shared" si="8"/>
        <v>641</v>
      </c>
      <c r="L325" s="103">
        <v>0</v>
      </c>
      <c r="M325" s="103">
        <f>'Refer Para 27'!L654</f>
        <v>6</v>
      </c>
      <c r="N325" s="78">
        <f t="shared" si="9"/>
        <v>647</v>
      </c>
      <c r="O325" s="103">
        <v>0</v>
      </c>
    </row>
    <row r="326" spans="2:15" ht="15.75">
      <c r="B326" s="78">
        <v>319</v>
      </c>
      <c r="C326" s="103">
        <f>'Refer Para 27'!M646</f>
        <v>83</v>
      </c>
      <c r="D326" s="103">
        <f>'Refer Para 27'!M647</f>
        <v>368</v>
      </c>
      <c r="E326" s="103">
        <f>'Refer Para 27'!M648</f>
        <v>6</v>
      </c>
      <c r="F326" s="103">
        <f>'Refer Para 27'!M649</f>
        <v>173</v>
      </c>
      <c r="G326" s="103">
        <f>'Refer Para 27'!M650</f>
        <v>1</v>
      </c>
      <c r="H326" s="103">
        <f>'Refer Para 27'!M651</f>
        <v>1</v>
      </c>
      <c r="I326" s="103">
        <f>'Refer Para 27'!M652</f>
        <v>2</v>
      </c>
      <c r="J326" s="103">
        <f>'Refer Para 27'!M653</f>
        <v>1</v>
      </c>
      <c r="K326" s="78">
        <f t="shared" si="8"/>
        <v>635</v>
      </c>
      <c r="L326" s="103">
        <v>0</v>
      </c>
      <c r="M326" s="103">
        <f>'Refer Para 27'!M654</f>
        <v>3</v>
      </c>
      <c r="N326" s="78">
        <f t="shared" si="9"/>
        <v>638</v>
      </c>
      <c r="O326" s="103">
        <v>0</v>
      </c>
    </row>
    <row r="327" spans="2:15" ht="15.75">
      <c r="B327" s="78">
        <v>320</v>
      </c>
      <c r="C327" s="103">
        <f>'Refer Para 27'!N646</f>
        <v>37</v>
      </c>
      <c r="D327" s="103">
        <f>'Refer Para 27'!N647</f>
        <v>544</v>
      </c>
      <c r="E327" s="103">
        <f>'Refer Para 27'!N648</f>
        <v>1</v>
      </c>
      <c r="F327" s="103">
        <f>'Refer Para 27'!N649</f>
        <v>4</v>
      </c>
      <c r="G327" s="103">
        <f>'Refer Para 27'!N650</f>
        <v>0</v>
      </c>
      <c r="H327" s="103">
        <f>'Refer Para 27'!N651</f>
        <v>2</v>
      </c>
      <c r="I327" s="103">
        <f>'Refer Para 27'!N652</f>
        <v>0</v>
      </c>
      <c r="J327" s="103">
        <f>'Refer Para 27'!N653</f>
        <v>1</v>
      </c>
      <c r="K327" s="78">
        <f t="shared" si="8"/>
        <v>589</v>
      </c>
      <c r="L327" s="103">
        <v>0</v>
      </c>
      <c r="M327" s="103">
        <f>'Refer Para 27'!N654</f>
        <v>2</v>
      </c>
      <c r="N327" s="78">
        <f t="shared" si="9"/>
        <v>591</v>
      </c>
      <c r="O327" s="103">
        <v>0</v>
      </c>
    </row>
    <row r="328" spans="2:15" ht="15.75">
      <c r="B328" s="78">
        <v>321</v>
      </c>
      <c r="C328" s="103">
        <f>'Refer Para 27'!O646</f>
        <v>11</v>
      </c>
      <c r="D328" s="103">
        <f>'Refer Para 27'!O647</f>
        <v>544</v>
      </c>
      <c r="E328" s="103">
        <f>'Refer Para 27'!O648</f>
        <v>7</v>
      </c>
      <c r="F328" s="103">
        <f>'Refer Para 27'!O649</f>
        <v>1</v>
      </c>
      <c r="G328" s="103">
        <f>'Refer Para 27'!O650</f>
        <v>0</v>
      </c>
      <c r="H328" s="103">
        <f>'Refer Para 27'!O651</f>
        <v>2</v>
      </c>
      <c r="I328" s="103">
        <f>'Refer Para 27'!O652</f>
        <v>6</v>
      </c>
      <c r="J328" s="103">
        <f>'Refer Para 27'!O653</f>
        <v>3</v>
      </c>
      <c r="K328" s="78">
        <f t="shared" ref="K328:K391" si="10">SUM(C328:J328)</f>
        <v>574</v>
      </c>
      <c r="L328" s="103">
        <v>0</v>
      </c>
      <c r="M328" s="103">
        <f>'Refer Para 27'!O654</f>
        <v>5</v>
      </c>
      <c r="N328" s="78">
        <f t="shared" si="9"/>
        <v>579</v>
      </c>
      <c r="O328" s="103">
        <v>0</v>
      </c>
    </row>
    <row r="329" spans="2:15" ht="15.75">
      <c r="B329" s="78">
        <v>322</v>
      </c>
      <c r="C329" s="103">
        <f>'Refer Para 27'!P646</f>
        <v>10</v>
      </c>
      <c r="D329" s="103">
        <f>'Refer Para 27'!P647</f>
        <v>510</v>
      </c>
      <c r="E329" s="103">
        <f>'Refer Para 27'!P648</f>
        <v>1</v>
      </c>
      <c r="F329" s="103">
        <f>'Refer Para 27'!P649</f>
        <v>0</v>
      </c>
      <c r="G329" s="103">
        <f>'Refer Para 27'!P650</f>
        <v>1</v>
      </c>
      <c r="H329" s="103">
        <f>'Refer Para 27'!P651</f>
        <v>2</v>
      </c>
      <c r="I329" s="103">
        <f>'Refer Para 27'!P652</f>
        <v>2</v>
      </c>
      <c r="J329" s="103">
        <f>'Refer Para 27'!P653</f>
        <v>3</v>
      </c>
      <c r="K329" s="78">
        <f t="shared" si="10"/>
        <v>529</v>
      </c>
      <c r="L329" s="103">
        <v>0</v>
      </c>
      <c r="M329" s="103">
        <f>'Refer Para 27'!P654</f>
        <v>2</v>
      </c>
      <c r="N329" s="78">
        <f t="shared" ref="N329:N392" si="11">K329+M329-L329</f>
        <v>531</v>
      </c>
      <c r="O329" s="103">
        <v>0</v>
      </c>
    </row>
    <row r="330" spans="2:15" ht="15.75">
      <c r="B330" s="78">
        <v>323</v>
      </c>
      <c r="C330" s="103">
        <f>'Refer Para 27'!C675</f>
        <v>21</v>
      </c>
      <c r="D330" s="103">
        <f>'Refer Para 27'!C676</f>
        <v>599</v>
      </c>
      <c r="E330" s="103">
        <f>'Refer Para 27'!C677</f>
        <v>15</v>
      </c>
      <c r="F330" s="103">
        <f>'Refer Para 27'!C678</f>
        <v>126</v>
      </c>
      <c r="G330" s="103">
        <f>'Refer Para 27'!C679</f>
        <v>4</v>
      </c>
      <c r="H330" s="103">
        <f>'Refer Para 27'!C680</f>
        <v>6</v>
      </c>
      <c r="I330" s="103">
        <f>'Refer Para 27'!C681</f>
        <v>11</v>
      </c>
      <c r="J330" s="103">
        <f>'Refer Para 27'!C682</f>
        <v>8</v>
      </c>
      <c r="K330" s="78">
        <f t="shared" si="10"/>
        <v>790</v>
      </c>
      <c r="L330" s="103">
        <v>0</v>
      </c>
      <c r="M330" s="103">
        <f>'Refer Para 27'!C683</f>
        <v>20</v>
      </c>
      <c r="N330" s="78">
        <f t="shared" si="11"/>
        <v>810</v>
      </c>
      <c r="O330" s="103">
        <v>0</v>
      </c>
    </row>
    <row r="331" spans="2:15" ht="15.75">
      <c r="B331" s="78">
        <v>324</v>
      </c>
      <c r="C331" s="103">
        <f>'Refer Para 27'!D675</f>
        <v>12</v>
      </c>
      <c r="D331" s="103">
        <f>'Refer Para 27'!D676</f>
        <v>471</v>
      </c>
      <c r="E331" s="103">
        <f>'Refer Para 27'!D677</f>
        <v>5</v>
      </c>
      <c r="F331" s="103">
        <f>'Refer Para 27'!D678</f>
        <v>60</v>
      </c>
      <c r="G331" s="103">
        <f>'Refer Para 27'!D679</f>
        <v>2</v>
      </c>
      <c r="H331" s="103">
        <f>'Refer Para 27'!D680</f>
        <v>4</v>
      </c>
      <c r="I331" s="103">
        <f>'Refer Para 27'!D681</f>
        <v>5</v>
      </c>
      <c r="J331" s="103">
        <f>'Refer Para 27'!D682</f>
        <v>0</v>
      </c>
      <c r="K331" s="78">
        <f t="shared" si="10"/>
        <v>559</v>
      </c>
      <c r="L331" s="103">
        <v>0</v>
      </c>
      <c r="M331" s="103">
        <f>'Refer Para 27'!D683</f>
        <v>2</v>
      </c>
      <c r="N331" s="78">
        <f t="shared" si="11"/>
        <v>561</v>
      </c>
      <c r="O331" s="103">
        <v>0</v>
      </c>
    </row>
    <row r="332" spans="2:15" ht="15.75">
      <c r="B332" s="78">
        <v>325</v>
      </c>
      <c r="C332" s="103">
        <f>'Refer Para 27'!E675</f>
        <v>6</v>
      </c>
      <c r="D332" s="103">
        <f>'Refer Para 27'!E676</f>
        <v>548</v>
      </c>
      <c r="E332" s="103">
        <f>'Refer Para 27'!E677</f>
        <v>5</v>
      </c>
      <c r="F332" s="103">
        <f>'Refer Para 27'!E678</f>
        <v>8</v>
      </c>
      <c r="G332" s="103">
        <f>'Refer Para 27'!E679</f>
        <v>1</v>
      </c>
      <c r="H332" s="103">
        <f>'Refer Para 27'!E680</f>
        <v>6</v>
      </c>
      <c r="I332" s="103">
        <f>'Refer Para 27'!E681</f>
        <v>2</v>
      </c>
      <c r="J332" s="103">
        <f>'Refer Para 27'!E682</f>
        <v>4</v>
      </c>
      <c r="K332" s="78">
        <f t="shared" si="10"/>
        <v>580</v>
      </c>
      <c r="L332" s="103">
        <v>0</v>
      </c>
      <c r="M332" s="103">
        <f>'Refer Para 27'!E683</f>
        <v>3</v>
      </c>
      <c r="N332" s="78">
        <f t="shared" si="11"/>
        <v>583</v>
      </c>
      <c r="O332" s="103">
        <v>0</v>
      </c>
    </row>
    <row r="333" spans="2:15" ht="15.75">
      <c r="B333" s="78">
        <v>326</v>
      </c>
      <c r="C333" s="103">
        <f>'Refer Para 27'!F675</f>
        <v>41</v>
      </c>
      <c r="D333" s="103">
        <f>'Refer Para 27'!F676</f>
        <v>527</v>
      </c>
      <c r="E333" s="103">
        <f>'Refer Para 27'!F677</f>
        <v>3</v>
      </c>
      <c r="F333" s="103">
        <f>'Refer Para 27'!F678</f>
        <v>2</v>
      </c>
      <c r="G333" s="103">
        <f>'Refer Para 27'!F679</f>
        <v>3</v>
      </c>
      <c r="H333" s="103">
        <f>'Refer Para 27'!F680</f>
        <v>3</v>
      </c>
      <c r="I333" s="103">
        <f>'Refer Para 27'!F681</f>
        <v>2</v>
      </c>
      <c r="J333" s="103">
        <f>'Refer Para 27'!F682</f>
        <v>3</v>
      </c>
      <c r="K333" s="78">
        <f t="shared" si="10"/>
        <v>584</v>
      </c>
      <c r="L333" s="103">
        <v>0</v>
      </c>
      <c r="M333" s="103">
        <f>'Refer Para 27'!F683</f>
        <v>1</v>
      </c>
      <c r="N333" s="78">
        <f t="shared" si="11"/>
        <v>585</v>
      </c>
      <c r="O333" s="103">
        <v>0</v>
      </c>
    </row>
    <row r="334" spans="2:15" ht="15.75">
      <c r="B334" s="78">
        <v>327</v>
      </c>
      <c r="C334" s="103">
        <f>'Refer Para 27'!G675</f>
        <v>10</v>
      </c>
      <c r="D334" s="103">
        <f>'Refer Para 27'!G676</f>
        <v>446</v>
      </c>
      <c r="E334" s="103">
        <f>'Refer Para 27'!G677</f>
        <v>9</v>
      </c>
      <c r="F334" s="103">
        <f>'Refer Para 27'!G678</f>
        <v>107</v>
      </c>
      <c r="G334" s="103">
        <f>'Refer Para 27'!G679</f>
        <v>0</v>
      </c>
      <c r="H334" s="103">
        <f>'Refer Para 27'!G680</f>
        <v>10</v>
      </c>
      <c r="I334" s="103">
        <f>'Refer Para 27'!G681</f>
        <v>0</v>
      </c>
      <c r="J334" s="103">
        <f>'Refer Para 27'!G682</f>
        <v>3</v>
      </c>
      <c r="K334" s="78">
        <f t="shared" si="10"/>
        <v>585</v>
      </c>
      <c r="L334" s="103">
        <v>0</v>
      </c>
      <c r="M334" s="103">
        <f>'Refer Para 27'!G683</f>
        <v>1</v>
      </c>
      <c r="N334" s="78">
        <f t="shared" si="11"/>
        <v>586</v>
      </c>
      <c r="O334" s="103">
        <v>0</v>
      </c>
    </row>
    <row r="335" spans="2:15" ht="15.75">
      <c r="B335" s="78">
        <v>328</v>
      </c>
      <c r="C335" s="103">
        <f>'Refer Para 27'!H675</f>
        <v>95</v>
      </c>
      <c r="D335" s="103">
        <f>'Refer Para 27'!H676</f>
        <v>405</v>
      </c>
      <c r="E335" s="103">
        <f>'Refer Para 27'!H677</f>
        <v>23</v>
      </c>
      <c r="F335" s="103">
        <f>'Refer Para 27'!H678</f>
        <v>107</v>
      </c>
      <c r="G335" s="103">
        <f>'Refer Para 27'!H679</f>
        <v>2</v>
      </c>
      <c r="H335" s="103">
        <f>'Refer Para 27'!H680</f>
        <v>4</v>
      </c>
      <c r="I335" s="103">
        <f>'Refer Para 27'!H681</f>
        <v>5</v>
      </c>
      <c r="J335" s="103">
        <f>'Refer Para 27'!H682</f>
        <v>3</v>
      </c>
      <c r="K335" s="78">
        <f t="shared" si="10"/>
        <v>644</v>
      </c>
      <c r="L335" s="103">
        <v>0</v>
      </c>
      <c r="M335" s="103">
        <f>'Refer Para 27'!H683</f>
        <v>9</v>
      </c>
      <c r="N335" s="78">
        <f t="shared" si="11"/>
        <v>653</v>
      </c>
      <c r="O335" s="103">
        <v>0</v>
      </c>
    </row>
    <row r="336" spans="2:15" ht="15.75">
      <c r="B336" s="78">
        <v>329</v>
      </c>
      <c r="C336" s="103">
        <f>'Refer Para 27'!I675</f>
        <v>13</v>
      </c>
      <c r="D336" s="103">
        <f>'Refer Para 27'!I676</f>
        <v>353</v>
      </c>
      <c r="E336" s="103">
        <f>'Refer Para 27'!I677</f>
        <v>4</v>
      </c>
      <c r="F336" s="103">
        <f>'Refer Para 27'!I678</f>
        <v>1</v>
      </c>
      <c r="G336" s="103">
        <f>'Refer Para 27'!I679</f>
        <v>0</v>
      </c>
      <c r="H336" s="103">
        <f>'Refer Para 27'!I680</f>
        <v>1</v>
      </c>
      <c r="I336" s="103">
        <f>'Refer Para 27'!I681</f>
        <v>1</v>
      </c>
      <c r="J336" s="103">
        <f>'Refer Para 27'!I682</f>
        <v>2</v>
      </c>
      <c r="K336" s="78">
        <f t="shared" si="10"/>
        <v>375</v>
      </c>
      <c r="L336" s="103">
        <v>0</v>
      </c>
      <c r="M336" s="103">
        <f>'Refer Para 27'!I683</f>
        <v>1</v>
      </c>
      <c r="N336" s="78">
        <f t="shared" si="11"/>
        <v>376</v>
      </c>
      <c r="O336" s="103">
        <v>0</v>
      </c>
    </row>
    <row r="337" spans="2:15" ht="15.75">
      <c r="B337" s="78">
        <v>330</v>
      </c>
      <c r="C337" s="103">
        <f>'Refer Para 27'!J675</f>
        <v>113</v>
      </c>
      <c r="D337" s="103">
        <f>'Refer Para 27'!J676</f>
        <v>324</v>
      </c>
      <c r="E337" s="103">
        <f>'Refer Para 27'!J677</f>
        <v>4</v>
      </c>
      <c r="F337" s="103">
        <f>'Refer Para 27'!J678</f>
        <v>6</v>
      </c>
      <c r="G337" s="103">
        <f>'Refer Para 27'!J679</f>
        <v>0</v>
      </c>
      <c r="H337" s="103">
        <f>'Refer Para 27'!J680</f>
        <v>0</v>
      </c>
      <c r="I337" s="103">
        <f>'Refer Para 27'!J681</f>
        <v>1</v>
      </c>
      <c r="J337" s="103">
        <f>'Refer Para 27'!J682</f>
        <v>3</v>
      </c>
      <c r="K337" s="78">
        <f t="shared" si="10"/>
        <v>451</v>
      </c>
      <c r="L337" s="103">
        <v>0</v>
      </c>
      <c r="M337" s="103">
        <f>'Refer Para 27'!J683</f>
        <v>3</v>
      </c>
      <c r="N337" s="78">
        <f t="shared" si="11"/>
        <v>454</v>
      </c>
      <c r="O337" s="103">
        <v>0</v>
      </c>
    </row>
    <row r="338" spans="2:15" ht="15.75">
      <c r="B338" s="78">
        <v>331</v>
      </c>
      <c r="C338" s="103">
        <f>'Refer Para 27'!K675</f>
        <v>334</v>
      </c>
      <c r="D338" s="103">
        <f>'Refer Para 27'!K676</f>
        <v>10</v>
      </c>
      <c r="E338" s="103">
        <f>'Refer Para 27'!K677</f>
        <v>0</v>
      </c>
      <c r="F338" s="103">
        <f>'Refer Para 27'!K678</f>
        <v>96</v>
      </c>
      <c r="G338" s="103">
        <f>'Refer Para 27'!K679</f>
        <v>1</v>
      </c>
      <c r="H338" s="103">
        <f>'Refer Para 27'!K680</f>
        <v>0</v>
      </c>
      <c r="I338" s="103">
        <f>'Refer Para 27'!K681</f>
        <v>0</v>
      </c>
      <c r="J338" s="103">
        <f>'Refer Para 27'!K682</f>
        <v>1</v>
      </c>
      <c r="K338" s="78">
        <f t="shared" si="10"/>
        <v>442</v>
      </c>
      <c r="L338" s="103">
        <v>0</v>
      </c>
      <c r="M338" s="103">
        <f>'Refer Para 27'!K683</f>
        <v>2</v>
      </c>
      <c r="N338" s="78">
        <f t="shared" si="11"/>
        <v>444</v>
      </c>
      <c r="O338" s="103">
        <v>0</v>
      </c>
    </row>
    <row r="339" spans="2:15" ht="15.75">
      <c r="B339" s="78">
        <v>332</v>
      </c>
      <c r="C339" s="103">
        <f>'Refer Para 27'!L675</f>
        <v>52</v>
      </c>
      <c r="D339" s="103">
        <f>'Refer Para 27'!L676</f>
        <v>251</v>
      </c>
      <c r="E339" s="103">
        <f>'Refer Para 27'!L677</f>
        <v>15</v>
      </c>
      <c r="F339" s="103">
        <f>'Refer Para 27'!L678</f>
        <v>340</v>
      </c>
      <c r="G339" s="103">
        <f>'Refer Para 27'!L679</f>
        <v>3</v>
      </c>
      <c r="H339" s="103">
        <f>'Refer Para 27'!L680</f>
        <v>11</v>
      </c>
      <c r="I339" s="103">
        <f>'Refer Para 27'!L681</f>
        <v>2</v>
      </c>
      <c r="J339" s="103">
        <f>'Refer Para 27'!L682</f>
        <v>8</v>
      </c>
      <c r="K339" s="78">
        <f t="shared" si="10"/>
        <v>682</v>
      </c>
      <c r="L339" s="103">
        <v>0</v>
      </c>
      <c r="M339" s="103">
        <f>'Refer Para 27'!L683</f>
        <v>6</v>
      </c>
      <c r="N339" s="78">
        <f t="shared" si="11"/>
        <v>688</v>
      </c>
      <c r="O339" s="103">
        <v>0</v>
      </c>
    </row>
    <row r="340" spans="2:15" ht="15.75">
      <c r="B340" s="78">
        <v>333</v>
      </c>
      <c r="C340" s="103">
        <f>'Refer Para 27'!M675</f>
        <v>57</v>
      </c>
      <c r="D340" s="103">
        <f>'Refer Para 27'!M676</f>
        <v>37</v>
      </c>
      <c r="E340" s="103">
        <f>'Refer Para 27'!M677</f>
        <v>8</v>
      </c>
      <c r="F340" s="103">
        <f>'Refer Para 27'!M678</f>
        <v>287</v>
      </c>
      <c r="G340" s="103">
        <f>'Refer Para 27'!M679</f>
        <v>2</v>
      </c>
      <c r="H340" s="103">
        <f>'Refer Para 27'!M680</f>
        <v>2</v>
      </c>
      <c r="I340" s="103">
        <f>'Refer Para 27'!M681</f>
        <v>1</v>
      </c>
      <c r="J340" s="103">
        <f>'Refer Para 27'!M682</f>
        <v>2</v>
      </c>
      <c r="K340" s="78">
        <f t="shared" si="10"/>
        <v>396</v>
      </c>
      <c r="L340" s="103">
        <v>0</v>
      </c>
      <c r="M340" s="103">
        <f>'Refer Para 27'!M683</f>
        <v>2</v>
      </c>
      <c r="N340" s="78">
        <f t="shared" si="11"/>
        <v>398</v>
      </c>
      <c r="O340" s="103">
        <v>0</v>
      </c>
    </row>
    <row r="341" spans="2:15" ht="15.75">
      <c r="B341" s="78">
        <v>334</v>
      </c>
      <c r="C341" s="103">
        <f>'Refer Para 27'!N675</f>
        <v>11</v>
      </c>
      <c r="D341" s="103">
        <f>'Refer Para 27'!N676</f>
        <v>339</v>
      </c>
      <c r="E341" s="103">
        <f>'Refer Para 27'!N677</f>
        <v>9</v>
      </c>
      <c r="F341" s="103">
        <f>'Refer Para 27'!N678</f>
        <v>0</v>
      </c>
      <c r="G341" s="103">
        <f>'Refer Para 27'!N679</f>
        <v>6</v>
      </c>
      <c r="H341" s="103">
        <f>'Refer Para 27'!N680</f>
        <v>6</v>
      </c>
      <c r="I341" s="103">
        <f>'Refer Para 27'!N681</f>
        <v>2</v>
      </c>
      <c r="J341" s="103">
        <f>'Refer Para 27'!N682</f>
        <v>0</v>
      </c>
      <c r="K341" s="78">
        <f t="shared" si="10"/>
        <v>373</v>
      </c>
      <c r="L341" s="103">
        <v>0</v>
      </c>
      <c r="M341" s="103">
        <f>'Refer Para 27'!N683</f>
        <v>0</v>
      </c>
      <c r="N341" s="78">
        <f t="shared" si="11"/>
        <v>373</v>
      </c>
      <c r="O341" s="103">
        <v>0</v>
      </c>
    </row>
    <row r="342" spans="2:15" ht="15.75">
      <c r="B342" s="78">
        <v>335</v>
      </c>
      <c r="C342" s="103">
        <f>'Refer Para 27'!O675</f>
        <v>1</v>
      </c>
      <c r="D342" s="103">
        <f>'Refer Para 27'!O676</f>
        <v>260</v>
      </c>
      <c r="E342" s="103">
        <f>'Refer Para 27'!O677</f>
        <v>0</v>
      </c>
      <c r="F342" s="103">
        <f>'Refer Para 27'!O678</f>
        <v>7</v>
      </c>
      <c r="G342" s="103">
        <f>'Refer Para 27'!O679</f>
        <v>8</v>
      </c>
      <c r="H342" s="103">
        <f>'Refer Para 27'!O680</f>
        <v>5</v>
      </c>
      <c r="I342" s="103">
        <f>'Refer Para 27'!O681</f>
        <v>1</v>
      </c>
      <c r="J342" s="103">
        <f>'Refer Para 27'!O682</f>
        <v>2</v>
      </c>
      <c r="K342" s="78">
        <f t="shared" si="10"/>
        <v>284</v>
      </c>
      <c r="L342" s="103">
        <v>0</v>
      </c>
      <c r="M342" s="103">
        <f>'Refer Para 27'!O683</f>
        <v>3</v>
      </c>
      <c r="N342" s="78">
        <f t="shared" si="11"/>
        <v>287</v>
      </c>
      <c r="O342" s="103">
        <v>0</v>
      </c>
    </row>
    <row r="343" spans="2:15" ht="15.75">
      <c r="B343" s="78">
        <v>336</v>
      </c>
      <c r="C343" s="103">
        <f>'Refer Para 27'!P675</f>
        <v>11</v>
      </c>
      <c r="D343" s="103">
        <f>'Refer Para 27'!P676</f>
        <v>360</v>
      </c>
      <c r="E343" s="103">
        <f>'Refer Para 27'!P677</f>
        <v>4</v>
      </c>
      <c r="F343" s="103">
        <f>'Refer Para 27'!P678</f>
        <v>34</v>
      </c>
      <c r="G343" s="103">
        <f>'Refer Para 27'!P679</f>
        <v>1</v>
      </c>
      <c r="H343" s="103">
        <f>'Refer Para 27'!P680</f>
        <v>1</v>
      </c>
      <c r="I343" s="103">
        <f>'Refer Para 27'!P681</f>
        <v>2</v>
      </c>
      <c r="J343" s="103">
        <f>'Refer Para 27'!P682</f>
        <v>0</v>
      </c>
      <c r="K343" s="78">
        <f t="shared" si="10"/>
        <v>413</v>
      </c>
      <c r="L343" s="103">
        <v>0</v>
      </c>
      <c r="M343" s="103">
        <f>'Refer Para 27'!P683</f>
        <v>1</v>
      </c>
      <c r="N343" s="78">
        <f t="shared" si="11"/>
        <v>414</v>
      </c>
      <c r="O343" s="103">
        <v>0</v>
      </c>
    </row>
    <row r="344" spans="2:15" ht="15.75">
      <c r="B344" s="78">
        <v>337</v>
      </c>
      <c r="C344" s="103">
        <f>'Refer Para 27'!C704</f>
        <v>71</v>
      </c>
      <c r="D344" s="103">
        <f>'Refer Para 27'!C705</f>
        <v>281</v>
      </c>
      <c r="E344" s="103">
        <f>'Refer Para 27'!C706</f>
        <v>3</v>
      </c>
      <c r="F344" s="103">
        <f>'Refer Para 27'!C707</f>
        <v>135</v>
      </c>
      <c r="G344" s="103">
        <f>'Refer Para 27'!C708</f>
        <v>2</v>
      </c>
      <c r="H344" s="103">
        <f>'Refer Para 27'!C709</f>
        <v>1</v>
      </c>
      <c r="I344" s="103">
        <f>'Refer Para 27'!C710</f>
        <v>1</v>
      </c>
      <c r="J344" s="103">
        <f>'Refer Para 27'!C711</f>
        <v>0</v>
      </c>
      <c r="K344" s="78">
        <f t="shared" si="10"/>
        <v>494</v>
      </c>
      <c r="L344" s="103">
        <v>0</v>
      </c>
      <c r="M344" s="103">
        <f>'Refer Para 27'!C712</f>
        <v>1</v>
      </c>
      <c r="N344" s="78">
        <f t="shared" si="11"/>
        <v>495</v>
      </c>
      <c r="O344" s="103">
        <v>0</v>
      </c>
    </row>
    <row r="345" spans="2:15" ht="15.75">
      <c r="B345" s="78">
        <v>338</v>
      </c>
      <c r="C345" s="103">
        <f>'Refer Para 27'!D704</f>
        <v>98</v>
      </c>
      <c r="D345" s="103">
        <f>'Refer Para 27'!D705</f>
        <v>198</v>
      </c>
      <c r="E345" s="103">
        <f>'Refer Para 27'!D706</f>
        <v>12</v>
      </c>
      <c r="F345" s="103">
        <f>'Refer Para 27'!D707</f>
        <v>198</v>
      </c>
      <c r="G345" s="103">
        <f>'Refer Para 27'!D708</f>
        <v>1</v>
      </c>
      <c r="H345" s="103">
        <f>'Refer Para 27'!D709</f>
        <v>0</v>
      </c>
      <c r="I345" s="103">
        <f>'Refer Para 27'!D710</f>
        <v>1</v>
      </c>
      <c r="J345" s="103">
        <f>'Refer Para 27'!D711</f>
        <v>1</v>
      </c>
      <c r="K345" s="78">
        <f t="shared" si="10"/>
        <v>509</v>
      </c>
      <c r="L345" s="103">
        <v>0</v>
      </c>
      <c r="M345" s="103">
        <f>'Refer Para 27'!D712</f>
        <v>0</v>
      </c>
      <c r="N345" s="78">
        <f t="shared" si="11"/>
        <v>509</v>
      </c>
      <c r="O345" s="103">
        <v>0</v>
      </c>
    </row>
    <row r="346" spans="2:15" ht="15.75">
      <c r="B346" s="78">
        <v>339</v>
      </c>
      <c r="C346" s="103">
        <f>'Refer Para 27'!E704</f>
        <v>34</v>
      </c>
      <c r="D346" s="103">
        <f>'Refer Para 27'!E705</f>
        <v>702</v>
      </c>
      <c r="E346" s="103">
        <f>'Refer Para 27'!E706</f>
        <v>4</v>
      </c>
      <c r="F346" s="103">
        <f>'Refer Para 27'!E707</f>
        <v>1</v>
      </c>
      <c r="G346" s="103">
        <f>'Refer Para 27'!E708</f>
        <v>4</v>
      </c>
      <c r="H346" s="103">
        <f>'Refer Para 27'!E709</f>
        <v>2</v>
      </c>
      <c r="I346" s="103">
        <f>'Refer Para 27'!E710</f>
        <v>4</v>
      </c>
      <c r="J346" s="103">
        <f>'Refer Para 27'!E711</f>
        <v>4</v>
      </c>
      <c r="K346" s="78">
        <f t="shared" si="10"/>
        <v>755</v>
      </c>
      <c r="L346" s="103">
        <v>0</v>
      </c>
      <c r="M346" s="103">
        <f>'Refer Para 27'!E712</f>
        <v>5</v>
      </c>
      <c r="N346" s="78">
        <f t="shared" si="11"/>
        <v>760</v>
      </c>
      <c r="O346" s="103">
        <v>0</v>
      </c>
    </row>
    <row r="347" spans="2:15" ht="15.75">
      <c r="B347" s="78">
        <v>340</v>
      </c>
      <c r="C347" s="103">
        <f>'Refer Para 27'!F704</f>
        <v>12</v>
      </c>
      <c r="D347" s="103">
        <f>'Refer Para 27'!F705</f>
        <v>435</v>
      </c>
      <c r="E347" s="103">
        <f>'Refer Para 27'!F706</f>
        <v>9</v>
      </c>
      <c r="F347" s="103">
        <f>'Refer Para 27'!F707</f>
        <v>14</v>
      </c>
      <c r="G347" s="103">
        <f>'Refer Para 27'!F708</f>
        <v>0</v>
      </c>
      <c r="H347" s="103">
        <f>'Refer Para 27'!F709</f>
        <v>0</v>
      </c>
      <c r="I347" s="103">
        <f>'Refer Para 27'!F710</f>
        <v>3</v>
      </c>
      <c r="J347" s="103">
        <f>'Refer Para 27'!F711</f>
        <v>2</v>
      </c>
      <c r="K347" s="78">
        <f t="shared" si="10"/>
        <v>475</v>
      </c>
      <c r="L347" s="103">
        <v>0</v>
      </c>
      <c r="M347" s="103">
        <f>'Refer Para 27'!F712</f>
        <v>3</v>
      </c>
      <c r="N347" s="78">
        <f t="shared" si="11"/>
        <v>478</v>
      </c>
      <c r="O347" s="103">
        <v>0</v>
      </c>
    </row>
    <row r="348" spans="2:15" ht="15.75">
      <c r="B348" s="78">
        <v>341</v>
      </c>
      <c r="C348" s="103">
        <f>'Refer Para 27'!G704</f>
        <v>60</v>
      </c>
      <c r="D348" s="103">
        <f>'Refer Para 27'!G705</f>
        <v>648</v>
      </c>
      <c r="E348" s="103">
        <f>'Refer Para 27'!G706</f>
        <v>9</v>
      </c>
      <c r="F348" s="103">
        <f>'Refer Para 27'!G707</f>
        <v>5</v>
      </c>
      <c r="G348" s="103">
        <f>'Refer Para 27'!G708</f>
        <v>3</v>
      </c>
      <c r="H348" s="103">
        <f>'Refer Para 27'!G709</f>
        <v>5</v>
      </c>
      <c r="I348" s="103">
        <f>'Refer Para 27'!G710</f>
        <v>6</v>
      </c>
      <c r="J348" s="103">
        <f>'Refer Para 27'!G711</f>
        <v>7</v>
      </c>
      <c r="K348" s="78">
        <f t="shared" si="10"/>
        <v>743</v>
      </c>
      <c r="L348" s="103">
        <v>0</v>
      </c>
      <c r="M348" s="103">
        <f>'Refer Para 27'!G712</f>
        <v>9</v>
      </c>
      <c r="N348" s="78">
        <f t="shared" si="11"/>
        <v>752</v>
      </c>
      <c r="O348" s="103">
        <v>0</v>
      </c>
    </row>
    <row r="349" spans="2:15" ht="15.75">
      <c r="B349" s="78">
        <v>342</v>
      </c>
      <c r="C349" s="103">
        <f>'Refer Para 27'!H704</f>
        <v>91</v>
      </c>
      <c r="D349" s="103">
        <f>'Refer Para 27'!H705</f>
        <v>656</v>
      </c>
      <c r="E349" s="103">
        <f>'Refer Para 27'!H706</f>
        <v>7</v>
      </c>
      <c r="F349" s="103">
        <f>'Refer Para 27'!H707</f>
        <v>6</v>
      </c>
      <c r="G349" s="103">
        <f>'Refer Para 27'!H708</f>
        <v>2</v>
      </c>
      <c r="H349" s="103">
        <f>'Refer Para 27'!H709</f>
        <v>3</v>
      </c>
      <c r="I349" s="103">
        <f>'Refer Para 27'!H710</f>
        <v>10</v>
      </c>
      <c r="J349" s="103">
        <f>'Refer Para 27'!H711</f>
        <v>3</v>
      </c>
      <c r="K349" s="78">
        <f t="shared" si="10"/>
        <v>778</v>
      </c>
      <c r="L349" s="103">
        <v>0</v>
      </c>
      <c r="M349" s="103">
        <f>'Refer Para 27'!H712</f>
        <v>3</v>
      </c>
      <c r="N349" s="78">
        <f t="shared" si="11"/>
        <v>781</v>
      </c>
      <c r="O349" s="103">
        <v>0</v>
      </c>
    </row>
    <row r="350" spans="2:15" ht="15.75">
      <c r="B350" s="78">
        <v>343</v>
      </c>
      <c r="C350" s="103">
        <f>'Refer Para 27'!I704</f>
        <v>72</v>
      </c>
      <c r="D350" s="103">
        <f>'Refer Para 27'!I705</f>
        <v>448</v>
      </c>
      <c r="E350" s="103">
        <f>'Refer Para 27'!I706</f>
        <v>4</v>
      </c>
      <c r="F350" s="103">
        <f>'Refer Para 27'!I707</f>
        <v>43</v>
      </c>
      <c r="G350" s="103">
        <f>'Refer Para 27'!I708</f>
        <v>4</v>
      </c>
      <c r="H350" s="103">
        <f>'Refer Para 27'!I709</f>
        <v>1</v>
      </c>
      <c r="I350" s="103">
        <f>'Refer Para 27'!I710</f>
        <v>3</v>
      </c>
      <c r="J350" s="103">
        <f>'Refer Para 27'!I711</f>
        <v>5</v>
      </c>
      <c r="K350" s="78">
        <f t="shared" si="10"/>
        <v>580</v>
      </c>
      <c r="L350" s="103">
        <v>0</v>
      </c>
      <c r="M350" s="103">
        <f>'Refer Para 27'!I712</f>
        <v>4</v>
      </c>
      <c r="N350" s="78">
        <f t="shared" si="11"/>
        <v>584</v>
      </c>
      <c r="O350" s="103">
        <v>0</v>
      </c>
    </row>
    <row r="351" spans="2:15" ht="15.75">
      <c r="B351" s="78">
        <v>344</v>
      </c>
      <c r="C351" s="103">
        <f>'Refer Para 27'!J704</f>
        <v>100</v>
      </c>
      <c r="D351" s="103">
        <f>'Refer Para 27'!J705</f>
        <v>179</v>
      </c>
      <c r="E351" s="103">
        <f>'Refer Para 27'!J706</f>
        <v>6</v>
      </c>
      <c r="F351" s="103">
        <f>'Refer Para 27'!J707</f>
        <v>256</v>
      </c>
      <c r="G351" s="103">
        <f>'Refer Para 27'!J708</f>
        <v>2</v>
      </c>
      <c r="H351" s="103">
        <f>'Refer Para 27'!J709</f>
        <v>4</v>
      </c>
      <c r="I351" s="103">
        <f>'Refer Para 27'!J710</f>
        <v>2</v>
      </c>
      <c r="J351" s="103">
        <f>'Refer Para 27'!J711</f>
        <v>0</v>
      </c>
      <c r="K351" s="78">
        <f t="shared" si="10"/>
        <v>549</v>
      </c>
      <c r="L351" s="103">
        <v>0</v>
      </c>
      <c r="M351" s="103">
        <f>'Refer Para 27'!J712</f>
        <v>4</v>
      </c>
      <c r="N351" s="78">
        <f t="shared" si="11"/>
        <v>553</v>
      </c>
      <c r="O351" s="103">
        <v>0</v>
      </c>
    </row>
    <row r="352" spans="2:15" ht="15.75">
      <c r="B352" s="78">
        <v>345</v>
      </c>
      <c r="C352" s="103">
        <f>'Refer Para 27'!K704</f>
        <v>139</v>
      </c>
      <c r="D352" s="103">
        <f>'Refer Para 27'!K705</f>
        <v>463</v>
      </c>
      <c r="E352" s="103">
        <f>'Refer Para 27'!K706</f>
        <v>6</v>
      </c>
      <c r="F352" s="103">
        <f>'Refer Para 27'!K707</f>
        <v>28</v>
      </c>
      <c r="G352" s="103">
        <f>'Refer Para 27'!K708</f>
        <v>1</v>
      </c>
      <c r="H352" s="103">
        <f>'Refer Para 27'!K709</f>
        <v>5</v>
      </c>
      <c r="I352" s="103">
        <f>'Refer Para 27'!K710</f>
        <v>2</v>
      </c>
      <c r="J352" s="103">
        <f>'Refer Para 27'!K711</f>
        <v>1</v>
      </c>
      <c r="K352" s="78">
        <f t="shared" si="10"/>
        <v>645</v>
      </c>
      <c r="L352" s="103">
        <v>0</v>
      </c>
      <c r="M352" s="103">
        <f>'Refer Para 27'!K712</f>
        <v>4</v>
      </c>
      <c r="N352" s="78">
        <f t="shared" si="11"/>
        <v>649</v>
      </c>
      <c r="O352" s="103">
        <v>0</v>
      </c>
    </row>
    <row r="353" spans="2:15" ht="15.75">
      <c r="B353" s="78">
        <v>346</v>
      </c>
      <c r="C353" s="103">
        <f>'Refer Para 27'!L704</f>
        <v>195</v>
      </c>
      <c r="D353" s="103">
        <f>'Refer Para 27'!L705</f>
        <v>324</v>
      </c>
      <c r="E353" s="103">
        <f>'Refer Para 27'!L706</f>
        <v>16</v>
      </c>
      <c r="F353" s="103">
        <f>'Refer Para 27'!L707</f>
        <v>22</v>
      </c>
      <c r="G353" s="103">
        <f>'Refer Para 27'!L708</f>
        <v>0</v>
      </c>
      <c r="H353" s="103">
        <f>'Refer Para 27'!L709</f>
        <v>1</v>
      </c>
      <c r="I353" s="103">
        <f>'Refer Para 27'!L710</f>
        <v>3</v>
      </c>
      <c r="J353" s="103">
        <f>'Refer Para 27'!L711</f>
        <v>7</v>
      </c>
      <c r="K353" s="78">
        <f t="shared" si="10"/>
        <v>568</v>
      </c>
      <c r="L353" s="103">
        <v>0</v>
      </c>
      <c r="M353" s="103">
        <f>'Refer Para 27'!L712</f>
        <v>6</v>
      </c>
      <c r="N353" s="78">
        <f t="shared" si="11"/>
        <v>574</v>
      </c>
      <c r="O353" s="103">
        <v>0</v>
      </c>
    </row>
    <row r="354" spans="2:15" ht="15.75">
      <c r="B354" s="78">
        <v>347</v>
      </c>
      <c r="C354" s="103">
        <f>'Refer Para 27'!M704</f>
        <v>10</v>
      </c>
      <c r="D354" s="103">
        <f>'Refer Para 27'!M705</f>
        <v>345</v>
      </c>
      <c r="E354" s="103">
        <f>'Refer Para 27'!M706</f>
        <v>2</v>
      </c>
      <c r="F354" s="103">
        <f>'Refer Para 27'!M707</f>
        <v>0</v>
      </c>
      <c r="G354" s="103">
        <f>'Refer Para 27'!M708</f>
        <v>0</v>
      </c>
      <c r="H354" s="103">
        <f>'Refer Para 27'!M709</f>
        <v>0</v>
      </c>
      <c r="I354" s="103">
        <f>'Refer Para 27'!M710</f>
        <v>1</v>
      </c>
      <c r="J354" s="103">
        <f>'Refer Para 27'!M711</f>
        <v>2</v>
      </c>
      <c r="K354" s="78">
        <f t="shared" si="10"/>
        <v>360</v>
      </c>
      <c r="L354" s="103">
        <v>0</v>
      </c>
      <c r="M354" s="103">
        <f>'Refer Para 27'!M712</f>
        <v>1</v>
      </c>
      <c r="N354" s="78">
        <f t="shared" si="11"/>
        <v>361</v>
      </c>
      <c r="O354" s="103">
        <v>0</v>
      </c>
    </row>
    <row r="355" spans="2:15" ht="15.75">
      <c r="B355" s="78">
        <v>348</v>
      </c>
      <c r="C355" s="103">
        <f>'Refer Para 27'!N704</f>
        <v>3</v>
      </c>
      <c r="D355" s="103">
        <f>'Refer Para 27'!N705</f>
        <v>168</v>
      </c>
      <c r="E355" s="103">
        <f>'Refer Para 27'!N706</f>
        <v>4</v>
      </c>
      <c r="F355" s="103">
        <f>'Refer Para 27'!N707</f>
        <v>38</v>
      </c>
      <c r="G355" s="103">
        <f>'Refer Para 27'!N708</f>
        <v>0</v>
      </c>
      <c r="H355" s="103">
        <f>'Refer Para 27'!N709</f>
        <v>1</v>
      </c>
      <c r="I355" s="103">
        <f>'Refer Para 27'!N710</f>
        <v>0</v>
      </c>
      <c r="J355" s="103">
        <f>'Refer Para 27'!N711</f>
        <v>0</v>
      </c>
      <c r="K355" s="78">
        <f t="shared" si="10"/>
        <v>214</v>
      </c>
      <c r="L355" s="103">
        <v>0</v>
      </c>
      <c r="M355" s="103">
        <f>'Refer Para 27'!N712</f>
        <v>0</v>
      </c>
      <c r="N355" s="78">
        <f t="shared" si="11"/>
        <v>214</v>
      </c>
      <c r="O355" s="103">
        <v>0</v>
      </c>
    </row>
    <row r="356" spans="2:15" ht="15.75">
      <c r="B356" s="78">
        <v>349</v>
      </c>
      <c r="C356" s="103">
        <f>'Refer Para 27'!O704</f>
        <v>41</v>
      </c>
      <c r="D356" s="103">
        <f>'Refer Para 27'!O705</f>
        <v>304</v>
      </c>
      <c r="E356" s="103">
        <f>'Refer Para 27'!O706</f>
        <v>4</v>
      </c>
      <c r="F356" s="103">
        <f>'Refer Para 27'!O707</f>
        <v>51</v>
      </c>
      <c r="G356" s="103">
        <f>'Refer Para 27'!O708</f>
        <v>4</v>
      </c>
      <c r="H356" s="103">
        <f>'Refer Para 27'!O709</f>
        <v>2</v>
      </c>
      <c r="I356" s="103">
        <f>'Refer Para 27'!O710</f>
        <v>0</v>
      </c>
      <c r="J356" s="103">
        <f>'Refer Para 27'!O711</f>
        <v>2</v>
      </c>
      <c r="K356" s="78">
        <f t="shared" si="10"/>
        <v>408</v>
      </c>
      <c r="L356" s="103">
        <v>0</v>
      </c>
      <c r="M356" s="103">
        <f>'Refer Para 27'!O712</f>
        <v>3</v>
      </c>
      <c r="N356" s="78">
        <f t="shared" si="11"/>
        <v>411</v>
      </c>
      <c r="O356" s="103">
        <v>0</v>
      </c>
    </row>
    <row r="357" spans="2:15" ht="15.75">
      <c r="B357" s="78">
        <v>350</v>
      </c>
      <c r="C357" s="103">
        <f>'Refer Para 27'!P704</f>
        <v>241</v>
      </c>
      <c r="D357" s="103">
        <f>'Refer Para 27'!P705</f>
        <v>500</v>
      </c>
      <c r="E357" s="103">
        <f>'Refer Para 27'!P706</f>
        <v>8</v>
      </c>
      <c r="F357" s="103">
        <f>'Refer Para 27'!P707</f>
        <v>1</v>
      </c>
      <c r="G357" s="103">
        <f>'Refer Para 27'!P708</f>
        <v>2</v>
      </c>
      <c r="H357" s="103">
        <f>'Refer Para 27'!P709</f>
        <v>4</v>
      </c>
      <c r="I357" s="103">
        <f>'Refer Para 27'!P710</f>
        <v>9</v>
      </c>
      <c r="J357" s="103">
        <f>'Refer Para 27'!P711</f>
        <v>6</v>
      </c>
      <c r="K357" s="78">
        <f t="shared" si="10"/>
        <v>771</v>
      </c>
      <c r="L357" s="103">
        <v>0</v>
      </c>
      <c r="M357" s="103">
        <f>'Refer Para 27'!P712</f>
        <v>12</v>
      </c>
      <c r="N357" s="78">
        <f t="shared" si="11"/>
        <v>783</v>
      </c>
      <c r="O357" s="103">
        <v>0</v>
      </c>
    </row>
    <row r="358" spans="2:15" ht="15.75">
      <c r="B358" s="78">
        <v>351</v>
      </c>
      <c r="C358" s="103">
        <f>'Refer Para 27'!C733</f>
        <v>114</v>
      </c>
      <c r="D358" s="103">
        <f>'Refer Para 27'!C734</f>
        <v>307</v>
      </c>
      <c r="E358" s="103">
        <f>'Refer Para 27'!C735</f>
        <v>3</v>
      </c>
      <c r="F358" s="103">
        <f>'Refer Para 27'!C736</f>
        <v>154</v>
      </c>
      <c r="G358" s="103">
        <f>'Refer Para 27'!C737</f>
        <v>5</v>
      </c>
      <c r="H358" s="103">
        <f>'Refer Para 27'!C738</f>
        <v>4</v>
      </c>
      <c r="I358" s="103">
        <f>'Refer Para 27'!C739</f>
        <v>2</v>
      </c>
      <c r="J358" s="103">
        <f>'Refer Para 27'!C740</f>
        <v>7</v>
      </c>
      <c r="K358" s="78">
        <f t="shared" si="10"/>
        <v>596</v>
      </c>
      <c r="L358" s="103">
        <v>0</v>
      </c>
      <c r="M358" s="103">
        <f>'Refer Para 27'!C741</f>
        <v>3</v>
      </c>
      <c r="N358" s="78">
        <f t="shared" si="11"/>
        <v>599</v>
      </c>
      <c r="O358" s="103">
        <v>0</v>
      </c>
    </row>
    <row r="359" spans="2:15" ht="15.75">
      <c r="B359" s="78">
        <v>352</v>
      </c>
      <c r="C359" s="103">
        <f>'Refer Para 27'!D733</f>
        <v>204</v>
      </c>
      <c r="D359" s="103">
        <f>'Refer Para 27'!D734</f>
        <v>182</v>
      </c>
      <c r="E359" s="103">
        <f>'Refer Para 27'!D735</f>
        <v>6</v>
      </c>
      <c r="F359" s="103">
        <f>'Refer Para 27'!D736</f>
        <v>169</v>
      </c>
      <c r="G359" s="103">
        <f>'Refer Para 27'!D737</f>
        <v>2</v>
      </c>
      <c r="H359" s="103">
        <f>'Refer Para 27'!D738</f>
        <v>9</v>
      </c>
      <c r="I359" s="103">
        <f>'Refer Para 27'!D739</f>
        <v>5</v>
      </c>
      <c r="J359" s="103">
        <f>'Refer Para 27'!D740</f>
        <v>1</v>
      </c>
      <c r="K359" s="78">
        <f t="shared" si="10"/>
        <v>578</v>
      </c>
      <c r="L359" s="103">
        <v>0</v>
      </c>
      <c r="M359" s="103">
        <f>'Refer Para 27'!D741</f>
        <v>3</v>
      </c>
      <c r="N359" s="78">
        <f t="shared" si="11"/>
        <v>581</v>
      </c>
      <c r="O359" s="103">
        <v>0</v>
      </c>
    </row>
    <row r="360" spans="2:15" ht="15.75">
      <c r="B360" s="78">
        <v>353</v>
      </c>
      <c r="C360" s="103">
        <f>'Refer Para 27'!E733</f>
        <v>28</v>
      </c>
      <c r="D360" s="103">
        <f>'Refer Para 27'!E734</f>
        <v>203</v>
      </c>
      <c r="E360" s="103">
        <f>'Refer Para 27'!E735</f>
        <v>16</v>
      </c>
      <c r="F360" s="103">
        <f>'Refer Para 27'!E736</f>
        <v>380</v>
      </c>
      <c r="G360" s="103">
        <f>'Refer Para 27'!E737</f>
        <v>3</v>
      </c>
      <c r="H360" s="103">
        <f>'Refer Para 27'!E738</f>
        <v>3</v>
      </c>
      <c r="I360" s="103">
        <f>'Refer Para 27'!E739</f>
        <v>3</v>
      </c>
      <c r="J360" s="103">
        <f>'Refer Para 27'!E740</f>
        <v>2</v>
      </c>
      <c r="K360" s="78">
        <f t="shared" si="10"/>
        <v>638</v>
      </c>
      <c r="L360" s="103">
        <v>0</v>
      </c>
      <c r="M360" s="103">
        <f>'Refer Para 27'!E741</f>
        <v>2</v>
      </c>
      <c r="N360" s="78">
        <f t="shared" si="11"/>
        <v>640</v>
      </c>
      <c r="O360" s="103">
        <v>0</v>
      </c>
    </row>
    <row r="361" spans="2:15" ht="15.75">
      <c r="B361" s="78">
        <v>354</v>
      </c>
      <c r="C361" s="103">
        <f>'Refer Para 27'!F733</f>
        <v>45</v>
      </c>
      <c r="D361" s="103">
        <f>'Refer Para 27'!F734</f>
        <v>434</v>
      </c>
      <c r="E361" s="103">
        <f>'Refer Para 27'!F735</f>
        <v>4</v>
      </c>
      <c r="F361" s="103">
        <f>'Refer Para 27'!F736</f>
        <v>30</v>
      </c>
      <c r="G361" s="103">
        <f>'Refer Para 27'!F737</f>
        <v>4</v>
      </c>
      <c r="H361" s="103">
        <f>'Refer Para 27'!F738</f>
        <v>2</v>
      </c>
      <c r="I361" s="103">
        <f>'Refer Para 27'!F739</f>
        <v>5</v>
      </c>
      <c r="J361" s="103">
        <f>'Refer Para 27'!F740</f>
        <v>1</v>
      </c>
      <c r="K361" s="78">
        <f t="shared" si="10"/>
        <v>525</v>
      </c>
      <c r="L361" s="103">
        <v>0</v>
      </c>
      <c r="M361" s="103">
        <f>'Refer Para 27'!F741</f>
        <v>4</v>
      </c>
      <c r="N361" s="78">
        <f t="shared" si="11"/>
        <v>529</v>
      </c>
      <c r="O361" s="103">
        <v>0</v>
      </c>
    </row>
    <row r="362" spans="2:15" ht="15.75">
      <c r="B362" s="78">
        <v>355</v>
      </c>
      <c r="C362" s="103">
        <f>'Refer Para 27'!G733</f>
        <v>19</v>
      </c>
      <c r="D362" s="103">
        <f>'Refer Para 27'!G734</f>
        <v>493</v>
      </c>
      <c r="E362" s="103">
        <f>'Refer Para 27'!G735</f>
        <v>7</v>
      </c>
      <c r="F362" s="103">
        <f>'Refer Para 27'!G736</f>
        <v>33</v>
      </c>
      <c r="G362" s="103">
        <f>'Refer Para 27'!G737</f>
        <v>2</v>
      </c>
      <c r="H362" s="103">
        <f>'Refer Para 27'!G738</f>
        <v>1</v>
      </c>
      <c r="I362" s="103">
        <f>'Refer Para 27'!G739</f>
        <v>2</v>
      </c>
      <c r="J362" s="103">
        <f>'Refer Para 27'!G740</f>
        <v>1</v>
      </c>
      <c r="K362" s="78">
        <f t="shared" si="10"/>
        <v>558</v>
      </c>
      <c r="L362" s="103">
        <v>0</v>
      </c>
      <c r="M362" s="103">
        <f>'Refer Para 27'!G741</f>
        <v>0</v>
      </c>
      <c r="N362" s="78">
        <f t="shared" si="11"/>
        <v>558</v>
      </c>
      <c r="O362" s="103">
        <v>0</v>
      </c>
    </row>
    <row r="363" spans="2:15" ht="15.75">
      <c r="B363" s="78">
        <v>356</v>
      </c>
      <c r="C363" s="103">
        <f>'Refer Para 27'!H733</f>
        <v>43</v>
      </c>
      <c r="D363" s="103">
        <f>'Refer Para 27'!H734</f>
        <v>247</v>
      </c>
      <c r="E363" s="103">
        <f>'Refer Para 27'!H735</f>
        <v>11</v>
      </c>
      <c r="F363" s="103">
        <f>'Refer Para 27'!H736</f>
        <v>63</v>
      </c>
      <c r="G363" s="103">
        <f>'Refer Para 27'!H737</f>
        <v>0</v>
      </c>
      <c r="H363" s="103">
        <f>'Refer Para 27'!H738</f>
        <v>0</v>
      </c>
      <c r="I363" s="103">
        <f>'Refer Para 27'!H739</f>
        <v>2</v>
      </c>
      <c r="J363" s="103">
        <f>'Refer Para 27'!H740</f>
        <v>1</v>
      </c>
      <c r="K363" s="78">
        <f t="shared" si="10"/>
        <v>367</v>
      </c>
      <c r="L363" s="103">
        <v>0</v>
      </c>
      <c r="M363" s="103">
        <f>'Refer Para 27'!H741</f>
        <v>1</v>
      </c>
      <c r="N363" s="78">
        <f t="shared" si="11"/>
        <v>368</v>
      </c>
      <c r="O363" s="103">
        <v>0</v>
      </c>
    </row>
    <row r="364" spans="2:15" ht="15.75">
      <c r="B364" s="78">
        <v>357</v>
      </c>
      <c r="C364" s="103">
        <f>'Refer Para 27'!I733</f>
        <v>47</v>
      </c>
      <c r="D364" s="103">
        <f>'Refer Para 27'!I734</f>
        <v>162</v>
      </c>
      <c r="E364" s="103">
        <f>'Refer Para 27'!I735</f>
        <v>15</v>
      </c>
      <c r="F364" s="103">
        <f>'Refer Para 27'!I736</f>
        <v>102</v>
      </c>
      <c r="G364" s="103">
        <f>'Refer Para 27'!I737</f>
        <v>1</v>
      </c>
      <c r="H364" s="103">
        <f>'Refer Para 27'!I738</f>
        <v>2</v>
      </c>
      <c r="I364" s="103">
        <f>'Refer Para 27'!I739</f>
        <v>2</v>
      </c>
      <c r="J364" s="103">
        <f>'Refer Para 27'!I740</f>
        <v>0</v>
      </c>
      <c r="K364" s="78">
        <f t="shared" si="10"/>
        <v>331</v>
      </c>
      <c r="L364" s="103">
        <v>0</v>
      </c>
      <c r="M364" s="103">
        <f>'Refer Para 27'!I741</f>
        <v>1</v>
      </c>
      <c r="N364" s="78">
        <f t="shared" si="11"/>
        <v>332</v>
      </c>
      <c r="O364" s="103">
        <v>0</v>
      </c>
    </row>
    <row r="365" spans="2:15" ht="15.75">
      <c r="B365" s="78">
        <v>358</v>
      </c>
      <c r="C365" s="103">
        <f>'Refer Para 27'!J733</f>
        <v>94</v>
      </c>
      <c r="D365" s="103">
        <f>'Refer Para 27'!J734</f>
        <v>278</v>
      </c>
      <c r="E365" s="103">
        <f>'Refer Para 27'!J735</f>
        <v>8</v>
      </c>
      <c r="F365" s="103">
        <f>'Refer Para 27'!J736</f>
        <v>47</v>
      </c>
      <c r="G365" s="103">
        <f>'Refer Para 27'!J737</f>
        <v>2</v>
      </c>
      <c r="H365" s="103">
        <f>'Refer Para 27'!J738</f>
        <v>2</v>
      </c>
      <c r="I365" s="103">
        <f>'Refer Para 27'!J739</f>
        <v>5</v>
      </c>
      <c r="J365" s="103">
        <f>'Refer Para 27'!J740</f>
        <v>2</v>
      </c>
      <c r="K365" s="78">
        <f t="shared" si="10"/>
        <v>438</v>
      </c>
      <c r="L365" s="103">
        <v>0</v>
      </c>
      <c r="M365" s="103">
        <f>'Refer Para 27'!J741</f>
        <v>1</v>
      </c>
      <c r="N365" s="78">
        <f t="shared" si="11"/>
        <v>439</v>
      </c>
      <c r="O365" s="103">
        <v>0</v>
      </c>
    </row>
    <row r="366" spans="2:15" ht="15.75">
      <c r="B366" s="78">
        <v>359</v>
      </c>
      <c r="C366" s="103">
        <f>'Refer Para 27'!K733</f>
        <v>74</v>
      </c>
      <c r="D366" s="103">
        <f>'Refer Para 27'!K734</f>
        <v>283</v>
      </c>
      <c r="E366" s="103">
        <f>'Refer Para 27'!K735</f>
        <v>6</v>
      </c>
      <c r="F366" s="103">
        <f>'Refer Para 27'!K736</f>
        <v>40</v>
      </c>
      <c r="G366" s="103">
        <f>'Refer Para 27'!K737</f>
        <v>2</v>
      </c>
      <c r="H366" s="103">
        <f>'Refer Para 27'!K738</f>
        <v>0</v>
      </c>
      <c r="I366" s="103">
        <f>'Refer Para 27'!K739</f>
        <v>1</v>
      </c>
      <c r="J366" s="103">
        <f>'Refer Para 27'!K740</f>
        <v>5</v>
      </c>
      <c r="K366" s="78">
        <f t="shared" si="10"/>
        <v>411</v>
      </c>
      <c r="L366" s="103">
        <v>0</v>
      </c>
      <c r="M366" s="103">
        <f>'Refer Para 27'!K741</f>
        <v>1</v>
      </c>
      <c r="N366" s="78">
        <f t="shared" si="11"/>
        <v>412</v>
      </c>
      <c r="O366" s="103">
        <v>0</v>
      </c>
    </row>
    <row r="367" spans="2:15" ht="15.75">
      <c r="B367" s="78">
        <v>360</v>
      </c>
      <c r="C367" s="103">
        <f>'Refer Para 27'!L733</f>
        <v>38</v>
      </c>
      <c r="D367" s="103">
        <f>'Refer Para 27'!L734</f>
        <v>487</v>
      </c>
      <c r="E367" s="103">
        <f>'Refer Para 27'!L735</f>
        <v>8</v>
      </c>
      <c r="F367" s="103">
        <f>'Refer Para 27'!L736</f>
        <v>18</v>
      </c>
      <c r="G367" s="103">
        <f>'Refer Para 27'!L737</f>
        <v>1</v>
      </c>
      <c r="H367" s="103">
        <f>'Refer Para 27'!L738</f>
        <v>1</v>
      </c>
      <c r="I367" s="103">
        <f>'Refer Para 27'!L739</f>
        <v>0</v>
      </c>
      <c r="J367" s="103">
        <f>'Refer Para 27'!L740</f>
        <v>2</v>
      </c>
      <c r="K367" s="78">
        <f t="shared" si="10"/>
        <v>555</v>
      </c>
      <c r="L367" s="103">
        <v>0</v>
      </c>
      <c r="M367" s="103">
        <f>'Refer Para 27'!L741</f>
        <v>0</v>
      </c>
      <c r="N367" s="78">
        <f t="shared" si="11"/>
        <v>555</v>
      </c>
      <c r="O367" s="103">
        <v>0</v>
      </c>
    </row>
    <row r="368" spans="2:15" ht="15.75">
      <c r="B368" s="78">
        <v>361</v>
      </c>
      <c r="C368" s="103">
        <f>'Refer Para 27'!M733</f>
        <v>11</v>
      </c>
      <c r="D368" s="103">
        <f>'Refer Para 27'!M734</f>
        <v>594</v>
      </c>
      <c r="E368" s="103">
        <f>'Refer Para 27'!M735</f>
        <v>5</v>
      </c>
      <c r="F368" s="103">
        <f>'Refer Para 27'!M736</f>
        <v>2</v>
      </c>
      <c r="G368" s="103">
        <f>'Refer Para 27'!M737</f>
        <v>2</v>
      </c>
      <c r="H368" s="103">
        <f>'Refer Para 27'!M738</f>
        <v>5</v>
      </c>
      <c r="I368" s="103">
        <f>'Refer Para 27'!M739</f>
        <v>4</v>
      </c>
      <c r="J368" s="103">
        <f>'Refer Para 27'!M740</f>
        <v>4</v>
      </c>
      <c r="K368" s="78">
        <f t="shared" si="10"/>
        <v>627</v>
      </c>
      <c r="L368" s="103">
        <v>0</v>
      </c>
      <c r="M368" s="103">
        <f>'Refer Para 27'!M741</f>
        <v>4</v>
      </c>
      <c r="N368" s="78">
        <f t="shared" si="11"/>
        <v>631</v>
      </c>
      <c r="O368" s="103">
        <v>0</v>
      </c>
    </row>
    <row r="369" spans="2:15" ht="15.75">
      <c r="B369" s="78">
        <v>362</v>
      </c>
      <c r="C369" s="103">
        <f>'Refer Para 27'!N733</f>
        <v>102</v>
      </c>
      <c r="D369" s="103">
        <f>'Refer Para 27'!N734</f>
        <v>468</v>
      </c>
      <c r="E369" s="103">
        <f>'Refer Para 27'!N735</f>
        <v>14</v>
      </c>
      <c r="F369" s="103">
        <f>'Refer Para 27'!N736</f>
        <v>5</v>
      </c>
      <c r="G369" s="103">
        <f>'Refer Para 27'!N737</f>
        <v>2</v>
      </c>
      <c r="H369" s="103">
        <f>'Refer Para 27'!N738</f>
        <v>1</v>
      </c>
      <c r="I369" s="103">
        <f>'Refer Para 27'!N739</f>
        <v>4</v>
      </c>
      <c r="J369" s="103">
        <f>'Refer Para 27'!N740</f>
        <v>1</v>
      </c>
      <c r="K369" s="78">
        <f t="shared" si="10"/>
        <v>597</v>
      </c>
      <c r="L369" s="103">
        <v>0</v>
      </c>
      <c r="M369" s="103">
        <f>'Refer Para 27'!N741</f>
        <v>4</v>
      </c>
      <c r="N369" s="78">
        <f t="shared" si="11"/>
        <v>601</v>
      </c>
      <c r="O369" s="103">
        <v>0</v>
      </c>
    </row>
    <row r="370" spans="2:15" ht="15.75">
      <c r="B370" s="78">
        <v>363</v>
      </c>
      <c r="C370" s="103">
        <f>'Refer Para 27'!O733</f>
        <v>20</v>
      </c>
      <c r="D370" s="103">
        <f>'Refer Para 27'!O734</f>
        <v>391</v>
      </c>
      <c r="E370" s="103">
        <f>'Refer Para 27'!O735</f>
        <v>3</v>
      </c>
      <c r="F370" s="103">
        <f>'Refer Para 27'!O736</f>
        <v>2</v>
      </c>
      <c r="G370" s="103">
        <f>'Refer Para 27'!O737</f>
        <v>0</v>
      </c>
      <c r="H370" s="103">
        <f>'Refer Para 27'!O738</f>
        <v>1</v>
      </c>
      <c r="I370" s="103">
        <f>'Refer Para 27'!O739</f>
        <v>1</v>
      </c>
      <c r="J370" s="103">
        <f>'Refer Para 27'!O740</f>
        <v>0</v>
      </c>
      <c r="K370" s="78">
        <f t="shared" si="10"/>
        <v>418</v>
      </c>
      <c r="L370" s="103">
        <v>0</v>
      </c>
      <c r="M370" s="103">
        <f>'Refer Para 27'!O741</f>
        <v>1</v>
      </c>
      <c r="N370" s="78">
        <f t="shared" si="11"/>
        <v>419</v>
      </c>
      <c r="O370" s="103">
        <v>0</v>
      </c>
    </row>
    <row r="371" spans="2:15" ht="15.75">
      <c r="B371" s="78">
        <v>364</v>
      </c>
      <c r="C371" s="103">
        <f>'Refer Para 27'!P733</f>
        <v>66</v>
      </c>
      <c r="D371" s="103">
        <f>'Refer Para 27'!P734</f>
        <v>92</v>
      </c>
      <c r="E371" s="103">
        <f>'Refer Para 27'!P735</f>
        <v>17</v>
      </c>
      <c r="F371" s="103">
        <f>'Refer Para 27'!P736</f>
        <v>248</v>
      </c>
      <c r="G371" s="103">
        <f>'Refer Para 27'!P737</f>
        <v>5</v>
      </c>
      <c r="H371" s="103">
        <f>'Refer Para 27'!P738</f>
        <v>5</v>
      </c>
      <c r="I371" s="103">
        <f>'Refer Para 27'!P739</f>
        <v>5</v>
      </c>
      <c r="J371" s="103">
        <f>'Refer Para 27'!P740</f>
        <v>2</v>
      </c>
      <c r="K371" s="78">
        <f t="shared" si="10"/>
        <v>440</v>
      </c>
      <c r="L371" s="103">
        <v>0</v>
      </c>
      <c r="M371" s="103">
        <f>'Refer Para 27'!P741</f>
        <v>10</v>
      </c>
      <c r="N371" s="78">
        <f t="shared" si="11"/>
        <v>450</v>
      </c>
      <c r="O371" s="103">
        <v>0</v>
      </c>
    </row>
    <row r="372" spans="2:15" ht="15.75">
      <c r="B372" s="78">
        <v>365</v>
      </c>
      <c r="C372" s="103">
        <f>'Refer Para 27'!C762</f>
        <v>91</v>
      </c>
      <c r="D372" s="103">
        <f>'Refer Para 27'!C763</f>
        <v>90</v>
      </c>
      <c r="E372" s="103">
        <f>'Refer Para 27'!C764</f>
        <v>6</v>
      </c>
      <c r="F372" s="103">
        <f>'Refer Para 27'!C765</f>
        <v>265</v>
      </c>
      <c r="G372" s="103">
        <f>'Refer Para 27'!C766</f>
        <v>5</v>
      </c>
      <c r="H372" s="103">
        <f>'Refer Para 27'!C767</f>
        <v>7</v>
      </c>
      <c r="I372" s="103">
        <f>'Refer Para 27'!C768</f>
        <v>3</v>
      </c>
      <c r="J372" s="103">
        <f>'Refer Para 27'!C769</f>
        <v>3</v>
      </c>
      <c r="K372" s="78">
        <f t="shared" si="10"/>
        <v>470</v>
      </c>
      <c r="L372" s="103">
        <v>0</v>
      </c>
      <c r="M372" s="103">
        <f>'Refer Para 27'!C770</f>
        <v>2</v>
      </c>
      <c r="N372" s="78">
        <f t="shared" si="11"/>
        <v>472</v>
      </c>
      <c r="O372" s="103">
        <v>0</v>
      </c>
    </row>
    <row r="373" spans="2:15" ht="15.75">
      <c r="B373" s="78">
        <v>366</v>
      </c>
      <c r="C373" s="103">
        <f>'Refer Para 27'!D762</f>
        <v>9</v>
      </c>
      <c r="D373" s="103">
        <f>'Refer Para 27'!D763</f>
        <v>318</v>
      </c>
      <c r="E373" s="103">
        <f>'Refer Para 27'!D764</f>
        <v>6</v>
      </c>
      <c r="F373" s="103">
        <f>'Refer Para 27'!D765</f>
        <v>171</v>
      </c>
      <c r="G373" s="103">
        <f>'Refer Para 27'!D766</f>
        <v>2</v>
      </c>
      <c r="H373" s="103">
        <f>'Refer Para 27'!D767</f>
        <v>2</v>
      </c>
      <c r="I373" s="103">
        <f>'Refer Para 27'!D768</f>
        <v>1</v>
      </c>
      <c r="J373" s="103">
        <f>'Refer Para 27'!D769</f>
        <v>0</v>
      </c>
      <c r="K373" s="78">
        <f t="shared" si="10"/>
        <v>509</v>
      </c>
      <c r="L373" s="103">
        <v>0</v>
      </c>
      <c r="M373" s="103">
        <f>'Refer Para 27'!D770</f>
        <v>3</v>
      </c>
      <c r="N373" s="78">
        <f t="shared" si="11"/>
        <v>512</v>
      </c>
      <c r="O373" s="103">
        <v>0</v>
      </c>
    </row>
    <row r="374" spans="2:15" ht="15.75">
      <c r="B374" s="78">
        <v>367</v>
      </c>
      <c r="C374" s="103">
        <f>'Refer Para 27'!E762</f>
        <v>163</v>
      </c>
      <c r="D374" s="103">
        <f>'Refer Para 27'!E763</f>
        <v>239</v>
      </c>
      <c r="E374" s="103">
        <f>'Refer Para 27'!E764</f>
        <v>0</v>
      </c>
      <c r="F374" s="103">
        <f>'Refer Para 27'!E765</f>
        <v>15</v>
      </c>
      <c r="G374" s="103">
        <f>'Refer Para 27'!E766</f>
        <v>1</v>
      </c>
      <c r="H374" s="103">
        <f>'Refer Para 27'!E767</f>
        <v>2</v>
      </c>
      <c r="I374" s="103">
        <f>'Refer Para 27'!E768</f>
        <v>0</v>
      </c>
      <c r="J374" s="103">
        <f>'Refer Para 27'!E769</f>
        <v>3</v>
      </c>
      <c r="K374" s="78">
        <f t="shared" si="10"/>
        <v>423</v>
      </c>
      <c r="L374" s="103">
        <v>0</v>
      </c>
      <c r="M374" s="103">
        <f>'Refer Para 27'!E770</f>
        <v>5</v>
      </c>
      <c r="N374" s="78">
        <f t="shared" si="11"/>
        <v>428</v>
      </c>
      <c r="O374" s="103">
        <v>0</v>
      </c>
    </row>
    <row r="375" spans="2:15" ht="15.75">
      <c r="B375" s="78">
        <v>368</v>
      </c>
      <c r="C375" s="103">
        <f>'Refer Para 27'!F762</f>
        <v>35</v>
      </c>
      <c r="D375" s="103">
        <f>'Refer Para 27'!F763</f>
        <v>369</v>
      </c>
      <c r="E375" s="103">
        <f>'Refer Para 27'!F764</f>
        <v>3</v>
      </c>
      <c r="F375" s="103">
        <f>'Refer Para 27'!F765</f>
        <v>0</v>
      </c>
      <c r="G375" s="103">
        <f>'Refer Para 27'!F766</f>
        <v>1</v>
      </c>
      <c r="H375" s="103">
        <f>'Refer Para 27'!F767</f>
        <v>2</v>
      </c>
      <c r="I375" s="103">
        <f>'Refer Para 27'!F768</f>
        <v>0</v>
      </c>
      <c r="J375" s="103">
        <f>'Refer Para 27'!F769</f>
        <v>0</v>
      </c>
      <c r="K375" s="78">
        <f t="shared" si="10"/>
        <v>410</v>
      </c>
      <c r="L375" s="103">
        <v>0</v>
      </c>
      <c r="M375" s="103">
        <f>'Refer Para 27'!F770</f>
        <v>1</v>
      </c>
      <c r="N375" s="78">
        <f t="shared" si="11"/>
        <v>411</v>
      </c>
      <c r="O375" s="103">
        <v>0</v>
      </c>
    </row>
    <row r="376" spans="2:15" ht="15.75">
      <c r="B376" s="78">
        <v>369</v>
      </c>
      <c r="C376" s="103">
        <f>'Refer Para 27'!G762</f>
        <v>99</v>
      </c>
      <c r="D376" s="103">
        <f>'Refer Para 27'!G763</f>
        <v>446</v>
      </c>
      <c r="E376" s="103">
        <f>'Refer Para 27'!G764</f>
        <v>8</v>
      </c>
      <c r="F376" s="103">
        <f>'Refer Para 27'!G765</f>
        <v>6</v>
      </c>
      <c r="G376" s="103">
        <f>'Refer Para 27'!G766</f>
        <v>5</v>
      </c>
      <c r="H376" s="103">
        <f>'Refer Para 27'!G767</f>
        <v>9</v>
      </c>
      <c r="I376" s="103">
        <f>'Refer Para 27'!G768</f>
        <v>8</v>
      </c>
      <c r="J376" s="103">
        <f>'Refer Para 27'!G769</f>
        <v>8</v>
      </c>
      <c r="K376" s="78">
        <f t="shared" si="10"/>
        <v>589</v>
      </c>
      <c r="L376" s="103">
        <v>0</v>
      </c>
      <c r="M376" s="103">
        <f>'Refer Para 27'!G770</f>
        <v>15</v>
      </c>
      <c r="N376" s="78">
        <f t="shared" si="11"/>
        <v>604</v>
      </c>
      <c r="O376" s="103">
        <v>0</v>
      </c>
    </row>
    <row r="377" spans="2:15" ht="15.75">
      <c r="B377" s="78">
        <v>370</v>
      </c>
      <c r="C377" s="103">
        <f>'Refer Para 27'!H762</f>
        <v>26</v>
      </c>
      <c r="D377" s="103">
        <f>'Refer Para 27'!H763</f>
        <v>527</v>
      </c>
      <c r="E377" s="103">
        <f>'Refer Para 27'!H764</f>
        <v>1</v>
      </c>
      <c r="F377" s="103">
        <f>'Refer Para 27'!H765</f>
        <v>23</v>
      </c>
      <c r="G377" s="103">
        <f>'Refer Para 27'!H766</f>
        <v>0</v>
      </c>
      <c r="H377" s="103">
        <f>'Refer Para 27'!H767</f>
        <v>3</v>
      </c>
      <c r="I377" s="103">
        <f>'Refer Para 27'!H768</f>
        <v>5</v>
      </c>
      <c r="J377" s="103">
        <f>'Refer Para 27'!H769</f>
        <v>5</v>
      </c>
      <c r="K377" s="78">
        <f t="shared" si="10"/>
        <v>590</v>
      </c>
      <c r="L377" s="103">
        <v>0</v>
      </c>
      <c r="M377" s="103">
        <f>'Refer Para 27'!H770</f>
        <v>2</v>
      </c>
      <c r="N377" s="78">
        <f t="shared" si="11"/>
        <v>592</v>
      </c>
      <c r="O377" s="103">
        <v>0</v>
      </c>
    </row>
    <row r="378" spans="2:15" ht="15.75">
      <c r="B378" s="78">
        <v>371</v>
      </c>
      <c r="C378" s="103">
        <f>'Refer Para 27'!I762</f>
        <v>22</v>
      </c>
      <c r="D378" s="103">
        <f>'Refer Para 27'!I763</f>
        <v>418</v>
      </c>
      <c r="E378" s="103">
        <f>'Refer Para 27'!I764</f>
        <v>3</v>
      </c>
      <c r="F378" s="103">
        <f>'Refer Para 27'!I765</f>
        <v>21</v>
      </c>
      <c r="G378" s="103">
        <f>'Refer Para 27'!I766</f>
        <v>0</v>
      </c>
      <c r="H378" s="103">
        <f>'Refer Para 27'!I767</f>
        <v>4</v>
      </c>
      <c r="I378" s="103">
        <f>'Refer Para 27'!I768</f>
        <v>6</v>
      </c>
      <c r="J378" s="103">
        <f>'Refer Para 27'!I769</f>
        <v>5</v>
      </c>
      <c r="K378" s="78">
        <f t="shared" si="10"/>
        <v>479</v>
      </c>
      <c r="L378" s="103">
        <v>0</v>
      </c>
      <c r="M378" s="103">
        <f>'Refer Para 27'!I770</f>
        <v>8</v>
      </c>
      <c r="N378" s="78">
        <f t="shared" si="11"/>
        <v>487</v>
      </c>
      <c r="O378" s="103">
        <v>0</v>
      </c>
    </row>
    <row r="379" spans="2:15" ht="15.75">
      <c r="B379" s="78">
        <v>372</v>
      </c>
      <c r="C379" s="103">
        <f>'Refer Para 27'!J762</f>
        <v>109</v>
      </c>
      <c r="D379" s="103">
        <f>'Refer Para 27'!J763</f>
        <v>292</v>
      </c>
      <c r="E379" s="103">
        <f>'Refer Para 27'!J764</f>
        <v>1</v>
      </c>
      <c r="F379" s="103">
        <f>'Refer Para 27'!J765</f>
        <v>53</v>
      </c>
      <c r="G379" s="103">
        <f>'Refer Para 27'!J766</f>
        <v>1</v>
      </c>
      <c r="H379" s="103">
        <f>'Refer Para 27'!J767</f>
        <v>0</v>
      </c>
      <c r="I379" s="103">
        <f>'Refer Para 27'!J768</f>
        <v>0</v>
      </c>
      <c r="J379" s="103">
        <f>'Refer Para 27'!J769</f>
        <v>1</v>
      </c>
      <c r="K379" s="78">
        <f t="shared" si="10"/>
        <v>457</v>
      </c>
      <c r="L379" s="103">
        <v>0</v>
      </c>
      <c r="M379" s="103">
        <f>'Refer Para 27'!J770</f>
        <v>0</v>
      </c>
      <c r="N379" s="78">
        <f t="shared" si="11"/>
        <v>457</v>
      </c>
      <c r="O379" s="103">
        <v>0</v>
      </c>
    </row>
    <row r="380" spans="2:15" ht="15.75">
      <c r="B380" s="78">
        <v>373</v>
      </c>
      <c r="C380" s="103">
        <f>'Refer Para 27'!K762</f>
        <v>28</v>
      </c>
      <c r="D380" s="103">
        <f>'Refer Para 27'!K763</f>
        <v>10</v>
      </c>
      <c r="E380" s="103">
        <f>'Refer Para 27'!K764</f>
        <v>0</v>
      </c>
      <c r="F380" s="103">
        <f>'Refer Para 27'!K765</f>
        <v>472</v>
      </c>
      <c r="G380" s="103">
        <f>'Refer Para 27'!K766</f>
        <v>0</v>
      </c>
      <c r="H380" s="103">
        <f>'Refer Para 27'!K767</f>
        <v>2</v>
      </c>
      <c r="I380" s="103">
        <f>'Refer Para 27'!K768</f>
        <v>1</v>
      </c>
      <c r="J380" s="103">
        <f>'Refer Para 27'!K769</f>
        <v>0</v>
      </c>
      <c r="K380" s="78">
        <f t="shared" si="10"/>
        <v>513</v>
      </c>
      <c r="L380" s="103">
        <v>0</v>
      </c>
      <c r="M380" s="103">
        <f>'Refer Para 27'!K770</f>
        <v>0</v>
      </c>
      <c r="N380" s="78">
        <f t="shared" si="11"/>
        <v>513</v>
      </c>
      <c r="O380" s="103">
        <v>0</v>
      </c>
    </row>
    <row r="381" spans="2:15" ht="15.75">
      <c r="B381" s="78">
        <v>374</v>
      </c>
      <c r="C381" s="103">
        <f>'Refer Para 27'!L762</f>
        <v>14</v>
      </c>
      <c r="D381" s="103">
        <f>'Refer Para 27'!L763</f>
        <v>522</v>
      </c>
      <c r="E381" s="103">
        <f>'Refer Para 27'!L764</f>
        <v>7</v>
      </c>
      <c r="F381" s="103">
        <f>'Refer Para 27'!L765</f>
        <v>4</v>
      </c>
      <c r="G381" s="103">
        <f>'Refer Para 27'!L766</f>
        <v>0</v>
      </c>
      <c r="H381" s="103">
        <f>'Refer Para 27'!L767</f>
        <v>1</v>
      </c>
      <c r="I381" s="103">
        <f>'Refer Para 27'!L768</f>
        <v>0</v>
      </c>
      <c r="J381" s="103">
        <f>'Refer Para 27'!L769</f>
        <v>4</v>
      </c>
      <c r="K381" s="78">
        <f t="shared" si="10"/>
        <v>552</v>
      </c>
      <c r="L381" s="103">
        <v>0</v>
      </c>
      <c r="M381" s="103">
        <f>'Refer Para 27'!L770</f>
        <v>5</v>
      </c>
      <c r="N381" s="78">
        <f t="shared" si="11"/>
        <v>557</v>
      </c>
      <c r="O381" s="103">
        <v>0</v>
      </c>
    </row>
    <row r="382" spans="2:15" ht="15.75">
      <c r="B382" s="78">
        <v>375</v>
      </c>
      <c r="C382" s="103">
        <f>'Refer Para 27'!M762</f>
        <v>2</v>
      </c>
      <c r="D382" s="103">
        <f>'Refer Para 27'!M763</f>
        <v>682</v>
      </c>
      <c r="E382" s="103">
        <f>'Refer Para 27'!M764</f>
        <v>5</v>
      </c>
      <c r="F382" s="103">
        <f>'Refer Para 27'!M765</f>
        <v>2</v>
      </c>
      <c r="G382" s="103">
        <f>'Refer Para 27'!M766</f>
        <v>0</v>
      </c>
      <c r="H382" s="103">
        <f>'Refer Para 27'!M767</f>
        <v>0</v>
      </c>
      <c r="I382" s="103">
        <f>'Refer Para 27'!M768</f>
        <v>2</v>
      </c>
      <c r="J382" s="103">
        <f>'Refer Para 27'!M769</f>
        <v>5</v>
      </c>
      <c r="K382" s="78">
        <f t="shared" si="10"/>
        <v>698</v>
      </c>
      <c r="L382" s="103">
        <v>0</v>
      </c>
      <c r="M382" s="103">
        <f>'Refer Para 27'!M770</f>
        <v>4</v>
      </c>
      <c r="N382" s="78">
        <f t="shared" si="11"/>
        <v>702</v>
      </c>
      <c r="O382" s="103">
        <v>0</v>
      </c>
    </row>
    <row r="383" spans="2:15" ht="15.75">
      <c r="B383" s="78">
        <v>376</v>
      </c>
      <c r="C383" s="103">
        <f>'Refer Para 27'!N762</f>
        <v>12</v>
      </c>
      <c r="D383" s="103">
        <f>'Refer Para 27'!N763</f>
        <v>634</v>
      </c>
      <c r="E383" s="103">
        <f>'Refer Para 27'!N764</f>
        <v>6</v>
      </c>
      <c r="F383" s="103">
        <f>'Refer Para 27'!N765</f>
        <v>1</v>
      </c>
      <c r="G383" s="103">
        <f>'Refer Para 27'!N766</f>
        <v>1</v>
      </c>
      <c r="H383" s="103">
        <f>'Refer Para 27'!N767</f>
        <v>3</v>
      </c>
      <c r="I383" s="103">
        <f>'Refer Para 27'!N768</f>
        <v>7</v>
      </c>
      <c r="J383" s="103">
        <f>'Refer Para 27'!N769</f>
        <v>5</v>
      </c>
      <c r="K383" s="78">
        <f t="shared" si="10"/>
        <v>669</v>
      </c>
      <c r="L383" s="103">
        <v>0</v>
      </c>
      <c r="M383" s="103">
        <f>'Refer Para 27'!N770</f>
        <v>7</v>
      </c>
      <c r="N383" s="78">
        <f t="shared" si="11"/>
        <v>676</v>
      </c>
      <c r="O383" s="103">
        <v>0</v>
      </c>
    </row>
    <row r="384" spans="2:15" ht="15.75">
      <c r="B384" s="78">
        <v>377</v>
      </c>
      <c r="C384" s="103">
        <f>'Refer Para 27'!O762</f>
        <v>175</v>
      </c>
      <c r="D384" s="103">
        <f>'Refer Para 27'!O763</f>
        <v>359</v>
      </c>
      <c r="E384" s="103">
        <f>'Refer Para 27'!O764</f>
        <v>2</v>
      </c>
      <c r="F384" s="103">
        <f>'Refer Para 27'!O765</f>
        <v>4</v>
      </c>
      <c r="G384" s="103">
        <f>'Refer Para 27'!O766</f>
        <v>2</v>
      </c>
      <c r="H384" s="103">
        <f>'Refer Para 27'!O767</f>
        <v>2</v>
      </c>
      <c r="I384" s="103">
        <f>'Refer Para 27'!O768</f>
        <v>4</v>
      </c>
      <c r="J384" s="103">
        <f>'Refer Para 27'!O769</f>
        <v>6</v>
      </c>
      <c r="K384" s="78">
        <f t="shared" si="10"/>
        <v>554</v>
      </c>
      <c r="L384" s="103">
        <v>0</v>
      </c>
      <c r="M384" s="103">
        <f>'Refer Para 27'!O770</f>
        <v>6</v>
      </c>
      <c r="N384" s="78">
        <f t="shared" si="11"/>
        <v>560</v>
      </c>
      <c r="O384" s="103">
        <v>0</v>
      </c>
    </row>
    <row r="385" spans="2:15" ht="15.75">
      <c r="B385" s="78">
        <v>378</v>
      </c>
      <c r="C385" s="103">
        <f>'Refer Para 27'!P762</f>
        <v>438</v>
      </c>
      <c r="D385" s="103">
        <f>'Refer Para 27'!P763</f>
        <v>16</v>
      </c>
      <c r="E385" s="103">
        <f>'Refer Para 27'!P764</f>
        <v>0</v>
      </c>
      <c r="F385" s="103">
        <f>'Refer Para 27'!P765</f>
        <v>0</v>
      </c>
      <c r="G385" s="103">
        <f>'Refer Para 27'!P766</f>
        <v>0</v>
      </c>
      <c r="H385" s="103">
        <f>'Refer Para 27'!P767</f>
        <v>0</v>
      </c>
      <c r="I385" s="103">
        <f>'Refer Para 27'!P768</f>
        <v>1</v>
      </c>
      <c r="J385" s="103">
        <f>'Refer Para 27'!P769</f>
        <v>0</v>
      </c>
      <c r="K385" s="78">
        <f t="shared" si="10"/>
        <v>455</v>
      </c>
      <c r="L385" s="103">
        <v>0</v>
      </c>
      <c r="M385" s="103">
        <f>'Refer Para 27'!P770</f>
        <v>1</v>
      </c>
      <c r="N385" s="78">
        <f t="shared" si="11"/>
        <v>456</v>
      </c>
      <c r="O385" s="103">
        <v>0</v>
      </c>
    </row>
    <row r="386" spans="2:15" ht="15.75">
      <c r="B386" s="78">
        <v>379</v>
      </c>
      <c r="C386" s="103">
        <f>'Refer Para 27'!C791</f>
        <v>363</v>
      </c>
      <c r="D386" s="103">
        <f>'Refer Para 27'!C792</f>
        <v>11</v>
      </c>
      <c r="E386" s="103">
        <f>'Refer Para 27'!C793</f>
        <v>1</v>
      </c>
      <c r="F386" s="103">
        <f>'Refer Para 27'!C794</f>
        <v>11</v>
      </c>
      <c r="G386" s="103">
        <f>'Refer Para 27'!C795</f>
        <v>6</v>
      </c>
      <c r="H386" s="103">
        <f>'Refer Para 27'!C796</f>
        <v>0</v>
      </c>
      <c r="I386" s="103">
        <f>'Refer Para 27'!C797</f>
        <v>1</v>
      </c>
      <c r="J386" s="103">
        <f>'Refer Para 27'!C798</f>
        <v>0</v>
      </c>
      <c r="K386" s="78">
        <f t="shared" si="10"/>
        <v>393</v>
      </c>
      <c r="L386" s="103">
        <v>0</v>
      </c>
      <c r="M386" s="103">
        <f>'Refer Para 27'!C799</f>
        <v>2</v>
      </c>
      <c r="N386" s="78">
        <f t="shared" si="11"/>
        <v>395</v>
      </c>
      <c r="O386" s="103">
        <v>0</v>
      </c>
    </row>
    <row r="387" spans="2:15" ht="15.75">
      <c r="B387" s="78">
        <v>380</v>
      </c>
      <c r="C387" s="103">
        <f>'Refer Para 27'!D791</f>
        <v>437</v>
      </c>
      <c r="D387" s="103">
        <f>'Refer Para 27'!D792</f>
        <v>48</v>
      </c>
      <c r="E387" s="103">
        <f>'Refer Para 27'!D793</f>
        <v>3</v>
      </c>
      <c r="F387" s="103">
        <f>'Refer Para 27'!D794</f>
        <v>98</v>
      </c>
      <c r="G387" s="103">
        <f>'Refer Para 27'!D795</f>
        <v>3</v>
      </c>
      <c r="H387" s="103">
        <f>'Refer Para 27'!D796</f>
        <v>3</v>
      </c>
      <c r="I387" s="103">
        <f>'Refer Para 27'!D797</f>
        <v>2</v>
      </c>
      <c r="J387" s="103">
        <f>'Refer Para 27'!D798</f>
        <v>0</v>
      </c>
      <c r="K387" s="78">
        <f t="shared" si="10"/>
        <v>594</v>
      </c>
      <c r="L387" s="103">
        <v>0</v>
      </c>
      <c r="M387" s="103">
        <f>'Refer Para 27'!D799</f>
        <v>2</v>
      </c>
      <c r="N387" s="78">
        <f t="shared" si="11"/>
        <v>596</v>
      </c>
      <c r="O387" s="103">
        <v>0</v>
      </c>
    </row>
    <row r="388" spans="2:15" ht="15.75">
      <c r="B388" s="78">
        <v>381</v>
      </c>
      <c r="C388" s="103">
        <f>'Refer Para 27'!E791</f>
        <v>100</v>
      </c>
      <c r="D388" s="103">
        <f>'Refer Para 27'!E792</f>
        <v>241</v>
      </c>
      <c r="E388" s="103">
        <f>'Refer Para 27'!E793</f>
        <v>3</v>
      </c>
      <c r="F388" s="103">
        <f>'Refer Para 27'!E794</f>
        <v>285</v>
      </c>
      <c r="G388" s="103">
        <f>'Refer Para 27'!E795</f>
        <v>9</v>
      </c>
      <c r="H388" s="103">
        <f>'Refer Para 27'!E796</f>
        <v>2</v>
      </c>
      <c r="I388" s="103">
        <f>'Refer Para 27'!E797</f>
        <v>3</v>
      </c>
      <c r="J388" s="103">
        <f>'Refer Para 27'!E798</f>
        <v>3</v>
      </c>
      <c r="K388" s="78">
        <f t="shared" si="10"/>
        <v>646</v>
      </c>
      <c r="L388" s="103">
        <v>0</v>
      </c>
      <c r="M388" s="103">
        <f>'Refer Para 27'!E799</f>
        <v>4</v>
      </c>
      <c r="N388" s="78">
        <f t="shared" si="11"/>
        <v>650</v>
      </c>
      <c r="O388" s="103">
        <v>0</v>
      </c>
    </row>
    <row r="389" spans="2:15" ht="15.75">
      <c r="B389" s="78">
        <v>382</v>
      </c>
      <c r="C389" s="103">
        <f>'Refer Para 27'!F791</f>
        <v>74</v>
      </c>
      <c r="D389" s="103">
        <f>'Refer Para 27'!F792</f>
        <v>524</v>
      </c>
      <c r="E389" s="103">
        <f>'Refer Para 27'!F793</f>
        <v>7</v>
      </c>
      <c r="F389" s="103">
        <f>'Refer Para 27'!F794</f>
        <v>44</v>
      </c>
      <c r="G389" s="103">
        <f>'Refer Para 27'!F795</f>
        <v>1</v>
      </c>
      <c r="H389" s="103">
        <f>'Refer Para 27'!F796</f>
        <v>1</v>
      </c>
      <c r="I389" s="103">
        <f>'Refer Para 27'!F797</f>
        <v>6</v>
      </c>
      <c r="J389" s="103">
        <f>'Refer Para 27'!F798</f>
        <v>5</v>
      </c>
      <c r="K389" s="78">
        <f t="shared" si="10"/>
        <v>662</v>
      </c>
      <c r="L389" s="103">
        <v>0</v>
      </c>
      <c r="M389" s="103">
        <f>'Refer Para 27'!F799</f>
        <v>3</v>
      </c>
      <c r="N389" s="78">
        <f t="shared" si="11"/>
        <v>665</v>
      </c>
      <c r="O389" s="103">
        <v>0</v>
      </c>
    </row>
    <row r="390" spans="2:15" ht="15.75">
      <c r="B390" s="78">
        <v>383</v>
      </c>
      <c r="C390" s="103">
        <f>'Refer Para 27'!G791</f>
        <v>522</v>
      </c>
      <c r="D390" s="103">
        <f>'Refer Para 27'!G792</f>
        <v>47</v>
      </c>
      <c r="E390" s="103">
        <f>'Refer Para 27'!G793</f>
        <v>5</v>
      </c>
      <c r="F390" s="103">
        <f>'Refer Para 27'!G794</f>
        <v>183</v>
      </c>
      <c r="G390" s="103">
        <f>'Refer Para 27'!G795</f>
        <v>3</v>
      </c>
      <c r="H390" s="103">
        <f>'Refer Para 27'!G796</f>
        <v>0</v>
      </c>
      <c r="I390" s="103">
        <f>'Refer Para 27'!G797</f>
        <v>0</v>
      </c>
      <c r="J390" s="103">
        <f>'Refer Para 27'!G798</f>
        <v>2</v>
      </c>
      <c r="K390" s="78">
        <f t="shared" si="10"/>
        <v>762</v>
      </c>
      <c r="L390" s="103">
        <v>0</v>
      </c>
      <c r="M390" s="103">
        <f>'Refer Para 27'!G799</f>
        <v>7</v>
      </c>
      <c r="N390" s="78">
        <f t="shared" si="11"/>
        <v>769</v>
      </c>
      <c r="O390" s="103">
        <v>0</v>
      </c>
    </row>
    <row r="391" spans="2:15" ht="15.75">
      <c r="B391" s="78">
        <v>384</v>
      </c>
      <c r="C391" s="103">
        <f>'Refer Para 27'!H791</f>
        <v>415</v>
      </c>
      <c r="D391" s="103">
        <f>'Refer Para 27'!H792</f>
        <v>17</v>
      </c>
      <c r="E391" s="103">
        <f>'Refer Para 27'!H793</f>
        <v>2</v>
      </c>
      <c r="F391" s="103">
        <f>'Refer Para 27'!H794</f>
        <v>109</v>
      </c>
      <c r="G391" s="103">
        <f>'Refer Para 27'!H795</f>
        <v>3</v>
      </c>
      <c r="H391" s="103">
        <f>'Refer Para 27'!H796</f>
        <v>3</v>
      </c>
      <c r="I391" s="103">
        <f>'Refer Para 27'!H797</f>
        <v>0</v>
      </c>
      <c r="J391" s="103">
        <f>'Refer Para 27'!H798</f>
        <v>2</v>
      </c>
      <c r="K391" s="78">
        <f t="shared" si="10"/>
        <v>551</v>
      </c>
      <c r="L391" s="103">
        <v>0</v>
      </c>
      <c r="M391" s="103">
        <f>'Refer Para 27'!H799</f>
        <v>7</v>
      </c>
      <c r="N391" s="78">
        <f t="shared" si="11"/>
        <v>558</v>
      </c>
      <c r="O391" s="103">
        <v>0</v>
      </c>
    </row>
    <row r="392" spans="2:15" ht="15.75">
      <c r="B392" s="78">
        <v>385</v>
      </c>
      <c r="C392" s="103">
        <f>'Refer Para 27'!I791</f>
        <v>599</v>
      </c>
      <c r="D392" s="103">
        <f>'Refer Para 27'!I792</f>
        <v>5</v>
      </c>
      <c r="E392" s="103">
        <f>'Refer Para 27'!I793</f>
        <v>4</v>
      </c>
      <c r="F392" s="103">
        <f>'Refer Para 27'!I794</f>
        <v>9</v>
      </c>
      <c r="G392" s="103">
        <f>'Refer Para 27'!I795</f>
        <v>0</v>
      </c>
      <c r="H392" s="103">
        <f>'Refer Para 27'!I796</f>
        <v>0</v>
      </c>
      <c r="I392" s="103">
        <f>'Refer Para 27'!I797</f>
        <v>0</v>
      </c>
      <c r="J392" s="103">
        <f>'Refer Para 27'!I798</f>
        <v>0</v>
      </c>
      <c r="K392" s="78">
        <f t="shared" ref="K392:K445" si="12">SUM(C392:J392)</f>
        <v>617</v>
      </c>
      <c r="L392" s="103">
        <v>0</v>
      </c>
      <c r="M392" s="103">
        <f>'Refer Para 27'!I799</f>
        <v>3</v>
      </c>
      <c r="N392" s="78">
        <f t="shared" si="11"/>
        <v>620</v>
      </c>
      <c r="O392" s="103">
        <v>0</v>
      </c>
    </row>
    <row r="393" spans="2:15" ht="15.75">
      <c r="B393" s="78">
        <v>386</v>
      </c>
      <c r="C393" s="103">
        <f>'Refer Para 27'!J791</f>
        <v>323</v>
      </c>
      <c r="D393" s="103">
        <f>'Refer Para 27'!J792</f>
        <v>151</v>
      </c>
      <c r="E393" s="103">
        <f>'Refer Para 27'!J793</f>
        <v>8</v>
      </c>
      <c r="F393" s="103">
        <f>'Refer Para 27'!J794</f>
        <v>94</v>
      </c>
      <c r="G393" s="103">
        <f>'Refer Para 27'!J795</f>
        <v>6</v>
      </c>
      <c r="H393" s="103">
        <f>'Refer Para 27'!J796</f>
        <v>7</v>
      </c>
      <c r="I393" s="103">
        <f>'Refer Para 27'!J797</f>
        <v>8</v>
      </c>
      <c r="J393" s="103">
        <f>'Refer Para 27'!J798</f>
        <v>5</v>
      </c>
      <c r="K393" s="78">
        <f t="shared" si="12"/>
        <v>602</v>
      </c>
      <c r="L393" s="103">
        <v>0</v>
      </c>
      <c r="M393" s="103">
        <f>'Refer Para 27'!J799</f>
        <v>8</v>
      </c>
      <c r="N393" s="78">
        <f t="shared" ref="N393:N445" si="13">K393+M393-L393</f>
        <v>610</v>
      </c>
      <c r="O393" s="103">
        <v>0</v>
      </c>
    </row>
    <row r="394" spans="2:15" ht="15.75">
      <c r="B394" s="78">
        <v>387</v>
      </c>
      <c r="C394" s="103">
        <f>'Refer Para 27'!K791</f>
        <v>653</v>
      </c>
      <c r="D394" s="103">
        <f>'Refer Para 27'!K792</f>
        <v>38</v>
      </c>
      <c r="E394" s="103">
        <f>'Refer Para 27'!K793</f>
        <v>2</v>
      </c>
      <c r="F394" s="103">
        <f>'Refer Para 27'!K794</f>
        <v>25</v>
      </c>
      <c r="G394" s="103">
        <f>'Refer Para 27'!K795</f>
        <v>1</v>
      </c>
      <c r="H394" s="103">
        <f>'Refer Para 27'!K796</f>
        <v>0</v>
      </c>
      <c r="I394" s="103">
        <f>'Refer Para 27'!K797</f>
        <v>0</v>
      </c>
      <c r="J394" s="103">
        <f>'Refer Para 27'!K798</f>
        <v>1</v>
      </c>
      <c r="K394" s="78">
        <f t="shared" si="12"/>
        <v>720</v>
      </c>
      <c r="L394" s="103">
        <v>0</v>
      </c>
      <c r="M394" s="103">
        <f>'Refer Para 27'!K799</f>
        <v>14</v>
      </c>
      <c r="N394" s="78">
        <f t="shared" si="13"/>
        <v>734</v>
      </c>
      <c r="O394" s="103">
        <v>0</v>
      </c>
    </row>
    <row r="395" spans="2:15" ht="15.75">
      <c r="B395" s="78">
        <v>388</v>
      </c>
      <c r="C395" s="103">
        <f>'Refer Para 27'!L791</f>
        <v>480</v>
      </c>
      <c r="D395" s="103">
        <f>'Refer Para 27'!L792</f>
        <v>14</v>
      </c>
      <c r="E395" s="103">
        <f>'Refer Para 27'!L793</f>
        <v>1</v>
      </c>
      <c r="F395" s="103">
        <f>'Refer Para 27'!L794</f>
        <v>33</v>
      </c>
      <c r="G395" s="103">
        <f>'Refer Para 27'!L795</f>
        <v>1</v>
      </c>
      <c r="H395" s="103">
        <f>'Refer Para 27'!L796</f>
        <v>1</v>
      </c>
      <c r="I395" s="103">
        <f>'Refer Para 27'!L797</f>
        <v>1</v>
      </c>
      <c r="J395" s="103">
        <f>'Refer Para 27'!L798</f>
        <v>0</v>
      </c>
      <c r="K395" s="78">
        <f t="shared" si="12"/>
        <v>531</v>
      </c>
      <c r="L395" s="103">
        <v>0</v>
      </c>
      <c r="M395" s="103">
        <f>'Refer Para 27'!L799</f>
        <v>3</v>
      </c>
      <c r="N395" s="78">
        <f t="shared" si="13"/>
        <v>534</v>
      </c>
      <c r="O395" s="103">
        <v>0</v>
      </c>
    </row>
    <row r="396" spans="2:15" ht="15.75">
      <c r="B396" s="78">
        <v>389</v>
      </c>
      <c r="C396" s="103">
        <f>'Refer Para 27'!M791</f>
        <v>385</v>
      </c>
      <c r="D396" s="103">
        <f>'Refer Para 27'!M792</f>
        <v>227</v>
      </c>
      <c r="E396" s="103">
        <f>'Refer Para 27'!M793</f>
        <v>2</v>
      </c>
      <c r="F396" s="103">
        <f>'Refer Para 27'!M794</f>
        <v>36</v>
      </c>
      <c r="G396" s="103">
        <f>'Refer Para 27'!M795</f>
        <v>1</v>
      </c>
      <c r="H396" s="103">
        <f>'Refer Para 27'!M796</f>
        <v>1</v>
      </c>
      <c r="I396" s="103">
        <f>'Refer Para 27'!M797</f>
        <v>2</v>
      </c>
      <c r="J396" s="103">
        <f>'Refer Para 27'!M798</f>
        <v>2</v>
      </c>
      <c r="K396" s="78">
        <f t="shared" si="12"/>
        <v>656</v>
      </c>
      <c r="L396" s="103">
        <v>0</v>
      </c>
      <c r="M396" s="103">
        <f>'Refer Para 27'!M799</f>
        <v>3</v>
      </c>
      <c r="N396" s="78">
        <f t="shared" si="13"/>
        <v>659</v>
      </c>
      <c r="O396" s="103">
        <v>0</v>
      </c>
    </row>
    <row r="397" spans="2:15" ht="15.75">
      <c r="B397" s="78">
        <v>390</v>
      </c>
      <c r="C397" s="103">
        <f>'Refer Para 27'!N791</f>
        <v>431</v>
      </c>
      <c r="D397" s="103">
        <f>'Refer Para 27'!N792</f>
        <v>28</v>
      </c>
      <c r="E397" s="103">
        <f>'Refer Para 27'!N793</f>
        <v>5</v>
      </c>
      <c r="F397" s="103">
        <f>'Refer Para 27'!N794</f>
        <v>137</v>
      </c>
      <c r="G397" s="103">
        <f>'Refer Para 27'!N795</f>
        <v>2</v>
      </c>
      <c r="H397" s="103">
        <f>'Refer Para 27'!N796</f>
        <v>1</v>
      </c>
      <c r="I397" s="103">
        <f>'Refer Para 27'!N797</f>
        <v>2</v>
      </c>
      <c r="J397" s="103">
        <f>'Refer Para 27'!N798</f>
        <v>4</v>
      </c>
      <c r="K397" s="78">
        <f t="shared" si="12"/>
        <v>610</v>
      </c>
      <c r="L397" s="103">
        <v>0</v>
      </c>
      <c r="M397" s="103">
        <f>'Refer Para 27'!N799</f>
        <v>5</v>
      </c>
      <c r="N397" s="78">
        <f t="shared" si="13"/>
        <v>615</v>
      </c>
      <c r="O397" s="103">
        <v>0</v>
      </c>
    </row>
    <row r="398" spans="2:15" ht="15.75">
      <c r="B398" s="78">
        <v>391</v>
      </c>
      <c r="C398" s="103">
        <f>'Refer Para 27'!O791</f>
        <v>557</v>
      </c>
      <c r="D398" s="103">
        <f>'Refer Para 27'!O792</f>
        <v>129</v>
      </c>
      <c r="E398" s="103">
        <f>'Refer Para 27'!O793</f>
        <v>2</v>
      </c>
      <c r="F398" s="103">
        <f>'Refer Para 27'!O794</f>
        <v>0</v>
      </c>
      <c r="G398" s="103">
        <f>'Refer Para 27'!O795</f>
        <v>0</v>
      </c>
      <c r="H398" s="103">
        <f>'Refer Para 27'!O796</f>
        <v>1</v>
      </c>
      <c r="I398" s="103">
        <f>'Refer Para 27'!O797</f>
        <v>0</v>
      </c>
      <c r="J398" s="103">
        <f>'Refer Para 27'!O798</f>
        <v>0</v>
      </c>
      <c r="K398" s="78">
        <f t="shared" si="12"/>
        <v>689</v>
      </c>
      <c r="L398" s="103">
        <v>0</v>
      </c>
      <c r="M398" s="103">
        <f>'Refer Para 27'!O799</f>
        <v>3</v>
      </c>
      <c r="N398" s="78">
        <f t="shared" si="13"/>
        <v>692</v>
      </c>
      <c r="O398" s="103">
        <v>0</v>
      </c>
    </row>
    <row r="399" spans="2:15" ht="15.75">
      <c r="B399" s="78">
        <v>392</v>
      </c>
      <c r="C399" s="103">
        <f>'Refer Para 27'!P791</f>
        <v>41</v>
      </c>
      <c r="D399" s="103">
        <f>'Refer Para 27'!P792</f>
        <v>250</v>
      </c>
      <c r="E399" s="103">
        <f>'Refer Para 27'!P793</f>
        <v>8</v>
      </c>
      <c r="F399" s="103">
        <f>'Refer Para 27'!P794</f>
        <v>230</v>
      </c>
      <c r="G399" s="103">
        <f>'Refer Para 27'!P795</f>
        <v>4</v>
      </c>
      <c r="H399" s="103">
        <f>'Refer Para 27'!P796</f>
        <v>6</v>
      </c>
      <c r="I399" s="103">
        <f>'Refer Para 27'!P797</f>
        <v>3</v>
      </c>
      <c r="J399" s="103">
        <f>'Refer Para 27'!P798</f>
        <v>0</v>
      </c>
      <c r="K399" s="78">
        <f t="shared" si="12"/>
        <v>542</v>
      </c>
      <c r="L399" s="103">
        <v>0</v>
      </c>
      <c r="M399" s="103">
        <f>'Refer Para 27'!P799</f>
        <v>1</v>
      </c>
      <c r="N399" s="78">
        <f t="shared" si="13"/>
        <v>543</v>
      </c>
      <c r="O399" s="103">
        <v>0</v>
      </c>
    </row>
    <row r="400" spans="2:15" ht="15.75">
      <c r="B400" s="78">
        <v>393</v>
      </c>
      <c r="C400" s="103">
        <f>'Refer Para 27'!C820</f>
        <v>73</v>
      </c>
      <c r="D400" s="103">
        <f>'Refer Para 27'!C821</f>
        <v>357</v>
      </c>
      <c r="E400" s="103">
        <f>'Refer Para 27'!C822</f>
        <v>2</v>
      </c>
      <c r="F400" s="103">
        <f>'Refer Para 27'!C823</f>
        <v>124</v>
      </c>
      <c r="G400" s="103">
        <f>'Refer Para 27'!C824</f>
        <v>3</v>
      </c>
      <c r="H400" s="103">
        <f>'Refer Para 27'!C825</f>
        <v>13</v>
      </c>
      <c r="I400" s="103">
        <f>'Refer Para 27'!C826</f>
        <v>3</v>
      </c>
      <c r="J400" s="103">
        <f>'Refer Para 27'!C827</f>
        <v>2</v>
      </c>
      <c r="K400" s="78">
        <f t="shared" si="12"/>
        <v>577</v>
      </c>
      <c r="L400" s="103">
        <v>0</v>
      </c>
      <c r="M400" s="103">
        <f>'Refer Para 27'!C828</f>
        <v>2</v>
      </c>
      <c r="N400" s="78">
        <f t="shared" si="13"/>
        <v>579</v>
      </c>
      <c r="O400" s="103">
        <v>0</v>
      </c>
    </row>
    <row r="401" spans="2:15" ht="15.75">
      <c r="B401" s="78">
        <v>394</v>
      </c>
      <c r="C401" s="103">
        <f>'Refer Para 27'!D820</f>
        <v>65</v>
      </c>
      <c r="D401" s="103">
        <f>'Refer Para 27'!D821</f>
        <v>520</v>
      </c>
      <c r="E401" s="103">
        <f>'Refer Para 27'!D822</f>
        <v>14</v>
      </c>
      <c r="F401" s="103">
        <f>'Refer Para 27'!D823</f>
        <v>1</v>
      </c>
      <c r="G401" s="103">
        <f>'Refer Para 27'!D824</f>
        <v>2</v>
      </c>
      <c r="H401" s="103">
        <f>'Refer Para 27'!D825</f>
        <v>8</v>
      </c>
      <c r="I401" s="103">
        <f>'Refer Para 27'!D826</f>
        <v>5</v>
      </c>
      <c r="J401" s="103">
        <f>'Refer Para 27'!D827</f>
        <v>4</v>
      </c>
      <c r="K401" s="78">
        <f t="shared" si="12"/>
        <v>619</v>
      </c>
      <c r="L401" s="103">
        <v>0</v>
      </c>
      <c r="M401" s="103">
        <f>'Refer Para 27'!D828</f>
        <v>4</v>
      </c>
      <c r="N401" s="78">
        <f t="shared" si="13"/>
        <v>623</v>
      </c>
      <c r="O401" s="103">
        <v>0</v>
      </c>
    </row>
    <row r="402" spans="2:15" ht="15.75">
      <c r="B402" s="78">
        <v>395</v>
      </c>
      <c r="C402" s="103">
        <f>'Refer Para 27'!E820</f>
        <v>53</v>
      </c>
      <c r="D402" s="103">
        <f>'Refer Para 27'!E821</f>
        <v>436</v>
      </c>
      <c r="E402" s="103">
        <f>'Refer Para 27'!E822</f>
        <v>11</v>
      </c>
      <c r="F402" s="103">
        <f>'Refer Para 27'!E823</f>
        <v>40</v>
      </c>
      <c r="G402" s="103">
        <f>'Refer Para 27'!E824</f>
        <v>2</v>
      </c>
      <c r="H402" s="103">
        <f>'Refer Para 27'!E825</f>
        <v>8</v>
      </c>
      <c r="I402" s="103">
        <f>'Refer Para 27'!E826</f>
        <v>1</v>
      </c>
      <c r="J402" s="103">
        <f>'Refer Para 27'!E827</f>
        <v>1</v>
      </c>
      <c r="K402" s="78">
        <f t="shared" si="12"/>
        <v>552</v>
      </c>
      <c r="L402" s="103">
        <v>0</v>
      </c>
      <c r="M402" s="103">
        <f>'Refer Para 27'!E828</f>
        <v>1</v>
      </c>
      <c r="N402" s="78">
        <f t="shared" si="13"/>
        <v>553</v>
      </c>
      <c r="O402" s="103">
        <v>0</v>
      </c>
    </row>
    <row r="403" spans="2:15" ht="15.75">
      <c r="B403" s="78">
        <v>396</v>
      </c>
      <c r="C403" s="103">
        <f>'Refer Para 27'!F820</f>
        <v>228</v>
      </c>
      <c r="D403" s="103">
        <f>'Refer Para 27'!F821</f>
        <v>38</v>
      </c>
      <c r="E403" s="103">
        <f>'Refer Para 27'!F822</f>
        <v>5</v>
      </c>
      <c r="F403" s="103">
        <f>'Refer Para 27'!F823</f>
        <v>375</v>
      </c>
      <c r="G403" s="103">
        <f>'Refer Para 27'!F824</f>
        <v>1</v>
      </c>
      <c r="H403" s="103">
        <f>'Refer Para 27'!F825</f>
        <v>4</v>
      </c>
      <c r="I403" s="103">
        <f>'Refer Para 27'!F826</f>
        <v>4</v>
      </c>
      <c r="J403" s="103">
        <f>'Refer Para 27'!F827</f>
        <v>1</v>
      </c>
      <c r="K403" s="78">
        <f t="shared" si="12"/>
        <v>656</v>
      </c>
      <c r="L403" s="103">
        <v>0</v>
      </c>
      <c r="M403" s="103">
        <f>'Refer Para 27'!F828</f>
        <v>7</v>
      </c>
      <c r="N403" s="78">
        <f t="shared" si="13"/>
        <v>663</v>
      </c>
      <c r="O403" s="103">
        <v>0</v>
      </c>
    </row>
    <row r="404" spans="2:15" ht="15.75">
      <c r="B404" s="78">
        <v>397</v>
      </c>
      <c r="C404" s="103">
        <f>'Refer Para 27'!G820</f>
        <v>481</v>
      </c>
      <c r="D404" s="103">
        <f>'Refer Para 27'!G821</f>
        <v>32</v>
      </c>
      <c r="E404" s="103">
        <f>'Refer Para 27'!G822</f>
        <v>3</v>
      </c>
      <c r="F404" s="103">
        <f>'Refer Para 27'!G823</f>
        <v>58</v>
      </c>
      <c r="G404" s="103">
        <f>'Refer Para 27'!G824</f>
        <v>0</v>
      </c>
      <c r="H404" s="103">
        <f>'Refer Para 27'!G825</f>
        <v>0</v>
      </c>
      <c r="I404" s="103">
        <f>'Refer Para 27'!G826</f>
        <v>2</v>
      </c>
      <c r="J404" s="103">
        <f>'Refer Para 27'!G827</f>
        <v>1</v>
      </c>
      <c r="K404" s="78">
        <f t="shared" si="12"/>
        <v>577</v>
      </c>
      <c r="L404" s="103">
        <v>0</v>
      </c>
      <c r="M404" s="103">
        <f>'Refer Para 27'!G828</f>
        <v>2</v>
      </c>
      <c r="N404" s="78">
        <f t="shared" si="13"/>
        <v>579</v>
      </c>
      <c r="O404" s="103">
        <v>0</v>
      </c>
    </row>
    <row r="405" spans="2:15" ht="15.75">
      <c r="B405" s="78">
        <v>398</v>
      </c>
      <c r="C405" s="103">
        <f>'Refer Para 27'!H820</f>
        <v>418</v>
      </c>
      <c r="D405" s="103">
        <f>'Refer Para 27'!H821</f>
        <v>61</v>
      </c>
      <c r="E405" s="103">
        <f>'Refer Para 27'!H822</f>
        <v>2</v>
      </c>
      <c r="F405" s="103">
        <f>'Refer Para 27'!H823</f>
        <v>5</v>
      </c>
      <c r="G405" s="103">
        <f>'Refer Para 27'!H824</f>
        <v>0</v>
      </c>
      <c r="H405" s="103">
        <f>'Refer Para 27'!H825</f>
        <v>0</v>
      </c>
      <c r="I405" s="103">
        <f>'Refer Para 27'!H826</f>
        <v>0</v>
      </c>
      <c r="J405" s="103">
        <f>'Refer Para 27'!H827</f>
        <v>1</v>
      </c>
      <c r="K405" s="78">
        <f t="shared" si="12"/>
        <v>487</v>
      </c>
      <c r="L405" s="103">
        <v>0</v>
      </c>
      <c r="M405" s="103">
        <f>'Refer Para 27'!H828</f>
        <v>0</v>
      </c>
      <c r="N405" s="78">
        <f t="shared" si="13"/>
        <v>487</v>
      </c>
      <c r="O405" s="103">
        <v>0</v>
      </c>
    </row>
    <row r="406" spans="2:15" ht="15.75">
      <c r="B406" s="78">
        <v>399</v>
      </c>
      <c r="C406" s="103">
        <f>'Refer Para 27'!I820</f>
        <v>8</v>
      </c>
      <c r="D406" s="103">
        <f>'Refer Para 27'!I821</f>
        <v>306</v>
      </c>
      <c r="E406" s="103">
        <f>'Refer Para 27'!I822</f>
        <v>6</v>
      </c>
      <c r="F406" s="103">
        <f>'Refer Para 27'!I823</f>
        <v>84</v>
      </c>
      <c r="G406" s="103">
        <f>'Refer Para 27'!I824</f>
        <v>1</v>
      </c>
      <c r="H406" s="103">
        <f>'Refer Para 27'!I825</f>
        <v>89</v>
      </c>
      <c r="I406" s="103">
        <f>'Refer Para 27'!I826</f>
        <v>1</v>
      </c>
      <c r="J406" s="103">
        <f>'Refer Para 27'!I827</f>
        <v>2</v>
      </c>
      <c r="K406" s="78">
        <f t="shared" si="12"/>
        <v>497</v>
      </c>
      <c r="L406" s="103">
        <v>0</v>
      </c>
      <c r="M406" s="103">
        <f>'Refer Para 27'!I828</f>
        <v>3</v>
      </c>
      <c r="N406" s="78">
        <f t="shared" si="13"/>
        <v>500</v>
      </c>
      <c r="O406" s="103">
        <v>0</v>
      </c>
    </row>
    <row r="407" spans="2:15" ht="15.75">
      <c r="B407" s="78">
        <v>400</v>
      </c>
      <c r="C407" s="103">
        <f>'Refer Para 27'!J820</f>
        <v>27</v>
      </c>
      <c r="D407" s="103">
        <f>'Refer Para 27'!J821</f>
        <v>240</v>
      </c>
      <c r="E407" s="103">
        <f>'Refer Para 27'!J822</f>
        <v>15</v>
      </c>
      <c r="F407" s="103">
        <f>'Refer Para 27'!J823</f>
        <v>203</v>
      </c>
      <c r="G407" s="103">
        <f>'Refer Para 27'!J824</f>
        <v>5</v>
      </c>
      <c r="H407" s="103">
        <f>'Refer Para 27'!J825</f>
        <v>7</v>
      </c>
      <c r="I407" s="103">
        <f>'Refer Para 27'!J826</f>
        <v>4</v>
      </c>
      <c r="J407" s="103">
        <f>'Refer Para 27'!J827</f>
        <v>2</v>
      </c>
      <c r="K407" s="78">
        <f t="shared" si="12"/>
        <v>503</v>
      </c>
      <c r="L407" s="103">
        <v>0</v>
      </c>
      <c r="M407" s="103">
        <f>'Refer Para 27'!J828</f>
        <v>5</v>
      </c>
      <c r="N407" s="78">
        <f t="shared" si="13"/>
        <v>508</v>
      </c>
      <c r="O407" s="103">
        <v>0</v>
      </c>
    </row>
    <row r="408" spans="2:15" ht="15.75">
      <c r="B408" s="78">
        <v>401</v>
      </c>
      <c r="C408" s="103">
        <f>'Refer Para 27'!K820</f>
        <v>27</v>
      </c>
      <c r="D408" s="103">
        <f>'Refer Para 27'!K821</f>
        <v>566</v>
      </c>
      <c r="E408" s="103">
        <f>'Refer Para 27'!K822</f>
        <v>17</v>
      </c>
      <c r="F408" s="103">
        <f>'Refer Para 27'!K823</f>
        <v>21</v>
      </c>
      <c r="G408" s="103">
        <f>'Refer Para 27'!K824</f>
        <v>2</v>
      </c>
      <c r="H408" s="103">
        <f>'Refer Para 27'!K825</f>
        <v>6</v>
      </c>
      <c r="I408" s="103">
        <f>'Refer Para 27'!K826</f>
        <v>12</v>
      </c>
      <c r="J408" s="103">
        <f>'Refer Para 27'!K827</f>
        <v>7</v>
      </c>
      <c r="K408" s="78">
        <f t="shared" si="12"/>
        <v>658</v>
      </c>
      <c r="L408" s="103">
        <v>0</v>
      </c>
      <c r="M408" s="103">
        <f>'Refer Para 27'!K828</f>
        <v>9</v>
      </c>
      <c r="N408" s="78">
        <f t="shared" si="13"/>
        <v>667</v>
      </c>
      <c r="O408" s="103">
        <v>0</v>
      </c>
    </row>
    <row r="409" spans="2:15" ht="15.75">
      <c r="B409" s="78">
        <v>402</v>
      </c>
      <c r="C409" s="103">
        <f>'Refer Para 27'!L820</f>
        <v>38</v>
      </c>
      <c r="D409" s="103">
        <f>'Refer Para 27'!L821</f>
        <v>467</v>
      </c>
      <c r="E409" s="103">
        <f>'Refer Para 27'!L822</f>
        <v>34</v>
      </c>
      <c r="F409" s="103">
        <f>'Refer Para 27'!L823</f>
        <v>4</v>
      </c>
      <c r="G409" s="103">
        <f>'Refer Para 27'!L824</f>
        <v>2</v>
      </c>
      <c r="H409" s="103">
        <f>'Refer Para 27'!L825</f>
        <v>3</v>
      </c>
      <c r="I409" s="103">
        <f>'Refer Para 27'!L826</f>
        <v>4</v>
      </c>
      <c r="J409" s="103">
        <f>'Refer Para 27'!L827</f>
        <v>4</v>
      </c>
      <c r="K409" s="78">
        <f t="shared" si="12"/>
        <v>556</v>
      </c>
      <c r="L409" s="103">
        <v>0</v>
      </c>
      <c r="M409" s="103">
        <f>'Refer Para 27'!L828</f>
        <v>7</v>
      </c>
      <c r="N409" s="78">
        <f t="shared" si="13"/>
        <v>563</v>
      </c>
      <c r="O409" s="103">
        <v>0</v>
      </c>
    </row>
    <row r="410" spans="2:15" ht="15.75">
      <c r="B410" s="78">
        <v>403</v>
      </c>
      <c r="C410" s="103">
        <f>'Refer Para 27'!M820</f>
        <v>118</v>
      </c>
      <c r="D410" s="103">
        <f>'Refer Para 27'!M821</f>
        <v>236</v>
      </c>
      <c r="E410" s="103">
        <f>'Refer Para 27'!M822</f>
        <v>11</v>
      </c>
      <c r="F410" s="103">
        <f>'Refer Para 27'!M823</f>
        <v>7</v>
      </c>
      <c r="G410" s="103">
        <f>'Refer Para 27'!M824</f>
        <v>0</v>
      </c>
      <c r="H410" s="103">
        <f>'Refer Para 27'!M825</f>
        <v>1</v>
      </c>
      <c r="I410" s="103">
        <f>'Refer Para 27'!M826</f>
        <v>2</v>
      </c>
      <c r="J410" s="103">
        <f>'Refer Para 27'!M827</f>
        <v>0</v>
      </c>
      <c r="K410" s="78">
        <f t="shared" si="12"/>
        <v>375</v>
      </c>
      <c r="L410" s="103">
        <v>0</v>
      </c>
      <c r="M410" s="103">
        <f>'Refer Para 27'!M828</f>
        <v>2</v>
      </c>
      <c r="N410" s="78">
        <f t="shared" si="13"/>
        <v>377</v>
      </c>
      <c r="O410" s="103">
        <v>0</v>
      </c>
    </row>
    <row r="411" spans="2:15" ht="15.75">
      <c r="B411" s="78">
        <v>404</v>
      </c>
      <c r="C411" s="103">
        <f>'Refer Para 27'!N820</f>
        <v>102</v>
      </c>
      <c r="D411" s="103">
        <f>'Refer Para 27'!N821</f>
        <v>291</v>
      </c>
      <c r="E411" s="103">
        <f>'Refer Para 27'!N822</f>
        <v>4</v>
      </c>
      <c r="F411" s="103">
        <f>'Refer Para 27'!N823</f>
        <v>64</v>
      </c>
      <c r="G411" s="103">
        <f>'Refer Para 27'!N824</f>
        <v>4</v>
      </c>
      <c r="H411" s="103">
        <f>'Refer Para 27'!N825</f>
        <v>3</v>
      </c>
      <c r="I411" s="103">
        <f>'Refer Para 27'!N826</f>
        <v>0</v>
      </c>
      <c r="J411" s="103">
        <f>'Refer Para 27'!N827</f>
        <v>4</v>
      </c>
      <c r="K411" s="78">
        <f t="shared" si="12"/>
        <v>472</v>
      </c>
      <c r="L411" s="103">
        <v>0</v>
      </c>
      <c r="M411" s="103">
        <f>'Refer Para 27'!N828</f>
        <v>2</v>
      </c>
      <c r="N411" s="78">
        <f t="shared" si="13"/>
        <v>474</v>
      </c>
      <c r="O411" s="103">
        <v>0</v>
      </c>
    </row>
    <row r="412" spans="2:15" ht="15.75">
      <c r="B412" s="78">
        <v>405</v>
      </c>
      <c r="C412" s="103">
        <f>'Refer Para 27'!O820</f>
        <v>105</v>
      </c>
      <c r="D412" s="103">
        <f>'Refer Para 27'!O821</f>
        <v>273</v>
      </c>
      <c r="E412" s="103">
        <f>'Refer Para 27'!O822</f>
        <v>17</v>
      </c>
      <c r="F412" s="103">
        <f>'Refer Para 27'!O823</f>
        <v>21</v>
      </c>
      <c r="G412" s="103">
        <f>'Refer Para 27'!O824</f>
        <v>0</v>
      </c>
      <c r="H412" s="103">
        <f>'Refer Para 27'!O825</f>
        <v>3</v>
      </c>
      <c r="I412" s="103">
        <f>'Refer Para 27'!O826</f>
        <v>0</v>
      </c>
      <c r="J412" s="103">
        <f>'Refer Para 27'!O827</f>
        <v>5</v>
      </c>
      <c r="K412" s="78">
        <f t="shared" si="12"/>
        <v>424</v>
      </c>
      <c r="L412" s="103">
        <v>0</v>
      </c>
      <c r="M412" s="103">
        <f>'Refer Para 27'!O828</f>
        <v>5</v>
      </c>
      <c r="N412" s="78">
        <f t="shared" si="13"/>
        <v>429</v>
      </c>
      <c r="O412" s="103">
        <v>0</v>
      </c>
    </row>
    <row r="413" spans="2:15" ht="15.75">
      <c r="B413" s="78">
        <v>406</v>
      </c>
      <c r="C413" s="103">
        <f>'Refer Para 27'!P820</f>
        <v>172</v>
      </c>
      <c r="D413" s="103">
        <f>'Refer Para 27'!P821</f>
        <v>227</v>
      </c>
      <c r="E413" s="103">
        <f>'Refer Para 27'!P822</f>
        <v>6</v>
      </c>
      <c r="F413" s="103">
        <f>'Refer Para 27'!P823</f>
        <v>88</v>
      </c>
      <c r="G413" s="103">
        <f>'Refer Para 27'!P824</f>
        <v>1</v>
      </c>
      <c r="H413" s="103">
        <f>'Refer Para 27'!P825</f>
        <v>6</v>
      </c>
      <c r="I413" s="103">
        <f>'Refer Para 27'!P826</f>
        <v>3</v>
      </c>
      <c r="J413" s="103">
        <f>'Refer Para 27'!P827</f>
        <v>0</v>
      </c>
      <c r="K413" s="78">
        <f t="shared" si="12"/>
        <v>503</v>
      </c>
      <c r="L413" s="103">
        <v>0</v>
      </c>
      <c r="M413" s="103">
        <f>'Refer Para 27'!P828</f>
        <v>3</v>
      </c>
      <c r="N413" s="78">
        <f t="shared" si="13"/>
        <v>506</v>
      </c>
      <c r="O413" s="103">
        <v>0</v>
      </c>
    </row>
    <row r="414" spans="2:15" ht="15.75">
      <c r="B414" s="78">
        <v>407</v>
      </c>
      <c r="C414" s="103">
        <f>'Refer Para 27'!C849</f>
        <v>55</v>
      </c>
      <c r="D414" s="103">
        <f>'Refer Para 27'!C850</f>
        <v>460</v>
      </c>
      <c r="E414" s="103">
        <f>'Refer Para 27'!C851</f>
        <v>3</v>
      </c>
      <c r="F414" s="103">
        <f>'Refer Para 27'!C852</f>
        <v>3</v>
      </c>
      <c r="G414" s="103">
        <f>'Refer Para 27'!C853</f>
        <v>0</v>
      </c>
      <c r="H414" s="103">
        <f>'Refer Para 27'!C854</f>
        <v>4</v>
      </c>
      <c r="I414" s="103">
        <f>'Refer Para 27'!C855</f>
        <v>3</v>
      </c>
      <c r="J414" s="103">
        <f>'Refer Para 27'!C856</f>
        <v>1</v>
      </c>
      <c r="K414" s="78">
        <f t="shared" si="12"/>
        <v>529</v>
      </c>
      <c r="L414" s="103">
        <v>0</v>
      </c>
      <c r="M414" s="103">
        <f>'Refer Para 27'!C857</f>
        <v>7</v>
      </c>
      <c r="N414" s="78">
        <f t="shared" si="13"/>
        <v>536</v>
      </c>
      <c r="O414" s="103">
        <v>0</v>
      </c>
    </row>
    <row r="415" spans="2:15" ht="15.75">
      <c r="B415" s="78">
        <v>408</v>
      </c>
      <c r="C415" s="103">
        <f>'Refer Para 27'!D849</f>
        <v>112</v>
      </c>
      <c r="D415" s="103">
        <f>'Refer Para 27'!D850</f>
        <v>203</v>
      </c>
      <c r="E415" s="103">
        <f>'Refer Para 27'!D851</f>
        <v>4</v>
      </c>
      <c r="F415" s="103">
        <f>'Refer Para 27'!D852</f>
        <v>10</v>
      </c>
      <c r="G415" s="103">
        <f>'Refer Para 27'!D853</f>
        <v>1</v>
      </c>
      <c r="H415" s="103">
        <f>'Refer Para 27'!D854</f>
        <v>5</v>
      </c>
      <c r="I415" s="103">
        <f>'Refer Para 27'!D855</f>
        <v>3</v>
      </c>
      <c r="J415" s="103">
        <f>'Refer Para 27'!D856</f>
        <v>1</v>
      </c>
      <c r="K415" s="78">
        <f t="shared" si="12"/>
        <v>339</v>
      </c>
      <c r="L415" s="103">
        <v>0</v>
      </c>
      <c r="M415" s="103">
        <f>'Refer Para 27'!D857</f>
        <v>4</v>
      </c>
      <c r="N415" s="78">
        <f t="shared" si="13"/>
        <v>343</v>
      </c>
      <c r="O415" s="103">
        <v>0</v>
      </c>
    </row>
    <row r="416" spans="2:15" ht="15.75">
      <c r="B416" s="78">
        <v>409</v>
      </c>
      <c r="C416" s="103">
        <f>'Refer Para 27'!E849</f>
        <v>47</v>
      </c>
      <c r="D416" s="103">
        <f>'Refer Para 27'!E850</f>
        <v>451</v>
      </c>
      <c r="E416" s="103">
        <f>'Refer Para 27'!E851</f>
        <v>5</v>
      </c>
      <c r="F416" s="103">
        <f>'Refer Para 27'!E852</f>
        <v>3</v>
      </c>
      <c r="G416" s="103">
        <f>'Refer Para 27'!E853</f>
        <v>3</v>
      </c>
      <c r="H416" s="103">
        <f>'Refer Para 27'!E854</f>
        <v>5</v>
      </c>
      <c r="I416" s="103">
        <f>'Refer Para 27'!E855</f>
        <v>0</v>
      </c>
      <c r="J416" s="103">
        <f>'Refer Para 27'!E856</f>
        <v>1</v>
      </c>
      <c r="K416" s="78">
        <f t="shared" si="12"/>
        <v>515</v>
      </c>
      <c r="L416" s="103">
        <v>0</v>
      </c>
      <c r="M416" s="103">
        <f>'Refer Para 27'!E857</f>
        <v>7</v>
      </c>
      <c r="N416" s="78">
        <f t="shared" si="13"/>
        <v>522</v>
      </c>
      <c r="O416" s="103">
        <v>0</v>
      </c>
    </row>
    <row r="417" spans="2:15" ht="15.75">
      <c r="B417" s="78">
        <v>410</v>
      </c>
      <c r="C417" s="103">
        <f>'Refer Para 27'!F849</f>
        <v>416</v>
      </c>
      <c r="D417" s="103">
        <f>'Refer Para 27'!F850</f>
        <v>125</v>
      </c>
      <c r="E417" s="103">
        <f>'Refer Para 27'!F851</f>
        <v>2</v>
      </c>
      <c r="F417" s="103">
        <f>'Refer Para 27'!F852</f>
        <v>9</v>
      </c>
      <c r="G417" s="103">
        <f>'Refer Para 27'!F853</f>
        <v>0</v>
      </c>
      <c r="H417" s="103">
        <f>'Refer Para 27'!F854</f>
        <v>1</v>
      </c>
      <c r="I417" s="103">
        <f>'Refer Para 27'!F855</f>
        <v>1</v>
      </c>
      <c r="J417" s="103">
        <f>'Refer Para 27'!F856</f>
        <v>1</v>
      </c>
      <c r="K417" s="78">
        <f t="shared" si="12"/>
        <v>555</v>
      </c>
      <c r="L417" s="103">
        <v>0</v>
      </c>
      <c r="M417" s="103">
        <f>'Refer Para 27'!F857</f>
        <v>3</v>
      </c>
      <c r="N417" s="78">
        <f t="shared" si="13"/>
        <v>558</v>
      </c>
      <c r="O417" s="103">
        <v>0</v>
      </c>
    </row>
    <row r="418" spans="2:15" ht="15.75">
      <c r="B418" s="78">
        <v>411</v>
      </c>
      <c r="C418" s="103">
        <f>'Refer Para 27'!G849</f>
        <v>425</v>
      </c>
      <c r="D418" s="103">
        <f>'Refer Para 27'!G850</f>
        <v>59</v>
      </c>
      <c r="E418" s="103">
        <f>'Refer Para 27'!G851</f>
        <v>8</v>
      </c>
      <c r="F418" s="103">
        <f>'Refer Para 27'!G852</f>
        <v>58</v>
      </c>
      <c r="G418" s="103">
        <f>'Refer Para 27'!G853</f>
        <v>0</v>
      </c>
      <c r="H418" s="103">
        <f>'Refer Para 27'!G854</f>
        <v>2</v>
      </c>
      <c r="I418" s="103">
        <f>'Refer Para 27'!G855</f>
        <v>2</v>
      </c>
      <c r="J418" s="103">
        <f>'Refer Para 27'!G856</f>
        <v>3</v>
      </c>
      <c r="K418" s="78">
        <f t="shared" si="12"/>
        <v>557</v>
      </c>
      <c r="L418" s="103">
        <v>0</v>
      </c>
      <c r="M418" s="103">
        <f>'Refer Para 27'!G857</f>
        <v>6</v>
      </c>
      <c r="N418" s="78">
        <f t="shared" si="13"/>
        <v>563</v>
      </c>
      <c r="O418" s="103">
        <v>0</v>
      </c>
    </row>
    <row r="419" spans="2:15" ht="15.75">
      <c r="B419" s="78">
        <v>412</v>
      </c>
      <c r="C419" s="103">
        <f>'Refer Para 27'!H849</f>
        <v>438</v>
      </c>
      <c r="D419" s="103">
        <f>'Refer Para 27'!H850</f>
        <v>76</v>
      </c>
      <c r="E419" s="103">
        <f>'Refer Para 27'!H851</f>
        <v>2</v>
      </c>
      <c r="F419" s="103">
        <f>'Refer Para 27'!H852</f>
        <v>61</v>
      </c>
      <c r="G419" s="103">
        <f>'Refer Para 27'!H853</f>
        <v>2</v>
      </c>
      <c r="H419" s="103">
        <f>'Refer Para 27'!H854</f>
        <v>2</v>
      </c>
      <c r="I419" s="103">
        <f>'Refer Para 27'!H855</f>
        <v>3</v>
      </c>
      <c r="J419" s="103">
        <f>'Refer Para 27'!H856</f>
        <v>1</v>
      </c>
      <c r="K419" s="78">
        <f t="shared" si="12"/>
        <v>585</v>
      </c>
      <c r="L419" s="103">
        <v>0</v>
      </c>
      <c r="M419" s="103">
        <f>'Refer Para 27'!H857</f>
        <v>1</v>
      </c>
      <c r="N419" s="78">
        <f t="shared" si="13"/>
        <v>586</v>
      </c>
      <c r="O419" s="103">
        <v>0</v>
      </c>
    </row>
    <row r="420" spans="2:15" ht="15.75">
      <c r="B420" s="78">
        <v>413</v>
      </c>
      <c r="C420" s="103">
        <f>'Refer Para 27'!I849</f>
        <v>95</v>
      </c>
      <c r="D420" s="103">
        <f>'Refer Para 27'!I850</f>
        <v>159</v>
      </c>
      <c r="E420" s="103">
        <f>'Refer Para 27'!I851</f>
        <v>5</v>
      </c>
      <c r="F420" s="103">
        <f>'Refer Para 27'!I852</f>
        <v>212</v>
      </c>
      <c r="G420" s="103">
        <f>'Refer Para 27'!I853</f>
        <v>4</v>
      </c>
      <c r="H420" s="103">
        <f>'Refer Para 27'!I854</f>
        <v>1</v>
      </c>
      <c r="I420" s="103">
        <f>'Refer Para 27'!I855</f>
        <v>4</v>
      </c>
      <c r="J420" s="103">
        <f>'Refer Para 27'!I856</f>
        <v>4</v>
      </c>
      <c r="K420" s="78">
        <f t="shared" si="12"/>
        <v>484</v>
      </c>
      <c r="L420" s="103">
        <v>0</v>
      </c>
      <c r="M420" s="103">
        <f>'Refer Para 27'!I857</f>
        <v>1</v>
      </c>
      <c r="N420" s="78">
        <f t="shared" si="13"/>
        <v>485</v>
      </c>
      <c r="O420" s="103">
        <v>0</v>
      </c>
    </row>
    <row r="421" spans="2:15" ht="15.75">
      <c r="B421" s="78">
        <v>414</v>
      </c>
      <c r="C421" s="103">
        <f>'Refer Para 27'!J849</f>
        <v>116</v>
      </c>
      <c r="D421" s="103">
        <f>'Refer Para 27'!J850</f>
        <v>372</v>
      </c>
      <c r="E421" s="103">
        <f>'Refer Para 27'!J851</f>
        <v>2</v>
      </c>
      <c r="F421" s="103">
        <f>'Refer Para 27'!J852</f>
        <v>4</v>
      </c>
      <c r="G421" s="103">
        <f>'Refer Para 27'!J853</f>
        <v>2</v>
      </c>
      <c r="H421" s="103">
        <f>'Refer Para 27'!J854</f>
        <v>1</v>
      </c>
      <c r="I421" s="103">
        <f>'Refer Para 27'!J855</f>
        <v>0</v>
      </c>
      <c r="J421" s="103">
        <f>'Refer Para 27'!J856</f>
        <v>1</v>
      </c>
      <c r="K421" s="78">
        <f t="shared" si="12"/>
        <v>498</v>
      </c>
      <c r="L421" s="103">
        <v>0</v>
      </c>
      <c r="M421" s="103">
        <f>'Refer Para 27'!J857</f>
        <v>0</v>
      </c>
      <c r="N421" s="78">
        <f t="shared" si="13"/>
        <v>498</v>
      </c>
      <c r="O421" s="103">
        <v>0</v>
      </c>
    </row>
    <row r="422" spans="2:15" ht="15.75">
      <c r="B422" s="78">
        <v>415</v>
      </c>
      <c r="C422" s="103">
        <f>'Refer Para 27'!K849</f>
        <v>75</v>
      </c>
      <c r="D422" s="103">
        <f>'Refer Para 27'!K850</f>
        <v>624</v>
      </c>
      <c r="E422" s="103">
        <f>'Refer Para 27'!K851</f>
        <v>1</v>
      </c>
      <c r="F422" s="103">
        <f>'Refer Para 27'!K852</f>
        <v>113</v>
      </c>
      <c r="G422" s="103">
        <f>'Refer Para 27'!K853</f>
        <v>0</v>
      </c>
      <c r="H422" s="103">
        <f>'Refer Para 27'!K854</f>
        <v>0</v>
      </c>
      <c r="I422" s="103">
        <f>'Refer Para 27'!K855</f>
        <v>3</v>
      </c>
      <c r="J422" s="103">
        <f>'Refer Para 27'!K856</f>
        <v>4</v>
      </c>
      <c r="K422" s="78">
        <f t="shared" si="12"/>
        <v>820</v>
      </c>
      <c r="L422" s="103">
        <v>0</v>
      </c>
      <c r="M422" s="103">
        <f>'Refer Para 27'!K857</f>
        <v>3</v>
      </c>
      <c r="N422" s="78">
        <f t="shared" si="13"/>
        <v>823</v>
      </c>
      <c r="O422" s="103">
        <v>0</v>
      </c>
    </row>
    <row r="423" spans="2:15" ht="15.75">
      <c r="B423" s="78">
        <v>416</v>
      </c>
      <c r="C423" s="103">
        <f>'Refer Para 27'!L849</f>
        <v>18</v>
      </c>
      <c r="D423" s="103">
        <f>'Refer Para 27'!L850</f>
        <v>267</v>
      </c>
      <c r="E423" s="103">
        <f>'Refer Para 27'!L851</f>
        <v>5</v>
      </c>
      <c r="F423" s="103">
        <f>'Refer Para 27'!L852</f>
        <v>98</v>
      </c>
      <c r="G423" s="103">
        <f>'Refer Para 27'!L853</f>
        <v>2</v>
      </c>
      <c r="H423" s="103">
        <f>'Refer Para 27'!L854</f>
        <v>3</v>
      </c>
      <c r="I423" s="103">
        <f>'Refer Para 27'!L855</f>
        <v>2</v>
      </c>
      <c r="J423" s="103">
        <f>'Refer Para 27'!L856</f>
        <v>2</v>
      </c>
      <c r="K423" s="78">
        <f t="shared" si="12"/>
        <v>397</v>
      </c>
      <c r="L423" s="103">
        <v>0</v>
      </c>
      <c r="M423" s="103">
        <f>'Refer Para 27'!L857</f>
        <v>3</v>
      </c>
      <c r="N423" s="78">
        <f t="shared" si="13"/>
        <v>400</v>
      </c>
      <c r="O423" s="103">
        <v>0</v>
      </c>
    </row>
    <row r="424" spans="2:15" ht="15.75">
      <c r="B424" s="78">
        <v>417</v>
      </c>
      <c r="C424" s="103">
        <f>'Refer Para 27'!M849</f>
        <v>11</v>
      </c>
      <c r="D424" s="103">
        <f>'Refer Para 27'!M850</f>
        <v>137</v>
      </c>
      <c r="E424" s="103">
        <f>'Refer Para 27'!M851</f>
        <v>5</v>
      </c>
      <c r="F424" s="103">
        <f>'Refer Para 27'!M852</f>
        <v>254</v>
      </c>
      <c r="G424" s="103">
        <f>'Refer Para 27'!M853</f>
        <v>3</v>
      </c>
      <c r="H424" s="103">
        <f>'Refer Para 27'!M854</f>
        <v>4</v>
      </c>
      <c r="I424" s="103">
        <f>'Refer Para 27'!M855</f>
        <v>3</v>
      </c>
      <c r="J424" s="103">
        <f>'Refer Para 27'!M856</f>
        <v>0</v>
      </c>
      <c r="K424" s="78">
        <f t="shared" si="12"/>
        <v>417</v>
      </c>
      <c r="L424" s="103">
        <v>0</v>
      </c>
      <c r="M424" s="103">
        <f>'Refer Para 27'!M857</f>
        <v>1</v>
      </c>
      <c r="N424" s="78">
        <f t="shared" si="13"/>
        <v>418</v>
      </c>
      <c r="O424" s="103">
        <v>0</v>
      </c>
    </row>
    <row r="425" spans="2:15" ht="15.75">
      <c r="B425" s="78">
        <v>418</v>
      </c>
      <c r="C425" s="103">
        <f>'Refer Para 27'!N849</f>
        <v>32</v>
      </c>
      <c r="D425" s="103">
        <f>'Refer Para 27'!N850</f>
        <v>378</v>
      </c>
      <c r="E425" s="103">
        <f>'Refer Para 27'!N851</f>
        <v>6</v>
      </c>
      <c r="F425" s="103">
        <f>'Refer Para 27'!N852</f>
        <v>13</v>
      </c>
      <c r="G425" s="103">
        <f>'Refer Para 27'!N853</f>
        <v>0</v>
      </c>
      <c r="H425" s="103">
        <f>'Refer Para 27'!N854</f>
        <v>1</v>
      </c>
      <c r="I425" s="103">
        <f>'Refer Para 27'!N855</f>
        <v>0</v>
      </c>
      <c r="J425" s="103">
        <f>'Refer Para 27'!N856</f>
        <v>3</v>
      </c>
      <c r="K425" s="78">
        <f t="shared" si="12"/>
        <v>433</v>
      </c>
      <c r="L425" s="103">
        <v>0</v>
      </c>
      <c r="M425" s="103">
        <f>'Refer Para 27'!N857</f>
        <v>5</v>
      </c>
      <c r="N425" s="78">
        <f t="shared" si="13"/>
        <v>438</v>
      </c>
      <c r="O425" s="103">
        <v>0</v>
      </c>
    </row>
    <row r="426" spans="2:15" ht="15.75">
      <c r="B426" s="78">
        <v>419</v>
      </c>
      <c r="C426" s="103">
        <f>'Refer Para 27'!O849</f>
        <v>24</v>
      </c>
      <c r="D426" s="103">
        <f>'Refer Para 27'!O850</f>
        <v>426</v>
      </c>
      <c r="E426" s="103">
        <f>'Refer Para 27'!O851</f>
        <v>8</v>
      </c>
      <c r="F426" s="103">
        <f>'Refer Para 27'!O852</f>
        <v>12</v>
      </c>
      <c r="G426" s="103">
        <f>'Refer Para 27'!O853</f>
        <v>0</v>
      </c>
      <c r="H426" s="103">
        <f>'Refer Para 27'!O854</f>
        <v>2</v>
      </c>
      <c r="I426" s="103">
        <f>'Refer Para 27'!O855</f>
        <v>1</v>
      </c>
      <c r="J426" s="103">
        <f>'Refer Para 27'!O856</f>
        <v>3</v>
      </c>
      <c r="K426" s="78">
        <f t="shared" si="12"/>
        <v>476</v>
      </c>
      <c r="L426" s="103">
        <v>0</v>
      </c>
      <c r="M426" s="103">
        <f>'Refer Para 27'!O857</f>
        <v>4</v>
      </c>
      <c r="N426" s="78">
        <f t="shared" si="13"/>
        <v>480</v>
      </c>
      <c r="O426" s="103">
        <v>0</v>
      </c>
    </row>
    <row r="427" spans="2:15" ht="15.75">
      <c r="B427" s="78">
        <v>420</v>
      </c>
      <c r="C427" s="103">
        <f>'Refer Para 27'!P849</f>
        <v>63</v>
      </c>
      <c r="D427" s="103">
        <f>'Refer Para 27'!P850</f>
        <v>699</v>
      </c>
      <c r="E427" s="103">
        <f>'Refer Para 27'!P851</f>
        <v>6</v>
      </c>
      <c r="F427" s="103">
        <f>'Refer Para 27'!P852</f>
        <v>3</v>
      </c>
      <c r="G427" s="103">
        <f>'Refer Para 27'!P853</f>
        <v>1</v>
      </c>
      <c r="H427" s="103">
        <f>'Refer Para 27'!P854</f>
        <v>3</v>
      </c>
      <c r="I427" s="103">
        <f>'Refer Para 27'!P855</f>
        <v>4</v>
      </c>
      <c r="J427" s="103">
        <f>'Refer Para 27'!P856</f>
        <v>6</v>
      </c>
      <c r="K427" s="78">
        <f t="shared" si="12"/>
        <v>785</v>
      </c>
      <c r="L427" s="103">
        <v>0</v>
      </c>
      <c r="M427" s="103">
        <f>'Refer Para 27'!P857</f>
        <v>0</v>
      </c>
      <c r="N427" s="78">
        <f t="shared" si="13"/>
        <v>785</v>
      </c>
      <c r="O427" s="103">
        <v>0</v>
      </c>
    </row>
    <row r="428" spans="2:15" ht="15.75">
      <c r="B428" s="78">
        <v>421</v>
      </c>
      <c r="C428" s="103">
        <f>'Refer Para 27'!C878</f>
        <v>114</v>
      </c>
      <c r="D428" s="103">
        <f>'Refer Para 27'!C879</f>
        <v>597</v>
      </c>
      <c r="E428" s="103">
        <f>'Refer Para 27'!C880</f>
        <v>4</v>
      </c>
      <c r="F428" s="103">
        <f>'Refer Para 27'!C881</f>
        <v>131</v>
      </c>
      <c r="G428" s="103">
        <f>'Refer Para 27'!C882</f>
        <v>8</v>
      </c>
      <c r="H428" s="103">
        <f>'Refer Para 27'!C883</f>
        <v>3</v>
      </c>
      <c r="I428" s="103">
        <f>'Refer Para 27'!C884</f>
        <v>4</v>
      </c>
      <c r="J428" s="103">
        <f>'Refer Para 27'!C885</f>
        <v>2</v>
      </c>
      <c r="K428" s="78">
        <f t="shared" si="12"/>
        <v>863</v>
      </c>
      <c r="L428" s="103">
        <v>0</v>
      </c>
      <c r="M428" s="103">
        <f>'Refer Para 27'!C886</f>
        <v>4</v>
      </c>
      <c r="N428" s="78">
        <f t="shared" si="13"/>
        <v>867</v>
      </c>
      <c r="O428" s="103">
        <v>0</v>
      </c>
    </row>
    <row r="429" spans="2:15" ht="15.75">
      <c r="B429" s="78">
        <v>422</v>
      </c>
      <c r="C429" s="103">
        <f>'Refer Para 27'!D878</f>
        <v>47</v>
      </c>
      <c r="D429" s="103">
        <f>'Refer Para 27'!D879</f>
        <v>599</v>
      </c>
      <c r="E429" s="103">
        <f>'Refer Para 27'!D880</f>
        <v>8</v>
      </c>
      <c r="F429" s="103">
        <f>'Refer Para 27'!D881</f>
        <v>15</v>
      </c>
      <c r="G429" s="103">
        <f>'Refer Para 27'!D882</f>
        <v>0</v>
      </c>
      <c r="H429" s="103">
        <f>'Refer Para 27'!D883</f>
        <v>4</v>
      </c>
      <c r="I429" s="103">
        <f>'Refer Para 27'!D884</f>
        <v>1</v>
      </c>
      <c r="J429" s="103">
        <f>'Refer Para 27'!D885</f>
        <v>4</v>
      </c>
      <c r="K429" s="78">
        <f t="shared" si="12"/>
        <v>678</v>
      </c>
      <c r="L429" s="103">
        <v>0</v>
      </c>
      <c r="M429" s="103">
        <f>'Refer Para 27'!D886</f>
        <v>6</v>
      </c>
      <c r="N429" s="78">
        <f t="shared" si="13"/>
        <v>684</v>
      </c>
      <c r="O429" s="103">
        <v>0</v>
      </c>
    </row>
    <row r="430" spans="2:15" ht="15.75">
      <c r="B430" s="78">
        <v>423</v>
      </c>
      <c r="C430" s="103">
        <f>'Refer Para 27'!E878</f>
        <v>110</v>
      </c>
      <c r="D430" s="103">
        <f>'Refer Para 27'!E879</f>
        <v>463</v>
      </c>
      <c r="E430" s="103">
        <f>'Refer Para 27'!E880</f>
        <v>3</v>
      </c>
      <c r="F430" s="103">
        <f>'Refer Para 27'!E881</f>
        <v>30</v>
      </c>
      <c r="G430" s="103">
        <f>'Refer Para 27'!E882</f>
        <v>2</v>
      </c>
      <c r="H430" s="103">
        <f>'Refer Para 27'!E883</f>
        <v>0</v>
      </c>
      <c r="I430" s="103">
        <f>'Refer Para 27'!E884</f>
        <v>1</v>
      </c>
      <c r="J430" s="103">
        <f>'Refer Para 27'!E885</f>
        <v>3</v>
      </c>
      <c r="K430" s="78">
        <f t="shared" si="12"/>
        <v>612</v>
      </c>
      <c r="L430" s="103">
        <v>0</v>
      </c>
      <c r="M430" s="103">
        <f>'Refer Para 27'!E886</f>
        <v>7</v>
      </c>
      <c r="N430" s="78">
        <f t="shared" si="13"/>
        <v>619</v>
      </c>
      <c r="O430" s="103">
        <v>0</v>
      </c>
    </row>
    <row r="431" spans="2:15" ht="15.75">
      <c r="B431" s="78">
        <v>424</v>
      </c>
      <c r="C431" s="103">
        <f>'Refer Para 27'!F878</f>
        <v>122</v>
      </c>
      <c r="D431" s="103">
        <f>'Refer Para 27'!F879</f>
        <v>410</v>
      </c>
      <c r="E431" s="103">
        <f>'Refer Para 27'!F880</f>
        <v>6</v>
      </c>
      <c r="F431" s="103">
        <f>'Refer Para 27'!F881</f>
        <v>28</v>
      </c>
      <c r="G431" s="103">
        <f>'Refer Para 27'!F882</f>
        <v>0</v>
      </c>
      <c r="H431" s="103">
        <f>'Refer Para 27'!F883</f>
        <v>2</v>
      </c>
      <c r="I431" s="103">
        <f>'Refer Para 27'!F884</f>
        <v>0</v>
      </c>
      <c r="J431" s="103">
        <f>'Refer Para 27'!F885</f>
        <v>3</v>
      </c>
      <c r="K431" s="78">
        <f t="shared" si="12"/>
        <v>571</v>
      </c>
      <c r="L431" s="103">
        <v>0</v>
      </c>
      <c r="M431" s="103">
        <f>'Refer Para 27'!F886</f>
        <v>0</v>
      </c>
      <c r="N431" s="78">
        <f t="shared" si="13"/>
        <v>571</v>
      </c>
      <c r="O431" s="103">
        <v>0</v>
      </c>
    </row>
    <row r="432" spans="2:15" ht="15.75">
      <c r="B432" s="78">
        <v>425</v>
      </c>
      <c r="C432" s="103">
        <f>'Refer Para 27'!G878</f>
        <v>181</v>
      </c>
      <c r="D432" s="103">
        <f>'Refer Para 27'!G879</f>
        <v>350</v>
      </c>
      <c r="E432" s="103">
        <f>'Refer Para 27'!G880</f>
        <v>6</v>
      </c>
      <c r="F432" s="103">
        <f>'Refer Para 27'!G881</f>
        <v>29</v>
      </c>
      <c r="G432" s="103">
        <f>'Refer Para 27'!G882</f>
        <v>2</v>
      </c>
      <c r="H432" s="103">
        <f>'Refer Para 27'!G883</f>
        <v>3</v>
      </c>
      <c r="I432" s="103">
        <f>'Refer Para 27'!G884</f>
        <v>4</v>
      </c>
      <c r="J432" s="103">
        <f>'Refer Para 27'!G885</f>
        <v>2</v>
      </c>
      <c r="K432" s="78">
        <f t="shared" si="12"/>
        <v>577</v>
      </c>
      <c r="L432" s="103">
        <v>0</v>
      </c>
      <c r="M432" s="103">
        <f>'Refer Para 27'!G886</f>
        <v>7</v>
      </c>
      <c r="N432" s="78">
        <f t="shared" si="13"/>
        <v>584</v>
      </c>
      <c r="O432" s="103">
        <v>0</v>
      </c>
    </row>
    <row r="433" spans="2:15" ht="15.75">
      <c r="B433" s="78">
        <v>426</v>
      </c>
      <c r="C433" s="103">
        <f>'Refer Para 27'!H878</f>
        <v>65</v>
      </c>
      <c r="D433" s="103">
        <f>'Refer Para 27'!H879</f>
        <v>379</v>
      </c>
      <c r="E433" s="103">
        <f>'Refer Para 27'!H880</f>
        <v>3</v>
      </c>
      <c r="F433" s="103">
        <f>'Refer Para 27'!H881</f>
        <v>243</v>
      </c>
      <c r="G433" s="103">
        <f>'Refer Para 27'!H882</f>
        <v>2</v>
      </c>
      <c r="H433" s="103">
        <f>'Refer Para 27'!H883</f>
        <v>4</v>
      </c>
      <c r="I433" s="103">
        <f>'Refer Para 27'!H884</f>
        <v>5</v>
      </c>
      <c r="J433" s="103">
        <f>'Refer Para 27'!H885</f>
        <v>2</v>
      </c>
      <c r="K433" s="78">
        <f t="shared" si="12"/>
        <v>703</v>
      </c>
      <c r="L433" s="103">
        <v>0</v>
      </c>
      <c r="M433" s="103">
        <f>'Refer Para 27'!H886</f>
        <v>4</v>
      </c>
      <c r="N433" s="78">
        <f t="shared" si="13"/>
        <v>707</v>
      </c>
      <c r="O433" s="103">
        <v>0</v>
      </c>
    </row>
    <row r="434" spans="2:15" ht="15.75">
      <c r="B434" s="78">
        <v>427</v>
      </c>
      <c r="C434" s="103">
        <f>'Refer Para 27'!I878</f>
        <v>56</v>
      </c>
      <c r="D434" s="103">
        <f>'Refer Para 27'!I879</f>
        <v>564</v>
      </c>
      <c r="E434" s="103">
        <f>'Refer Para 27'!I880</f>
        <v>6</v>
      </c>
      <c r="F434" s="103">
        <f>'Refer Para 27'!I881</f>
        <v>16</v>
      </c>
      <c r="G434" s="103">
        <f>'Refer Para 27'!I882</f>
        <v>0</v>
      </c>
      <c r="H434" s="103">
        <f>'Refer Para 27'!I883</f>
        <v>5</v>
      </c>
      <c r="I434" s="103">
        <f>'Refer Para 27'!I884</f>
        <v>5</v>
      </c>
      <c r="J434" s="103">
        <f>'Refer Para 27'!I885</f>
        <v>2</v>
      </c>
      <c r="K434" s="78">
        <f t="shared" si="12"/>
        <v>654</v>
      </c>
      <c r="L434" s="103">
        <v>0</v>
      </c>
      <c r="M434" s="103">
        <f>'Refer Para 27'!I886</f>
        <v>1</v>
      </c>
      <c r="N434" s="78">
        <f t="shared" si="13"/>
        <v>655</v>
      </c>
      <c r="O434" s="103">
        <v>0</v>
      </c>
    </row>
    <row r="435" spans="2:15" ht="15.75">
      <c r="B435" s="78">
        <v>428</v>
      </c>
      <c r="C435" s="103">
        <f>'Refer Para 27'!J878</f>
        <v>87</v>
      </c>
      <c r="D435" s="103">
        <f>'Refer Para 27'!J879</f>
        <v>224</v>
      </c>
      <c r="E435" s="103">
        <f>'Refer Para 27'!J880</f>
        <v>8</v>
      </c>
      <c r="F435" s="103">
        <f>'Refer Para 27'!J881</f>
        <v>5</v>
      </c>
      <c r="G435" s="103">
        <f>'Refer Para 27'!J882</f>
        <v>0</v>
      </c>
      <c r="H435" s="103">
        <f>'Refer Para 27'!J883</f>
        <v>2</v>
      </c>
      <c r="I435" s="103">
        <f>'Refer Para 27'!J884</f>
        <v>3</v>
      </c>
      <c r="J435" s="103">
        <f>'Refer Para 27'!J885</f>
        <v>1</v>
      </c>
      <c r="K435" s="78">
        <f t="shared" si="12"/>
        <v>330</v>
      </c>
      <c r="L435" s="103">
        <v>0</v>
      </c>
      <c r="M435" s="103">
        <f>'Refer Para 27'!J886</f>
        <v>3</v>
      </c>
      <c r="N435" s="78">
        <f t="shared" si="13"/>
        <v>333</v>
      </c>
      <c r="O435" s="103">
        <v>0</v>
      </c>
    </row>
    <row r="436" spans="2:15" ht="15.75">
      <c r="B436" s="78">
        <v>429</v>
      </c>
      <c r="C436" s="103">
        <f>'Refer Para 27'!K878</f>
        <v>132</v>
      </c>
      <c r="D436" s="103">
        <f>'Refer Para 27'!K879</f>
        <v>253</v>
      </c>
      <c r="E436" s="103">
        <f>'Refer Para 27'!K880</f>
        <v>7</v>
      </c>
      <c r="F436" s="103">
        <f>'Refer Para 27'!K881</f>
        <v>40</v>
      </c>
      <c r="G436" s="103">
        <f>'Refer Para 27'!K882</f>
        <v>0</v>
      </c>
      <c r="H436" s="103">
        <f>'Refer Para 27'!K883</f>
        <v>2</v>
      </c>
      <c r="I436" s="103">
        <f>'Refer Para 27'!K884</f>
        <v>1</v>
      </c>
      <c r="J436" s="103">
        <f>'Refer Para 27'!K885</f>
        <v>2</v>
      </c>
      <c r="K436" s="78">
        <f t="shared" si="12"/>
        <v>437</v>
      </c>
      <c r="L436" s="103">
        <v>0</v>
      </c>
      <c r="M436" s="103">
        <f>'Refer Para 27'!K886</f>
        <v>7</v>
      </c>
      <c r="N436" s="78">
        <f t="shared" si="13"/>
        <v>444</v>
      </c>
      <c r="O436" s="103">
        <v>0</v>
      </c>
    </row>
    <row r="437" spans="2:15" ht="15.75">
      <c r="B437" s="78">
        <v>430</v>
      </c>
      <c r="C437" s="103">
        <f>'Refer Para 27'!L878</f>
        <v>172</v>
      </c>
      <c r="D437" s="103">
        <f>'Refer Para 27'!L879</f>
        <v>270</v>
      </c>
      <c r="E437" s="103">
        <f>'Refer Para 27'!L880</f>
        <v>15</v>
      </c>
      <c r="F437" s="103">
        <f>'Refer Para 27'!L881</f>
        <v>2</v>
      </c>
      <c r="G437" s="103">
        <f>'Refer Para 27'!L882</f>
        <v>1</v>
      </c>
      <c r="H437" s="103">
        <f>'Refer Para 27'!L883</f>
        <v>0</v>
      </c>
      <c r="I437" s="103">
        <f>'Refer Para 27'!L884</f>
        <v>2</v>
      </c>
      <c r="J437" s="103">
        <f>'Refer Para 27'!L885</f>
        <v>2</v>
      </c>
      <c r="K437" s="78">
        <f t="shared" si="12"/>
        <v>464</v>
      </c>
      <c r="L437" s="103">
        <v>0</v>
      </c>
      <c r="M437" s="103">
        <f>'Refer Para 27'!L886</f>
        <v>6</v>
      </c>
      <c r="N437" s="78">
        <f t="shared" si="13"/>
        <v>470</v>
      </c>
      <c r="O437" s="103">
        <v>0</v>
      </c>
    </row>
    <row r="438" spans="2:15" ht="15.75">
      <c r="B438" s="78">
        <v>431</v>
      </c>
      <c r="C438" s="103">
        <f>'Refer Para 27'!M878</f>
        <v>77</v>
      </c>
      <c r="D438" s="103">
        <f>'Refer Para 27'!M879</f>
        <v>234</v>
      </c>
      <c r="E438" s="103">
        <f>'Refer Para 27'!M880</f>
        <v>29</v>
      </c>
      <c r="F438" s="103">
        <f>'Refer Para 27'!M881</f>
        <v>226</v>
      </c>
      <c r="G438" s="103">
        <f>'Refer Para 27'!M882</f>
        <v>8</v>
      </c>
      <c r="H438" s="103">
        <f>'Refer Para 27'!M883</f>
        <v>6</v>
      </c>
      <c r="I438" s="103">
        <f>'Refer Para 27'!M884</f>
        <v>0</v>
      </c>
      <c r="J438" s="103">
        <f>'Refer Para 27'!M885</f>
        <v>2</v>
      </c>
      <c r="K438" s="78">
        <f t="shared" si="12"/>
        <v>582</v>
      </c>
      <c r="L438" s="103">
        <v>0</v>
      </c>
      <c r="M438" s="103">
        <f>'Refer Para 27'!M886</f>
        <v>1</v>
      </c>
      <c r="N438" s="78">
        <f t="shared" si="13"/>
        <v>583</v>
      </c>
      <c r="O438" s="103">
        <v>0</v>
      </c>
    </row>
    <row r="439" spans="2:15" ht="15.75">
      <c r="B439" s="78">
        <v>432</v>
      </c>
      <c r="C439" s="103">
        <f>'Refer Para 27'!N878</f>
        <v>79</v>
      </c>
      <c r="D439" s="103">
        <f>'Refer Para 27'!N879</f>
        <v>302</v>
      </c>
      <c r="E439" s="103">
        <f>'Refer Para 27'!N880</f>
        <v>6</v>
      </c>
      <c r="F439" s="103">
        <f>'Refer Para 27'!N881</f>
        <v>12</v>
      </c>
      <c r="G439" s="103">
        <f>'Refer Para 27'!N882</f>
        <v>0</v>
      </c>
      <c r="H439" s="103">
        <f>'Refer Para 27'!N883</f>
        <v>3</v>
      </c>
      <c r="I439" s="103">
        <f>'Refer Para 27'!N884</f>
        <v>0</v>
      </c>
      <c r="J439" s="103">
        <f>'Refer Para 27'!N885</f>
        <v>1</v>
      </c>
      <c r="K439" s="78">
        <f t="shared" si="12"/>
        <v>403</v>
      </c>
      <c r="L439" s="103">
        <v>0</v>
      </c>
      <c r="M439" s="103">
        <f>'Refer Para 27'!N886</f>
        <v>3</v>
      </c>
      <c r="N439" s="78">
        <f t="shared" si="13"/>
        <v>406</v>
      </c>
      <c r="O439" s="103">
        <v>0</v>
      </c>
    </row>
    <row r="440" spans="2:15" ht="15.75">
      <c r="B440" s="78">
        <v>433</v>
      </c>
      <c r="C440" s="103">
        <f>'Refer Para 27'!O878</f>
        <v>44</v>
      </c>
      <c r="D440" s="103">
        <f>'Refer Para 27'!O879</f>
        <v>386</v>
      </c>
      <c r="E440" s="103">
        <f>'Refer Para 27'!O880</f>
        <v>1</v>
      </c>
      <c r="F440" s="103">
        <f>'Refer Para 27'!O881</f>
        <v>46</v>
      </c>
      <c r="G440" s="103">
        <f>'Refer Para 27'!O882</f>
        <v>2</v>
      </c>
      <c r="H440" s="103">
        <f>'Refer Para 27'!O883</f>
        <v>1</v>
      </c>
      <c r="I440" s="103">
        <f>'Refer Para 27'!O884</f>
        <v>2</v>
      </c>
      <c r="J440" s="103">
        <f>'Refer Para 27'!O885</f>
        <v>2</v>
      </c>
      <c r="K440" s="78">
        <f t="shared" si="12"/>
        <v>484</v>
      </c>
      <c r="L440" s="103">
        <v>0</v>
      </c>
      <c r="M440" s="103">
        <f>'Refer Para 27'!O886</f>
        <v>1</v>
      </c>
      <c r="N440" s="78">
        <f t="shared" si="13"/>
        <v>485</v>
      </c>
      <c r="O440" s="103">
        <v>0</v>
      </c>
    </row>
    <row r="441" spans="2:15" ht="15.75">
      <c r="B441" s="78">
        <v>434</v>
      </c>
      <c r="C441" s="103">
        <f>'Refer Para 27'!P878</f>
        <v>74</v>
      </c>
      <c r="D441" s="103">
        <f>'Refer Para 27'!P879</f>
        <v>148</v>
      </c>
      <c r="E441" s="103">
        <f>'Refer Para 27'!P880</f>
        <v>4</v>
      </c>
      <c r="F441" s="103">
        <f>'Refer Para 27'!P881</f>
        <v>102</v>
      </c>
      <c r="G441" s="103">
        <f>'Refer Para 27'!P882</f>
        <v>1</v>
      </c>
      <c r="H441" s="103">
        <f>'Refer Para 27'!P883</f>
        <v>0</v>
      </c>
      <c r="I441" s="103">
        <f>'Refer Para 27'!P884</f>
        <v>3</v>
      </c>
      <c r="J441" s="103">
        <f>'Refer Para 27'!P885</f>
        <v>1</v>
      </c>
      <c r="K441" s="78">
        <f t="shared" si="12"/>
        <v>333</v>
      </c>
      <c r="L441" s="103">
        <v>0</v>
      </c>
      <c r="M441" s="103">
        <f>'Refer Para 27'!P886</f>
        <v>4</v>
      </c>
      <c r="N441" s="78">
        <f t="shared" si="13"/>
        <v>337</v>
      </c>
      <c r="O441" s="103">
        <v>0</v>
      </c>
    </row>
    <row r="442" spans="2:15" ht="15.75">
      <c r="B442" s="78">
        <v>435</v>
      </c>
      <c r="C442" s="103">
        <f>'Refer Para 27'!C907</f>
        <v>67</v>
      </c>
      <c r="D442" s="103">
        <f>'Refer Para 27'!C908</f>
        <v>270</v>
      </c>
      <c r="E442" s="103">
        <f>'Refer Para 27'!C909</f>
        <v>12</v>
      </c>
      <c r="F442" s="103">
        <f>'Refer Para 27'!C910</f>
        <v>279</v>
      </c>
      <c r="G442" s="103">
        <f>'Refer Para 27'!C911</f>
        <v>2</v>
      </c>
      <c r="H442" s="103">
        <f>'Refer Para 27'!C912</f>
        <v>2</v>
      </c>
      <c r="I442" s="103">
        <f>'Refer Para 27'!C913</f>
        <v>2</v>
      </c>
      <c r="J442" s="103">
        <f>'Refer Para 27'!C914</f>
        <v>0</v>
      </c>
      <c r="K442" s="78">
        <f t="shared" si="12"/>
        <v>634</v>
      </c>
      <c r="L442" s="103">
        <v>0</v>
      </c>
      <c r="M442" s="103">
        <f>'Refer Para 27'!C915</f>
        <v>1</v>
      </c>
      <c r="N442" s="78">
        <f t="shared" si="13"/>
        <v>635</v>
      </c>
      <c r="O442" s="103">
        <v>0</v>
      </c>
    </row>
    <row r="443" spans="2:15" ht="15.75">
      <c r="B443" s="78">
        <v>436</v>
      </c>
      <c r="C443" s="103">
        <f>'Refer Para 27'!D907</f>
        <v>71</v>
      </c>
      <c r="D443" s="103">
        <f>'Refer Para 27'!D908</f>
        <v>548</v>
      </c>
      <c r="E443" s="103">
        <f>'Refer Para 27'!D909</f>
        <v>13</v>
      </c>
      <c r="F443" s="103">
        <f>'Refer Para 27'!D910</f>
        <v>5</v>
      </c>
      <c r="G443" s="103">
        <f>'Refer Para 27'!D911</f>
        <v>0</v>
      </c>
      <c r="H443" s="103">
        <f>'Refer Para 27'!D912</f>
        <v>3</v>
      </c>
      <c r="I443" s="103">
        <f>'Refer Para 27'!D913</f>
        <v>0</v>
      </c>
      <c r="J443" s="103">
        <f>'Refer Para 27'!D914</f>
        <v>3</v>
      </c>
      <c r="K443" s="78">
        <f t="shared" si="12"/>
        <v>643</v>
      </c>
      <c r="L443" s="103">
        <v>0</v>
      </c>
      <c r="M443" s="103">
        <f>'Refer Para 27'!D915</f>
        <v>1</v>
      </c>
      <c r="N443" s="78">
        <f t="shared" si="13"/>
        <v>644</v>
      </c>
      <c r="O443" s="103">
        <v>0</v>
      </c>
    </row>
    <row r="444" spans="2:15" ht="15.75">
      <c r="B444" s="78">
        <v>437</v>
      </c>
      <c r="C444" s="103">
        <f>'Refer Para 27'!E907</f>
        <v>28</v>
      </c>
      <c r="D444" s="103">
        <f>'Refer Para 27'!E908</f>
        <v>478</v>
      </c>
      <c r="E444" s="103">
        <f>'Refer Para 27'!E909</f>
        <v>5</v>
      </c>
      <c r="F444" s="103">
        <f>'Refer Para 27'!E910</f>
        <v>112</v>
      </c>
      <c r="G444" s="103">
        <f>'Refer Para 27'!E911</f>
        <v>4</v>
      </c>
      <c r="H444" s="103">
        <f>'Refer Para 27'!E912</f>
        <v>4</v>
      </c>
      <c r="I444" s="103">
        <f>'Refer Para 27'!E913</f>
        <v>3</v>
      </c>
      <c r="J444" s="103">
        <f>'Refer Para 27'!E914</f>
        <v>0</v>
      </c>
      <c r="K444" s="78">
        <f t="shared" si="12"/>
        <v>634</v>
      </c>
      <c r="L444" s="103">
        <v>0</v>
      </c>
      <c r="M444" s="103">
        <f>'Refer Para 27'!E915</f>
        <v>2</v>
      </c>
      <c r="N444" s="78">
        <f t="shared" si="13"/>
        <v>636</v>
      </c>
      <c r="O444" s="103">
        <v>0</v>
      </c>
    </row>
    <row r="445" spans="2:15" ht="15.75">
      <c r="B445" s="78">
        <v>438</v>
      </c>
      <c r="C445" s="103">
        <f>'Refer Para 27'!F907</f>
        <v>103</v>
      </c>
      <c r="D445" s="103">
        <f>'Refer Para 27'!F908</f>
        <v>120</v>
      </c>
      <c r="E445" s="103">
        <f>'Refer Para 27'!F909</f>
        <v>1</v>
      </c>
      <c r="F445" s="103">
        <f>'Refer Para 27'!F910</f>
        <v>3</v>
      </c>
      <c r="G445" s="103">
        <f>'Refer Para 27'!F911</f>
        <v>0</v>
      </c>
      <c r="H445" s="103">
        <f>'Refer Para 27'!F912</f>
        <v>2</v>
      </c>
      <c r="I445" s="103">
        <f>'Refer Para 27'!F913</f>
        <v>0</v>
      </c>
      <c r="J445" s="103">
        <f>'Refer Para 27'!F914</f>
        <v>2</v>
      </c>
      <c r="K445" s="78">
        <f t="shared" si="12"/>
        <v>231</v>
      </c>
      <c r="L445" s="103">
        <v>0</v>
      </c>
      <c r="M445" s="103">
        <f>'Refer Para 27'!F915</f>
        <v>0</v>
      </c>
      <c r="N445" s="78">
        <f t="shared" si="13"/>
        <v>231</v>
      </c>
      <c r="O445" s="103">
        <v>0</v>
      </c>
    </row>
    <row r="446" spans="2:15" s="74" customFormat="1" ht="96" customHeight="1">
      <c r="B446" s="101" t="s">
        <v>154</v>
      </c>
      <c r="C446" s="100">
        <f>SUM(C8:C445)</f>
        <v>59207</v>
      </c>
      <c r="D446" s="100">
        <f t="shared" ref="D446:L446" si="14">SUM(D8:D445)</f>
        <v>148342</v>
      </c>
      <c r="E446" s="100">
        <f>SUM(E8:E445)</f>
        <v>2888</v>
      </c>
      <c r="F446" s="100">
        <f t="shared" si="14"/>
        <v>36043</v>
      </c>
      <c r="G446" s="100">
        <f t="shared" si="14"/>
        <v>728</v>
      </c>
      <c r="H446" s="100">
        <f t="shared" si="14"/>
        <v>1235</v>
      </c>
      <c r="I446" s="100">
        <f t="shared" si="14"/>
        <v>1109</v>
      </c>
      <c r="J446" s="100">
        <f t="shared" si="14"/>
        <v>1009</v>
      </c>
      <c r="K446" s="100">
        <f t="shared" si="14"/>
        <v>250561</v>
      </c>
      <c r="L446" s="100">
        <f t="shared" si="14"/>
        <v>0</v>
      </c>
      <c r="M446" s="100">
        <f t="shared" ref="M446" si="15">SUM(M8:M445)</f>
        <v>1400</v>
      </c>
      <c r="N446" s="100">
        <f t="shared" ref="N446" si="16">SUM(N8:N445)</f>
        <v>251961</v>
      </c>
      <c r="O446" s="100">
        <f t="shared" ref="O446" si="17">SUM(O8:O445)</f>
        <v>0</v>
      </c>
    </row>
    <row r="447" spans="2:15" ht="36" customHeight="1">
      <c r="B447" s="102" t="s">
        <v>153</v>
      </c>
      <c r="C447" s="98">
        <v>261</v>
      </c>
      <c r="D447" s="98">
        <v>783</v>
      </c>
      <c r="E447" s="98">
        <v>26</v>
      </c>
      <c r="F447" s="98">
        <v>150</v>
      </c>
      <c r="G447" s="98">
        <v>10</v>
      </c>
      <c r="H447" s="98">
        <v>2</v>
      </c>
      <c r="I447" s="98">
        <v>0</v>
      </c>
      <c r="J447" s="98">
        <v>2</v>
      </c>
      <c r="K447" s="78">
        <f>SUM(C447:J447)</f>
        <v>1234</v>
      </c>
      <c r="L447" s="99">
        <v>542</v>
      </c>
      <c r="M447" s="98">
        <v>2</v>
      </c>
      <c r="N447" s="99">
        <f>SUM(K447:M447)</f>
        <v>1778</v>
      </c>
      <c r="O447" s="99">
        <v>0</v>
      </c>
    </row>
    <row r="448" spans="2:15" s="74" customFormat="1" ht="96" customHeight="1">
      <c r="B448" s="101" t="s">
        <v>155</v>
      </c>
      <c r="C448" s="100">
        <f>C446+C447</f>
        <v>59468</v>
      </c>
      <c r="D448" s="100">
        <f t="shared" ref="D448:O448" si="18">D446+D447</f>
        <v>149125</v>
      </c>
      <c r="E448" s="100">
        <f t="shared" si="18"/>
        <v>2914</v>
      </c>
      <c r="F448" s="100">
        <f t="shared" si="18"/>
        <v>36193</v>
      </c>
      <c r="G448" s="100">
        <f t="shared" si="18"/>
        <v>738</v>
      </c>
      <c r="H448" s="100">
        <f t="shared" si="18"/>
        <v>1237</v>
      </c>
      <c r="I448" s="100">
        <f t="shared" si="18"/>
        <v>1109</v>
      </c>
      <c r="J448" s="100">
        <f t="shared" si="18"/>
        <v>1011</v>
      </c>
      <c r="K448" s="100">
        <f t="shared" si="18"/>
        <v>251795</v>
      </c>
      <c r="L448" s="100">
        <f t="shared" si="18"/>
        <v>542</v>
      </c>
      <c r="M448" s="100">
        <f t="shared" ref="M448" si="19">M446+M447</f>
        <v>1402</v>
      </c>
      <c r="N448" s="100">
        <f t="shared" si="18"/>
        <v>253739</v>
      </c>
      <c r="O448" s="100">
        <f t="shared" si="18"/>
        <v>0</v>
      </c>
    </row>
    <row r="452" spans="12:15" ht="21">
      <c r="L452" s="105"/>
      <c r="N452" s="106" t="s">
        <v>108</v>
      </c>
      <c r="O452" s="105"/>
    </row>
    <row r="453" spans="12:15" ht="21">
      <c r="N453" s="107" t="s">
        <v>185</v>
      </c>
    </row>
  </sheetData>
  <mergeCells count="7">
    <mergeCell ref="G6:O6"/>
    <mergeCell ref="B6:E6"/>
    <mergeCell ref="A1:O1"/>
    <mergeCell ref="A2:O2"/>
    <mergeCell ref="A3:O3"/>
    <mergeCell ref="A4:O4"/>
    <mergeCell ref="A5:O5"/>
  </mergeCells>
  <pageMargins left="0.47" right="0.23" top="0.38" bottom="0.67" header="0.17" footer="0.17"/>
  <pageSetup paperSize="5" orientation="landscape" r:id="rId1"/>
  <headerFooter>
    <oddFooter>Page &amp;P of &amp;N</oddFooter>
  </headerFooter>
  <ignoredErrors>
    <ignoredError sqref="K8" formulaRange="1"/>
    <ignoredError sqref="K446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0070C0"/>
  </sheetPr>
  <dimension ref="B1:Q452"/>
  <sheetViews>
    <sheetView zoomScaleSheetLayoutView="98" workbookViewId="0">
      <selection activeCell="N8" sqref="N8"/>
    </sheetView>
  </sheetViews>
  <sheetFormatPr defaultRowHeight="15"/>
  <cols>
    <col min="1" max="1" width="3.7109375" style="72" customWidth="1"/>
    <col min="2" max="2" width="11.140625" style="76" customWidth="1"/>
    <col min="3" max="3" width="15.140625" style="75" customWidth="1"/>
    <col min="4" max="4" width="12" style="72" customWidth="1"/>
    <col min="5" max="5" width="9.5703125" style="72" customWidth="1"/>
    <col min="6" max="6" width="10.42578125" style="72" customWidth="1"/>
    <col min="7" max="9" width="8.42578125" style="72" customWidth="1"/>
    <col min="10" max="10" width="11.28515625" style="72" customWidth="1"/>
    <col min="11" max="11" width="7.5703125" style="72" customWidth="1"/>
    <col min="12" max="12" width="7.85546875" style="72" customWidth="1"/>
    <col min="13" max="13" width="11.140625" style="72" customWidth="1"/>
    <col min="14" max="14" width="12.28515625" style="72" customWidth="1"/>
    <col min="15" max="15" width="11" style="72" customWidth="1"/>
    <col min="16" max="16" width="9.140625" style="72" customWidth="1"/>
    <col min="17" max="17" width="8.28515625" style="72" customWidth="1"/>
    <col min="18" max="18" width="4.7109375" style="72" customWidth="1"/>
    <col min="19" max="16384" width="9.140625" style="72"/>
  </cols>
  <sheetData>
    <row r="1" spans="2:17" ht="21">
      <c r="B1" s="277" t="s">
        <v>183</v>
      </c>
      <c r="C1" s="277"/>
      <c r="D1" s="277"/>
      <c r="E1" s="277"/>
      <c r="F1" s="277"/>
      <c r="G1" s="277"/>
      <c r="H1" s="277"/>
      <c r="I1" s="277"/>
      <c r="J1" s="277"/>
      <c r="K1" s="277"/>
      <c r="L1" s="277"/>
      <c r="M1" s="277"/>
      <c r="N1" s="277"/>
      <c r="O1" s="277"/>
      <c r="P1" s="277"/>
      <c r="Q1" s="277"/>
    </row>
    <row r="2" spans="2:17" ht="20.25" customHeight="1">
      <c r="B2" s="277" t="s">
        <v>152</v>
      </c>
      <c r="C2" s="277"/>
      <c r="D2" s="277"/>
      <c r="E2" s="277"/>
      <c r="F2" s="277"/>
      <c r="G2" s="277"/>
      <c r="H2" s="277"/>
      <c r="I2" s="277"/>
      <c r="J2" s="277"/>
      <c r="K2" s="277"/>
      <c r="L2" s="277"/>
      <c r="M2" s="277"/>
      <c r="N2" s="277"/>
      <c r="O2" s="277"/>
      <c r="P2" s="277"/>
      <c r="Q2" s="277"/>
    </row>
    <row r="3" spans="2:17" ht="20.25" customHeight="1">
      <c r="B3" s="277" t="s">
        <v>184</v>
      </c>
      <c r="C3" s="277"/>
      <c r="D3" s="277"/>
      <c r="E3" s="277"/>
      <c r="F3" s="277"/>
      <c r="G3" s="277"/>
      <c r="H3" s="277"/>
      <c r="I3" s="277"/>
      <c r="J3" s="277"/>
      <c r="K3" s="277"/>
      <c r="L3" s="277"/>
      <c r="M3" s="277"/>
      <c r="N3" s="277"/>
      <c r="O3" s="277"/>
      <c r="P3" s="277"/>
      <c r="Q3" s="277"/>
    </row>
    <row r="4" spans="2:17" ht="20.25" customHeight="1">
      <c r="B4" s="278" t="s">
        <v>182</v>
      </c>
      <c r="C4" s="278"/>
      <c r="D4" s="278"/>
      <c r="E4" s="278"/>
      <c r="F4" s="278"/>
      <c r="G4" s="278"/>
      <c r="H4" s="278"/>
      <c r="I4" s="278"/>
      <c r="J4" s="278"/>
      <c r="K4" s="278"/>
      <c r="L4" s="278"/>
      <c r="M4" s="278"/>
      <c r="N4" s="278"/>
      <c r="O4" s="278"/>
      <c r="P4" s="278"/>
      <c r="Q4" s="278"/>
    </row>
    <row r="5" spans="2:17" ht="22.5" customHeight="1">
      <c r="B5" s="279" t="s">
        <v>137</v>
      </c>
      <c r="C5" s="279" t="s">
        <v>110</v>
      </c>
      <c r="D5" s="279" t="s">
        <v>136</v>
      </c>
      <c r="E5" s="272" t="s">
        <v>111</v>
      </c>
      <c r="F5" s="273"/>
      <c r="G5" s="273"/>
      <c r="H5" s="273"/>
      <c r="I5" s="273"/>
      <c r="J5" s="273"/>
      <c r="K5" s="273"/>
      <c r="L5" s="274"/>
      <c r="M5" s="279" t="s">
        <v>53</v>
      </c>
      <c r="N5" s="279" t="s">
        <v>1158</v>
      </c>
      <c r="O5" s="280" t="s">
        <v>84</v>
      </c>
      <c r="P5" s="279" t="s">
        <v>54</v>
      </c>
      <c r="Q5" s="279" t="s">
        <v>55</v>
      </c>
    </row>
    <row r="6" spans="2:17" s="58" customFormat="1" ht="31.5">
      <c r="B6" s="279"/>
      <c r="C6" s="279"/>
      <c r="D6" s="279"/>
      <c r="E6" s="81" t="s">
        <v>180</v>
      </c>
      <c r="F6" s="81" t="s">
        <v>169</v>
      </c>
      <c r="G6" s="81" t="s">
        <v>170</v>
      </c>
      <c r="H6" s="81" t="s">
        <v>171</v>
      </c>
      <c r="I6" s="81" t="s">
        <v>172</v>
      </c>
      <c r="J6" s="81" t="s">
        <v>173</v>
      </c>
      <c r="K6" s="81" t="s">
        <v>174</v>
      </c>
      <c r="L6" s="81" t="s">
        <v>175</v>
      </c>
      <c r="M6" s="279"/>
      <c r="N6" s="279"/>
      <c r="O6" s="281"/>
      <c r="P6" s="279"/>
      <c r="Q6" s="279"/>
    </row>
    <row r="7" spans="2:17" ht="15.75">
      <c r="B7" s="78">
        <v>1</v>
      </c>
      <c r="C7" s="113" t="s">
        <v>201</v>
      </c>
      <c r="D7" s="32">
        <v>748</v>
      </c>
      <c r="E7" s="103">
        <f>'66 SYANA PRAROOP-20'!C8</f>
        <v>258</v>
      </c>
      <c r="F7" s="103">
        <f>'66 SYANA PRAROOP-20'!D8</f>
        <v>438</v>
      </c>
      <c r="G7" s="103">
        <f>'66 SYANA PRAROOP-20'!E8</f>
        <v>8</v>
      </c>
      <c r="H7" s="103">
        <f>'66 SYANA PRAROOP-20'!F8</f>
        <v>35</v>
      </c>
      <c r="I7" s="103">
        <f>'66 SYANA PRAROOP-20'!G8</f>
        <v>1</v>
      </c>
      <c r="J7" s="103">
        <f>'66 SYANA PRAROOP-20'!H8</f>
        <v>2</v>
      </c>
      <c r="K7" s="103">
        <f>'66 SYANA PRAROOP-20'!I8</f>
        <v>2</v>
      </c>
      <c r="L7" s="103">
        <f>'66 SYANA PRAROOP-20'!J8</f>
        <v>2</v>
      </c>
      <c r="M7" s="78">
        <f t="shared" ref="M7:M70" si="0">SUM(E7:L7)</f>
        <v>746</v>
      </c>
      <c r="N7" s="103">
        <v>0</v>
      </c>
      <c r="O7" s="103">
        <f>'66 SYANA PRAROOP-20'!M8</f>
        <v>2</v>
      </c>
      <c r="P7" s="78">
        <f>M7+O7-N7</f>
        <v>748</v>
      </c>
      <c r="Q7" s="103">
        <v>0</v>
      </c>
    </row>
    <row r="8" spans="2:17" ht="15.75">
      <c r="B8" s="78">
        <v>2</v>
      </c>
      <c r="C8" s="114" t="s">
        <v>202</v>
      </c>
      <c r="D8" s="32">
        <v>663</v>
      </c>
      <c r="E8" s="103">
        <f>'66 SYANA PRAROOP-20'!C9</f>
        <v>151</v>
      </c>
      <c r="F8" s="103">
        <f>'66 SYANA PRAROOP-20'!D9</f>
        <v>197</v>
      </c>
      <c r="G8" s="103">
        <f>'66 SYANA PRAROOP-20'!E9</f>
        <v>10</v>
      </c>
      <c r="H8" s="103">
        <f>'66 SYANA PRAROOP-20'!F9</f>
        <v>293</v>
      </c>
      <c r="I8" s="103">
        <f>'66 SYANA PRAROOP-20'!G9</f>
        <v>2</v>
      </c>
      <c r="J8" s="103">
        <f>'66 SYANA PRAROOP-20'!H9</f>
        <v>3</v>
      </c>
      <c r="K8" s="103">
        <f>'66 SYANA PRAROOP-20'!I9</f>
        <v>6</v>
      </c>
      <c r="L8" s="103">
        <f>'66 SYANA PRAROOP-20'!J9</f>
        <v>0</v>
      </c>
      <c r="M8" s="78">
        <f t="shared" si="0"/>
        <v>662</v>
      </c>
      <c r="N8" s="103">
        <v>0</v>
      </c>
      <c r="O8" s="103">
        <f>'66 SYANA PRAROOP-20'!M9</f>
        <v>1</v>
      </c>
      <c r="P8" s="78">
        <f t="shared" ref="P8:P71" si="1">M8+O8-N8</f>
        <v>663</v>
      </c>
      <c r="Q8" s="103">
        <v>0</v>
      </c>
    </row>
    <row r="9" spans="2:17" ht="15.75">
      <c r="B9" s="78">
        <v>3</v>
      </c>
      <c r="C9" s="114" t="s">
        <v>203</v>
      </c>
      <c r="D9" s="32">
        <v>724</v>
      </c>
      <c r="E9" s="103">
        <f>'66 SYANA PRAROOP-20'!C10</f>
        <v>45</v>
      </c>
      <c r="F9" s="103">
        <f>'66 SYANA PRAROOP-20'!D10</f>
        <v>527</v>
      </c>
      <c r="G9" s="103">
        <f>'66 SYANA PRAROOP-20'!E10</f>
        <v>16</v>
      </c>
      <c r="H9" s="103">
        <f>'66 SYANA PRAROOP-20'!F10</f>
        <v>95</v>
      </c>
      <c r="I9" s="103">
        <f>'66 SYANA PRAROOP-20'!G10</f>
        <v>5</v>
      </c>
      <c r="J9" s="103">
        <f>'66 SYANA PRAROOP-20'!H10</f>
        <v>6</v>
      </c>
      <c r="K9" s="103">
        <f>'66 SYANA PRAROOP-20'!I10</f>
        <v>12</v>
      </c>
      <c r="L9" s="103">
        <f>'66 SYANA PRAROOP-20'!J10</f>
        <v>11</v>
      </c>
      <c r="M9" s="78">
        <f t="shared" si="0"/>
        <v>717</v>
      </c>
      <c r="N9" s="103">
        <v>0</v>
      </c>
      <c r="O9" s="103">
        <f>'66 SYANA PRAROOP-20'!M10</f>
        <v>7</v>
      </c>
      <c r="P9" s="78">
        <f t="shared" si="1"/>
        <v>724</v>
      </c>
      <c r="Q9" s="103">
        <v>0</v>
      </c>
    </row>
    <row r="10" spans="2:17" ht="15.75">
      <c r="B10" s="78">
        <v>4</v>
      </c>
      <c r="C10" s="114" t="s">
        <v>204</v>
      </c>
      <c r="D10" s="32">
        <v>495</v>
      </c>
      <c r="E10" s="103">
        <f>'66 SYANA PRAROOP-20'!C11</f>
        <v>63</v>
      </c>
      <c r="F10" s="103">
        <f>'66 SYANA PRAROOP-20'!D11</f>
        <v>339</v>
      </c>
      <c r="G10" s="103">
        <f>'66 SYANA PRAROOP-20'!E11</f>
        <v>18</v>
      </c>
      <c r="H10" s="103">
        <f>'66 SYANA PRAROOP-20'!F11</f>
        <v>64</v>
      </c>
      <c r="I10" s="103">
        <f>'66 SYANA PRAROOP-20'!G11</f>
        <v>2</v>
      </c>
      <c r="J10" s="103">
        <f>'66 SYANA PRAROOP-20'!H11</f>
        <v>1</v>
      </c>
      <c r="K10" s="103">
        <f>'66 SYANA PRAROOP-20'!I11</f>
        <v>0</v>
      </c>
      <c r="L10" s="103">
        <f>'66 SYANA PRAROOP-20'!J11</f>
        <v>6</v>
      </c>
      <c r="M10" s="78">
        <f t="shared" si="0"/>
        <v>493</v>
      </c>
      <c r="N10" s="103">
        <v>0</v>
      </c>
      <c r="O10" s="103">
        <f>'66 SYANA PRAROOP-20'!M11</f>
        <v>2</v>
      </c>
      <c r="P10" s="78">
        <f t="shared" si="1"/>
        <v>495</v>
      </c>
      <c r="Q10" s="103">
        <v>0</v>
      </c>
    </row>
    <row r="11" spans="2:17" ht="15.75">
      <c r="B11" s="78">
        <v>5</v>
      </c>
      <c r="C11" s="114" t="s">
        <v>205</v>
      </c>
      <c r="D11" s="32">
        <v>497</v>
      </c>
      <c r="E11" s="103">
        <f>'66 SYANA PRAROOP-20'!C12</f>
        <v>67</v>
      </c>
      <c r="F11" s="103">
        <f>'66 SYANA PRAROOP-20'!D12</f>
        <v>305</v>
      </c>
      <c r="G11" s="103">
        <f>'66 SYANA PRAROOP-20'!E12</f>
        <v>28</v>
      </c>
      <c r="H11" s="103">
        <f>'66 SYANA PRAROOP-20'!F12</f>
        <v>75</v>
      </c>
      <c r="I11" s="103">
        <f>'66 SYANA PRAROOP-20'!G12</f>
        <v>0</v>
      </c>
      <c r="J11" s="103">
        <f>'66 SYANA PRAROOP-20'!H12</f>
        <v>2</v>
      </c>
      <c r="K11" s="103">
        <f>'66 SYANA PRAROOP-20'!I12</f>
        <v>5</v>
      </c>
      <c r="L11" s="103">
        <f>'66 SYANA PRAROOP-20'!J12</f>
        <v>9</v>
      </c>
      <c r="M11" s="78">
        <f t="shared" si="0"/>
        <v>491</v>
      </c>
      <c r="N11" s="103">
        <v>0</v>
      </c>
      <c r="O11" s="103">
        <f>'66 SYANA PRAROOP-20'!M12</f>
        <v>6</v>
      </c>
      <c r="P11" s="78">
        <f t="shared" si="1"/>
        <v>497</v>
      </c>
      <c r="Q11" s="103">
        <v>0</v>
      </c>
    </row>
    <row r="12" spans="2:17" ht="15.75">
      <c r="B12" s="78">
        <v>6</v>
      </c>
      <c r="C12" s="114" t="s">
        <v>206</v>
      </c>
      <c r="D12" s="32">
        <v>750</v>
      </c>
      <c r="E12" s="103">
        <f>'66 SYANA PRAROOP-20'!C13</f>
        <v>52</v>
      </c>
      <c r="F12" s="103">
        <f>'66 SYANA PRAROOP-20'!D13</f>
        <v>666</v>
      </c>
      <c r="G12" s="103">
        <f>'66 SYANA PRAROOP-20'!E13</f>
        <v>9</v>
      </c>
      <c r="H12" s="103">
        <f>'66 SYANA PRAROOP-20'!F13</f>
        <v>1</v>
      </c>
      <c r="I12" s="103">
        <f>'66 SYANA PRAROOP-20'!G13</f>
        <v>1</v>
      </c>
      <c r="J12" s="103">
        <f>'66 SYANA PRAROOP-20'!H13</f>
        <v>0</v>
      </c>
      <c r="K12" s="103">
        <f>'66 SYANA PRAROOP-20'!I13</f>
        <v>4</v>
      </c>
      <c r="L12" s="103">
        <f>'66 SYANA PRAROOP-20'!J13</f>
        <v>7</v>
      </c>
      <c r="M12" s="78">
        <f t="shared" si="0"/>
        <v>740</v>
      </c>
      <c r="N12" s="103">
        <v>0</v>
      </c>
      <c r="O12" s="103">
        <f>'66 SYANA PRAROOP-20'!M13</f>
        <v>10</v>
      </c>
      <c r="P12" s="78">
        <f t="shared" si="1"/>
        <v>750</v>
      </c>
      <c r="Q12" s="103">
        <v>0</v>
      </c>
    </row>
    <row r="13" spans="2:17" ht="15.75">
      <c r="B13" s="78">
        <v>7</v>
      </c>
      <c r="C13" s="114" t="s">
        <v>207</v>
      </c>
      <c r="D13" s="32">
        <v>610</v>
      </c>
      <c r="E13" s="103">
        <f>'66 SYANA PRAROOP-20'!C14</f>
        <v>28</v>
      </c>
      <c r="F13" s="103">
        <f>'66 SYANA PRAROOP-20'!D14</f>
        <v>557</v>
      </c>
      <c r="G13" s="103">
        <f>'66 SYANA PRAROOP-20'!E14</f>
        <v>10</v>
      </c>
      <c r="H13" s="103">
        <f>'66 SYANA PRAROOP-20'!F14</f>
        <v>7</v>
      </c>
      <c r="I13" s="103">
        <f>'66 SYANA PRAROOP-20'!G14</f>
        <v>1</v>
      </c>
      <c r="J13" s="103">
        <f>'66 SYANA PRAROOP-20'!H14</f>
        <v>2</v>
      </c>
      <c r="K13" s="103">
        <f>'66 SYANA PRAROOP-20'!I14</f>
        <v>1</v>
      </c>
      <c r="L13" s="103">
        <f>'66 SYANA PRAROOP-20'!J14</f>
        <v>2</v>
      </c>
      <c r="M13" s="78">
        <f t="shared" si="0"/>
        <v>608</v>
      </c>
      <c r="N13" s="103">
        <v>0</v>
      </c>
      <c r="O13" s="103">
        <f>'66 SYANA PRAROOP-20'!M14</f>
        <v>2</v>
      </c>
      <c r="P13" s="78">
        <f t="shared" si="1"/>
        <v>610</v>
      </c>
      <c r="Q13" s="103">
        <v>0</v>
      </c>
    </row>
    <row r="14" spans="2:17" ht="15.75">
      <c r="B14" s="78">
        <v>8</v>
      </c>
      <c r="C14" s="114" t="s">
        <v>208</v>
      </c>
      <c r="D14" s="32">
        <v>796</v>
      </c>
      <c r="E14" s="103">
        <f>'66 SYANA PRAROOP-20'!C15</f>
        <v>160</v>
      </c>
      <c r="F14" s="103">
        <f>'66 SYANA PRAROOP-20'!D15</f>
        <v>613</v>
      </c>
      <c r="G14" s="103">
        <f>'66 SYANA PRAROOP-20'!E15</f>
        <v>13</v>
      </c>
      <c r="H14" s="103">
        <f>'66 SYANA PRAROOP-20'!F15</f>
        <v>3</v>
      </c>
      <c r="I14" s="103">
        <f>'66 SYANA PRAROOP-20'!G15</f>
        <v>1</v>
      </c>
      <c r="J14" s="103">
        <f>'66 SYANA PRAROOP-20'!H15</f>
        <v>2</v>
      </c>
      <c r="K14" s="103">
        <f>'66 SYANA PRAROOP-20'!I15</f>
        <v>1</v>
      </c>
      <c r="L14" s="103">
        <f>'66 SYANA PRAROOP-20'!J15</f>
        <v>2</v>
      </c>
      <c r="M14" s="78">
        <f t="shared" si="0"/>
        <v>795</v>
      </c>
      <c r="N14" s="103">
        <v>0</v>
      </c>
      <c r="O14" s="103">
        <f>'66 SYANA PRAROOP-20'!M15</f>
        <v>1</v>
      </c>
      <c r="P14" s="78">
        <f t="shared" si="1"/>
        <v>796</v>
      </c>
      <c r="Q14" s="103">
        <v>0</v>
      </c>
    </row>
    <row r="15" spans="2:17" ht="15.75">
      <c r="B15" s="78">
        <v>9</v>
      </c>
      <c r="C15" s="114" t="s">
        <v>209</v>
      </c>
      <c r="D15" s="32">
        <v>573</v>
      </c>
      <c r="E15" s="103">
        <f>'66 SYANA PRAROOP-20'!C16</f>
        <v>161</v>
      </c>
      <c r="F15" s="103">
        <f>'66 SYANA PRAROOP-20'!D16</f>
        <v>322</v>
      </c>
      <c r="G15" s="103">
        <f>'66 SYANA PRAROOP-20'!E16</f>
        <v>1</v>
      </c>
      <c r="H15" s="103">
        <f>'66 SYANA PRAROOP-20'!F16</f>
        <v>78</v>
      </c>
      <c r="I15" s="103">
        <f>'66 SYANA PRAROOP-20'!G16</f>
        <v>2</v>
      </c>
      <c r="J15" s="103">
        <f>'66 SYANA PRAROOP-20'!H16</f>
        <v>2</v>
      </c>
      <c r="K15" s="103">
        <f>'66 SYANA PRAROOP-20'!I16</f>
        <v>1</v>
      </c>
      <c r="L15" s="103">
        <f>'66 SYANA PRAROOP-20'!J16</f>
        <v>4</v>
      </c>
      <c r="M15" s="78">
        <f t="shared" si="0"/>
        <v>571</v>
      </c>
      <c r="N15" s="103">
        <v>0</v>
      </c>
      <c r="O15" s="103">
        <f>'66 SYANA PRAROOP-20'!M16</f>
        <v>2</v>
      </c>
      <c r="P15" s="78">
        <f t="shared" si="1"/>
        <v>573</v>
      </c>
      <c r="Q15" s="103">
        <v>0</v>
      </c>
    </row>
    <row r="16" spans="2:17" ht="15.75">
      <c r="B16" s="78">
        <v>10</v>
      </c>
      <c r="C16" s="114" t="s">
        <v>210</v>
      </c>
      <c r="D16" s="32">
        <v>634</v>
      </c>
      <c r="E16" s="103">
        <f>'66 SYANA PRAROOP-20'!C17</f>
        <v>264</v>
      </c>
      <c r="F16" s="103">
        <f>'66 SYANA PRAROOP-20'!D17</f>
        <v>321</v>
      </c>
      <c r="G16" s="103">
        <f>'66 SYANA PRAROOP-20'!E17</f>
        <v>2</v>
      </c>
      <c r="H16" s="103">
        <f>'66 SYANA PRAROOP-20'!F17</f>
        <v>42</v>
      </c>
      <c r="I16" s="103">
        <f>'66 SYANA PRAROOP-20'!G17</f>
        <v>0</v>
      </c>
      <c r="J16" s="103">
        <f>'66 SYANA PRAROOP-20'!H17</f>
        <v>3</v>
      </c>
      <c r="K16" s="103">
        <f>'66 SYANA PRAROOP-20'!I17</f>
        <v>0</v>
      </c>
      <c r="L16" s="103">
        <f>'66 SYANA PRAROOP-20'!J17</f>
        <v>0</v>
      </c>
      <c r="M16" s="78">
        <f t="shared" si="0"/>
        <v>632</v>
      </c>
      <c r="N16" s="103">
        <v>0</v>
      </c>
      <c r="O16" s="103">
        <f>'66 SYANA PRAROOP-20'!M17</f>
        <v>2</v>
      </c>
      <c r="P16" s="78">
        <f t="shared" si="1"/>
        <v>634</v>
      </c>
      <c r="Q16" s="103">
        <v>0</v>
      </c>
    </row>
    <row r="17" spans="2:17" ht="15.75">
      <c r="B17" s="78">
        <v>11</v>
      </c>
      <c r="C17" s="114" t="s">
        <v>211</v>
      </c>
      <c r="D17" s="32">
        <v>564</v>
      </c>
      <c r="E17" s="103">
        <f>'66 SYANA PRAROOP-20'!C18</f>
        <v>200</v>
      </c>
      <c r="F17" s="103">
        <f>'66 SYANA PRAROOP-20'!D18</f>
        <v>344</v>
      </c>
      <c r="G17" s="103">
        <f>'66 SYANA PRAROOP-20'!E18</f>
        <v>13</v>
      </c>
      <c r="H17" s="103">
        <f>'66 SYANA PRAROOP-20'!F18</f>
        <v>4</v>
      </c>
      <c r="I17" s="103">
        <f>'66 SYANA PRAROOP-20'!G18</f>
        <v>1</v>
      </c>
      <c r="J17" s="103">
        <f>'66 SYANA PRAROOP-20'!H18</f>
        <v>1</v>
      </c>
      <c r="K17" s="103">
        <f>'66 SYANA PRAROOP-20'!I18</f>
        <v>0</v>
      </c>
      <c r="L17" s="103">
        <f>'66 SYANA PRAROOP-20'!J18</f>
        <v>0</v>
      </c>
      <c r="M17" s="78">
        <f t="shared" si="0"/>
        <v>563</v>
      </c>
      <c r="N17" s="103">
        <v>0</v>
      </c>
      <c r="O17" s="103">
        <f>'66 SYANA PRAROOP-20'!M18</f>
        <v>1</v>
      </c>
      <c r="P17" s="78">
        <f t="shared" si="1"/>
        <v>564</v>
      </c>
      <c r="Q17" s="103">
        <v>0</v>
      </c>
    </row>
    <row r="18" spans="2:17" ht="15.75">
      <c r="B18" s="78">
        <v>12</v>
      </c>
      <c r="C18" s="114" t="s">
        <v>212</v>
      </c>
      <c r="D18" s="32">
        <v>507</v>
      </c>
      <c r="E18" s="103">
        <f>'66 SYANA PRAROOP-20'!C19</f>
        <v>48</v>
      </c>
      <c r="F18" s="103">
        <f>'66 SYANA PRAROOP-20'!D19</f>
        <v>319</v>
      </c>
      <c r="G18" s="103">
        <f>'66 SYANA PRAROOP-20'!E19</f>
        <v>8</v>
      </c>
      <c r="H18" s="103">
        <f>'66 SYANA PRAROOP-20'!F19</f>
        <v>118</v>
      </c>
      <c r="I18" s="103">
        <f>'66 SYANA PRAROOP-20'!G19</f>
        <v>3</v>
      </c>
      <c r="J18" s="103">
        <f>'66 SYANA PRAROOP-20'!H19</f>
        <v>6</v>
      </c>
      <c r="K18" s="103">
        <f>'66 SYANA PRAROOP-20'!I19</f>
        <v>5</v>
      </c>
      <c r="L18" s="103">
        <f>'66 SYANA PRAROOP-20'!J19</f>
        <v>0</v>
      </c>
      <c r="M18" s="78">
        <f t="shared" si="0"/>
        <v>507</v>
      </c>
      <c r="N18" s="103">
        <v>0</v>
      </c>
      <c r="O18" s="103">
        <f>'66 SYANA PRAROOP-20'!M19</f>
        <v>0</v>
      </c>
      <c r="P18" s="78">
        <f t="shared" si="1"/>
        <v>507</v>
      </c>
      <c r="Q18" s="103">
        <v>0</v>
      </c>
    </row>
    <row r="19" spans="2:17" ht="15.75">
      <c r="B19" s="78">
        <v>13</v>
      </c>
      <c r="C19" s="114" t="s">
        <v>213</v>
      </c>
      <c r="D19" s="32">
        <v>425</v>
      </c>
      <c r="E19" s="103">
        <f>'66 SYANA PRAROOP-20'!C20</f>
        <v>213</v>
      </c>
      <c r="F19" s="103">
        <f>'66 SYANA PRAROOP-20'!D20</f>
        <v>190</v>
      </c>
      <c r="G19" s="103">
        <f>'66 SYANA PRAROOP-20'!E20</f>
        <v>1</v>
      </c>
      <c r="H19" s="103">
        <f>'66 SYANA PRAROOP-20'!F20</f>
        <v>12</v>
      </c>
      <c r="I19" s="103">
        <f>'66 SYANA PRAROOP-20'!G20</f>
        <v>0</v>
      </c>
      <c r="J19" s="103">
        <f>'66 SYANA PRAROOP-20'!H20</f>
        <v>0</v>
      </c>
      <c r="K19" s="103">
        <f>'66 SYANA PRAROOP-20'!I20</f>
        <v>2</v>
      </c>
      <c r="L19" s="103">
        <f>'66 SYANA PRAROOP-20'!J20</f>
        <v>1</v>
      </c>
      <c r="M19" s="78">
        <f t="shared" si="0"/>
        <v>419</v>
      </c>
      <c r="N19" s="103">
        <v>0</v>
      </c>
      <c r="O19" s="103">
        <f>'66 SYANA PRAROOP-20'!M20</f>
        <v>6</v>
      </c>
      <c r="P19" s="78">
        <f t="shared" si="1"/>
        <v>425</v>
      </c>
      <c r="Q19" s="103">
        <v>0</v>
      </c>
    </row>
    <row r="20" spans="2:17" ht="15.75">
      <c r="B20" s="78">
        <v>14</v>
      </c>
      <c r="C20" s="114" t="s">
        <v>214</v>
      </c>
      <c r="D20" s="32">
        <v>492</v>
      </c>
      <c r="E20" s="103">
        <f>'66 SYANA PRAROOP-20'!C21</f>
        <v>186</v>
      </c>
      <c r="F20" s="103">
        <f>'66 SYANA PRAROOP-20'!D21</f>
        <v>138</v>
      </c>
      <c r="G20" s="103">
        <f>'66 SYANA PRAROOP-20'!E21</f>
        <v>3</v>
      </c>
      <c r="H20" s="103">
        <f>'66 SYANA PRAROOP-20'!F21</f>
        <v>159</v>
      </c>
      <c r="I20" s="103">
        <f>'66 SYANA PRAROOP-20'!G21</f>
        <v>0</v>
      </c>
      <c r="J20" s="103">
        <f>'66 SYANA PRAROOP-20'!H21</f>
        <v>1</v>
      </c>
      <c r="K20" s="103">
        <f>'66 SYANA PRAROOP-20'!I21</f>
        <v>2</v>
      </c>
      <c r="L20" s="103">
        <f>'66 SYANA PRAROOP-20'!J21</f>
        <v>2</v>
      </c>
      <c r="M20" s="78">
        <f t="shared" si="0"/>
        <v>491</v>
      </c>
      <c r="N20" s="103">
        <v>0</v>
      </c>
      <c r="O20" s="103">
        <f>'66 SYANA PRAROOP-20'!M21</f>
        <v>1</v>
      </c>
      <c r="P20" s="78">
        <f t="shared" si="1"/>
        <v>492</v>
      </c>
      <c r="Q20" s="103">
        <v>0</v>
      </c>
    </row>
    <row r="21" spans="2:17" ht="17.25">
      <c r="B21" s="78">
        <v>15</v>
      </c>
      <c r="C21" s="114" t="s">
        <v>215</v>
      </c>
      <c r="D21" s="35">
        <v>633</v>
      </c>
      <c r="E21" s="103">
        <f>'66 SYANA PRAROOP-20'!C22</f>
        <v>170</v>
      </c>
      <c r="F21" s="103">
        <f>'66 SYANA PRAROOP-20'!D22</f>
        <v>379</v>
      </c>
      <c r="G21" s="103">
        <f>'66 SYANA PRAROOP-20'!E22</f>
        <v>10</v>
      </c>
      <c r="H21" s="103">
        <f>'66 SYANA PRAROOP-20'!F22</f>
        <v>59</v>
      </c>
      <c r="I21" s="103">
        <f>'66 SYANA PRAROOP-20'!G22</f>
        <v>2</v>
      </c>
      <c r="J21" s="103">
        <f>'66 SYANA PRAROOP-20'!H22</f>
        <v>3</v>
      </c>
      <c r="K21" s="103">
        <f>'66 SYANA PRAROOP-20'!I22</f>
        <v>1</v>
      </c>
      <c r="L21" s="103">
        <f>'66 SYANA PRAROOP-20'!J22</f>
        <v>3</v>
      </c>
      <c r="M21" s="78">
        <f t="shared" si="0"/>
        <v>627</v>
      </c>
      <c r="N21" s="103">
        <v>0</v>
      </c>
      <c r="O21" s="103">
        <f>'66 SYANA PRAROOP-20'!M22</f>
        <v>6</v>
      </c>
      <c r="P21" s="78">
        <f t="shared" si="1"/>
        <v>633</v>
      </c>
      <c r="Q21" s="103">
        <v>0</v>
      </c>
    </row>
    <row r="22" spans="2:17" ht="17.25">
      <c r="B22" s="78">
        <v>16</v>
      </c>
      <c r="C22" s="114" t="s">
        <v>216</v>
      </c>
      <c r="D22" s="35">
        <v>739</v>
      </c>
      <c r="E22" s="103">
        <f>'66 SYANA PRAROOP-20'!C23</f>
        <v>44</v>
      </c>
      <c r="F22" s="103">
        <f>'66 SYANA PRAROOP-20'!D23</f>
        <v>601</v>
      </c>
      <c r="G22" s="103">
        <f>'66 SYANA PRAROOP-20'!E23</f>
        <v>7</v>
      </c>
      <c r="H22" s="103">
        <f>'66 SYANA PRAROOP-20'!F23</f>
        <v>63</v>
      </c>
      <c r="I22" s="103">
        <f>'66 SYANA PRAROOP-20'!G23</f>
        <v>10</v>
      </c>
      <c r="J22" s="103">
        <f>'66 SYANA PRAROOP-20'!H23</f>
        <v>1</v>
      </c>
      <c r="K22" s="103">
        <f>'66 SYANA PRAROOP-20'!I23</f>
        <v>1</v>
      </c>
      <c r="L22" s="103">
        <f>'66 SYANA PRAROOP-20'!J23</f>
        <v>4</v>
      </c>
      <c r="M22" s="78">
        <f t="shared" si="0"/>
        <v>731</v>
      </c>
      <c r="N22" s="103">
        <v>0</v>
      </c>
      <c r="O22" s="103">
        <f>'66 SYANA PRAROOP-20'!M23</f>
        <v>8</v>
      </c>
      <c r="P22" s="78">
        <f t="shared" si="1"/>
        <v>739</v>
      </c>
      <c r="Q22" s="103">
        <v>0</v>
      </c>
    </row>
    <row r="23" spans="2:17" ht="17.25">
      <c r="B23" s="78">
        <v>17</v>
      </c>
      <c r="C23" s="114" t="s">
        <v>217</v>
      </c>
      <c r="D23" s="35">
        <v>391</v>
      </c>
      <c r="E23" s="103">
        <f>'66 SYANA PRAROOP-20'!C24</f>
        <v>179</v>
      </c>
      <c r="F23" s="103">
        <f>'66 SYANA PRAROOP-20'!D24</f>
        <v>199</v>
      </c>
      <c r="G23" s="103">
        <f>'66 SYANA PRAROOP-20'!E24</f>
        <v>4</v>
      </c>
      <c r="H23" s="103">
        <f>'66 SYANA PRAROOP-20'!F24</f>
        <v>2</v>
      </c>
      <c r="I23" s="103">
        <f>'66 SYANA PRAROOP-20'!G24</f>
        <v>0</v>
      </c>
      <c r="J23" s="103">
        <f>'66 SYANA PRAROOP-20'!H24</f>
        <v>5</v>
      </c>
      <c r="K23" s="103">
        <f>'66 SYANA PRAROOP-20'!I24</f>
        <v>0</v>
      </c>
      <c r="L23" s="103">
        <f>'66 SYANA PRAROOP-20'!J24</f>
        <v>2</v>
      </c>
      <c r="M23" s="78">
        <f t="shared" si="0"/>
        <v>391</v>
      </c>
      <c r="N23" s="103">
        <v>0</v>
      </c>
      <c r="O23" s="103">
        <f>'66 SYANA PRAROOP-20'!M24</f>
        <v>0</v>
      </c>
      <c r="P23" s="78">
        <f t="shared" si="1"/>
        <v>391</v>
      </c>
      <c r="Q23" s="103">
        <v>0</v>
      </c>
    </row>
    <row r="24" spans="2:17" ht="17.25">
      <c r="B24" s="78">
        <v>18</v>
      </c>
      <c r="C24" s="114" t="s">
        <v>218</v>
      </c>
      <c r="D24" s="35">
        <v>324</v>
      </c>
      <c r="E24" s="103">
        <f>'66 SYANA PRAROOP-20'!C25</f>
        <v>133</v>
      </c>
      <c r="F24" s="103">
        <f>'66 SYANA PRAROOP-20'!D25</f>
        <v>157</v>
      </c>
      <c r="G24" s="103">
        <f>'66 SYANA PRAROOP-20'!E25</f>
        <v>2</v>
      </c>
      <c r="H24" s="103">
        <f>'66 SYANA PRAROOP-20'!F25</f>
        <v>30</v>
      </c>
      <c r="I24" s="103">
        <f>'66 SYANA PRAROOP-20'!G25</f>
        <v>0</v>
      </c>
      <c r="J24" s="103">
        <f>'66 SYANA PRAROOP-20'!H25</f>
        <v>0</v>
      </c>
      <c r="K24" s="103">
        <f>'66 SYANA PRAROOP-20'!I25</f>
        <v>1</v>
      </c>
      <c r="L24" s="103">
        <f>'66 SYANA PRAROOP-20'!J25</f>
        <v>0</v>
      </c>
      <c r="M24" s="78">
        <f t="shared" si="0"/>
        <v>323</v>
      </c>
      <c r="N24" s="103">
        <v>0</v>
      </c>
      <c r="O24" s="103">
        <f>'66 SYANA PRAROOP-20'!M25</f>
        <v>1</v>
      </c>
      <c r="P24" s="78">
        <f t="shared" si="1"/>
        <v>324</v>
      </c>
      <c r="Q24" s="103">
        <v>0</v>
      </c>
    </row>
    <row r="25" spans="2:17" ht="17.25">
      <c r="B25" s="78">
        <v>19</v>
      </c>
      <c r="C25" s="114" t="s">
        <v>219</v>
      </c>
      <c r="D25" s="35">
        <v>617</v>
      </c>
      <c r="E25" s="103">
        <f>'66 SYANA PRAROOP-20'!C26</f>
        <v>234</v>
      </c>
      <c r="F25" s="103">
        <f>'66 SYANA PRAROOP-20'!D26</f>
        <v>196</v>
      </c>
      <c r="G25" s="103">
        <f>'66 SYANA PRAROOP-20'!E26</f>
        <v>2</v>
      </c>
      <c r="H25" s="103">
        <f>'66 SYANA PRAROOP-20'!F26</f>
        <v>174</v>
      </c>
      <c r="I25" s="103">
        <f>'66 SYANA PRAROOP-20'!G26</f>
        <v>0</v>
      </c>
      <c r="J25" s="103">
        <f>'66 SYANA PRAROOP-20'!H26</f>
        <v>5</v>
      </c>
      <c r="K25" s="103">
        <f>'66 SYANA PRAROOP-20'!I26</f>
        <v>2</v>
      </c>
      <c r="L25" s="103">
        <f>'66 SYANA PRAROOP-20'!J26</f>
        <v>1</v>
      </c>
      <c r="M25" s="78">
        <f t="shared" si="0"/>
        <v>614</v>
      </c>
      <c r="N25" s="103">
        <v>0</v>
      </c>
      <c r="O25" s="103">
        <f>'66 SYANA PRAROOP-20'!M26</f>
        <v>3</v>
      </c>
      <c r="P25" s="78">
        <f t="shared" si="1"/>
        <v>617</v>
      </c>
      <c r="Q25" s="103">
        <v>0</v>
      </c>
    </row>
    <row r="26" spans="2:17" ht="17.25">
      <c r="B26" s="78">
        <v>20</v>
      </c>
      <c r="C26" s="114" t="s">
        <v>220</v>
      </c>
      <c r="D26" s="35">
        <v>574</v>
      </c>
      <c r="E26" s="103">
        <f>'66 SYANA PRAROOP-20'!C27</f>
        <v>113</v>
      </c>
      <c r="F26" s="103">
        <f>'66 SYANA PRAROOP-20'!D27</f>
        <v>167</v>
      </c>
      <c r="G26" s="103">
        <f>'66 SYANA PRAROOP-20'!E27</f>
        <v>0</v>
      </c>
      <c r="H26" s="103">
        <f>'66 SYANA PRAROOP-20'!F27</f>
        <v>281</v>
      </c>
      <c r="I26" s="103">
        <f>'66 SYANA PRAROOP-20'!G27</f>
        <v>3</v>
      </c>
      <c r="J26" s="103">
        <f>'66 SYANA PRAROOP-20'!H27</f>
        <v>5</v>
      </c>
      <c r="K26" s="103">
        <f>'66 SYANA PRAROOP-20'!I27</f>
        <v>1</v>
      </c>
      <c r="L26" s="103">
        <f>'66 SYANA PRAROOP-20'!J27</f>
        <v>4</v>
      </c>
      <c r="M26" s="78">
        <f t="shared" si="0"/>
        <v>574</v>
      </c>
      <c r="N26" s="103">
        <v>0</v>
      </c>
      <c r="O26" s="103">
        <f>'66 SYANA PRAROOP-20'!M27</f>
        <v>0</v>
      </c>
      <c r="P26" s="78">
        <f t="shared" si="1"/>
        <v>574</v>
      </c>
      <c r="Q26" s="103">
        <v>0</v>
      </c>
    </row>
    <row r="27" spans="2:17" ht="17.25">
      <c r="B27" s="78">
        <v>21</v>
      </c>
      <c r="C27" s="114" t="s">
        <v>221</v>
      </c>
      <c r="D27" s="35">
        <v>527</v>
      </c>
      <c r="E27" s="103">
        <f>'66 SYANA PRAROOP-20'!C28</f>
        <v>126</v>
      </c>
      <c r="F27" s="103">
        <f>'66 SYANA PRAROOP-20'!D28</f>
        <v>188</v>
      </c>
      <c r="G27" s="103">
        <f>'66 SYANA PRAROOP-20'!E28</f>
        <v>3</v>
      </c>
      <c r="H27" s="103">
        <f>'66 SYANA PRAROOP-20'!F28</f>
        <v>206</v>
      </c>
      <c r="I27" s="103">
        <f>'66 SYANA PRAROOP-20'!G28</f>
        <v>1</v>
      </c>
      <c r="J27" s="103">
        <f>'66 SYANA PRAROOP-20'!H28</f>
        <v>0</v>
      </c>
      <c r="K27" s="103">
        <f>'66 SYANA PRAROOP-20'!I28</f>
        <v>1</v>
      </c>
      <c r="L27" s="103">
        <f>'66 SYANA PRAROOP-20'!J28</f>
        <v>1</v>
      </c>
      <c r="M27" s="78">
        <f t="shared" si="0"/>
        <v>526</v>
      </c>
      <c r="N27" s="103">
        <v>0</v>
      </c>
      <c r="O27" s="103">
        <f>'66 SYANA PRAROOP-20'!M28</f>
        <v>1</v>
      </c>
      <c r="P27" s="78">
        <f t="shared" si="1"/>
        <v>527</v>
      </c>
      <c r="Q27" s="103">
        <v>0</v>
      </c>
    </row>
    <row r="28" spans="2:17" ht="17.25">
      <c r="B28" s="78">
        <v>22</v>
      </c>
      <c r="C28" s="114" t="s">
        <v>222</v>
      </c>
      <c r="D28" s="35">
        <v>620</v>
      </c>
      <c r="E28" s="103">
        <f>'66 SYANA PRAROOP-20'!C29</f>
        <v>63</v>
      </c>
      <c r="F28" s="103">
        <f>'66 SYANA PRAROOP-20'!D29</f>
        <v>321</v>
      </c>
      <c r="G28" s="103">
        <f>'66 SYANA PRAROOP-20'!E29</f>
        <v>6</v>
      </c>
      <c r="H28" s="103">
        <f>'66 SYANA PRAROOP-20'!F29</f>
        <v>215</v>
      </c>
      <c r="I28" s="103">
        <f>'66 SYANA PRAROOP-20'!G29</f>
        <v>2</v>
      </c>
      <c r="J28" s="103">
        <f>'66 SYANA PRAROOP-20'!H29</f>
        <v>5</v>
      </c>
      <c r="K28" s="103">
        <f>'66 SYANA PRAROOP-20'!I29</f>
        <v>4</v>
      </c>
      <c r="L28" s="103">
        <f>'66 SYANA PRAROOP-20'!J29</f>
        <v>1</v>
      </c>
      <c r="M28" s="78">
        <f t="shared" si="0"/>
        <v>617</v>
      </c>
      <c r="N28" s="103">
        <v>0</v>
      </c>
      <c r="O28" s="103">
        <f>'66 SYANA PRAROOP-20'!M29</f>
        <v>3</v>
      </c>
      <c r="P28" s="78">
        <f t="shared" si="1"/>
        <v>620</v>
      </c>
      <c r="Q28" s="103">
        <v>0</v>
      </c>
    </row>
    <row r="29" spans="2:17" ht="17.25">
      <c r="B29" s="78">
        <v>23</v>
      </c>
      <c r="C29" s="114" t="s">
        <v>223</v>
      </c>
      <c r="D29" s="35">
        <v>519</v>
      </c>
      <c r="E29" s="103">
        <f>'66 SYANA PRAROOP-20'!C30</f>
        <v>23</v>
      </c>
      <c r="F29" s="103">
        <f>'66 SYANA PRAROOP-20'!D30</f>
        <v>392</v>
      </c>
      <c r="G29" s="103">
        <f>'66 SYANA PRAROOP-20'!E30</f>
        <v>6</v>
      </c>
      <c r="H29" s="103">
        <f>'66 SYANA PRAROOP-20'!F30</f>
        <v>92</v>
      </c>
      <c r="I29" s="103">
        <f>'66 SYANA PRAROOP-20'!G30</f>
        <v>0</v>
      </c>
      <c r="J29" s="103">
        <f>'66 SYANA PRAROOP-20'!H30</f>
        <v>2</v>
      </c>
      <c r="K29" s="103">
        <f>'66 SYANA PRAROOP-20'!I30</f>
        <v>2</v>
      </c>
      <c r="L29" s="103">
        <f>'66 SYANA PRAROOP-20'!J30</f>
        <v>0</v>
      </c>
      <c r="M29" s="78">
        <f t="shared" si="0"/>
        <v>517</v>
      </c>
      <c r="N29" s="103">
        <v>0</v>
      </c>
      <c r="O29" s="103">
        <f>'66 SYANA PRAROOP-20'!M30</f>
        <v>2</v>
      </c>
      <c r="P29" s="78">
        <f t="shared" si="1"/>
        <v>519</v>
      </c>
      <c r="Q29" s="103">
        <v>0</v>
      </c>
    </row>
    <row r="30" spans="2:17" ht="17.25">
      <c r="B30" s="78">
        <v>24</v>
      </c>
      <c r="C30" s="114" t="s">
        <v>224</v>
      </c>
      <c r="D30" s="35">
        <v>455</v>
      </c>
      <c r="E30" s="103">
        <f>'66 SYANA PRAROOP-20'!C31</f>
        <v>26</v>
      </c>
      <c r="F30" s="103">
        <f>'66 SYANA PRAROOP-20'!D31</f>
        <v>398</v>
      </c>
      <c r="G30" s="103">
        <f>'66 SYANA PRAROOP-20'!E31</f>
        <v>6</v>
      </c>
      <c r="H30" s="103">
        <f>'66 SYANA PRAROOP-20'!F31</f>
        <v>9</v>
      </c>
      <c r="I30" s="103">
        <f>'66 SYANA PRAROOP-20'!G31</f>
        <v>2</v>
      </c>
      <c r="J30" s="103">
        <f>'66 SYANA PRAROOP-20'!H31</f>
        <v>4</v>
      </c>
      <c r="K30" s="103">
        <f>'66 SYANA PRAROOP-20'!I31</f>
        <v>8</v>
      </c>
      <c r="L30" s="103">
        <f>'66 SYANA PRAROOP-20'!J31</f>
        <v>1</v>
      </c>
      <c r="M30" s="78">
        <f t="shared" si="0"/>
        <v>454</v>
      </c>
      <c r="N30" s="103">
        <v>0</v>
      </c>
      <c r="O30" s="103">
        <f>'66 SYANA PRAROOP-20'!M31</f>
        <v>1</v>
      </c>
      <c r="P30" s="78">
        <f t="shared" si="1"/>
        <v>455</v>
      </c>
      <c r="Q30" s="103">
        <v>0</v>
      </c>
    </row>
    <row r="31" spans="2:17" ht="17.25">
      <c r="B31" s="78">
        <v>25</v>
      </c>
      <c r="C31" s="114" t="s">
        <v>225</v>
      </c>
      <c r="D31" s="35">
        <v>650</v>
      </c>
      <c r="E31" s="103">
        <f>'66 SYANA PRAROOP-20'!C32</f>
        <v>195</v>
      </c>
      <c r="F31" s="103">
        <f>'66 SYANA PRAROOP-20'!D32</f>
        <v>443</v>
      </c>
      <c r="G31" s="103">
        <f>'66 SYANA PRAROOP-20'!E32</f>
        <v>4</v>
      </c>
      <c r="H31" s="103">
        <f>'66 SYANA PRAROOP-20'!F32</f>
        <v>4</v>
      </c>
      <c r="I31" s="103">
        <f>'66 SYANA PRAROOP-20'!G32</f>
        <v>0</v>
      </c>
      <c r="J31" s="103">
        <f>'66 SYANA PRAROOP-20'!H32</f>
        <v>1</v>
      </c>
      <c r="K31" s="103">
        <f>'66 SYANA PRAROOP-20'!I32</f>
        <v>0</v>
      </c>
      <c r="L31" s="103">
        <f>'66 SYANA PRAROOP-20'!J32</f>
        <v>0</v>
      </c>
      <c r="M31" s="78">
        <f t="shared" si="0"/>
        <v>647</v>
      </c>
      <c r="N31" s="103">
        <v>0</v>
      </c>
      <c r="O31" s="103">
        <f>'66 SYANA PRAROOP-20'!M32</f>
        <v>3</v>
      </c>
      <c r="P31" s="78">
        <f t="shared" si="1"/>
        <v>650</v>
      </c>
      <c r="Q31" s="103">
        <v>0</v>
      </c>
    </row>
    <row r="32" spans="2:17" ht="17.25">
      <c r="B32" s="78">
        <v>26</v>
      </c>
      <c r="C32" s="114" t="s">
        <v>226</v>
      </c>
      <c r="D32" s="35">
        <v>696</v>
      </c>
      <c r="E32" s="103">
        <f>'66 SYANA PRAROOP-20'!C33</f>
        <v>313</v>
      </c>
      <c r="F32" s="103">
        <f>'66 SYANA PRAROOP-20'!D33</f>
        <v>367</v>
      </c>
      <c r="G32" s="103">
        <f>'66 SYANA PRAROOP-20'!E33</f>
        <v>1</v>
      </c>
      <c r="H32" s="103">
        <f>'66 SYANA PRAROOP-20'!F33</f>
        <v>7</v>
      </c>
      <c r="I32" s="103">
        <f>'66 SYANA PRAROOP-20'!G33</f>
        <v>1</v>
      </c>
      <c r="J32" s="103">
        <f>'66 SYANA PRAROOP-20'!H33</f>
        <v>0</v>
      </c>
      <c r="K32" s="103">
        <f>'66 SYANA PRAROOP-20'!I33</f>
        <v>3</v>
      </c>
      <c r="L32" s="103">
        <f>'66 SYANA PRAROOP-20'!J33</f>
        <v>1</v>
      </c>
      <c r="M32" s="78">
        <f t="shared" si="0"/>
        <v>693</v>
      </c>
      <c r="N32" s="103">
        <v>0</v>
      </c>
      <c r="O32" s="103">
        <f>'66 SYANA PRAROOP-20'!M33</f>
        <v>3</v>
      </c>
      <c r="P32" s="78">
        <f t="shared" si="1"/>
        <v>696</v>
      </c>
      <c r="Q32" s="103">
        <v>0</v>
      </c>
    </row>
    <row r="33" spans="2:17" ht="17.25">
      <c r="B33" s="78">
        <v>27</v>
      </c>
      <c r="C33" s="114" t="s">
        <v>227</v>
      </c>
      <c r="D33" s="35">
        <v>581</v>
      </c>
      <c r="E33" s="103">
        <f>'66 SYANA PRAROOP-20'!C34</f>
        <v>157</v>
      </c>
      <c r="F33" s="103">
        <f>'66 SYANA PRAROOP-20'!D34</f>
        <v>379</v>
      </c>
      <c r="G33" s="103">
        <f>'66 SYANA PRAROOP-20'!E34</f>
        <v>14</v>
      </c>
      <c r="H33" s="103">
        <f>'66 SYANA PRAROOP-20'!F34</f>
        <v>14</v>
      </c>
      <c r="I33" s="103">
        <f>'66 SYANA PRAROOP-20'!G34</f>
        <v>6</v>
      </c>
      <c r="J33" s="103">
        <f>'66 SYANA PRAROOP-20'!H34</f>
        <v>2</v>
      </c>
      <c r="K33" s="103">
        <f>'66 SYANA PRAROOP-20'!I34</f>
        <v>3</v>
      </c>
      <c r="L33" s="103">
        <f>'66 SYANA PRAROOP-20'!J34</f>
        <v>2</v>
      </c>
      <c r="M33" s="78">
        <f t="shared" si="0"/>
        <v>577</v>
      </c>
      <c r="N33" s="103">
        <v>0</v>
      </c>
      <c r="O33" s="103">
        <f>'66 SYANA PRAROOP-20'!M34</f>
        <v>4</v>
      </c>
      <c r="P33" s="78">
        <f t="shared" si="1"/>
        <v>581</v>
      </c>
      <c r="Q33" s="103">
        <v>0</v>
      </c>
    </row>
    <row r="34" spans="2:17" ht="17.25">
      <c r="B34" s="78">
        <v>28</v>
      </c>
      <c r="C34" s="114" t="s">
        <v>228</v>
      </c>
      <c r="D34" s="35">
        <v>683</v>
      </c>
      <c r="E34" s="103">
        <f>'66 SYANA PRAROOP-20'!C35</f>
        <v>78</v>
      </c>
      <c r="F34" s="103">
        <f>'66 SYANA PRAROOP-20'!D35</f>
        <v>199</v>
      </c>
      <c r="G34" s="103">
        <f>'66 SYANA PRAROOP-20'!E35</f>
        <v>7</v>
      </c>
      <c r="H34" s="103">
        <f>'66 SYANA PRAROOP-20'!F35</f>
        <v>371</v>
      </c>
      <c r="I34" s="103">
        <f>'66 SYANA PRAROOP-20'!G35</f>
        <v>10</v>
      </c>
      <c r="J34" s="103">
        <f>'66 SYANA PRAROOP-20'!H35</f>
        <v>9</v>
      </c>
      <c r="K34" s="103">
        <f>'66 SYANA PRAROOP-20'!I35</f>
        <v>5</v>
      </c>
      <c r="L34" s="103">
        <f>'66 SYANA PRAROOP-20'!J35</f>
        <v>1</v>
      </c>
      <c r="M34" s="78">
        <f t="shared" si="0"/>
        <v>680</v>
      </c>
      <c r="N34" s="103">
        <v>0</v>
      </c>
      <c r="O34" s="103">
        <f>'66 SYANA PRAROOP-20'!M35</f>
        <v>3</v>
      </c>
      <c r="P34" s="78">
        <f t="shared" si="1"/>
        <v>683</v>
      </c>
      <c r="Q34" s="103">
        <v>0</v>
      </c>
    </row>
    <row r="35" spans="2:17" ht="18.75">
      <c r="B35" s="78">
        <v>29</v>
      </c>
      <c r="C35" s="114" t="s">
        <v>229</v>
      </c>
      <c r="D35" s="33">
        <v>684</v>
      </c>
      <c r="E35" s="103">
        <f>'66 SYANA PRAROOP-20'!C36</f>
        <v>134</v>
      </c>
      <c r="F35" s="103">
        <f>'66 SYANA PRAROOP-20'!D36</f>
        <v>447</v>
      </c>
      <c r="G35" s="103">
        <f>'66 SYANA PRAROOP-20'!E36</f>
        <v>3</v>
      </c>
      <c r="H35" s="103">
        <f>'66 SYANA PRAROOP-20'!F36</f>
        <v>87</v>
      </c>
      <c r="I35" s="103">
        <f>'66 SYANA PRAROOP-20'!G36</f>
        <v>0</v>
      </c>
      <c r="J35" s="103">
        <f>'66 SYANA PRAROOP-20'!H36</f>
        <v>1</v>
      </c>
      <c r="K35" s="103">
        <f>'66 SYANA PRAROOP-20'!I36</f>
        <v>6</v>
      </c>
      <c r="L35" s="103">
        <f>'66 SYANA PRAROOP-20'!J36</f>
        <v>1</v>
      </c>
      <c r="M35" s="78">
        <f t="shared" si="0"/>
        <v>679</v>
      </c>
      <c r="N35" s="103">
        <v>0</v>
      </c>
      <c r="O35" s="103">
        <f>'66 SYANA PRAROOP-20'!M36</f>
        <v>5</v>
      </c>
      <c r="P35" s="78">
        <f t="shared" si="1"/>
        <v>684</v>
      </c>
      <c r="Q35" s="103">
        <v>0</v>
      </c>
    </row>
    <row r="36" spans="2:17" ht="18.75">
      <c r="B36" s="78">
        <v>30</v>
      </c>
      <c r="C36" s="114" t="s">
        <v>230</v>
      </c>
      <c r="D36" s="33">
        <v>406</v>
      </c>
      <c r="E36" s="103">
        <f>'66 SYANA PRAROOP-20'!C37</f>
        <v>43</v>
      </c>
      <c r="F36" s="103">
        <f>'66 SYANA PRAROOP-20'!D37</f>
        <v>327</v>
      </c>
      <c r="G36" s="103">
        <f>'66 SYANA PRAROOP-20'!E37</f>
        <v>1</v>
      </c>
      <c r="H36" s="103">
        <f>'66 SYANA PRAROOP-20'!F37</f>
        <v>31</v>
      </c>
      <c r="I36" s="103">
        <f>'66 SYANA PRAROOP-20'!G37</f>
        <v>0</v>
      </c>
      <c r="J36" s="103">
        <f>'66 SYANA PRAROOP-20'!H37</f>
        <v>1</v>
      </c>
      <c r="K36" s="103">
        <f>'66 SYANA PRAROOP-20'!I37</f>
        <v>3</v>
      </c>
      <c r="L36" s="103">
        <f>'66 SYANA PRAROOP-20'!J37</f>
        <v>0</v>
      </c>
      <c r="M36" s="78">
        <f t="shared" si="0"/>
        <v>406</v>
      </c>
      <c r="N36" s="103">
        <v>0</v>
      </c>
      <c r="O36" s="103">
        <f>'66 SYANA PRAROOP-20'!M37</f>
        <v>0</v>
      </c>
      <c r="P36" s="78">
        <f t="shared" si="1"/>
        <v>406</v>
      </c>
      <c r="Q36" s="103">
        <v>0</v>
      </c>
    </row>
    <row r="37" spans="2:17" ht="18.75">
      <c r="B37" s="78">
        <v>31</v>
      </c>
      <c r="C37" s="114" t="s">
        <v>231</v>
      </c>
      <c r="D37" s="33">
        <v>442</v>
      </c>
      <c r="E37" s="103">
        <f>'66 SYANA PRAROOP-20'!C38</f>
        <v>66</v>
      </c>
      <c r="F37" s="103">
        <f>'66 SYANA PRAROOP-20'!D38</f>
        <v>369</v>
      </c>
      <c r="G37" s="103">
        <f>'66 SYANA PRAROOP-20'!E38</f>
        <v>4</v>
      </c>
      <c r="H37" s="103">
        <f>'66 SYANA PRAROOP-20'!F38</f>
        <v>2</v>
      </c>
      <c r="I37" s="103">
        <f>'66 SYANA PRAROOP-20'!G38</f>
        <v>1</v>
      </c>
      <c r="J37" s="103">
        <f>'66 SYANA PRAROOP-20'!H38</f>
        <v>0</v>
      </c>
      <c r="K37" s="103">
        <f>'66 SYANA PRAROOP-20'!I38</f>
        <v>0</v>
      </c>
      <c r="L37" s="103">
        <f>'66 SYANA PRAROOP-20'!J38</f>
        <v>0</v>
      </c>
      <c r="M37" s="78">
        <f t="shared" si="0"/>
        <v>442</v>
      </c>
      <c r="N37" s="103">
        <v>0</v>
      </c>
      <c r="O37" s="103">
        <f>'66 SYANA PRAROOP-20'!M38</f>
        <v>0</v>
      </c>
      <c r="P37" s="78">
        <f t="shared" si="1"/>
        <v>442</v>
      </c>
      <c r="Q37" s="103">
        <v>0</v>
      </c>
    </row>
    <row r="38" spans="2:17" ht="18.75">
      <c r="B38" s="78">
        <v>32</v>
      </c>
      <c r="C38" s="114" t="s">
        <v>232</v>
      </c>
      <c r="D38" s="33">
        <v>550</v>
      </c>
      <c r="E38" s="103">
        <f>'66 SYANA PRAROOP-20'!C39</f>
        <v>348</v>
      </c>
      <c r="F38" s="103">
        <f>'66 SYANA PRAROOP-20'!D39</f>
        <v>188</v>
      </c>
      <c r="G38" s="103">
        <f>'66 SYANA PRAROOP-20'!E39</f>
        <v>2</v>
      </c>
      <c r="H38" s="103">
        <f>'66 SYANA PRAROOP-20'!F39</f>
        <v>12</v>
      </c>
      <c r="I38" s="103">
        <f>'66 SYANA PRAROOP-20'!G39</f>
        <v>0</v>
      </c>
      <c r="J38" s="103">
        <f>'66 SYANA PRAROOP-20'!H39</f>
        <v>0</v>
      </c>
      <c r="K38" s="103">
        <f>'66 SYANA PRAROOP-20'!I39</f>
        <v>0</v>
      </c>
      <c r="L38" s="103">
        <f>'66 SYANA PRAROOP-20'!J39</f>
        <v>0</v>
      </c>
      <c r="M38" s="78">
        <f t="shared" si="0"/>
        <v>550</v>
      </c>
      <c r="N38" s="103">
        <v>0</v>
      </c>
      <c r="O38" s="103">
        <f>'66 SYANA PRAROOP-20'!M39</f>
        <v>0</v>
      </c>
      <c r="P38" s="78">
        <f t="shared" si="1"/>
        <v>550</v>
      </c>
      <c r="Q38" s="103">
        <v>0</v>
      </c>
    </row>
    <row r="39" spans="2:17" ht="18.75">
      <c r="B39" s="78">
        <v>33</v>
      </c>
      <c r="C39" s="114" t="s">
        <v>233</v>
      </c>
      <c r="D39" s="33">
        <v>400</v>
      </c>
      <c r="E39" s="103">
        <f>'66 SYANA PRAROOP-20'!C40</f>
        <v>226</v>
      </c>
      <c r="F39" s="103">
        <f>'66 SYANA PRAROOP-20'!D40</f>
        <v>171</v>
      </c>
      <c r="G39" s="103">
        <f>'66 SYANA PRAROOP-20'!E40</f>
        <v>0</v>
      </c>
      <c r="H39" s="103">
        <f>'66 SYANA PRAROOP-20'!F40</f>
        <v>0</v>
      </c>
      <c r="I39" s="103">
        <f>'66 SYANA PRAROOP-20'!G40</f>
        <v>1</v>
      </c>
      <c r="J39" s="103">
        <f>'66 SYANA PRAROOP-20'!H40</f>
        <v>1</v>
      </c>
      <c r="K39" s="103">
        <f>'66 SYANA PRAROOP-20'!I40</f>
        <v>0</v>
      </c>
      <c r="L39" s="103">
        <f>'66 SYANA PRAROOP-20'!J40</f>
        <v>1</v>
      </c>
      <c r="M39" s="78">
        <f t="shared" si="0"/>
        <v>400</v>
      </c>
      <c r="N39" s="103">
        <v>0</v>
      </c>
      <c r="O39" s="103">
        <f>'66 SYANA PRAROOP-20'!M40</f>
        <v>0</v>
      </c>
      <c r="P39" s="78">
        <f t="shared" si="1"/>
        <v>400</v>
      </c>
      <c r="Q39" s="103">
        <v>0</v>
      </c>
    </row>
    <row r="40" spans="2:17" ht="18.75">
      <c r="B40" s="78">
        <v>34</v>
      </c>
      <c r="C40" s="114" t="s">
        <v>234</v>
      </c>
      <c r="D40" s="33">
        <v>405</v>
      </c>
      <c r="E40" s="103">
        <f>'66 SYANA PRAROOP-20'!C41</f>
        <v>119</v>
      </c>
      <c r="F40" s="103">
        <f>'66 SYANA PRAROOP-20'!D41</f>
        <v>237</v>
      </c>
      <c r="G40" s="103">
        <f>'66 SYANA PRAROOP-20'!E41</f>
        <v>3</v>
      </c>
      <c r="H40" s="103">
        <f>'66 SYANA PRAROOP-20'!F41</f>
        <v>44</v>
      </c>
      <c r="I40" s="103">
        <f>'66 SYANA PRAROOP-20'!G41</f>
        <v>0</v>
      </c>
      <c r="J40" s="103">
        <f>'66 SYANA PRAROOP-20'!H41</f>
        <v>0</v>
      </c>
      <c r="K40" s="103">
        <f>'66 SYANA PRAROOP-20'!I41</f>
        <v>0</v>
      </c>
      <c r="L40" s="103">
        <f>'66 SYANA PRAROOP-20'!J41</f>
        <v>1</v>
      </c>
      <c r="M40" s="78">
        <f t="shared" si="0"/>
        <v>404</v>
      </c>
      <c r="N40" s="103">
        <v>0</v>
      </c>
      <c r="O40" s="103">
        <f>'66 SYANA PRAROOP-20'!M41</f>
        <v>1</v>
      </c>
      <c r="P40" s="78">
        <f t="shared" si="1"/>
        <v>405</v>
      </c>
      <c r="Q40" s="103">
        <v>0</v>
      </c>
    </row>
    <row r="41" spans="2:17" ht="18.75">
      <c r="B41" s="78">
        <v>35</v>
      </c>
      <c r="C41" s="114" t="s">
        <v>235</v>
      </c>
      <c r="D41" s="33">
        <v>557</v>
      </c>
      <c r="E41" s="103">
        <f>'66 SYANA PRAROOP-20'!C42</f>
        <v>222</v>
      </c>
      <c r="F41" s="103">
        <f>'66 SYANA PRAROOP-20'!D42</f>
        <v>309</v>
      </c>
      <c r="G41" s="103">
        <f>'66 SYANA PRAROOP-20'!E42</f>
        <v>1</v>
      </c>
      <c r="H41" s="103">
        <f>'66 SYANA PRAROOP-20'!F42</f>
        <v>15</v>
      </c>
      <c r="I41" s="103">
        <f>'66 SYANA PRAROOP-20'!G42</f>
        <v>1</v>
      </c>
      <c r="J41" s="103">
        <f>'66 SYANA PRAROOP-20'!H42</f>
        <v>2</v>
      </c>
      <c r="K41" s="103">
        <f>'66 SYANA PRAROOP-20'!I42</f>
        <v>2</v>
      </c>
      <c r="L41" s="103">
        <f>'66 SYANA PRAROOP-20'!J42</f>
        <v>1</v>
      </c>
      <c r="M41" s="78">
        <f t="shared" si="0"/>
        <v>553</v>
      </c>
      <c r="N41" s="103">
        <v>0</v>
      </c>
      <c r="O41" s="103">
        <f>'66 SYANA PRAROOP-20'!M42</f>
        <v>4</v>
      </c>
      <c r="P41" s="78">
        <f t="shared" si="1"/>
        <v>557</v>
      </c>
      <c r="Q41" s="103">
        <v>0</v>
      </c>
    </row>
    <row r="42" spans="2:17" ht="18.75">
      <c r="B42" s="78">
        <v>36</v>
      </c>
      <c r="C42" s="114" t="s">
        <v>236</v>
      </c>
      <c r="D42" s="33">
        <v>589</v>
      </c>
      <c r="E42" s="103">
        <f>'66 SYANA PRAROOP-20'!C43</f>
        <v>270</v>
      </c>
      <c r="F42" s="103">
        <f>'66 SYANA PRAROOP-20'!D43</f>
        <v>85</v>
      </c>
      <c r="G42" s="103">
        <f>'66 SYANA PRAROOP-20'!E43</f>
        <v>1</v>
      </c>
      <c r="H42" s="103">
        <f>'66 SYANA PRAROOP-20'!F43</f>
        <v>224</v>
      </c>
      <c r="I42" s="103">
        <f>'66 SYANA PRAROOP-20'!G43</f>
        <v>2</v>
      </c>
      <c r="J42" s="103">
        <f>'66 SYANA PRAROOP-20'!H43</f>
        <v>0</v>
      </c>
      <c r="K42" s="103">
        <f>'66 SYANA PRAROOP-20'!I43</f>
        <v>2</v>
      </c>
      <c r="L42" s="103">
        <f>'66 SYANA PRAROOP-20'!J43</f>
        <v>2</v>
      </c>
      <c r="M42" s="78">
        <f t="shared" si="0"/>
        <v>586</v>
      </c>
      <c r="N42" s="103">
        <v>0</v>
      </c>
      <c r="O42" s="103">
        <f>'66 SYANA PRAROOP-20'!M43</f>
        <v>3</v>
      </c>
      <c r="P42" s="78">
        <f t="shared" si="1"/>
        <v>589</v>
      </c>
      <c r="Q42" s="103">
        <v>0</v>
      </c>
    </row>
    <row r="43" spans="2:17" ht="18.75">
      <c r="B43" s="78">
        <v>37</v>
      </c>
      <c r="C43" s="114" t="s">
        <v>237</v>
      </c>
      <c r="D43" s="33">
        <v>693</v>
      </c>
      <c r="E43" s="103">
        <f>'66 SYANA PRAROOP-20'!C44</f>
        <v>290</v>
      </c>
      <c r="F43" s="103">
        <f>'66 SYANA PRAROOP-20'!D44</f>
        <v>374</v>
      </c>
      <c r="G43" s="103">
        <f>'66 SYANA PRAROOP-20'!E44</f>
        <v>8</v>
      </c>
      <c r="H43" s="103">
        <f>'66 SYANA PRAROOP-20'!F44</f>
        <v>10</v>
      </c>
      <c r="I43" s="103">
        <f>'66 SYANA PRAROOP-20'!G44</f>
        <v>1</v>
      </c>
      <c r="J43" s="103">
        <f>'66 SYANA PRAROOP-20'!H44</f>
        <v>3</v>
      </c>
      <c r="K43" s="103">
        <f>'66 SYANA PRAROOP-20'!I44</f>
        <v>3</v>
      </c>
      <c r="L43" s="103">
        <f>'66 SYANA PRAROOP-20'!J44</f>
        <v>2</v>
      </c>
      <c r="M43" s="78">
        <f t="shared" si="0"/>
        <v>691</v>
      </c>
      <c r="N43" s="103">
        <v>0</v>
      </c>
      <c r="O43" s="103">
        <f>'66 SYANA PRAROOP-20'!M44</f>
        <v>2</v>
      </c>
      <c r="P43" s="78">
        <f t="shared" si="1"/>
        <v>693</v>
      </c>
      <c r="Q43" s="103">
        <v>0</v>
      </c>
    </row>
    <row r="44" spans="2:17" ht="18.75">
      <c r="B44" s="78">
        <v>38</v>
      </c>
      <c r="C44" s="114" t="s">
        <v>238</v>
      </c>
      <c r="D44" s="33">
        <v>810</v>
      </c>
      <c r="E44" s="103">
        <f>'66 SYANA PRAROOP-20'!C45</f>
        <v>206</v>
      </c>
      <c r="F44" s="103">
        <f>'66 SYANA PRAROOP-20'!D45</f>
        <v>196</v>
      </c>
      <c r="G44" s="103">
        <f>'66 SYANA PRAROOP-20'!E45</f>
        <v>5</v>
      </c>
      <c r="H44" s="103">
        <f>'66 SYANA PRAROOP-20'!F45</f>
        <v>393</v>
      </c>
      <c r="I44" s="103">
        <f>'66 SYANA PRAROOP-20'!G45</f>
        <v>1</v>
      </c>
      <c r="J44" s="103">
        <f>'66 SYANA PRAROOP-20'!H45</f>
        <v>1</v>
      </c>
      <c r="K44" s="103">
        <f>'66 SYANA PRAROOP-20'!I45</f>
        <v>3</v>
      </c>
      <c r="L44" s="103">
        <f>'66 SYANA PRAROOP-20'!J45</f>
        <v>2</v>
      </c>
      <c r="M44" s="78">
        <f t="shared" si="0"/>
        <v>807</v>
      </c>
      <c r="N44" s="103">
        <v>0</v>
      </c>
      <c r="O44" s="103">
        <f>'66 SYANA PRAROOP-20'!M45</f>
        <v>3</v>
      </c>
      <c r="P44" s="78">
        <f t="shared" si="1"/>
        <v>810</v>
      </c>
      <c r="Q44" s="103">
        <v>0</v>
      </c>
    </row>
    <row r="45" spans="2:17" ht="18.75">
      <c r="B45" s="78">
        <v>39</v>
      </c>
      <c r="C45" s="116" t="s">
        <v>611</v>
      </c>
      <c r="D45" s="33">
        <v>682</v>
      </c>
      <c r="E45" s="103">
        <f>'66 SYANA PRAROOP-20'!C46</f>
        <v>169</v>
      </c>
      <c r="F45" s="103">
        <f>'66 SYANA PRAROOP-20'!D46</f>
        <v>208</v>
      </c>
      <c r="G45" s="103">
        <f>'66 SYANA PRAROOP-20'!E46</f>
        <v>8</v>
      </c>
      <c r="H45" s="103">
        <f>'66 SYANA PRAROOP-20'!F46</f>
        <v>285</v>
      </c>
      <c r="I45" s="103">
        <f>'66 SYANA PRAROOP-20'!G46</f>
        <v>4</v>
      </c>
      <c r="J45" s="103">
        <f>'66 SYANA PRAROOP-20'!H46</f>
        <v>3</v>
      </c>
      <c r="K45" s="103">
        <f>'66 SYANA PRAROOP-20'!I46</f>
        <v>3</v>
      </c>
      <c r="L45" s="103">
        <f>'66 SYANA PRAROOP-20'!J46</f>
        <v>0</v>
      </c>
      <c r="M45" s="78">
        <f t="shared" si="0"/>
        <v>680</v>
      </c>
      <c r="N45" s="103">
        <v>0</v>
      </c>
      <c r="O45" s="103">
        <f>'66 SYANA PRAROOP-20'!M46</f>
        <v>2</v>
      </c>
      <c r="P45" s="78">
        <f t="shared" si="1"/>
        <v>682</v>
      </c>
      <c r="Q45" s="103">
        <v>0</v>
      </c>
    </row>
    <row r="46" spans="2:17" ht="18.75">
      <c r="B46" s="78">
        <v>40</v>
      </c>
      <c r="C46" s="114" t="s">
        <v>239</v>
      </c>
      <c r="D46" s="33">
        <v>642</v>
      </c>
      <c r="E46" s="103">
        <f>'66 SYANA PRAROOP-20'!C47</f>
        <v>341</v>
      </c>
      <c r="F46" s="103">
        <f>'66 SYANA PRAROOP-20'!D47</f>
        <v>273</v>
      </c>
      <c r="G46" s="103">
        <f>'66 SYANA PRAROOP-20'!E47</f>
        <v>8</v>
      </c>
      <c r="H46" s="103">
        <f>'66 SYANA PRAROOP-20'!F47</f>
        <v>11</v>
      </c>
      <c r="I46" s="103">
        <f>'66 SYANA PRAROOP-20'!G47</f>
        <v>1</v>
      </c>
      <c r="J46" s="103">
        <f>'66 SYANA PRAROOP-20'!H47</f>
        <v>1</v>
      </c>
      <c r="K46" s="103">
        <f>'66 SYANA PRAROOP-20'!I47</f>
        <v>4</v>
      </c>
      <c r="L46" s="103">
        <f>'66 SYANA PRAROOP-20'!J47</f>
        <v>2</v>
      </c>
      <c r="M46" s="78">
        <f t="shared" si="0"/>
        <v>641</v>
      </c>
      <c r="N46" s="103">
        <v>0</v>
      </c>
      <c r="O46" s="103">
        <f>'66 SYANA PRAROOP-20'!M47</f>
        <v>1</v>
      </c>
      <c r="P46" s="78">
        <f t="shared" si="1"/>
        <v>642</v>
      </c>
      <c r="Q46" s="103">
        <v>0</v>
      </c>
    </row>
    <row r="47" spans="2:17" ht="18.75">
      <c r="B47" s="78">
        <v>41</v>
      </c>
      <c r="C47" s="114" t="s">
        <v>240</v>
      </c>
      <c r="D47" s="33">
        <v>625</v>
      </c>
      <c r="E47" s="103">
        <f>'66 SYANA PRAROOP-20'!C48</f>
        <v>152</v>
      </c>
      <c r="F47" s="103">
        <f>'66 SYANA PRAROOP-20'!D48</f>
        <v>314</v>
      </c>
      <c r="G47" s="103">
        <f>'66 SYANA PRAROOP-20'!E48</f>
        <v>2</v>
      </c>
      <c r="H47" s="103">
        <f>'66 SYANA PRAROOP-20'!F48</f>
        <v>141</v>
      </c>
      <c r="I47" s="103">
        <f>'66 SYANA PRAROOP-20'!G48</f>
        <v>4</v>
      </c>
      <c r="J47" s="103">
        <f>'66 SYANA PRAROOP-20'!H48</f>
        <v>3</v>
      </c>
      <c r="K47" s="103">
        <f>'66 SYANA PRAROOP-20'!I48</f>
        <v>6</v>
      </c>
      <c r="L47" s="103">
        <f>'66 SYANA PRAROOP-20'!J48</f>
        <v>1</v>
      </c>
      <c r="M47" s="78">
        <f t="shared" si="0"/>
        <v>623</v>
      </c>
      <c r="N47" s="103">
        <v>0</v>
      </c>
      <c r="O47" s="103">
        <f>'66 SYANA PRAROOP-20'!M48</f>
        <v>2</v>
      </c>
      <c r="P47" s="78">
        <f t="shared" si="1"/>
        <v>625</v>
      </c>
      <c r="Q47" s="103">
        <v>0</v>
      </c>
    </row>
    <row r="48" spans="2:17" ht="18.75">
      <c r="B48" s="78">
        <v>42</v>
      </c>
      <c r="C48" s="114" t="s">
        <v>241</v>
      </c>
      <c r="D48" s="33">
        <v>665</v>
      </c>
      <c r="E48" s="103">
        <f>'66 SYANA PRAROOP-20'!C49</f>
        <v>171</v>
      </c>
      <c r="F48" s="103">
        <f>'66 SYANA PRAROOP-20'!D49</f>
        <v>456</v>
      </c>
      <c r="G48" s="103">
        <f>'66 SYANA PRAROOP-20'!E49</f>
        <v>5</v>
      </c>
      <c r="H48" s="103">
        <f>'66 SYANA PRAROOP-20'!F49</f>
        <v>15</v>
      </c>
      <c r="I48" s="103">
        <f>'66 SYANA PRAROOP-20'!G49</f>
        <v>3</v>
      </c>
      <c r="J48" s="103">
        <f>'66 SYANA PRAROOP-20'!H49</f>
        <v>2</v>
      </c>
      <c r="K48" s="103">
        <f>'66 SYANA PRAROOP-20'!I49</f>
        <v>3</v>
      </c>
      <c r="L48" s="103">
        <f>'66 SYANA PRAROOP-20'!J49</f>
        <v>3</v>
      </c>
      <c r="M48" s="78">
        <f t="shared" si="0"/>
        <v>658</v>
      </c>
      <c r="N48" s="103">
        <v>0</v>
      </c>
      <c r="O48" s="103">
        <f>'66 SYANA PRAROOP-20'!M49</f>
        <v>7</v>
      </c>
      <c r="P48" s="78">
        <f t="shared" si="1"/>
        <v>665</v>
      </c>
      <c r="Q48" s="103">
        <v>0</v>
      </c>
    </row>
    <row r="49" spans="2:17" ht="18.75">
      <c r="B49" s="78">
        <v>43</v>
      </c>
      <c r="C49" s="114" t="s">
        <v>242</v>
      </c>
      <c r="D49" s="33">
        <v>642</v>
      </c>
      <c r="E49" s="103">
        <f>'66 SYANA PRAROOP-20'!C50</f>
        <v>130</v>
      </c>
      <c r="F49" s="103">
        <f>'66 SYANA PRAROOP-20'!D50</f>
        <v>379</v>
      </c>
      <c r="G49" s="103">
        <f>'66 SYANA PRAROOP-20'!E50</f>
        <v>11</v>
      </c>
      <c r="H49" s="103">
        <f>'66 SYANA PRAROOP-20'!F50</f>
        <v>106</v>
      </c>
      <c r="I49" s="103">
        <f>'66 SYANA PRAROOP-20'!G50</f>
        <v>2</v>
      </c>
      <c r="J49" s="103">
        <f>'66 SYANA PRAROOP-20'!H50</f>
        <v>1</v>
      </c>
      <c r="K49" s="103">
        <f>'66 SYANA PRAROOP-20'!I50</f>
        <v>5</v>
      </c>
      <c r="L49" s="103">
        <f>'66 SYANA PRAROOP-20'!J50</f>
        <v>3</v>
      </c>
      <c r="M49" s="78">
        <f t="shared" si="0"/>
        <v>637</v>
      </c>
      <c r="N49" s="103">
        <v>0</v>
      </c>
      <c r="O49" s="103">
        <f>'66 SYANA PRAROOP-20'!M50</f>
        <v>5</v>
      </c>
      <c r="P49" s="78">
        <f t="shared" si="1"/>
        <v>642</v>
      </c>
      <c r="Q49" s="103">
        <v>0</v>
      </c>
    </row>
    <row r="50" spans="2:17" ht="18.75">
      <c r="B50" s="78">
        <v>44</v>
      </c>
      <c r="C50" s="114" t="s">
        <v>243</v>
      </c>
      <c r="D50" s="33">
        <v>577</v>
      </c>
      <c r="E50" s="103">
        <f>'66 SYANA PRAROOP-20'!C51</f>
        <v>85</v>
      </c>
      <c r="F50" s="103">
        <f>'66 SYANA PRAROOP-20'!D51</f>
        <v>455</v>
      </c>
      <c r="G50" s="103">
        <f>'66 SYANA PRAROOP-20'!E51</f>
        <v>5</v>
      </c>
      <c r="H50" s="103">
        <f>'66 SYANA PRAROOP-20'!F51</f>
        <v>8</v>
      </c>
      <c r="I50" s="103">
        <f>'66 SYANA PRAROOP-20'!G51</f>
        <v>1</v>
      </c>
      <c r="J50" s="103">
        <f>'66 SYANA PRAROOP-20'!H51</f>
        <v>3</v>
      </c>
      <c r="K50" s="103">
        <f>'66 SYANA PRAROOP-20'!I51</f>
        <v>1</v>
      </c>
      <c r="L50" s="103">
        <f>'66 SYANA PRAROOP-20'!J51</f>
        <v>1</v>
      </c>
      <c r="M50" s="78">
        <f t="shared" si="0"/>
        <v>559</v>
      </c>
      <c r="N50" s="103">
        <v>0</v>
      </c>
      <c r="O50" s="103">
        <f>'66 SYANA PRAROOP-20'!M51</f>
        <v>18</v>
      </c>
      <c r="P50" s="78">
        <f t="shared" si="1"/>
        <v>577</v>
      </c>
      <c r="Q50" s="103">
        <v>0</v>
      </c>
    </row>
    <row r="51" spans="2:17" ht="18.75">
      <c r="B51" s="78">
        <v>45</v>
      </c>
      <c r="C51" s="114" t="s">
        <v>244</v>
      </c>
      <c r="D51" s="33">
        <v>529</v>
      </c>
      <c r="E51" s="103">
        <f>'66 SYANA PRAROOP-20'!C52</f>
        <v>249</v>
      </c>
      <c r="F51" s="103">
        <f>'66 SYANA PRAROOP-20'!D52</f>
        <v>227</v>
      </c>
      <c r="G51" s="103">
        <f>'66 SYANA PRAROOP-20'!E52</f>
        <v>3</v>
      </c>
      <c r="H51" s="103">
        <f>'66 SYANA PRAROOP-20'!F52</f>
        <v>44</v>
      </c>
      <c r="I51" s="103">
        <f>'66 SYANA PRAROOP-20'!G52</f>
        <v>2</v>
      </c>
      <c r="J51" s="103">
        <f>'66 SYANA PRAROOP-20'!H52</f>
        <v>0</v>
      </c>
      <c r="K51" s="103">
        <f>'66 SYANA PRAROOP-20'!I52</f>
        <v>0</v>
      </c>
      <c r="L51" s="103">
        <f>'66 SYANA PRAROOP-20'!J52</f>
        <v>2</v>
      </c>
      <c r="M51" s="78">
        <f t="shared" si="0"/>
        <v>527</v>
      </c>
      <c r="N51" s="103">
        <v>0</v>
      </c>
      <c r="O51" s="103">
        <f>'66 SYANA PRAROOP-20'!M52</f>
        <v>2</v>
      </c>
      <c r="P51" s="78">
        <f t="shared" si="1"/>
        <v>529</v>
      </c>
      <c r="Q51" s="103">
        <v>0</v>
      </c>
    </row>
    <row r="52" spans="2:17" ht="18.75">
      <c r="B52" s="78">
        <v>46</v>
      </c>
      <c r="C52" s="116" t="s">
        <v>613</v>
      </c>
      <c r="D52" s="33">
        <v>538</v>
      </c>
      <c r="E52" s="103">
        <f>'66 SYANA PRAROOP-20'!C53</f>
        <v>182</v>
      </c>
      <c r="F52" s="103">
        <f>'66 SYANA PRAROOP-20'!D53</f>
        <v>181</v>
      </c>
      <c r="G52" s="103">
        <f>'66 SYANA PRAROOP-20'!E53</f>
        <v>3</v>
      </c>
      <c r="H52" s="103">
        <f>'66 SYANA PRAROOP-20'!F53</f>
        <v>161</v>
      </c>
      <c r="I52" s="103">
        <f>'66 SYANA PRAROOP-20'!G53</f>
        <v>0</v>
      </c>
      <c r="J52" s="103">
        <f>'66 SYANA PRAROOP-20'!H53</f>
        <v>0</v>
      </c>
      <c r="K52" s="103">
        <f>'66 SYANA PRAROOP-20'!I53</f>
        <v>4</v>
      </c>
      <c r="L52" s="103">
        <f>'66 SYANA PRAROOP-20'!J53</f>
        <v>3</v>
      </c>
      <c r="M52" s="78">
        <f t="shared" si="0"/>
        <v>534</v>
      </c>
      <c r="N52" s="103">
        <v>0</v>
      </c>
      <c r="O52" s="103">
        <f>'66 SYANA PRAROOP-20'!M53</f>
        <v>4</v>
      </c>
      <c r="P52" s="78">
        <f t="shared" si="1"/>
        <v>538</v>
      </c>
      <c r="Q52" s="103">
        <v>0</v>
      </c>
    </row>
    <row r="53" spans="2:17" ht="18.75">
      <c r="B53" s="78">
        <v>47</v>
      </c>
      <c r="C53" s="116" t="s">
        <v>614</v>
      </c>
      <c r="D53" s="33">
        <v>455</v>
      </c>
      <c r="E53" s="103">
        <f>'66 SYANA PRAROOP-20'!C54</f>
        <v>68</v>
      </c>
      <c r="F53" s="103">
        <f>'66 SYANA PRAROOP-20'!D54</f>
        <v>296</v>
      </c>
      <c r="G53" s="103">
        <f>'66 SYANA PRAROOP-20'!E54</f>
        <v>5</v>
      </c>
      <c r="H53" s="103">
        <f>'66 SYANA PRAROOP-20'!F54</f>
        <v>79</v>
      </c>
      <c r="I53" s="103">
        <f>'66 SYANA PRAROOP-20'!G54</f>
        <v>0</v>
      </c>
      <c r="J53" s="103">
        <f>'66 SYANA PRAROOP-20'!H54</f>
        <v>2</v>
      </c>
      <c r="K53" s="103">
        <f>'66 SYANA PRAROOP-20'!I54</f>
        <v>0</v>
      </c>
      <c r="L53" s="103">
        <f>'66 SYANA PRAROOP-20'!J54</f>
        <v>1</v>
      </c>
      <c r="M53" s="78">
        <f t="shared" si="0"/>
        <v>451</v>
      </c>
      <c r="N53" s="103">
        <v>0</v>
      </c>
      <c r="O53" s="103">
        <f>'66 SYANA PRAROOP-20'!M54</f>
        <v>4</v>
      </c>
      <c r="P53" s="78">
        <f t="shared" si="1"/>
        <v>455</v>
      </c>
      <c r="Q53" s="103">
        <v>0</v>
      </c>
    </row>
    <row r="54" spans="2:17" ht="18.75">
      <c r="B54" s="78">
        <v>48</v>
      </c>
      <c r="C54" s="114" t="s">
        <v>245</v>
      </c>
      <c r="D54" s="33">
        <v>463</v>
      </c>
      <c r="E54" s="103">
        <f>'66 SYANA PRAROOP-20'!C55</f>
        <v>58</v>
      </c>
      <c r="F54" s="103">
        <f>'66 SYANA PRAROOP-20'!D55</f>
        <v>362</v>
      </c>
      <c r="G54" s="103">
        <f>'66 SYANA PRAROOP-20'!E55</f>
        <v>9</v>
      </c>
      <c r="H54" s="103">
        <f>'66 SYANA PRAROOP-20'!F55</f>
        <v>30</v>
      </c>
      <c r="I54" s="103">
        <f>'66 SYANA PRAROOP-20'!G55</f>
        <v>0</v>
      </c>
      <c r="J54" s="103">
        <f>'66 SYANA PRAROOP-20'!H55</f>
        <v>0</v>
      </c>
      <c r="K54" s="103">
        <f>'66 SYANA PRAROOP-20'!I55</f>
        <v>1</v>
      </c>
      <c r="L54" s="103">
        <f>'66 SYANA PRAROOP-20'!J55</f>
        <v>2</v>
      </c>
      <c r="M54" s="78">
        <f t="shared" si="0"/>
        <v>462</v>
      </c>
      <c r="N54" s="103">
        <v>0</v>
      </c>
      <c r="O54" s="103">
        <f>'66 SYANA PRAROOP-20'!M55</f>
        <v>1</v>
      </c>
      <c r="P54" s="78">
        <f t="shared" si="1"/>
        <v>463</v>
      </c>
      <c r="Q54" s="103">
        <v>0</v>
      </c>
    </row>
    <row r="55" spans="2:17" ht="18.75">
      <c r="B55" s="78">
        <v>49</v>
      </c>
      <c r="C55" s="114" t="s">
        <v>246</v>
      </c>
      <c r="D55" s="33">
        <v>598</v>
      </c>
      <c r="E55" s="103">
        <f>'66 SYANA PRAROOP-20'!C56</f>
        <v>108</v>
      </c>
      <c r="F55" s="103">
        <f>'66 SYANA PRAROOP-20'!D56</f>
        <v>471</v>
      </c>
      <c r="G55" s="103">
        <f>'66 SYANA PRAROOP-20'!E56</f>
        <v>5</v>
      </c>
      <c r="H55" s="103">
        <f>'66 SYANA PRAROOP-20'!F56</f>
        <v>5</v>
      </c>
      <c r="I55" s="103">
        <f>'66 SYANA PRAROOP-20'!G56</f>
        <v>0</v>
      </c>
      <c r="J55" s="103">
        <f>'66 SYANA PRAROOP-20'!H56</f>
        <v>1</v>
      </c>
      <c r="K55" s="103">
        <f>'66 SYANA PRAROOP-20'!I56</f>
        <v>1</v>
      </c>
      <c r="L55" s="103">
        <f>'66 SYANA PRAROOP-20'!J56</f>
        <v>2</v>
      </c>
      <c r="M55" s="78">
        <f t="shared" si="0"/>
        <v>593</v>
      </c>
      <c r="N55" s="103">
        <v>0</v>
      </c>
      <c r="O55" s="103">
        <f>'66 SYANA PRAROOP-20'!M56</f>
        <v>5</v>
      </c>
      <c r="P55" s="78">
        <f t="shared" si="1"/>
        <v>598</v>
      </c>
      <c r="Q55" s="103">
        <v>0</v>
      </c>
    </row>
    <row r="56" spans="2:17" ht="18.75">
      <c r="B56" s="78">
        <v>50</v>
      </c>
      <c r="C56" s="114" t="s">
        <v>247</v>
      </c>
      <c r="D56" s="33">
        <v>484</v>
      </c>
      <c r="E56" s="103">
        <f>'66 SYANA PRAROOP-20'!C57</f>
        <v>233</v>
      </c>
      <c r="F56" s="103">
        <f>'66 SYANA PRAROOP-20'!D57</f>
        <v>198</v>
      </c>
      <c r="G56" s="103">
        <f>'66 SYANA PRAROOP-20'!E57</f>
        <v>3</v>
      </c>
      <c r="H56" s="103">
        <f>'66 SYANA PRAROOP-20'!F57</f>
        <v>47</v>
      </c>
      <c r="I56" s="103">
        <f>'66 SYANA PRAROOP-20'!G57</f>
        <v>1</v>
      </c>
      <c r="J56" s="103">
        <f>'66 SYANA PRAROOP-20'!H57</f>
        <v>0</v>
      </c>
      <c r="K56" s="103">
        <f>'66 SYANA PRAROOP-20'!I57</f>
        <v>1</v>
      </c>
      <c r="L56" s="103">
        <f>'66 SYANA PRAROOP-20'!J57</f>
        <v>0</v>
      </c>
      <c r="M56" s="78">
        <f t="shared" si="0"/>
        <v>483</v>
      </c>
      <c r="N56" s="103">
        <v>0</v>
      </c>
      <c r="O56" s="103">
        <f>'66 SYANA PRAROOP-20'!M57</f>
        <v>1</v>
      </c>
      <c r="P56" s="78">
        <f t="shared" si="1"/>
        <v>484</v>
      </c>
      <c r="Q56" s="103">
        <v>0</v>
      </c>
    </row>
    <row r="57" spans="2:17" ht="18.75">
      <c r="B57" s="78">
        <v>51</v>
      </c>
      <c r="C57" s="114" t="s">
        <v>248</v>
      </c>
      <c r="D57" s="33">
        <v>500</v>
      </c>
      <c r="E57" s="103">
        <f>'66 SYANA PRAROOP-20'!C58</f>
        <v>257</v>
      </c>
      <c r="F57" s="103">
        <f>'66 SYANA PRAROOP-20'!D58</f>
        <v>229</v>
      </c>
      <c r="G57" s="103">
        <f>'66 SYANA PRAROOP-20'!E58</f>
        <v>1</v>
      </c>
      <c r="H57" s="103">
        <f>'66 SYANA PRAROOP-20'!F58</f>
        <v>6</v>
      </c>
      <c r="I57" s="103">
        <f>'66 SYANA PRAROOP-20'!G58</f>
        <v>0</v>
      </c>
      <c r="J57" s="103">
        <f>'66 SYANA PRAROOP-20'!H58</f>
        <v>2</v>
      </c>
      <c r="K57" s="103">
        <f>'66 SYANA PRAROOP-20'!I58</f>
        <v>1</v>
      </c>
      <c r="L57" s="103">
        <f>'66 SYANA PRAROOP-20'!J58</f>
        <v>2</v>
      </c>
      <c r="M57" s="78">
        <f t="shared" si="0"/>
        <v>498</v>
      </c>
      <c r="N57" s="103">
        <v>0</v>
      </c>
      <c r="O57" s="103">
        <f>'66 SYANA PRAROOP-20'!M58</f>
        <v>2</v>
      </c>
      <c r="P57" s="78">
        <f t="shared" si="1"/>
        <v>500</v>
      </c>
      <c r="Q57" s="103">
        <v>0</v>
      </c>
    </row>
    <row r="58" spans="2:17" ht="18.75">
      <c r="B58" s="78">
        <v>52</v>
      </c>
      <c r="C58" s="114" t="s">
        <v>249</v>
      </c>
      <c r="D58" s="33">
        <v>744</v>
      </c>
      <c r="E58" s="103">
        <f>'66 SYANA PRAROOP-20'!C59</f>
        <v>136</v>
      </c>
      <c r="F58" s="103">
        <f>'66 SYANA PRAROOP-20'!D59</f>
        <v>583</v>
      </c>
      <c r="G58" s="103">
        <f>'66 SYANA PRAROOP-20'!E59</f>
        <v>7</v>
      </c>
      <c r="H58" s="103">
        <f>'66 SYANA PRAROOP-20'!F59</f>
        <v>9</v>
      </c>
      <c r="I58" s="103">
        <f>'66 SYANA PRAROOP-20'!G59</f>
        <v>1</v>
      </c>
      <c r="J58" s="103">
        <f>'66 SYANA PRAROOP-20'!H59</f>
        <v>2</v>
      </c>
      <c r="K58" s="103">
        <f>'66 SYANA PRAROOP-20'!I59</f>
        <v>4</v>
      </c>
      <c r="L58" s="103">
        <f>'66 SYANA PRAROOP-20'!J59</f>
        <v>2</v>
      </c>
      <c r="M58" s="78">
        <f t="shared" si="0"/>
        <v>744</v>
      </c>
      <c r="N58" s="103">
        <v>0</v>
      </c>
      <c r="O58" s="103">
        <f>'66 SYANA PRAROOP-20'!M59</f>
        <v>0</v>
      </c>
      <c r="P58" s="78">
        <f t="shared" si="1"/>
        <v>744</v>
      </c>
      <c r="Q58" s="103">
        <v>0</v>
      </c>
    </row>
    <row r="59" spans="2:17" ht="18.75">
      <c r="B59" s="78">
        <v>53</v>
      </c>
      <c r="C59" s="114" t="s">
        <v>250</v>
      </c>
      <c r="D59" s="33">
        <v>740</v>
      </c>
      <c r="E59" s="103">
        <f>'66 SYANA PRAROOP-20'!C60</f>
        <v>17</v>
      </c>
      <c r="F59" s="103">
        <f>'66 SYANA PRAROOP-20'!D60</f>
        <v>45</v>
      </c>
      <c r="G59" s="103">
        <f>'66 SYANA PRAROOP-20'!E60</f>
        <v>2</v>
      </c>
      <c r="H59" s="103">
        <f>'66 SYANA PRAROOP-20'!F60</f>
        <v>660</v>
      </c>
      <c r="I59" s="103">
        <f>'66 SYANA PRAROOP-20'!G60</f>
        <v>3</v>
      </c>
      <c r="J59" s="103">
        <f>'66 SYANA PRAROOP-20'!H60</f>
        <v>4</v>
      </c>
      <c r="K59" s="103">
        <f>'66 SYANA PRAROOP-20'!I60</f>
        <v>4</v>
      </c>
      <c r="L59" s="103">
        <f>'66 SYANA PRAROOP-20'!J60</f>
        <v>4</v>
      </c>
      <c r="M59" s="78">
        <f t="shared" si="0"/>
        <v>739</v>
      </c>
      <c r="N59" s="103">
        <v>0</v>
      </c>
      <c r="O59" s="103">
        <f>'66 SYANA PRAROOP-20'!M60</f>
        <v>1</v>
      </c>
      <c r="P59" s="78">
        <f t="shared" si="1"/>
        <v>740</v>
      </c>
      <c r="Q59" s="103">
        <v>0</v>
      </c>
    </row>
    <row r="60" spans="2:17" ht="18.75">
      <c r="B60" s="78">
        <v>54</v>
      </c>
      <c r="C60" s="114" t="s">
        <v>251</v>
      </c>
      <c r="D60" s="33">
        <v>635</v>
      </c>
      <c r="E60" s="103">
        <f>'66 SYANA PRAROOP-20'!C61</f>
        <v>87</v>
      </c>
      <c r="F60" s="103">
        <f>'66 SYANA PRAROOP-20'!D61</f>
        <v>527</v>
      </c>
      <c r="G60" s="103">
        <f>'66 SYANA PRAROOP-20'!E61</f>
        <v>10</v>
      </c>
      <c r="H60" s="103">
        <f>'66 SYANA PRAROOP-20'!F61</f>
        <v>7</v>
      </c>
      <c r="I60" s="103">
        <f>'66 SYANA PRAROOP-20'!G61</f>
        <v>1</v>
      </c>
      <c r="J60" s="103">
        <f>'66 SYANA PRAROOP-20'!H61</f>
        <v>1</v>
      </c>
      <c r="K60" s="103">
        <f>'66 SYANA PRAROOP-20'!I61</f>
        <v>0</v>
      </c>
      <c r="L60" s="103">
        <f>'66 SYANA PRAROOP-20'!J61</f>
        <v>1</v>
      </c>
      <c r="M60" s="78">
        <f t="shared" si="0"/>
        <v>634</v>
      </c>
      <c r="N60" s="103">
        <v>0</v>
      </c>
      <c r="O60" s="103">
        <f>'66 SYANA PRAROOP-20'!M61</f>
        <v>1</v>
      </c>
      <c r="P60" s="78">
        <f t="shared" si="1"/>
        <v>635</v>
      </c>
      <c r="Q60" s="103">
        <v>0</v>
      </c>
    </row>
    <row r="61" spans="2:17" ht="18.75">
      <c r="B61" s="78">
        <v>55</v>
      </c>
      <c r="C61" s="114" t="s">
        <v>252</v>
      </c>
      <c r="D61" s="33">
        <v>762</v>
      </c>
      <c r="E61" s="103">
        <f>'66 SYANA PRAROOP-20'!C62</f>
        <v>222</v>
      </c>
      <c r="F61" s="103">
        <f>'66 SYANA PRAROOP-20'!D62</f>
        <v>502</v>
      </c>
      <c r="G61" s="103">
        <f>'66 SYANA PRAROOP-20'!E62</f>
        <v>14</v>
      </c>
      <c r="H61" s="103">
        <f>'66 SYANA PRAROOP-20'!F62</f>
        <v>6</v>
      </c>
      <c r="I61" s="103">
        <f>'66 SYANA PRAROOP-20'!G62</f>
        <v>1</v>
      </c>
      <c r="J61" s="103">
        <f>'66 SYANA PRAROOP-20'!H62</f>
        <v>1</v>
      </c>
      <c r="K61" s="103">
        <f>'66 SYANA PRAROOP-20'!I62</f>
        <v>4</v>
      </c>
      <c r="L61" s="103">
        <f>'66 SYANA PRAROOP-20'!J62</f>
        <v>5</v>
      </c>
      <c r="M61" s="78">
        <f t="shared" si="0"/>
        <v>755</v>
      </c>
      <c r="N61" s="103">
        <v>0</v>
      </c>
      <c r="O61" s="103">
        <f>'66 SYANA PRAROOP-20'!M62</f>
        <v>7</v>
      </c>
      <c r="P61" s="78">
        <f t="shared" si="1"/>
        <v>762</v>
      </c>
      <c r="Q61" s="103">
        <v>0</v>
      </c>
    </row>
    <row r="62" spans="2:17" ht="18.75">
      <c r="B62" s="78">
        <v>56</v>
      </c>
      <c r="C62" s="114" t="s">
        <v>253</v>
      </c>
      <c r="D62" s="33">
        <v>408</v>
      </c>
      <c r="E62" s="103">
        <f>'66 SYANA PRAROOP-20'!C63</f>
        <v>217</v>
      </c>
      <c r="F62" s="103">
        <f>'66 SYANA PRAROOP-20'!D63</f>
        <v>182</v>
      </c>
      <c r="G62" s="103">
        <f>'66 SYANA PRAROOP-20'!E63</f>
        <v>3</v>
      </c>
      <c r="H62" s="103">
        <f>'66 SYANA PRAROOP-20'!F63</f>
        <v>2</v>
      </c>
      <c r="I62" s="103">
        <f>'66 SYANA PRAROOP-20'!G63</f>
        <v>1</v>
      </c>
      <c r="J62" s="103">
        <f>'66 SYANA PRAROOP-20'!H63</f>
        <v>0</v>
      </c>
      <c r="K62" s="103">
        <f>'66 SYANA PRAROOP-20'!I63</f>
        <v>0</v>
      </c>
      <c r="L62" s="103">
        <f>'66 SYANA PRAROOP-20'!J63</f>
        <v>0</v>
      </c>
      <c r="M62" s="78">
        <f t="shared" si="0"/>
        <v>405</v>
      </c>
      <c r="N62" s="103">
        <v>0</v>
      </c>
      <c r="O62" s="103">
        <f>'66 SYANA PRAROOP-20'!M63</f>
        <v>3</v>
      </c>
      <c r="P62" s="78">
        <f t="shared" si="1"/>
        <v>408</v>
      </c>
      <c r="Q62" s="103">
        <v>0</v>
      </c>
    </row>
    <row r="63" spans="2:17" ht="18.75">
      <c r="B63" s="78">
        <v>57</v>
      </c>
      <c r="C63" s="114" t="s">
        <v>254</v>
      </c>
      <c r="D63" s="33">
        <v>614</v>
      </c>
      <c r="E63" s="103">
        <f>'66 SYANA PRAROOP-20'!C64</f>
        <v>172</v>
      </c>
      <c r="F63" s="103">
        <f>'66 SYANA PRAROOP-20'!D64</f>
        <v>409</v>
      </c>
      <c r="G63" s="103">
        <f>'66 SYANA PRAROOP-20'!E64</f>
        <v>7</v>
      </c>
      <c r="H63" s="103">
        <f>'66 SYANA PRAROOP-20'!F64</f>
        <v>10</v>
      </c>
      <c r="I63" s="103">
        <f>'66 SYANA PRAROOP-20'!G64</f>
        <v>0</v>
      </c>
      <c r="J63" s="103">
        <f>'66 SYANA PRAROOP-20'!H64</f>
        <v>3</v>
      </c>
      <c r="K63" s="103">
        <f>'66 SYANA PRAROOP-20'!I64</f>
        <v>6</v>
      </c>
      <c r="L63" s="103">
        <f>'66 SYANA PRAROOP-20'!J64</f>
        <v>4</v>
      </c>
      <c r="M63" s="78">
        <f t="shared" si="0"/>
        <v>611</v>
      </c>
      <c r="N63" s="103">
        <v>0</v>
      </c>
      <c r="O63" s="103">
        <f>'66 SYANA PRAROOP-20'!M64</f>
        <v>3</v>
      </c>
      <c r="P63" s="78">
        <f t="shared" si="1"/>
        <v>614</v>
      </c>
      <c r="Q63" s="103">
        <v>0</v>
      </c>
    </row>
    <row r="64" spans="2:17" ht="18.75">
      <c r="B64" s="78">
        <v>58</v>
      </c>
      <c r="C64" s="114" t="s">
        <v>255</v>
      </c>
      <c r="D64" s="33">
        <v>613</v>
      </c>
      <c r="E64" s="103">
        <f>'66 SYANA PRAROOP-20'!C65</f>
        <v>89</v>
      </c>
      <c r="F64" s="103">
        <f>'66 SYANA PRAROOP-20'!D65</f>
        <v>501</v>
      </c>
      <c r="G64" s="103">
        <f>'66 SYANA PRAROOP-20'!E65</f>
        <v>6</v>
      </c>
      <c r="H64" s="103">
        <f>'66 SYANA PRAROOP-20'!F65</f>
        <v>10</v>
      </c>
      <c r="I64" s="103">
        <f>'66 SYANA PRAROOP-20'!G65</f>
        <v>0</v>
      </c>
      <c r="J64" s="103">
        <f>'66 SYANA PRAROOP-20'!H65</f>
        <v>4</v>
      </c>
      <c r="K64" s="103">
        <f>'66 SYANA PRAROOP-20'!I65</f>
        <v>2</v>
      </c>
      <c r="L64" s="103">
        <f>'66 SYANA PRAROOP-20'!J65</f>
        <v>1</v>
      </c>
      <c r="M64" s="78">
        <f t="shared" si="0"/>
        <v>613</v>
      </c>
      <c r="N64" s="103">
        <v>0</v>
      </c>
      <c r="O64" s="103">
        <f>'66 SYANA PRAROOP-20'!M65</f>
        <v>0</v>
      </c>
      <c r="P64" s="78">
        <f t="shared" si="1"/>
        <v>613</v>
      </c>
      <c r="Q64" s="103">
        <v>0</v>
      </c>
    </row>
    <row r="65" spans="2:17" ht="18.75">
      <c r="B65" s="78">
        <v>59</v>
      </c>
      <c r="C65" s="114" t="s">
        <v>256</v>
      </c>
      <c r="D65" s="33">
        <v>694</v>
      </c>
      <c r="E65" s="103">
        <f>'66 SYANA PRAROOP-20'!C66</f>
        <v>253</v>
      </c>
      <c r="F65" s="103">
        <f>'66 SYANA PRAROOP-20'!D66</f>
        <v>425</v>
      </c>
      <c r="G65" s="103">
        <f>'66 SYANA PRAROOP-20'!E66</f>
        <v>4</v>
      </c>
      <c r="H65" s="103">
        <f>'66 SYANA PRAROOP-20'!F66</f>
        <v>2</v>
      </c>
      <c r="I65" s="103">
        <f>'66 SYANA PRAROOP-20'!G66</f>
        <v>1</v>
      </c>
      <c r="J65" s="103">
        <f>'66 SYANA PRAROOP-20'!H66</f>
        <v>3</v>
      </c>
      <c r="K65" s="103">
        <f>'66 SYANA PRAROOP-20'!I66</f>
        <v>3</v>
      </c>
      <c r="L65" s="103">
        <f>'66 SYANA PRAROOP-20'!J66</f>
        <v>1</v>
      </c>
      <c r="M65" s="78">
        <f t="shared" si="0"/>
        <v>692</v>
      </c>
      <c r="N65" s="103">
        <v>0</v>
      </c>
      <c r="O65" s="103">
        <f>'66 SYANA PRAROOP-20'!M66</f>
        <v>2</v>
      </c>
      <c r="P65" s="78">
        <f t="shared" si="1"/>
        <v>694</v>
      </c>
      <c r="Q65" s="103">
        <v>0</v>
      </c>
    </row>
    <row r="66" spans="2:17" ht="18.75">
      <c r="B66" s="78">
        <v>60</v>
      </c>
      <c r="C66" s="114" t="s">
        <v>257</v>
      </c>
      <c r="D66" s="33">
        <v>445</v>
      </c>
      <c r="E66" s="103">
        <f>'66 SYANA PRAROOP-20'!C67</f>
        <v>114</v>
      </c>
      <c r="F66" s="103">
        <f>'66 SYANA PRAROOP-20'!D67</f>
        <v>172</v>
      </c>
      <c r="G66" s="103">
        <f>'66 SYANA PRAROOP-20'!E67</f>
        <v>2</v>
      </c>
      <c r="H66" s="103">
        <f>'66 SYANA PRAROOP-20'!F67</f>
        <v>152</v>
      </c>
      <c r="I66" s="103">
        <f>'66 SYANA PRAROOP-20'!G67</f>
        <v>2</v>
      </c>
      <c r="J66" s="103">
        <f>'66 SYANA PRAROOP-20'!H67</f>
        <v>1</v>
      </c>
      <c r="K66" s="103">
        <f>'66 SYANA PRAROOP-20'!I67</f>
        <v>0</v>
      </c>
      <c r="L66" s="103">
        <f>'66 SYANA PRAROOP-20'!J67</f>
        <v>0</v>
      </c>
      <c r="M66" s="78">
        <f t="shared" si="0"/>
        <v>443</v>
      </c>
      <c r="N66" s="103">
        <v>0</v>
      </c>
      <c r="O66" s="103">
        <f>'66 SYANA PRAROOP-20'!M67</f>
        <v>2</v>
      </c>
      <c r="P66" s="78">
        <f t="shared" si="1"/>
        <v>445</v>
      </c>
      <c r="Q66" s="103">
        <v>0</v>
      </c>
    </row>
    <row r="67" spans="2:17" ht="18.75">
      <c r="B67" s="78">
        <v>61</v>
      </c>
      <c r="C67" s="114" t="s">
        <v>258</v>
      </c>
      <c r="D67" s="33">
        <v>535</v>
      </c>
      <c r="E67" s="103">
        <f>'66 SYANA PRAROOP-20'!C68</f>
        <v>116</v>
      </c>
      <c r="F67" s="103">
        <f>'66 SYANA PRAROOP-20'!D68</f>
        <v>134</v>
      </c>
      <c r="G67" s="103">
        <f>'66 SYANA PRAROOP-20'!E68</f>
        <v>7</v>
      </c>
      <c r="H67" s="103">
        <f>'66 SYANA PRAROOP-20'!F68</f>
        <v>261</v>
      </c>
      <c r="I67" s="103">
        <f>'66 SYANA PRAROOP-20'!G68</f>
        <v>5</v>
      </c>
      <c r="J67" s="103">
        <f>'66 SYANA PRAROOP-20'!H68</f>
        <v>5</v>
      </c>
      <c r="K67" s="103">
        <f>'66 SYANA PRAROOP-20'!I68</f>
        <v>0</v>
      </c>
      <c r="L67" s="103">
        <f>'66 SYANA PRAROOP-20'!J68</f>
        <v>1</v>
      </c>
      <c r="M67" s="78">
        <f t="shared" si="0"/>
        <v>529</v>
      </c>
      <c r="N67" s="103">
        <v>0</v>
      </c>
      <c r="O67" s="103">
        <f>'66 SYANA PRAROOP-20'!M68</f>
        <v>6</v>
      </c>
      <c r="P67" s="78">
        <f t="shared" si="1"/>
        <v>535</v>
      </c>
      <c r="Q67" s="103">
        <v>0</v>
      </c>
    </row>
    <row r="68" spans="2:17" ht="18.75">
      <c r="B68" s="78">
        <v>62</v>
      </c>
      <c r="C68" s="114" t="s">
        <v>259</v>
      </c>
      <c r="D68" s="33">
        <v>622</v>
      </c>
      <c r="E68" s="103">
        <f>'66 SYANA PRAROOP-20'!C69</f>
        <v>183</v>
      </c>
      <c r="F68" s="103">
        <f>'66 SYANA PRAROOP-20'!D69</f>
        <v>227</v>
      </c>
      <c r="G68" s="103">
        <f>'66 SYANA PRAROOP-20'!E69</f>
        <v>3</v>
      </c>
      <c r="H68" s="103">
        <f>'66 SYANA PRAROOP-20'!F69</f>
        <v>201</v>
      </c>
      <c r="I68" s="103">
        <f>'66 SYANA PRAROOP-20'!G69</f>
        <v>2</v>
      </c>
      <c r="J68" s="103">
        <f>'66 SYANA PRAROOP-20'!H69</f>
        <v>2</v>
      </c>
      <c r="K68" s="103">
        <f>'66 SYANA PRAROOP-20'!I69</f>
        <v>0</v>
      </c>
      <c r="L68" s="103">
        <f>'66 SYANA PRAROOP-20'!J69</f>
        <v>2</v>
      </c>
      <c r="M68" s="78">
        <f t="shared" si="0"/>
        <v>620</v>
      </c>
      <c r="N68" s="103">
        <v>0</v>
      </c>
      <c r="O68" s="103">
        <f>'66 SYANA PRAROOP-20'!M69</f>
        <v>2</v>
      </c>
      <c r="P68" s="78">
        <f t="shared" si="1"/>
        <v>622</v>
      </c>
      <c r="Q68" s="103">
        <v>0</v>
      </c>
    </row>
    <row r="69" spans="2:17" ht="18.75">
      <c r="B69" s="78">
        <v>63</v>
      </c>
      <c r="C69" s="114" t="s">
        <v>260</v>
      </c>
      <c r="D69" s="33">
        <v>465</v>
      </c>
      <c r="E69" s="103">
        <f>'66 SYANA PRAROOP-20'!C70</f>
        <v>119</v>
      </c>
      <c r="F69" s="103">
        <f>'66 SYANA PRAROOP-20'!D70</f>
        <v>279</v>
      </c>
      <c r="G69" s="103">
        <f>'66 SYANA PRAROOP-20'!E70</f>
        <v>5</v>
      </c>
      <c r="H69" s="103">
        <f>'66 SYANA PRAROOP-20'!F70</f>
        <v>45</v>
      </c>
      <c r="I69" s="103">
        <f>'66 SYANA PRAROOP-20'!G70</f>
        <v>2</v>
      </c>
      <c r="J69" s="103">
        <f>'66 SYANA PRAROOP-20'!H70</f>
        <v>6</v>
      </c>
      <c r="K69" s="103">
        <f>'66 SYANA PRAROOP-20'!I70</f>
        <v>2</v>
      </c>
      <c r="L69" s="103">
        <f>'66 SYANA PRAROOP-20'!J70</f>
        <v>4</v>
      </c>
      <c r="M69" s="78">
        <f t="shared" si="0"/>
        <v>462</v>
      </c>
      <c r="N69" s="103">
        <v>0</v>
      </c>
      <c r="O69" s="103">
        <f>'66 SYANA PRAROOP-20'!M70</f>
        <v>3</v>
      </c>
      <c r="P69" s="78">
        <f t="shared" si="1"/>
        <v>465</v>
      </c>
      <c r="Q69" s="103">
        <v>0</v>
      </c>
    </row>
    <row r="70" spans="2:17" ht="18.75">
      <c r="B70" s="78">
        <v>64</v>
      </c>
      <c r="C70" s="114" t="s">
        <v>261</v>
      </c>
      <c r="D70" s="33">
        <v>575</v>
      </c>
      <c r="E70" s="103">
        <f>'66 SYANA PRAROOP-20'!C71</f>
        <v>87</v>
      </c>
      <c r="F70" s="103">
        <f>'66 SYANA PRAROOP-20'!D71</f>
        <v>284</v>
      </c>
      <c r="G70" s="103">
        <f>'66 SYANA PRAROOP-20'!E71</f>
        <v>3</v>
      </c>
      <c r="H70" s="103">
        <f>'66 SYANA PRAROOP-20'!F71</f>
        <v>189</v>
      </c>
      <c r="I70" s="103">
        <f>'66 SYANA PRAROOP-20'!G71</f>
        <v>2</v>
      </c>
      <c r="J70" s="103">
        <f>'66 SYANA PRAROOP-20'!H71</f>
        <v>3</v>
      </c>
      <c r="K70" s="103">
        <f>'66 SYANA PRAROOP-20'!I71</f>
        <v>2</v>
      </c>
      <c r="L70" s="103">
        <f>'66 SYANA PRAROOP-20'!J71</f>
        <v>1</v>
      </c>
      <c r="M70" s="78">
        <f t="shared" si="0"/>
        <v>571</v>
      </c>
      <c r="N70" s="103">
        <v>0</v>
      </c>
      <c r="O70" s="103">
        <f>'66 SYANA PRAROOP-20'!M71</f>
        <v>4</v>
      </c>
      <c r="P70" s="78">
        <f t="shared" si="1"/>
        <v>575</v>
      </c>
      <c r="Q70" s="103">
        <v>0</v>
      </c>
    </row>
    <row r="71" spans="2:17" ht="18.75">
      <c r="B71" s="78">
        <v>65</v>
      </c>
      <c r="C71" s="116" t="s">
        <v>615</v>
      </c>
      <c r="D71" s="33">
        <v>654</v>
      </c>
      <c r="E71" s="103">
        <f>'66 SYANA PRAROOP-20'!C72</f>
        <v>209</v>
      </c>
      <c r="F71" s="103">
        <f>'66 SYANA PRAROOP-20'!D72</f>
        <v>418</v>
      </c>
      <c r="G71" s="103">
        <f>'66 SYANA PRAROOP-20'!E72</f>
        <v>8</v>
      </c>
      <c r="H71" s="103">
        <f>'66 SYANA PRAROOP-20'!F72</f>
        <v>14</v>
      </c>
      <c r="I71" s="103">
        <f>'66 SYANA PRAROOP-20'!G72</f>
        <v>0</v>
      </c>
      <c r="J71" s="103">
        <f>'66 SYANA PRAROOP-20'!H72</f>
        <v>0</v>
      </c>
      <c r="K71" s="103">
        <f>'66 SYANA PRAROOP-20'!I72</f>
        <v>1</v>
      </c>
      <c r="L71" s="103">
        <f>'66 SYANA PRAROOP-20'!J72</f>
        <v>0</v>
      </c>
      <c r="M71" s="78">
        <f t="shared" ref="M71:M134" si="2">SUM(E71:L71)</f>
        <v>650</v>
      </c>
      <c r="N71" s="103">
        <v>0</v>
      </c>
      <c r="O71" s="103">
        <f>'66 SYANA PRAROOP-20'!M72</f>
        <v>4</v>
      </c>
      <c r="P71" s="78">
        <f t="shared" si="1"/>
        <v>654</v>
      </c>
      <c r="Q71" s="103">
        <v>0</v>
      </c>
    </row>
    <row r="72" spans="2:17" ht="18.75">
      <c r="B72" s="78">
        <v>66</v>
      </c>
      <c r="C72" s="114" t="s">
        <v>262</v>
      </c>
      <c r="D72" s="33">
        <v>526</v>
      </c>
      <c r="E72" s="103">
        <f>'66 SYANA PRAROOP-20'!C73</f>
        <v>144</v>
      </c>
      <c r="F72" s="103">
        <f>'66 SYANA PRAROOP-20'!D73</f>
        <v>221</v>
      </c>
      <c r="G72" s="103">
        <f>'66 SYANA PRAROOP-20'!E73</f>
        <v>12</v>
      </c>
      <c r="H72" s="103">
        <f>'66 SYANA PRAROOP-20'!F73</f>
        <v>138</v>
      </c>
      <c r="I72" s="103">
        <f>'66 SYANA PRAROOP-20'!G73</f>
        <v>1</v>
      </c>
      <c r="J72" s="103">
        <f>'66 SYANA PRAROOP-20'!H73</f>
        <v>4</v>
      </c>
      <c r="K72" s="103">
        <f>'66 SYANA PRAROOP-20'!I73</f>
        <v>3</v>
      </c>
      <c r="L72" s="103">
        <f>'66 SYANA PRAROOP-20'!J73</f>
        <v>2</v>
      </c>
      <c r="M72" s="78">
        <f t="shared" si="2"/>
        <v>525</v>
      </c>
      <c r="N72" s="103">
        <v>0</v>
      </c>
      <c r="O72" s="103">
        <f>'66 SYANA PRAROOP-20'!M73</f>
        <v>1</v>
      </c>
      <c r="P72" s="78">
        <f t="shared" ref="P72:P135" si="3">M72+O72-N72</f>
        <v>526</v>
      </c>
      <c r="Q72" s="103">
        <v>0</v>
      </c>
    </row>
    <row r="73" spans="2:17" ht="18.75">
      <c r="B73" s="78">
        <v>67</v>
      </c>
      <c r="C73" s="114" t="s">
        <v>263</v>
      </c>
      <c r="D73" s="33">
        <v>509</v>
      </c>
      <c r="E73" s="103">
        <f>'66 SYANA PRAROOP-20'!C74</f>
        <v>22</v>
      </c>
      <c r="F73" s="103">
        <f>'66 SYANA PRAROOP-20'!D74</f>
        <v>73</v>
      </c>
      <c r="G73" s="103">
        <f>'66 SYANA PRAROOP-20'!E74</f>
        <v>2</v>
      </c>
      <c r="H73" s="103">
        <f>'66 SYANA PRAROOP-20'!F74</f>
        <v>399</v>
      </c>
      <c r="I73" s="103">
        <f>'66 SYANA PRAROOP-20'!G74</f>
        <v>5</v>
      </c>
      <c r="J73" s="103">
        <f>'66 SYANA PRAROOP-20'!H74</f>
        <v>6</v>
      </c>
      <c r="K73" s="103">
        <f>'66 SYANA PRAROOP-20'!I74</f>
        <v>1</v>
      </c>
      <c r="L73" s="103">
        <f>'66 SYANA PRAROOP-20'!J74</f>
        <v>1</v>
      </c>
      <c r="M73" s="78">
        <f t="shared" si="2"/>
        <v>509</v>
      </c>
      <c r="N73" s="103">
        <v>0</v>
      </c>
      <c r="O73" s="103">
        <f>'66 SYANA PRAROOP-20'!M74</f>
        <v>0</v>
      </c>
      <c r="P73" s="78">
        <f t="shared" si="3"/>
        <v>509</v>
      </c>
      <c r="Q73" s="103">
        <v>0</v>
      </c>
    </row>
    <row r="74" spans="2:17" ht="18.75">
      <c r="B74" s="78">
        <v>68</v>
      </c>
      <c r="C74" s="116" t="s">
        <v>616</v>
      </c>
      <c r="D74" s="33">
        <v>501</v>
      </c>
      <c r="E74" s="103">
        <f>'66 SYANA PRAROOP-20'!C75</f>
        <v>75</v>
      </c>
      <c r="F74" s="103">
        <f>'66 SYANA PRAROOP-20'!D75</f>
        <v>206</v>
      </c>
      <c r="G74" s="103">
        <f>'66 SYANA PRAROOP-20'!E75</f>
        <v>11</v>
      </c>
      <c r="H74" s="103">
        <f>'66 SYANA PRAROOP-20'!F75</f>
        <v>197</v>
      </c>
      <c r="I74" s="103">
        <f>'66 SYANA PRAROOP-20'!G75</f>
        <v>4</v>
      </c>
      <c r="J74" s="103">
        <f>'66 SYANA PRAROOP-20'!H75</f>
        <v>0</v>
      </c>
      <c r="K74" s="103">
        <f>'66 SYANA PRAROOP-20'!I75</f>
        <v>4</v>
      </c>
      <c r="L74" s="103">
        <f>'66 SYANA PRAROOP-20'!J75</f>
        <v>2</v>
      </c>
      <c r="M74" s="78">
        <f t="shared" si="2"/>
        <v>499</v>
      </c>
      <c r="N74" s="103">
        <v>0</v>
      </c>
      <c r="O74" s="103">
        <f>'66 SYANA PRAROOP-20'!M75</f>
        <v>2</v>
      </c>
      <c r="P74" s="78">
        <f t="shared" si="3"/>
        <v>501</v>
      </c>
      <c r="Q74" s="103">
        <v>0</v>
      </c>
    </row>
    <row r="75" spans="2:17" ht="18.75">
      <c r="B75" s="78">
        <v>69</v>
      </c>
      <c r="C75" s="114" t="s">
        <v>264</v>
      </c>
      <c r="D75" s="33">
        <v>564</v>
      </c>
      <c r="E75" s="103">
        <f>'66 SYANA PRAROOP-20'!C76</f>
        <v>34</v>
      </c>
      <c r="F75" s="103">
        <f>'66 SYANA PRAROOP-20'!D76</f>
        <v>463</v>
      </c>
      <c r="G75" s="103">
        <f>'66 SYANA PRAROOP-20'!E76</f>
        <v>9</v>
      </c>
      <c r="H75" s="103">
        <f>'66 SYANA PRAROOP-20'!F76</f>
        <v>49</v>
      </c>
      <c r="I75" s="103">
        <f>'66 SYANA PRAROOP-20'!G76</f>
        <v>1</v>
      </c>
      <c r="J75" s="103">
        <f>'66 SYANA PRAROOP-20'!H76</f>
        <v>2</v>
      </c>
      <c r="K75" s="103">
        <f>'66 SYANA PRAROOP-20'!I76</f>
        <v>1</v>
      </c>
      <c r="L75" s="103">
        <f>'66 SYANA PRAROOP-20'!J76</f>
        <v>2</v>
      </c>
      <c r="M75" s="78">
        <f t="shared" si="2"/>
        <v>561</v>
      </c>
      <c r="N75" s="103">
        <v>0</v>
      </c>
      <c r="O75" s="103">
        <f>'66 SYANA PRAROOP-20'!M76</f>
        <v>3</v>
      </c>
      <c r="P75" s="78">
        <f t="shared" si="3"/>
        <v>564</v>
      </c>
      <c r="Q75" s="103">
        <v>0</v>
      </c>
    </row>
    <row r="76" spans="2:17" ht="18.75">
      <c r="B76" s="78">
        <v>70</v>
      </c>
      <c r="C76" s="114" t="s">
        <v>265</v>
      </c>
      <c r="D76" s="33">
        <v>582</v>
      </c>
      <c r="E76" s="103">
        <f>'66 SYANA PRAROOP-20'!C77</f>
        <v>15</v>
      </c>
      <c r="F76" s="103">
        <f>'66 SYANA PRAROOP-20'!D77</f>
        <v>540</v>
      </c>
      <c r="G76" s="103">
        <f>'66 SYANA PRAROOP-20'!E77</f>
        <v>6</v>
      </c>
      <c r="H76" s="103">
        <f>'66 SYANA PRAROOP-20'!F77</f>
        <v>6</v>
      </c>
      <c r="I76" s="103">
        <f>'66 SYANA PRAROOP-20'!G77</f>
        <v>0</v>
      </c>
      <c r="J76" s="103">
        <f>'66 SYANA PRAROOP-20'!H77</f>
        <v>1</v>
      </c>
      <c r="K76" s="103">
        <f>'66 SYANA PRAROOP-20'!I77</f>
        <v>3</v>
      </c>
      <c r="L76" s="103">
        <f>'66 SYANA PRAROOP-20'!J77</f>
        <v>9</v>
      </c>
      <c r="M76" s="78">
        <f t="shared" si="2"/>
        <v>580</v>
      </c>
      <c r="N76" s="103">
        <v>0</v>
      </c>
      <c r="O76" s="103">
        <f>'66 SYANA PRAROOP-20'!M77</f>
        <v>2</v>
      </c>
      <c r="P76" s="78">
        <f t="shared" si="3"/>
        <v>582</v>
      </c>
      <c r="Q76" s="103">
        <v>0</v>
      </c>
    </row>
    <row r="77" spans="2:17" ht="18.75">
      <c r="B77" s="78">
        <v>71</v>
      </c>
      <c r="C77" s="116" t="s">
        <v>617</v>
      </c>
      <c r="D77" s="33">
        <v>561</v>
      </c>
      <c r="E77" s="103">
        <f>'66 SYANA PRAROOP-20'!C78</f>
        <v>149</v>
      </c>
      <c r="F77" s="103">
        <f>'66 SYANA PRAROOP-20'!D78</f>
        <v>376</v>
      </c>
      <c r="G77" s="103">
        <f>'66 SYANA PRAROOP-20'!E78</f>
        <v>16</v>
      </c>
      <c r="H77" s="103">
        <f>'66 SYANA PRAROOP-20'!F78</f>
        <v>4</v>
      </c>
      <c r="I77" s="103">
        <f>'66 SYANA PRAROOP-20'!G78</f>
        <v>0</v>
      </c>
      <c r="J77" s="103">
        <f>'66 SYANA PRAROOP-20'!H78</f>
        <v>9</v>
      </c>
      <c r="K77" s="103">
        <f>'66 SYANA PRAROOP-20'!I78</f>
        <v>5</v>
      </c>
      <c r="L77" s="103">
        <f>'66 SYANA PRAROOP-20'!J78</f>
        <v>2</v>
      </c>
      <c r="M77" s="78">
        <f t="shared" si="2"/>
        <v>561</v>
      </c>
      <c r="N77" s="103">
        <v>0</v>
      </c>
      <c r="O77" s="103">
        <f>'66 SYANA PRAROOP-20'!M78</f>
        <v>0</v>
      </c>
      <c r="P77" s="78">
        <f t="shared" si="3"/>
        <v>561</v>
      </c>
      <c r="Q77" s="103">
        <v>0</v>
      </c>
    </row>
    <row r="78" spans="2:17" ht="18.75">
      <c r="B78" s="78">
        <v>72</v>
      </c>
      <c r="C78" s="114" t="s">
        <v>266</v>
      </c>
      <c r="D78" s="33">
        <v>577</v>
      </c>
      <c r="E78" s="103">
        <f>'66 SYANA PRAROOP-20'!C79</f>
        <v>170</v>
      </c>
      <c r="F78" s="103">
        <f>'66 SYANA PRAROOP-20'!D79</f>
        <v>387</v>
      </c>
      <c r="G78" s="103">
        <f>'66 SYANA PRAROOP-20'!E79</f>
        <v>8</v>
      </c>
      <c r="H78" s="103">
        <f>'66 SYANA PRAROOP-20'!F79</f>
        <v>4</v>
      </c>
      <c r="I78" s="103">
        <f>'66 SYANA PRAROOP-20'!G79</f>
        <v>2</v>
      </c>
      <c r="J78" s="103">
        <f>'66 SYANA PRAROOP-20'!H79</f>
        <v>2</v>
      </c>
      <c r="K78" s="103">
        <f>'66 SYANA PRAROOP-20'!I79</f>
        <v>3</v>
      </c>
      <c r="L78" s="103">
        <f>'66 SYANA PRAROOP-20'!J79</f>
        <v>1</v>
      </c>
      <c r="M78" s="78">
        <f t="shared" si="2"/>
        <v>577</v>
      </c>
      <c r="N78" s="103">
        <v>0</v>
      </c>
      <c r="O78" s="103">
        <f>'66 SYANA PRAROOP-20'!M79</f>
        <v>0</v>
      </c>
      <c r="P78" s="78">
        <f t="shared" si="3"/>
        <v>577</v>
      </c>
      <c r="Q78" s="103">
        <v>0</v>
      </c>
    </row>
    <row r="79" spans="2:17" ht="18.75">
      <c r="B79" s="78">
        <v>73</v>
      </c>
      <c r="C79" s="114" t="s">
        <v>267</v>
      </c>
      <c r="D79" s="33">
        <v>619</v>
      </c>
      <c r="E79" s="103">
        <f>'66 SYANA PRAROOP-20'!C80</f>
        <v>171</v>
      </c>
      <c r="F79" s="103">
        <f>'66 SYANA PRAROOP-20'!D80</f>
        <v>318</v>
      </c>
      <c r="G79" s="103">
        <f>'66 SYANA PRAROOP-20'!E80</f>
        <v>3</v>
      </c>
      <c r="H79" s="103">
        <f>'66 SYANA PRAROOP-20'!F80</f>
        <v>109</v>
      </c>
      <c r="I79" s="103">
        <f>'66 SYANA PRAROOP-20'!G80</f>
        <v>2</v>
      </c>
      <c r="J79" s="103">
        <f>'66 SYANA PRAROOP-20'!H80</f>
        <v>7</v>
      </c>
      <c r="K79" s="103">
        <f>'66 SYANA PRAROOP-20'!I80</f>
        <v>1</v>
      </c>
      <c r="L79" s="103">
        <f>'66 SYANA PRAROOP-20'!J80</f>
        <v>6</v>
      </c>
      <c r="M79" s="78">
        <f t="shared" si="2"/>
        <v>617</v>
      </c>
      <c r="N79" s="103">
        <v>0</v>
      </c>
      <c r="O79" s="103">
        <f>'66 SYANA PRAROOP-20'!M80</f>
        <v>2</v>
      </c>
      <c r="P79" s="78">
        <f t="shared" si="3"/>
        <v>619</v>
      </c>
      <c r="Q79" s="103">
        <v>0</v>
      </c>
    </row>
    <row r="80" spans="2:17" ht="18.75">
      <c r="B80" s="78">
        <v>74</v>
      </c>
      <c r="C80" s="114" t="s">
        <v>268</v>
      </c>
      <c r="D80" s="33">
        <v>611</v>
      </c>
      <c r="E80" s="103">
        <f>'66 SYANA PRAROOP-20'!C81</f>
        <v>113</v>
      </c>
      <c r="F80" s="103">
        <f>'66 SYANA PRAROOP-20'!D81</f>
        <v>201</v>
      </c>
      <c r="G80" s="103">
        <f>'66 SYANA PRAROOP-20'!E81</f>
        <v>1</v>
      </c>
      <c r="H80" s="103">
        <f>'66 SYANA PRAROOP-20'!F81</f>
        <v>279</v>
      </c>
      <c r="I80" s="103">
        <f>'66 SYANA PRAROOP-20'!G81</f>
        <v>3</v>
      </c>
      <c r="J80" s="103">
        <f>'66 SYANA PRAROOP-20'!H81</f>
        <v>7</v>
      </c>
      <c r="K80" s="103">
        <f>'66 SYANA PRAROOP-20'!I81</f>
        <v>3</v>
      </c>
      <c r="L80" s="103">
        <f>'66 SYANA PRAROOP-20'!J81</f>
        <v>0</v>
      </c>
      <c r="M80" s="78">
        <f t="shared" si="2"/>
        <v>607</v>
      </c>
      <c r="N80" s="103">
        <v>0</v>
      </c>
      <c r="O80" s="103">
        <f>'66 SYANA PRAROOP-20'!M81</f>
        <v>4</v>
      </c>
      <c r="P80" s="78">
        <f t="shared" si="3"/>
        <v>611</v>
      </c>
      <c r="Q80" s="103">
        <v>0</v>
      </c>
    </row>
    <row r="81" spans="2:17" ht="18.75">
      <c r="B81" s="78">
        <v>75</v>
      </c>
      <c r="C81" s="120" t="s">
        <v>618</v>
      </c>
      <c r="D81" s="33">
        <v>735</v>
      </c>
      <c r="E81" s="103">
        <f>'66 SYANA PRAROOP-20'!C82</f>
        <v>34</v>
      </c>
      <c r="F81" s="103">
        <f>'66 SYANA PRAROOP-20'!D82</f>
        <v>659</v>
      </c>
      <c r="G81" s="103">
        <f>'66 SYANA PRAROOP-20'!E82</f>
        <v>8</v>
      </c>
      <c r="H81" s="103">
        <f>'66 SYANA PRAROOP-20'!F82</f>
        <v>14</v>
      </c>
      <c r="I81" s="103">
        <f>'66 SYANA PRAROOP-20'!G82</f>
        <v>2</v>
      </c>
      <c r="J81" s="103">
        <f>'66 SYANA PRAROOP-20'!H82</f>
        <v>3</v>
      </c>
      <c r="K81" s="103">
        <f>'66 SYANA PRAROOP-20'!I82</f>
        <v>5</v>
      </c>
      <c r="L81" s="103">
        <f>'66 SYANA PRAROOP-20'!J82</f>
        <v>5</v>
      </c>
      <c r="M81" s="78">
        <f t="shared" si="2"/>
        <v>730</v>
      </c>
      <c r="N81" s="103">
        <v>0</v>
      </c>
      <c r="O81" s="103">
        <f>'66 SYANA PRAROOP-20'!M82</f>
        <v>5</v>
      </c>
      <c r="P81" s="78">
        <f t="shared" si="3"/>
        <v>735</v>
      </c>
      <c r="Q81" s="103">
        <v>0</v>
      </c>
    </row>
    <row r="82" spans="2:17" ht="18.75">
      <c r="B82" s="78">
        <v>76</v>
      </c>
      <c r="C82" s="114" t="s">
        <v>269</v>
      </c>
      <c r="D82" s="33">
        <v>719</v>
      </c>
      <c r="E82" s="103">
        <f>'66 SYANA PRAROOP-20'!C83</f>
        <v>41</v>
      </c>
      <c r="F82" s="103">
        <f>'66 SYANA PRAROOP-20'!D83</f>
        <v>661</v>
      </c>
      <c r="G82" s="103">
        <f>'66 SYANA PRAROOP-20'!E83</f>
        <v>1</v>
      </c>
      <c r="H82" s="103">
        <f>'66 SYANA PRAROOP-20'!F83</f>
        <v>4</v>
      </c>
      <c r="I82" s="103">
        <f>'66 SYANA PRAROOP-20'!G83</f>
        <v>1</v>
      </c>
      <c r="J82" s="103">
        <f>'66 SYANA PRAROOP-20'!H83</f>
        <v>6</v>
      </c>
      <c r="K82" s="103">
        <f>'66 SYANA PRAROOP-20'!I83</f>
        <v>3</v>
      </c>
      <c r="L82" s="103">
        <f>'66 SYANA PRAROOP-20'!J83</f>
        <v>0</v>
      </c>
      <c r="M82" s="78">
        <f t="shared" si="2"/>
        <v>717</v>
      </c>
      <c r="N82" s="103">
        <v>0</v>
      </c>
      <c r="O82" s="103">
        <f>'66 SYANA PRAROOP-20'!M83</f>
        <v>2</v>
      </c>
      <c r="P82" s="78">
        <f t="shared" si="3"/>
        <v>719</v>
      </c>
      <c r="Q82" s="103">
        <v>0</v>
      </c>
    </row>
    <row r="83" spans="2:17" ht="18.75">
      <c r="B83" s="78">
        <v>77</v>
      </c>
      <c r="C83" s="114" t="s">
        <v>270</v>
      </c>
      <c r="D83" s="33">
        <v>625</v>
      </c>
      <c r="E83" s="103">
        <f>'66 SYANA PRAROOP-20'!C84</f>
        <v>177</v>
      </c>
      <c r="F83" s="103">
        <f>'66 SYANA PRAROOP-20'!D84</f>
        <v>184</v>
      </c>
      <c r="G83" s="103">
        <f>'66 SYANA PRAROOP-20'!E84</f>
        <v>8</v>
      </c>
      <c r="H83" s="103">
        <f>'66 SYANA PRAROOP-20'!F84</f>
        <v>243</v>
      </c>
      <c r="I83" s="103">
        <f>'66 SYANA PRAROOP-20'!G84</f>
        <v>3</v>
      </c>
      <c r="J83" s="103">
        <f>'66 SYANA PRAROOP-20'!H84</f>
        <v>4</v>
      </c>
      <c r="K83" s="103">
        <f>'66 SYANA PRAROOP-20'!I84</f>
        <v>2</v>
      </c>
      <c r="L83" s="103">
        <f>'66 SYANA PRAROOP-20'!J84</f>
        <v>2</v>
      </c>
      <c r="M83" s="78">
        <f t="shared" si="2"/>
        <v>623</v>
      </c>
      <c r="N83" s="103">
        <v>0</v>
      </c>
      <c r="O83" s="103">
        <f>'66 SYANA PRAROOP-20'!M84</f>
        <v>2</v>
      </c>
      <c r="P83" s="78">
        <f t="shared" si="3"/>
        <v>625</v>
      </c>
      <c r="Q83" s="103">
        <v>0</v>
      </c>
    </row>
    <row r="84" spans="2:17" ht="18.75">
      <c r="B84" s="78">
        <v>78</v>
      </c>
      <c r="C84" s="114" t="s">
        <v>271</v>
      </c>
      <c r="D84" s="33">
        <v>473</v>
      </c>
      <c r="E84" s="103">
        <f>'66 SYANA PRAROOP-20'!C85</f>
        <v>99</v>
      </c>
      <c r="F84" s="103">
        <f>'66 SYANA PRAROOP-20'!D85</f>
        <v>278</v>
      </c>
      <c r="G84" s="103">
        <f>'66 SYANA PRAROOP-20'!E85</f>
        <v>14</v>
      </c>
      <c r="H84" s="103">
        <f>'66 SYANA PRAROOP-20'!F85</f>
        <v>73</v>
      </c>
      <c r="I84" s="103">
        <f>'66 SYANA PRAROOP-20'!G85</f>
        <v>2</v>
      </c>
      <c r="J84" s="103">
        <f>'66 SYANA PRAROOP-20'!H85</f>
        <v>2</v>
      </c>
      <c r="K84" s="103">
        <f>'66 SYANA PRAROOP-20'!I85</f>
        <v>3</v>
      </c>
      <c r="L84" s="103">
        <f>'66 SYANA PRAROOP-20'!J85</f>
        <v>1</v>
      </c>
      <c r="M84" s="78">
        <f t="shared" si="2"/>
        <v>472</v>
      </c>
      <c r="N84" s="103">
        <v>0</v>
      </c>
      <c r="O84" s="103">
        <f>'66 SYANA PRAROOP-20'!M85</f>
        <v>1</v>
      </c>
      <c r="P84" s="78">
        <f t="shared" si="3"/>
        <v>473</v>
      </c>
      <c r="Q84" s="103">
        <v>0</v>
      </c>
    </row>
    <row r="85" spans="2:17" ht="18.75">
      <c r="B85" s="78">
        <v>79</v>
      </c>
      <c r="C85" s="114" t="s">
        <v>272</v>
      </c>
      <c r="D85" s="33">
        <v>451</v>
      </c>
      <c r="E85" s="103">
        <f>'66 SYANA PRAROOP-20'!C86</f>
        <v>89</v>
      </c>
      <c r="F85" s="103">
        <f>'66 SYANA PRAROOP-20'!D86</f>
        <v>157</v>
      </c>
      <c r="G85" s="103">
        <f>'66 SYANA PRAROOP-20'!E86</f>
        <v>19</v>
      </c>
      <c r="H85" s="103">
        <f>'66 SYANA PRAROOP-20'!F86</f>
        <v>174</v>
      </c>
      <c r="I85" s="103">
        <f>'66 SYANA PRAROOP-20'!G86</f>
        <v>2</v>
      </c>
      <c r="J85" s="103">
        <f>'66 SYANA PRAROOP-20'!H86</f>
        <v>2</v>
      </c>
      <c r="K85" s="103">
        <f>'66 SYANA PRAROOP-20'!I86</f>
        <v>7</v>
      </c>
      <c r="L85" s="103">
        <f>'66 SYANA PRAROOP-20'!J86</f>
        <v>1</v>
      </c>
      <c r="M85" s="78">
        <f t="shared" si="2"/>
        <v>451</v>
      </c>
      <c r="N85" s="103">
        <v>0</v>
      </c>
      <c r="O85" s="103">
        <f>'66 SYANA PRAROOP-20'!M86</f>
        <v>0</v>
      </c>
      <c r="P85" s="78">
        <f t="shared" si="3"/>
        <v>451</v>
      </c>
      <c r="Q85" s="103">
        <v>0</v>
      </c>
    </row>
    <row r="86" spans="2:17" ht="18.75">
      <c r="B86" s="78">
        <v>80</v>
      </c>
      <c r="C86" s="114" t="s">
        <v>273</v>
      </c>
      <c r="D86" s="33">
        <v>493</v>
      </c>
      <c r="E86" s="103">
        <f>'66 SYANA PRAROOP-20'!C87</f>
        <v>161</v>
      </c>
      <c r="F86" s="103">
        <f>'66 SYANA PRAROOP-20'!D87</f>
        <v>288</v>
      </c>
      <c r="G86" s="103">
        <f>'66 SYANA PRAROOP-20'!E87</f>
        <v>16</v>
      </c>
      <c r="H86" s="103">
        <f>'66 SYANA PRAROOP-20'!F87</f>
        <v>25</v>
      </c>
      <c r="I86" s="103">
        <f>'66 SYANA PRAROOP-20'!G87</f>
        <v>0</v>
      </c>
      <c r="J86" s="103">
        <f>'66 SYANA PRAROOP-20'!H87</f>
        <v>2</v>
      </c>
      <c r="K86" s="103">
        <f>'66 SYANA PRAROOP-20'!I87</f>
        <v>0</v>
      </c>
      <c r="L86" s="103">
        <f>'66 SYANA PRAROOP-20'!J87</f>
        <v>1</v>
      </c>
      <c r="M86" s="78">
        <f t="shared" si="2"/>
        <v>493</v>
      </c>
      <c r="N86" s="103">
        <v>0</v>
      </c>
      <c r="O86" s="103">
        <f>'66 SYANA PRAROOP-20'!M87</f>
        <v>0</v>
      </c>
      <c r="P86" s="78">
        <f t="shared" si="3"/>
        <v>493</v>
      </c>
      <c r="Q86" s="103">
        <v>0</v>
      </c>
    </row>
    <row r="87" spans="2:17" ht="18.75">
      <c r="B87" s="78">
        <v>81</v>
      </c>
      <c r="C87" s="114" t="s">
        <v>274</v>
      </c>
      <c r="D87" s="33">
        <v>474</v>
      </c>
      <c r="E87" s="103">
        <f>'66 SYANA PRAROOP-20'!C88</f>
        <v>97</v>
      </c>
      <c r="F87" s="103">
        <f>'66 SYANA PRAROOP-20'!D88</f>
        <v>180</v>
      </c>
      <c r="G87" s="103">
        <f>'66 SYANA PRAROOP-20'!E88</f>
        <v>5</v>
      </c>
      <c r="H87" s="103">
        <f>'66 SYANA PRAROOP-20'!F88</f>
        <v>186</v>
      </c>
      <c r="I87" s="103">
        <f>'66 SYANA PRAROOP-20'!G88</f>
        <v>2</v>
      </c>
      <c r="J87" s="103">
        <f>'66 SYANA PRAROOP-20'!H88</f>
        <v>1</v>
      </c>
      <c r="K87" s="103">
        <f>'66 SYANA PRAROOP-20'!I88</f>
        <v>0</v>
      </c>
      <c r="L87" s="103">
        <f>'66 SYANA PRAROOP-20'!J88</f>
        <v>1</v>
      </c>
      <c r="M87" s="78">
        <f t="shared" si="2"/>
        <v>472</v>
      </c>
      <c r="N87" s="103">
        <v>0</v>
      </c>
      <c r="O87" s="103">
        <f>'66 SYANA PRAROOP-20'!M88</f>
        <v>2</v>
      </c>
      <c r="P87" s="78">
        <f t="shared" si="3"/>
        <v>474</v>
      </c>
      <c r="Q87" s="103">
        <v>0</v>
      </c>
    </row>
    <row r="88" spans="2:17" ht="18.75">
      <c r="B88" s="78">
        <v>82</v>
      </c>
      <c r="C88" s="114" t="s">
        <v>275</v>
      </c>
      <c r="D88" s="33">
        <v>644</v>
      </c>
      <c r="E88" s="103">
        <f>'66 SYANA PRAROOP-20'!C89</f>
        <v>14</v>
      </c>
      <c r="F88" s="103">
        <f>'66 SYANA PRAROOP-20'!D89</f>
        <v>549</v>
      </c>
      <c r="G88" s="103">
        <f>'66 SYANA PRAROOP-20'!E89</f>
        <v>19</v>
      </c>
      <c r="H88" s="103">
        <f>'66 SYANA PRAROOP-20'!F89</f>
        <v>44</v>
      </c>
      <c r="I88" s="103">
        <f>'66 SYANA PRAROOP-20'!G89</f>
        <v>2</v>
      </c>
      <c r="J88" s="103">
        <f>'66 SYANA PRAROOP-20'!H89</f>
        <v>1</v>
      </c>
      <c r="K88" s="103">
        <f>'66 SYANA PRAROOP-20'!I89</f>
        <v>5</v>
      </c>
      <c r="L88" s="103">
        <f>'66 SYANA PRAROOP-20'!J89</f>
        <v>1</v>
      </c>
      <c r="M88" s="78">
        <f t="shared" si="2"/>
        <v>635</v>
      </c>
      <c r="N88" s="103">
        <v>0</v>
      </c>
      <c r="O88" s="103">
        <f>'66 SYANA PRAROOP-20'!M89</f>
        <v>6</v>
      </c>
      <c r="P88" s="78">
        <f t="shared" si="3"/>
        <v>641</v>
      </c>
      <c r="Q88" s="103">
        <v>0</v>
      </c>
    </row>
    <row r="89" spans="2:17" ht="18.75">
      <c r="B89" s="78">
        <v>83</v>
      </c>
      <c r="C89" s="114" t="s">
        <v>276</v>
      </c>
      <c r="D89" s="33">
        <v>713</v>
      </c>
      <c r="E89" s="103">
        <f>'66 SYANA PRAROOP-20'!C90</f>
        <v>178</v>
      </c>
      <c r="F89" s="103">
        <f>'66 SYANA PRAROOP-20'!D90</f>
        <v>460</v>
      </c>
      <c r="G89" s="103">
        <f>'66 SYANA PRAROOP-20'!E90</f>
        <v>23</v>
      </c>
      <c r="H89" s="103">
        <f>'66 SYANA PRAROOP-20'!F90</f>
        <v>46</v>
      </c>
      <c r="I89" s="103">
        <f>'66 SYANA PRAROOP-20'!G90</f>
        <v>1</v>
      </c>
      <c r="J89" s="103">
        <f>'66 SYANA PRAROOP-20'!H90</f>
        <v>4</v>
      </c>
      <c r="K89" s="103">
        <f>'66 SYANA PRAROOP-20'!I90</f>
        <v>0</v>
      </c>
      <c r="L89" s="103">
        <f>'66 SYANA PRAROOP-20'!J90</f>
        <v>1</v>
      </c>
      <c r="M89" s="78">
        <f t="shared" si="2"/>
        <v>713</v>
      </c>
      <c r="N89" s="103">
        <v>0</v>
      </c>
      <c r="O89" s="103">
        <f>'66 SYANA PRAROOP-20'!M90</f>
        <v>0</v>
      </c>
      <c r="P89" s="78">
        <f t="shared" si="3"/>
        <v>713</v>
      </c>
      <c r="Q89" s="103">
        <v>0</v>
      </c>
    </row>
    <row r="90" spans="2:17" ht="18.75">
      <c r="B90" s="78">
        <v>84</v>
      </c>
      <c r="C90" s="114" t="s">
        <v>277</v>
      </c>
      <c r="D90" s="33">
        <v>734</v>
      </c>
      <c r="E90" s="103">
        <f>'66 SYANA PRAROOP-20'!C91</f>
        <v>18</v>
      </c>
      <c r="F90" s="103">
        <f>'66 SYANA PRAROOP-20'!D91</f>
        <v>239</v>
      </c>
      <c r="G90" s="103">
        <f>'66 SYANA PRAROOP-20'!E91</f>
        <v>3</v>
      </c>
      <c r="H90" s="103">
        <f>'66 SYANA PRAROOP-20'!F91</f>
        <v>455</v>
      </c>
      <c r="I90" s="103">
        <f>'66 SYANA PRAROOP-20'!G91</f>
        <v>4</v>
      </c>
      <c r="J90" s="103">
        <f>'66 SYANA PRAROOP-20'!H91</f>
        <v>1</v>
      </c>
      <c r="K90" s="103">
        <f>'66 SYANA PRAROOP-20'!I91</f>
        <v>10</v>
      </c>
      <c r="L90" s="103">
        <f>'66 SYANA PRAROOP-20'!J91</f>
        <v>3</v>
      </c>
      <c r="M90" s="78">
        <f t="shared" si="2"/>
        <v>733</v>
      </c>
      <c r="N90" s="103">
        <v>0</v>
      </c>
      <c r="O90" s="103">
        <f>'66 SYANA PRAROOP-20'!M91</f>
        <v>1</v>
      </c>
      <c r="P90" s="78">
        <f t="shared" si="3"/>
        <v>734</v>
      </c>
      <c r="Q90" s="103">
        <v>0</v>
      </c>
    </row>
    <row r="91" spans="2:17" ht="18.75">
      <c r="B91" s="78">
        <v>85</v>
      </c>
      <c r="C91" s="114" t="s">
        <v>278</v>
      </c>
      <c r="D91" s="33">
        <v>457</v>
      </c>
      <c r="E91" s="103">
        <f>'66 SYANA PRAROOP-20'!C92</f>
        <v>90</v>
      </c>
      <c r="F91" s="103">
        <f>'66 SYANA PRAROOP-20'!D92</f>
        <v>273</v>
      </c>
      <c r="G91" s="103">
        <f>'66 SYANA PRAROOP-20'!E92</f>
        <v>7</v>
      </c>
      <c r="H91" s="103">
        <f>'66 SYANA PRAROOP-20'!F92</f>
        <v>74</v>
      </c>
      <c r="I91" s="103">
        <f>'66 SYANA PRAROOP-20'!G92</f>
        <v>1</v>
      </c>
      <c r="J91" s="103">
        <f>'66 SYANA PRAROOP-20'!H92</f>
        <v>1</v>
      </c>
      <c r="K91" s="103">
        <f>'66 SYANA PRAROOP-20'!I92</f>
        <v>2</v>
      </c>
      <c r="L91" s="103">
        <f>'66 SYANA PRAROOP-20'!J92</f>
        <v>5</v>
      </c>
      <c r="M91" s="78">
        <f t="shared" si="2"/>
        <v>453</v>
      </c>
      <c r="N91" s="103">
        <v>0</v>
      </c>
      <c r="O91" s="103">
        <f>'66 SYANA PRAROOP-20'!M92</f>
        <v>4</v>
      </c>
      <c r="P91" s="78">
        <f t="shared" si="3"/>
        <v>457</v>
      </c>
      <c r="Q91" s="103">
        <v>0</v>
      </c>
    </row>
    <row r="92" spans="2:17" ht="18.75">
      <c r="B92" s="78">
        <v>86</v>
      </c>
      <c r="C92" s="114" t="s">
        <v>279</v>
      </c>
      <c r="D92" s="33">
        <v>459</v>
      </c>
      <c r="E92" s="103">
        <f>'66 SYANA PRAROOP-20'!C93</f>
        <v>44</v>
      </c>
      <c r="F92" s="103">
        <f>'66 SYANA PRAROOP-20'!D93</f>
        <v>249</v>
      </c>
      <c r="G92" s="103">
        <f>'66 SYANA PRAROOP-20'!E93</f>
        <v>7</v>
      </c>
      <c r="H92" s="103">
        <f>'66 SYANA PRAROOP-20'!F93</f>
        <v>154</v>
      </c>
      <c r="I92" s="103">
        <f>'66 SYANA PRAROOP-20'!G93</f>
        <v>0</v>
      </c>
      <c r="J92" s="103">
        <f>'66 SYANA PRAROOP-20'!H93</f>
        <v>2</v>
      </c>
      <c r="K92" s="103">
        <f>'66 SYANA PRAROOP-20'!I93</f>
        <v>3</v>
      </c>
      <c r="L92" s="103">
        <f>'66 SYANA PRAROOP-20'!J93</f>
        <v>0</v>
      </c>
      <c r="M92" s="78">
        <f t="shared" si="2"/>
        <v>459</v>
      </c>
      <c r="N92" s="103">
        <v>0</v>
      </c>
      <c r="O92" s="103">
        <f>'66 SYANA PRAROOP-20'!M93</f>
        <v>0</v>
      </c>
      <c r="P92" s="78">
        <f t="shared" si="3"/>
        <v>459</v>
      </c>
      <c r="Q92" s="103">
        <v>0</v>
      </c>
    </row>
    <row r="93" spans="2:17" ht="18.75">
      <c r="B93" s="78">
        <v>87</v>
      </c>
      <c r="C93" s="114" t="s">
        <v>280</v>
      </c>
      <c r="D93" s="33">
        <v>533</v>
      </c>
      <c r="E93" s="103">
        <f>'66 SYANA PRAROOP-20'!C94</f>
        <v>96</v>
      </c>
      <c r="F93" s="103">
        <f>'66 SYANA PRAROOP-20'!D94</f>
        <v>417</v>
      </c>
      <c r="G93" s="103">
        <f>'66 SYANA PRAROOP-20'!E94</f>
        <v>7</v>
      </c>
      <c r="H93" s="103">
        <f>'66 SYANA PRAROOP-20'!F94</f>
        <v>5</v>
      </c>
      <c r="I93" s="103">
        <f>'66 SYANA PRAROOP-20'!G94</f>
        <v>0</v>
      </c>
      <c r="J93" s="103">
        <f>'66 SYANA PRAROOP-20'!H94</f>
        <v>1</v>
      </c>
      <c r="K93" s="103">
        <f>'66 SYANA PRAROOP-20'!I94</f>
        <v>0</v>
      </c>
      <c r="L93" s="103">
        <f>'66 SYANA PRAROOP-20'!J94</f>
        <v>1</v>
      </c>
      <c r="M93" s="78">
        <f t="shared" si="2"/>
        <v>527</v>
      </c>
      <c r="N93" s="103">
        <v>0</v>
      </c>
      <c r="O93" s="103">
        <f>'66 SYANA PRAROOP-20'!M94</f>
        <v>6</v>
      </c>
      <c r="P93" s="78">
        <f t="shared" si="3"/>
        <v>533</v>
      </c>
      <c r="Q93" s="103">
        <v>0</v>
      </c>
    </row>
    <row r="94" spans="2:17" ht="18.75">
      <c r="B94" s="78">
        <v>88</v>
      </c>
      <c r="C94" s="114" t="s">
        <v>281</v>
      </c>
      <c r="D94" s="33">
        <v>563</v>
      </c>
      <c r="E94" s="103">
        <f>'66 SYANA PRAROOP-20'!C95</f>
        <v>63</v>
      </c>
      <c r="F94" s="103">
        <f>'66 SYANA PRAROOP-20'!D95</f>
        <v>250</v>
      </c>
      <c r="G94" s="103">
        <f>'66 SYANA PRAROOP-20'!E95</f>
        <v>4</v>
      </c>
      <c r="H94" s="103">
        <f>'66 SYANA PRAROOP-20'!F95</f>
        <v>228</v>
      </c>
      <c r="I94" s="103">
        <f>'66 SYANA PRAROOP-20'!G95</f>
        <v>3</v>
      </c>
      <c r="J94" s="103">
        <f>'66 SYANA PRAROOP-20'!H95</f>
        <v>4</v>
      </c>
      <c r="K94" s="103">
        <f>'66 SYANA PRAROOP-20'!I95</f>
        <v>5</v>
      </c>
      <c r="L94" s="103">
        <f>'66 SYANA PRAROOP-20'!J95</f>
        <v>2</v>
      </c>
      <c r="M94" s="78">
        <f t="shared" si="2"/>
        <v>559</v>
      </c>
      <c r="N94" s="103">
        <v>0</v>
      </c>
      <c r="O94" s="103">
        <f>'66 SYANA PRAROOP-20'!M95</f>
        <v>4</v>
      </c>
      <c r="P94" s="78">
        <f t="shared" si="3"/>
        <v>563</v>
      </c>
      <c r="Q94" s="103">
        <v>0</v>
      </c>
    </row>
    <row r="95" spans="2:17" ht="18.75">
      <c r="B95" s="78">
        <v>89</v>
      </c>
      <c r="C95" s="114" t="s">
        <v>282</v>
      </c>
      <c r="D95" s="33">
        <v>602</v>
      </c>
      <c r="E95" s="103">
        <f>'66 SYANA PRAROOP-20'!C96</f>
        <v>107</v>
      </c>
      <c r="F95" s="103">
        <f>'66 SYANA PRAROOP-20'!D96</f>
        <v>440</v>
      </c>
      <c r="G95" s="103">
        <f>'66 SYANA PRAROOP-20'!E96</f>
        <v>14</v>
      </c>
      <c r="H95" s="103">
        <f>'66 SYANA PRAROOP-20'!F96</f>
        <v>30</v>
      </c>
      <c r="I95" s="103">
        <f>'66 SYANA PRAROOP-20'!G96</f>
        <v>1</v>
      </c>
      <c r="J95" s="103">
        <f>'66 SYANA PRAROOP-20'!H96</f>
        <v>0</v>
      </c>
      <c r="K95" s="103">
        <f>'66 SYANA PRAROOP-20'!I96</f>
        <v>2</v>
      </c>
      <c r="L95" s="103">
        <f>'66 SYANA PRAROOP-20'!J96</f>
        <v>6</v>
      </c>
      <c r="M95" s="78">
        <f t="shared" si="2"/>
        <v>600</v>
      </c>
      <c r="N95" s="103">
        <v>0</v>
      </c>
      <c r="O95" s="103">
        <f>'66 SYANA PRAROOP-20'!M96</f>
        <v>2</v>
      </c>
      <c r="P95" s="78">
        <f t="shared" si="3"/>
        <v>602</v>
      </c>
      <c r="Q95" s="103">
        <v>0</v>
      </c>
    </row>
    <row r="96" spans="2:17" ht="18.75">
      <c r="B96" s="78">
        <v>90</v>
      </c>
      <c r="C96" s="114" t="s">
        <v>283</v>
      </c>
      <c r="D96" s="33">
        <v>471</v>
      </c>
      <c r="E96" s="103">
        <f>'66 SYANA PRAROOP-20'!C97</f>
        <v>66</v>
      </c>
      <c r="F96" s="103">
        <f>'66 SYANA PRAROOP-20'!D97</f>
        <v>184</v>
      </c>
      <c r="G96" s="103">
        <f>'66 SYANA PRAROOP-20'!E97</f>
        <v>4</v>
      </c>
      <c r="H96" s="103">
        <f>'66 SYANA PRAROOP-20'!F97</f>
        <v>194</v>
      </c>
      <c r="I96" s="103">
        <f>'66 SYANA PRAROOP-20'!G97</f>
        <v>5</v>
      </c>
      <c r="J96" s="103">
        <f>'66 SYANA PRAROOP-20'!H97</f>
        <v>7</v>
      </c>
      <c r="K96" s="103">
        <f>'66 SYANA PRAROOP-20'!I97</f>
        <v>4</v>
      </c>
      <c r="L96" s="103">
        <f>'66 SYANA PRAROOP-20'!J97</f>
        <v>4</v>
      </c>
      <c r="M96" s="78">
        <f t="shared" si="2"/>
        <v>468</v>
      </c>
      <c r="N96" s="103">
        <v>0</v>
      </c>
      <c r="O96" s="103">
        <f>'66 SYANA PRAROOP-20'!M97</f>
        <v>3</v>
      </c>
      <c r="P96" s="78">
        <f t="shared" si="3"/>
        <v>471</v>
      </c>
      <c r="Q96" s="103">
        <v>0</v>
      </c>
    </row>
    <row r="97" spans="2:17" ht="18.75">
      <c r="B97" s="78">
        <v>91</v>
      </c>
      <c r="C97" s="114" t="s">
        <v>284</v>
      </c>
      <c r="D97" s="33">
        <v>516</v>
      </c>
      <c r="E97" s="103">
        <f>'66 SYANA PRAROOP-20'!C98</f>
        <v>36</v>
      </c>
      <c r="F97" s="103">
        <f>'66 SYANA PRAROOP-20'!D98</f>
        <v>443</v>
      </c>
      <c r="G97" s="103">
        <f>'66 SYANA PRAROOP-20'!E98</f>
        <v>2</v>
      </c>
      <c r="H97" s="103">
        <f>'66 SYANA PRAROOP-20'!F98</f>
        <v>25</v>
      </c>
      <c r="I97" s="103">
        <f>'66 SYANA PRAROOP-20'!G98</f>
        <v>1</v>
      </c>
      <c r="J97" s="103">
        <f>'66 SYANA PRAROOP-20'!H98</f>
        <v>2</v>
      </c>
      <c r="K97" s="103">
        <f>'66 SYANA PRAROOP-20'!I98</f>
        <v>1</v>
      </c>
      <c r="L97" s="103">
        <f>'66 SYANA PRAROOP-20'!J98</f>
        <v>4</v>
      </c>
      <c r="M97" s="78">
        <f t="shared" si="2"/>
        <v>514</v>
      </c>
      <c r="N97" s="103">
        <v>0</v>
      </c>
      <c r="O97" s="103">
        <f>'66 SYANA PRAROOP-20'!M98</f>
        <v>2</v>
      </c>
      <c r="P97" s="78">
        <f t="shared" si="3"/>
        <v>516</v>
      </c>
      <c r="Q97" s="103">
        <v>0</v>
      </c>
    </row>
    <row r="98" spans="2:17" ht="18.75">
      <c r="B98" s="78">
        <v>92</v>
      </c>
      <c r="C98" s="114" t="s">
        <v>285</v>
      </c>
      <c r="D98" s="33">
        <v>593</v>
      </c>
      <c r="E98" s="103">
        <f>'66 SYANA PRAROOP-20'!C99</f>
        <v>113</v>
      </c>
      <c r="F98" s="103">
        <f>'66 SYANA PRAROOP-20'!D99</f>
        <v>466</v>
      </c>
      <c r="G98" s="103">
        <f>'66 SYANA PRAROOP-20'!E99</f>
        <v>4</v>
      </c>
      <c r="H98" s="103">
        <f>'66 SYANA PRAROOP-20'!F99</f>
        <v>1</v>
      </c>
      <c r="I98" s="103">
        <f>'66 SYANA PRAROOP-20'!G99</f>
        <v>3</v>
      </c>
      <c r="J98" s="103">
        <f>'66 SYANA PRAROOP-20'!H99</f>
        <v>2</v>
      </c>
      <c r="K98" s="103">
        <f>'66 SYANA PRAROOP-20'!I99</f>
        <v>0</v>
      </c>
      <c r="L98" s="103">
        <f>'66 SYANA PRAROOP-20'!J99</f>
        <v>3</v>
      </c>
      <c r="M98" s="78">
        <f t="shared" si="2"/>
        <v>592</v>
      </c>
      <c r="N98" s="103">
        <v>0</v>
      </c>
      <c r="O98" s="103">
        <f>'66 SYANA PRAROOP-20'!M99</f>
        <v>1</v>
      </c>
      <c r="P98" s="78">
        <f t="shared" si="3"/>
        <v>593</v>
      </c>
      <c r="Q98" s="103">
        <v>0</v>
      </c>
    </row>
    <row r="99" spans="2:17" ht="18.75">
      <c r="B99" s="78">
        <v>93</v>
      </c>
      <c r="C99" s="114" t="s">
        <v>286</v>
      </c>
      <c r="D99" s="33">
        <v>658</v>
      </c>
      <c r="E99" s="103">
        <f>'66 SYANA PRAROOP-20'!C100</f>
        <v>333</v>
      </c>
      <c r="F99" s="103">
        <f>'66 SYANA PRAROOP-20'!D100</f>
        <v>312</v>
      </c>
      <c r="G99" s="103">
        <f>'66 SYANA PRAROOP-20'!E100</f>
        <v>2</v>
      </c>
      <c r="H99" s="103">
        <f>'66 SYANA PRAROOP-20'!F100</f>
        <v>3</v>
      </c>
      <c r="I99" s="103">
        <f>'66 SYANA PRAROOP-20'!G100</f>
        <v>0</v>
      </c>
      <c r="J99" s="103">
        <f>'66 SYANA PRAROOP-20'!H100</f>
        <v>1</v>
      </c>
      <c r="K99" s="103">
        <f>'66 SYANA PRAROOP-20'!I100</f>
        <v>0</v>
      </c>
      <c r="L99" s="103">
        <f>'66 SYANA PRAROOP-20'!J100</f>
        <v>0</v>
      </c>
      <c r="M99" s="78">
        <f t="shared" si="2"/>
        <v>651</v>
      </c>
      <c r="N99" s="103">
        <v>0</v>
      </c>
      <c r="O99" s="103">
        <f>'66 SYANA PRAROOP-20'!M100</f>
        <v>7</v>
      </c>
      <c r="P99" s="78">
        <f t="shared" si="3"/>
        <v>658</v>
      </c>
      <c r="Q99" s="103">
        <v>0</v>
      </c>
    </row>
    <row r="100" spans="2:17" ht="18.75">
      <c r="B100" s="78">
        <v>94</v>
      </c>
      <c r="C100" s="114" t="s">
        <v>287</v>
      </c>
      <c r="D100" s="33">
        <v>582</v>
      </c>
      <c r="E100" s="103">
        <f>'66 SYANA PRAROOP-20'!C101</f>
        <v>181</v>
      </c>
      <c r="F100" s="103">
        <f>'66 SYANA PRAROOP-20'!D101</f>
        <v>360</v>
      </c>
      <c r="G100" s="103">
        <f>'66 SYANA PRAROOP-20'!E101</f>
        <v>25</v>
      </c>
      <c r="H100" s="103">
        <f>'66 SYANA PRAROOP-20'!F101</f>
        <v>4</v>
      </c>
      <c r="I100" s="103">
        <f>'66 SYANA PRAROOP-20'!G101</f>
        <v>1</v>
      </c>
      <c r="J100" s="103">
        <f>'66 SYANA PRAROOP-20'!H101</f>
        <v>3</v>
      </c>
      <c r="K100" s="103">
        <f>'66 SYANA PRAROOP-20'!I101</f>
        <v>2</v>
      </c>
      <c r="L100" s="103">
        <f>'66 SYANA PRAROOP-20'!J101</f>
        <v>2</v>
      </c>
      <c r="M100" s="78">
        <f t="shared" si="2"/>
        <v>578</v>
      </c>
      <c r="N100" s="103">
        <v>0</v>
      </c>
      <c r="O100" s="103">
        <f>'66 SYANA PRAROOP-20'!M101</f>
        <v>4</v>
      </c>
      <c r="P100" s="78">
        <f t="shared" si="3"/>
        <v>582</v>
      </c>
      <c r="Q100" s="103">
        <v>0</v>
      </c>
    </row>
    <row r="101" spans="2:17" ht="18.75">
      <c r="B101" s="78">
        <v>95</v>
      </c>
      <c r="C101" s="114" t="s">
        <v>288</v>
      </c>
      <c r="D101" s="33">
        <v>695</v>
      </c>
      <c r="E101" s="103">
        <f>'66 SYANA PRAROOP-20'!C102</f>
        <v>35</v>
      </c>
      <c r="F101" s="103">
        <f>'66 SYANA PRAROOP-20'!D102</f>
        <v>474</v>
      </c>
      <c r="G101" s="103">
        <f>'66 SYANA PRAROOP-20'!E102</f>
        <v>5</v>
      </c>
      <c r="H101" s="103">
        <f>'66 SYANA PRAROOP-20'!F102</f>
        <v>164</v>
      </c>
      <c r="I101" s="103">
        <f>'66 SYANA PRAROOP-20'!G102</f>
        <v>3</v>
      </c>
      <c r="J101" s="103">
        <f>'66 SYANA PRAROOP-20'!H102</f>
        <v>3</v>
      </c>
      <c r="K101" s="103">
        <f>'66 SYANA PRAROOP-20'!I102</f>
        <v>4</v>
      </c>
      <c r="L101" s="103">
        <f>'66 SYANA PRAROOP-20'!J102</f>
        <v>5</v>
      </c>
      <c r="M101" s="78">
        <f t="shared" si="2"/>
        <v>693</v>
      </c>
      <c r="N101" s="103">
        <v>0</v>
      </c>
      <c r="O101" s="103">
        <f>'66 SYANA PRAROOP-20'!M102</f>
        <v>2</v>
      </c>
      <c r="P101" s="78">
        <f t="shared" si="3"/>
        <v>695</v>
      </c>
      <c r="Q101" s="103">
        <v>0</v>
      </c>
    </row>
    <row r="102" spans="2:17" ht="18.75">
      <c r="B102" s="78">
        <v>96</v>
      </c>
      <c r="C102" s="114" t="s">
        <v>289</v>
      </c>
      <c r="D102" s="33">
        <v>674</v>
      </c>
      <c r="E102" s="103">
        <f>'66 SYANA PRAROOP-20'!C103</f>
        <v>6</v>
      </c>
      <c r="F102" s="103">
        <f>'66 SYANA PRAROOP-20'!D103</f>
        <v>526</v>
      </c>
      <c r="G102" s="103">
        <f>'66 SYANA PRAROOP-20'!E103</f>
        <v>6</v>
      </c>
      <c r="H102" s="103">
        <f>'66 SYANA PRAROOP-20'!F103</f>
        <v>118</v>
      </c>
      <c r="I102" s="103">
        <f>'66 SYANA PRAROOP-20'!G103</f>
        <v>0</v>
      </c>
      <c r="J102" s="103">
        <f>'66 SYANA PRAROOP-20'!H103</f>
        <v>2</v>
      </c>
      <c r="K102" s="103">
        <f>'66 SYANA PRAROOP-20'!I103</f>
        <v>5</v>
      </c>
      <c r="L102" s="103">
        <f>'66 SYANA PRAROOP-20'!J103</f>
        <v>6</v>
      </c>
      <c r="M102" s="78">
        <f t="shared" si="2"/>
        <v>669</v>
      </c>
      <c r="N102" s="103">
        <v>0</v>
      </c>
      <c r="O102" s="103">
        <f>'66 SYANA PRAROOP-20'!M103</f>
        <v>5</v>
      </c>
      <c r="P102" s="78">
        <f t="shared" si="3"/>
        <v>674</v>
      </c>
      <c r="Q102" s="103">
        <v>0</v>
      </c>
    </row>
    <row r="103" spans="2:17" ht="18.75">
      <c r="B103" s="78">
        <v>97</v>
      </c>
      <c r="C103" s="114" t="s">
        <v>290</v>
      </c>
      <c r="D103" s="33">
        <v>323</v>
      </c>
      <c r="E103" s="103">
        <f>'66 SYANA PRAROOP-20'!C104</f>
        <v>116</v>
      </c>
      <c r="F103" s="103">
        <f>'66 SYANA PRAROOP-20'!D104</f>
        <v>186</v>
      </c>
      <c r="G103" s="103">
        <f>'66 SYANA PRAROOP-20'!E104</f>
        <v>3</v>
      </c>
      <c r="H103" s="103">
        <f>'66 SYANA PRAROOP-20'!F104</f>
        <v>12</v>
      </c>
      <c r="I103" s="103">
        <f>'66 SYANA PRAROOP-20'!G104</f>
        <v>0</v>
      </c>
      <c r="J103" s="103">
        <f>'66 SYANA PRAROOP-20'!H104</f>
        <v>0</v>
      </c>
      <c r="K103" s="103">
        <f>'66 SYANA PRAROOP-20'!I104</f>
        <v>1</v>
      </c>
      <c r="L103" s="103">
        <f>'66 SYANA PRAROOP-20'!J104</f>
        <v>4</v>
      </c>
      <c r="M103" s="78">
        <f t="shared" si="2"/>
        <v>322</v>
      </c>
      <c r="N103" s="103">
        <v>0</v>
      </c>
      <c r="O103" s="103">
        <f>'66 SYANA PRAROOP-20'!M104</f>
        <v>1</v>
      </c>
      <c r="P103" s="78">
        <f t="shared" si="3"/>
        <v>323</v>
      </c>
      <c r="Q103" s="103">
        <v>0</v>
      </c>
    </row>
    <row r="104" spans="2:17" ht="18.75">
      <c r="B104" s="78">
        <v>98</v>
      </c>
      <c r="C104" s="114" t="s">
        <v>291</v>
      </c>
      <c r="D104" s="33">
        <v>714</v>
      </c>
      <c r="E104" s="103">
        <f>'66 SYANA PRAROOP-20'!C105</f>
        <v>141</v>
      </c>
      <c r="F104" s="103">
        <f>'66 SYANA PRAROOP-20'!D105</f>
        <v>532</v>
      </c>
      <c r="G104" s="103">
        <f>'66 SYANA PRAROOP-20'!E105</f>
        <v>11</v>
      </c>
      <c r="H104" s="103">
        <f>'66 SYANA PRAROOP-20'!F105</f>
        <v>25</v>
      </c>
      <c r="I104" s="103">
        <f>'66 SYANA PRAROOP-20'!G105</f>
        <v>2</v>
      </c>
      <c r="J104" s="103">
        <f>'66 SYANA PRAROOP-20'!H105</f>
        <v>1</v>
      </c>
      <c r="K104" s="103">
        <f>'66 SYANA PRAROOP-20'!I105</f>
        <v>0</v>
      </c>
      <c r="L104" s="103">
        <f>'66 SYANA PRAROOP-20'!J105</f>
        <v>0</v>
      </c>
      <c r="M104" s="78">
        <f t="shared" si="2"/>
        <v>712</v>
      </c>
      <c r="N104" s="103">
        <v>0</v>
      </c>
      <c r="O104" s="103">
        <f>'66 SYANA PRAROOP-20'!M105</f>
        <v>2</v>
      </c>
      <c r="P104" s="78">
        <f t="shared" si="3"/>
        <v>714</v>
      </c>
      <c r="Q104" s="103">
        <v>0</v>
      </c>
    </row>
    <row r="105" spans="2:17" ht="18.75">
      <c r="B105" s="78">
        <v>99</v>
      </c>
      <c r="C105" s="114" t="s">
        <v>292</v>
      </c>
      <c r="D105" s="33">
        <v>446</v>
      </c>
      <c r="E105" s="103">
        <f>'66 SYANA PRAROOP-20'!C106</f>
        <v>105</v>
      </c>
      <c r="F105" s="103">
        <f>'66 SYANA PRAROOP-20'!D106</f>
        <v>229</v>
      </c>
      <c r="G105" s="103">
        <f>'66 SYANA PRAROOP-20'!E106</f>
        <v>5</v>
      </c>
      <c r="H105" s="103">
        <f>'66 SYANA PRAROOP-20'!F106</f>
        <v>104</v>
      </c>
      <c r="I105" s="103">
        <f>'66 SYANA PRAROOP-20'!G106</f>
        <v>1</v>
      </c>
      <c r="J105" s="103">
        <f>'66 SYANA PRAROOP-20'!H106</f>
        <v>1</v>
      </c>
      <c r="K105" s="103">
        <f>'66 SYANA PRAROOP-20'!I106</f>
        <v>1</v>
      </c>
      <c r="L105" s="103">
        <f>'66 SYANA PRAROOP-20'!J106</f>
        <v>0</v>
      </c>
      <c r="M105" s="78">
        <f t="shared" si="2"/>
        <v>446</v>
      </c>
      <c r="N105" s="103">
        <v>0</v>
      </c>
      <c r="O105" s="103">
        <f>'66 SYANA PRAROOP-20'!M106</f>
        <v>0</v>
      </c>
      <c r="P105" s="78">
        <f t="shared" si="3"/>
        <v>446</v>
      </c>
      <c r="Q105" s="103">
        <v>0</v>
      </c>
    </row>
    <row r="106" spans="2:17" ht="18.75">
      <c r="B106" s="78">
        <v>100</v>
      </c>
      <c r="C106" s="114" t="s">
        <v>293</v>
      </c>
      <c r="D106" s="33">
        <v>861</v>
      </c>
      <c r="E106" s="103">
        <f>'66 SYANA PRAROOP-20'!C107</f>
        <v>46</v>
      </c>
      <c r="F106" s="103">
        <f>'66 SYANA PRAROOP-20'!D107</f>
        <v>766</v>
      </c>
      <c r="G106" s="103">
        <f>'66 SYANA PRAROOP-20'!E107</f>
        <v>5</v>
      </c>
      <c r="H106" s="103">
        <f>'66 SYANA PRAROOP-20'!F107</f>
        <v>27</v>
      </c>
      <c r="I106" s="103">
        <f>'66 SYANA PRAROOP-20'!G107</f>
        <v>0</v>
      </c>
      <c r="J106" s="103">
        <f>'66 SYANA PRAROOP-20'!H107</f>
        <v>3</v>
      </c>
      <c r="K106" s="103">
        <f>'66 SYANA PRAROOP-20'!I107</f>
        <v>3</v>
      </c>
      <c r="L106" s="103">
        <f>'66 SYANA PRAROOP-20'!J107</f>
        <v>10</v>
      </c>
      <c r="M106" s="78">
        <f t="shared" si="2"/>
        <v>860</v>
      </c>
      <c r="N106" s="103">
        <v>0</v>
      </c>
      <c r="O106" s="103">
        <f>'66 SYANA PRAROOP-20'!M107</f>
        <v>1</v>
      </c>
      <c r="P106" s="78">
        <f t="shared" si="3"/>
        <v>861</v>
      </c>
      <c r="Q106" s="103">
        <v>0</v>
      </c>
    </row>
    <row r="107" spans="2:17" ht="18.75">
      <c r="B107" s="78">
        <v>101</v>
      </c>
      <c r="C107" s="114" t="s">
        <v>294</v>
      </c>
      <c r="D107" s="33">
        <v>778</v>
      </c>
      <c r="E107" s="103">
        <f>'66 SYANA PRAROOP-20'!C108</f>
        <v>148</v>
      </c>
      <c r="F107" s="103">
        <f>'66 SYANA PRAROOP-20'!D108</f>
        <v>451</v>
      </c>
      <c r="G107" s="103">
        <f>'66 SYANA PRAROOP-20'!E108</f>
        <v>6</v>
      </c>
      <c r="H107" s="103">
        <f>'66 SYANA PRAROOP-20'!F108</f>
        <v>148</v>
      </c>
      <c r="I107" s="103">
        <f>'66 SYANA PRAROOP-20'!G108</f>
        <v>3</v>
      </c>
      <c r="J107" s="103">
        <f>'66 SYANA PRAROOP-20'!H108</f>
        <v>5</v>
      </c>
      <c r="K107" s="103">
        <f>'66 SYANA PRAROOP-20'!I108</f>
        <v>2</v>
      </c>
      <c r="L107" s="103">
        <f>'66 SYANA PRAROOP-20'!J108</f>
        <v>4</v>
      </c>
      <c r="M107" s="78">
        <f t="shared" si="2"/>
        <v>767</v>
      </c>
      <c r="N107" s="103">
        <v>0</v>
      </c>
      <c r="O107" s="103">
        <f>'66 SYANA PRAROOP-20'!M108</f>
        <v>11</v>
      </c>
      <c r="P107" s="78">
        <f t="shared" si="3"/>
        <v>778</v>
      </c>
      <c r="Q107" s="103">
        <v>0</v>
      </c>
    </row>
    <row r="108" spans="2:17" ht="18.75">
      <c r="B108" s="78">
        <v>102</v>
      </c>
      <c r="C108" s="114" t="s">
        <v>295</v>
      </c>
      <c r="D108" s="33">
        <v>726</v>
      </c>
      <c r="E108" s="103">
        <f>'66 SYANA PRAROOP-20'!C109</f>
        <v>16</v>
      </c>
      <c r="F108" s="103">
        <f>'66 SYANA PRAROOP-20'!D109</f>
        <v>472</v>
      </c>
      <c r="G108" s="103">
        <f>'66 SYANA PRAROOP-20'!E109</f>
        <v>2</v>
      </c>
      <c r="H108" s="103">
        <f>'66 SYANA PRAROOP-20'!F109</f>
        <v>229</v>
      </c>
      <c r="I108" s="103">
        <f>'66 SYANA PRAROOP-20'!G109</f>
        <v>1</v>
      </c>
      <c r="J108" s="103">
        <f>'66 SYANA PRAROOP-20'!H109</f>
        <v>1</v>
      </c>
      <c r="K108" s="103">
        <f>'66 SYANA PRAROOP-20'!I109</f>
        <v>1</v>
      </c>
      <c r="L108" s="103">
        <f>'66 SYANA PRAROOP-20'!J109</f>
        <v>2</v>
      </c>
      <c r="M108" s="78">
        <f t="shared" si="2"/>
        <v>724</v>
      </c>
      <c r="N108" s="103">
        <v>0</v>
      </c>
      <c r="O108" s="103">
        <f>'66 SYANA PRAROOP-20'!M109</f>
        <v>2</v>
      </c>
      <c r="P108" s="78">
        <f t="shared" si="3"/>
        <v>726</v>
      </c>
      <c r="Q108" s="103">
        <v>0</v>
      </c>
    </row>
    <row r="109" spans="2:17" ht="18.75">
      <c r="B109" s="78">
        <v>103</v>
      </c>
      <c r="C109" s="114" t="s">
        <v>296</v>
      </c>
      <c r="D109" s="33">
        <v>731</v>
      </c>
      <c r="E109" s="103">
        <f>'66 SYANA PRAROOP-20'!C110</f>
        <v>245</v>
      </c>
      <c r="F109" s="103">
        <f>'66 SYANA PRAROOP-20'!D110</f>
        <v>426</v>
      </c>
      <c r="G109" s="103">
        <f>'66 SYANA PRAROOP-20'!E110</f>
        <v>7</v>
      </c>
      <c r="H109" s="103">
        <f>'66 SYANA PRAROOP-20'!F110</f>
        <v>44</v>
      </c>
      <c r="I109" s="103">
        <f>'66 SYANA PRAROOP-20'!G110</f>
        <v>0</v>
      </c>
      <c r="J109" s="103">
        <f>'66 SYANA PRAROOP-20'!H110</f>
        <v>2</v>
      </c>
      <c r="K109" s="103">
        <f>'66 SYANA PRAROOP-20'!I110</f>
        <v>1</v>
      </c>
      <c r="L109" s="103">
        <f>'66 SYANA PRAROOP-20'!J110</f>
        <v>1</v>
      </c>
      <c r="M109" s="78">
        <f t="shared" si="2"/>
        <v>726</v>
      </c>
      <c r="N109" s="103">
        <v>0</v>
      </c>
      <c r="O109" s="103">
        <f>'66 SYANA PRAROOP-20'!M110</f>
        <v>5</v>
      </c>
      <c r="P109" s="78">
        <f t="shared" si="3"/>
        <v>731</v>
      </c>
      <c r="Q109" s="103">
        <v>0</v>
      </c>
    </row>
    <row r="110" spans="2:17" ht="18.75">
      <c r="B110" s="78">
        <v>104</v>
      </c>
      <c r="C110" s="114" t="s">
        <v>297</v>
      </c>
      <c r="D110" s="33">
        <v>769</v>
      </c>
      <c r="E110" s="103">
        <f>'66 SYANA PRAROOP-20'!C111</f>
        <v>136</v>
      </c>
      <c r="F110" s="103">
        <f>'66 SYANA PRAROOP-20'!D111</f>
        <v>568</v>
      </c>
      <c r="G110" s="103">
        <f>'66 SYANA PRAROOP-20'!E111</f>
        <v>6</v>
      </c>
      <c r="H110" s="103">
        <f>'66 SYANA PRAROOP-20'!F111</f>
        <v>50</v>
      </c>
      <c r="I110" s="103">
        <f>'66 SYANA PRAROOP-20'!G111</f>
        <v>1</v>
      </c>
      <c r="J110" s="103">
        <f>'66 SYANA PRAROOP-20'!H111</f>
        <v>3</v>
      </c>
      <c r="K110" s="103">
        <f>'66 SYANA PRAROOP-20'!I111</f>
        <v>1</v>
      </c>
      <c r="L110" s="103">
        <f>'66 SYANA PRAROOP-20'!J111</f>
        <v>2</v>
      </c>
      <c r="M110" s="78">
        <f t="shared" si="2"/>
        <v>767</v>
      </c>
      <c r="N110" s="103">
        <v>0</v>
      </c>
      <c r="O110" s="103">
        <f>'66 SYANA PRAROOP-20'!M111</f>
        <v>2</v>
      </c>
      <c r="P110" s="78">
        <f t="shared" si="3"/>
        <v>769</v>
      </c>
      <c r="Q110" s="103">
        <v>0</v>
      </c>
    </row>
    <row r="111" spans="2:17" ht="18.75">
      <c r="B111" s="78">
        <v>105</v>
      </c>
      <c r="C111" s="114" t="s">
        <v>298</v>
      </c>
      <c r="D111" s="33">
        <v>638</v>
      </c>
      <c r="E111" s="103">
        <f>'66 SYANA PRAROOP-20'!C112</f>
        <v>74</v>
      </c>
      <c r="F111" s="103">
        <f>'66 SYANA PRAROOP-20'!D112</f>
        <v>528</v>
      </c>
      <c r="G111" s="103">
        <f>'66 SYANA PRAROOP-20'!E112</f>
        <v>1</v>
      </c>
      <c r="H111" s="103">
        <f>'66 SYANA PRAROOP-20'!F112</f>
        <v>30</v>
      </c>
      <c r="I111" s="103">
        <f>'66 SYANA PRAROOP-20'!G112</f>
        <v>0</v>
      </c>
      <c r="J111" s="103">
        <f>'66 SYANA PRAROOP-20'!H112</f>
        <v>5</v>
      </c>
      <c r="K111" s="103">
        <f>'66 SYANA PRAROOP-20'!I112</f>
        <v>0</v>
      </c>
      <c r="L111" s="103">
        <f>'66 SYANA PRAROOP-20'!J112</f>
        <v>0</v>
      </c>
      <c r="M111" s="78">
        <f t="shared" si="2"/>
        <v>638</v>
      </c>
      <c r="N111" s="103">
        <v>0</v>
      </c>
      <c r="O111" s="103">
        <f>'66 SYANA PRAROOP-20'!M112</f>
        <v>0</v>
      </c>
      <c r="P111" s="78">
        <f t="shared" si="3"/>
        <v>638</v>
      </c>
      <c r="Q111" s="103">
        <v>0</v>
      </c>
    </row>
    <row r="112" spans="2:17" ht="18.75">
      <c r="B112" s="78">
        <v>106</v>
      </c>
      <c r="C112" s="114" t="s">
        <v>299</v>
      </c>
      <c r="D112" s="33">
        <v>558</v>
      </c>
      <c r="E112" s="103">
        <f>'66 SYANA PRAROOP-20'!C113</f>
        <v>65</v>
      </c>
      <c r="F112" s="103">
        <f>'66 SYANA PRAROOP-20'!D113</f>
        <v>326</v>
      </c>
      <c r="G112" s="103">
        <f>'66 SYANA PRAROOP-20'!E113</f>
        <v>3</v>
      </c>
      <c r="H112" s="103">
        <f>'66 SYANA PRAROOP-20'!F113</f>
        <v>157</v>
      </c>
      <c r="I112" s="103">
        <f>'66 SYANA PRAROOP-20'!G113</f>
        <v>4</v>
      </c>
      <c r="J112" s="103">
        <f>'66 SYANA PRAROOP-20'!H113</f>
        <v>2</v>
      </c>
      <c r="K112" s="103">
        <f>'66 SYANA PRAROOP-20'!I113</f>
        <v>0</v>
      </c>
      <c r="L112" s="103">
        <f>'66 SYANA PRAROOP-20'!J113</f>
        <v>0</v>
      </c>
      <c r="M112" s="78">
        <f t="shared" si="2"/>
        <v>557</v>
      </c>
      <c r="N112" s="103">
        <v>0</v>
      </c>
      <c r="O112" s="103">
        <f>'66 SYANA PRAROOP-20'!M113</f>
        <v>1</v>
      </c>
      <c r="P112" s="78">
        <f t="shared" si="3"/>
        <v>558</v>
      </c>
      <c r="Q112" s="103">
        <v>0</v>
      </c>
    </row>
    <row r="113" spans="2:17" ht="18.75">
      <c r="B113" s="78">
        <v>107</v>
      </c>
      <c r="C113" s="114" t="s">
        <v>300</v>
      </c>
      <c r="D113" s="33">
        <v>562</v>
      </c>
      <c r="E113" s="103">
        <f>'66 SYANA PRAROOP-20'!C114</f>
        <v>75</v>
      </c>
      <c r="F113" s="103">
        <f>'66 SYANA PRAROOP-20'!D114</f>
        <v>301</v>
      </c>
      <c r="G113" s="103">
        <f>'66 SYANA PRAROOP-20'!E114</f>
        <v>9</v>
      </c>
      <c r="H113" s="103">
        <f>'66 SYANA PRAROOP-20'!F114</f>
        <v>168</v>
      </c>
      <c r="I113" s="103">
        <f>'66 SYANA PRAROOP-20'!G114</f>
        <v>2</v>
      </c>
      <c r="J113" s="103">
        <f>'66 SYANA PRAROOP-20'!H114</f>
        <v>5</v>
      </c>
      <c r="K113" s="103">
        <f>'66 SYANA PRAROOP-20'!I114</f>
        <v>1</v>
      </c>
      <c r="L113" s="103">
        <f>'66 SYANA PRAROOP-20'!J114</f>
        <v>0</v>
      </c>
      <c r="M113" s="78">
        <f t="shared" si="2"/>
        <v>561</v>
      </c>
      <c r="N113" s="103">
        <v>0</v>
      </c>
      <c r="O113" s="103">
        <f>'66 SYANA PRAROOP-20'!M114</f>
        <v>1</v>
      </c>
      <c r="P113" s="78">
        <f t="shared" si="3"/>
        <v>562</v>
      </c>
      <c r="Q113" s="103">
        <v>0</v>
      </c>
    </row>
    <row r="114" spans="2:17" ht="18.75">
      <c r="B114" s="78">
        <v>108</v>
      </c>
      <c r="C114" s="114" t="s">
        <v>301</v>
      </c>
      <c r="D114" s="33">
        <v>419</v>
      </c>
      <c r="E114" s="103">
        <f>'66 SYANA PRAROOP-20'!C115</f>
        <v>79</v>
      </c>
      <c r="F114" s="103">
        <f>'66 SYANA PRAROOP-20'!D115</f>
        <v>166</v>
      </c>
      <c r="G114" s="103">
        <f>'66 SYANA PRAROOP-20'!E115</f>
        <v>4</v>
      </c>
      <c r="H114" s="103">
        <f>'66 SYANA PRAROOP-20'!F115</f>
        <v>160</v>
      </c>
      <c r="I114" s="103">
        <f>'66 SYANA PRAROOP-20'!G115</f>
        <v>0</v>
      </c>
      <c r="J114" s="103">
        <f>'66 SYANA PRAROOP-20'!H115</f>
        <v>0</v>
      </c>
      <c r="K114" s="103">
        <f>'66 SYANA PRAROOP-20'!I115</f>
        <v>7</v>
      </c>
      <c r="L114" s="103">
        <f>'66 SYANA PRAROOP-20'!J115</f>
        <v>1</v>
      </c>
      <c r="M114" s="78">
        <f t="shared" si="2"/>
        <v>417</v>
      </c>
      <c r="N114" s="103">
        <v>0</v>
      </c>
      <c r="O114" s="103">
        <f>'66 SYANA PRAROOP-20'!M115</f>
        <v>2</v>
      </c>
      <c r="P114" s="78">
        <f t="shared" si="3"/>
        <v>419</v>
      </c>
      <c r="Q114" s="103">
        <v>0</v>
      </c>
    </row>
    <row r="115" spans="2:17" ht="18.75">
      <c r="B115" s="78">
        <v>109</v>
      </c>
      <c r="C115" s="114" t="s">
        <v>302</v>
      </c>
      <c r="D115" s="33">
        <v>604</v>
      </c>
      <c r="E115" s="103">
        <f>'66 SYANA PRAROOP-20'!C116</f>
        <v>55</v>
      </c>
      <c r="F115" s="103">
        <f>'66 SYANA PRAROOP-20'!D116</f>
        <v>356</v>
      </c>
      <c r="G115" s="103">
        <f>'66 SYANA PRAROOP-20'!E116</f>
        <v>7</v>
      </c>
      <c r="H115" s="103">
        <f>'66 SYANA PRAROOP-20'!F116</f>
        <v>174</v>
      </c>
      <c r="I115" s="103">
        <f>'66 SYANA PRAROOP-20'!G116</f>
        <v>3</v>
      </c>
      <c r="J115" s="103">
        <f>'66 SYANA PRAROOP-20'!H116</f>
        <v>3</v>
      </c>
      <c r="K115" s="103">
        <f>'66 SYANA PRAROOP-20'!I116</f>
        <v>4</v>
      </c>
      <c r="L115" s="103">
        <f>'66 SYANA PRAROOP-20'!J116</f>
        <v>1</v>
      </c>
      <c r="M115" s="78">
        <f t="shared" si="2"/>
        <v>603</v>
      </c>
      <c r="N115" s="103">
        <v>0</v>
      </c>
      <c r="O115" s="103">
        <f>'66 SYANA PRAROOP-20'!M116</f>
        <v>1</v>
      </c>
      <c r="P115" s="78">
        <f t="shared" si="3"/>
        <v>604</v>
      </c>
      <c r="Q115" s="103">
        <v>0</v>
      </c>
    </row>
    <row r="116" spans="2:17" ht="18.75">
      <c r="B116" s="78">
        <v>110</v>
      </c>
      <c r="C116" s="114" t="s">
        <v>303</v>
      </c>
      <c r="D116" s="33">
        <v>721</v>
      </c>
      <c r="E116" s="103">
        <f>'66 SYANA PRAROOP-20'!C117</f>
        <v>260</v>
      </c>
      <c r="F116" s="103">
        <f>'66 SYANA PRAROOP-20'!D117</f>
        <v>380</v>
      </c>
      <c r="G116" s="103">
        <f>'66 SYANA PRAROOP-20'!E117</f>
        <v>10</v>
      </c>
      <c r="H116" s="103">
        <f>'66 SYANA PRAROOP-20'!F117</f>
        <v>63</v>
      </c>
      <c r="I116" s="103">
        <f>'66 SYANA PRAROOP-20'!G117</f>
        <v>1</v>
      </c>
      <c r="J116" s="103">
        <f>'66 SYANA PRAROOP-20'!H117</f>
        <v>1</v>
      </c>
      <c r="K116" s="103">
        <f>'66 SYANA PRAROOP-20'!I117</f>
        <v>3</v>
      </c>
      <c r="L116" s="103">
        <f>'66 SYANA PRAROOP-20'!J117</f>
        <v>3</v>
      </c>
      <c r="M116" s="78">
        <f t="shared" si="2"/>
        <v>721</v>
      </c>
      <c r="N116" s="103">
        <v>0</v>
      </c>
      <c r="O116" s="103">
        <f>'66 SYANA PRAROOP-20'!M117</f>
        <v>0</v>
      </c>
      <c r="P116" s="78">
        <f t="shared" si="3"/>
        <v>721</v>
      </c>
      <c r="Q116" s="103">
        <v>0</v>
      </c>
    </row>
    <row r="117" spans="2:17" ht="18.75">
      <c r="B117" s="78">
        <v>111</v>
      </c>
      <c r="C117" s="114" t="s">
        <v>304</v>
      </c>
      <c r="D117" s="33">
        <v>660</v>
      </c>
      <c r="E117" s="103">
        <f>'66 SYANA PRAROOP-20'!C118</f>
        <v>19</v>
      </c>
      <c r="F117" s="103">
        <f>'66 SYANA PRAROOP-20'!D118</f>
        <v>426</v>
      </c>
      <c r="G117" s="103">
        <f>'66 SYANA PRAROOP-20'!E118</f>
        <v>0</v>
      </c>
      <c r="H117" s="103">
        <f>'66 SYANA PRAROOP-20'!F118</f>
        <v>207</v>
      </c>
      <c r="I117" s="103">
        <f>'66 SYANA PRAROOP-20'!G118</f>
        <v>2</v>
      </c>
      <c r="J117" s="103">
        <f>'66 SYANA PRAROOP-20'!H118</f>
        <v>3</v>
      </c>
      <c r="K117" s="103">
        <f>'66 SYANA PRAROOP-20'!I118</f>
        <v>0</v>
      </c>
      <c r="L117" s="103">
        <f>'66 SYANA PRAROOP-20'!J118</f>
        <v>3</v>
      </c>
      <c r="M117" s="78">
        <f t="shared" si="2"/>
        <v>660</v>
      </c>
      <c r="N117" s="103">
        <v>0</v>
      </c>
      <c r="O117" s="103">
        <f>'66 SYANA PRAROOP-20'!M118</f>
        <v>0</v>
      </c>
      <c r="P117" s="78">
        <f t="shared" si="3"/>
        <v>660</v>
      </c>
      <c r="Q117" s="103">
        <v>0</v>
      </c>
    </row>
    <row r="118" spans="2:17" ht="18.75">
      <c r="B118" s="78">
        <v>112</v>
      </c>
      <c r="C118" s="114" t="s">
        <v>305</v>
      </c>
      <c r="D118" s="33">
        <v>520</v>
      </c>
      <c r="E118" s="103">
        <f>'66 SYANA PRAROOP-20'!C119</f>
        <v>57</v>
      </c>
      <c r="F118" s="103">
        <f>'66 SYANA PRAROOP-20'!D119</f>
        <v>300</v>
      </c>
      <c r="G118" s="103">
        <f>'66 SYANA PRAROOP-20'!E119</f>
        <v>8</v>
      </c>
      <c r="H118" s="103">
        <f>'66 SYANA PRAROOP-20'!F119</f>
        <v>138</v>
      </c>
      <c r="I118" s="103">
        <f>'66 SYANA PRAROOP-20'!G119</f>
        <v>6</v>
      </c>
      <c r="J118" s="103">
        <f>'66 SYANA PRAROOP-20'!H119</f>
        <v>4</v>
      </c>
      <c r="K118" s="103">
        <f>'66 SYANA PRAROOP-20'!I119</f>
        <v>3</v>
      </c>
      <c r="L118" s="103">
        <f>'66 SYANA PRAROOP-20'!J119</f>
        <v>2</v>
      </c>
      <c r="M118" s="78">
        <f t="shared" si="2"/>
        <v>518</v>
      </c>
      <c r="N118" s="103">
        <v>0</v>
      </c>
      <c r="O118" s="103">
        <f>'66 SYANA PRAROOP-20'!M119</f>
        <v>2</v>
      </c>
      <c r="P118" s="78">
        <f t="shared" si="3"/>
        <v>520</v>
      </c>
      <c r="Q118" s="103">
        <v>0</v>
      </c>
    </row>
    <row r="119" spans="2:17" ht="18.75">
      <c r="B119" s="78">
        <v>113</v>
      </c>
      <c r="C119" s="114" t="s">
        <v>306</v>
      </c>
      <c r="D119" s="33">
        <v>570</v>
      </c>
      <c r="E119" s="103">
        <f>'66 SYANA PRAROOP-20'!C120</f>
        <v>78</v>
      </c>
      <c r="F119" s="103">
        <f>'66 SYANA PRAROOP-20'!D120</f>
        <v>280</v>
      </c>
      <c r="G119" s="103">
        <f>'66 SYANA PRAROOP-20'!E120</f>
        <v>3</v>
      </c>
      <c r="H119" s="103">
        <f>'66 SYANA PRAROOP-20'!F120</f>
        <v>200</v>
      </c>
      <c r="I119" s="103">
        <f>'66 SYANA PRAROOP-20'!G120</f>
        <v>2</v>
      </c>
      <c r="J119" s="103">
        <f>'66 SYANA PRAROOP-20'!H120</f>
        <v>2</v>
      </c>
      <c r="K119" s="103">
        <f>'66 SYANA PRAROOP-20'!I120</f>
        <v>1</v>
      </c>
      <c r="L119" s="103">
        <f>'66 SYANA PRAROOP-20'!J120</f>
        <v>0</v>
      </c>
      <c r="M119" s="78">
        <f t="shared" si="2"/>
        <v>566</v>
      </c>
      <c r="N119" s="103">
        <v>0</v>
      </c>
      <c r="O119" s="103">
        <f>'66 SYANA PRAROOP-20'!M120</f>
        <v>4</v>
      </c>
      <c r="P119" s="78">
        <f t="shared" si="3"/>
        <v>570</v>
      </c>
      <c r="Q119" s="103">
        <v>0</v>
      </c>
    </row>
    <row r="120" spans="2:17" ht="18.75">
      <c r="B120" s="78">
        <v>114</v>
      </c>
      <c r="C120" s="114" t="s">
        <v>307</v>
      </c>
      <c r="D120" s="33">
        <v>490</v>
      </c>
      <c r="E120" s="103">
        <f>'66 SYANA PRAROOP-20'!C121</f>
        <v>231</v>
      </c>
      <c r="F120" s="103">
        <f>'66 SYANA PRAROOP-20'!D121</f>
        <v>199</v>
      </c>
      <c r="G120" s="103">
        <f>'66 SYANA PRAROOP-20'!E121</f>
        <v>2</v>
      </c>
      <c r="H120" s="103">
        <f>'66 SYANA PRAROOP-20'!F121</f>
        <v>46</v>
      </c>
      <c r="I120" s="103">
        <f>'66 SYANA PRAROOP-20'!G121</f>
        <v>3</v>
      </c>
      <c r="J120" s="103">
        <f>'66 SYANA PRAROOP-20'!H121</f>
        <v>2</v>
      </c>
      <c r="K120" s="103">
        <f>'66 SYANA PRAROOP-20'!I121</f>
        <v>0</v>
      </c>
      <c r="L120" s="103">
        <f>'66 SYANA PRAROOP-20'!J121</f>
        <v>1</v>
      </c>
      <c r="M120" s="78">
        <f t="shared" si="2"/>
        <v>484</v>
      </c>
      <c r="N120" s="103">
        <v>0</v>
      </c>
      <c r="O120" s="103">
        <f>'66 SYANA PRAROOP-20'!M121</f>
        <v>6</v>
      </c>
      <c r="P120" s="78">
        <f t="shared" si="3"/>
        <v>490</v>
      </c>
      <c r="Q120" s="103">
        <v>0</v>
      </c>
    </row>
    <row r="121" spans="2:17" ht="18.75">
      <c r="B121" s="78">
        <v>115</v>
      </c>
      <c r="C121" s="114" t="s">
        <v>308</v>
      </c>
      <c r="D121" s="33">
        <v>493</v>
      </c>
      <c r="E121" s="103">
        <f>'66 SYANA PRAROOP-20'!C122</f>
        <v>77</v>
      </c>
      <c r="F121" s="103">
        <f>'66 SYANA PRAROOP-20'!D122</f>
        <v>203</v>
      </c>
      <c r="G121" s="103">
        <f>'66 SYANA PRAROOP-20'!E122</f>
        <v>6</v>
      </c>
      <c r="H121" s="103">
        <f>'66 SYANA PRAROOP-20'!F122</f>
        <v>196</v>
      </c>
      <c r="I121" s="103">
        <f>'66 SYANA PRAROOP-20'!G122</f>
        <v>1</v>
      </c>
      <c r="J121" s="103">
        <f>'66 SYANA PRAROOP-20'!H122</f>
        <v>1</v>
      </c>
      <c r="K121" s="103">
        <f>'66 SYANA PRAROOP-20'!I122</f>
        <v>5</v>
      </c>
      <c r="L121" s="103">
        <f>'66 SYANA PRAROOP-20'!J122</f>
        <v>2</v>
      </c>
      <c r="M121" s="78">
        <f t="shared" si="2"/>
        <v>491</v>
      </c>
      <c r="N121" s="103">
        <v>0</v>
      </c>
      <c r="O121" s="103">
        <f>'66 SYANA PRAROOP-20'!M122</f>
        <v>2</v>
      </c>
      <c r="P121" s="78">
        <f t="shared" si="3"/>
        <v>493</v>
      </c>
      <c r="Q121" s="103">
        <v>0</v>
      </c>
    </row>
    <row r="122" spans="2:17" ht="18.75">
      <c r="B122" s="78">
        <v>116</v>
      </c>
      <c r="C122" s="114" t="s">
        <v>309</v>
      </c>
      <c r="D122" s="33">
        <v>432</v>
      </c>
      <c r="E122" s="103">
        <f>'66 SYANA PRAROOP-20'!C123</f>
        <v>41</v>
      </c>
      <c r="F122" s="103">
        <f>'66 SYANA PRAROOP-20'!D123</f>
        <v>261</v>
      </c>
      <c r="G122" s="103">
        <f>'66 SYANA PRAROOP-20'!E123</f>
        <v>3</v>
      </c>
      <c r="H122" s="103">
        <f>'66 SYANA PRAROOP-20'!F123</f>
        <v>114</v>
      </c>
      <c r="I122" s="103">
        <f>'66 SYANA PRAROOP-20'!G123</f>
        <v>7</v>
      </c>
      <c r="J122" s="103">
        <f>'66 SYANA PRAROOP-20'!H123</f>
        <v>1</v>
      </c>
      <c r="K122" s="103">
        <f>'66 SYANA PRAROOP-20'!I123</f>
        <v>1</v>
      </c>
      <c r="L122" s="103">
        <f>'66 SYANA PRAROOP-20'!J123</f>
        <v>2</v>
      </c>
      <c r="M122" s="78">
        <f t="shared" si="2"/>
        <v>430</v>
      </c>
      <c r="N122" s="103">
        <v>0</v>
      </c>
      <c r="O122" s="103">
        <f>'66 SYANA PRAROOP-20'!M123</f>
        <v>2</v>
      </c>
      <c r="P122" s="78">
        <f t="shared" si="3"/>
        <v>432</v>
      </c>
      <c r="Q122" s="103">
        <v>0</v>
      </c>
    </row>
    <row r="123" spans="2:17" ht="18.75">
      <c r="B123" s="78">
        <v>117</v>
      </c>
      <c r="C123" s="114" t="s">
        <v>310</v>
      </c>
      <c r="D123" s="33">
        <v>765</v>
      </c>
      <c r="E123" s="103">
        <f>'66 SYANA PRAROOP-20'!C124</f>
        <v>11</v>
      </c>
      <c r="F123" s="103">
        <f>'66 SYANA PRAROOP-20'!D124</f>
        <v>724</v>
      </c>
      <c r="G123" s="103">
        <f>'66 SYANA PRAROOP-20'!E124</f>
        <v>7</v>
      </c>
      <c r="H123" s="103">
        <f>'66 SYANA PRAROOP-20'!F124</f>
        <v>9</v>
      </c>
      <c r="I123" s="103">
        <f>'66 SYANA PRAROOP-20'!G124</f>
        <v>1</v>
      </c>
      <c r="J123" s="103">
        <f>'66 SYANA PRAROOP-20'!H124</f>
        <v>1</v>
      </c>
      <c r="K123" s="103">
        <f>'66 SYANA PRAROOP-20'!I124</f>
        <v>3</v>
      </c>
      <c r="L123" s="103">
        <f>'66 SYANA PRAROOP-20'!J124</f>
        <v>7</v>
      </c>
      <c r="M123" s="78">
        <f t="shared" si="2"/>
        <v>763</v>
      </c>
      <c r="N123" s="103">
        <v>0</v>
      </c>
      <c r="O123" s="103">
        <f>'66 SYANA PRAROOP-20'!M124</f>
        <v>2</v>
      </c>
      <c r="P123" s="78">
        <f t="shared" si="3"/>
        <v>765</v>
      </c>
      <c r="Q123" s="103">
        <v>0</v>
      </c>
    </row>
    <row r="124" spans="2:17" ht="18.75">
      <c r="B124" s="78">
        <v>118</v>
      </c>
      <c r="C124" s="114" t="s">
        <v>311</v>
      </c>
      <c r="D124" s="33">
        <v>724</v>
      </c>
      <c r="E124" s="103">
        <f>'66 SYANA PRAROOP-20'!C125</f>
        <v>15</v>
      </c>
      <c r="F124" s="103">
        <f>'66 SYANA PRAROOP-20'!D125</f>
        <v>405</v>
      </c>
      <c r="G124" s="103">
        <f>'66 SYANA PRAROOP-20'!E125</f>
        <v>4</v>
      </c>
      <c r="H124" s="103">
        <f>'66 SYANA PRAROOP-20'!F125</f>
        <v>279</v>
      </c>
      <c r="I124" s="103">
        <f>'66 SYANA PRAROOP-20'!G125</f>
        <v>1</v>
      </c>
      <c r="J124" s="103">
        <f>'66 SYANA PRAROOP-20'!H125</f>
        <v>5</v>
      </c>
      <c r="K124" s="103">
        <f>'66 SYANA PRAROOP-20'!I125</f>
        <v>5</v>
      </c>
      <c r="L124" s="103">
        <f>'66 SYANA PRAROOP-20'!J125</f>
        <v>6</v>
      </c>
      <c r="M124" s="78">
        <f t="shared" si="2"/>
        <v>720</v>
      </c>
      <c r="N124" s="103">
        <v>0</v>
      </c>
      <c r="O124" s="103">
        <f>'66 SYANA PRAROOP-20'!M125</f>
        <v>4</v>
      </c>
      <c r="P124" s="78">
        <f t="shared" si="3"/>
        <v>724</v>
      </c>
      <c r="Q124" s="103">
        <v>0</v>
      </c>
    </row>
    <row r="125" spans="2:17" ht="18.75">
      <c r="B125" s="78">
        <v>119</v>
      </c>
      <c r="C125" s="114" t="s">
        <v>312</v>
      </c>
      <c r="D125" s="33">
        <v>675</v>
      </c>
      <c r="E125" s="103">
        <f>'66 SYANA PRAROOP-20'!C126</f>
        <v>54</v>
      </c>
      <c r="F125" s="103">
        <f>'66 SYANA PRAROOP-20'!D126</f>
        <v>553</v>
      </c>
      <c r="G125" s="103">
        <f>'66 SYANA PRAROOP-20'!E126</f>
        <v>11</v>
      </c>
      <c r="H125" s="103">
        <f>'66 SYANA PRAROOP-20'!F126</f>
        <v>47</v>
      </c>
      <c r="I125" s="103">
        <f>'66 SYANA PRAROOP-20'!G126</f>
        <v>2</v>
      </c>
      <c r="J125" s="103">
        <f>'66 SYANA PRAROOP-20'!H126</f>
        <v>0</v>
      </c>
      <c r="K125" s="103">
        <f>'66 SYANA PRAROOP-20'!I126</f>
        <v>3</v>
      </c>
      <c r="L125" s="103">
        <f>'66 SYANA PRAROOP-20'!J126</f>
        <v>3</v>
      </c>
      <c r="M125" s="78">
        <f t="shared" si="2"/>
        <v>673</v>
      </c>
      <c r="N125" s="103">
        <v>0</v>
      </c>
      <c r="O125" s="103">
        <f>'66 SYANA PRAROOP-20'!M126</f>
        <v>2</v>
      </c>
      <c r="P125" s="78">
        <f t="shared" si="3"/>
        <v>675</v>
      </c>
      <c r="Q125" s="103">
        <v>0</v>
      </c>
    </row>
    <row r="126" spans="2:17" ht="18.75">
      <c r="B126" s="78">
        <v>120</v>
      </c>
      <c r="C126" s="114" t="s">
        <v>313</v>
      </c>
      <c r="D126" s="33">
        <v>514</v>
      </c>
      <c r="E126" s="103">
        <f>'66 SYANA PRAROOP-20'!C127</f>
        <v>81</v>
      </c>
      <c r="F126" s="103">
        <f>'66 SYANA PRAROOP-20'!D127</f>
        <v>247</v>
      </c>
      <c r="G126" s="103">
        <f>'66 SYANA PRAROOP-20'!E127</f>
        <v>5</v>
      </c>
      <c r="H126" s="103">
        <f>'66 SYANA PRAROOP-20'!F127</f>
        <v>173</v>
      </c>
      <c r="I126" s="103">
        <f>'66 SYANA PRAROOP-20'!G127</f>
        <v>1</v>
      </c>
      <c r="J126" s="103">
        <f>'66 SYANA PRAROOP-20'!H127</f>
        <v>1</v>
      </c>
      <c r="K126" s="103">
        <f>'66 SYANA PRAROOP-20'!I127</f>
        <v>0</v>
      </c>
      <c r="L126" s="103">
        <f>'66 SYANA PRAROOP-20'!J127</f>
        <v>1</v>
      </c>
      <c r="M126" s="78">
        <f t="shared" si="2"/>
        <v>509</v>
      </c>
      <c r="N126" s="103">
        <v>0</v>
      </c>
      <c r="O126" s="103">
        <f>'66 SYANA PRAROOP-20'!M127</f>
        <v>5</v>
      </c>
      <c r="P126" s="78">
        <f t="shared" si="3"/>
        <v>514</v>
      </c>
      <c r="Q126" s="103">
        <v>0</v>
      </c>
    </row>
    <row r="127" spans="2:17" ht="18.75">
      <c r="B127" s="78">
        <v>121</v>
      </c>
      <c r="C127" s="114" t="s">
        <v>314</v>
      </c>
      <c r="D127" s="33">
        <v>632</v>
      </c>
      <c r="E127" s="103">
        <f>'66 SYANA PRAROOP-20'!C128</f>
        <v>260</v>
      </c>
      <c r="F127" s="103">
        <f>'66 SYANA PRAROOP-20'!D128</f>
        <v>217</v>
      </c>
      <c r="G127" s="103">
        <f>'66 SYANA PRAROOP-20'!E128</f>
        <v>12</v>
      </c>
      <c r="H127" s="103">
        <f>'66 SYANA PRAROOP-20'!F128</f>
        <v>138</v>
      </c>
      <c r="I127" s="103">
        <f>'66 SYANA PRAROOP-20'!G128</f>
        <v>2</v>
      </c>
      <c r="J127" s="103">
        <f>'66 SYANA PRAROOP-20'!H128</f>
        <v>0</v>
      </c>
      <c r="K127" s="103">
        <f>'66 SYANA PRAROOP-20'!I128</f>
        <v>1</v>
      </c>
      <c r="L127" s="103">
        <f>'66 SYANA PRAROOP-20'!J128</f>
        <v>0</v>
      </c>
      <c r="M127" s="78">
        <f t="shared" si="2"/>
        <v>630</v>
      </c>
      <c r="N127" s="103">
        <v>0</v>
      </c>
      <c r="O127" s="103">
        <f>'66 SYANA PRAROOP-20'!M128</f>
        <v>2</v>
      </c>
      <c r="P127" s="78">
        <f t="shared" si="3"/>
        <v>632</v>
      </c>
      <c r="Q127" s="103">
        <v>0</v>
      </c>
    </row>
    <row r="128" spans="2:17" ht="18.75">
      <c r="B128" s="78">
        <v>122</v>
      </c>
      <c r="C128" s="114" t="s">
        <v>315</v>
      </c>
      <c r="D128" s="33">
        <v>712</v>
      </c>
      <c r="E128" s="103">
        <f>'66 SYANA PRAROOP-20'!C129</f>
        <v>503</v>
      </c>
      <c r="F128" s="103">
        <f>'66 SYANA PRAROOP-20'!D129</f>
        <v>84</v>
      </c>
      <c r="G128" s="103">
        <f>'66 SYANA PRAROOP-20'!E129</f>
        <v>4</v>
      </c>
      <c r="H128" s="103">
        <f>'66 SYANA PRAROOP-20'!F129</f>
        <v>113</v>
      </c>
      <c r="I128" s="103">
        <f>'66 SYANA PRAROOP-20'!G129</f>
        <v>0</v>
      </c>
      <c r="J128" s="103">
        <f>'66 SYANA PRAROOP-20'!H129</f>
        <v>1</v>
      </c>
      <c r="K128" s="103">
        <f>'66 SYANA PRAROOP-20'!I129</f>
        <v>1</v>
      </c>
      <c r="L128" s="103">
        <f>'66 SYANA PRAROOP-20'!J129</f>
        <v>2</v>
      </c>
      <c r="M128" s="78">
        <f t="shared" si="2"/>
        <v>708</v>
      </c>
      <c r="N128" s="103">
        <v>0</v>
      </c>
      <c r="O128" s="103">
        <f>'66 SYANA PRAROOP-20'!M129</f>
        <v>4</v>
      </c>
      <c r="P128" s="78">
        <f t="shared" si="3"/>
        <v>712</v>
      </c>
      <c r="Q128" s="103">
        <v>0</v>
      </c>
    </row>
    <row r="129" spans="2:17" ht="18.75">
      <c r="B129" s="78">
        <v>123</v>
      </c>
      <c r="C129" s="114" t="s">
        <v>316</v>
      </c>
      <c r="D129" s="33">
        <v>749</v>
      </c>
      <c r="E129" s="103">
        <f>'66 SYANA PRAROOP-20'!C130</f>
        <v>702</v>
      </c>
      <c r="F129" s="103">
        <f>'66 SYANA PRAROOP-20'!D130</f>
        <v>14</v>
      </c>
      <c r="G129" s="103">
        <f>'66 SYANA PRAROOP-20'!E130</f>
        <v>1</v>
      </c>
      <c r="H129" s="103">
        <f>'66 SYANA PRAROOP-20'!F130</f>
        <v>22</v>
      </c>
      <c r="I129" s="103">
        <f>'66 SYANA PRAROOP-20'!G130</f>
        <v>2</v>
      </c>
      <c r="J129" s="103">
        <f>'66 SYANA PRAROOP-20'!H130</f>
        <v>2</v>
      </c>
      <c r="K129" s="103">
        <f>'66 SYANA PRAROOP-20'!I130</f>
        <v>0</v>
      </c>
      <c r="L129" s="103">
        <f>'66 SYANA PRAROOP-20'!J130</f>
        <v>0</v>
      </c>
      <c r="M129" s="78">
        <f t="shared" si="2"/>
        <v>743</v>
      </c>
      <c r="N129" s="103">
        <v>0</v>
      </c>
      <c r="O129" s="103">
        <f>'66 SYANA PRAROOP-20'!M130</f>
        <v>6</v>
      </c>
      <c r="P129" s="78">
        <f t="shared" si="3"/>
        <v>749</v>
      </c>
      <c r="Q129" s="103">
        <v>0</v>
      </c>
    </row>
    <row r="130" spans="2:17" ht="18.75">
      <c r="B130" s="78">
        <v>124</v>
      </c>
      <c r="C130" s="114" t="s">
        <v>317</v>
      </c>
      <c r="D130" s="33">
        <v>590</v>
      </c>
      <c r="E130" s="103">
        <f>'66 SYANA PRAROOP-20'!C131</f>
        <v>376</v>
      </c>
      <c r="F130" s="103">
        <f>'66 SYANA PRAROOP-20'!D131</f>
        <v>172</v>
      </c>
      <c r="G130" s="103">
        <f>'66 SYANA PRAROOP-20'!E131</f>
        <v>7</v>
      </c>
      <c r="H130" s="103">
        <f>'66 SYANA PRAROOP-20'!F131</f>
        <v>31</v>
      </c>
      <c r="I130" s="103">
        <f>'66 SYANA PRAROOP-20'!G131</f>
        <v>2</v>
      </c>
      <c r="J130" s="103">
        <f>'66 SYANA PRAROOP-20'!H131</f>
        <v>0</v>
      </c>
      <c r="K130" s="103">
        <f>'66 SYANA PRAROOP-20'!I131</f>
        <v>0</v>
      </c>
      <c r="L130" s="103">
        <f>'66 SYANA PRAROOP-20'!J131</f>
        <v>1</v>
      </c>
      <c r="M130" s="78">
        <f t="shared" si="2"/>
        <v>589</v>
      </c>
      <c r="N130" s="103">
        <v>0</v>
      </c>
      <c r="O130" s="103">
        <f>'66 SYANA PRAROOP-20'!M131</f>
        <v>1</v>
      </c>
      <c r="P130" s="78">
        <f t="shared" si="3"/>
        <v>590</v>
      </c>
      <c r="Q130" s="103">
        <v>0</v>
      </c>
    </row>
    <row r="131" spans="2:17" ht="18.75">
      <c r="B131" s="78">
        <v>125</v>
      </c>
      <c r="C131" s="119" t="s">
        <v>619</v>
      </c>
      <c r="D131" s="33">
        <v>722</v>
      </c>
      <c r="E131" s="103">
        <f>'66 SYANA PRAROOP-20'!C132</f>
        <v>310</v>
      </c>
      <c r="F131" s="103">
        <f>'66 SYANA PRAROOP-20'!D132</f>
        <v>208</v>
      </c>
      <c r="G131" s="103">
        <f>'66 SYANA PRAROOP-20'!E132</f>
        <v>6</v>
      </c>
      <c r="H131" s="103">
        <f>'66 SYANA PRAROOP-20'!F132</f>
        <v>186</v>
      </c>
      <c r="I131" s="103">
        <f>'66 SYANA PRAROOP-20'!G132</f>
        <v>2</v>
      </c>
      <c r="J131" s="103">
        <f>'66 SYANA PRAROOP-20'!H132</f>
        <v>3</v>
      </c>
      <c r="K131" s="103">
        <f>'66 SYANA PRAROOP-20'!I132</f>
        <v>4</v>
      </c>
      <c r="L131" s="103">
        <f>'66 SYANA PRAROOP-20'!J132</f>
        <v>1</v>
      </c>
      <c r="M131" s="78">
        <f t="shared" si="2"/>
        <v>720</v>
      </c>
      <c r="N131" s="103">
        <v>0</v>
      </c>
      <c r="O131" s="103">
        <f>'66 SYANA PRAROOP-20'!M132</f>
        <v>2</v>
      </c>
      <c r="P131" s="78">
        <f t="shared" si="3"/>
        <v>722</v>
      </c>
      <c r="Q131" s="103">
        <v>0</v>
      </c>
    </row>
    <row r="132" spans="2:17" ht="18.75">
      <c r="B132" s="78">
        <v>126</v>
      </c>
      <c r="C132" s="114" t="s">
        <v>318</v>
      </c>
      <c r="D132" s="33">
        <v>801</v>
      </c>
      <c r="E132" s="103">
        <f>'66 SYANA PRAROOP-20'!C133</f>
        <v>663</v>
      </c>
      <c r="F132" s="103">
        <f>'66 SYANA PRAROOP-20'!D133</f>
        <v>69</v>
      </c>
      <c r="G132" s="103">
        <f>'66 SYANA PRAROOP-20'!E133</f>
        <v>6</v>
      </c>
      <c r="H132" s="103">
        <f>'66 SYANA PRAROOP-20'!F133</f>
        <v>56</v>
      </c>
      <c r="I132" s="103">
        <f>'66 SYANA PRAROOP-20'!G133</f>
        <v>1</v>
      </c>
      <c r="J132" s="103">
        <f>'66 SYANA PRAROOP-20'!H133</f>
        <v>1</v>
      </c>
      <c r="K132" s="103">
        <f>'66 SYANA PRAROOP-20'!I133</f>
        <v>0</v>
      </c>
      <c r="L132" s="103">
        <f>'66 SYANA PRAROOP-20'!J133</f>
        <v>0</v>
      </c>
      <c r="M132" s="78">
        <f t="shared" si="2"/>
        <v>796</v>
      </c>
      <c r="N132" s="103">
        <v>0</v>
      </c>
      <c r="O132" s="103">
        <f>'66 SYANA PRAROOP-20'!M133</f>
        <v>5</v>
      </c>
      <c r="P132" s="78">
        <f t="shared" si="3"/>
        <v>801</v>
      </c>
      <c r="Q132" s="103">
        <v>0</v>
      </c>
    </row>
    <row r="133" spans="2:17" ht="18.75">
      <c r="B133" s="78">
        <v>127</v>
      </c>
      <c r="C133" s="114" t="s">
        <v>319</v>
      </c>
      <c r="D133" s="33">
        <v>613</v>
      </c>
      <c r="E133" s="103">
        <f>'66 SYANA PRAROOP-20'!C134</f>
        <v>268</v>
      </c>
      <c r="F133" s="103">
        <f>'66 SYANA PRAROOP-20'!D134</f>
        <v>211</v>
      </c>
      <c r="G133" s="103">
        <f>'66 SYANA PRAROOP-20'!E134</f>
        <v>9</v>
      </c>
      <c r="H133" s="103">
        <f>'66 SYANA PRAROOP-20'!F134</f>
        <v>113</v>
      </c>
      <c r="I133" s="103">
        <f>'66 SYANA PRAROOP-20'!G134</f>
        <v>2</v>
      </c>
      <c r="J133" s="103">
        <f>'66 SYANA PRAROOP-20'!H134</f>
        <v>3</v>
      </c>
      <c r="K133" s="103">
        <f>'66 SYANA PRAROOP-20'!I134</f>
        <v>0</v>
      </c>
      <c r="L133" s="103">
        <f>'66 SYANA PRAROOP-20'!J134</f>
        <v>2</v>
      </c>
      <c r="M133" s="78">
        <f t="shared" si="2"/>
        <v>608</v>
      </c>
      <c r="N133" s="103">
        <v>0</v>
      </c>
      <c r="O133" s="103">
        <f>'66 SYANA PRAROOP-20'!M134</f>
        <v>5</v>
      </c>
      <c r="P133" s="78">
        <f t="shared" si="3"/>
        <v>613</v>
      </c>
      <c r="Q133" s="103">
        <v>0</v>
      </c>
    </row>
    <row r="134" spans="2:17" ht="18.75">
      <c r="B134" s="78">
        <v>128</v>
      </c>
      <c r="C134" s="114" t="s">
        <v>320</v>
      </c>
      <c r="D134" s="33">
        <v>804</v>
      </c>
      <c r="E134" s="103">
        <f>'66 SYANA PRAROOP-20'!C135</f>
        <v>556</v>
      </c>
      <c r="F134" s="103">
        <f>'66 SYANA PRAROOP-20'!D135</f>
        <v>155</v>
      </c>
      <c r="G134" s="103">
        <f>'66 SYANA PRAROOP-20'!E135</f>
        <v>2</v>
      </c>
      <c r="H134" s="103">
        <f>'66 SYANA PRAROOP-20'!F135</f>
        <v>24</v>
      </c>
      <c r="I134" s="103">
        <f>'66 SYANA PRAROOP-20'!G135</f>
        <v>2</v>
      </c>
      <c r="J134" s="103">
        <f>'66 SYANA PRAROOP-20'!H135</f>
        <v>1</v>
      </c>
      <c r="K134" s="103">
        <f>'66 SYANA PRAROOP-20'!I135</f>
        <v>2</v>
      </c>
      <c r="L134" s="103">
        <f>'66 SYANA PRAROOP-20'!J135</f>
        <v>1</v>
      </c>
      <c r="M134" s="78">
        <f t="shared" si="2"/>
        <v>743</v>
      </c>
      <c r="N134" s="103">
        <v>0</v>
      </c>
      <c r="O134" s="103">
        <f>'66 SYANA PRAROOP-20'!M135</f>
        <v>61</v>
      </c>
      <c r="P134" s="78">
        <f t="shared" si="3"/>
        <v>804</v>
      </c>
      <c r="Q134" s="103">
        <v>0</v>
      </c>
    </row>
    <row r="135" spans="2:17" ht="18.75">
      <c r="B135" s="78">
        <v>129</v>
      </c>
      <c r="C135" s="114" t="s">
        <v>321</v>
      </c>
      <c r="D135" s="33">
        <v>757</v>
      </c>
      <c r="E135" s="103">
        <f>'66 SYANA PRAROOP-20'!C136</f>
        <v>543</v>
      </c>
      <c r="F135" s="103">
        <f>'66 SYANA PRAROOP-20'!D136</f>
        <v>174</v>
      </c>
      <c r="G135" s="103">
        <f>'66 SYANA PRAROOP-20'!E136</f>
        <v>3</v>
      </c>
      <c r="H135" s="103">
        <f>'66 SYANA PRAROOP-20'!F136</f>
        <v>29</v>
      </c>
      <c r="I135" s="103">
        <f>'66 SYANA PRAROOP-20'!G136</f>
        <v>2</v>
      </c>
      <c r="J135" s="103">
        <f>'66 SYANA PRAROOP-20'!H136</f>
        <v>2</v>
      </c>
      <c r="K135" s="103">
        <f>'66 SYANA PRAROOP-20'!I136</f>
        <v>1</v>
      </c>
      <c r="L135" s="103">
        <f>'66 SYANA PRAROOP-20'!J136</f>
        <v>1</v>
      </c>
      <c r="M135" s="78">
        <f t="shared" ref="M135:M198" si="4">SUM(E135:L135)</f>
        <v>755</v>
      </c>
      <c r="N135" s="103">
        <v>0</v>
      </c>
      <c r="O135" s="103">
        <f>'66 SYANA PRAROOP-20'!M136</f>
        <v>2</v>
      </c>
      <c r="P135" s="78">
        <f t="shared" si="3"/>
        <v>757</v>
      </c>
      <c r="Q135" s="103">
        <v>0</v>
      </c>
    </row>
    <row r="136" spans="2:17" ht="18.75">
      <c r="B136" s="78">
        <v>130</v>
      </c>
      <c r="C136" s="114" t="s">
        <v>322</v>
      </c>
      <c r="D136" s="33">
        <v>592</v>
      </c>
      <c r="E136" s="103">
        <f>'66 SYANA PRAROOP-20'!C137</f>
        <v>284</v>
      </c>
      <c r="F136" s="103">
        <f>'66 SYANA PRAROOP-20'!D137</f>
        <v>295</v>
      </c>
      <c r="G136" s="103">
        <f>'66 SYANA PRAROOP-20'!E137</f>
        <v>3</v>
      </c>
      <c r="H136" s="103">
        <f>'66 SYANA PRAROOP-20'!F137</f>
        <v>4</v>
      </c>
      <c r="I136" s="103">
        <f>'66 SYANA PRAROOP-20'!G137</f>
        <v>2</v>
      </c>
      <c r="J136" s="103">
        <f>'66 SYANA PRAROOP-20'!H137</f>
        <v>1</v>
      </c>
      <c r="K136" s="103">
        <f>'66 SYANA PRAROOP-20'!I137</f>
        <v>0</v>
      </c>
      <c r="L136" s="103">
        <f>'66 SYANA PRAROOP-20'!J137</f>
        <v>0</v>
      </c>
      <c r="M136" s="78">
        <f t="shared" si="4"/>
        <v>589</v>
      </c>
      <c r="N136" s="103">
        <v>0</v>
      </c>
      <c r="O136" s="103">
        <f>'66 SYANA PRAROOP-20'!M137</f>
        <v>3</v>
      </c>
      <c r="P136" s="78">
        <f t="shared" ref="P136:P199" si="5">M136+O136-N136</f>
        <v>592</v>
      </c>
      <c r="Q136" s="103">
        <v>0</v>
      </c>
    </row>
    <row r="137" spans="2:17" ht="18.75">
      <c r="B137" s="78">
        <v>131</v>
      </c>
      <c r="C137" s="114" t="s">
        <v>323</v>
      </c>
      <c r="D137" s="33">
        <v>630</v>
      </c>
      <c r="E137" s="103">
        <f>'66 SYANA PRAROOP-20'!C138</f>
        <v>318</v>
      </c>
      <c r="F137" s="103">
        <f>'66 SYANA PRAROOP-20'!D138</f>
        <v>286</v>
      </c>
      <c r="G137" s="103">
        <f>'66 SYANA PRAROOP-20'!E138</f>
        <v>13</v>
      </c>
      <c r="H137" s="103">
        <f>'66 SYANA PRAROOP-20'!F138</f>
        <v>7</v>
      </c>
      <c r="I137" s="103">
        <f>'66 SYANA PRAROOP-20'!G138</f>
        <v>1</v>
      </c>
      <c r="J137" s="103">
        <f>'66 SYANA PRAROOP-20'!H138</f>
        <v>1</v>
      </c>
      <c r="K137" s="103">
        <f>'66 SYANA PRAROOP-20'!I138</f>
        <v>0</v>
      </c>
      <c r="L137" s="103">
        <f>'66 SYANA PRAROOP-20'!J138</f>
        <v>0</v>
      </c>
      <c r="M137" s="78">
        <f t="shared" si="4"/>
        <v>626</v>
      </c>
      <c r="N137" s="103">
        <v>0</v>
      </c>
      <c r="O137" s="103">
        <f>'66 SYANA PRAROOP-20'!M138</f>
        <v>4</v>
      </c>
      <c r="P137" s="78">
        <f t="shared" si="5"/>
        <v>630</v>
      </c>
      <c r="Q137" s="103">
        <v>0</v>
      </c>
    </row>
    <row r="138" spans="2:17" ht="18.75">
      <c r="B138" s="78">
        <v>132</v>
      </c>
      <c r="C138" s="114" t="s">
        <v>324</v>
      </c>
      <c r="D138" s="33">
        <v>593</v>
      </c>
      <c r="E138" s="103">
        <f>'66 SYANA PRAROOP-20'!C139</f>
        <v>225</v>
      </c>
      <c r="F138" s="103">
        <f>'66 SYANA PRAROOP-20'!D139</f>
        <v>349</v>
      </c>
      <c r="G138" s="103">
        <f>'66 SYANA PRAROOP-20'!E139</f>
        <v>7</v>
      </c>
      <c r="H138" s="103">
        <f>'66 SYANA PRAROOP-20'!F139</f>
        <v>7</v>
      </c>
      <c r="I138" s="103">
        <f>'66 SYANA PRAROOP-20'!G139</f>
        <v>2</v>
      </c>
      <c r="J138" s="103">
        <f>'66 SYANA PRAROOP-20'!H139</f>
        <v>2</v>
      </c>
      <c r="K138" s="103">
        <f>'66 SYANA PRAROOP-20'!I139</f>
        <v>1</v>
      </c>
      <c r="L138" s="103">
        <f>'66 SYANA PRAROOP-20'!J139</f>
        <v>0</v>
      </c>
      <c r="M138" s="78">
        <f t="shared" si="4"/>
        <v>593</v>
      </c>
      <c r="N138" s="103">
        <v>0</v>
      </c>
      <c r="O138" s="103">
        <f>'66 SYANA PRAROOP-20'!M139</f>
        <v>0</v>
      </c>
      <c r="P138" s="78">
        <f t="shared" si="5"/>
        <v>593</v>
      </c>
      <c r="Q138" s="103">
        <v>0</v>
      </c>
    </row>
    <row r="139" spans="2:17" ht="18.75">
      <c r="B139" s="78">
        <v>133</v>
      </c>
      <c r="C139" s="114" t="s">
        <v>325</v>
      </c>
      <c r="D139" s="33">
        <v>768</v>
      </c>
      <c r="E139" s="103">
        <f>'66 SYANA PRAROOP-20'!C140</f>
        <v>236</v>
      </c>
      <c r="F139" s="103">
        <f>'66 SYANA PRAROOP-20'!D140</f>
        <v>172</v>
      </c>
      <c r="G139" s="103">
        <f>'66 SYANA PRAROOP-20'!E140</f>
        <v>4</v>
      </c>
      <c r="H139" s="103">
        <f>'66 SYANA PRAROOP-20'!F140</f>
        <v>347</v>
      </c>
      <c r="I139" s="103">
        <f>'66 SYANA PRAROOP-20'!G140</f>
        <v>0</v>
      </c>
      <c r="J139" s="103">
        <f>'66 SYANA PRAROOP-20'!H140</f>
        <v>2</v>
      </c>
      <c r="K139" s="103">
        <f>'66 SYANA PRAROOP-20'!I140</f>
        <v>6</v>
      </c>
      <c r="L139" s="103">
        <f>'66 SYANA PRAROOP-20'!J140</f>
        <v>1</v>
      </c>
      <c r="M139" s="78">
        <f t="shared" si="4"/>
        <v>768</v>
      </c>
      <c r="N139" s="103">
        <v>0</v>
      </c>
      <c r="O139" s="103">
        <f>'66 SYANA PRAROOP-20'!M140</f>
        <v>0</v>
      </c>
      <c r="P139" s="78">
        <f t="shared" si="5"/>
        <v>768</v>
      </c>
      <c r="Q139" s="103">
        <v>0</v>
      </c>
    </row>
    <row r="140" spans="2:17" ht="18.75">
      <c r="B140" s="78">
        <v>134</v>
      </c>
      <c r="C140" s="114" t="s">
        <v>326</v>
      </c>
      <c r="D140" s="33">
        <v>665</v>
      </c>
      <c r="E140" s="103">
        <f>'66 SYANA PRAROOP-20'!C141</f>
        <v>606</v>
      </c>
      <c r="F140" s="103">
        <f>'66 SYANA PRAROOP-20'!D141</f>
        <v>34</v>
      </c>
      <c r="G140" s="103">
        <f>'66 SYANA PRAROOP-20'!E141</f>
        <v>7</v>
      </c>
      <c r="H140" s="103">
        <f>'66 SYANA PRAROOP-20'!F141</f>
        <v>11</v>
      </c>
      <c r="I140" s="103">
        <f>'66 SYANA PRAROOP-20'!G141</f>
        <v>0</v>
      </c>
      <c r="J140" s="103">
        <f>'66 SYANA PRAROOP-20'!H141</f>
        <v>2</v>
      </c>
      <c r="K140" s="103">
        <f>'66 SYANA PRAROOP-20'!I141</f>
        <v>0</v>
      </c>
      <c r="L140" s="103">
        <f>'66 SYANA PRAROOP-20'!J141</f>
        <v>1</v>
      </c>
      <c r="M140" s="78">
        <f t="shared" si="4"/>
        <v>661</v>
      </c>
      <c r="N140" s="103">
        <v>0</v>
      </c>
      <c r="O140" s="103">
        <f>'66 SYANA PRAROOP-20'!M141</f>
        <v>4</v>
      </c>
      <c r="P140" s="78">
        <f t="shared" si="5"/>
        <v>665</v>
      </c>
      <c r="Q140" s="103">
        <v>0</v>
      </c>
    </row>
    <row r="141" spans="2:17" ht="18.75">
      <c r="B141" s="78">
        <v>135</v>
      </c>
      <c r="C141" s="114" t="s">
        <v>327</v>
      </c>
      <c r="D141" s="33">
        <v>737</v>
      </c>
      <c r="E141" s="103">
        <f>'66 SYANA PRAROOP-20'!C142</f>
        <v>538</v>
      </c>
      <c r="F141" s="103">
        <f>'66 SYANA PRAROOP-20'!D142</f>
        <v>75</v>
      </c>
      <c r="G141" s="103">
        <f>'66 SYANA PRAROOP-20'!E142</f>
        <v>14</v>
      </c>
      <c r="H141" s="103">
        <f>'66 SYANA PRAROOP-20'!F142</f>
        <v>106</v>
      </c>
      <c r="I141" s="103">
        <f>'66 SYANA PRAROOP-20'!G142</f>
        <v>0</v>
      </c>
      <c r="J141" s="103">
        <f>'66 SYANA PRAROOP-20'!H142</f>
        <v>0</v>
      </c>
      <c r="K141" s="103">
        <f>'66 SYANA PRAROOP-20'!I142</f>
        <v>3</v>
      </c>
      <c r="L141" s="103">
        <f>'66 SYANA PRAROOP-20'!J142</f>
        <v>0</v>
      </c>
      <c r="M141" s="78">
        <f t="shared" si="4"/>
        <v>736</v>
      </c>
      <c r="N141" s="103">
        <v>0</v>
      </c>
      <c r="O141" s="103">
        <f>'66 SYANA PRAROOP-20'!M142</f>
        <v>1</v>
      </c>
      <c r="P141" s="78">
        <f t="shared" si="5"/>
        <v>737</v>
      </c>
      <c r="Q141" s="103">
        <v>0</v>
      </c>
    </row>
    <row r="142" spans="2:17" ht="18.75">
      <c r="B142" s="78">
        <v>136</v>
      </c>
      <c r="C142" s="114" t="s">
        <v>328</v>
      </c>
      <c r="D142" s="33">
        <v>720</v>
      </c>
      <c r="E142" s="103">
        <f>'66 SYANA PRAROOP-20'!C143</f>
        <v>347</v>
      </c>
      <c r="F142" s="103">
        <f>'66 SYANA PRAROOP-20'!D143</f>
        <v>295</v>
      </c>
      <c r="G142" s="103">
        <f>'66 SYANA PRAROOP-20'!E143</f>
        <v>28</v>
      </c>
      <c r="H142" s="103">
        <f>'66 SYANA PRAROOP-20'!F143</f>
        <v>37</v>
      </c>
      <c r="I142" s="103">
        <f>'66 SYANA PRAROOP-20'!G143</f>
        <v>2</v>
      </c>
      <c r="J142" s="103">
        <f>'66 SYANA PRAROOP-20'!H143</f>
        <v>0</v>
      </c>
      <c r="K142" s="103">
        <f>'66 SYANA PRAROOP-20'!I143</f>
        <v>2</v>
      </c>
      <c r="L142" s="103">
        <f>'66 SYANA PRAROOP-20'!J143</f>
        <v>2</v>
      </c>
      <c r="M142" s="78">
        <f t="shared" si="4"/>
        <v>713</v>
      </c>
      <c r="N142" s="103">
        <v>0</v>
      </c>
      <c r="O142" s="103">
        <f>'66 SYANA PRAROOP-20'!M143</f>
        <v>7</v>
      </c>
      <c r="P142" s="78">
        <f t="shared" si="5"/>
        <v>720</v>
      </c>
      <c r="Q142" s="103">
        <v>0</v>
      </c>
    </row>
    <row r="143" spans="2:17" ht="18.75">
      <c r="B143" s="78">
        <v>137</v>
      </c>
      <c r="C143" s="114" t="s">
        <v>329</v>
      </c>
      <c r="D143" s="33">
        <v>781</v>
      </c>
      <c r="E143" s="103">
        <f>'66 SYANA PRAROOP-20'!C144</f>
        <v>737</v>
      </c>
      <c r="F143" s="103">
        <f>'66 SYANA PRAROOP-20'!D144</f>
        <v>6</v>
      </c>
      <c r="G143" s="103">
        <f>'66 SYANA PRAROOP-20'!E144</f>
        <v>6</v>
      </c>
      <c r="H143" s="103">
        <f>'66 SYANA PRAROOP-20'!F144</f>
        <v>29</v>
      </c>
      <c r="I143" s="103">
        <f>'66 SYANA PRAROOP-20'!G144</f>
        <v>0</v>
      </c>
      <c r="J143" s="103">
        <f>'66 SYANA PRAROOP-20'!H144</f>
        <v>0</v>
      </c>
      <c r="K143" s="103">
        <f>'66 SYANA PRAROOP-20'!I144</f>
        <v>1</v>
      </c>
      <c r="L143" s="103">
        <f>'66 SYANA PRAROOP-20'!J144</f>
        <v>0</v>
      </c>
      <c r="M143" s="78">
        <f t="shared" si="4"/>
        <v>779</v>
      </c>
      <c r="N143" s="103">
        <v>0</v>
      </c>
      <c r="O143" s="103">
        <f>'66 SYANA PRAROOP-20'!M144</f>
        <v>2</v>
      </c>
      <c r="P143" s="78">
        <f t="shared" si="5"/>
        <v>781</v>
      </c>
      <c r="Q143" s="103">
        <v>0</v>
      </c>
    </row>
    <row r="144" spans="2:17" ht="18.75">
      <c r="B144" s="78">
        <v>138</v>
      </c>
      <c r="C144" s="114" t="s">
        <v>330</v>
      </c>
      <c r="D144" s="33">
        <v>746</v>
      </c>
      <c r="E144" s="103">
        <f>'66 SYANA PRAROOP-20'!C145</f>
        <v>572</v>
      </c>
      <c r="F144" s="103">
        <f>'66 SYANA PRAROOP-20'!D145</f>
        <v>158</v>
      </c>
      <c r="G144" s="103">
        <f>'66 SYANA PRAROOP-20'!E145</f>
        <v>3</v>
      </c>
      <c r="H144" s="103">
        <f>'66 SYANA PRAROOP-20'!F145</f>
        <v>5</v>
      </c>
      <c r="I144" s="103">
        <f>'66 SYANA PRAROOP-20'!G145</f>
        <v>1</v>
      </c>
      <c r="J144" s="103">
        <f>'66 SYANA PRAROOP-20'!H145</f>
        <v>0</v>
      </c>
      <c r="K144" s="103">
        <f>'66 SYANA PRAROOP-20'!I145</f>
        <v>1</v>
      </c>
      <c r="L144" s="103">
        <f>'66 SYANA PRAROOP-20'!J145</f>
        <v>1</v>
      </c>
      <c r="M144" s="78">
        <f t="shared" si="4"/>
        <v>741</v>
      </c>
      <c r="N144" s="103">
        <v>0</v>
      </c>
      <c r="O144" s="103">
        <f>'66 SYANA PRAROOP-20'!M145</f>
        <v>5</v>
      </c>
      <c r="P144" s="78">
        <f t="shared" si="5"/>
        <v>746</v>
      </c>
      <c r="Q144" s="103">
        <v>0</v>
      </c>
    </row>
    <row r="145" spans="2:17" ht="18.75">
      <c r="B145" s="78">
        <v>139</v>
      </c>
      <c r="C145" s="114" t="s">
        <v>331</v>
      </c>
      <c r="D145" s="33">
        <v>613</v>
      </c>
      <c r="E145" s="103">
        <f>'66 SYANA PRAROOP-20'!C146</f>
        <v>102</v>
      </c>
      <c r="F145" s="103">
        <f>'66 SYANA PRAROOP-20'!D146</f>
        <v>495</v>
      </c>
      <c r="G145" s="103">
        <f>'66 SYANA PRAROOP-20'!E146</f>
        <v>7</v>
      </c>
      <c r="H145" s="103">
        <f>'66 SYANA PRAROOP-20'!F146</f>
        <v>2</v>
      </c>
      <c r="I145" s="103">
        <f>'66 SYANA PRAROOP-20'!G146</f>
        <v>2</v>
      </c>
      <c r="J145" s="103">
        <f>'66 SYANA PRAROOP-20'!H146</f>
        <v>1</v>
      </c>
      <c r="K145" s="103">
        <f>'66 SYANA PRAROOP-20'!I146</f>
        <v>3</v>
      </c>
      <c r="L145" s="103">
        <f>'66 SYANA PRAROOP-20'!J146</f>
        <v>0</v>
      </c>
      <c r="M145" s="78">
        <f t="shared" si="4"/>
        <v>612</v>
      </c>
      <c r="N145" s="103">
        <v>0</v>
      </c>
      <c r="O145" s="103">
        <f>'66 SYANA PRAROOP-20'!M146</f>
        <v>1</v>
      </c>
      <c r="P145" s="78">
        <f t="shared" si="5"/>
        <v>613</v>
      </c>
      <c r="Q145" s="103">
        <v>0</v>
      </c>
    </row>
    <row r="146" spans="2:17" ht="18.75">
      <c r="B146" s="78">
        <v>140</v>
      </c>
      <c r="C146" s="114" t="s">
        <v>332</v>
      </c>
      <c r="D146" s="33">
        <v>529</v>
      </c>
      <c r="E146" s="103">
        <f>'66 SYANA PRAROOP-20'!C147</f>
        <v>82</v>
      </c>
      <c r="F146" s="103">
        <f>'66 SYANA PRAROOP-20'!D147</f>
        <v>294</v>
      </c>
      <c r="G146" s="103">
        <f>'66 SYANA PRAROOP-20'!E147</f>
        <v>7</v>
      </c>
      <c r="H146" s="103">
        <f>'66 SYANA PRAROOP-20'!F147</f>
        <v>139</v>
      </c>
      <c r="I146" s="103">
        <f>'66 SYANA PRAROOP-20'!G147</f>
        <v>0</v>
      </c>
      <c r="J146" s="103">
        <f>'66 SYANA PRAROOP-20'!H147</f>
        <v>3</v>
      </c>
      <c r="K146" s="103">
        <f>'66 SYANA PRAROOP-20'!I147</f>
        <v>1</v>
      </c>
      <c r="L146" s="103">
        <f>'66 SYANA PRAROOP-20'!J147</f>
        <v>0</v>
      </c>
      <c r="M146" s="78">
        <f t="shared" si="4"/>
        <v>526</v>
      </c>
      <c r="N146" s="103">
        <v>0</v>
      </c>
      <c r="O146" s="103">
        <f>'66 SYANA PRAROOP-20'!M147</f>
        <v>3</v>
      </c>
      <c r="P146" s="78">
        <f t="shared" si="5"/>
        <v>529</v>
      </c>
      <c r="Q146" s="103">
        <v>0</v>
      </c>
    </row>
    <row r="147" spans="2:17" ht="18.75">
      <c r="B147" s="78">
        <v>141</v>
      </c>
      <c r="C147" s="114" t="s">
        <v>333</v>
      </c>
      <c r="D147" s="33">
        <v>571</v>
      </c>
      <c r="E147" s="103">
        <f>'66 SYANA PRAROOP-20'!C148</f>
        <v>84</v>
      </c>
      <c r="F147" s="103">
        <f>'66 SYANA PRAROOP-20'!D148</f>
        <v>429</v>
      </c>
      <c r="G147" s="103">
        <f>'66 SYANA PRAROOP-20'!E148</f>
        <v>5</v>
      </c>
      <c r="H147" s="103">
        <f>'66 SYANA PRAROOP-20'!F148</f>
        <v>45</v>
      </c>
      <c r="I147" s="103">
        <f>'66 SYANA PRAROOP-20'!G148</f>
        <v>0</v>
      </c>
      <c r="J147" s="103">
        <f>'66 SYANA PRAROOP-20'!H148</f>
        <v>3</v>
      </c>
      <c r="K147" s="103">
        <f>'66 SYANA PRAROOP-20'!I148</f>
        <v>3</v>
      </c>
      <c r="L147" s="103">
        <f>'66 SYANA PRAROOP-20'!J148</f>
        <v>0</v>
      </c>
      <c r="M147" s="78">
        <f t="shared" si="4"/>
        <v>569</v>
      </c>
      <c r="N147" s="103">
        <v>0</v>
      </c>
      <c r="O147" s="103">
        <f>'66 SYANA PRAROOP-20'!M148</f>
        <v>2</v>
      </c>
      <c r="P147" s="78">
        <f t="shared" si="5"/>
        <v>571</v>
      </c>
      <c r="Q147" s="103">
        <v>0</v>
      </c>
    </row>
    <row r="148" spans="2:17" ht="18.75">
      <c r="B148" s="78">
        <v>142</v>
      </c>
      <c r="C148" s="119" t="s">
        <v>620</v>
      </c>
      <c r="D148" s="33">
        <v>420</v>
      </c>
      <c r="E148" s="103">
        <f>'66 SYANA PRAROOP-20'!C149</f>
        <v>38</v>
      </c>
      <c r="F148" s="103">
        <f>'66 SYANA PRAROOP-20'!D149</f>
        <v>363</v>
      </c>
      <c r="G148" s="103">
        <f>'66 SYANA PRAROOP-20'!E149</f>
        <v>4</v>
      </c>
      <c r="H148" s="103">
        <f>'66 SYANA PRAROOP-20'!F149</f>
        <v>11</v>
      </c>
      <c r="I148" s="103">
        <f>'66 SYANA PRAROOP-20'!G149</f>
        <v>2</v>
      </c>
      <c r="J148" s="103">
        <f>'66 SYANA PRAROOP-20'!H149</f>
        <v>1</v>
      </c>
      <c r="K148" s="103">
        <f>'66 SYANA PRAROOP-20'!I149</f>
        <v>1</v>
      </c>
      <c r="L148" s="103">
        <f>'66 SYANA PRAROOP-20'!J149</f>
        <v>0</v>
      </c>
      <c r="M148" s="78">
        <f t="shared" si="4"/>
        <v>420</v>
      </c>
      <c r="N148" s="103">
        <v>0</v>
      </c>
      <c r="O148" s="103">
        <f>'66 SYANA PRAROOP-20'!M149</f>
        <v>0</v>
      </c>
      <c r="P148" s="78">
        <f t="shared" si="5"/>
        <v>420</v>
      </c>
      <c r="Q148" s="103">
        <v>0</v>
      </c>
    </row>
    <row r="149" spans="2:17" ht="18.75">
      <c r="B149" s="78">
        <v>143</v>
      </c>
      <c r="C149" s="114" t="s">
        <v>334</v>
      </c>
      <c r="D149" s="33">
        <v>601</v>
      </c>
      <c r="E149" s="103">
        <f>'66 SYANA PRAROOP-20'!C150</f>
        <v>200</v>
      </c>
      <c r="F149" s="103">
        <f>'66 SYANA PRAROOP-20'!D150</f>
        <v>312</v>
      </c>
      <c r="G149" s="103">
        <f>'66 SYANA PRAROOP-20'!E150</f>
        <v>4</v>
      </c>
      <c r="H149" s="103">
        <f>'66 SYANA PRAROOP-20'!F150</f>
        <v>75</v>
      </c>
      <c r="I149" s="103">
        <f>'66 SYANA PRAROOP-20'!G150</f>
        <v>2</v>
      </c>
      <c r="J149" s="103">
        <f>'66 SYANA PRAROOP-20'!H150</f>
        <v>1</v>
      </c>
      <c r="K149" s="103">
        <f>'66 SYANA PRAROOP-20'!I150</f>
        <v>2</v>
      </c>
      <c r="L149" s="103">
        <f>'66 SYANA PRAROOP-20'!J150</f>
        <v>1</v>
      </c>
      <c r="M149" s="78">
        <f t="shared" si="4"/>
        <v>597</v>
      </c>
      <c r="N149" s="103">
        <v>0</v>
      </c>
      <c r="O149" s="103">
        <f>'66 SYANA PRAROOP-20'!M150</f>
        <v>4</v>
      </c>
      <c r="P149" s="78">
        <f t="shared" si="5"/>
        <v>601</v>
      </c>
      <c r="Q149" s="103">
        <v>0</v>
      </c>
    </row>
    <row r="150" spans="2:17" ht="18.75">
      <c r="B150" s="78">
        <v>144</v>
      </c>
      <c r="C150" s="114" t="s">
        <v>335</v>
      </c>
      <c r="D150" s="33">
        <v>562</v>
      </c>
      <c r="E150" s="103">
        <f>'66 SYANA PRAROOP-20'!C151</f>
        <v>257</v>
      </c>
      <c r="F150" s="103">
        <f>'66 SYANA PRAROOP-20'!D151</f>
        <v>255</v>
      </c>
      <c r="G150" s="103">
        <f>'66 SYANA PRAROOP-20'!E151</f>
        <v>11</v>
      </c>
      <c r="H150" s="103">
        <f>'66 SYANA PRAROOP-20'!F151</f>
        <v>32</v>
      </c>
      <c r="I150" s="103">
        <f>'66 SYANA PRAROOP-20'!G151</f>
        <v>2</v>
      </c>
      <c r="J150" s="103">
        <f>'66 SYANA PRAROOP-20'!H151</f>
        <v>1</v>
      </c>
      <c r="K150" s="103">
        <f>'66 SYANA PRAROOP-20'!I151</f>
        <v>4</v>
      </c>
      <c r="L150" s="103">
        <f>'66 SYANA PRAROOP-20'!J151</f>
        <v>0</v>
      </c>
      <c r="M150" s="78">
        <f t="shared" si="4"/>
        <v>562</v>
      </c>
      <c r="N150" s="103">
        <v>0</v>
      </c>
      <c r="O150" s="103">
        <f>'66 SYANA PRAROOP-20'!M151</f>
        <v>0</v>
      </c>
      <c r="P150" s="78">
        <f t="shared" si="5"/>
        <v>562</v>
      </c>
      <c r="Q150" s="103">
        <v>0</v>
      </c>
    </row>
    <row r="151" spans="2:17" ht="18.75">
      <c r="B151" s="78">
        <v>145</v>
      </c>
      <c r="C151" s="114" t="s">
        <v>336</v>
      </c>
      <c r="D151" s="33">
        <v>660</v>
      </c>
      <c r="E151" s="103">
        <f>'66 SYANA PRAROOP-20'!C152</f>
        <v>256</v>
      </c>
      <c r="F151" s="103">
        <f>'66 SYANA PRAROOP-20'!D152</f>
        <v>342</v>
      </c>
      <c r="G151" s="103">
        <f>'66 SYANA PRAROOP-20'!E152</f>
        <v>10</v>
      </c>
      <c r="H151" s="103">
        <f>'66 SYANA PRAROOP-20'!F152</f>
        <v>41</v>
      </c>
      <c r="I151" s="103">
        <f>'66 SYANA PRAROOP-20'!G152</f>
        <v>6</v>
      </c>
      <c r="J151" s="103">
        <f>'66 SYANA PRAROOP-20'!H152</f>
        <v>2</v>
      </c>
      <c r="K151" s="103">
        <f>'66 SYANA PRAROOP-20'!I152</f>
        <v>1</v>
      </c>
      <c r="L151" s="103">
        <f>'66 SYANA PRAROOP-20'!J152</f>
        <v>1</v>
      </c>
      <c r="M151" s="78">
        <f t="shared" si="4"/>
        <v>659</v>
      </c>
      <c r="N151" s="103">
        <v>0</v>
      </c>
      <c r="O151" s="103">
        <f>'66 SYANA PRAROOP-20'!M152</f>
        <v>1</v>
      </c>
      <c r="P151" s="78">
        <f t="shared" si="5"/>
        <v>660</v>
      </c>
      <c r="Q151" s="103">
        <v>0</v>
      </c>
    </row>
    <row r="152" spans="2:17" ht="18.75">
      <c r="B152" s="78">
        <v>146</v>
      </c>
      <c r="C152" s="114" t="s">
        <v>337</v>
      </c>
      <c r="D152" s="33">
        <v>570</v>
      </c>
      <c r="E152" s="103">
        <f>'66 SYANA PRAROOP-20'!C153</f>
        <v>222</v>
      </c>
      <c r="F152" s="103">
        <f>'66 SYANA PRAROOP-20'!D153</f>
        <v>303</v>
      </c>
      <c r="G152" s="103">
        <f>'66 SYANA PRAROOP-20'!E153</f>
        <v>4</v>
      </c>
      <c r="H152" s="103">
        <f>'66 SYANA PRAROOP-20'!F153</f>
        <v>25</v>
      </c>
      <c r="I152" s="103">
        <f>'66 SYANA PRAROOP-20'!G153</f>
        <v>7</v>
      </c>
      <c r="J152" s="103">
        <f>'66 SYANA PRAROOP-20'!H153</f>
        <v>5</v>
      </c>
      <c r="K152" s="103">
        <f>'66 SYANA PRAROOP-20'!I153</f>
        <v>0</v>
      </c>
      <c r="L152" s="103">
        <f>'66 SYANA PRAROOP-20'!J153</f>
        <v>1</v>
      </c>
      <c r="M152" s="78">
        <f t="shared" si="4"/>
        <v>567</v>
      </c>
      <c r="N152" s="103">
        <v>0</v>
      </c>
      <c r="O152" s="103">
        <f>'66 SYANA PRAROOP-20'!M153</f>
        <v>3</v>
      </c>
      <c r="P152" s="78">
        <f t="shared" si="5"/>
        <v>570</v>
      </c>
      <c r="Q152" s="103">
        <v>0</v>
      </c>
    </row>
    <row r="153" spans="2:17" ht="18.75">
      <c r="B153" s="78">
        <v>147</v>
      </c>
      <c r="C153" s="114" t="s">
        <v>338</v>
      </c>
      <c r="D153" s="33">
        <v>584</v>
      </c>
      <c r="E153" s="103">
        <f>'66 SYANA PRAROOP-20'!C154</f>
        <v>108</v>
      </c>
      <c r="F153" s="103">
        <f>'66 SYANA PRAROOP-20'!D154</f>
        <v>436</v>
      </c>
      <c r="G153" s="103">
        <f>'66 SYANA PRAROOP-20'!E154</f>
        <v>3</v>
      </c>
      <c r="H153" s="103">
        <f>'66 SYANA PRAROOP-20'!F154</f>
        <v>31</v>
      </c>
      <c r="I153" s="103">
        <f>'66 SYANA PRAROOP-20'!G154</f>
        <v>0</v>
      </c>
      <c r="J153" s="103">
        <f>'66 SYANA PRAROOP-20'!H154</f>
        <v>0</v>
      </c>
      <c r="K153" s="103">
        <f>'66 SYANA PRAROOP-20'!I154</f>
        <v>1</v>
      </c>
      <c r="L153" s="103">
        <f>'66 SYANA PRAROOP-20'!J154</f>
        <v>1</v>
      </c>
      <c r="M153" s="78">
        <f t="shared" si="4"/>
        <v>580</v>
      </c>
      <c r="N153" s="103">
        <v>0</v>
      </c>
      <c r="O153" s="103">
        <f>'66 SYANA PRAROOP-20'!M154</f>
        <v>4</v>
      </c>
      <c r="P153" s="78">
        <f t="shared" si="5"/>
        <v>584</v>
      </c>
      <c r="Q153" s="103">
        <v>0</v>
      </c>
    </row>
    <row r="154" spans="2:17" ht="18.75">
      <c r="B154" s="78">
        <v>148</v>
      </c>
      <c r="C154" s="114" t="s">
        <v>339</v>
      </c>
      <c r="D154" s="33">
        <v>749</v>
      </c>
      <c r="E154" s="103">
        <f>'66 SYANA PRAROOP-20'!C155</f>
        <v>182</v>
      </c>
      <c r="F154" s="103">
        <f>'66 SYANA PRAROOP-20'!D155</f>
        <v>354</v>
      </c>
      <c r="G154" s="103">
        <f>'66 SYANA PRAROOP-20'!E155</f>
        <v>9</v>
      </c>
      <c r="H154" s="103">
        <f>'66 SYANA PRAROOP-20'!F155</f>
        <v>185</v>
      </c>
      <c r="I154" s="103">
        <f>'66 SYANA PRAROOP-20'!G155</f>
        <v>3</v>
      </c>
      <c r="J154" s="103">
        <f>'66 SYANA PRAROOP-20'!H155</f>
        <v>3</v>
      </c>
      <c r="K154" s="103">
        <f>'66 SYANA PRAROOP-20'!I155</f>
        <v>7</v>
      </c>
      <c r="L154" s="103">
        <f>'66 SYANA PRAROOP-20'!J155</f>
        <v>1</v>
      </c>
      <c r="M154" s="78">
        <f t="shared" si="4"/>
        <v>744</v>
      </c>
      <c r="N154" s="103">
        <v>0</v>
      </c>
      <c r="O154" s="103">
        <f>'66 SYANA PRAROOP-20'!M155</f>
        <v>5</v>
      </c>
      <c r="P154" s="78">
        <f t="shared" si="5"/>
        <v>749</v>
      </c>
      <c r="Q154" s="103">
        <v>0</v>
      </c>
    </row>
    <row r="155" spans="2:17" ht="18.75">
      <c r="B155" s="78">
        <v>149</v>
      </c>
      <c r="C155" s="114" t="s">
        <v>340</v>
      </c>
      <c r="D155" s="33">
        <v>437</v>
      </c>
      <c r="E155" s="103">
        <f>'66 SYANA PRAROOP-20'!C156</f>
        <v>52</v>
      </c>
      <c r="F155" s="103">
        <f>'66 SYANA PRAROOP-20'!D156</f>
        <v>236</v>
      </c>
      <c r="G155" s="103">
        <f>'66 SYANA PRAROOP-20'!E156</f>
        <v>7</v>
      </c>
      <c r="H155" s="103">
        <f>'66 SYANA PRAROOP-20'!F156</f>
        <v>135</v>
      </c>
      <c r="I155" s="103">
        <f>'66 SYANA PRAROOP-20'!G156</f>
        <v>0</v>
      </c>
      <c r="J155" s="103">
        <f>'66 SYANA PRAROOP-20'!H156</f>
        <v>1</v>
      </c>
      <c r="K155" s="103">
        <f>'66 SYANA PRAROOP-20'!I156</f>
        <v>2</v>
      </c>
      <c r="L155" s="103">
        <f>'66 SYANA PRAROOP-20'!J156</f>
        <v>1</v>
      </c>
      <c r="M155" s="78">
        <f t="shared" si="4"/>
        <v>434</v>
      </c>
      <c r="N155" s="103">
        <v>0</v>
      </c>
      <c r="O155" s="103">
        <f>'66 SYANA PRAROOP-20'!M156</f>
        <v>3</v>
      </c>
      <c r="P155" s="78">
        <f t="shared" si="5"/>
        <v>437</v>
      </c>
      <c r="Q155" s="103">
        <v>0</v>
      </c>
    </row>
    <row r="156" spans="2:17" ht="18.75">
      <c r="B156" s="78">
        <v>150</v>
      </c>
      <c r="C156" s="114" t="s">
        <v>341</v>
      </c>
      <c r="D156" s="33">
        <v>568</v>
      </c>
      <c r="E156" s="103">
        <f>'66 SYANA PRAROOP-20'!C157</f>
        <v>95</v>
      </c>
      <c r="F156" s="103">
        <f>'66 SYANA PRAROOP-20'!D157</f>
        <v>393</v>
      </c>
      <c r="G156" s="103">
        <f>'66 SYANA PRAROOP-20'!E157</f>
        <v>3</v>
      </c>
      <c r="H156" s="103">
        <f>'66 SYANA PRAROOP-20'!F157</f>
        <v>57</v>
      </c>
      <c r="I156" s="103">
        <f>'66 SYANA PRAROOP-20'!G157</f>
        <v>2</v>
      </c>
      <c r="J156" s="103">
        <f>'66 SYANA PRAROOP-20'!H157</f>
        <v>3</v>
      </c>
      <c r="K156" s="103">
        <f>'66 SYANA PRAROOP-20'!I157</f>
        <v>7</v>
      </c>
      <c r="L156" s="103">
        <f>'66 SYANA PRAROOP-20'!J157</f>
        <v>2</v>
      </c>
      <c r="M156" s="78">
        <f t="shared" si="4"/>
        <v>562</v>
      </c>
      <c r="N156" s="103">
        <v>0</v>
      </c>
      <c r="O156" s="103">
        <f>'66 SYANA PRAROOP-20'!M157</f>
        <v>6</v>
      </c>
      <c r="P156" s="78">
        <f t="shared" si="5"/>
        <v>568</v>
      </c>
      <c r="Q156" s="103">
        <v>0</v>
      </c>
    </row>
    <row r="157" spans="2:17" ht="18.75">
      <c r="B157" s="78">
        <v>151</v>
      </c>
      <c r="C157" s="114" t="s">
        <v>342</v>
      </c>
      <c r="D157" s="33">
        <v>413</v>
      </c>
      <c r="E157" s="103">
        <f>'66 SYANA PRAROOP-20'!C158</f>
        <v>20</v>
      </c>
      <c r="F157" s="103">
        <f>'66 SYANA PRAROOP-20'!D158</f>
        <v>308</v>
      </c>
      <c r="G157" s="103">
        <f>'66 SYANA PRAROOP-20'!E158</f>
        <v>2</v>
      </c>
      <c r="H157" s="103">
        <f>'66 SYANA PRAROOP-20'!F158</f>
        <v>74</v>
      </c>
      <c r="I157" s="103">
        <f>'66 SYANA PRAROOP-20'!G158</f>
        <v>1</v>
      </c>
      <c r="J157" s="103">
        <f>'66 SYANA PRAROOP-20'!H158</f>
        <v>3</v>
      </c>
      <c r="K157" s="103">
        <f>'66 SYANA PRAROOP-20'!I158</f>
        <v>0</v>
      </c>
      <c r="L157" s="103">
        <f>'66 SYANA PRAROOP-20'!J158</f>
        <v>4</v>
      </c>
      <c r="M157" s="78">
        <f t="shared" si="4"/>
        <v>412</v>
      </c>
      <c r="N157" s="103">
        <v>0</v>
      </c>
      <c r="O157" s="103">
        <f>'66 SYANA PRAROOP-20'!M158</f>
        <v>1</v>
      </c>
      <c r="P157" s="78">
        <f t="shared" si="5"/>
        <v>413</v>
      </c>
      <c r="Q157" s="103">
        <v>0</v>
      </c>
    </row>
    <row r="158" spans="2:17" ht="18.75">
      <c r="B158" s="78">
        <v>152</v>
      </c>
      <c r="C158" s="114" t="s">
        <v>343</v>
      </c>
      <c r="D158" s="33">
        <v>609</v>
      </c>
      <c r="E158" s="103">
        <f>'66 SYANA PRAROOP-20'!C159</f>
        <v>193</v>
      </c>
      <c r="F158" s="103">
        <f>'66 SYANA PRAROOP-20'!D159</f>
        <v>129</v>
      </c>
      <c r="G158" s="103">
        <f>'66 SYANA PRAROOP-20'!E159</f>
        <v>3</v>
      </c>
      <c r="H158" s="103">
        <f>'66 SYANA PRAROOP-20'!F159</f>
        <v>282</v>
      </c>
      <c r="I158" s="103">
        <f>'66 SYANA PRAROOP-20'!G159</f>
        <v>3</v>
      </c>
      <c r="J158" s="103">
        <f>'66 SYANA PRAROOP-20'!H159</f>
        <v>0</v>
      </c>
      <c r="K158" s="103">
        <f>'66 SYANA PRAROOP-20'!I159</f>
        <v>0</v>
      </c>
      <c r="L158" s="103">
        <f>'66 SYANA PRAROOP-20'!J159</f>
        <v>0</v>
      </c>
      <c r="M158" s="78">
        <f t="shared" si="4"/>
        <v>610</v>
      </c>
      <c r="N158" s="103">
        <v>0</v>
      </c>
      <c r="O158" s="103">
        <f>'66 SYANA PRAROOP-20'!M159</f>
        <v>0</v>
      </c>
      <c r="P158" s="78">
        <f t="shared" si="5"/>
        <v>610</v>
      </c>
      <c r="Q158" s="103">
        <v>0</v>
      </c>
    </row>
    <row r="159" spans="2:17" ht="18.75">
      <c r="B159" s="78">
        <v>153</v>
      </c>
      <c r="C159" s="114" t="s">
        <v>344</v>
      </c>
      <c r="D159" s="33">
        <v>821</v>
      </c>
      <c r="E159" s="103">
        <f>'66 SYANA PRAROOP-20'!C160</f>
        <v>114</v>
      </c>
      <c r="F159" s="103">
        <f>'66 SYANA PRAROOP-20'!D160</f>
        <v>666</v>
      </c>
      <c r="G159" s="103">
        <f>'66 SYANA PRAROOP-20'!E160</f>
        <v>7</v>
      </c>
      <c r="H159" s="103">
        <f>'66 SYANA PRAROOP-20'!F160</f>
        <v>14</v>
      </c>
      <c r="I159" s="103">
        <f>'66 SYANA PRAROOP-20'!G160</f>
        <v>1</v>
      </c>
      <c r="J159" s="103">
        <f>'66 SYANA PRAROOP-20'!H160</f>
        <v>5</v>
      </c>
      <c r="K159" s="103">
        <f>'66 SYANA PRAROOP-20'!I160</f>
        <v>1</v>
      </c>
      <c r="L159" s="103">
        <f>'66 SYANA PRAROOP-20'!J160</f>
        <v>8</v>
      </c>
      <c r="M159" s="78">
        <f t="shared" si="4"/>
        <v>816</v>
      </c>
      <c r="N159" s="103">
        <v>0</v>
      </c>
      <c r="O159" s="103">
        <f>'66 SYANA PRAROOP-20'!M160</f>
        <v>5</v>
      </c>
      <c r="P159" s="78">
        <f t="shared" si="5"/>
        <v>821</v>
      </c>
      <c r="Q159" s="103">
        <v>0</v>
      </c>
    </row>
    <row r="160" spans="2:17" ht="18.75">
      <c r="B160" s="78">
        <v>154</v>
      </c>
      <c r="C160" s="114" t="s">
        <v>345</v>
      </c>
      <c r="D160" s="33">
        <v>429</v>
      </c>
      <c r="E160" s="103">
        <f>'66 SYANA PRAROOP-20'!C161</f>
        <v>40</v>
      </c>
      <c r="F160" s="103">
        <f>'66 SYANA PRAROOP-20'!D161</f>
        <v>367</v>
      </c>
      <c r="G160" s="103">
        <f>'66 SYANA PRAROOP-20'!E161</f>
        <v>4</v>
      </c>
      <c r="H160" s="103">
        <f>'66 SYANA PRAROOP-20'!F161</f>
        <v>13</v>
      </c>
      <c r="I160" s="103">
        <f>'66 SYANA PRAROOP-20'!G161</f>
        <v>0</v>
      </c>
      <c r="J160" s="103">
        <f>'66 SYANA PRAROOP-20'!H161</f>
        <v>2</v>
      </c>
      <c r="K160" s="103">
        <f>'66 SYANA PRAROOP-20'!I161</f>
        <v>1</v>
      </c>
      <c r="L160" s="103">
        <f>'66 SYANA PRAROOP-20'!J161</f>
        <v>1</v>
      </c>
      <c r="M160" s="78">
        <f t="shared" si="4"/>
        <v>428</v>
      </c>
      <c r="N160" s="103">
        <v>0</v>
      </c>
      <c r="O160" s="103">
        <f>'66 SYANA PRAROOP-20'!M161</f>
        <v>1</v>
      </c>
      <c r="P160" s="78">
        <f t="shared" si="5"/>
        <v>429</v>
      </c>
      <c r="Q160" s="103">
        <v>0</v>
      </c>
    </row>
    <row r="161" spans="2:17" ht="18.75">
      <c r="B161" s="78">
        <v>155</v>
      </c>
      <c r="C161" s="114" t="s">
        <v>346</v>
      </c>
      <c r="D161" s="33">
        <v>375</v>
      </c>
      <c r="E161" s="103">
        <f>'66 SYANA PRAROOP-20'!C162</f>
        <v>70</v>
      </c>
      <c r="F161" s="103">
        <f>'66 SYANA PRAROOP-20'!D162</f>
        <v>300</v>
      </c>
      <c r="G161" s="103">
        <f>'66 SYANA PRAROOP-20'!E162</f>
        <v>1</v>
      </c>
      <c r="H161" s="103">
        <f>'66 SYANA PRAROOP-20'!F162</f>
        <v>2</v>
      </c>
      <c r="I161" s="103">
        <f>'66 SYANA PRAROOP-20'!G162</f>
        <v>0</v>
      </c>
      <c r="J161" s="103">
        <f>'66 SYANA PRAROOP-20'!H162</f>
        <v>0</v>
      </c>
      <c r="K161" s="103">
        <f>'66 SYANA PRAROOP-20'!I162</f>
        <v>1</v>
      </c>
      <c r="L161" s="103">
        <f>'66 SYANA PRAROOP-20'!J162</f>
        <v>0</v>
      </c>
      <c r="M161" s="78">
        <f t="shared" si="4"/>
        <v>374</v>
      </c>
      <c r="N161" s="103">
        <v>0</v>
      </c>
      <c r="O161" s="103">
        <f>'66 SYANA PRAROOP-20'!M162</f>
        <v>1</v>
      </c>
      <c r="P161" s="78">
        <f t="shared" si="5"/>
        <v>375</v>
      </c>
      <c r="Q161" s="103">
        <v>0</v>
      </c>
    </row>
    <row r="162" spans="2:17" ht="18.75">
      <c r="B162" s="78">
        <v>156</v>
      </c>
      <c r="C162" s="114" t="s">
        <v>347</v>
      </c>
      <c r="D162" s="33">
        <v>537</v>
      </c>
      <c r="E162" s="103">
        <f>'66 SYANA PRAROOP-20'!C163</f>
        <v>10</v>
      </c>
      <c r="F162" s="103">
        <f>'66 SYANA PRAROOP-20'!D163</f>
        <v>471</v>
      </c>
      <c r="G162" s="103">
        <f>'66 SYANA PRAROOP-20'!E163</f>
        <v>4</v>
      </c>
      <c r="H162" s="103">
        <f>'66 SYANA PRAROOP-20'!F163</f>
        <v>35</v>
      </c>
      <c r="I162" s="103">
        <f>'66 SYANA PRAROOP-20'!G163</f>
        <v>0</v>
      </c>
      <c r="J162" s="103">
        <f>'66 SYANA PRAROOP-20'!H163</f>
        <v>11</v>
      </c>
      <c r="K162" s="103">
        <f>'66 SYANA PRAROOP-20'!I163</f>
        <v>4</v>
      </c>
      <c r="L162" s="103">
        <f>'66 SYANA PRAROOP-20'!J163</f>
        <v>0</v>
      </c>
      <c r="M162" s="78">
        <f t="shared" si="4"/>
        <v>535</v>
      </c>
      <c r="N162" s="103">
        <v>0</v>
      </c>
      <c r="O162" s="103">
        <f>'66 SYANA PRAROOP-20'!M163</f>
        <v>2</v>
      </c>
      <c r="P162" s="78">
        <f t="shared" si="5"/>
        <v>537</v>
      </c>
      <c r="Q162" s="103">
        <v>0</v>
      </c>
    </row>
    <row r="163" spans="2:17" ht="18.75">
      <c r="B163" s="78">
        <v>157</v>
      </c>
      <c r="C163" s="114" t="s">
        <v>348</v>
      </c>
      <c r="D163" s="33">
        <v>604</v>
      </c>
      <c r="E163" s="103">
        <f>'66 SYANA PRAROOP-20'!C164</f>
        <v>29</v>
      </c>
      <c r="F163" s="103">
        <f>'66 SYANA PRAROOP-20'!D164</f>
        <v>272</v>
      </c>
      <c r="G163" s="103">
        <f>'66 SYANA PRAROOP-20'!E164</f>
        <v>7</v>
      </c>
      <c r="H163" s="103">
        <f>'66 SYANA PRAROOP-20'!F164</f>
        <v>282</v>
      </c>
      <c r="I163" s="103">
        <f>'66 SYANA PRAROOP-20'!G164</f>
        <v>5</v>
      </c>
      <c r="J163" s="103">
        <f>'66 SYANA PRAROOP-20'!H164</f>
        <v>8</v>
      </c>
      <c r="K163" s="103">
        <f>'66 SYANA PRAROOP-20'!I164</f>
        <v>0</v>
      </c>
      <c r="L163" s="103">
        <f>'66 SYANA PRAROOP-20'!J164</f>
        <v>0</v>
      </c>
      <c r="M163" s="78">
        <f t="shared" si="4"/>
        <v>603</v>
      </c>
      <c r="N163" s="103">
        <v>0</v>
      </c>
      <c r="O163" s="103">
        <f>'66 SYANA PRAROOP-20'!M164</f>
        <v>1</v>
      </c>
      <c r="P163" s="78">
        <f t="shared" si="5"/>
        <v>604</v>
      </c>
      <c r="Q163" s="103">
        <v>0</v>
      </c>
    </row>
    <row r="164" spans="2:17" ht="18.75">
      <c r="B164" s="78">
        <v>158</v>
      </c>
      <c r="C164" s="114" t="s">
        <v>349</v>
      </c>
      <c r="D164" s="33">
        <v>461</v>
      </c>
      <c r="E164" s="103">
        <f>'66 SYANA PRAROOP-20'!C165</f>
        <v>29</v>
      </c>
      <c r="F164" s="103">
        <f>'66 SYANA PRAROOP-20'!D165</f>
        <v>245</v>
      </c>
      <c r="G164" s="103">
        <f>'66 SYANA PRAROOP-20'!E165</f>
        <v>21</v>
      </c>
      <c r="H164" s="103">
        <f>'66 SYANA PRAROOP-20'!F165</f>
        <v>145</v>
      </c>
      <c r="I164" s="103">
        <f>'66 SYANA PRAROOP-20'!G165</f>
        <v>2</v>
      </c>
      <c r="J164" s="103">
        <f>'66 SYANA PRAROOP-20'!H165</f>
        <v>10</v>
      </c>
      <c r="K164" s="103">
        <f>'66 SYANA PRAROOP-20'!I165</f>
        <v>7</v>
      </c>
      <c r="L164" s="103">
        <f>'66 SYANA PRAROOP-20'!J165</f>
        <v>0</v>
      </c>
      <c r="M164" s="78">
        <f t="shared" si="4"/>
        <v>459</v>
      </c>
      <c r="N164" s="103">
        <v>0</v>
      </c>
      <c r="O164" s="103">
        <f>'66 SYANA PRAROOP-20'!M165</f>
        <v>2</v>
      </c>
      <c r="P164" s="78">
        <f t="shared" si="5"/>
        <v>461</v>
      </c>
      <c r="Q164" s="103">
        <v>0</v>
      </c>
    </row>
    <row r="165" spans="2:17" ht="18.75">
      <c r="B165" s="78">
        <v>159</v>
      </c>
      <c r="C165" s="114" t="s">
        <v>350</v>
      </c>
      <c r="D165" s="33">
        <v>607</v>
      </c>
      <c r="E165" s="103">
        <f>'66 SYANA PRAROOP-20'!C166</f>
        <v>13</v>
      </c>
      <c r="F165" s="103">
        <f>'66 SYANA PRAROOP-20'!D166</f>
        <v>574</v>
      </c>
      <c r="G165" s="103">
        <f>'66 SYANA PRAROOP-20'!E166</f>
        <v>2</v>
      </c>
      <c r="H165" s="103">
        <f>'66 SYANA PRAROOP-20'!F166</f>
        <v>7</v>
      </c>
      <c r="I165" s="103">
        <f>'66 SYANA PRAROOP-20'!G166</f>
        <v>2</v>
      </c>
      <c r="J165" s="103">
        <f>'66 SYANA PRAROOP-20'!H166</f>
        <v>3</v>
      </c>
      <c r="K165" s="103">
        <f>'66 SYANA PRAROOP-20'!I166</f>
        <v>4</v>
      </c>
      <c r="L165" s="103">
        <f>'66 SYANA PRAROOP-20'!J166</f>
        <v>1</v>
      </c>
      <c r="M165" s="78">
        <f t="shared" si="4"/>
        <v>606</v>
      </c>
      <c r="N165" s="103">
        <v>0</v>
      </c>
      <c r="O165" s="103">
        <f>'66 SYANA PRAROOP-20'!M166</f>
        <v>1</v>
      </c>
      <c r="P165" s="78">
        <f t="shared" si="5"/>
        <v>607</v>
      </c>
      <c r="Q165" s="103">
        <v>0</v>
      </c>
    </row>
    <row r="166" spans="2:17" ht="18.75">
      <c r="B166" s="78">
        <v>160</v>
      </c>
      <c r="C166" s="114" t="s">
        <v>351</v>
      </c>
      <c r="D166" s="33">
        <v>558</v>
      </c>
      <c r="E166" s="103">
        <f>'66 SYANA PRAROOP-20'!C167</f>
        <v>16</v>
      </c>
      <c r="F166" s="103">
        <f>'66 SYANA PRAROOP-20'!D167</f>
        <v>520</v>
      </c>
      <c r="G166" s="103">
        <f>'66 SYANA PRAROOP-20'!E167</f>
        <v>2</v>
      </c>
      <c r="H166" s="103">
        <f>'66 SYANA PRAROOP-20'!F167</f>
        <v>12</v>
      </c>
      <c r="I166" s="103">
        <f>'66 SYANA PRAROOP-20'!G167</f>
        <v>0</v>
      </c>
      <c r="J166" s="103">
        <f>'66 SYANA PRAROOP-20'!H167</f>
        <v>3</v>
      </c>
      <c r="K166" s="103">
        <f>'66 SYANA PRAROOP-20'!I167</f>
        <v>4</v>
      </c>
      <c r="L166" s="103">
        <f>'66 SYANA PRAROOP-20'!J167</f>
        <v>1</v>
      </c>
      <c r="M166" s="78">
        <f t="shared" si="4"/>
        <v>558</v>
      </c>
      <c r="N166" s="103">
        <v>0</v>
      </c>
      <c r="O166" s="103">
        <f>'66 SYANA PRAROOP-20'!M167</f>
        <v>0</v>
      </c>
      <c r="P166" s="78">
        <f t="shared" si="5"/>
        <v>558</v>
      </c>
      <c r="Q166" s="103">
        <v>0</v>
      </c>
    </row>
    <row r="167" spans="2:17" ht="18.75">
      <c r="B167" s="78">
        <v>161</v>
      </c>
      <c r="C167" s="114" t="s">
        <v>352</v>
      </c>
      <c r="D167" s="33">
        <v>444</v>
      </c>
      <c r="E167" s="103">
        <f>'66 SYANA PRAROOP-20'!C168</f>
        <v>100</v>
      </c>
      <c r="F167" s="103">
        <f>'66 SYANA PRAROOP-20'!D168</f>
        <v>211</v>
      </c>
      <c r="G167" s="103">
        <f>'66 SYANA PRAROOP-20'!E168</f>
        <v>8</v>
      </c>
      <c r="H167" s="103">
        <f>'66 SYANA PRAROOP-20'!F168</f>
        <v>81</v>
      </c>
      <c r="I167" s="103">
        <f>'66 SYANA PRAROOP-20'!G168</f>
        <v>41</v>
      </c>
      <c r="J167" s="103">
        <f>'66 SYANA PRAROOP-20'!H168</f>
        <v>1</v>
      </c>
      <c r="K167" s="103">
        <f>'66 SYANA PRAROOP-20'!I168</f>
        <v>1</v>
      </c>
      <c r="L167" s="103">
        <f>'66 SYANA PRAROOP-20'!J168</f>
        <v>1</v>
      </c>
      <c r="M167" s="78">
        <f t="shared" si="4"/>
        <v>444</v>
      </c>
      <c r="N167" s="103">
        <v>0</v>
      </c>
      <c r="O167" s="103">
        <f>'66 SYANA PRAROOP-20'!M168</f>
        <v>0</v>
      </c>
      <c r="P167" s="78">
        <f t="shared" si="5"/>
        <v>444</v>
      </c>
      <c r="Q167" s="103">
        <v>0</v>
      </c>
    </row>
    <row r="168" spans="2:17" ht="18.75">
      <c r="B168" s="78">
        <v>162</v>
      </c>
      <c r="C168" s="114" t="s">
        <v>353</v>
      </c>
      <c r="D168" s="33">
        <v>409</v>
      </c>
      <c r="E168" s="103">
        <f>'66 SYANA PRAROOP-20'!C169</f>
        <v>53</v>
      </c>
      <c r="F168" s="103">
        <f>'66 SYANA PRAROOP-20'!D169</f>
        <v>329</v>
      </c>
      <c r="G168" s="103">
        <f>'66 SYANA PRAROOP-20'!E169</f>
        <v>15</v>
      </c>
      <c r="H168" s="103">
        <f>'66 SYANA PRAROOP-20'!F169</f>
        <v>2</v>
      </c>
      <c r="I168" s="103">
        <f>'66 SYANA PRAROOP-20'!G169</f>
        <v>5</v>
      </c>
      <c r="J168" s="103">
        <f>'66 SYANA PRAROOP-20'!H169</f>
        <v>2</v>
      </c>
      <c r="K168" s="103">
        <f>'66 SYANA PRAROOP-20'!I169</f>
        <v>1</v>
      </c>
      <c r="L168" s="103">
        <f>'66 SYANA PRAROOP-20'!J169</f>
        <v>1</v>
      </c>
      <c r="M168" s="78">
        <f t="shared" si="4"/>
        <v>408</v>
      </c>
      <c r="N168" s="103">
        <v>0</v>
      </c>
      <c r="O168" s="103">
        <f>'66 SYANA PRAROOP-20'!M169</f>
        <v>1</v>
      </c>
      <c r="P168" s="78">
        <f t="shared" si="5"/>
        <v>409</v>
      </c>
      <c r="Q168" s="103">
        <v>0</v>
      </c>
    </row>
    <row r="169" spans="2:17" ht="18.75">
      <c r="B169" s="78">
        <v>163</v>
      </c>
      <c r="C169" s="114" t="s">
        <v>354</v>
      </c>
      <c r="D169" s="33">
        <v>744</v>
      </c>
      <c r="E169" s="103">
        <f>'66 SYANA PRAROOP-20'!C170</f>
        <v>85</v>
      </c>
      <c r="F169" s="103">
        <f>'66 SYANA PRAROOP-20'!D170</f>
        <v>631</v>
      </c>
      <c r="G169" s="103">
        <f>'66 SYANA PRAROOP-20'!E170</f>
        <v>1</v>
      </c>
      <c r="H169" s="103">
        <f>'66 SYANA PRAROOP-20'!F170</f>
        <v>7</v>
      </c>
      <c r="I169" s="103">
        <f>'66 SYANA PRAROOP-20'!G170</f>
        <v>0</v>
      </c>
      <c r="J169" s="103">
        <f>'66 SYANA PRAROOP-20'!H170</f>
        <v>14</v>
      </c>
      <c r="K169" s="103">
        <f>'66 SYANA PRAROOP-20'!I170</f>
        <v>3</v>
      </c>
      <c r="L169" s="103">
        <f>'66 SYANA PRAROOP-20'!J170</f>
        <v>2</v>
      </c>
      <c r="M169" s="78">
        <f t="shared" si="4"/>
        <v>743</v>
      </c>
      <c r="N169" s="103">
        <v>0</v>
      </c>
      <c r="O169" s="103">
        <f>'66 SYANA PRAROOP-20'!M170</f>
        <v>1</v>
      </c>
      <c r="P169" s="78">
        <f t="shared" si="5"/>
        <v>744</v>
      </c>
      <c r="Q169" s="103">
        <v>0</v>
      </c>
    </row>
    <row r="170" spans="2:17" ht="18.75">
      <c r="B170" s="78">
        <v>164</v>
      </c>
      <c r="C170" s="114" t="s">
        <v>355</v>
      </c>
      <c r="D170" s="33">
        <v>533</v>
      </c>
      <c r="E170" s="103">
        <f>'66 SYANA PRAROOP-20'!C171</f>
        <v>75</v>
      </c>
      <c r="F170" s="103">
        <f>'66 SYANA PRAROOP-20'!D171</f>
        <v>202</v>
      </c>
      <c r="G170" s="103">
        <f>'66 SYANA PRAROOP-20'!E171</f>
        <v>5</v>
      </c>
      <c r="H170" s="103">
        <f>'66 SYANA PRAROOP-20'!F171</f>
        <v>233</v>
      </c>
      <c r="I170" s="103">
        <f>'66 SYANA PRAROOP-20'!G171</f>
        <v>8</v>
      </c>
      <c r="J170" s="103">
        <f>'66 SYANA PRAROOP-20'!H171</f>
        <v>4</v>
      </c>
      <c r="K170" s="103">
        <f>'66 SYANA PRAROOP-20'!I171</f>
        <v>3</v>
      </c>
      <c r="L170" s="103">
        <f>'66 SYANA PRAROOP-20'!J171</f>
        <v>0</v>
      </c>
      <c r="M170" s="78">
        <f t="shared" si="4"/>
        <v>530</v>
      </c>
      <c r="N170" s="103">
        <v>0</v>
      </c>
      <c r="O170" s="103">
        <f>'66 SYANA PRAROOP-20'!M171</f>
        <v>3</v>
      </c>
      <c r="P170" s="78">
        <f t="shared" si="5"/>
        <v>533</v>
      </c>
      <c r="Q170" s="103">
        <v>0</v>
      </c>
    </row>
    <row r="171" spans="2:17" ht="18.75">
      <c r="B171" s="78">
        <v>165</v>
      </c>
      <c r="C171" s="114" t="s">
        <v>356</v>
      </c>
      <c r="D171" s="33">
        <v>545</v>
      </c>
      <c r="E171" s="103">
        <f>'66 SYANA PRAROOP-20'!C172</f>
        <v>24</v>
      </c>
      <c r="F171" s="103">
        <f>'66 SYANA PRAROOP-20'!D172</f>
        <v>503</v>
      </c>
      <c r="G171" s="103">
        <f>'66 SYANA PRAROOP-20'!E172</f>
        <v>5</v>
      </c>
      <c r="H171" s="103">
        <f>'66 SYANA PRAROOP-20'!F172</f>
        <v>3</v>
      </c>
      <c r="I171" s="103">
        <f>'66 SYANA PRAROOP-20'!G172</f>
        <v>0</v>
      </c>
      <c r="J171" s="103">
        <f>'66 SYANA PRAROOP-20'!H172</f>
        <v>3</v>
      </c>
      <c r="K171" s="103">
        <f>'66 SYANA PRAROOP-20'!I172</f>
        <v>0</v>
      </c>
      <c r="L171" s="103">
        <f>'66 SYANA PRAROOP-20'!J172</f>
        <v>5</v>
      </c>
      <c r="M171" s="78">
        <f t="shared" si="4"/>
        <v>543</v>
      </c>
      <c r="N171" s="103">
        <v>0</v>
      </c>
      <c r="O171" s="103">
        <f>'66 SYANA PRAROOP-20'!M172</f>
        <v>2</v>
      </c>
      <c r="P171" s="78">
        <f t="shared" si="5"/>
        <v>545</v>
      </c>
      <c r="Q171" s="103">
        <v>0</v>
      </c>
    </row>
    <row r="172" spans="2:17" ht="18.75">
      <c r="B172" s="78">
        <v>166</v>
      </c>
      <c r="C172" s="114" t="s">
        <v>357</v>
      </c>
      <c r="D172" s="33">
        <v>618</v>
      </c>
      <c r="E172" s="103">
        <f>'66 SYANA PRAROOP-20'!C173</f>
        <v>9</v>
      </c>
      <c r="F172" s="103">
        <f>'66 SYANA PRAROOP-20'!D173</f>
        <v>599</v>
      </c>
      <c r="G172" s="103">
        <f>'66 SYANA PRAROOP-20'!E173</f>
        <v>1</v>
      </c>
      <c r="H172" s="103">
        <f>'66 SYANA PRAROOP-20'!F173</f>
        <v>2</v>
      </c>
      <c r="I172" s="103">
        <f>'66 SYANA PRAROOP-20'!G173</f>
        <v>0</v>
      </c>
      <c r="J172" s="103">
        <f>'66 SYANA PRAROOP-20'!H173</f>
        <v>1</v>
      </c>
      <c r="K172" s="103">
        <f>'66 SYANA PRAROOP-20'!I173</f>
        <v>1</v>
      </c>
      <c r="L172" s="103">
        <f>'66 SYANA PRAROOP-20'!J173</f>
        <v>5</v>
      </c>
      <c r="M172" s="78">
        <f t="shared" si="4"/>
        <v>618</v>
      </c>
      <c r="N172" s="103">
        <v>0</v>
      </c>
      <c r="O172" s="103">
        <f>'66 SYANA PRAROOP-20'!M173</f>
        <v>0</v>
      </c>
      <c r="P172" s="78">
        <f t="shared" si="5"/>
        <v>618</v>
      </c>
      <c r="Q172" s="103">
        <v>0</v>
      </c>
    </row>
    <row r="173" spans="2:17" ht="18.75">
      <c r="B173" s="78">
        <v>167</v>
      </c>
      <c r="C173" s="114" t="s">
        <v>358</v>
      </c>
      <c r="D173" s="33">
        <v>487</v>
      </c>
      <c r="E173" s="103">
        <f>'66 SYANA PRAROOP-20'!C174</f>
        <v>288</v>
      </c>
      <c r="F173" s="103">
        <f>'66 SYANA PRAROOP-20'!D174</f>
        <v>187</v>
      </c>
      <c r="G173" s="103">
        <f>'66 SYANA PRAROOP-20'!E174</f>
        <v>2</v>
      </c>
      <c r="H173" s="103">
        <f>'66 SYANA PRAROOP-20'!F174</f>
        <v>1</v>
      </c>
      <c r="I173" s="103">
        <f>'66 SYANA PRAROOP-20'!G174</f>
        <v>1</v>
      </c>
      <c r="J173" s="103">
        <f>'66 SYANA PRAROOP-20'!H174</f>
        <v>1</v>
      </c>
      <c r="K173" s="103">
        <f>'66 SYANA PRAROOP-20'!I174</f>
        <v>2</v>
      </c>
      <c r="L173" s="103">
        <f>'66 SYANA PRAROOP-20'!J174</f>
        <v>2</v>
      </c>
      <c r="M173" s="78">
        <f t="shared" si="4"/>
        <v>484</v>
      </c>
      <c r="N173" s="103">
        <v>0</v>
      </c>
      <c r="O173" s="103">
        <f>'66 SYANA PRAROOP-20'!M174</f>
        <v>3</v>
      </c>
      <c r="P173" s="78">
        <f t="shared" si="5"/>
        <v>487</v>
      </c>
      <c r="Q173" s="103">
        <v>0</v>
      </c>
    </row>
    <row r="174" spans="2:17" ht="18.75">
      <c r="B174" s="78">
        <v>168</v>
      </c>
      <c r="C174" s="114" t="s">
        <v>359</v>
      </c>
      <c r="D174" s="33">
        <v>465</v>
      </c>
      <c r="E174" s="103">
        <f>'66 SYANA PRAROOP-20'!C175</f>
        <v>363</v>
      </c>
      <c r="F174" s="103">
        <f>'66 SYANA PRAROOP-20'!D175</f>
        <v>93</v>
      </c>
      <c r="G174" s="103">
        <f>'66 SYANA PRAROOP-20'!E175</f>
        <v>0</v>
      </c>
      <c r="H174" s="103">
        <f>'66 SYANA PRAROOP-20'!F175</f>
        <v>3</v>
      </c>
      <c r="I174" s="103">
        <f>'66 SYANA PRAROOP-20'!G175</f>
        <v>0</v>
      </c>
      <c r="J174" s="103">
        <f>'66 SYANA PRAROOP-20'!H175</f>
        <v>1</v>
      </c>
      <c r="K174" s="103">
        <f>'66 SYANA PRAROOP-20'!I175</f>
        <v>0</v>
      </c>
      <c r="L174" s="103">
        <f>'66 SYANA PRAROOP-20'!J175</f>
        <v>0</v>
      </c>
      <c r="M174" s="78">
        <f t="shared" si="4"/>
        <v>460</v>
      </c>
      <c r="N174" s="103">
        <v>0</v>
      </c>
      <c r="O174" s="103">
        <f>'66 SYANA PRAROOP-20'!M175</f>
        <v>5</v>
      </c>
      <c r="P174" s="78">
        <f t="shared" si="5"/>
        <v>465</v>
      </c>
      <c r="Q174" s="103">
        <v>0</v>
      </c>
    </row>
    <row r="175" spans="2:17" ht="18.75">
      <c r="B175" s="78">
        <v>169</v>
      </c>
      <c r="C175" s="114" t="s">
        <v>360</v>
      </c>
      <c r="D175" s="33">
        <v>522</v>
      </c>
      <c r="E175" s="103">
        <f>'66 SYANA PRAROOP-20'!C176</f>
        <v>194</v>
      </c>
      <c r="F175" s="103">
        <f>'66 SYANA PRAROOP-20'!D176</f>
        <v>304</v>
      </c>
      <c r="G175" s="103">
        <f>'66 SYANA PRAROOP-20'!E176</f>
        <v>2</v>
      </c>
      <c r="H175" s="103">
        <f>'66 SYANA PRAROOP-20'!F176</f>
        <v>5</v>
      </c>
      <c r="I175" s="103">
        <f>'66 SYANA PRAROOP-20'!G176</f>
        <v>1</v>
      </c>
      <c r="J175" s="103">
        <f>'66 SYANA PRAROOP-20'!H176</f>
        <v>13</v>
      </c>
      <c r="K175" s="103">
        <f>'66 SYANA PRAROOP-20'!I176</f>
        <v>2</v>
      </c>
      <c r="L175" s="103">
        <f>'66 SYANA PRAROOP-20'!J176</f>
        <v>0</v>
      </c>
      <c r="M175" s="78">
        <f t="shared" si="4"/>
        <v>521</v>
      </c>
      <c r="N175" s="103">
        <v>0</v>
      </c>
      <c r="O175" s="103">
        <f>'66 SYANA PRAROOP-20'!M176</f>
        <v>1</v>
      </c>
      <c r="P175" s="78">
        <f t="shared" si="5"/>
        <v>522</v>
      </c>
      <c r="Q175" s="103">
        <v>0</v>
      </c>
    </row>
    <row r="176" spans="2:17" ht="18.75">
      <c r="B176" s="78">
        <v>170</v>
      </c>
      <c r="C176" s="114" t="s">
        <v>361</v>
      </c>
      <c r="D176" s="33">
        <v>503</v>
      </c>
      <c r="E176" s="103">
        <f>'66 SYANA PRAROOP-20'!C177</f>
        <v>189</v>
      </c>
      <c r="F176" s="103">
        <f>'66 SYANA PRAROOP-20'!D177</f>
        <v>101</v>
      </c>
      <c r="G176" s="103">
        <f>'66 SYANA PRAROOP-20'!E177</f>
        <v>1</v>
      </c>
      <c r="H176" s="103">
        <f>'66 SYANA PRAROOP-20'!F177</f>
        <v>207</v>
      </c>
      <c r="I176" s="103">
        <f>'66 SYANA PRAROOP-20'!G177</f>
        <v>0</v>
      </c>
      <c r="J176" s="103">
        <f>'66 SYANA PRAROOP-20'!H177</f>
        <v>1</v>
      </c>
      <c r="K176" s="103">
        <f>'66 SYANA PRAROOP-20'!I177</f>
        <v>0</v>
      </c>
      <c r="L176" s="103">
        <f>'66 SYANA PRAROOP-20'!J177</f>
        <v>1</v>
      </c>
      <c r="M176" s="78">
        <f t="shared" si="4"/>
        <v>500</v>
      </c>
      <c r="N176" s="103">
        <v>0</v>
      </c>
      <c r="O176" s="103">
        <f>'66 SYANA PRAROOP-20'!M177</f>
        <v>3</v>
      </c>
      <c r="P176" s="78">
        <f t="shared" si="5"/>
        <v>503</v>
      </c>
      <c r="Q176" s="103">
        <v>0</v>
      </c>
    </row>
    <row r="177" spans="2:17" ht="18.75">
      <c r="B177" s="78">
        <v>171</v>
      </c>
      <c r="C177" s="114" t="s">
        <v>362</v>
      </c>
      <c r="D177" s="33">
        <v>707</v>
      </c>
      <c r="E177" s="103">
        <f>'66 SYANA PRAROOP-20'!C178</f>
        <v>28</v>
      </c>
      <c r="F177" s="103">
        <f>'66 SYANA PRAROOP-20'!D178</f>
        <v>107</v>
      </c>
      <c r="G177" s="103">
        <f>'66 SYANA PRAROOP-20'!E178</f>
        <v>4</v>
      </c>
      <c r="H177" s="103">
        <f>'66 SYANA PRAROOP-20'!F178</f>
        <v>553</v>
      </c>
      <c r="I177" s="103">
        <f>'66 SYANA PRAROOP-20'!G178</f>
        <v>0</v>
      </c>
      <c r="J177" s="103">
        <f>'66 SYANA PRAROOP-20'!H178</f>
        <v>10</v>
      </c>
      <c r="K177" s="103">
        <f>'66 SYANA PRAROOP-20'!I178</f>
        <v>1</v>
      </c>
      <c r="L177" s="103">
        <f>'66 SYANA PRAROOP-20'!J178</f>
        <v>1</v>
      </c>
      <c r="M177" s="78">
        <f t="shared" si="4"/>
        <v>704</v>
      </c>
      <c r="N177" s="103">
        <v>0</v>
      </c>
      <c r="O177" s="103">
        <f>'66 SYANA PRAROOP-20'!M178</f>
        <v>3</v>
      </c>
      <c r="P177" s="78">
        <f t="shared" si="5"/>
        <v>707</v>
      </c>
      <c r="Q177" s="103">
        <v>0</v>
      </c>
    </row>
    <row r="178" spans="2:17" ht="18.75">
      <c r="B178" s="78">
        <v>172</v>
      </c>
      <c r="C178" s="114" t="s">
        <v>363</v>
      </c>
      <c r="D178" s="33">
        <v>512</v>
      </c>
      <c r="E178" s="103">
        <f>'66 SYANA PRAROOP-20'!C179</f>
        <v>7</v>
      </c>
      <c r="F178" s="103">
        <f>'66 SYANA PRAROOP-20'!D179</f>
        <v>371</v>
      </c>
      <c r="G178" s="103">
        <f>'66 SYANA PRAROOP-20'!E179</f>
        <v>3</v>
      </c>
      <c r="H178" s="103">
        <f>'66 SYANA PRAROOP-20'!F179</f>
        <v>124</v>
      </c>
      <c r="I178" s="103">
        <f>'66 SYANA PRAROOP-20'!G179</f>
        <v>1</v>
      </c>
      <c r="J178" s="103">
        <f>'66 SYANA PRAROOP-20'!H179</f>
        <v>3</v>
      </c>
      <c r="K178" s="103">
        <f>'66 SYANA PRAROOP-20'!I179</f>
        <v>1</v>
      </c>
      <c r="L178" s="103">
        <f>'66 SYANA PRAROOP-20'!J179</f>
        <v>1</v>
      </c>
      <c r="M178" s="78">
        <f t="shared" si="4"/>
        <v>511</v>
      </c>
      <c r="N178" s="103">
        <v>0</v>
      </c>
      <c r="O178" s="103">
        <f>'66 SYANA PRAROOP-20'!M179</f>
        <v>1</v>
      </c>
      <c r="P178" s="78">
        <f t="shared" si="5"/>
        <v>512</v>
      </c>
      <c r="Q178" s="103">
        <v>0</v>
      </c>
    </row>
    <row r="179" spans="2:17" ht="18.75">
      <c r="B179" s="78">
        <v>173</v>
      </c>
      <c r="C179" s="114" t="s">
        <v>364</v>
      </c>
      <c r="D179" s="33">
        <v>484</v>
      </c>
      <c r="E179" s="103">
        <f>'66 SYANA PRAROOP-20'!C180</f>
        <v>11</v>
      </c>
      <c r="F179" s="103">
        <f>'66 SYANA PRAROOP-20'!D180</f>
        <v>458</v>
      </c>
      <c r="G179" s="103">
        <f>'66 SYANA PRAROOP-20'!E180</f>
        <v>2</v>
      </c>
      <c r="H179" s="103">
        <f>'66 SYANA PRAROOP-20'!F180</f>
        <v>6</v>
      </c>
      <c r="I179" s="103">
        <f>'66 SYANA PRAROOP-20'!G180</f>
        <v>1</v>
      </c>
      <c r="J179" s="103">
        <f>'66 SYANA PRAROOP-20'!H180</f>
        <v>2</v>
      </c>
      <c r="K179" s="103">
        <f>'66 SYANA PRAROOP-20'!I180</f>
        <v>0</v>
      </c>
      <c r="L179" s="103">
        <f>'66 SYANA PRAROOP-20'!J180</f>
        <v>1</v>
      </c>
      <c r="M179" s="78">
        <f t="shared" si="4"/>
        <v>481</v>
      </c>
      <c r="N179" s="103">
        <v>0</v>
      </c>
      <c r="O179" s="103">
        <f>'66 SYANA PRAROOP-20'!M180</f>
        <v>3</v>
      </c>
      <c r="P179" s="78">
        <f t="shared" si="5"/>
        <v>484</v>
      </c>
      <c r="Q179" s="103">
        <v>0</v>
      </c>
    </row>
    <row r="180" spans="2:17" ht="18.75">
      <c r="B180" s="78">
        <v>174</v>
      </c>
      <c r="C180" s="114" t="s">
        <v>365</v>
      </c>
      <c r="D180" s="33">
        <v>428</v>
      </c>
      <c r="E180" s="103">
        <f>'66 SYANA PRAROOP-20'!C181</f>
        <v>26</v>
      </c>
      <c r="F180" s="103">
        <f>'66 SYANA PRAROOP-20'!D181</f>
        <v>287</v>
      </c>
      <c r="G180" s="103">
        <f>'66 SYANA PRAROOP-20'!E181</f>
        <v>10</v>
      </c>
      <c r="H180" s="103">
        <f>'66 SYANA PRAROOP-20'!F181</f>
        <v>101</v>
      </c>
      <c r="I180" s="103">
        <f>'66 SYANA PRAROOP-20'!G181</f>
        <v>1</v>
      </c>
      <c r="J180" s="103">
        <f>'66 SYANA PRAROOP-20'!H181</f>
        <v>1</v>
      </c>
      <c r="K180" s="103">
        <f>'66 SYANA PRAROOP-20'!I181</f>
        <v>0</v>
      </c>
      <c r="L180" s="103">
        <f>'66 SYANA PRAROOP-20'!J181</f>
        <v>1</v>
      </c>
      <c r="M180" s="78">
        <f t="shared" si="4"/>
        <v>427</v>
      </c>
      <c r="N180" s="103">
        <v>0</v>
      </c>
      <c r="O180" s="103">
        <f>'66 SYANA PRAROOP-20'!M181</f>
        <v>1</v>
      </c>
      <c r="P180" s="78">
        <f t="shared" si="5"/>
        <v>428</v>
      </c>
      <c r="Q180" s="103">
        <v>0</v>
      </c>
    </row>
    <row r="181" spans="2:17" ht="18.75">
      <c r="B181" s="78">
        <v>175</v>
      </c>
      <c r="C181" s="114" t="s">
        <v>366</v>
      </c>
      <c r="D181" s="33">
        <v>426</v>
      </c>
      <c r="E181" s="103">
        <f>'66 SYANA PRAROOP-20'!C182</f>
        <v>76</v>
      </c>
      <c r="F181" s="103">
        <f>'66 SYANA PRAROOP-20'!D182</f>
        <v>291</v>
      </c>
      <c r="G181" s="103">
        <f>'66 SYANA PRAROOP-20'!E182</f>
        <v>22</v>
      </c>
      <c r="H181" s="103">
        <f>'66 SYANA PRAROOP-20'!F182</f>
        <v>25</v>
      </c>
      <c r="I181" s="103">
        <f>'66 SYANA PRAROOP-20'!G182</f>
        <v>0</v>
      </c>
      <c r="J181" s="103">
        <f>'66 SYANA PRAROOP-20'!H182</f>
        <v>10</v>
      </c>
      <c r="K181" s="103">
        <f>'66 SYANA PRAROOP-20'!I182</f>
        <v>0</v>
      </c>
      <c r="L181" s="103">
        <f>'66 SYANA PRAROOP-20'!J182</f>
        <v>2</v>
      </c>
      <c r="M181" s="78">
        <f t="shared" si="4"/>
        <v>426</v>
      </c>
      <c r="N181" s="103">
        <v>0</v>
      </c>
      <c r="O181" s="103">
        <f>'66 SYANA PRAROOP-20'!M182</f>
        <v>0</v>
      </c>
      <c r="P181" s="78">
        <f t="shared" si="5"/>
        <v>426</v>
      </c>
      <c r="Q181" s="103">
        <v>0</v>
      </c>
    </row>
    <row r="182" spans="2:17" ht="18.75">
      <c r="B182" s="78">
        <v>176</v>
      </c>
      <c r="C182" s="119" t="s">
        <v>621</v>
      </c>
      <c r="D182" s="33">
        <v>488</v>
      </c>
      <c r="E182" s="103">
        <f>'66 SYANA PRAROOP-20'!C183</f>
        <v>21</v>
      </c>
      <c r="F182" s="103">
        <f>'66 SYANA PRAROOP-20'!D183</f>
        <v>380</v>
      </c>
      <c r="G182" s="103">
        <f>'66 SYANA PRAROOP-20'!E183</f>
        <v>7</v>
      </c>
      <c r="H182" s="103">
        <f>'66 SYANA PRAROOP-20'!F183</f>
        <v>14</v>
      </c>
      <c r="I182" s="103">
        <f>'66 SYANA PRAROOP-20'!G183</f>
        <v>0</v>
      </c>
      <c r="J182" s="103">
        <f>'66 SYANA PRAROOP-20'!H183</f>
        <v>54</v>
      </c>
      <c r="K182" s="103">
        <f>'66 SYANA PRAROOP-20'!I183</f>
        <v>7</v>
      </c>
      <c r="L182" s="103">
        <f>'66 SYANA PRAROOP-20'!J183</f>
        <v>3</v>
      </c>
      <c r="M182" s="78">
        <f t="shared" si="4"/>
        <v>486</v>
      </c>
      <c r="N182" s="103">
        <v>0</v>
      </c>
      <c r="O182" s="103">
        <f>'66 SYANA PRAROOP-20'!M183</f>
        <v>2</v>
      </c>
      <c r="P182" s="78">
        <f t="shared" si="5"/>
        <v>488</v>
      </c>
      <c r="Q182" s="103">
        <v>0</v>
      </c>
    </row>
    <row r="183" spans="2:17" ht="18.75">
      <c r="B183" s="78">
        <v>177</v>
      </c>
      <c r="C183" s="114" t="s">
        <v>367</v>
      </c>
      <c r="D183" s="33">
        <v>471</v>
      </c>
      <c r="E183" s="103">
        <f>'66 SYANA PRAROOP-20'!C184</f>
        <v>39</v>
      </c>
      <c r="F183" s="103">
        <f>'66 SYANA PRAROOP-20'!D184</f>
        <v>403</v>
      </c>
      <c r="G183" s="103">
        <f>'66 SYANA PRAROOP-20'!E184</f>
        <v>1</v>
      </c>
      <c r="H183" s="103">
        <f>'66 SYANA PRAROOP-20'!F184</f>
        <v>9</v>
      </c>
      <c r="I183" s="103">
        <f>'66 SYANA PRAROOP-20'!G184</f>
        <v>1</v>
      </c>
      <c r="J183" s="103">
        <f>'66 SYANA PRAROOP-20'!H184</f>
        <v>8</v>
      </c>
      <c r="K183" s="103">
        <f>'66 SYANA PRAROOP-20'!I184</f>
        <v>4</v>
      </c>
      <c r="L183" s="103">
        <f>'66 SYANA PRAROOP-20'!J184</f>
        <v>2</v>
      </c>
      <c r="M183" s="78">
        <f t="shared" si="4"/>
        <v>467</v>
      </c>
      <c r="N183" s="103">
        <v>0</v>
      </c>
      <c r="O183" s="103">
        <f>'66 SYANA PRAROOP-20'!M184</f>
        <v>4</v>
      </c>
      <c r="P183" s="78">
        <f t="shared" si="5"/>
        <v>471</v>
      </c>
      <c r="Q183" s="103">
        <v>0</v>
      </c>
    </row>
    <row r="184" spans="2:17" ht="18.75">
      <c r="B184" s="78">
        <v>178</v>
      </c>
      <c r="C184" s="114" t="s">
        <v>368</v>
      </c>
      <c r="D184" s="33">
        <v>476</v>
      </c>
      <c r="E184" s="103">
        <f>'66 SYANA PRAROOP-20'!C185</f>
        <v>77</v>
      </c>
      <c r="F184" s="103">
        <f>'66 SYANA PRAROOP-20'!D185</f>
        <v>356</v>
      </c>
      <c r="G184" s="103">
        <f>'66 SYANA PRAROOP-20'!E185</f>
        <v>2</v>
      </c>
      <c r="H184" s="103">
        <f>'66 SYANA PRAROOP-20'!F185</f>
        <v>32</v>
      </c>
      <c r="I184" s="103">
        <f>'66 SYANA PRAROOP-20'!G185</f>
        <v>0</v>
      </c>
      <c r="J184" s="103">
        <f>'66 SYANA PRAROOP-20'!H185</f>
        <v>3</v>
      </c>
      <c r="K184" s="103">
        <f>'66 SYANA PRAROOP-20'!I185</f>
        <v>1</v>
      </c>
      <c r="L184" s="103">
        <f>'66 SYANA PRAROOP-20'!J185</f>
        <v>2</v>
      </c>
      <c r="M184" s="78">
        <f t="shared" si="4"/>
        <v>473</v>
      </c>
      <c r="N184" s="103">
        <v>0</v>
      </c>
      <c r="O184" s="103">
        <f>'66 SYANA PRAROOP-20'!M185</f>
        <v>3</v>
      </c>
      <c r="P184" s="78">
        <f t="shared" si="5"/>
        <v>476</v>
      </c>
      <c r="Q184" s="103">
        <v>0</v>
      </c>
    </row>
    <row r="185" spans="2:17" ht="18.75">
      <c r="B185" s="78">
        <v>179</v>
      </c>
      <c r="C185" s="114" t="s">
        <v>369</v>
      </c>
      <c r="D185" s="33">
        <v>409</v>
      </c>
      <c r="E185" s="103">
        <f>'66 SYANA PRAROOP-20'!C186</f>
        <v>178</v>
      </c>
      <c r="F185" s="103">
        <f>'66 SYANA PRAROOP-20'!D186</f>
        <v>84</v>
      </c>
      <c r="G185" s="103">
        <f>'66 SYANA PRAROOP-20'!E186</f>
        <v>3</v>
      </c>
      <c r="H185" s="103">
        <f>'66 SYANA PRAROOP-20'!F186</f>
        <v>123</v>
      </c>
      <c r="I185" s="103">
        <f>'66 SYANA PRAROOP-20'!G186</f>
        <v>2</v>
      </c>
      <c r="J185" s="103">
        <f>'66 SYANA PRAROOP-20'!H186</f>
        <v>10</v>
      </c>
      <c r="K185" s="103">
        <f>'66 SYANA PRAROOP-20'!I186</f>
        <v>3</v>
      </c>
      <c r="L185" s="103">
        <f>'66 SYANA PRAROOP-20'!J186</f>
        <v>4</v>
      </c>
      <c r="M185" s="78">
        <f t="shared" si="4"/>
        <v>407</v>
      </c>
      <c r="N185" s="103">
        <v>0</v>
      </c>
      <c r="O185" s="103">
        <f>'66 SYANA PRAROOP-20'!M186</f>
        <v>2</v>
      </c>
      <c r="P185" s="78">
        <f t="shared" si="5"/>
        <v>409</v>
      </c>
      <c r="Q185" s="103">
        <v>0</v>
      </c>
    </row>
    <row r="186" spans="2:17" ht="18.75">
      <c r="B186" s="78">
        <v>180</v>
      </c>
      <c r="C186" s="114" t="s">
        <v>370</v>
      </c>
      <c r="D186" s="33">
        <v>599</v>
      </c>
      <c r="E186" s="103">
        <f>'66 SYANA PRAROOP-20'!C187</f>
        <v>21</v>
      </c>
      <c r="F186" s="103">
        <f>'66 SYANA PRAROOP-20'!D187</f>
        <v>324</v>
      </c>
      <c r="G186" s="103">
        <f>'66 SYANA PRAROOP-20'!E187</f>
        <v>9</v>
      </c>
      <c r="H186" s="103">
        <f>'66 SYANA PRAROOP-20'!F187</f>
        <v>229</v>
      </c>
      <c r="I186" s="103">
        <f>'66 SYANA PRAROOP-20'!G187</f>
        <v>2</v>
      </c>
      <c r="J186" s="103">
        <f>'66 SYANA PRAROOP-20'!H187</f>
        <v>10</v>
      </c>
      <c r="K186" s="103">
        <f>'66 SYANA PRAROOP-20'!I187</f>
        <v>0</v>
      </c>
      <c r="L186" s="103">
        <f>'66 SYANA PRAROOP-20'!J187</f>
        <v>2</v>
      </c>
      <c r="M186" s="78">
        <f t="shared" si="4"/>
        <v>597</v>
      </c>
      <c r="N186" s="103">
        <v>0</v>
      </c>
      <c r="O186" s="103">
        <f>'66 SYANA PRAROOP-20'!M187</f>
        <v>2</v>
      </c>
      <c r="P186" s="78">
        <f t="shared" si="5"/>
        <v>599</v>
      </c>
      <c r="Q186" s="103">
        <v>0</v>
      </c>
    </row>
    <row r="187" spans="2:17" ht="18.75">
      <c r="B187" s="78">
        <v>181</v>
      </c>
      <c r="C187" s="114" t="s">
        <v>371</v>
      </c>
      <c r="D187" s="33">
        <v>668</v>
      </c>
      <c r="E187" s="103">
        <f>'66 SYANA PRAROOP-20'!C188</f>
        <v>13</v>
      </c>
      <c r="F187" s="103">
        <f>'66 SYANA PRAROOP-20'!D188</f>
        <v>591</v>
      </c>
      <c r="G187" s="103">
        <f>'66 SYANA PRAROOP-20'!E188</f>
        <v>9</v>
      </c>
      <c r="H187" s="103">
        <f>'66 SYANA PRAROOP-20'!F188</f>
        <v>34</v>
      </c>
      <c r="I187" s="103">
        <f>'66 SYANA PRAROOP-20'!G188</f>
        <v>1</v>
      </c>
      <c r="J187" s="103">
        <f>'66 SYANA PRAROOP-20'!H188</f>
        <v>13</v>
      </c>
      <c r="K187" s="103">
        <f>'66 SYANA PRAROOP-20'!I188</f>
        <v>0</v>
      </c>
      <c r="L187" s="103">
        <f>'66 SYANA PRAROOP-20'!J188</f>
        <v>4</v>
      </c>
      <c r="M187" s="78">
        <f t="shared" si="4"/>
        <v>665</v>
      </c>
      <c r="N187" s="103">
        <v>0</v>
      </c>
      <c r="O187" s="103">
        <f>'66 SYANA PRAROOP-20'!M188</f>
        <v>3</v>
      </c>
      <c r="P187" s="78">
        <f t="shared" si="5"/>
        <v>668</v>
      </c>
      <c r="Q187" s="103">
        <v>0</v>
      </c>
    </row>
    <row r="188" spans="2:17" ht="18.75">
      <c r="B188" s="78">
        <v>182</v>
      </c>
      <c r="C188" s="114" t="s">
        <v>372</v>
      </c>
      <c r="D188" s="33">
        <v>502</v>
      </c>
      <c r="E188" s="103">
        <f>'66 SYANA PRAROOP-20'!C189</f>
        <v>248</v>
      </c>
      <c r="F188" s="103">
        <f>'66 SYANA PRAROOP-20'!D189</f>
        <v>241</v>
      </c>
      <c r="G188" s="103">
        <f>'66 SYANA PRAROOP-20'!E189</f>
        <v>1</v>
      </c>
      <c r="H188" s="103">
        <f>'66 SYANA PRAROOP-20'!F189</f>
        <v>3</v>
      </c>
      <c r="I188" s="103">
        <f>'66 SYANA PRAROOP-20'!G189</f>
        <v>0</v>
      </c>
      <c r="J188" s="103">
        <f>'66 SYANA PRAROOP-20'!H189</f>
        <v>4</v>
      </c>
      <c r="K188" s="103">
        <f>'66 SYANA PRAROOP-20'!I189</f>
        <v>0</v>
      </c>
      <c r="L188" s="103">
        <f>'66 SYANA PRAROOP-20'!J189</f>
        <v>1</v>
      </c>
      <c r="M188" s="78">
        <f t="shared" si="4"/>
        <v>498</v>
      </c>
      <c r="N188" s="103">
        <v>0</v>
      </c>
      <c r="O188" s="103">
        <f>'66 SYANA PRAROOP-20'!M189</f>
        <v>4</v>
      </c>
      <c r="P188" s="78">
        <f t="shared" si="5"/>
        <v>502</v>
      </c>
      <c r="Q188" s="103">
        <v>0</v>
      </c>
    </row>
    <row r="189" spans="2:17" ht="18.75">
      <c r="B189" s="78">
        <v>183</v>
      </c>
      <c r="C189" s="114" t="s">
        <v>373</v>
      </c>
      <c r="D189" s="33">
        <v>404</v>
      </c>
      <c r="E189" s="103">
        <f>'66 SYANA PRAROOP-20'!C190</f>
        <v>27</v>
      </c>
      <c r="F189" s="103">
        <f>'66 SYANA PRAROOP-20'!D190</f>
        <v>371</v>
      </c>
      <c r="G189" s="103">
        <f>'66 SYANA PRAROOP-20'!E190</f>
        <v>2</v>
      </c>
      <c r="H189" s="103">
        <f>'66 SYANA PRAROOP-20'!F190</f>
        <v>0</v>
      </c>
      <c r="I189" s="103">
        <f>'66 SYANA PRAROOP-20'!G190</f>
        <v>0</v>
      </c>
      <c r="J189" s="103">
        <f>'66 SYANA PRAROOP-20'!H190</f>
        <v>4</v>
      </c>
      <c r="K189" s="103">
        <f>'66 SYANA PRAROOP-20'!I190</f>
        <v>0</v>
      </c>
      <c r="L189" s="103">
        <f>'66 SYANA PRAROOP-20'!J190</f>
        <v>0</v>
      </c>
      <c r="M189" s="78">
        <f t="shared" si="4"/>
        <v>404</v>
      </c>
      <c r="N189" s="103">
        <v>0</v>
      </c>
      <c r="O189" s="103">
        <f>'66 SYANA PRAROOP-20'!M190</f>
        <v>0</v>
      </c>
      <c r="P189" s="78">
        <f t="shared" si="5"/>
        <v>404</v>
      </c>
      <c r="Q189" s="103">
        <v>0</v>
      </c>
    </row>
    <row r="190" spans="2:17" ht="18.75">
      <c r="B190" s="78">
        <v>184</v>
      </c>
      <c r="C190" s="114" t="s">
        <v>374</v>
      </c>
      <c r="D190" s="33">
        <v>640</v>
      </c>
      <c r="E190" s="103">
        <f>'66 SYANA PRAROOP-20'!C191</f>
        <v>68</v>
      </c>
      <c r="F190" s="103">
        <f>'66 SYANA PRAROOP-20'!D191</f>
        <v>432</v>
      </c>
      <c r="G190" s="103">
        <f>'66 SYANA PRAROOP-20'!E191</f>
        <v>3</v>
      </c>
      <c r="H190" s="103">
        <f>'66 SYANA PRAROOP-20'!F191</f>
        <v>125</v>
      </c>
      <c r="I190" s="103">
        <f>'66 SYANA PRAROOP-20'!G191</f>
        <v>4</v>
      </c>
      <c r="J190" s="103">
        <f>'66 SYANA PRAROOP-20'!H191</f>
        <v>1</v>
      </c>
      <c r="K190" s="103">
        <f>'66 SYANA PRAROOP-20'!I191</f>
        <v>3</v>
      </c>
      <c r="L190" s="103">
        <f>'66 SYANA PRAROOP-20'!J191</f>
        <v>0</v>
      </c>
      <c r="M190" s="78">
        <f t="shared" si="4"/>
        <v>636</v>
      </c>
      <c r="N190" s="103">
        <v>0</v>
      </c>
      <c r="O190" s="103">
        <f>'66 SYANA PRAROOP-20'!M191</f>
        <v>4</v>
      </c>
      <c r="P190" s="78">
        <f t="shared" si="5"/>
        <v>640</v>
      </c>
      <c r="Q190" s="103">
        <v>0</v>
      </c>
    </row>
    <row r="191" spans="2:17" ht="18.75">
      <c r="B191" s="78">
        <v>185</v>
      </c>
      <c r="C191" s="116" t="s">
        <v>622</v>
      </c>
      <c r="D191" s="33">
        <v>629</v>
      </c>
      <c r="E191" s="103">
        <f>'66 SYANA PRAROOP-20'!C192</f>
        <v>115</v>
      </c>
      <c r="F191" s="103">
        <f>'66 SYANA PRAROOP-20'!D192</f>
        <v>462</v>
      </c>
      <c r="G191" s="103">
        <f>'66 SYANA PRAROOP-20'!E192</f>
        <v>6</v>
      </c>
      <c r="H191" s="103">
        <f>'66 SYANA PRAROOP-20'!F192</f>
        <v>41</v>
      </c>
      <c r="I191" s="103">
        <f>'66 SYANA PRAROOP-20'!G192</f>
        <v>0</v>
      </c>
      <c r="J191" s="103">
        <f>'66 SYANA PRAROOP-20'!H192</f>
        <v>1</v>
      </c>
      <c r="K191" s="103">
        <f>'66 SYANA PRAROOP-20'!I192</f>
        <v>1</v>
      </c>
      <c r="L191" s="103">
        <f>'66 SYANA PRAROOP-20'!J192</f>
        <v>1</v>
      </c>
      <c r="M191" s="78">
        <f t="shared" si="4"/>
        <v>627</v>
      </c>
      <c r="N191" s="103">
        <v>0</v>
      </c>
      <c r="O191" s="103">
        <f>'66 SYANA PRAROOP-20'!M192</f>
        <v>2</v>
      </c>
      <c r="P191" s="78">
        <f t="shared" si="5"/>
        <v>629</v>
      </c>
      <c r="Q191" s="103">
        <v>0</v>
      </c>
    </row>
    <row r="192" spans="2:17" ht="18.75">
      <c r="B192" s="78">
        <v>186</v>
      </c>
      <c r="C192" s="114" t="s">
        <v>375</v>
      </c>
      <c r="D192" s="33">
        <v>528</v>
      </c>
      <c r="E192" s="103">
        <f>'66 SYANA PRAROOP-20'!C193</f>
        <v>22</v>
      </c>
      <c r="F192" s="103">
        <f>'66 SYANA PRAROOP-20'!D193</f>
        <v>406</v>
      </c>
      <c r="G192" s="103">
        <f>'66 SYANA PRAROOP-20'!E193</f>
        <v>19</v>
      </c>
      <c r="H192" s="103">
        <f>'66 SYANA PRAROOP-20'!F193</f>
        <v>78</v>
      </c>
      <c r="I192" s="103">
        <f>'66 SYANA PRAROOP-20'!G193</f>
        <v>1</v>
      </c>
      <c r="J192" s="103">
        <f>'66 SYANA PRAROOP-20'!H193</f>
        <v>0</v>
      </c>
      <c r="K192" s="103">
        <f>'66 SYANA PRAROOP-20'!I193</f>
        <v>1</v>
      </c>
      <c r="L192" s="103">
        <f>'66 SYANA PRAROOP-20'!J193</f>
        <v>0</v>
      </c>
      <c r="M192" s="78">
        <f t="shared" si="4"/>
        <v>527</v>
      </c>
      <c r="N192" s="103">
        <v>0</v>
      </c>
      <c r="O192" s="103">
        <f>'66 SYANA PRAROOP-20'!M193</f>
        <v>1</v>
      </c>
      <c r="P192" s="78">
        <f t="shared" si="5"/>
        <v>528</v>
      </c>
      <c r="Q192" s="103">
        <v>0</v>
      </c>
    </row>
    <row r="193" spans="2:17" ht="18.75">
      <c r="B193" s="78">
        <v>187</v>
      </c>
      <c r="C193" s="114" t="s">
        <v>376</v>
      </c>
      <c r="D193" s="33">
        <v>595</v>
      </c>
      <c r="E193" s="103">
        <f>'66 SYANA PRAROOP-20'!C194</f>
        <v>102</v>
      </c>
      <c r="F193" s="103">
        <f>'66 SYANA PRAROOP-20'!D194</f>
        <v>157</v>
      </c>
      <c r="G193" s="103">
        <f>'66 SYANA PRAROOP-20'!E194</f>
        <v>8</v>
      </c>
      <c r="H193" s="103">
        <f>'66 SYANA PRAROOP-20'!F194</f>
        <v>303</v>
      </c>
      <c r="I193" s="103">
        <f>'66 SYANA PRAROOP-20'!G194</f>
        <v>2</v>
      </c>
      <c r="J193" s="103">
        <f>'66 SYANA PRAROOP-20'!H194</f>
        <v>5</v>
      </c>
      <c r="K193" s="103">
        <f>'66 SYANA PRAROOP-20'!I194</f>
        <v>8</v>
      </c>
      <c r="L193" s="103">
        <f>'66 SYANA PRAROOP-20'!J194</f>
        <v>3</v>
      </c>
      <c r="M193" s="78">
        <f t="shared" si="4"/>
        <v>588</v>
      </c>
      <c r="N193" s="103">
        <v>0</v>
      </c>
      <c r="O193" s="103">
        <f>'66 SYANA PRAROOP-20'!M194</f>
        <v>7</v>
      </c>
      <c r="P193" s="78">
        <f t="shared" si="5"/>
        <v>595</v>
      </c>
      <c r="Q193" s="103">
        <v>0</v>
      </c>
    </row>
    <row r="194" spans="2:17" ht="18.75">
      <c r="B194" s="78">
        <v>188</v>
      </c>
      <c r="C194" s="114" t="s">
        <v>377</v>
      </c>
      <c r="D194" s="33">
        <v>592</v>
      </c>
      <c r="E194" s="103">
        <f>'66 SYANA PRAROOP-20'!C195</f>
        <v>215</v>
      </c>
      <c r="F194" s="103">
        <f>'66 SYANA PRAROOP-20'!D195</f>
        <v>195</v>
      </c>
      <c r="G194" s="103">
        <f>'66 SYANA PRAROOP-20'!E195</f>
        <v>2</v>
      </c>
      <c r="H194" s="103">
        <f>'66 SYANA PRAROOP-20'!F195</f>
        <v>164</v>
      </c>
      <c r="I194" s="103">
        <f>'66 SYANA PRAROOP-20'!G195</f>
        <v>2</v>
      </c>
      <c r="J194" s="103">
        <f>'66 SYANA PRAROOP-20'!H195</f>
        <v>5</v>
      </c>
      <c r="K194" s="103">
        <f>'66 SYANA PRAROOP-20'!I195</f>
        <v>3</v>
      </c>
      <c r="L194" s="103">
        <f>'66 SYANA PRAROOP-20'!J195</f>
        <v>4</v>
      </c>
      <c r="M194" s="78">
        <f t="shared" si="4"/>
        <v>590</v>
      </c>
      <c r="N194" s="103">
        <v>0</v>
      </c>
      <c r="O194" s="103">
        <f>'66 SYANA PRAROOP-20'!M195</f>
        <v>2</v>
      </c>
      <c r="P194" s="78">
        <f t="shared" si="5"/>
        <v>592</v>
      </c>
      <c r="Q194" s="103">
        <v>0</v>
      </c>
    </row>
    <row r="195" spans="2:17" ht="18.75">
      <c r="B195" s="78">
        <v>189</v>
      </c>
      <c r="C195" s="114" t="s">
        <v>378</v>
      </c>
      <c r="D195" s="33">
        <v>591</v>
      </c>
      <c r="E195" s="103">
        <f>'66 SYANA PRAROOP-20'!C196</f>
        <v>194</v>
      </c>
      <c r="F195" s="103">
        <f>'66 SYANA PRAROOP-20'!D196</f>
        <v>366</v>
      </c>
      <c r="G195" s="103">
        <f>'66 SYANA PRAROOP-20'!E196</f>
        <v>6</v>
      </c>
      <c r="H195" s="103">
        <f>'66 SYANA PRAROOP-20'!F196</f>
        <v>12</v>
      </c>
      <c r="I195" s="103">
        <f>'66 SYANA PRAROOP-20'!G196</f>
        <v>0</v>
      </c>
      <c r="J195" s="103">
        <f>'66 SYANA PRAROOP-20'!H196</f>
        <v>3</v>
      </c>
      <c r="K195" s="103">
        <f>'66 SYANA PRAROOP-20'!I196</f>
        <v>3</v>
      </c>
      <c r="L195" s="103">
        <f>'66 SYANA PRAROOP-20'!J196</f>
        <v>4</v>
      </c>
      <c r="M195" s="78">
        <f t="shared" si="4"/>
        <v>588</v>
      </c>
      <c r="N195" s="103">
        <v>0</v>
      </c>
      <c r="O195" s="103">
        <f>'66 SYANA PRAROOP-20'!M196</f>
        <v>3</v>
      </c>
      <c r="P195" s="78">
        <f t="shared" si="5"/>
        <v>591</v>
      </c>
      <c r="Q195" s="103">
        <v>0</v>
      </c>
    </row>
    <row r="196" spans="2:17" ht="18.75">
      <c r="B196" s="78">
        <v>190</v>
      </c>
      <c r="C196" s="114" t="s">
        <v>379</v>
      </c>
      <c r="D196" s="33">
        <v>356</v>
      </c>
      <c r="E196" s="103">
        <f>'66 SYANA PRAROOP-20'!C197</f>
        <v>166</v>
      </c>
      <c r="F196" s="103">
        <f>'66 SYANA PRAROOP-20'!D197</f>
        <v>170</v>
      </c>
      <c r="G196" s="103">
        <f>'66 SYANA PRAROOP-20'!E197</f>
        <v>2</v>
      </c>
      <c r="H196" s="103">
        <f>'66 SYANA PRAROOP-20'!F197</f>
        <v>11</v>
      </c>
      <c r="I196" s="103">
        <f>'66 SYANA PRAROOP-20'!G197</f>
        <v>1</v>
      </c>
      <c r="J196" s="103">
        <f>'66 SYANA PRAROOP-20'!H197</f>
        <v>0</v>
      </c>
      <c r="K196" s="103">
        <f>'66 SYANA PRAROOP-20'!I197</f>
        <v>2</v>
      </c>
      <c r="L196" s="103">
        <f>'66 SYANA PRAROOP-20'!J197</f>
        <v>1</v>
      </c>
      <c r="M196" s="78">
        <f t="shared" si="4"/>
        <v>353</v>
      </c>
      <c r="N196" s="103">
        <v>0</v>
      </c>
      <c r="O196" s="103">
        <f>'66 SYANA PRAROOP-20'!M197</f>
        <v>3</v>
      </c>
      <c r="P196" s="78">
        <f t="shared" si="5"/>
        <v>356</v>
      </c>
      <c r="Q196" s="103">
        <v>0</v>
      </c>
    </row>
    <row r="197" spans="2:17" ht="18.75">
      <c r="B197" s="78">
        <v>191</v>
      </c>
      <c r="C197" s="114" t="s">
        <v>380</v>
      </c>
      <c r="D197" s="33">
        <v>674</v>
      </c>
      <c r="E197" s="103">
        <f>'66 SYANA PRAROOP-20'!C198</f>
        <v>465</v>
      </c>
      <c r="F197" s="103">
        <f>'66 SYANA PRAROOP-20'!D198</f>
        <v>184</v>
      </c>
      <c r="G197" s="103">
        <f>'66 SYANA PRAROOP-20'!E198</f>
        <v>2</v>
      </c>
      <c r="H197" s="103">
        <f>'66 SYANA PRAROOP-20'!F198</f>
        <v>14</v>
      </c>
      <c r="I197" s="103">
        <f>'66 SYANA PRAROOP-20'!G198</f>
        <v>4</v>
      </c>
      <c r="J197" s="103">
        <f>'66 SYANA PRAROOP-20'!H198</f>
        <v>0</v>
      </c>
      <c r="K197" s="103">
        <f>'66 SYANA PRAROOP-20'!I198</f>
        <v>0</v>
      </c>
      <c r="L197" s="103">
        <f>'66 SYANA PRAROOP-20'!J198</f>
        <v>2</v>
      </c>
      <c r="M197" s="78">
        <f t="shared" si="4"/>
        <v>671</v>
      </c>
      <c r="N197" s="103">
        <v>0</v>
      </c>
      <c r="O197" s="103">
        <f>'66 SYANA PRAROOP-20'!M198</f>
        <v>3</v>
      </c>
      <c r="P197" s="78">
        <f t="shared" si="5"/>
        <v>674</v>
      </c>
      <c r="Q197" s="103">
        <v>0</v>
      </c>
    </row>
    <row r="198" spans="2:17" ht="18.75">
      <c r="B198" s="78">
        <v>192</v>
      </c>
      <c r="C198" s="114" t="s">
        <v>381</v>
      </c>
      <c r="D198" s="33">
        <v>633</v>
      </c>
      <c r="E198" s="103">
        <f>'66 SYANA PRAROOP-20'!C199</f>
        <v>543</v>
      </c>
      <c r="F198" s="103">
        <f>'66 SYANA PRAROOP-20'!D199</f>
        <v>35</v>
      </c>
      <c r="G198" s="103">
        <f>'66 SYANA PRAROOP-20'!E199</f>
        <v>10</v>
      </c>
      <c r="H198" s="103">
        <f>'66 SYANA PRAROOP-20'!F199</f>
        <v>38</v>
      </c>
      <c r="I198" s="103">
        <f>'66 SYANA PRAROOP-20'!G199</f>
        <v>1</v>
      </c>
      <c r="J198" s="103">
        <f>'66 SYANA PRAROOP-20'!H199</f>
        <v>1</v>
      </c>
      <c r="K198" s="103">
        <f>'66 SYANA PRAROOP-20'!I199</f>
        <v>1</v>
      </c>
      <c r="L198" s="103">
        <f>'66 SYANA PRAROOP-20'!J199</f>
        <v>1</v>
      </c>
      <c r="M198" s="78">
        <f t="shared" si="4"/>
        <v>630</v>
      </c>
      <c r="N198" s="103">
        <v>0</v>
      </c>
      <c r="O198" s="103">
        <f>'66 SYANA PRAROOP-20'!M199</f>
        <v>3</v>
      </c>
      <c r="P198" s="78">
        <f t="shared" si="5"/>
        <v>633</v>
      </c>
      <c r="Q198" s="103">
        <v>0</v>
      </c>
    </row>
    <row r="199" spans="2:17" ht="18.75">
      <c r="B199" s="78">
        <v>193</v>
      </c>
      <c r="C199" s="114" t="s">
        <v>382</v>
      </c>
      <c r="D199" s="33">
        <v>664</v>
      </c>
      <c r="E199" s="103">
        <f>'66 SYANA PRAROOP-20'!C200</f>
        <v>484</v>
      </c>
      <c r="F199" s="103">
        <f>'66 SYANA PRAROOP-20'!D200</f>
        <v>153</v>
      </c>
      <c r="G199" s="103">
        <f>'66 SYANA PRAROOP-20'!E200</f>
        <v>2</v>
      </c>
      <c r="H199" s="103">
        <f>'66 SYANA PRAROOP-20'!F200</f>
        <v>12</v>
      </c>
      <c r="I199" s="103">
        <f>'66 SYANA PRAROOP-20'!G200</f>
        <v>3</v>
      </c>
      <c r="J199" s="103">
        <f>'66 SYANA PRAROOP-20'!H200</f>
        <v>1</v>
      </c>
      <c r="K199" s="103">
        <f>'66 SYANA PRAROOP-20'!I200</f>
        <v>1</v>
      </c>
      <c r="L199" s="103">
        <f>'66 SYANA PRAROOP-20'!J200</f>
        <v>2</v>
      </c>
      <c r="M199" s="78">
        <f t="shared" ref="M199:M262" si="6">SUM(E199:L199)</f>
        <v>658</v>
      </c>
      <c r="N199" s="103">
        <v>0</v>
      </c>
      <c r="O199" s="103">
        <f>'66 SYANA PRAROOP-20'!M200</f>
        <v>6</v>
      </c>
      <c r="P199" s="78">
        <f t="shared" si="5"/>
        <v>664</v>
      </c>
      <c r="Q199" s="103">
        <v>0</v>
      </c>
    </row>
    <row r="200" spans="2:17" ht="18.75">
      <c r="B200" s="78">
        <v>194</v>
      </c>
      <c r="C200" s="114" t="s">
        <v>383</v>
      </c>
      <c r="D200" s="33">
        <v>689</v>
      </c>
      <c r="E200" s="103">
        <f>'66 SYANA PRAROOP-20'!C201</f>
        <v>543</v>
      </c>
      <c r="F200" s="103">
        <f>'66 SYANA PRAROOP-20'!D201</f>
        <v>116</v>
      </c>
      <c r="G200" s="103">
        <f>'66 SYANA PRAROOP-20'!E201</f>
        <v>5</v>
      </c>
      <c r="H200" s="103">
        <f>'66 SYANA PRAROOP-20'!F201</f>
        <v>13</v>
      </c>
      <c r="I200" s="103">
        <f>'66 SYANA PRAROOP-20'!G201</f>
        <v>0</v>
      </c>
      <c r="J200" s="103">
        <f>'66 SYANA PRAROOP-20'!H201</f>
        <v>2</v>
      </c>
      <c r="K200" s="103">
        <f>'66 SYANA PRAROOP-20'!I201</f>
        <v>1</v>
      </c>
      <c r="L200" s="103">
        <f>'66 SYANA PRAROOP-20'!J201</f>
        <v>5</v>
      </c>
      <c r="M200" s="78">
        <f t="shared" si="6"/>
        <v>685</v>
      </c>
      <c r="N200" s="103">
        <v>0</v>
      </c>
      <c r="O200" s="103">
        <f>'66 SYANA PRAROOP-20'!M201</f>
        <v>4</v>
      </c>
      <c r="P200" s="78">
        <f t="shared" ref="P200:P263" si="7">M200+O200-N200</f>
        <v>689</v>
      </c>
      <c r="Q200" s="103">
        <v>0</v>
      </c>
    </row>
    <row r="201" spans="2:17" ht="18.75">
      <c r="B201" s="78">
        <v>195</v>
      </c>
      <c r="C201" s="114" t="s">
        <v>384</v>
      </c>
      <c r="D201" s="33">
        <v>570</v>
      </c>
      <c r="E201" s="103">
        <f>'66 SYANA PRAROOP-20'!C202</f>
        <v>17</v>
      </c>
      <c r="F201" s="103">
        <f>'66 SYANA PRAROOP-20'!D202</f>
        <v>36</v>
      </c>
      <c r="G201" s="103">
        <f>'66 SYANA PRAROOP-20'!E202</f>
        <v>2</v>
      </c>
      <c r="H201" s="103">
        <f>'66 SYANA PRAROOP-20'!F202</f>
        <v>507</v>
      </c>
      <c r="I201" s="103">
        <f>'66 SYANA PRAROOP-20'!G202</f>
        <v>4</v>
      </c>
      <c r="J201" s="103">
        <f>'66 SYANA PRAROOP-20'!H202</f>
        <v>2</v>
      </c>
      <c r="K201" s="103">
        <f>'66 SYANA PRAROOP-20'!I202</f>
        <v>0</v>
      </c>
      <c r="L201" s="103">
        <f>'66 SYANA PRAROOP-20'!J202</f>
        <v>2</v>
      </c>
      <c r="M201" s="78">
        <f t="shared" si="6"/>
        <v>570</v>
      </c>
      <c r="N201" s="103">
        <v>0</v>
      </c>
      <c r="O201" s="103">
        <f>'66 SYANA PRAROOP-20'!M202</f>
        <v>0</v>
      </c>
      <c r="P201" s="78">
        <f t="shared" si="7"/>
        <v>570</v>
      </c>
      <c r="Q201" s="103">
        <v>0</v>
      </c>
    </row>
    <row r="202" spans="2:17" ht="18.75">
      <c r="B202" s="78">
        <v>196</v>
      </c>
      <c r="C202" s="114" t="s">
        <v>385</v>
      </c>
      <c r="D202" s="33">
        <v>909</v>
      </c>
      <c r="E202" s="103">
        <f>'66 SYANA PRAROOP-20'!C203</f>
        <v>190</v>
      </c>
      <c r="F202" s="103">
        <f>'66 SYANA PRAROOP-20'!D203</f>
        <v>691</v>
      </c>
      <c r="G202" s="103">
        <f>'66 SYANA PRAROOP-20'!E203</f>
        <v>4</v>
      </c>
      <c r="H202" s="103">
        <f>'66 SYANA PRAROOP-20'!F203</f>
        <v>7</v>
      </c>
      <c r="I202" s="103">
        <f>'66 SYANA PRAROOP-20'!G203</f>
        <v>3</v>
      </c>
      <c r="J202" s="103">
        <f>'66 SYANA PRAROOP-20'!H203</f>
        <v>1</v>
      </c>
      <c r="K202" s="103">
        <f>'66 SYANA PRAROOP-20'!I203</f>
        <v>3</v>
      </c>
      <c r="L202" s="103">
        <f>'66 SYANA PRAROOP-20'!J203</f>
        <v>8</v>
      </c>
      <c r="M202" s="78">
        <f t="shared" si="6"/>
        <v>907</v>
      </c>
      <c r="N202" s="103">
        <v>0</v>
      </c>
      <c r="O202" s="103">
        <f>'66 SYANA PRAROOP-20'!M203</f>
        <v>2</v>
      </c>
      <c r="P202" s="78">
        <f t="shared" si="7"/>
        <v>909</v>
      </c>
      <c r="Q202" s="103">
        <v>0</v>
      </c>
    </row>
    <row r="203" spans="2:17" ht="18.75">
      <c r="B203" s="78">
        <v>197</v>
      </c>
      <c r="C203" s="114" t="s">
        <v>386</v>
      </c>
      <c r="D203" s="33">
        <v>605</v>
      </c>
      <c r="E203" s="103">
        <f>'66 SYANA PRAROOP-20'!C204</f>
        <v>561</v>
      </c>
      <c r="F203" s="103">
        <f>'66 SYANA PRAROOP-20'!D204</f>
        <v>11</v>
      </c>
      <c r="G203" s="103">
        <f>'66 SYANA PRAROOP-20'!E204</f>
        <v>4</v>
      </c>
      <c r="H203" s="103">
        <f>'66 SYANA PRAROOP-20'!F204</f>
        <v>28</v>
      </c>
      <c r="I203" s="103">
        <f>'66 SYANA PRAROOP-20'!G204</f>
        <v>0</v>
      </c>
      <c r="J203" s="103">
        <f>'66 SYANA PRAROOP-20'!H204</f>
        <v>0</v>
      </c>
      <c r="K203" s="103">
        <f>'66 SYANA PRAROOP-20'!I204</f>
        <v>0</v>
      </c>
      <c r="L203" s="103">
        <f>'66 SYANA PRAROOP-20'!J204</f>
        <v>0</v>
      </c>
      <c r="M203" s="78">
        <f t="shared" si="6"/>
        <v>604</v>
      </c>
      <c r="N203" s="103">
        <v>0</v>
      </c>
      <c r="O203" s="103">
        <f>'66 SYANA PRAROOP-20'!M204</f>
        <v>1</v>
      </c>
      <c r="P203" s="78">
        <f t="shared" si="7"/>
        <v>605</v>
      </c>
      <c r="Q203" s="103">
        <v>0</v>
      </c>
    </row>
    <row r="204" spans="2:17" ht="18.75">
      <c r="B204" s="78">
        <v>198</v>
      </c>
      <c r="C204" s="114" t="s">
        <v>387</v>
      </c>
      <c r="D204" s="33">
        <v>588</v>
      </c>
      <c r="E204" s="103">
        <f>'66 SYANA PRAROOP-20'!C205</f>
        <v>499</v>
      </c>
      <c r="F204" s="103">
        <f>'66 SYANA PRAROOP-20'!D205</f>
        <v>52</v>
      </c>
      <c r="G204" s="103">
        <f>'66 SYANA PRAROOP-20'!E205</f>
        <v>4</v>
      </c>
      <c r="H204" s="103">
        <f>'66 SYANA PRAROOP-20'!F205</f>
        <v>24</v>
      </c>
      <c r="I204" s="103">
        <f>'66 SYANA PRAROOP-20'!G205</f>
        <v>0</v>
      </c>
      <c r="J204" s="103">
        <f>'66 SYANA PRAROOP-20'!H205</f>
        <v>1</v>
      </c>
      <c r="K204" s="103">
        <f>'66 SYANA PRAROOP-20'!I205</f>
        <v>2</v>
      </c>
      <c r="L204" s="103">
        <f>'66 SYANA PRAROOP-20'!J205</f>
        <v>3</v>
      </c>
      <c r="M204" s="78">
        <f t="shared" si="6"/>
        <v>585</v>
      </c>
      <c r="N204" s="103">
        <v>0</v>
      </c>
      <c r="O204" s="103">
        <f>'66 SYANA PRAROOP-20'!M205</f>
        <v>3</v>
      </c>
      <c r="P204" s="78">
        <f t="shared" si="7"/>
        <v>588</v>
      </c>
      <c r="Q204" s="103">
        <v>0</v>
      </c>
    </row>
    <row r="205" spans="2:17" ht="18.75">
      <c r="B205" s="78">
        <v>199</v>
      </c>
      <c r="C205" s="114" t="s">
        <v>388</v>
      </c>
      <c r="D205" s="33">
        <v>655</v>
      </c>
      <c r="E205" s="103">
        <f>'66 SYANA PRAROOP-20'!C206</f>
        <v>11</v>
      </c>
      <c r="F205" s="103">
        <f>'66 SYANA PRAROOP-20'!D206</f>
        <v>83</v>
      </c>
      <c r="G205" s="103">
        <f>'66 SYANA PRAROOP-20'!E206</f>
        <v>5</v>
      </c>
      <c r="H205" s="103">
        <f>'66 SYANA PRAROOP-20'!F206</f>
        <v>543</v>
      </c>
      <c r="I205" s="103">
        <f>'66 SYANA PRAROOP-20'!G206</f>
        <v>3</v>
      </c>
      <c r="J205" s="103">
        <f>'66 SYANA PRAROOP-20'!H206</f>
        <v>7</v>
      </c>
      <c r="K205" s="103">
        <f>'66 SYANA PRAROOP-20'!I206</f>
        <v>3</v>
      </c>
      <c r="L205" s="103">
        <f>'66 SYANA PRAROOP-20'!J206</f>
        <v>0</v>
      </c>
      <c r="M205" s="78">
        <f t="shared" si="6"/>
        <v>655</v>
      </c>
      <c r="N205" s="103">
        <v>0</v>
      </c>
      <c r="O205" s="103">
        <f>'66 SYANA PRAROOP-20'!M206</f>
        <v>0</v>
      </c>
      <c r="P205" s="78">
        <f t="shared" si="7"/>
        <v>655</v>
      </c>
      <c r="Q205" s="103">
        <v>0</v>
      </c>
    </row>
    <row r="206" spans="2:17" ht="18.75">
      <c r="B206" s="78">
        <v>200</v>
      </c>
      <c r="C206" s="114" t="s">
        <v>389</v>
      </c>
      <c r="D206" s="33">
        <v>806</v>
      </c>
      <c r="E206" s="103">
        <f>'66 SYANA PRAROOP-20'!C207</f>
        <v>28</v>
      </c>
      <c r="F206" s="103">
        <f>'66 SYANA PRAROOP-20'!D207</f>
        <v>753</v>
      </c>
      <c r="G206" s="103">
        <f>'66 SYANA PRAROOP-20'!E207</f>
        <v>6</v>
      </c>
      <c r="H206" s="103">
        <f>'66 SYANA PRAROOP-20'!F207</f>
        <v>7</v>
      </c>
      <c r="I206" s="103">
        <f>'66 SYANA PRAROOP-20'!G207</f>
        <v>0</v>
      </c>
      <c r="J206" s="103">
        <f>'66 SYANA PRAROOP-20'!H207</f>
        <v>3</v>
      </c>
      <c r="K206" s="103">
        <f>'66 SYANA PRAROOP-20'!I207</f>
        <v>0</v>
      </c>
      <c r="L206" s="103">
        <f>'66 SYANA PRAROOP-20'!J207</f>
        <v>6</v>
      </c>
      <c r="M206" s="78">
        <f t="shared" si="6"/>
        <v>803</v>
      </c>
      <c r="N206" s="103">
        <v>0</v>
      </c>
      <c r="O206" s="103">
        <f>'66 SYANA PRAROOP-20'!M207</f>
        <v>3</v>
      </c>
      <c r="P206" s="78">
        <f t="shared" si="7"/>
        <v>806</v>
      </c>
      <c r="Q206" s="103">
        <v>0</v>
      </c>
    </row>
    <row r="207" spans="2:17" ht="18.75">
      <c r="B207" s="78">
        <v>201</v>
      </c>
      <c r="C207" s="114" t="s">
        <v>390</v>
      </c>
      <c r="D207" s="33">
        <v>460</v>
      </c>
      <c r="E207" s="103">
        <f>'66 SYANA PRAROOP-20'!C208</f>
        <v>77</v>
      </c>
      <c r="F207" s="103">
        <f>'66 SYANA PRAROOP-20'!D208</f>
        <v>321</v>
      </c>
      <c r="G207" s="103">
        <f>'66 SYANA PRAROOP-20'!E208</f>
        <v>3</v>
      </c>
      <c r="H207" s="103">
        <f>'66 SYANA PRAROOP-20'!F208</f>
        <v>49</v>
      </c>
      <c r="I207" s="103">
        <f>'66 SYANA PRAROOP-20'!G208</f>
        <v>0</v>
      </c>
      <c r="J207" s="103">
        <f>'66 SYANA PRAROOP-20'!H208</f>
        <v>4</v>
      </c>
      <c r="K207" s="103">
        <f>'66 SYANA PRAROOP-20'!I208</f>
        <v>0</v>
      </c>
      <c r="L207" s="103">
        <f>'66 SYANA PRAROOP-20'!J208</f>
        <v>6</v>
      </c>
      <c r="M207" s="78">
        <f t="shared" si="6"/>
        <v>460</v>
      </c>
      <c r="N207" s="103">
        <v>0</v>
      </c>
      <c r="O207" s="103">
        <f>'66 SYANA PRAROOP-20'!M208</f>
        <v>0</v>
      </c>
      <c r="P207" s="78">
        <f t="shared" si="7"/>
        <v>460</v>
      </c>
      <c r="Q207" s="103">
        <v>0</v>
      </c>
    </row>
    <row r="208" spans="2:17" ht="18.75">
      <c r="B208" s="78">
        <v>202</v>
      </c>
      <c r="C208" s="116" t="s">
        <v>623</v>
      </c>
      <c r="D208" s="33">
        <v>622</v>
      </c>
      <c r="E208" s="103">
        <f>'66 SYANA PRAROOP-20'!C209</f>
        <v>113</v>
      </c>
      <c r="F208" s="103">
        <f>'66 SYANA PRAROOP-20'!D209</f>
        <v>301</v>
      </c>
      <c r="G208" s="103">
        <f>'66 SYANA PRAROOP-20'!E209</f>
        <v>7</v>
      </c>
      <c r="H208" s="103">
        <f>'66 SYANA PRAROOP-20'!F209</f>
        <v>182</v>
      </c>
      <c r="I208" s="103">
        <f>'66 SYANA PRAROOP-20'!G209</f>
        <v>1</v>
      </c>
      <c r="J208" s="103">
        <f>'66 SYANA PRAROOP-20'!H209</f>
        <v>4</v>
      </c>
      <c r="K208" s="103">
        <f>'66 SYANA PRAROOP-20'!I209</f>
        <v>5</v>
      </c>
      <c r="L208" s="103">
        <f>'66 SYANA PRAROOP-20'!J209</f>
        <v>4</v>
      </c>
      <c r="M208" s="78">
        <f t="shared" si="6"/>
        <v>617</v>
      </c>
      <c r="N208" s="103">
        <v>0</v>
      </c>
      <c r="O208" s="103">
        <f>'66 SYANA PRAROOP-20'!M209</f>
        <v>5</v>
      </c>
      <c r="P208" s="78">
        <f t="shared" si="7"/>
        <v>622</v>
      </c>
      <c r="Q208" s="103">
        <v>0</v>
      </c>
    </row>
    <row r="209" spans="2:17" ht="18.75">
      <c r="B209" s="78">
        <v>203</v>
      </c>
      <c r="C209" s="114" t="s">
        <v>391</v>
      </c>
      <c r="D209" s="33">
        <v>624</v>
      </c>
      <c r="E209" s="103">
        <f>'66 SYANA PRAROOP-20'!C210</f>
        <v>108</v>
      </c>
      <c r="F209" s="103">
        <f>'66 SYANA PRAROOP-20'!D210</f>
        <v>475</v>
      </c>
      <c r="G209" s="103">
        <f>'66 SYANA PRAROOP-20'!E210</f>
        <v>11</v>
      </c>
      <c r="H209" s="103">
        <f>'66 SYANA PRAROOP-20'!F210</f>
        <v>7</v>
      </c>
      <c r="I209" s="103">
        <f>'66 SYANA PRAROOP-20'!G210</f>
        <v>2</v>
      </c>
      <c r="J209" s="103">
        <f>'66 SYANA PRAROOP-20'!H210</f>
        <v>5</v>
      </c>
      <c r="K209" s="103">
        <f>'66 SYANA PRAROOP-20'!I210</f>
        <v>3</v>
      </c>
      <c r="L209" s="103">
        <f>'66 SYANA PRAROOP-20'!J210</f>
        <v>7</v>
      </c>
      <c r="M209" s="78">
        <f t="shared" si="6"/>
        <v>618</v>
      </c>
      <c r="N209" s="103">
        <v>0</v>
      </c>
      <c r="O209" s="103">
        <f>'66 SYANA PRAROOP-20'!M210</f>
        <v>6</v>
      </c>
      <c r="P209" s="78">
        <f t="shared" si="7"/>
        <v>624</v>
      </c>
      <c r="Q209" s="103">
        <v>0</v>
      </c>
    </row>
    <row r="210" spans="2:17" ht="18.75">
      <c r="B210" s="78">
        <v>204</v>
      </c>
      <c r="C210" s="114" t="s">
        <v>392</v>
      </c>
      <c r="D210" s="33">
        <v>675</v>
      </c>
      <c r="E210" s="103">
        <f>'66 SYANA PRAROOP-20'!C211</f>
        <v>70</v>
      </c>
      <c r="F210" s="103">
        <f>'66 SYANA PRAROOP-20'!D211</f>
        <v>514</v>
      </c>
      <c r="G210" s="103">
        <f>'66 SYANA PRAROOP-20'!E211</f>
        <v>18</v>
      </c>
      <c r="H210" s="103">
        <f>'66 SYANA PRAROOP-20'!F211</f>
        <v>54</v>
      </c>
      <c r="I210" s="103">
        <f>'66 SYANA PRAROOP-20'!G211</f>
        <v>2</v>
      </c>
      <c r="J210" s="103">
        <f>'66 SYANA PRAROOP-20'!H211</f>
        <v>3</v>
      </c>
      <c r="K210" s="103">
        <f>'66 SYANA PRAROOP-20'!I211</f>
        <v>4</v>
      </c>
      <c r="L210" s="103">
        <f>'66 SYANA PRAROOP-20'!J211</f>
        <v>5</v>
      </c>
      <c r="M210" s="78">
        <f t="shared" si="6"/>
        <v>670</v>
      </c>
      <c r="N210" s="103">
        <v>0</v>
      </c>
      <c r="O210" s="103">
        <f>'66 SYANA PRAROOP-20'!M211</f>
        <v>5</v>
      </c>
      <c r="P210" s="78">
        <f t="shared" si="7"/>
        <v>675</v>
      </c>
      <c r="Q210" s="103">
        <v>0</v>
      </c>
    </row>
    <row r="211" spans="2:17" ht="18.75">
      <c r="B211" s="78">
        <v>205</v>
      </c>
      <c r="C211" s="114" t="s">
        <v>393</v>
      </c>
      <c r="D211" s="33">
        <v>445</v>
      </c>
      <c r="E211" s="103">
        <f>'66 SYANA PRAROOP-20'!C212</f>
        <v>148</v>
      </c>
      <c r="F211" s="103">
        <f>'66 SYANA PRAROOP-20'!D212</f>
        <v>156</v>
      </c>
      <c r="G211" s="103">
        <f>'66 SYANA PRAROOP-20'!E212</f>
        <v>8</v>
      </c>
      <c r="H211" s="103">
        <f>'66 SYANA PRAROOP-20'!F212</f>
        <v>128</v>
      </c>
      <c r="I211" s="103">
        <f>'66 SYANA PRAROOP-20'!G212</f>
        <v>2</v>
      </c>
      <c r="J211" s="103">
        <f>'66 SYANA PRAROOP-20'!H212</f>
        <v>0</v>
      </c>
      <c r="K211" s="103">
        <f>'66 SYANA PRAROOP-20'!I212</f>
        <v>1</v>
      </c>
      <c r="L211" s="103">
        <f>'66 SYANA PRAROOP-20'!J212</f>
        <v>1</v>
      </c>
      <c r="M211" s="78">
        <f t="shared" si="6"/>
        <v>444</v>
      </c>
      <c r="N211" s="103">
        <v>0</v>
      </c>
      <c r="O211" s="103">
        <f>'66 SYANA PRAROOP-20'!M212</f>
        <v>1</v>
      </c>
      <c r="P211" s="78">
        <f t="shared" si="7"/>
        <v>445</v>
      </c>
      <c r="Q211" s="103">
        <v>0</v>
      </c>
    </row>
    <row r="212" spans="2:17" ht="18.75">
      <c r="B212" s="78">
        <v>206</v>
      </c>
      <c r="C212" s="114" t="s">
        <v>394</v>
      </c>
      <c r="D212" s="33">
        <v>729</v>
      </c>
      <c r="E212" s="103">
        <f>'66 SYANA PRAROOP-20'!C213</f>
        <v>318</v>
      </c>
      <c r="F212" s="103">
        <f>'66 SYANA PRAROOP-20'!D213</f>
        <v>335</v>
      </c>
      <c r="G212" s="103">
        <f>'66 SYANA PRAROOP-20'!E213</f>
        <v>9</v>
      </c>
      <c r="H212" s="103">
        <f>'66 SYANA PRAROOP-20'!F213</f>
        <v>54</v>
      </c>
      <c r="I212" s="103">
        <f>'66 SYANA PRAROOP-20'!G213</f>
        <v>3</v>
      </c>
      <c r="J212" s="103">
        <f>'66 SYANA PRAROOP-20'!H213</f>
        <v>1</v>
      </c>
      <c r="K212" s="103">
        <f>'66 SYANA PRAROOP-20'!I213</f>
        <v>3</v>
      </c>
      <c r="L212" s="103">
        <f>'66 SYANA PRAROOP-20'!J213</f>
        <v>1</v>
      </c>
      <c r="M212" s="78">
        <f t="shared" si="6"/>
        <v>724</v>
      </c>
      <c r="N212" s="103">
        <v>0</v>
      </c>
      <c r="O212" s="103">
        <f>'66 SYANA PRAROOP-20'!M213</f>
        <v>5</v>
      </c>
      <c r="P212" s="78">
        <f t="shared" si="7"/>
        <v>729</v>
      </c>
      <c r="Q212" s="103">
        <v>0</v>
      </c>
    </row>
    <row r="213" spans="2:17" ht="18.75">
      <c r="B213" s="78">
        <v>207</v>
      </c>
      <c r="C213" s="114" t="s">
        <v>395</v>
      </c>
      <c r="D213" s="33">
        <v>594</v>
      </c>
      <c r="E213" s="103">
        <f>'66 SYANA PRAROOP-20'!C214</f>
        <v>143</v>
      </c>
      <c r="F213" s="103">
        <f>'66 SYANA PRAROOP-20'!D214</f>
        <v>310</v>
      </c>
      <c r="G213" s="103">
        <f>'66 SYANA PRAROOP-20'!E214</f>
        <v>6</v>
      </c>
      <c r="H213" s="103">
        <f>'66 SYANA PRAROOP-20'!F214</f>
        <v>121</v>
      </c>
      <c r="I213" s="103">
        <f>'66 SYANA PRAROOP-20'!G214</f>
        <v>2</v>
      </c>
      <c r="J213" s="103">
        <f>'66 SYANA PRAROOP-20'!H214</f>
        <v>5</v>
      </c>
      <c r="K213" s="103">
        <f>'66 SYANA PRAROOP-20'!I214</f>
        <v>0</v>
      </c>
      <c r="L213" s="103">
        <f>'66 SYANA PRAROOP-20'!J214</f>
        <v>4</v>
      </c>
      <c r="M213" s="78">
        <f t="shared" si="6"/>
        <v>591</v>
      </c>
      <c r="N213" s="103">
        <v>0</v>
      </c>
      <c r="O213" s="103">
        <f>'66 SYANA PRAROOP-20'!M214</f>
        <v>3</v>
      </c>
      <c r="P213" s="78">
        <f t="shared" si="7"/>
        <v>594</v>
      </c>
      <c r="Q213" s="103">
        <v>0</v>
      </c>
    </row>
    <row r="214" spans="2:17" ht="18.75">
      <c r="B214" s="78">
        <v>208</v>
      </c>
      <c r="C214" s="116" t="s">
        <v>624</v>
      </c>
      <c r="D214" s="33">
        <v>553</v>
      </c>
      <c r="E214" s="103">
        <f>'66 SYANA PRAROOP-20'!C215</f>
        <v>64</v>
      </c>
      <c r="F214" s="103">
        <f>'66 SYANA PRAROOP-20'!D215</f>
        <v>454</v>
      </c>
      <c r="G214" s="103">
        <f>'66 SYANA PRAROOP-20'!E215</f>
        <v>4</v>
      </c>
      <c r="H214" s="103">
        <f>'66 SYANA PRAROOP-20'!F215</f>
        <v>18</v>
      </c>
      <c r="I214" s="103">
        <f>'66 SYANA PRAROOP-20'!G215</f>
        <v>0</v>
      </c>
      <c r="J214" s="103">
        <f>'66 SYANA PRAROOP-20'!H215</f>
        <v>1</v>
      </c>
      <c r="K214" s="103">
        <f>'66 SYANA PRAROOP-20'!I215</f>
        <v>6</v>
      </c>
      <c r="L214" s="103">
        <f>'66 SYANA PRAROOP-20'!J215</f>
        <v>5</v>
      </c>
      <c r="M214" s="78">
        <f t="shared" si="6"/>
        <v>552</v>
      </c>
      <c r="N214" s="103">
        <v>0</v>
      </c>
      <c r="O214" s="103">
        <f>'66 SYANA PRAROOP-20'!M215</f>
        <v>1</v>
      </c>
      <c r="P214" s="78">
        <f t="shared" si="7"/>
        <v>553</v>
      </c>
      <c r="Q214" s="103">
        <v>0</v>
      </c>
    </row>
    <row r="215" spans="2:17" ht="18.75">
      <c r="B215" s="78">
        <v>209</v>
      </c>
      <c r="C215" s="114" t="s">
        <v>396</v>
      </c>
      <c r="D215" s="33">
        <v>672</v>
      </c>
      <c r="E215" s="103">
        <f>'66 SYANA PRAROOP-20'!C216</f>
        <v>51</v>
      </c>
      <c r="F215" s="103">
        <f>'66 SYANA PRAROOP-20'!D216</f>
        <v>592</v>
      </c>
      <c r="G215" s="103">
        <f>'66 SYANA PRAROOP-20'!E216</f>
        <v>10</v>
      </c>
      <c r="H215" s="103">
        <f>'66 SYANA PRAROOP-20'!F216</f>
        <v>0</v>
      </c>
      <c r="I215" s="103">
        <f>'66 SYANA PRAROOP-20'!G216</f>
        <v>0</v>
      </c>
      <c r="J215" s="103">
        <f>'66 SYANA PRAROOP-20'!H216</f>
        <v>4</v>
      </c>
      <c r="K215" s="103">
        <f>'66 SYANA PRAROOP-20'!I216</f>
        <v>5</v>
      </c>
      <c r="L215" s="103">
        <f>'66 SYANA PRAROOP-20'!J216</f>
        <v>8</v>
      </c>
      <c r="M215" s="78">
        <f t="shared" si="6"/>
        <v>670</v>
      </c>
      <c r="N215" s="103">
        <v>0</v>
      </c>
      <c r="O215" s="103">
        <f>'66 SYANA PRAROOP-20'!M216</f>
        <v>2</v>
      </c>
      <c r="P215" s="78">
        <f t="shared" si="7"/>
        <v>672</v>
      </c>
      <c r="Q215" s="103">
        <v>0</v>
      </c>
    </row>
    <row r="216" spans="2:17" ht="18.75">
      <c r="B216" s="78">
        <v>210</v>
      </c>
      <c r="C216" s="114" t="s">
        <v>397</v>
      </c>
      <c r="D216" s="33">
        <v>652</v>
      </c>
      <c r="E216" s="103">
        <f>'66 SYANA PRAROOP-20'!C217</f>
        <v>3</v>
      </c>
      <c r="F216" s="103">
        <f>'66 SYANA PRAROOP-20'!D217</f>
        <v>480</v>
      </c>
      <c r="G216" s="103">
        <f>'66 SYANA PRAROOP-20'!E217</f>
        <v>15</v>
      </c>
      <c r="H216" s="103">
        <f>'66 SYANA PRAROOP-20'!F217</f>
        <v>150</v>
      </c>
      <c r="I216" s="103">
        <f>'66 SYANA PRAROOP-20'!G217</f>
        <v>0</v>
      </c>
      <c r="J216" s="103">
        <f>'66 SYANA PRAROOP-20'!H217</f>
        <v>1</v>
      </c>
      <c r="K216" s="103">
        <f>'66 SYANA PRAROOP-20'!I217</f>
        <v>1</v>
      </c>
      <c r="L216" s="103">
        <f>'66 SYANA PRAROOP-20'!J217</f>
        <v>2</v>
      </c>
      <c r="M216" s="78">
        <f t="shared" si="6"/>
        <v>652</v>
      </c>
      <c r="N216" s="103">
        <v>0</v>
      </c>
      <c r="O216" s="103">
        <f>'66 SYANA PRAROOP-20'!M217</f>
        <v>0</v>
      </c>
      <c r="P216" s="78">
        <f t="shared" si="7"/>
        <v>652</v>
      </c>
      <c r="Q216" s="103">
        <v>0</v>
      </c>
    </row>
    <row r="217" spans="2:17" ht="18.75">
      <c r="B217" s="78">
        <v>211</v>
      </c>
      <c r="C217" s="114" t="s">
        <v>398</v>
      </c>
      <c r="D217" s="33">
        <v>684</v>
      </c>
      <c r="E217" s="103">
        <f>'66 SYANA PRAROOP-20'!C218</f>
        <v>9</v>
      </c>
      <c r="F217" s="103">
        <f>'66 SYANA PRAROOP-20'!D218</f>
        <v>495</v>
      </c>
      <c r="G217" s="103">
        <f>'66 SYANA PRAROOP-20'!E218</f>
        <v>4</v>
      </c>
      <c r="H217" s="103">
        <f>'66 SYANA PRAROOP-20'!F218</f>
        <v>167</v>
      </c>
      <c r="I217" s="103">
        <f>'66 SYANA PRAROOP-20'!G218</f>
        <v>2</v>
      </c>
      <c r="J217" s="103">
        <f>'66 SYANA PRAROOP-20'!H218</f>
        <v>3</v>
      </c>
      <c r="K217" s="103">
        <f>'66 SYANA PRAROOP-20'!I218</f>
        <v>0</v>
      </c>
      <c r="L217" s="103">
        <f>'66 SYANA PRAROOP-20'!J218</f>
        <v>2</v>
      </c>
      <c r="M217" s="78">
        <f t="shared" si="6"/>
        <v>682</v>
      </c>
      <c r="N217" s="103">
        <v>0</v>
      </c>
      <c r="O217" s="103">
        <f>'66 SYANA PRAROOP-20'!M218</f>
        <v>2</v>
      </c>
      <c r="P217" s="78">
        <f t="shared" si="7"/>
        <v>684</v>
      </c>
      <c r="Q217" s="103">
        <v>0</v>
      </c>
    </row>
    <row r="218" spans="2:17" ht="18.75">
      <c r="B218" s="78">
        <v>212</v>
      </c>
      <c r="C218" s="114" t="s">
        <v>399</v>
      </c>
      <c r="D218" s="33">
        <v>658</v>
      </c>
      <c r="E218" s="103">
        <f>'66 SYANA PRAROOP-20'!C219</f>
        <v>33</v>
      </c>
      <c r="F218" s="103">
        <f>'66 SYANA PRAROOP-20'!D219</f>
        <v>583</v>
      </c>
      <c r="G218" s="103">
        <f>'66 SYANA PRAROOP-20'!E219</f>
        <v>6</v>
      </c>
      <c r="H218" s="103">
        <f>'66 SYANA PRAROOP-20'!F219</f>
        <v>28</v>
      </c>
      <c r="I218" s="103">
        <f>'66 SYANA PRAROOP-20'!G219</f>
        <v>1</v>
      </c>
      <c r="J218" s="103">
        <f>'66 SYANA PRAROOP-20'!H219</f>
        <v>0</v>
      </c>
      <c r="K218" s="103">
        <f>'66 SYANA PRAROOP-20'!I219</f>
        <v>3</v>
      </c>
      <c r="L218" s="103">
        <f>'66 SYANA PRAROOP-20'!J219</f>
        <v>0</v>
      </c>
      <c r="M218" s="78">
        <f t="shared" si="6"/>
        <v>654</v>
      </c>
      <c r="N218" s="103">
        <v>0</v>
      </c>
      <c r="O218" s="103">
        <f>'66 SYANA PRAROOP-20'!M219</f>
        <v>4</v>
      </c>
      <c r="P218" s="78">
        <f t="shared" si="7"/>
        <v>658</v>
      </c>
      <c r="Q218" s="103">
        <v>0</v>
      </c>
    </row>
    <row r="219" spans="2:17" ht="18.75">
      <c r="B219" s="78">
        <v>213</v>
      </c>
      <c r="C219" s="114" t="s">
        <v>400</v>
      </c>
      <c r="D219" s="33">
        <v>780</v>
      </c>
      <c r="E219" s="103">
        <f>'66 SYANA PRAROOP-20'!C220</f>
        <v>37</v>
      </c>
      <c r="F219" s="103">
        <f>'66 SYANA PRAROOP-20'!D220</f>
        <v>523</v>
      </c>
      <c r="G219" s="103">
        <f>'66 SYANA PRAROOP-20'!E220</f>
        <v>8</v>
      </c>
      <c r="H219" s="103">
        <f>'66 SYANA PRAROOP-20'!F220</f>
        <v>174</v>
      </c>
      <c r="I219" s="103">
        <f>'66 SYANA PRAROOP-20'!G220</f>
        <v>2</v>
      </c>
      <c r="J219" s="103">
        <f>'66 SYANA PRAROOP-20'!H220</f>
        <v>7</v>
      </c>
      <c r="K219" s="103">
        <f>'66 SYANA PRAROOP-20'!I220</f>
        <v>17</v>
      </c>
      <c r="L219" s="103">
        <f>'66 SYANA PRAROOP-20'!J220</f>
        <v>6</v>
      </c>
      <c r="M219" s="78">
        <f t="shared" si="6"/>
        <v>774</v>
      </c>
      <c r="N219" s="103">
        <v>0</v>
      </c>
      <c r="O219" s="103">
        <f>'66 SYANA PRAROOP-20'!M220</f>
        <v>6</v>
      </c>
      <c r="P219" s="78">
        <f t="shared" si="7"/>
        <v>780</v>
      </c>
      <c r="Q219" s="103">
        <v>0</v>
      </c>
    </row>
    <row r="220" spans="2:17" ht="18.75">
      <c r="B220" s="78">
        <v>214</v>
      </c>
      <c r="C220" s="114" t="s">
        <v>401</v>
      </c>
      <c r="D220" s="33">
        <v>696</v>
      </c>
      <c r="E220" s="103">
        <f>'66 SYANA PRAROOP-20'!C221</f>
        <v>36</v>
      </c>
      <c r="F220" s="103">
        <f>'66 SYANA PRAROOP-20'!D221</f>
        <v>483</v>
      </c>
      <c r="G220" s="103">
        <f>'66 SYANA PRAROOP-20'!E221</f>
        <v>11</v>
      </c>
      <c r="H220" s="103">
        <f>'66 SYANA PRAROOP-20'!F221</f>
        <v>118</v>
      </c>
      <c r="I220" s="103">
        <f>'66 SYANA PRAROOP-20'!G221</f>
        <v>3</v>
      </c>
      <c r="J220" s="103">
        <f>'66 SYANA PRAROOP-20'!H221</f>
        <v>7</v>
      </c>
      <c r="K220" s="103">
        <f>'66 SYANA PRAROOP-20'!I221</f>
        <v>20</v>
      </c>
      <c r="L220" s="103">
        <f>'66 SYANA PRAROOP-20'!J221</f>
        <v>11</v>
      </c>
      <c r="M220" s="78">
        <f t="shared" si="6"/>
        <v>689</v>
      </c>
      <c r="N220" s="103">
        <v>0</v>
      </c>
      <c r="O220" s="103">
        <f>'66 SYANA PRAROOP-20'!M221</f>
        <v>7</v>
      </c>
      <c r="P220" s="78">
        <f t="shared" si="7"/>
        <v>696</v>
      </c>
      <c r="Q220" s="103">
        <v>0</v>
      </c>
    </row>
    <row r="221" spans="2:17" ht="18.75">
      <c r="B221" s="78">
        <v>215</v>
      </c>
      <c r="C221" s="114" t="s">
        <v>402</v>
      </c>
      <c r="D221" s="33">
        <v>829</v>
      </c>
      <c r="E221" s="103">
        <f>'66 SYANA PRAROOP-20'!C222</f>
        <v>62</v>
      </c>
      <c r="F221" s="103">
        <f>'66 SYANA PRAROOP-20'!D222</f>
        <v>734</v>
      </c>
      <c r="G221" s="103">
        <f>'66 SYANA PRAROOP-20'!E222</f>
        <v>1</v>
      </c>
      <c r="H221" s="103">
        <f>'66 SYANA PRAROOP-20'!F222</f>
        <v>9</v>
      </c>
      <c r="I221" s="103">
        <f>'66 SYANA PRAROOP-20'!G222</f>
        <v>1</v>
      </c>
      <c r="J221" s="103">
        <f>'66 SYANA PRAROOP-20'!H222</f>
        <v>3</v>
      </c>
      <c r="K221" s="103">
        <f>'66 SYANA PRAROOP-20'!I222</f>
        <v>7</v>
      </c>
      <c r="L221" s="103">
        <f>'66 SYANA PRAROOP-20'!J222</f>
        <v>2</v>
      </c>
      <c r="M221" s="78">
        <f t="shared" si="6"/>
        <v>819</v>
      </c>
      <c r="N221" s="103">
        <v>0</v>
      </c>
      <c r="O221" s="103">
        <f>'66 SYANA PRAROOP-20'!M222</f>
        <v>10</v>
      </c>
      <c r="P221" s="78">
        <f t="shared" si="7"/>
        <v>829</v>
      </c>
      <c r="Q221" s="103">
        <v>0</v>
      </c>
    </row>
    <row r="222" spans="2:17" ht="18.75">
      <c r="B222" s="78">
        <v>216</v>
      </c>
      <c r="C222" s="114" t="s">
        <v>403</v>
      </c>
      <c r="D222" s="33">
        <v>672</v>
      </c>
      <c r="E222" s="103">
        <f>'66 SYANA PRAROOP-20'!C223</f>
        <v>26</v>
      </c>
      <c r="F222" s="103">
        <f>'66 SYANA PRAROOP-20'!D223</f>
        <v>543</v>
      </c>
      <c r="G222" s="103">
        <f>'66 SYANA PRAROOP-20'!E223</f>
        <v>16</v>
      </c>
      <c r="H222" s="103">
        <f>'66 SYANA PRAROOP-20'!F223</f>
        <v>67</v>
      </c>
      <c r="I222" s="103">
        <f>'66 SYANA PRAROOP-20'!G223</f>
        <v>5</v>
      </c>
      <c r="J222" s="103">
        <f>'66 SYANA PRAROOP-20'!H223</f>
        <v>3</v>
      </c>
      <c r="K222" s="103">
        <f>'66 SYANA PRAROOP-20'!I223</f>
        <v>6</v>
      </c>
      <c r="L222" s="103">
        <f>'66 SYANA PRAROOP-20'!J223</f>
        <v>2</v>
      </c>
      <c r="M222" s="78">
        <f t="shared" si="6"/>
        <v>668</v>
      </c>
      <c r="N222" s="103">
        <v>0</v>
      </c>
      <c r="O222" s="103">
        <f>'66 SYANA PRAROOP-20'!M223</f>
        <v>4</v>
      </c>
      <c r="P222" s="78">
        <f t="shared" si="7"/>
        <v>672</v>
      </c>
      <c r="Q222" s="103">
        <v>0</v>
      </c>
    </row>
    <row r="223" spans="2:17" ht="18.75">
      <c r="B223" s="78">
        <v>217</v>
      </c>
      <c r="C223" s="114" t="s">
        <v>404</v>
      </c>
      <c r="D223" s="33">
        <v>849</v>
      </c>
      <c r="E223" s="103">
        <f>'66 SYANA PRAROOP-20'!C224</f>
        <v>90</v>
      </c>
      <c r="F223" s="103">
        <f>'66 SYANA PRAROOP-20'!D224</f>
        <v>637</v>
      </c>
      <c r="G223" s="103">
        <f>'66 SYANA PRAROOP-20'!E224</f>
        <v>5</v>
      </c>
      <c r="H223" s="103">
        <f>'66 SYANA PRAROOP-20'!F224</f>
        <v>103</v>
      </c>
      <c r="I223" s="103">
        <f>'66 SYANA PRAROOP-20'!G224</f>
        <v>0</v>
      </c>
      <c r="J223" s="103">
        <f>'66 SYANA PRAROOP-20'!H224</f>
        <v>1</v>
      </c>
      <c r="K223" s="103">
        <f>'66 SYANA PRAROOP-20'!I224</f>
        <v>5</v>
      </c>
      <c r="L223" s="103">
        <f>'66 SYANA PRAROOP-20'!J224</f>
        <v>2</v>
      </c>
      <c r="M223" s="78">
        <f t="shared" si="6"/>
        <v>843</v>
      </c>
      <c r="N223" s="103">
        <v>0</v>
      </c>
      <c r="O223" s="103">
        <f>'66 SYANA PRAROOP-20'!M224</f>
        <v>2</v>
      </c>
      <c r="P223" s="78">
        <f t="shared" si="7"/>
        <v>845</v>
      </c>
      <c r="Q223" s="103">
        <v>0</v>
      </c>
    </row>
    <row r="224" spans="2:17" ht="18.75">
      <c r="B224" s="78">
        <v>218</v>
      </c>
      <c r="C224" s="114" t="s">
        <v>405</v>
      </c>
      <c r="D224" s="33">
        <v>383</v>
      </c>
      <c r="E224" s="103">
        <f>'66 SYANA PRAROOP-20'!C225</f>
        <v>45</v>
      </c>
      <c r="F224" s="103">
        <f>'66 SYANA PRAROOP-20'!D225</f>
        <v>288</v>
      </c>
      <c r="G224" s="103">
        <f>'66 SYANA PRAROOP-20'!E225</f>
        <v>25</v>
      </c>
      <c r="H224" s="103">
        <f>'66 SYANA PRAROOP-20'!F225</f>
        <v>9</v>
      </c>
      <c r="I224" s="103">
        <f>'66 SYANA PRAROOP-20'!G225</f>
        <v>3</v>
      </c>
      <c r="J224" s="103">
        <f>'66 SYANA PRAROOP-20'!H225</f>
        <v>1</v>
      </c>
      <c r="K224" s="103">
        <f>'66 SYANA PRAROOP-20'!I225</f>
        <v>5</v>
      </c>
      <c r="L224" s="103">
        <f>'66 SYANA PRAROOP-20'!J225</f>
        <v>2</v>
      </c>
      <c r="M224" s="78">
        <f t="shared" si="6"/>
        <v>378</v>
      </c>
      <c r="N224" s="103">
        <v>0</v>
      </c>
      <c r="O224" s="103">
        <f>'66 SYANA PRAROOP-20'!M225</f>
        <v>5</v>
      </c>
      <c r="P224" s="78">
        <f t="shared" si="7"/>
        <v>383</v>
      </c>
      <c r="Q224" s="103">
        <v>0</v>
      </c>
    </row>
    <row r="225" spans="2:17" ht="18.75">
      <c r="B225" s="78">
        <v>219</v>
      </c>
      <c r="C225" s="114" t="s">
        <v>406</v>
      </c>
      <c r="D225" s="33">
        <v>383</v>
      </c>
      <c r="E225" s="103">
        <f>'66 SYANA PRAROOP-20'!C226</f>
        <v>18</v>
      </c>
      <c r="F225" s="103">
        <f>'66 SYANA PRAROOP-20'!D226</f>
        <v>117</v>
      </c>
      <c r="G225" s="103">
        <f>'66 SYANA PRAROOP-20'!E226</f>
        <v>16</v>
      </c>
      <c r="H225" s="103">
        <f>'66 SYANA PRAROOP-20'!F226</f>
        <v>224</v>
      </c>
      <c r="I225" s="103">
        <f>'66 SYANA PRAROOP-20'!G226</f>
        <v>1</v>
      </c>
      <c r="J225" s="103">
        <f>'66 SYANA PRAROOP-20'!H226</f>
        <v>5</v>
      </c>
      <c r="K225" s="103">
        <f>'66 SYANA PRAROOP-20'!I226</f>
        <v>2</v>
      </c>
      <c r="L225" s="103">
        <f>'66 SYANA PRAROOP-20'!J226</f>
        <v>0</v>
      </c>
      <c r="M225" s="78">
        <f t="shared" si="6"/>
        <v>383</v>
      </c>
      <c r="N225" s="103">
        <v>0</v>
      </c>
      <c r="O225" s="103">
        <f>'66 SYANA PRAROOP-20'!M226</f>
        <v>0</v>
      </c>
      <c r="P225" s="78">
        <f t="shared" si="7"/>
        <v>383</v>
      </c>
      <c r="Q225" s="103">
        <v>0</v>
      </c>
    </row>
    <row r="226" spans="2:17" ht="18.75">
      <c r="B226" s="78">
        <v>220</v>
      </c>
      <c r="C226" s="114" t="s">
        <v>407</v>
      </c>
      <c r="D226" s="33">
        <v>695</v>
      </c>
      <c r="E226" s="103">
        <f>'66 SYANA PRAROOP-20'!C227</f>
        <v>82</v>
      </c>
      <c r="F226" s="103">
        <f>'66 SYANA PRAROOP-20'!D227</f>
        <v>322</v>
      </c>
      <c r="G226" s="103">
        <f>'66 SYANA PRAROOP-20'!E227</f>
        <v>14</v>
      </c>
      <c r="H226" s="103">
        <f>'66 SYANA PRAROOP-20'!F227</f>
        <v>254</v>
      </c>
      <c r="I226" s="103">
        <f>'66 SYANA PRAROOP-20'!G227</f>
        <v>3</v>
      </c>
      <c r="J226" s="103">
        <f>'66 SYANA PRAROOP-20'!H227</f>
        <v>5</v>
      </c>
      <c r="K226" s="103">
        <f>'66 SYANA PRAROOP-20'!I227</f>
        <v>6</v>
      </c>
      <c r="L226" s="103">
        <f>'66 SYANA PRAROOP-20'!J227</f>
        <v>5</v>
      </c>
      <c r="M226" s="78">
        <f t="shared" si="6"/>
        <v>691</v>
      </c>
      <c r="N226" s="103">
        <v>0</v>
      </c>
      <c r="O226" s="103">
        <f>'66 SYANA PRAROOP-20'!M227</f>
        <v>4</v>
      </c>
      <c r="P226" s="78">
        <f t="shared" si="7"/>
        <v>695</v>
      </c>
      <c r="Q226" s="103">
        <v>0</v>
      </c>
    </row>
    <row r="227" spans="2:17" ht="18.75">
      <c r="B227" s="78">
        <v>221</v>
      </c>
      <c r="C227" s="114" t="s">
        <v>408</v>
      </c>
      <c r="D227" s="33">
        <v>612</v>
      </c>
      <c r="E227" s="103">
        <f>'66 SYANA PRAROOP-20'!C228</f>
        <v>24</v>
      </c>
      <c r="F227" s="103">
        <f>'66 SYANA PRAROOP-20'!D228</f>
        <v>547</v>
      </c>
      <c r="G227" s="103">
        <f>'66 SYANA PRAROOP-20'!E228</f>
        <v>6</v>
      </c>
      <c r="H227" s="103">
        <f>'66 SYANA PRAROOP-20'!F228</f>
        <v>22</v>
      </c>
      <c r="I227" s="103">
        <f>'66 SYANA PRAROOP-20'!G228</f>
        <v>1</v>
      </c>
      <c r="J227" s="103">
        <f>'66 SYANA PRAROOP-20'!H228</f>
        <v>5</v>
      </c>
      <c r="K227" s="103">
        <f>'66 SYANA PRAROOP-20'!I228</f>
        <v>3</v>
      </c>
      <c r="L227" s="103">
        <f>'66 SYANA PRAROOP-20'!J228</f>
        <v>1</v>
      </c>
      <c r="M227" s="78">
        <f t="shared" si="6"/>
        <v>609</v>
      </c>
      <c r="N227" s="103">
        <v>0</v>
      </c>
      <c r="O227" s="103">
        <f>'66 SYANA PRAROOP-20'!M228</f>
        <v>3</v>
      </c>
      <c r="P227" s="78">
        <f t="shared" si="7"/>
        <v>612</v>
      </c>
      <c r="Q227" s="103">
        <v>0</v>
      </c>
    </row>
    <row r="228" spans="2:17" ht="18.75">
      <c r="B228" s="78">
        <v>222</v>
      </c>
      <c r="C228" s="114" t="s">
        <v>409</v>
      </c>
      <c r="D228" s="33">
        <v>599</v>
      </c>
      <c r="E228" s="103">
        <f>'66 SYANA PRAROOP-20'!C229</f>
        <v>66</v>
      </c>
      <c r="F228" s="103">
        <f>'66 SYANA PRAROOP-20'!D229</f>
        <v>367</v>
      </c>
      <c r="G228" s="103">
        <f>'66 SYANA PRAROOP-20'!E229</f>
        <v>13</v>
      </c>
      <c r="H228" s="103">
        <f>'66 SYANA PRAROOP-20'!F229</f>
        <v>137</v>
      </c>
      <c r="I228" s="103">
        <f>'66 SYANA PRAROOP-20'!G229</f>
        <v>3</v>
      </c>
      <c r="J228" s="103">
        <f>'66 SYANA PRAROOP-20'!H229</f>
        <v>4</v>
      </c>
      <c r="K228" s="103">
        <f>'66 SYANA PRAROOP-20'!I229</f>
        <v>1</v>
      </c>
      <c r="L228" s="103">
        <f>'66 SYANA PRAROOP-20'!J229</f>
        <v>3</v>
      </c>
      <c r="M228" s="78">
        <f t="shared" si="6"/>
        <v>594</v>
      </c>
      <c r="N228" s="103">
        <v>0</v>
      </c>
      <c r="O228" s="103">
        <f>'66 SYANA PRAROOP-20'!M229</f>
        <v>5</v>
      </c>
      <c r="P228" s="78">
        <f t="shared" si="7"/>
        <v>599</v>
      </c>
      <c r="Q228" s="103">
        <v>0</v>
      </c>
    </row>
    <row r="229" spans="2:17" ht="18.75">
      <c r="B229" s="78">
        <v>223</v>
      </c>
      <c r="C229" s="114" t="s">
        <v>410</v>
      </c>
      <c r="D229" s="33">
        <v>621</v>
      </c>
      <c r="E229" s="103">
        <f>'66 SYANA PRAROOP-20'!C230</f>
        <v>52</v>
      </c>
      <c r="F229" s="103">
        <f>'66 SYANA PRAROOP-20'!D230</f>
        <v>450</v>
      </c>
      <c r="G229" s="103">
        <f>'66 SYANA PRAROOP-20'!E230</f>
        <v>29</v>
      </c>
      <c r="H229" s="103">
        <f>'66 SYANA PRAROOP-20'!F230</f>
        <v>62</v>
      </c>
      <c r="I229" s="103">
        <f>'66 SYANA PRAROOP-20'!G230</f>
        <v>1</v>
      </c>
      <c r="J229" s="103">
        <f>'66 SYANA PRAROOP-20'!H230</f>
        <v>3</v>
      </c>
      <c r="K229" s="103">
        <f>'66 SYANA PRAROOP-20'!I230</f>
        <v>8</v>
      </c>
      <c r="L229" s="103">
        <f>'66 SYANA PRAROOP-20'!J230</f>
        <v>8</v>
      </c>
      <c r="M229" s="78">
        <f t="shared" si="6"/>
        <v>613</v>
      </c>
      <c r="N229" s="103">
        <v>0</v>
      </c>
      <c r="O229" s="103">
        <f>'66 SYANA PRAROOP-20'!M230</f>
        <v>8</v>
      </c>
      <c r="P229" s="78">
        <f t="shared" si="7"/>
        <v>621</v>
      </c>
      <c r="Q229" s="103">
        <v>0</v>
      </c>
    </row>
    <row r="230" spans="2:17" ht="18.75">
      <c r="B230" s="78">
        <v>224</v>
      </c>
      <c r="C230" s="114" t="s">
        <v>411</v>
      </c>
      <c r="D230" s="33">
        <v>710</v>
      </c>
      <c r="E230" s="103">
        <f>'66 SYANA PRAROOP-20'!C231</f>
        <v>3</v>
      </c>
      <c r="F230" s="103">
        <f>'66 SYANA PRAROOP-20'!D231</f>
        <v>696</v>
      </c>
      <c r="G230" s="103">
        <f>'66 SYANA PRAROOP-20'!E231</f>
        <v>2</v>
      </c>
      <c r="H230" s="103">
        <f>'66 SYANA PRAROOP-20'!F231</f>
        <v>1</v>
      </c>
      <c r="I230" s="103">
        <f>'66 SYANA PRAROOP-20'!G231</f>
        <v>0</v>
      </c>
      <c r="J230" s="103">
        <f>'66 SYANA PRAROOP-20'!H231</f>
        <v>1</v>
      </c>
      <c r="K230" s="103">
        <f>'66 SYANA PRAROOP-20'!I231</f>
        <v>2</v>
      </c>
      <c r="L230" s="103">
        <f>'66 SYANA PRAROOP-20'!J231</f>
        <v>5</v>
      </c>
      <c r="M230" s="78">
        <f t="shared" si="6"/>
        <v>710</v>
      </c>
      <c r="N230" s="103">
        <v>0</v>
      </c>
      <c r="O230" s="103">
        <f>'66 SYANA PRAROOP-20'!M231</f>
        <v>0</v>
      </c>
      <c r="P230" s="78">
        <f t="shared" si="7"/>
        <v>710</v>
      </c>
      <c r="Q230" s="103">
        <v>0</v>
      </c>
    </row>
    <row r="231" spans="2:17" ht="18.75">
      <c r="B231" s="78">
        <v>225</v>
      </c>
      <c r="C231" s="114" t="s">
        <v>412</v>
      </c>
      <c r="D231" s="33">
        <v>624</v>
      </c>
      <c r="E231" s="103">
        <f>'66 SYANA PRAROOP-20'!C232</f>
        <v>76</v>
      </c>
      <c r="F231" s="103">
        <f>'66 SYANA PRAROOP-20'!D232</f>
        <v>495</v>
      </c>
      <c r="G231" s="103">
        <f>'66 SYANA PRAROOP-20'!E232</f>
        <v>1</v>
      </c>
      <c r="H231" s="103">
        <f>'66 SYANA PRAROOP-20'!F232</f>
        <v>42</v>
      </c>
      <c r="I231" s="103">
        <f>'66 SYANA PRAROOP-20'!G232</f>
        <v>2</v>
      </c>
      <c r="J231" s="103">
        <f>'66 SYANA PRAROOP-20'!H232</f>
        <v>1</v>
      </c>
      <c r="K231" s="103">
        <f>'66 SYANA PRAROOP-20'!I232</f>
        <v>1</v>
      </c>
      <c r="L231" s="103">
        <f>'66 SYANA PRAROOP-20'!J232</f>
        <v>3</v>
      </c>
      <c r="M231" s="78">
        <f t="shared" si="6"/>
        <v>621</v>
      </c>
      <c r="N231" s="103">
        <v>0</v>
      </c>
      <c r="O231" s="103">
        <f>'66 SYANA PRAROOP-20'!M232</f>
        <v>3</v>
      </c>
      <c r="P231" s="78">
        <f t="shared" si="7"/>
        <v>624</v>
      </c>
      <c r="Q231" s="103">
        <v>0</v>
      </c>
    </row>
    <row r="232" spans="2:17" ht="18.75">
      <c r="B232" s="78">
        <v>226</v>
      </c>
      <c r="C232" s="114" t="s">
        <v>413</v>
      </c>
      <c r="D232" s="33">
        <v>448</v>
      </c>
      <c r="E232" s="103">
        <f>'66 SYANA PRAROOP-20'!C233</f>
        <v>87</v>
      </c>
      <c r="F232" s="103">
        <f>'66 SYANA PRAROOP-20'!D233</f>
        <v>208</v>
      </c>
      <c r="G232" s="103">
        <f>'66 SYANA PRAROOP-20'!E233</f>
        <v>5</v>
      </c>
      <c r="H232" s="103">
        <f>'66 SYANA PRAROOP-20'!F233</f>
        <v>142</v>
      </c>
      <c r="I232" s="103">
        <f>'66 SYANA PRAROOP-20'!G233</f>
        <v>2</v>
      </c>
      <c r="J232" s="103">
        <f>'66 SYANA PRAROOP-20'!H233</f>
        <v>2</v>
      </c>
      <c r="K232" s="103">
        <f>'66 SYANA PRAROOP-20'!I233</f>
        <v>0</v>
      </c>
      <c r="L232" s="103">
        <f>'66 SYANA PRAROOP-20'!J233</f>
        <v>1</v>
      </c>
      <c r="M232" s="78">
        <f t="shared" si="6"/>
        <v>447</v>
      </c>
      <c r="N232" s="103">
        <v>0</v>
      </c>
      <c r="O232" s="103">
        <f>'66 SYANA PRAROOP-20'!M233</f>
        <v>1</v>
      </c>
      <c r="P232" s="78">
        <f t="shared" si="7"/>
        <v>448</v>
      </c>
      <c r="Q232" s="103">
        <v>0</v>
      </c>
    </row>
    <row r="233" spans="2:17" ht="18.75">
      <c r="B233" s="78">
        <v>227</v>
      </c>
      <c r="C233" s="114" t="s">
        <v>414</v>
      </c>
      <c r="D233" s="33">
        <v>382</v>
      </c>
      <c r="E233" s="103">
        <f>'66 SYANA PRAROOP-20'!C234</f>
        <v>260</v>
      </c>
      <c r="F233" s="103">
        <f>'66 SYANA PRAROOP-20'!D234</f>
        <v>65</v>
      </c>
      <c r="G233" s="103">
        <f>'66 SYANA PRAROOP-20'!E234</f>
        <v>2</v>
      </c>
      <c r="H233" s="103">
        <f>'66 SYANA PRAROOP-20'!F234</f>
        <v>48</v>
      </c>
      <c r="I233" s="103">
        <f>'66 SYANA PRAROOP-20'!G234</f>
        <v>0</v>
      </c>
      <c r="J233" s="103">
        <f>'66 SYANA PRAROOP-20'!H234</f>
        <v>0</v>
      </c>
      <c r="K233" s="103">
        <f>'66 SYANA PRAROOP-20'!I234</f>
        <v>0</v>
      </c>
      <c r="L233" s="103">
        <f>'66 SYANA PRAROOP-20'!J234</f>
        <v>1</v>
      </c>
      <c r="M233" s="78">
        <f t="shared" si="6"/>
        <v>376</v>
      </c>
      <c r="N233" s="103">
        <v>0</v>
      </c>
      <c r="O233" s="103">
        <f>'66 SYANA PRAROOP-20'!M234</f>
        <v>6</v>
      </c>
      <c r="P233" s="78">
        <f t="shared" si="7"/>
        <v>382</v>
      </c>
      <c r="Q233" s="103">
        <v>0</v>
      </c>
    </row>
    <row r="234" spans="2:17" ht="30">
      <c r="B234" s="78">
        <v>228</v>
      </c>
      <c r="C234" s="117" t="s">
        <v>612</v>
      </c>
      <c r="D234" s="33">
        <v>426</v>
      </c>
      <c r="E234" s="103">
        <f>'66 SYANA PRAROOP-20'!C235</f>
        <v>351</v>
      </c>
      <c r="F234" s="103">
        <f>'66 SYANA PRAROOP-20'!D235</f>
        <v>57</v>
      </c>
      <c r="G234" s="103">
        <f>'66 SYANA PRAROOP-20'!E235</f>
        <v>3</v>
      </c>
      <c r="H234" s="103">
        <f>'66 SYANA PRAROOP-20'!F235</f>
        <v>10</v>
      </c>
      <c r="I234" s="103">
        <f>'66 SYANA PRAROOP-20'!G235</f>
        <v>1</v>
      </c>
      <c r="J234" s="103">
        <f>'66 SYANA PRAROOP-20'!H235</f>
        <v>0</v>
      </c>
      <c r="K234" s="103">
        <f>'66 SYANA PRAROOP-20'!I235</f>
        <v>1</v>
      </c>
      <c r="L234" s="103">
        <f>'66 SYANA PRAROOP-20'!J235</f>
        <v>0</v>
      </c>
      <c r="M234" s="78">
        <f t="shared" si="6"/>
        <v>423</v>
      </c>
      <c r="N234" s="103">
        <v>0</v>
      </c>
      <c r="O234" s="103">
        <f>'66 SYANA PRAROOP-20'!M235</f>
        <v>3</v>
      </c>
      <c r="P234" s="78">
        <f t="shared" si="7"/>
        <v>426</v>
      </c>
      <c r="Q234" s="103">
        <v>0</v>
      </c>
    </row>
    <row r="235" spans="2:17" ht="18.75">
      <c r="B235" s="78">
        <v>229</v>
      </c>
      <c r="C235" s="114" t="s">
        <v>415</v>
      </c>
      <c r="D235" s="33">
        <v>390</v>
      </c>
      <c r="E235" s="103">
        <f>'66 SYANA PRAROOP-20'!C236</f>
        <v>335</v>
      </c>
      <c r="F235" s="103">
        <f>'66 SYANA PRAROOP-20'!D236</f>
        <v>18</v>
      </c>
      <c r="G235" s="103">
        <f>'66 SYANA PRAROOP-20'!E236</f>
        <v>0</v>
      </c>
      <c r="H235" s="103">
        <f>'66 SYANA PRAROOP-20'!F236</f>
        <v>36</v>
      </c>
      <c r="I235" s="103">
        <f>'66 SYANA PRAROOP-20'!G236</f>
        <v>1</v>
      </c>
      <c r="J235" s="103">
        <f>'66 SYANA PRAROOP-20'!H236</f>
        <v>0</v>
      </c>
      <c r="K235" s="103">
        <f>'66 SYANA PRAROOP-20'!I236</f>
        <v>0</v>
      </c>
      <c r="L235" s="103">
        <f>'66 SYANA PRAROOP-20'!J236</f>
        <v>0</v>
      </c>
      <c r="M235" s="78">
        <f t="shared" si="6"/>
        <v>390</v>
      </c>
      <c r="N235" s="103">
        <v>0</v>
      </c>
      <c r="O235" s="103">
        <f>'66 SYANA PRAROOP-20'!M236</f>
        <v>0</v>
      </c>
      <c r="P235" s="78">
        <f t="shared" si="7"/>
        <v>390</v>
      </c>
      <c r="Q235" s="103">
        <v>0</v>
      </c>
    </row>
    <row r="236" spans="2:17" ht="18.75">
      <c r="B236" s="78">
        <v>230</v>
      </c>
      <c r="C236" s="114" t="s">
        <v>416</v>
      </c>
      <c r="D236" s="33">
        <v>485</v>
      </c>
      <c r="E236" s="103">
        <f>'66 SYANA PRAROOP-20'!C237</f>
        <v>11</v>
      </c>
      <c r="F236" s="103">
        <f>'66 SYANA PRAROOP-20'!D237</f>
        <v>463</v>
      </c>
      <c r="G236" s="103">
        <f>'66 SYANA PRAROOP-20'!E237</f>
        <v>4</v>
      </c>
      <c r="H236" s="103">
        <f>'66 SYANA PRAROOP-20'!F237</f>
        <v>2</v>
      </c>
      <c r="I236" s="103">
        <f>'66 SYANA PRAROOP-20'!G237</f>
        <v>0</v>
      </c>
      <c r="J236" s="103">
        <f>'66 SYANA PRAROOP-20'!H237</f>
        <v>1</v>
      </c>
      <c r="K236" s="103">
        <f>'66 SYANA PRAROOP-20'!I237</f>
        <v>2</v>
      </c>
      <c r="L236" s="103">
        <f>'66 SYANA PRAROOP-20'!J237</f>
        <v>1</v>
      </c>
      <c r="M236" s="78">
        <f t="shared" si="6"/>
        <v>484</v>
      </c>
      <c r="N236" s="103">
        <v>0</v>
      </c>
      <c r="O236" s="103">
        <f>'66 SYANA PRAROOP-20'!M237</f>
        <v>1</v>
      </c>
      <c r="P236" s="78">
        <f t="shared" si="7"/>
        <v>485</v>
      </c>
      <c r="Q236" s="103">
        <v>0</v>
      </c>
    </row>
    <row r="237" spans="2:17" ht="18.75">
      <c r="B237" s="78">
        <v>231</v>
      </c>
      <c r="C237" s="116" t="s">
        <v>625</v>
      </c>
      <c r="D237" s="33">
        <v>557</v>
      </c>
      <c r="E237" s="103">
        <f>'66 SYANA PRAROOP-20'!C238</f>
        <v>4</v>
      </c>
      <c r="F237" s="103">
        <f>'66 SYANA PRAROOP-20'!D238</f>
        <v>537</v>
      </c>
      <c r="G237" s="103">
        <f>'66 SYANA PRAROOP-20'!E238</f>
        <v>2</v>
      </c>
      <c r="H237" s="103">
        <f>'66 SYANA PRAROOP-20'!F238</f>
        <v>9</v>
      </c>
      <c r="I237" s="103">
        <f>'66 SYANA PRAROOP-20'!G238</f>
        <v>0</v>
      </c>
      <c r="J237" s="103">
        <f>'66 SYANA PRAROOP-20'!H238</f>
        <v>0</v>
      </c>
      <c r="K237" s="103">
        <f>'66 SYANA PRAROOP-20'!I238</f>
        <v>1</v>
      </c>
      <c r="L237" s="103">
        <f>'66 SYANA PRAROOP-20'!J238</f>
        <v>2</v>
      </c>
      <c r="M237" s="78">
        <f t="shared" si="6"/>
        <v>555</v>
      </c>
      <c r="N237" s="103">
        <v>0</v>
      </c>
      <c r="O237" s="103">
        <f>'66 SYANA PRAROOP-20'!M238</f>
        <v>2</v>
      </c>
      <c r="P237" s="78">
        <f t="shared" si="7"/>
        <v>557</v>
      </c>
      <c r="Q237" s="103">
        <v>0</v>
      </c>
    </row>
    <row r="238" spans="2:17" ht="18.75">
      <c r="B238" s="78">
        <v>232</v>
      </c>
      <c r="C238" s="114" t="s">
        <v>417</v>
      </c>
      <c r="D238" s="33">
        <v>597</v>
      </c>
      <c r="E238" s="103">
        <f>'66 SYANA PRAROOP-20'!C239</f>
        <v>64</v>
      </c>
      <c r="F238" s="103">
        <f>'66 SYANA PRAROOP-20'!D239</f>
        <v>435</v>
      </c>
      <c r="G238" s="103">
        <f>'66 SYANA PRAROOP-20'!E239</f>
        <v>6</v>
      </c>
      <c r="H238" s="103">
        <f>'66 SYANA PRAROOP-20'!F239</f>
        <v>81</v>
      </c>
      <c r="I238" s="103">
        <f>'66 SYANA PRAROOP-20'!G239</f>
        <v>0</v>
      </c>
      <c r="J238" s="103">
        <f>'66 SYANA PRAROOP-20'!H239</f>
        <v>1</v>
      </c>
      <c r="K238" s="103">
        <f>'66 SYANA PRAROOP-20'!I239</f>
        <v>6</v>
      </c>
      <c r="L238" s="103">
        <f>'66 SYANA PRAROOP-20'!J239</f>
        <v>3</v>
      </c>
      <c r="M238" s="78">
        <f t="shared" si="6"/>
        <v>596</v>
      </c>
      <c r="N238" s="103">
        <v>0</v>
      </c>
      <c r="O238" s="103">
        <f>'66 SYANA PRAROOP-20'!M239</f>
        <v>1</v>
      </c>
      <c r="P238" s="78">
        <f t="shared" si="7"/>
        <v>597</v>
      </c>
      <c r="Q238" s="103">
        <v>0</v>
      </c>
    </row>
    <row r="239" spans="2:17" ht="18.75">
      <c r="B239" s="78">
        <v>233</v>
      </c>
      <c r="C239" s="114" t="s">
        <v>418</v>
      </c>
      <c r="D239" s="33">
        <v>604</v>
      </c>
      <c r="E239" s="103">
        <f>'66 SYANA PRAROOP-20'!C240</f>
        <v>50</v>
      </c>
      <c r="F239" s="103">
        <f>'66 SYANA PRAROOP-20'!D240</f>
        <v>324</v>
      </c>
      <c r="G239" s="103">
        <f>'66 SYANA PRAROOP-20'!E240</f>
        <v>9</v>
      </c>
      <c r="H239" s="103">
        <f>'66 SYANA PRAROOP-20'!F240</f>
        <v>210</v>
      </c>
      <c r="I239" s="103">
        <f>'66 SYANA PRAROOP-20'!G240</f>
        <v>4</v>
      </c>
      <c r="J239" s="103">
        <f>'66 SYANA PRAROOP-20'!H240</f>
        <v>2</v>
      </c>
      <c r="K239" s="103">
        <f>'66 SYANA PRAROOP-20'!I240</f>
        <v>1</v>
      </c>
      <c r="L239" s="103">
        <f>'66 SYANA PRAROOP-20'!J240</f>
        <v>2</v>
      </c>
      <c r="M239" s="78">
        <f t="shared" si="6"/>
        <v>602</v>
      </c>
      <c r="N239" s="103">
        <v>0</v>
      </c>
      <c r="O239" s="103">
        <f>'66 SYANA PRAROOP-20'!M240</f>
        <v>2</v>
      </c>
      <c r="P239" s="78">
        <f t="shared" si="7"/>
        <v>604</v>
      </c>
      <c r="Q239" s="103">
        <v>0</v>
      </c>
    </row>
    <row r="240" spans="2:17" ht="18.75">
      <c r="B240" s="78">
        <v>234</v>
      </c>
      <c r="C240" s="114" t="s">
        <v>419</v>
      </c>
      <c r="D240" s="33">
        <v>527</v>
      </c>
      <c r="E240" s="103">
        <f>'66 SYANA PRAROOP-20'!C241</f>
        <v>83</v>
      </c>
      <c r="F240" s="103">
        <f>'66 SYANA PRAROOP-20'!D241</f>
        <v>298</v>
      </c>
      <c r="G240" s="103">
        <f>'66 SYANA PRAROOP-20'!E241</f>
        <v>7</v>
      </c>
      <c r="H240" s="103">
        <f>'66 SYANA PRAROOP-20'!F241</f>
        <v>123</v>
      </c>
      <c r="I240" s="103">
        <f>'66 SYANA PRAROOP-20'!G241</f>
        <v>2</v>
      </c>
      <c r="J240" s="103">
        <f>'66 SYANA PRAROOP-20'!H241</f>
        <v>1</v>
      </c>
      <c r="K240" s="103">
        <f>'66 SYANA PRAROOP-20'!I241</f>
        <v>8</v>
      </c>
      <c r="L240" s="103">
        <f>'66 SYANA PRAROOP-20'!J241</f>
        <v>4</v>
      </c>
      <c r="M240" s="78">
        <f t="shared" si="6"/>
        <v>526</v>
      </c>
      <c r="N240" s="103">
        <v>0</v>
      </c>
      <c r="O240" s="103">
        <f>'66 SYANA PRAROOP-20'!M241</f>
        <v>1</v>
      </c>
      <c r="P240" s="78">
        <f t="shared" si="7"/>
        <v>527</v>
      </c>
      <c r="Q240" s="103">
        <v>0</v>
      </c>
    </row>
    <row r="241" spans="2:17" ht="18.75">
      <c r="B241" s="78">
        <v>235</v>
      </c>
      <c r="C241" s="114" t="s">
        <v>420</v>
      </c>
      <c r="D241" s="33">
        <v>579</v>
      </c>
      <c r="E241" s="103">
        <f>'66 SYANA PRAROOP-20'!C242</f>
        <v>26</v>
      </c>
      <c r="F241" s="103">
        <f>'66 SYANA PRAROOP-20'!D242</f>
        <v>481</v>
      </c>
      <c r="G241" s="103">
        <f>'66 SYANA PRAROOP-20'!E242</f>
        <v>4</v>
      </c>
      <c r="H241" s="103">
        <f>'66 SYANA PRAROOP-20'!F242</f>
        <v>53</v>
      </c>
      <c r="I241" s="103">
        <f>'66 SYANA PRAROOP-20'!G242</f>
        <v>1</v>
      </c>
      <c r="J241" s="103">
        <f>'66 SYANA PRAROOP-20'!H242</f>
        <v>1</v>
      </c>
      <c r="K241" s="103">
        <f>'66 SYANA PRAROOP-20'!I242</f>
        <v>1</v>
      </c>
      <c r="L241" s="103">
        <f>'66 SYANA PRAROOP-20'!J242</f>
        <v>6</v>
      </c>
      <c r="M241" s="78">
        <f t="shared" si="6"/>
        <v>573</v>
      </c>
      <c r="N241" s="103">
        <v>0</v>
      </c>
      <c r="O241" s="103">
        <f>'66 SYANA PRAROOP-20'!M242</f>
        <v>6</v>
      </c>
      <c r="P241" s="78">
        <f t="shared" si="7"/>
        <v>579</v>
      </c>
      <c r="Q241" s="103">
        <v>0</v>
      </c>
    </row>
    <row r="242" spans="2:17" ht="18.75">
      <c r="B242" s="78">
        <v>236</v>
      </c>
      <c r="C242" s="114" t="s">
        <v>421</v>
      </c>
      <c r="D242" s="33">
        <v>513</v>
      </c>
      <c r="E242" s="103">
        <f>'66 SYANA PRAROOP-20'!C243</f>
        <v>7</v>
      </c>
      <c r="F242" s="103">
        <f>'66 SYANA PRAROOP-20'!D243</f>
        <v>476</v>
      </c>
      <c r="G242" s="103">
        <f>'66 SYANA PRAROOP-20'!E243</f>
        <v>8</v>
      </c>
      <c r="H242" s="103">
        <f>'66 SYANA PRAROOP-20'!F243</f>
        <v>1</v>
      </c>
      <c r="I242" s="103">
        <f>'66 SYANA PRAROOP-20'!G243</f>
        <v>1</v>
      </c>
      <c r="J242" s="103">
        <f>'66 SYANA PRAROOP-20'!H243</f>
        <v>1</v>
      </c>
      <c r="K242" s="103">
        <f>'66 SYANA PRAROOP-20'!I243</f>
        <v>8</v>
      </c>
      <c r="L242" s="103">
        <f>'66 SYANA PRAROOP-20'!J243</f>
        <v>9</v>
      </c>
      <c r="M242" s="78">
        <f t="shared" si="6"/>
        <v>511</v>
      </c>
      <c r="N242" s="103">
        <v>0</v>
      </c>
      <c r="O242" s="103">
        <f>'66 SYANA PRAROOP-20'!M243</f>
        <v>2</v>
      </c>
      <c r="P242" s="78">
        <f t="shared" si="7"/>
        <v>513</v>
      </c>
      <c r="Q242" s="103">
        <v>0</v>
      </c>
    </row>
    <row r="243" spans="2:17" ht="18.75">
      <c r="B243" s="78">
        <v>237</v>
      </c>
      <c r="C243" s="114" t="s">
        <v>422</v>
      </c>
      <c r="D243" s="33">
        <v>659</v>
      </c>
      <c r="E243" s="103">
        <f>'66 SYANA PRAROOP-20'!C244</f>
        <v>612</v>
      </c>
      <c r="F243" s="103">
        <f>'66 SYANA PRAROOP-20'!D244</f>
        <v>30</v>
      </c>
      <c r="G243" s="103">
        <f>'66 SYANA PRAROOP-20'!E244</f>
        <v>1</v>
      </c>
      <c r="H243" s="103">
        <f>'66 SYANA PRAROOP-20'!F244</f>
        <v>7</v>
      </c>
      <c r="I243" s="103">
        <f>'66 SYANA PRAROOP-20'!G244</f>
        <v>0</v>
      </c>
      <c r="J243" s="103">
        <f>'66 SYANA PRAROOP-20'!H244</f>
        <v>1</v>
      </c>
      <c r="K243" s="103">
        <f>'66 SYANA PRAROOP-20'!I244</f>
        <v>1</v>
      </c>
      <c r="L243" s="103">
        <f>'66 SYANA PRAROOP-20'!J244</f>
        <v>0</v>
      </c>
      <c r="M243" s="78">
        <f t="shared" si="6"/>
        <v>652</v>
      </c>
      <c r="N243" s="103">
        <v>0</v>
      </c>
      <c r="O243" s="103">
        <f>'66 SYANA PRAROOP-20'!M244</f>
        <v>7</v>
      </c>
      <c r="P243" s="78">
        <f t="shared" si="7"/>
        <v>659</v>
      </c>
      <c r="Q243" s="103">
        <v>0</v>
      </c>
    </row>
    <row r="244" spans="2:17" ht="18.75">
      <c r="B244" s="78">
        <v>238</v>
      </c>
      <c r="C244" s="114" t="s">
        <v>423</v>
      </c>
      <c r="D244" s="33">
        <v>744</v>
      </c>
      <c r="E244" s="103">
        <f>'66 SYANA PRAROOP-20'!C245</f>
        <v>422</v>
      </c>
      <c r="F244" s="103">
        <f>'66 SYANA PRAROOP-20'!D245</f>
        <v>307</v>
      </c>
      <c r="G244" s="103">
        <f>'66 SYANA PRAROOP-20'!E245</f>
        <v>2</v>
      </c>
      <c r="H244" s="103">
        <f>'66 SYANA PRAROOP-20'!F245</f>
        <v>7</v>
      </c>
      <c r="I244" s="103">
        <f>'66 SYANA PRAROOP-20'!G245</f>
        <v>0</v>
      </c>
      <c r="J244" s="103">
        <f>'66 SYANA PRAROOP-20'!H245</f>
        <v>0</v>
      </c>
      <c r="K244" s="103">
        <f>'66 SYANA PRAROOP-20'!I245</f>
        <v>3</v>
      </c>
      <c r="L244" s="103">
        <f>'66 SYANA PRAROOP-20'!J245</f>
        <v>2</v>
      </c>
      <c r="M244" s="78">
        <f t="shared" si="6"/>
        <v>743</v>
      </c>
      <c r="N244" s="103">
        <v>0</v>
      </c>
      <c r="O244" s="103">
        <f>'66 SYANA PRAROOP-20'!M245</f>
        <v>1</v>
      </c>
      <c r="P244" s="78">
        <f t="shared" si="7"/>
        <v>744</v>
      </c>
      <c r="Q244" s="103">
        <v>0</v>
      </c>
    </row>
    <row r="245" spans="2:17" ht="18.75">
      <c r="B245" s="78">
        <v>239</v>
      </c>
      <c r="C245" s="114" t="s">
        <v>424</v>
      </c>
      <c r="D245" s="33">
        <v>540</v>
      </c>
      <c r="E245" s="103">
        <f>'66 SYANA PRAROOP-20'!C246</f>
        <v>149</v>
      </c>
      <c r="F245" s="103">
        <f>'66 SYANA PRAROOP-20'!D246</f>
        <v>369</v>
      </c>
      <c r="G245" s="103">
        <f>'66 SYANA PRAROOP-20'!E246</f>
        <v>1</v>
      </c>
      <c r="H245" s="103">
        <f>'66 SYANA PRAROOP-20'!F246</f>
        <v>8</v>
      </c>
      <c r="I245" s="103">
        <f>'66 SYANA PRAROOP-20'!G246</f>
        <v>0</v>
      </c>
      <c r="J245" s="103">
        <f>'66 SYANA PRAROOP-20'!H246</f>
        <v>2</v>
      </c>
      <c r="K245" s="103">
        <f>'66 SYANA PRAROOP-20'!I246</f>
        <v>2</v>
      </c>
      <c r="L245" s="103">
        <f>'66 SYANA PRAROOP-20'!J246</f>
        <v>6</v>
      </c>
      <c r="M245" s="78">
        <f t="shared" si="6"/>
        <v>537</v>
      </c>
      <c r="N245" s="103">
        <v>0</v>
      </c>
      <c r="O245" s="103">
        <f>'66 SYANA PRAROOP-20'!M246</f>
        <v>3</v>
      </c>
      <c r="P245" s="78">
        <f t="shared" si="7"/>
        <v>540</v>
      </c>
      <c r="Q245" s="103">
        <v>0</v>
      </c>
    </row>
    <row r="246" spans="2:17" ht="18.75">
      <c r="B246" s="78">
        <v>240</v>
      </c>
      <c r="C246" s="114" t="s">
        <v>425</v>
      </c>
      <c r="D246" s="33">
        <v>447</v>
      </c>
      <c r="E246" s="103">
        <f>'66 SYANA PRAROOP-20'!C247</f>
        <v>353</v>
      </c>
      <c r="F246" s="103">
        <f>'66 SYANA PRAROOP-20'!D247</f>
        <v>76</v>
      </c>
      <c r="G246" s="103">
        <f>'66 SYANA PRAROOP-20'!E247</f>
        <v>1</v>
      </c>
      <c r="H246" s="103">
        <f>'66 SYANA PRAROOP-20'!F247</f>
        <v>9</v>
      </c>
      <c r="I246" s="103">
        <f>'66 SYANA PRAROOP-20'!G247</f>
        <v>0</v>
      </c>
      <c r="J246" s="103">
        <f>'66 SYANA PRAROOP-20'!H247</f>
        <v>0</v>
      </c>
      <c r="K246" s="103">
        <f>'66 SYANA PRAROOP-20'!I247</f>
        <v>1</v>
      </c>
      <c r="L246" s="103">
        <f>'66 SYANA PRAROOP-20'!J247</f>
        <v>2</v>
      </c>
      <c r="M246" s="78">
        <f t="shared" si="6"/>
        <v>442</v>
      </c>
      <c r="N246" s="103">
        <v>0</v>
      </c>
      <c r="O246" s="103">
        <f>'66 SYANA PRAROOP-20'!M247</f>
        <v>5</v>
      </c>
      <c r="P246" s="78">
        <f t="shared" si="7"/>
        <v>447</v>
      </c>
      <c r="Q246" s="103">
        <v>0</v>
      </c>
    </row>
    <row r="247" spans="2:17" ht="18.75">
      <c r="B247" s="78">
        <v>241</v>
      </c>
      <c r="C247" s="114" t="s">
        <v>426</v>
      </c>
      <c r="D247" s="33">
        <v>754</v>
      </c>
      <c r="E247" s="103">
        <f>'66 SYANA PRAROOP-20'!C248</f>
        <v>99</v>
      </c>
      <c r="F247" s="103">
        <f>'66 SYANA PRAROOP-20'!D248</f>
        <v>134</v>
      </c>
      <c r="G247" s="103">
        <f>'66 SYANA PRAROOP-20'!E248</f>
        <v>4</v>
      </c>
      <c r="H247" s="103">
        <f>'66 SYANA PRAROOP-20'!F248</f>
        <v>495</v>
      </c>
      <c r="I247" s="103">
        <f>'66 SYANA PRAROOP-20'!G248</f>
        <v>3</v>
      </c>
      <c r="J247" s="103">
        <f>'66 SYANA PRAROOP-20'!H248</f>
        <v>3</v>
      </c>
      <c r="K247" s="103">
        <f>'66 SYANA PRAROOP-20'!I248</f>
        <v>6</v>
      </c>
      <c r="L247" s="103">
        <f>'66 SYANA PRAROOP-20'!J248</f>
        <v>2</v>
      </c>
      <c r="M247" s="78">
        <f t="shared" si="6"/>
        <v>746</v>
      </c>
      <c r="N247" s="103">
        <v>0</v>
      </c>
      <c r="O247" s="103">
        <f>'66 SYANA PRAROOP-20'!M248</f>
        <v>8</v>
      </c>
      <c r="P247" s="78">
        <f t="shared" si="7"/>
        <v>754</v>
      </c>
      <c r="Q247" s="103">
        <v>0</v>
      </c>
    </row>
    <row r="248" spans="2:17" ht="18.75">
      <c r="B248" s="78">
        <v>242</v>
      </c>
      <c r="C248" s="114" t="s">
        <v>427</v>
      </c>
      <c r="D248" s="33">
        <v>748</v>
      </c>
      <c r="E248" s="103">
        <f>'66 SYANA PRAROOP-20'!C249</f>
        <v>174</v>
      </c>
      <c r="F248" s="103">
        <f>'66 SYANA PRAROOP-20'!D249</f>
        <v>550</v>
      </c>
      <c r="G248" s="103">
        <f>'66 SYANA PRAROOP-20'!E249</f>
        <v>10</v>
      </c>
      <c r="H248" s="103">
        <f>'66 SYANA PRAROOP-20'!F249</f>
        <v>2</v>
      </c>
      <c r="I248" s="103">
        <f>'66 SYANA PRAROOP-20'!G249</f>
        <v>1</v>
      </c>
      <c r="J248" s="103">
        <f>'66 SYANA PRAROOP-20'!H249</f>
        <v>0</v>
      </c>
      <c r="K248" s="103">
        <f>'66 SYANA PRAROOP-20'!I249</f>
        <v>3</v>
      </c>
      <c r="L248" s="103">
        <f>'66 SYANA PRAROOP-20'!J249</f>
        <v>3</v>
      </c>
      <c r="M248" s="78">
        <f t="shared" si="6"/>
        <v>743</v>
      </c>
      <c r="N248" s="103">
        <v>0</v>
      </c>
      <c r="O248" s="103">
        <f>'66 SYANA PRAROOP-20'!M249</f>
        <v>5</v>
      </c>
      <c r="P248" s="78">
        <f t="shared" si="7"/>
        <v>748</v>
      </c>
      <c r="Q248" s="103">
        <v>0</v>
      </c>
    </row>
    <row r="249" spans="2:17" ht="18.75">
      <c r="B249" s="78">
        <v>243</v>
      </c>
      <c r="C249" s="114" t="s">
        <v>428</v>
      </c>
      <c r="D249" s="33">
        <v>662</v>
      </c>
      <c r="E249" s="103">
        <f>'66 SYANA PRAROOP-20'!C250</f>
        <v>283</v>
      </c>
      <c r="F249" s="103">
        <f>'66 SYANA PRAROOP-20'!D250</f>
        <v>361</v>
      </c>
      <c r="G249" s="103">
        <f>'66 SYANA PRAROOP-20'!E250</f>
        <v>6</v>
      </c>
      <c r="H249" s="103">
        <f>'66 SYANA PRAROOP-20'!F250</f>
        <v>1</v>
      </c>
      <c r="I249" s="103">
        <f>'66 SYANA PRAROOP-20'!G250</f>
        <v>1</v>
      </c>
      <c r="J249" s="103">
        <f>'66 SYANA PRAROOP-20'!H250</f>
        <v>0</v>
      </c>
      <c r="K249" s="103">
        <f>'66 SYANA PRAROOP-20'!I250</f>
        <v>0</v>
      </c>
      <c r="L249" s="103">
        <f>'66 SYANA PRAROOP-20'!J250</f>
        <v>1</v>
      </c>
      <c r="M249" s="78">
        <f t="shared" si="6"/>
        <v>653</v>
      </c>
      <c r="N249" s="103">
        <v>0</v>
      </c>
      <c r="O249" s="103">
        <f>'66 SYANA PRAROOP-20'!M250</f>
        <v>9</v>
      </c>
      <c r="P249" s="78">
        <f t="shared" si="7"/>
        <v>662</v>
      </c>
      <c r="Q249" s="103">
        <v>0</v>
      </c>
    </row>
    <row r="250" spans="2:17" ht="18.75">
      <c r="B250" s="78">
        <v>244</v>
      </c>
      <c r="C250" s="119" t="s">
        <v>626</v>
      </c>
      <c r="D250" s="33">
        <v>653</v>
      </c>
      <c r="E250" s="103">
        <f>'66 SYANA PRAROOP-20'!C251</f>
        <v>258</v>
      </c>
      <c r="F250" s="103">
        <f>'66 SYANA PRAROOP-20'!D251</f>
        <v>377</v>
      </c>
      <c r="G250" s="103">
        <f>'66 SYANA PRAROOP-20'!E251</f>
        <v>3</v>
      </c>
      <c r="H250" s="103">
        <f>'66 SYANA PRAROOP-20'!F251</f>
        <v>3</v>
      </c>
      <c r="I250" s="103">
        <f>'66 SYANA PRAROOP-20'!G251</f>
        <v>2</v>
      </c>
      <c r="J250" s="103">
        <f>'66 SYANA PRAROOP-20'!H251</f>
        <v>0</v>
      </c>
      <c r="K250" s="103">
        <f>'66 SYANA PRAROOP-20'!I251</f>
        <v>3</v>
      </c>
      <c r="L250" s="103">
        <f>'66 SYANA PRAROOP-20'!J251</f>
        <v>1</v>
      </c>
      <c r="M250" s="78">
        <f t="shared" si="6"/>
        <v>647</v>
      </c>
      <c r="N250" s="103">
        <v>0</v>
      </c>
      <c r="O250" s="103">
        <f>'66 SYANA PRAROOP-20'!M251</f>
        <v>6</v>
      </c>
      <c r="P250" s="78">
        <f t="shared" si="7"/>
        <v>653</v>
      </c>
      <c r="Q250" s="103">
        <v>0</v>
      </c>
    </row>
    <row r="251" spans="2:17" ht="18.75">
      <c r="B251" s="78">
        <v>245</v>
      </c>
      <c r="C251" s="114" t="s">
        <v>429</v>
      </c>
      <c r="D251" s="33">
        <v>649</v>
      </c>
      <c r="E251" s="103">
        <f>'66 SYANA PRAROOP-20'!C252</f>
        <v>98</v>
      </c>
      <c r="F251" s="103">
        <f>'66 SYANA PRAROOP-20'!D252</f>
        <v>533</v>
      </c>
      <c r="G251" s="103">
        <f>'66 SYANA PRAROOP-20'!E252</f>
        <v>2</v>
      </c>
      <c r="H251" s="103">
        <f>'66 SYANA PRAROOP-20'!F252</f>
        <v>10</v>
      </c>
      <c r="I251" s="103">
        <f>'66 SYANA PRAROOP-20'!G252</f>
        <v>0</v>
      </c>
      <c r="J251" s="103">
        <f>'66 SYANA PRAROOP-20'!H252</f>
        <v>0</v>
      </c>
      <c r="K251" s="103">
        <f>'66 SYANA PRAROOP-20'!I252</f>
        <v>3</v>
      </c>
      <c r="L251" s="103">
        <f>'66 SYANA PRAROOP-20'!J252</f>
        <v>0</v>
      </c>
      <c r="M251" s="78">
        <f t="shared" si="6"/>
        <v>646</v>
      </c>
      <c r="N251" s="103">
        <v>0</v>
      </c>
      <c r="O251" s="103">
        <f>'66 SYANA PRAROOP-20'!M252</f>
        <v>3</v>
      </c>
      <c r="P251" s="78">
        <f t="shared" si="7"/>
        <v>649</v>
      </c>
      <c r="Q251" s="103">
        <v>0</v>
      </c>
    </row>
    <row r="252" spans="2:17" ht="18.75">
      <c r="B252" s="78">
        <v>246</v>
      </c>
      <c r="C252" s="119" t="s">
        <v>627</v>
      </c>
      <c r="D252" s="33">
        <v>453</v>
      </c>
      <c r="E252" s="103">
        <f>'66 SYANA PRAROOP-20'!C253</f>
        <v>238</v>
      </c>
      <c r="F252" s="103">
        <f>'66 SYANA PRAROOP-20'!D253</f>
        <v>205</v>
      </c>
      <c r="G252" s="103">
        <f>'66 SYANA PRAROOP-20'!E253</f>
        <v>3</v>
      </c>
      <c r="H252" s="103">
        <f>'66 SYANA PRAROOP-20'!F253</f>
        <v>0</v>
      </c>
      <c r="I252" s="103">
        <f>'66 SYANA PRAROOP-20'!G253</f>
        <v>0</v>
      </c>
      <c r="J252" s="103">
        <f>'66 SYANA PRAROOP-20'!H253</f>
        <v>2</v>
      </c>
      <c r="K252" s="103">
        <f>'66 SYANA PRAROOP-20'!I253</f>
        <v>2</v>
      </c>
      <c r="L252" s="103">
        <f>'66 SYANA PRAROOP-20'!J253</f>
        <v>0</v>
      </c>
      <c r="M252" s="78">
        <f t="shared" si="6"/>
        <v>450</v>
      </c>
      <c r="N252" s="103">
        <v>0</v>
      </c>
      <c r="O252" s="103">
        <f>'66 SYANA PRAROOP-20'!M253</f>
        <v>3</v>
      </c>
      <c r="P252" s="78">
        <f t="shared" si="7"/>
        <v>453</v>
      </c>
      <c r="Q252" s="103">
        <v>0</v>
      </c>
    </row>
    <row r="253" spans="2:17" ht="18.75">
      <c r="B253" s="78">
        <v>247</v>
      </c>
      <c r="C253" s="114" t="s">
        <v>430</v>
      </c>
      <c r="D253" s="33">
        <v>663</v>
      </c>
      <c r="E253" s="103">
        <f>'66 SYANA PRAROOP-20'!C254</f>
        <v>640</v>
      </c>
      <c r="F253" s="103">
        <f>'66 SYANA PRAROOP-20'!D254</f>
        <v>11</v>
      </c>
      <c r="G253" s="103">
        <f>'66 SYANA PRAROOP-20'!E254</f>
        <v>1</v>
      </c>
      <c r="H253" s="103">
        <f>'66 SYANA PRAROOP-20'!F254</f>
        <v>6</v>
      </c>
      <c r="I253" s="103">
        <f>'66 SYANA PRAROOP-20'!G254</f>
        <v>1</v>
      </c>
      <c r="J253" s="103">
        <f>'66 SYANA PRAROOP-20'!H254</f>
        <v>0</v>
      </c>
      <c r="K253" s="103">
        <f>'66 SYANA PRAROOP-20'!I254</f>
        <v>0</v>
      </c>
      <c r="L253" s="103">
        <f>'66 SYANA PRAROOP-20'!J254</f>
        <v>2</v>
      </c>
      <c r="M253" s="78">
        <f t="shared" si="6"/>
        <v>661</v>
      </c>
      <c r="N253" s="103">
        <v>0</v>
      </c>
      <c r="O253" s="103">
        <f>'66 SYANA PRAROOP-20'!M254</f>
        <v>2</v>
      </c>
      <c r="P253" s="78">
        <f t="shared" si="7"/>
        <v>663</v>
      </c>
      <c r="Q253" s="103">
        <v>0</v>
      </c>
    </row>
    <row r="254" spans="2:17" ht="18.75">
      <c r="B254" s="78">
        <v>248</v>
      </c>
      <c r="C254" s="114" t="s">
        <v>431</v>
      </c>
      <c r="D254" s="33">
        <v>691</v>
      </c>
      <c r="E254" s="103">
        <f>'66 SYANA PRAROOP-20'!C255</f>
        <v>531</v>
      </c>
      <c r="F254" s="103">
        <f>'66 SYANA PRAROOP-20'!D255</f>
        <v>153</v>
      </c>
      <c r="G254" s="103">
        <f>'66 SYANA PRAROOP-20'!E255</f>
        <v>1</v>
      </c>
      <c r="H254" s="103">
        <f>'66 SYANA PRAROOP-20'!F255</f>
        <v>0</v>
      </c>
      <c r="I254" s="103">
        <f>'66 SYANA PRAROOP-20'!G255</f>
        <v>2</v>
      </c>
      <c r="J254" s="103">
        <f>'66 SYANA PRAROOP-20'!H255</f>
        <v>0</v>
      </c>
      <c r="K254" s="103">
        <f>'66 SYANA PRAROOP-20'!I255</f>
        <v>1</v>
      </c>
      <c r="L254" s="103">
        <f>'66 SYANA PRAROOP-20'!J255</f>
        <v>1</v>
      </c>
      <c r="M254" s="78">
        <f t="shared" si="6"/>
        <v>689</v>
      </c>
      <c r="N254" s="103">
        <v>0</v>
      </c>
      <c r="O254" s="103">
        <f>'66 SYANA PRAROOP-20'!M255</f>
        <v>2</v>
      </c>
      <c r="P254" s="78">
        <f t="shared" si="7"/>
        <v>691</v>
      </c>
      <c r="Q254" s="103">
        <v>0</v>
      </c>
    </row>
    <row r="255" spans="2:17" ht="18.75">
      <c r="B255" s="78">
        <v>249</v>
      </c>
      <c r="C255" s="114" t="s">
        <v>432</v>
      </c>
      <c r="D255" s="33">
        <v>785</v>
      </c>
      <c r="E255" s="103">
        <f>'66 SYANA PRAROOP-20'!C256</f>
        <v>744</v>
      </c>
      <c r="F255" s="103">
        <f>'66 SYANA PRAROOP-20'!D256</f>
        <v>23</v>
      </c>
      <c r="G255" s="103">
        <f>'66 SYANA PRAROOP-20'!E256</f>
        <v>1</v>
      </c>
      <c r="H255" s="103">
        <f>'66 SYANA PRAROOP-20'!F256</f>
        <v>5</v>
      </c>
      <c r="I255" s="103">
        <f>'66 SYANA PRAROOP-20'!G256</f>
        <v>5</v>
      </c>
      <c r="J255" s="103">
        <f>'66 SYANA PRAROOP-20'!H256</f>
        <v>0</v>
      </c>
      <c r="K255" s="103">
        <f>'66 SYANA PRAROOP-20'!I256</f>
        <v>1</v>
      </c>
      <c r="L255" s="103">
        <f>'66 SYANA PRAROOP-20'!J256</f>
        <v>0</v>
      </c>
      <c r="M255" s="78">
        <f t="shared" si="6"/>
        <v>779</v>
      </c>
      <c r="N255" s="103">
        <v>0</v>
      </c>
      <c r="O255" s="103">
        <f>'66 SYANA PRAROOP-20'!M256</f>
        <v>6</v>
      </c>
      <c r="P255" s="78">
        <f t="shared" si="7"/>
        <v>785</v>
      </c>
      <c r="Q255" s="103">
        <v>0</v>
      </c>
    </row>
    <row r="256" spans="2:17" ht="18.75">
      <c r="B256" s="78">
        <v>250</v>
      </c>
      <c r="C256" s="114" t="s">
        <v>433</v>
      </c>
      <c r="D256" s="33">
        <v>498</v>
      </c>
      <c r="E256" s="103">
        <f>'66 SYANA PRAROOP-20'!C257</f>
        <v>56</v>
      </c>
      <c r="F256" s="103">
        <f>'66 SYANA PRAROOP-20'!D257</f>
        <v>333</v>
      </c>
      <c r="G256" s="103">
        <f>'66 SYANA PRAROOP-20'!E257</f>
        <v>2</v>
      </c>
      <c r="H256" s="103">
        <f>'66 SYANA PRAROOP-20'!F257</f>
        <v>99</v>
      </c>
      <c r="I256" s="103">
        <f>'66 SYANA PRAROOP-20'!G257</f>
        <v>2</v>
      </c>
      <c r="J256" s="103">
        <f>'66 SYANA PRAROOP-20'!H257</f>
        <v>1</v>
      </c>
      <c r="K256" s="103">
        <f>'66 SYANA PRAROOP-20'!I257</f>
        <v>3</v>
      </c>
      <c r="L256" s="103">
        <f>'66 SYANA PRAROOP-20'!J257</f>
        <v>1</v>
      </c>
      <c r="M256" s="78">
        <f t="shared" si="6"/>
        <v>497</v>
      </c>
      <c r="N256" s="103">
        <v>0</v>
      </c>
      <c r="O256" s="103">
        <f>'66 SYANA PRAROOP-20'!M257</f>
        <v>1</v>
      </c>
      <c r="P256" s="78">
        <f t="shared" si="7"/>
        <v>498</v>
      </c>
      <c r="Q256" s="103">
        <v>0</v>
      </c>
    </row>
    <row r="257" spans="2:17" ht="18.75">
      <c r="B257" s="78">
        <v>251</v>
      </c>
      <c r="C257" s="114" t="s">
        <v>434</v>
      </c>
      <c r="D257" s="33">
        <v>386</v>
      </c>
      <c r="E257" s="103">
        <f>'66 SYANA PRAROOP-20'!C258</f>
        <v>28</v>
      </c>
      <c r="F257" s="103">
        <f>'66 SYANA PRAROOP-20'!D258</f>
        <v>200</v>
      </c>
      <c r="G257" s="103">
        <f>'66 SYANA PRAROOP-20'!E258</f>
        <v>1</v>
      </c>
      <c r="H257" s="103">
        <f>'66 SYANA PRAROOP-20'!F258</f>
        <v>149</v>
      </c>
      <c r="I257" s="103">
        <f>'66 SYANA PRAROOP-20'!G258</f>
        <v>3</v>
      </c>
      <c r="J257" s="103">
        <f>'66 SYANA PRAROOP-20'!H258</f>
        <v>1</v>
      </c>
      <c r="K257" s="103">
        <f>'66 SYANA PRAROOP-20'!I258</f>
        <v>3</v>
      </c>
      <c r="L257" s="103">
        <f>'66 SYANA PRAROOP-20'!J258</f>
        <v>1</v>
      </c>
      <c r="M257" s="78">
        <f t="shared" si="6"/>
        <v>386</v>
      </c>
      <c r="N257" s="103">
        <v>0</v>
      </c>
      <c r="O257" s="103">
        <f>'66 SYANA PRAROOP-20'!M258</f>
        <v>0</v>
      </c>
      <c r="P257" s="78">
        <f t="shared" si="7"/>
        <v>386</v>
      </c>
      <c r="Q257" s="103">
        <v>0</v>
      </c>
    </row>
    <row r="258" spans="2:17" ht="18.75">
      <c r="B258" s="78">
        <v>252</v>
      </c>
      <c r="C258" s="114" t="s">
        <v>435</v>
      </c>
      <c r="D258" s="33">
        <v>801</v>
      </c>
      <c r="E258" s="103">
        <f>'66 SYANA PRAROOP-20'!C259</f>
        <v>16</v>
      </c>
      <c r="F258" s="103">
        <f>'66 SYANA PRAROOP-20'!D259</f>
        <v>739</v>
      </c>
      <c r="G258" s="103">
        <f>'66 SYANA PRAROOP-20'!E259</f>
        <v>6</v>
      </c>
      <c r="H258" s="103">
        <f>'66 SYANA PRAROOP-20'!F259</f>
        <v>15</v>
      </c>
      <c r="I258" s="103">
        <f>'66 SYANA PRAROOP-20'!G259</f>
        <v>1</v>
      </c>
      <c r="J258" s="103">
        <f>'66 SYANA PRAROOP-20'!H259</f>
        <v>3</v>
      </c>
      <c r="K258" s="103">
        <f>'66 SYANA PRAROOP-20'!I259</f>
        <v>9</v>
      </c>
      <c r="L258" s="103">
        <f>'66 SYANA PRAROOP-20'!J259</f>
        <v>6</v>
      </c>
      <c r="M258" s="78">
        <f t="shared" si="6"/>
        <v>795</v>
      </c>
      <c r="N258" s="103">
        <v>0</v>
      </c>
      <c r="O258" s="103">
        <f>'66 SYANA PRAROOP-20'!M259</f>
        <v>6</v>
      </c>
      <c r="P258" s="78">
        <f t="shared" si="7"/>
        <v>801</v>
      </c>
      <c r="Q258" s="103">
        <v>0</v>
      </c>
    </row>
    <row r="259" spans="2:17" ht="18.75">
      <c r="B259" s="78">
        <v>253</v>
      </c>
      <c r="C259" s="114" t="s">
        <v>436</v>
      </c>
      <c r="D259" s="33">
        <v>710</v>
      </c>
      <c r="E259" s="103">
        <f>'66 SYANA PRAROOP-20'!C260</f>
        <v>24</v>
      </c>
      <c r="F259" s="103">
        <f>'66 SYANA PRAROOP-20'!D260</f>
        <v>656</v>
      </c>
      <c r="G259" s="103">
        <f>'66 SYANA PRAROOP-20'!E260</f>
        <v>2</v>
      </c>
      <c r="H259" s="103">
        <f>'66 SYANA PRAROOP-20'!F260</f>
        <v>1</v>
      </c>
      <c r="I259" s="103">
        <f>'66 SYANA PRAROOP-20'!G260</f>
        <v>3</v>
      </c>
      <c r="J259" s="103">
        <f>'66 SYANA PRAROOP-20'!H260</f>
        <v>5</v>
      </c>
      <c r="K259" s="103">
        <f>'66 SYANA PRAROOP-20'!I260</f>
        <v>7</v>
      </c>
      <c r="L259" s="103">
        <f>'66 SYANA PRAROOP-20'!J260</f>
        <v>7</v>
      </c>
      <c r="M259" s="78">
        <f t="shared" si="6"/>
        <v>705</v>
      </c>
      <c r="N259" s="103">
        <v>0</v>
      </c>
      <c r="O259" s="103">
        <f>'66 SYANA PRAROOP-20'!M260</f>
        <v>5</v>
      </c>
      <c r="P259" s="78">
        <f t="shared" si="7"/>
        <v>710</v>
      </c>
      <c r="Q259" s="103">
        <v>0</v>
      </c>
    </row>
    <row r="260" spans="2:17" ht="18.75">
      <c r="B260" s="78">
        <v>254</v>
      </c>
      <c r="C260" s="114" t="s">
        <v>437</v>
      </c>
      <c r="D260" s="33">
        <v>660</v>
      </c>
      <c r="E260" s="103">
        <f>'66 SYANA PRAROOP-20'!C261</f>
        <v>19</v>
      </c>
      <c r="F260" s="103">
        <f>'66 SYANA PRAROOP-20'!D261</f>
        <v>616</v>
      </c>
      <c r="G260" s="103">
        <f>'66 SYANA PRAROOP-20'!E261</f>
        <v>8</v>
      </c>
      <c r="H260" s="103">
        <f>'66 SYANA PRAROOP-20'!F261</f>
        <v>4</v>
      </c>
      <c r="I260" s="103">
        <f>'66 SYANA PRAROOP-20'!G261</f>
        <v>1</v>
      </c>
      <c r="J260" s="103">
        <f>'66 SYANA PRAROOP-20'!H261</f>
        <v>0</v>
      </c>
      <c r="K260" s="103">
        <f>'66 SYANA PRAROOP-20'!I261</f>
        <v>5</v>
      </c>
      <c r="L260" s="103">
        <f>'66 SYANA PRAROOP-20'!J261</f>
        <v>5</v>
      </c>
      <c r="M260" s="78">
        <f t="shared" si="6"/>
        <v>658</v>
      </c>
      <c r="N260" s="103">
        <v>0</v>
      </c>
      <c r="O260" s="103">
        <f>'66 SYANA PRAROOP-20'!M261</f>
        <v>2</v>
      </c>
      <c r="P260" s="78">
        <f t="shared" si="7"/>
        <v>660</v>
      </c>
      <c r="Q260" s="103">
        <v>0</v>
      </c>
    </row>
    <row r="261" spans="2:17" ht="18.75">
      <c r="B261" s="78">
        <v>255</v>
      </c>
      <c r="C261" s="114" t="s">
        <v>438</v>
      </c>
      <c r="D261" s="33">
        <v>549</v>
      </c>
      <c r="E261" s="103">
        <f>'66 SYANA PRAROOP-20'!C262</f>
        <v>29</v>
      </c>
      <c r="F261" s="103">
        <f>'66 SYANA PRAROOP-20'!D262</f>
        <v>454</v>
      </c>
      <c r="G261" s="103">
        <f>'66 SYANA PRAROOP-20'!E262</f>
        <v>6</v>
      </c>
      <c r="H261" s="103">
        <f>'66 SYANA PRAROOP-20'!F262</f>
        <v>44</v>
      </c>
      <c r="I261" s="103">
        <f>'66 SYANA PRAROOP-20'!G262</f>
        <v>2</v>
      </c>
      <c r="J261" s="103">
        <f>'66 SYANA PRAROOP-20'!H262</f>
        <v>2</v>
      </c>
      <c r="K261" s="103">
        <f>'66 SYANA PRAROOP-20'!I262</f>
        <v>6</v>
      </c>
      <c r="L261" s="103">
        <f>'66 SYANA PRAROOP-20'!J262</f>
        <v>3</v>
      </c>
      <c r="M261" s="78">
        <f t="shared" si="6"/>
        <v>546</v>
      </c>
      <c r="N261" s="103">
        <v>0</v>
      </c>
      <c r="O261" s="103">
        <f>'66 SYANA PRAROOP-20'!M262</f>
        <v>3</v>
      </c>
      <c r="P261" s="78">
        <f t="shared" si="7"/>
        <v>549</v>
      </c>
      <c r="Q261" s="103">
        <v>0</v>
      </c>
    </row>
    <row r="262" spans="2:17" ht="18.75">
      <c r="B262" s="78">
        <v>256</v>
      </c>
      <c r="C262" s="114" t="s">
        <v>439</v>
      </c>
      <c r="D262" s="33">
        <v>769</v>
      </c>
      <c r="E262" s="103">
        <f>'66 SYANA PRAROOP-20'!C263</f>
        <v>13</v>
      </c>
      <c r="F262" s="103">
        <f>'66 SYANA PRAROOP-20'!D263</f>
        <v>729</v>
      </c>
      <c r="G262" s="103">
        <f>'66 SYANA PRAROOP-20'!E263</f>
        <v>4</v>
      </c>
      <c r="H262" s="103">
        <f>'66 SYANA PRAROOP-20'!F263</f>
        <v>9</v>
      </c>
      <c r="I262" s="103">
        <f>'66 SYANA PRAROOP-20'!G263</f>
        <v>0</v>
      </c>
      <c r="J262" s="103">
        <f>'66 SYANA PRAROOP-20'!H263</f>
        <v>2</v>
      </c>
      <c r="K262" s="103">
        <f>'66 SYANA PRAROOP-20'!I263</f>
        <v>2</v>
      </c>
      <c r="L262" s="103">
        <f>'66 SYANA PRAROOP-20'!J263</f>
        <v>7</v>
      </c>
      <c r="M262" s="78">
        <f t="shared" si="6"/>
        <v>766</v>
      </c>
      <c r="N262" s="103">
        <v>0</v>
      </c>
      <c r="O262" s="103">
        <f>'66 SYANA PRAROOP-20'!M263</f>
        <v>3</v>
      </c>
      <c r="P262" s="78">
        <f t="shared" si="7"/>
        <v>769</v>
      </c>
      <c r="Q262" s="103">
        <v>0</v>
      </c>
    </row>
    <row r="263" spans="2:17" ht="18.75">
      <c r="B263" s="78">
        <v>257</v>
      </c>
      <c r="C263" s="114" t="s">
        <v>440</v>
      </c>
      <c r="D263" s="33">
        <v>525</v>
      </c>
      <c r="E263" s="103">
        <f>'66 SYANA PRAROOP-20'!C264</f>
        <v>35</v>
      </c>
      <c r="F263" s="103">
        <f>'66 SYANA PRAROOP-20'!D264</f>
        <v>478</v>
      </c>
      <c r="G263" s="103">
        <f>'66 SYANA PRAROOP-20'!E264</f>
        <v>0</v>
      </c>
      <c r="H263" s="103">
        <f>'66 SYANA PRAROOP-20'!F264</f>
        <v>1</v>
      </c>
      <c r="I263" s="103">
        <f>'66 SYANA PRAROOP-20'!G264</f>
        <v>1</v>
      </c>
      <c r="J263" s="103">
        <f>'66 SYANA PRAROOP-20'!H264</f>
        <v>0</v>
      </c>
      <c r="K263" s="103">
        <f>'66 SYANA PRAROOP-20'!I264</f>
        <v>3</v>
      </c>
      <c r="L263" s="103">
        <f>'66 SYANA PRAROOP-20'!J264</f>
        <v>2</v>
      </c>
      <c r="M263" s="78">
        <f t="shared" ref="M263:M326" si="8">SUM(E263:L263)</f>
        <v>520</v>
      </c>
      <c r="N263" s="103">
        <v>0</v>
      </c>
      <c r="O263" s="103">
        <f>'66 SYANA PRAROOP-20'!M264</f>
        <v>5</v>
      </c>
      <c r="P263" s="78">
        <f t="shared" si="7"/>
        <v>525</v>
      </c>
      <c r="Q263" s="103">
        <v>0</v>
      </c>
    </row>
    <row r="264" spans="2:17" ht="18.75">
      <c r="B264" s="78">
        <v>258</v>
      </c>
      <c r="C264" s="114" t="s">
        <v>441</v>
      </c>
      <c r="D264" s="33">
        <v>533</v>
      </c>
      <c r="E264" s="103">
        <f>'66 SYANA PRAROOP-20'!C265</f>
        <v>28</v>
      </c>
      <c r="F264" s="103">
        <f>'66 SYANA PRAROOP-20'!D265</f>
        <v>457</v>
      </c>
      <c r="G264" s="103">
        <f>'66 SYANA PRAROOP-20'!E265</f>
        <v>3</v>
      </c>
      <c r="H264" s="103">
        <f>'66 SYANA PRAROOP-20'!F265</f>
        <v>23</v>
      </c>
      <c r="I264" s="103">
        <f>'66 SYANA PRAROOP-20'!G265</f>
        <v>1</v>
      </c>
      <c r="J264" s="103">
        <f>'66 SYANA PRAROOP-20'!H265</f>
        <v>0</v>
      </c>
      <c r="K264" s="103">
        <f>'66 SYANA PRAROOP-20'!I265</f>
        <v>13</v>
      </c>
      <c r="L264" s="103">
        <f>'66 SYANA PRAROOP-20'!J265</f>
        <v>3</v>
      </c>
      <c r="M264" s="78">
        <f t="shared" si="8"/>
        <v>528</v>
      </c>
      <c r="N264" s="103">
        <v>0</v>
      </c>
      <c r="O264" s="103">
        <f>'66 SYANA PRAROOP-20'!M265</f>
        <v>5</v>
      </c>
      <c r="P264" s="78">
        <f t="shared" ref="P264:P327" si="9">M264+O264-N264</f>
        <v>533</v>
      </c>
      <c r="Q264" s="103">
        <v>0</v>
      </c>
    </row>
    <row r="265" spans="2:17" ht="18.75">
      <c r="B265" s="78">
        <v>259</v>
      </c>
      <c r="C265" s="114" t="s">
        <v>442</v>
      </c>
      <c r="D265" s="33">
        <v>539</v>
      </c>
      <c r="E265" s="103">
        <f>'66 SYANA PRAROOP-20'!C266</f>
        <v>43</v>
      </c>
      <c r="F265" s="103">
        <f>'66 SYANA PRAROOP-20'!D266</f>
        <v>419</v>
      </c>
      <c r="G265" s="103">
        <f>'66 SYANA PRAROOP-20'!E266</f>
        <v>8</v>
      </c>
      <c r="H265" s="103">
        <f>'66 SYANA PRAROOP-20'!F266</f>
        <v>55</v>
      </c>
      <c r="I265" s="103">
        <f>'66 SYANA PRAROOP-20'!G266</f>
        <v>0</v>
      </c>
      <c r="J265" s="103">
        <f>'66 SYANA PRAROOP-20'!H266</f>
        <v>1</v>
      </c>
      <c r="K265" s="103">
        <f>'66 SYANA PRAROOP-20'!I266</f>
        <v>2</v>
      </c>
      <c r="L265" s="103">
        <f>'66 SYANA PRAROOP-20'!J266</f>
        <v>2</v>
      </c>
      <c r="M265" s="78">
        <f t="shared" si="8"/>
        <v>530</v>
      </c>
      <c r="N265" s="103">
        <v>0</v>
      </c>
      <c r="O265" s="103">
        <f>'66 SYANA PRAROOP-20'!M266</f>
        <v>9</v>
      </c>
      <c r="P265" s="78">
        <f t="shared" si="9"/>
        <v>539</v>
      </c>
      <c r="Q265" s="103">
        <v>0</v>
      </c>
    </row>
    <row r="266" spans="2:17" ht="18.75">
      <c r="B266" s="78">
        <v>260</v>
      </c>
      <c r="C266" s="114" t="s">
        <v>443</v>
      </c>
      <c r="D266" s="33">
        <v>521</v>
      </c>
      <c r="E266" s="103">
        <f>'66 SYANA PRAROOP-20'!C267</f>
        <v>13</v>
      </c>
      <c r="F266" s="103">
        <f>'66 SYANA PRAROOP-20'!D267</f>
        <v>477</v>
      </c>
      <c r="G266" s="103">
        <f>'66 SYANA PRAROOP-20'!E267</f>
        <v>4</v>
      </c>
      <c r="H266" s="103">
        <f>'66 SYANA PRAROOP-20'!F267</f>
        <v>6</v>
      </c>
      <c r="I266" s="103">
        <f>'66 SYANA PRAROOP-20'!G267</f>
        <v>1</v>
      </c>
      <c r="J266" s="103">
        <f>'66 SYANA PRAROOP-20'!H267</f>
        <v>6</v>
      </c>
      <c r="K266" s="103">
        <f>'66 SYANA PRAROOP-20'!I267</f>
        <v>3</v>
      </c>
      <c r="L266" s="103">
        <f>'66 SYANA PRAROOP-20'!J267</f>
        <v>5</v>
      </c>
      <c r="M266" s="78">
        <f t="shared" si="8"/>
        <v>515</v>
      </c>
      <c r="N266" s="103">
        <v>0</v>
      </c>
      <c r="O266" s="103">
        <f>'66 SYANA PRAROOP-20'!M267</f>
        <v>6</v>
      </c>
      <c r="P266" s="78">
        <f t="shared" si="9"/>
        <v>521</v>
      </c>
      <c r="Q266" s="103">
        <v>0</v>
      </c>
    </row>
    <row r="267" spans="2:17" ht="18.75">
      <c r="B267" s="78">
        <v>261</v>
      </c>
      <c r="C267" s="114" t="s">
        <v>444</v>
      </c>
      <c r="D267" s="33">
        <v>360</v>
      </c>
      <c r="E267" s="103">
        <f>'66 SYANA PRAROOP-20'!C268</f>
        <v>66</v>
      </c>
      <c r="F267" s="103">
        <f>'66 SYANA PRAROOP-20'!D268</f>
        <v>163</v>
      </c>
      <c r="G267" s="103">
        <f>'66 SYANA PRAROOP-20'!E268</f>
        <v>7</v>
      </c>
      <c r="H267" s="103">
        <f>'66 SYANA PRAROOP-20'!F268</f>
        <v>109</v>
      </c>
      <c r="I267" s="103">
        <f>'66 SYANA PRAROOP-20'!G268</f>
        <v>2</v>
      </c>
      <c r="J267" s="103">
        <f>'66 SYANA PRAROOP-20'!H268</f>
        <v>3</v>
      </c>
      <c r="K267" s="103">
        <f>'66 SYANA PRAROOP-20'!I268</f>
        <v>3</v>
      </c>
      <c r="L267" s="103">
        <f>'66 SYANA PRAROOP-20'!J268</f>
        <v>3</v>
      </c>
      <c r="M267" s="78">
        <f t="shared" si="8"/>
        <v>356</v>
      </c>
      <c r="N267" s="103">
        <v>0</v>
      </c>
      <c r="O267" s="103">
        <f>'66 SYANA PRAROOP-20'!M268</f>
        <v>4</v>
      </c>
      <c r="P267" s="78">
        <f t="shared" si="9"/>
        <v>360</v>
      </c>
      <c r="Q267" s="103">
        <v>0</v>
      </c>
    </row>
    <row r="268" spans="2:17" ht="18.75">
      <c r="B268" s="78">
        <v>262</v>
      </c>
      <c r="C268" s="114" t="s">
        <v>445</v>
      </c>
      <c r="D268" s="33">
        <v>592</v>
      </c>
      <c r="E268" s="103">
        <f>'66 SYANA PRAROOP-20'!C269</f>
        <v>96</v>
      </c>
      <c r="F268" s="103">
        <f>'66 SYANA PRAROOP-20'!D269</f>
        <v>477</v>
      </c>
      <c r="G268" s="103">
        <f>'66 SYANA PRAROOP-20'!E269</f>
        <v>5</v>
      </c>
      <c r="H268" s="103">
        <f>'66 SYANA PRAROOP-20'!F269</f>
        <v>1</v>
      </c>
      <c r="I268" s="103">
        <f>'66 SYANA PRAROOP-20'!G269</f>
        <v>0</v>
      </c>
      <c r="J268" s="103">
        <f>'66 SYANA PRAROOP-20'!H269</f>
        <v>3</v>
      </c>
      <c r="K268" s="103">
        <f>'66 SYANA PRAROOP-20'!I269</f>
        <v>3</v>
      </c>
      <c r="L268" s="103">
        <f>'66 SYANA PRAROOP-20'!J269</f>
        <v>5</v>
      </c>
      <c r="M268" s="78">
        <f t="shared" si="8"/>
        <v>590</v>
      </c>
      <c r="N268" s="103">
        <v>0</v>
      </c>
      <c r="O268" s="103">
        <f>'66 SYANA PRAROOP-20'!M269</f>
        <v>2</v>
      </c>
      <c r="P268" s="78">
        <f t="shared" si="9"/>
        <v>592</v>
      </c>
      <c r="Q268" s="103">
        <v>0</v>
      </c>
    </row>
    <row r="269" spans="2:17" ht="18.75">
      <c r="B269" s="78">
        <v>263</v>
      </c>
      <c r="C269" s="114" t="s">
        <v>446</v>
      </c>
      <c r="D269" s="33">
        <v>724</v>
      </c>
      <c r="E269" s="103">
        <f>'66 SYANA PRAROOP-20'!C270</f>
        <v>27</v>
      </c>
      <c r="F269" s="103">
        <f>'66 SYANA PRAROOP-20'!D270</f>
        <v>509</v>
      </c>
      <c r="G269" s="103">
        <f>'66 SYANA PRAROOP-20'!E270</f>
        <v>6</v>
      </c>
      <c r="H269" s="103">
        <f>'66 SYANA PRAROOP-20'!F270</f>
        <v>174</v>
      </c>
      <c r="I269" s="103">
        <f>'66 SYANA PRAROOP-20'!G270</f>
        <v>1</v>
      </c>
      <c r="J269" s="103">
        <f>'66 SYANA PRAROOP-20'!H270</f>
        <v>1</v>
      </c>
      <c r="K269" s="103">
        <f>'66 SYANA PRAROOP-20'!I270</f>
        <v>0</v>
      </c>
      <c r="L269" s="103">
        <f>'66 SYANA PRAROOP-20'!J270</f>
        <v>3</v>
      </c>
      <c r="M269" s="78">
        <f t="shared" si="8"/>
        <v>721</v>
      </c>
      <c r="N269" s="103">
        <v>0</v>
      </c>
      <c r="O269" s="103">
        <f>'66 SYANA PRAROOP-20'!M270</f>
        <v>3</v>
      </c>
      <c r="P269" s="78">
        <f t="shared" si="9"/>
        <v>724</v>
      </c>
      <c r="Q269" s="103">
        <v>0</v>
      </c>
    </row>
    <row r="270" spans="2:17" ht="18.75">
      <c r="B270" s="78">
        <v>264</v>
      </c>
      <c r="C270" s="116" t="s">
        <v>628</v>
      </c>
      <c r="D270" s="33">
        <v>689</v>
      </c>
      <c r="E270" s="103">
        <f>'66 SYANA PRAROOP-20'!C271</f>
        <v>358</v>
      </c>
      <c r="F270" s="103">
        <f>'66 SYANA PRAROOP-20'!D271</f>
        <v>202</v>
      </c>
      <c r="G270" s="103">
        <f>'66 SYANA PRAROOP-20'!E271</f>
        <v>18</v>
      </c>
      <c r="H270" s="103">
        <f>'66 SYANA PRAROOP-20'!F271</f>
        <v>97</v>
      </c>
      <c r="I270" s="103">
        <f>'66 SYANA PRAROOP-20'!G271</f>
        <v>2</v>
      </c>
      <c r="J270" s="103">
        <f>'66 SYANA PRAROOP-20'!H271</f>
        <v>3</v>
      </c>
      <c r="K270" s="103">
        <f>'66 SYANA PRAROOP-20'!I271</f>
        <v>4</v>
      </c>
      <c r="L270" s="103">
        <f>'66 SYANA PRAROOP-20'!J271</f>
        <v>2</v>
      </c>
      <c r="M270" s="78">
        <f t="shared" si="8"/>
        <v>686</v>
      </c>
      <c r="N270" s="103">
        <v>0</v>
      </c>
      <c r="O270" s="103">
        <f>'66 SYANA PRAROOP-20'!M271</f>
        <v>3</v>
      </c>
      <c r="P270" s="78">
        <f t="shared" si="9"/>
        <v>689</v>
      </c>
      <c r="Q270" s="103">
        <v>0</v>
      </c>
    </row>
    <row r="271" spans="2:17" ht="18.75">
      <c r="B271" s="78">
        <v>265</v>
      </c>
      <c r="C271" s="119" t="s">
        <v>629</v>
      </c>
      <c r="D271" s="33">
        <v>475</v>
      </c>
      <c r="E271" s="103">
        <f>'66 SYANA PRAROOP-20'!C272</f>
        <v>271</v>
      </c>
      <c r="F271" s="103">
        <f>'66 SYANA PRAROOP-20'!D272</f>
        <v>194</v>
      </c>
      <c r="G271" s="103">
        <f>'66 SYANA PRAROOP-20'!E272</f>
        <v>0</v>
      </c>
      <c r="H271" s="103">
        <f>'66 SYANA PRAROOP-20'!F272</f>
        <v>6</v>
      </c>
      <c r="I271" s="103">
        <f>'66 SYANA PRAROOP-20'!G272</f>
        <v>1</v>
      </c>
      <c r="J271" s="103">
        <f>'66 SYANA PRAROOP-20'!H272</f>
        <v>0</v>
      </c>
      <c r="K271" s="103">
        <f>'66 SYANA PRAROOP-20'!I272</f>
        <v>1</v>
      </c>
      <c r="L271" s="103">
        <f>'66 SYANA PRAROOP-20'!J272</f>
        <v>1</v>
      </c>
      <c r="M271" s="78">
        <f t="shared" si="8"/>
        <v>474</v>
      </c>
      <c r="N271" s="103">
        <v>0</v>
      </c>
      <c r="O271" s="103">
        <f>'66 SYANA PRAROOP-20'!M272</f>
        <v>1</v>
      </c>
      <c r="P271" s="78">
        <f t="shared" si="9"/>
        <v>475</v>
      </c>
      <c r="Q271" s="103">
        <v>0</v>
      </c>
    </row>
    <row r="272" spans="2:17" ht="18.75">
      <c r="B272" s="78">
        <v>266</v>
      </c>
      <c r="C272" s="114" t="s">
        <v>447</v>
      </c>
      <c r="D272" s="33">
        <v>601</v>
      </c>
      <c r="E272" s="103">
        <f>'66 SYANA PRAROOP-20'!C273</f>
        <v>25</v>
      </c>
      <c r="F272" s="103">
        <f>'66 SYANA PRAROOP-20'!D273</f>
        <v>539</v>
      </c>
      <c r="G272" s="103">
        <f>'66 SYANA PRAROOP-20'!E273</f>
        <v>12</v>
      </c>
      <c r="H272" s="103">
        <f>'66 SYANA PRAROOP-20'!F273</f>
        <v>5</v>
      </c>
      <c r="I272" s="103">
        <f>'66 SYANA PRAROOP-20'!G273</f>
        <v>4</v>
      </c>
      <c r="J272" s="103">
        <f>'66 SYANA PRAROOP-20'!H273</f>
        <v>1</v>
      </c>
      <c r="K272" s="103">
        <f>'66 SYANA PRAROOP-20'!I273</f>
        <v>4</v>
      </c>
      <c r="L272" s="103">
        <f>'66 SYANA PRAROOP-20'!J273</f>
        <v>8</v>
      </c>
      <c r="M272" s="78">
        <f t="shared" si="8"/>
        <v>598</v>
      </c>
      <c r="N272" s="103">
        <v>0</v>
      </c>
      <c r="O272" s="103">
        <f>'66 SYANA PRAROOP-20'!M273</f>
        <v>3</v>
      </c>
      <c r="P272" s="78">
        <f t="shared" si="9"/>
        <v>601</v>
      </c>
      <c r="Q272" s="103">
        <v>0</v>
      </c>
    </row>
    <row r="273" spans="2:17" ht="18.75">
      <c r="B273" s="78">
        <v>267</v>
      </c>
      <c r="C273" s="114" t="s">
        <v>448</v>
      </c>
      <c r="D273" s="33">
        <v>314</v>
      </c>
      <c r="E273" s="103">
        <f>'66 SYANA PRAROOP-20'!C274</f>
        <v>9</v>
      </c>
      <c r="F273" s="103">
        <f>'66 SYANA PRAROOP-20'!D274</f>
        <v>296</v>
      </c>
      <c r="G273" s="103">
        <f>'66 SYANA PRAROOP-20'!E274</f>
        <v>0</v>
      </c>
      <c r="H273" s="103">
        <f>'66 SYANA PRAROOP-20'!F274</f>
        <v>2</v>
      </c>
      <c r="I273" s="103">
        <f>'66 SYANA PRAROOP-20'!G274</f>
        <v>0</v>
      </c>
      <c r="J273" s="103">
        <f>'66 SYANA PRAROOP-20'!H274</f>
        <v>2</v>
      </c>
      <c r="K273" s="103">
        <f>'66 SYANA PRAROOP-20'!I274</f>
        <v>2</v>
      </c>
      <c r="L273" s="103">
        <f>'66 SYANA PRAROOP-20'!J274</f>
        <v>1</v>
      </c>
      <c r="M273" s="78">
        <f t="shared" si="8"/>
        <v>312</v>
      </c>
      <c r="N273" s="103">
        <v>0</v>
      </c>
      <c r="O273" s="103">
        <f>'66 SYANA PRAROOP-20'!M274</f>
        <v>2</v>
      </c>
      <c r="P273" s="78">
        <f t="shared" si="9"/>
        <v>314</v>
      </c>
      <c r="Q273" s="103">
        <v>0</v>
      </c>
    </row>
    <row r="274" spans="2:17" ht="18.75">
      <c r="B274" s="78">
        <v>268</v>
      </c>
      <c r="C274" s="114" t="s">
        <v>449</v>
      </c>
      <c r="D274" s="33">
        <v>455</v>
      </c>
      <c r="E274" s="103">
        <f>'66 SYANA PRAROOP-20'!C275</f>
        <v>23</v>
      </c>
      <c r="F274" s="103">
        <f>'66 SYANA PRAROOP-20'!D275</f>
        <v>334</v>
      </c>
      <c r="G274" s="103">
        <f>'66 SYANA PRAROOP-20'!E275</f>
        <v>6</v>
      </c>
      <c r="H274" s="103">
        <f>'66 SYANA PRAROOP-20'!F275</f>
        <v>86</v>
      </c>
      <c r="I274" s="103">
        <f>'66 SYANA PRAROOP-20'!G275</f>
        <v>1</v>
      </c>
      <c r="J274" s="103">
        <f>'66 SYANA PRAROOP-20'!H275</f>
        <v>1</v>
      </c>
      <c r="K274" s="103">
        <f>'66 SYANA PRAROOP-20'!I275</f>
        <v>1</v>
      </c>
      <c r="L274" s="103">
        <f>'66 SYANA PRAROOP-20'!J275</f>
        <v>0</v>
      </c>
      <c r="M274" s="78">
        <f t="shared" si="8"/>
        <v>452</v>
      </c>
      <c r="N274" s="103">
        <v>0</v>
      </c>
      <c r="O274" s="103">
        <f>'66 SYANA PRAROOP-20'!M275</f>
        <v>3</v>
      </c>
      <c r="P274" s="78">
        <f t="shared" si="9"/>
        <v>455</v>
      </c>
      <c r="Q274" s="103">
        <v>0</v>
      </c>
    </row>
    <row r="275" spans="2:17" ht="18.75">
      <c r="B275" s="78">
        <v>269</v>
      </c>
      <c r="C275" s="114" t="s">
        <v>450</v>
      </c>
      <c r="D275" s="33">
        <v>638</v>
      </c>
      <c r="E275" s="103">
        <f>'66 SYANA PRAROOP-20'!C276</f>
        <v>87</v>
      </c>
      <c r="F275" s="103">
        <f>'66 SYANA PRAROOP-20'!D276</f>
        <v>529</v>
      </c>
      <c r="G275" s="103">
        <f>'66 SYANA PRAROOP-20'!E276</f>
        <v>6</v>
      </c>
      <c r="H275" s="103">
        <f>'66 SYANA PRAROOP-20'!F276</f>
        <v>1</v>
      </c>
      <c r="I275" s="103">
        <f>'66 SYANA PRAROOP-20'!G276</f>
        <v>1</v>
      </c>
      <c r="J275" s="103">
        <f>'66 SYANA PRAROOP-20'!H276</f>
        <v>3</v>
      </c>
      <c r="K275" s="103">
        <f>'66 SYANA PRAROOP-20'!I276</f>
        <v>6</v>
      </c>
      <c r="L275" s="103">
        <f>'66 SYANA PRAROOP-20'!J276</f>
        <v>1</v>
      </c>
      <c r="M275" s="78">
        <f t="shared" si="8"/>
        <v>634</v>
      </c>
      <c r="N275" s="103">
        <v>0</v>
      </c>
      <c r="O275" s="103">
        <f>'66 SYANA PRAROOP-20'!M276</f>
        <v>4</v>
      </c>
      <c r="P275" s="78">
        <f t="shared" si="9"/>
        <v>638</v>
      </c>
      <c r="Q275" s="103">
        <v>0</v>
      </c>
    </row>
    <row r="276" spans="2:17" ht="18.75">
      <c r="B276" s="78">
        <v>270</v>
      </c>
      <c r="C276" s="114" t="s">
        <v>451</v>
      </c>
      <c r="D276" s="33">
        <v>610</v>
      </c>
      <c r="E276" s="103">
        <f>'66 SYANA PRAROOP-20'!C277</f>
        <v>16</v>
      </c>
      <c r="F276" s="103">
        <f>'66 SYANA PRAROOP-20'!D277</f>
        <v>575</v>
      </c>
      <c r="G276" s="103">
        <f>'66 SYANA PRAROOP-20'!E277</f>
        <v>2</v>
      </c>
      <c r="H276" s="103">
        <f>'66 SYANA PRAROOP-20'!F277</f>
        <v>3</v>
      </c>
      <c r="I276" s="103">
        <f>'66 SYANA PRAROOP-20'!G277</f>
        <v>0</v>
      </c>
      <c r="J276" s="103">
        <f>'66 SYANA PRAROOP-20'!H277</f>
        <v>4</v>
      </c>
      <c r="K276" s="103">
        <f>'66 SYANA PRAROOP-20'!I277</f>
        <v>7</v>
      </c>
      <c r="L276" s="103">
        <f>'66 SYANA PRAROOP-20'!J277</f>
        <v>3</v>
      </c>
      <c r="M276" s="78">
        <f t="shared" si="8"/>
        <v>610</v>
      </c>
      <c r="N276" s="103">
        <v>0</v>
      </c>
      <c r="O276" s="103">
        <f>'66 SYANA PRAROOP-20'!M277</f>
        <v>0</v>
      </c>
      <c r="P276" s="78">
        <f t="shared" si="9"/>
        <v>610</v>
      </c>
      <c r="Q276" s="103">
        <v>0</v>
      </c>
    </row>
    <row r="277" spans="2:17" ht="18.75">
      <c r="B277" s="78">
        <v>271</v>
      </c>
      <c r="C277" s="116" t="s">
        <v>630</v>
      </c>
      <c r="D277" s="33">
        <v>698</v>
      </c>
      <c r="E277" s="103">
        <f>'66 SYANA PRAROOP-20'!C278</f>
        <v>33</v>
      </c>
      <c r="F277" s="103">
        <f>'66 SYANA PRAROOP-20'!D278</f>
        <v>636</v>
      </c>
      <c r="G277" s="103">
        <f>'66 SYANA PRAROOP-20'!E278</f>
        <v>6</v>
      </c>
      <c r="H277" s="103">
        <f>'66 SYANA PRAROOP-20'!F278</f>
        <v>2</v>
      </c>
      <c r="I277" s="103">
        <f>'66 SYANA PRAROOP-20'!G278</f>
        <v>1</v>
      </c>
      <c r="J277" s="103">
        <f>'66 SYANA PRAROOP-20'!H278</f>
        <v>3</v>
      </c>
      <c r="K277" s="103">
        <f>'66 SYANA PRAROOP-20'!I278</f>
        <v>1</v>
      </c>
      <c r="L277" s="103">
        <f>'66 SYANA PRAROOP-20'!J278</f>
        <v>8</v>
      </c>
      <c r="M277" s="78">
        <f t="shared" si="8"/>
        <v>690</v>
      </c>
      <c r="N277" s="103">
        <v>0</v>
      </c>
      <c r="O277" s="103">
        <f>'66 SYANA PRAROOP-20'!M278</f>
        <v>8</v>
      </c>
      <c r="P277" s="78">
        <f t="shared" si="9"/>
        <v>698</v>
      </c>
      <c r="Q277" s="103">
        <v>0</v>
      </c>
    </row>
    <row r="278" spans="2:17" ht="18.75">
      <c r="B278" s="78">
        <v>272</v>
      </c>
      <c r="C278" s="114" t="s">
        <v>452</v>
      </c>
      <c r="D278" s="33">
        <v>689</v>
      </c>
      <c r="E278" s="103">
        <f>'66 SYANA PRAROOP-20'!C279</f>
        <v>79</v>
      </c>
      <c r="F278" s="103">
        <f>'66 SYANA PRAROOP-20'!D279</f>
        <v>505</v>
      </c>
      <c r="G278" s="103">
        <f>'66 SYANA PRAROOP-20'!E279</f>
        <v>6</v>
      </c>
      <c r="H278" s="103">
        <f>'66 SYANA PRAROOP-20'!F279</f>
        <v>85</v>
      </c>
      <c r="I278" s="103">
        <f>'66 SYANA PRAROOP-20'!G279</f>
        <v>0</v>
      </c>
      <c r="J278" s="103">
        <f>'66 SYANA PRAROOP-20'!H279</f>
        <v>1</v>
      </c>
      <c r="K278" s="103">
        <f>'66 SYANA PRAROOP-20'!I279</f>
        <v>3</v>
      </c>
      <c r="L278" s="103">
        <f>'66 SYANA PRAROOP-20'!J279</f>
        <v>5</v>
      </c>
      <c r="M278" s="78">
        <f t="shared" si="8"/>
        <v>684</v>
      </c>
      <c r="N278" s="103">
        <v>0</v>
      </c>
      <c r="O278" s="103">
        <f>'66 SYANA PRAROOP-20'!M279</f>
        <v>5</v>
      </c>
      <c r="P278" s="78">
        <f t="shared" si="9"/>
        <v>689</v>
      </c>
      <c r="Q278" s="103">
        <v>0</v>
      </c>
    </row>
    <row r="279" spans="2:17" ht="18.75">
      <c r="B279" s="78">
        <v>273</v>
      </c>
      <c r="C279" s="114" t="s">
        <v>453</v>
      </c>
      <c r="D279" s="33">
        <v>648</v>
      </c>
      <c r="E279" s="103">
        <f>'66 SYANA PRAROOP-20'!C280</f>
        <v>167</v>
      </c>
      <c r="F279" s="103">
        <f>'66 SYANA PRAROOP-20'!D280</f>
        <v>211</v>
      </c>
      <c r="G279" s="103">
        <f>'66 SYANA PRAROOP-20'!E280</f>
        <v>2</v>
      </c>
      <c r="H279" s="103">
        <f>'66 SYANA PRAROOP-20'!F280</f>
        <v>253</v>
      </c>
      <c r="I279" s="103">
        <f>'66 SYANA PRAROOP-20'!G280</f>
        <v>4</v>
      </c>
      <c r="J279" s="103">
        <f>'66 SYANA PRAROOP-20'!H280</f>
        <v>4</v>
      </c>
      <c r="K279" s="103">
        <f>'66 SYANA PRAROOP-20'!I280</f>
        <v>4</v>
      </c>
      <c r="L279" s="103">
        <f>'66 SYANA PRAROOP-20'!J280</f>
        <v>1</v>
      </c>
      <c r="M279" s="78">
        <f t="shared" si="8"/>
        <v>646</v>
      </c>
      <c r="N279" s="103">
        <v>0</v>
      </c>
      <c r="O279" s="103">
        <f>'66 SYANA PRAROOP-20'!M280</f>
        <v>2</v>
      </c>
      <c r="P279" s="78">
        <f t="shared" si="9"/>
        <v>648</v>
      </c>
      <c r="Q279" s="103">
        <v>0</v>
      </c>
    </row>
    <row r="280" spans="2:17" ht="18.75">
      <c r="B280" s="78">
        <v>274</v>
      </c>
      <c r="C280" s="114" t="s">
        <v>454</v>
      </c>
      <c r="D280" s="33">
        <v>717</v>
      </c>
      <c r="E280" s="103">
        <f>'66 SYANA PRAROOP-20'!C281</f>
        <v>78</v>
      </c>
      <c r="F280" s="103">
        <f>'66 SYANA PRAROOP-20'!D281</f>
        <v>471</v>
      </c>
      <c r="G280" s="103">
        <f>'66 SYANA PRAROOP-20'!E281</f>
        <v>6</v>
      </c>
      <c r="H280" s="103">
        <f>'66 SYANA PRAROOP-20'!F281</f>
        <v>151</v>
      </c>
      <c r="I280" s="103">
        <f>'66 SYANA PRAROOP-20'!G281</f>
        <v>1</v>
      </c>
      <c r="J280" s="103">
        <f>'66 SYANA PRAROOP-20'!H281</f>
        <v>2</v>
      </c>
      <c r="K280" s="103">
        <f>'66 SYANA PRAROOP-20'!I281</f>
        <v>3</v>
      </c>
      <c r="L280" s="103">
        <f>'66 SYANA PRAROOP-20'!J281</f>
        <v>2</v>
      </c>
      <c r="M280" s="78">
        <f t="shared" si="8"/>
        <v>714</v>
      </c>
      <c r="N280" s="103">
        <v>0</v>
      </c>
      <c r="O280" s="103">
        <f>'66 SYANA PRAROOP-20'!M281</f>
        <v>3</v>
      </c>
      <c r="P280" s="78">
        <f t="shared" si="9"/>
        <v>717</v>
      </c>
      <c r="Q280" s="103">
        <v>0</v>
      </c>
    </row>
    <row r="281" spans="2:17" ht="18.75">
      <c r="B281" s="78">
        <v>275</v>
      </c>
      <c r="C281" s="119" t="s">
        <v>631</v>
      </c>
      <c r="D281" s="33">
        <v>704</v>
      </c>
      <c r="E281" s="103">
        <f>'66 SYANA PRAROOP-20'!C282</f>
        <v>325</v>
      </c>
      <c r="F281" s="103">
        <f>'66 SYANA PRAROOP-20'!D282</f>
        <v>353</v>
      </c>
      <c r="G281" s="103">
        <f>'66 SYANA PRAROOP-20'!E282</f>
        <v>10</v>
      </c>
      <c r="H281" s="103">
        <f>'66 SYANA PRAROOP-20'!F282</f>
        <v>7</v>
      </c>
      <c r="I281" s="103">
        <f>'66 SYANA PRAROOP-20'!G282</f>
        <v>0</v>
      </c>
      <c r="J281" s="103">
        <f>'66 SYANA PRAROOP-20'!H282</f>
        <v>1</v>
      </c>
      <c r="K281" s="103">
        <f>'66 SYANA PRAROOP-20'!I282</f>
        <v>2</v>
      </c>
      <c r="L281" s="103">
        <f>'66 SYANA PRAROOP-20'!J282</f>
        <v>3</v>
      </c>
      <c r="M281" s="78">
        <f t="shared" si="8"/>
        <v>701</v>
      </c>
      <c r="N281" s="103">
        <v>0</v>
      </c>
      <c r="O281" s="103">
        <f>'66 SYANA PRAROOP-20'!M282</f>
        <v>3</v>
      </c>
      <c r="P281" s="78">
        <f t="shared" si="9"/>
        <v>704</v>
      </c>
      <c r="Q281" s="103">
        <v>0</v>
      </c>
    </row>
    <row r="282" spans="2:17" ht="18.75">
      <c r="B282" s="78">
        <v>276</v>
      </c>
      <c r="C282" s="114" t="s">
        <v>455</v>
      </c>
      <c r="D282" s="33">
        <v>646</v>
      </c>
      <c r="E282" s="103">
        <f>'66 SYANA PRAROOP-20'!C283</f>
        <v>82</v>
      </c>
      <c r="F282" s="103">
        <f>'66 SYANA PRAROOP-20'!D283</f>
        <v>474</v>
      </c>
      <c r="G282" s="103">
        <f>'66 SYANA PRAROOP-20'!E283</f>
        <v>7</v>
      </c>
      <c r="H282" s="103">
        <f>'66 SYANA PRAROOP-20'!F283</f>
        <v>67</v>
      </c>
      <c r="I282" s="103">
        <f>'66 SYANA PRAROOP-20'!G283</f>
        <v>2</v>
      </c>
      <c r="J282" s="103">
        <f>'66 SYANA PRAROOP-20'!H283</f>
        <v>0</v>
      </c>
      <c r="K282" s="103">
        <f>'66 SYANA PRAROOP-20'!I283</f>
        <v>8</v>
      </c>
      <c r="L282" s="103">
        <f>'66 SYANA PRAROOP-20'!J283</f>
        <v>3</v>
      </c>
      <c r="M282" s="78">
        <f t="shared" si="8"/>
        <v>643</v>
      </c>
      <c r="N282" s="103">
        <v>0</v>
      </c>
      <c r="O282" s="103">
        <f>'66 SYANA PRAROOP-20'!M283</f>
        <v>3</v>
      </c>
      <c r="P282" s="78">
        <f t="shared" si="9"/>
        <v>646</v>
      </c>
      <c r="Q282" s="103">
        <v>0</v>
      </c>
    </row>
    <row r="283" spans="2:17" ht="18.75">
      <c r="B283" s="78">
        <v>277</v>
      </c>
      <c r="C283" s="114" t="s">
        <v>456</v>
      </c>
      <c r="D283" s="33">
        <v>630</v>
      </c>
      <c r="E283" s="103">
        <f>'66 SYANA PRAROOP-20'!C284</f>
        <v>101</v>
      </c>
      <c r="F283" s="103">
        <f>'66 SYANA PRAROOP-20'!D284</f>
        <v>427</v>
      </c>
      <c r="G283" s="103">
        <f>'66 SYANA PRAROOP-20'!E284</f>
        <v>2</v>
      </c>
      <c r="H283" s="103">
        <f>'66 SYANA PRAROOP-20'!F284</f>
        <v>87</v>
      </c>
      <c r="I283" s="103">
        <f>'66 SYANA PRAROOP-20'!G284</f>
        <v>1</v>
      </c>
      <c r="J283" s="103">
        <f>'66 SYANA PRAROOP-20'!H284</f>
        <v>2</v>
      </c>
      <c r="K283" s="103">
        <f>'66 SYANA PRAROOP-20'!I284</f>
        <v>0</v>
      </c>
      <c r="L283" s="103">
        <f>'66 SYANA PRAROOP-20'!J284</f>
        <v>2</v>
      </c>
      <c r="M283" s="78">
        <f t="shared" si="8"/>
        <v>622</v>
      </c>
      <c r="N283" s="103">
        <v>0</v>
      </c>
      <c r="O283" s="103">
        <f>'66 SYANA PRAROOP-20'!M284</f>
        <v>8</v>
      </c>
      <c r="P283" s="78">
        <f t="shared" si="9"/>
        <v>630</v>
      </c>
      <c r="Q283" s="103">
        <v>0</v>
      </c>
    </row>
    <row r="284" spans="2:17" ht="18.75">
      <c r="B284" s="78">
        <v>278</v>
      </c>
      <c r="C284" s="114" t="s">
        <v>457</v>
      </c>
      <c r="D284" s="33">
        <v>372</v>
      </c>
      <c r="E284" s="103">
        <f>'66 SYANA PRAROOP-20'!C285</f>
        <v>33</v>
      </c>
      <c r="F284" s="103">
        <f>'66 SYANA PRAROOP-20'!D285</f>
        <v>232</v>
      </c>
      <c r="G284" s="103">
        <f>'66 SYANA PRAROOP-20'!E285</f>
        <v>10</v>
      </c>
      <c r="H284" s="103">
        <f>'66 SYANA PRAROOP-20'!F285</f>
        <v>83</v>
      </c>
      <c r="I284" s="103">
        <f>'66 SYANA PRAROOP-20'!G285</f>
        <v>1</v>
      </c>
      <c r="J284" s="103">
        <f>'66 SYANA PRAROOP-20'!H285</f>
        <v>3</v>
      </c>
      <c r="K284" s="103">
        <f>'66 SYANA PRAROOP-20'!I285</f>
        <v>3</v>
      </c>
      <c r="L284" s="103">
        <f>'66 SYANA PRAROOP-20'!J285</f>
        <v>5</v>
      </c>
      <c r="M284" s="78">
        <f t="shared" si="8"/>
        <v>370</v>
      </c>
      <c r="N284" s="103">
        <v>0</v>
      </c>
      <c r="O284" s="103">
        <f>'66 SYANA PRAROOP-20'!M285</f>
        <v>2</v>
      </c>
      <c r="P284" s="78">
        <f t="shared" si="9"/>
        <v>372</v>
      </c>
      <c r="Q284" s="103">
        <v>0</v>
      </c>
    </row>
    <row r="285" spans="2:17" ht="18.75">
      <c r="B285" s="78">
        <v>279</v>
      </c>
      <c r="C285" s="114" t="s">
        <v>458</v>
      </c>
      <c r="D285" s="33">
        <v>527</v>
      </c>
      <c r="E285" s="103">
        <f>'66 SYANA PRAROOP-20'!C286</f>
        <v>35</v>
      </c>
      <c r="F285" s="103">
        <f>'66 SYANA PRAROOP-20'!D286</f>
        <v>386</v>
      </c>
      <c r="G285" s="103">
        <f>'66 SYANA PRAROOP-20'!E286</f>
        <v>24</v>
      </c>
      <c r="H285" s="103">
        <f>'66 SYANA PRAROOP-20'!F286</f>
        <v>66</v>
      </c>
      <c r="I285" s="103">
        <f>'66 SYANA PRAROOP-20'!G286</f>
        <v>5</v>
      </c>
      <c r="J285" s="103">
        <f>'66 SYANA PRAROOP-20'!H286</f>
        <v>3</v>
      </c>
      <c r="K285" s="103">
        <f>'66 SYANA PRAROOP-20'!I286</f>
        <v>2</v>
      </c>
      <c r="L285" s="103">
        <f>'66 SYANA PRAROOP-20'!J286</f>
        <v>5</v>
      </c>
      <c r="M285" s="78">
        <f t="shared" si="8"/>
        <v>526</v>
      </c>
      <c r="N285" s="103">
        <v>0</v>
      </c>
      <c r="O285" s="103">
        <f>'66 SYANA PRAROOP-20'!M286</f>
        <v>1</v>
      </c>
      <c r="P285" s="78">
        <f t="shared" si="9"/>
        <v>527</v>
      </c>
      <c r="Q285" s="103">
        <v>0</v>
      </c>
    </row>
    <row r="286" spans="2:17" ht="18.75">
      <c r="B286" s="78">
        <v>280</v>
      </c>
      <c r="C286" s="114" t="s">
        <v>459</v>
      </c>
      <c r="D286" s="33">
        <v>806</v>
      </c>
      <c r="E286" s="103">
        <f>'66 SYANA PRAROOP-20'!C287</f>
        <v>214</v>
      </c>
      <c r="F286" s="103">
        <f>'66 SYANA PRAROOP-20'!D287</f>
        <v>532</v>
      </c>
      <c r="G286" s="103">
        <f>'66 SYANA PRAROOP-20'!E287</f>
        <v>5</v>
      </c>
      <c r="H286" s="103">
        <f>'66 SYANA PRAROOP-20'!F287</f>
        <v>44</v>
      </c>
      <c r="I286" s="103">
        <f>'66 SYANA PRAROOP-20'!G287</f>
        <v>0</v>
      </c>
      <c r="J286" s="103">
        <f>'66 SYANA PRAROOP-20'!H287</f>
        <v>3</v>
      </c>
      <c r="K286" s="103">
        <f>'66 SYANA PRAROOP-20'!I287</f>
        <v>1</v>
      </c>
      <c r="L286" s="103">
        <f>'66 SYANA PRAROOP-20'!J287</f>
        <v>4</v>
      </c>
      <c r="M286" s="78">
        <f t="shared" si="8"/>
        <v>803</v>
      </c>
      <c r="N286" s="103">
        <v>0</v>
      </c>
      <c r="O286" s="103">
        <f>'66 SYANA PRAROOP-20'!M287</f>
        <v>3</v>
      </c>
      <c r="P286" s="78">
        <f t="shared" si="9"/>
        <v>806</v>
      </c>
      <c r="Q286" s="103">
        <v>0</v>
      </c>
    </row>
    <row r="287" spans="2:17" ht="18.75">
      <c r="B287" s="78">
        <v>281</v>
      </c>
      <c r="C287" s="114" t="s">
        <v>460</v>
      </c>
      <c r="D287" s="33">
        <v>521</v>
      </c>
      <c r="E287" s="103">
        <f>'66 SYANA PRAROOP-20'!C288</f>
        <v>95</v>
      </c>
      <c r="F287" s="103">
        <f>'66 SYANA PRAROOP-20'!D288</f>
        <v>267</v>
      </c>
      <c r="G287" s="103">
        <f>'66 SYANA PRAROOP-20'!E288</f>
        <v>2</v>
      </c>
      <c r="H287" s="103">
        <f>'66 SYANA PRAROOP-20'!F288</f>
        <v>134</v>
      </c>
      <c r="I287" s="103">
        <f>'66 SYANA PRAROOP-20'!G288</f>
        <v>1</v>
      </c>
      <c r="J287" s="103">
        <f>'66 SYANA PRAROOP-20'!H288</f>
        <v>1</v>
      </c>
      <c r="K287" s="103">
        <f>'66 SYANA PRAROOP-20'!I288</f>
        <v>6</v>
      </c>
      <c r="L287" s="103">
        <f>'66 SYANA PRAROOP-20'!J288</f>
        <v>6</v>
      </c>
      <c r="M287" s="78">
        <f t="shared" si="8"/>
        <v>512</v>
      </c>
      <c r="N287" s="103">
        <v>0</v>
      </c>
      <c r="O287" s="103">
        <f>'66 SYANA PRAROOP-20'!M288</f>
        <v>9</v>
      </c>
      <c r="P287" s="78">
        <f t="shared" si="9"/>
        <v>521</v>
      </c>
      <c r="Q287" s="103">
        <v>0</v>
      </c>
    </row>
    <row r="288" spans="2:17" ht="18.75">
      <c r="B288" s="78">
        <v>282</v>
      </c>
      <c r="C288" s="114" t="s">
        <v>461</v>
      </c>
      <c r="D288" s="33">
        <v>377</v>
      </c>
      <c r="E288" s="103">
        <f>'66 SYANA PRAROOP-20'!C289</f>
        <v>66</v>
      </c>
      <c r="F288" s="103">
        <f>'66 SYANA PRAROOP-20'!D289</f>
        <v>299</v>
      </c>
      <c r="G288" s="103">
        <f>'66 SYANA PRAROOP-20'!E289</f>
        <v>2</v>
      </c>
      <c r="H288" s="103">
        <f>'66 SYANA PRAROOP-20'!F289</f>
        <v>4</v>
      </c>
      <c r="I288" s="103">
        <f>'66 SYANA PRAROOP-20'!G289</f>
        <v>0</v>
      </c>
      <c r="J288" s="103">
        <f>'66 SYANA PRAROOP-20'!H289</f>
        <v>0</v>
      </c>
      <c r="K288" s="103">
        <f>'66 SYANA PRAROOP-20'!I289</f>
        <v>1</v>
      </c>
      <c r="L288" s="103">
        <f>'66 SYANA PRAROOP-20'!J289</f>
        <v>2</v>
      </c>
      <c r="M288" s="78">
        <f t="shared" si="8"/>
        <v>374</v>
      </c>
      <c r="N288" s="103">
        <v>0</v>
      </c>
      <c r="O288" s="103">
        <f>'66 SYANA PRAROOP-20'!M289</f>
        <v>3</v>
      </c>
      <c r="P288" s="78">
        <f t="shared" si="9"/>
        <v>377</v>
      </c>
      <c r="Q288" s="103">
        <v>0</v>
      </c>
    </row>
    <row r="289" spans="2:17" ht="18.75">
      <c r="B289" s="78">
        <v>283</v>
      </c>
      <c r="C289" s="114" t="s">
        <v>462</v>
      </c>
      <c r="D289" s="33">
        <v>596</v>
      </c>
      <c r="E289" s="103">
        <f>'66 SYANA PRAROOP-20'!C290</f>
        <v>26</v>
      </c>
      <c r="F289" s="103">
        <f>'66 SYANA PRAROOP-20'!D290</f>
        <v>543</v>
      </c>
      <c r="G289" s="103">
        <f>'66 SYANA PRAROOP-20'!E290</f>
        <v>4</v>
      </c>
      <c r="H289" s="103">
        <f>'66 SYANA PRAROOP-20'!F290</f>
        <v>4</v>
      </c>
      <c r="I289" s="103">
        <f>'66 SYANA PRAROOP-20'!G290</f>
        <v>1</v>
      </c>
      <c r="J289" s="103">
        <f>'66 SYANA PRAROOP-20'!H290</f>
        <v>2</v>
      </c>
      <c r="K289" s="103">
        <f>'66 SYANA PRAROOP-20'!I290</f>
        <v>6</v>
      </c>
      <c r="L289" s="103">
        <f>'66 SYANA PRAROOP-20'!J290</f>
        <v>5</v>
      </c>
      <c r="M289" s="78">
        <f t="shared" si="8"/>
        <v>591</v>
      </c>
      <c r="N289" s="103">
        <v>0</v>
      </c>
      <c r="O289" s="103">
        <f>'66 SYANA PRAROOP-20'!M290</f>
        <v>5</v>
      </c>
      <c r="P289" s="78">
        <f t="shared" si="9"/>
        <v>596</v>
      </c>
      <c r="Q289" s="103">
        <v>0</v>
      </c>
    </row>
    <row r="290" spans="2:17" ht="18.75">
      <c r="B290" s="78">
        <v>284</v>
      </c>
      <c r="C290" s="114" t="s">
        <v>463</v>
      </c>
      <c r="D290" s="33">
        <v>623</v>
      </c>
      <c r="E290" s="103">
        <f>'66 SYANA PRAROOP-20'!C291</f>
        <v>43</v>
      </c>
      <c r="F290" s="103">
        <f>'66 SYANA PRAROOP-20'!D291</f>
        <v>393</v>
      </c>
      <c r="G290" s="103">
        <f>'66 SYANA PRAROOP-20'!E291</f>
        <v>7</v>
      </c>
      <c r="H290" s="103">
        <f>'66 SYANA PRAROOP-20'!F291</f>
        <v>162</v>
      </c>
      <c r="I290" s="103">
        <f>'66 SYANA PRAROOP-20'!G291</f>
        <v>0</v>
      </c>
      <c r="J290" s="103">
        <f>'66 SYANA PRAROOP-20'!H291</f>
        <v>8</v>
      </c>
      <c r="K290" s="103">
        <f>'66 SYANA PRAROOP-20'!I291</f>
        <v>2</v>
      </c>
      <c r="L290" s="103">
        <f>'66 SYANA PRAROOP-20'!J291</f>
        <v>6</v>
      </c>
      <c r="M290" s="78">
        <f t="shared" si="8"/>
        <v>621</v>
      </c>
      <c r="N290" s="103">
        <v>0</v>
      </c>
      <c r="O290" s="103">
        <f>'66 SYANA PRAROOP-20'!M291</f>
        <v>2</v>
      </c>
      <c r="P290" s="78">
        <f t="shared" si="9"/>
        <v>623</v>
      </c>
      <c r="Q290" s="103">
        <v>0</v>
      </c>
    </row>
    <row r="291" spans="2:17" ht="18.75">
      <c r="B291" s="78">
        <v>285</v>
      </c>
      <c r="C291" s="114" t="s">
        <v>464</v>
      </c>
      <c r="D291" s="33">
        <v>594</v>
      </c>
      <c r="E291" s="103">
        <f>'66 SYANA PRAROOP-20'!C292</f>
        <v>36</v>
      </c>
      <c r="F291" s="103">
        <f>'66 SYANA PRAROOP-20'!D292</f>
        <v>540</v>
      </c>
      <c r="G291" s="103">
        <f>'66 SYANA PRAROOP-20'!E292</f>
        <v>6</v>
      </c>
      <c r="H291" s="103">
        <f>'66 SYANA PRAROOP-20'!F292</f>
        <v>7</v>
      </c>
      <c r="I291" s="103">
        <f>'66 SYANA PRAROOP-20'!G292</f>
        <v>0</v>
      </c>
      <c r="J291" s="103">
        <f>'66 SYANA PRAROOP-20'!H292</f>
        <v>0</v>
      </c>
      <c r="K291" s="103">
        <f>'66 SYANA PRAROOP-20'!I292</f>
        <v>0</v>
      </c>
      <c r="L291" s="103">
        <f>'66 SYANA PRAROOP-20'!J292</f>
        <v>3</v>
      </c>
      <c r="M291" s="78">
        <f t="shared" si="8"/>
        <v>592</v>
      </c>
      <c r="N291" s="103">
        <v>0</v>
      </c>
      <c r="O291" s="103">
        <f>'66 SYANA PRAROOP-20'!M292</f>
        <v>2</v>
      </c>
      <c r="P291" s="78">
        <f t="shared" si="9"/>
        <v>594</v>
      </c>
      <c r="Q291" s="103">
        <v>0</v>
      </c>
    </row>
    <row r="292" spans="2:17" ht="18.75">
      <c r="B292" s="78">
        <v>286</v>
      </c>
      <c r="C292" s="114" t="s">
        <v>465</v>
      </c>
      <c r="D292" s="33">
        <v>636</v>
      </c>
      <c r="E292" s="103">
        <f>'66 SYANA PRAROOP-20'!C293</f>
        <v>3</v>
      </c>
      <c r="F292" s="103">
        <f>'66 SYANA PRAROOP-20'!D293</f>
        <v>596</v>
      </c>
      <c r="G292" s="103">
        <f>'66 SYANA PRAROOP-20'!E293</f>
        <v>11</v>
      </c>
      <c r="H292" s="103">
        <f>'66 SYANA PRAROOP-20'!F293</f>
        <v>3</v>
      </c>
      <c r="I292" s="103">
        <f>'66 SYANA PRAROOP-20'!G293</f>
        <v>0</v>
      </c>
      <c r="J292" s="103">
        <f>'66 SYANA PRAROOP-20'!H293</f>
        <v>2</v>
      </c>
      <c r="K292" s="103">
        <f>'66 SYANA PRAROOP-20'!I293</f>
        <v>6</v>
      </c>
      <c r="L292" s="103">
        <f>'66 SYANA PRAROOP-20'!J293</f>
        <v>9</v>
      </c>
      <c r="M292" s="78">
        <f t="shared" si="8"/>
        <v>630</v>
      </c>
      <c r="N292" s="103">
        <v>0</v>
      </c>
      <c r="O292" s="103">
        <f>'66 SYANA PRAROOP-20'!M293</f>
        <v>6</v>
      </c>
      <c r="P292" s="78">
        <f t="shared" si="9"/>
        <v>636</v>
      </c>
      <c r="Q292" s="103">
        <v>0</v>
      </c>
    </row>
    <row r="293" spans="2:17" ht="18.75">
      <c r="B293" s="78">
        <v>287</v>
      </c>
      <c r="C293" s="114" t="s">
        <v>466</v>
      </c>
      <c r="D293" s="33">
        <v>579</v>
      </c>
      <c r="E293" s="103">
        <f>'66 SYANA PRAROOP-20'!C294</f>
        <v>49</v>
      </c>
      <c r="F293" s="103">
        <f>'66 SYANA PRAROOP-20'!D294</f>
        <v>449</v>
      </c>
      <c r="G293" s="103">
        <f>'66 SYANA PRAROOP-20'!E294</f>
        <v>19</v>
      </c>
      <c r="H293" s="103">
        <f>'66 SYANA PRAROOP-20'!F294</f>
        <v>52</v>
      </c>
      <c r="I293" s="103">
        <f>'66 SYANA PRAROOP-20'!G294</f>
        <v>1</v>
      </c>
      <c r="J293" s="103">
        <f>'66 SYANA PRAROOP-20'!H294</f>
        <v>4</v>
      </c>
      <c r="K293" s="103">
        <f>'66 SYANA PRAROOP-20'!I294</f>
        <v>2</v>
      </c>
      <c r="L293" s="103">
        <f>'66 SYANA PRAROOP-20'!J294</f>
        <v>1</v>
      </c>
      <c r="M293" s="78">
        <f t="shared" si="8"/>
        <v>577</v>
      </c>
      <c r="N293" s="103">
        <v>0</v>
      </c>
      <c r="O293" s="103">
        <f>'66 SYANA PRAROOP-20'!M294</f>
        <v>2</v>
      </c>
      <c r="P293" s="78">
        <f t="shared" si="9"/>
        <v>579</v>
      </c>
      <c r="Q293" s="103">
        <v>0</v>
      </c>
    </row>
    <row r="294" spans="2:17" ht="18.75">
      <c r="B294" s="78">
        <v>288</v>
      </c>
      <c r="C294" s="114" t="s">
        <v>467</v>
      </c>
      <c r="D294" s="33">
        <v>680</v>
      </c>
      <c r="E294" s="103">
        <f>'66 SYANA PRAROOP-20'!C295</f>
        <v>31</v>
      </c>
      <c r="F294" s="103">
        <f>'66 SYANA PRAROOP-20'!D295</f>
        <v>632</v>
      </c>
      <c r="G294" s="103">
        <f>'66 SYANA PRAROOP-20'!E295</f>
        <v>5</v>
      </c>
      <c r="H294" s="103">
        <f>'66 SYANA PRAROOP-20'!F295</f>
        <v>3</v>
      </c>
      <c r="I294" s="103">
        <f>'66 SYANA PRAROOP-20'!G295</f>
        <v>0</v>
      </c>
      <c r="J294" s="103">
        <f>'66 SYANA PRAROOP-20'!H295</f>
        <v>1</v>
      </c>
      <c r="K294" s="103">
        <f>'66 SYANA PRAROOP-20'!I295</f>
        <v>3</v>
      </c>
      <c r="L294" s="103">
        <f>'66 SYANA PRAROOP-20'!J295</f>
        <v>0</v>
      </c>
      <c r="M294" s="78">
        <f t="shared" si="8"/>
        <v>675</v>
      </c>
      <c r="N294" s="103">
        <v>0</v>
      </c>
      <c r="O294" s="103">
        <f>'66 SYANA PRAROOP-20'!M295</f>
        <v>5</v>
      </c>
      <c r="P294" s="78">
        <f t="shared" si="9"/>
        <v>680</v>
      </c>
      <c r="Q294" s="103">
        <v>0</v>
      </c>
    </row>
    <row r="295" spans="2:17" ht="18.75">
      <c r="B295" s="78">
        <v>289</v>
      </c>
      <c r="C295" s="114" t="s">
        <v>468</v>
      </c>
      <c r="D295" s="33">
        <v>621</v>
      </c>
      <c r="E295" s="103">
        <f>'66 SYANA PRAROOP-20'!C296</f>
        <v>102</v>
      </c>
      <c r="F295" s="103">
        <f>'66 SYANA PRAROOP-20'!D296</f>
        <v>500</v>
      </c>
      <c r="G295" s="103">
        <f>'66 SYANA PRAROOP-20'!E296</f>
        <v>12</v>
      </c>
      <c r="H295" s="103">
        <f>'66 SYANA PRAROOP-20'!F296</f>
        <v>4</v>
      </c>
      <c r="I295" s="103">
        <f>'66 SYANA PRAROOP-20'!G296</f>
        <v>0</v>
      </c>
      <c r="J295" s="103">
        <f>'66 SYANA PRAROOP-20'!H296</f>
        <v>0</v>
      </c>
      <c r="K295" s="103">
        <f>'66 SYANA PRAROOP-20'!I296</f>
        <v>2</v>
      </c>
      <c r="L295" s="103">
        <f>'66 SYANA PRAROOP-20'!J296</f>
        <v>1</v>
      </c>
      <c r="M295" s="78">
        <f t="shared" si="8"/>
        <v>621</v>
      </c>
      <c r="N295" s="103">
        <v>0</v>
      </c>
      <c r="O295" s="103">
        <f>'66 SYANA PRAROOP-20'!M296</f>
        <v>0</v>
      </c>
      <c r="P295" s="78">
        <f t="shared" si="9"/>
        <v>621</v>
      </c>
      <c r="Q295" s="103">
        <v>0</v>
      </c>
    </row>
    <row r="296" spans="2:17" ht="18.75">
      <c r="B296" s="78">
        <v>290</v>
      </c>
      <c r="C296" s="114" t="s">
        <v>469</v>
      </c>
      <c r="D296" s="33">
        <v>696</v>
      </c>
      <c r="E296" s="103">
        <f>'66 SYANA PRAROOP-20'!C297</f>
        <v>115</v>
      </c>
      <c r="F296" s="103">
        <f>'66 SYANA PRAROOP-20'!D297</f>
        <v>427</v>
      </c>
      <c r="G296" s="103">
        <f>'66 SYANA PRAROOP-20'!E297</f>
        <v>5</v>
      </c>
      <c r="H296" s="103">
        <f>'66 SYANA PRAROOP-20'!F297</f>
        <v>123</v>
      </c>
      <c r="I296" s="103">
        <f>'66 SYANA PRAROOP-20'!G297</f>
        <v>3</v>
      </c>
      <c r="J296" s="103">
        <f>'66 SYANA PRAROOP-20'!H297</f>
        <v>1</v>
      </c>
      <c r="K296" s="103">
        <f>'66 SYANA PRAROOP-20'!I297</f>
        <v>9</v>
      </c>
      <c r="L296" s="103">
        <f>'66 SYANA PRAROOP-20'!J297</f>
        <v>5</v>
      </c>
      <c r="M296" s="78">
        <f t="shared" si="8"/>
        <v>688</v>
      </c>
      <c r="N296" s="103">
        <v>0</v>
      </c>
      <c r="O296" s="103">
        <f>'66 SYANA PRAROOP-20'!M297</f>
        <v>8</v>
      </c>
      <c r="P296" s="78">
        <f t="shared" si="9"/>
        <v>696</v>
      </c>
      <c r="Q296" s="103">
        <v>0</v>
      </c>
    </row>
    <row r="297" spans="2:17" ht="18.75">
      <c r="B297" s="78">
        <v>291</v>
      </c>
      <c r="C297" s="114" t="s">
        <v>470</v>
      </c>
      <c r="D297" s="33">
        <v>832</v>
      </c>
      <c r="E297" s="103">
        <f>'66 SYANA PRAROOP-20'!C298</f>
        <v>25</v>
      </c>
      <c r="F297" s="103">
        <f>'66 SYANA PRAROOP-20'!D298</f>
        <v>669</v>
      </c>
      <c r="G297" s="103">
        <f>'66 SYANA PRAROOP-20'!E298</f>
        <v>9</v>
      </c>
      <c r="H297" s="103">
        <f>'66 SYANA PRAROOP-20'!F298</f>
        <v>103</v>
      </c>
      <c r="I297" s="103">
        <f>'66 SYANA PRAROOP-20'!G298</f>
        <v>4</v>
      </c>
      <c r="J297" s="103">
        <f>'66 SYANA PRAROOP-20'!H298</f>
        <v>3</v>
      </c>
      <c r="K297" s="103">
        <f>'66 SYANA PRAROOP-20'!I298</f>
        <v>7</v>
      </c>
      <c r="L297" s="103">
        <f>'66 SYANA PRAROOP-20'!J298</f>
        <v>7</v>
      </c>
      <c r="M297" s="78">
        <f t="shared" si="8"/>
        <v>827</v>
      </c>
      <c r="N297" s="103">
        <v>0</v>
      </c>
      <c r="O297" s="103">
        <f>'66 SYANA PRAROOP-20'!M298</f>
        <v>5</v>
      </c>
      <c r="P297" s="78">
        <f t="shared" si="9"/>
        <v>832</v>
      </c>
      <c r="Q297" s="103">
        <v>0</v>
      </c>
    </row>
    <row r="298" spans="2:17" ht="18.75">
      <c r="B298" s="78">
        <v>292</v>
      </c>
      <c r="C298" s="114" t="s">
        <v>471</v>
      </c>
      <c r="D298" s="33">
        <v>262</v>
      </c>
      <c r="E298" s="103">
        <f>'66 SYANA PRAROOP-20'!C299</f>
        <v>23</v>
      </c>
      <c r="F298" s="103">
        <f>'66 SYANA PRAROOP-20'!D299</f>
        <v>196</v>
      </c>
      <c r="G298" s="103">
        <f>'66 SYANA PRAROOP-20'!E299</f>
        <v>15</v>
      </c>
      <c r="H298" s="103">
        <f>'66 SYANA PRAROOP-20'!F299</f>
        <v>24</v>
      </c>
      <c r="I298" s="103">
        <f>'66 SYANA PRAROOP-20'!G299</f>
        <v>0</v>
      </c>
      <c r="J298" s="103">
        <f>'66 SYANA PRAROOP-20'!H299</f>
        <v>0</v>
      </c>
      <c r="K298" s="103">
        <f>'66 SYANA PRAROOP-20'!I299</f>
        <v>2</v>
      </c>
      <c r="L298" s="103">
        <f>'66 SYANA PRAROOP-20'!J299</f>
        <v>1</v>
      </c>
      <c r="M298" s="78">
        <f t="shared" si="8"/>
        <v>261</v>
      </c>
      <c r="N298" s="103">
        <v>0</v>
      </c>
      <c r="O298" s="103">
        <f>'66 SYANA PRAROOP-20'!M299</f>
        <v>1</v>
      </c>
      <c r="P298" s="78">
        <f t="shared" si="9"/>
        <v>262</v>
      </c>
      <c r="Q298" s="103">
        <v>0</v>
      </c>
    </row>
    <row r="299" spans="2:17" ht="18.75">
      <c r="B299" s="78">
        <v>293</v>
      </c>
      <c r="C299" s="114" t="s">
        <v>472</v>
      </c>
      <c r="D299" s="33">
        <v>311</v>
      </c>
      <c r="E299" s="103">
        <f>'66 SYANA PRAROOP-20'!C300</f>
        <v>38</v>
      </c>
      <c r="F299" s="103">
        <f>'66 SYANA PRAROOP-20'!D300</f>
        <v>94</v>
      </c>
      <c r="G299" s="103">
        <f>'66 SYANA PRAROOP-20'!E300</f>
        <v>70</v>
      </c>
      <c r="H299" s="103">
        <f>'66 SYANA PRAROOP-20'!F300</f>
        <v>104</v>
      </c>
      <c r="I299" s="103">
        <f>'66 SYANA PRAROOP-20'!G300</f>
        <v>1</v>
      </c>
      <c r="J299" s="103">
        <f>'66 SYANA PRAROOP-20'!H300</f>
        <v>1</v>
      </c>
      <c r="K299" s="103">
        <f>'66 SYANA PRAROOP-20'!I300</f>
        <v>1</v>
      </c>
      <c r="L299" s="103">
        <f>'66 SYANA PRAROOP-20'!J300</f>
        <v>0</v>
      </c>
      <c r="M299" s="78">
        <f t="shared" si="8"/>
        <v>309</v>
      </c>
      <c r="N299" s="103">
        <v>0</v>
      </c>
      <c r="O299" s="103">
        <f>'66 SYANA PRAROOP-20'!M300</f>
        <v>2</v>
      </c>
      <c r="P299" s="78">
        <f t="shared" si="9"/>
        <v>311</v>
      </c>
      <c r="Q299" s="103">
        <v>0</v>
      </c>
    </row>
    <row r="300" spans="2:17" ht="18.75">
      <c r="B300" s="78">
        <v>294</v>
      </c>
      <c r="C300" s="114" t="s">
        <v>473</v>
      </c>
      <c r="D300" s="33">
        <v>612</v>
      </c>
      <c r="E300" s="103">
        <f>'66 SYANA PRAROOP-20'!C301</f>
        <v>179</v>
      </c>
      <c r="F300" s="103">
        <f>'66 SYANA PRAROOP-20'!D301</f>
        <v>300</v>
      </c>
      <c r="G300" s="103">
        <f>'66 SYANA PRAROOP-20'!E301</f>
        <v>11</v>
      </c>
      <c r="H300" s="103">
        <f>'66 SYANA PRAROOP-20'!F301</f>
        <v>115</v>
      </c>
      <c r="I300" s="103">
        <f>'66 SYANA PRAROOP-20'!G301</f>
        <v>2</v>
      </c>
      <c r="J300" s="103">
        <f>'66 SYANA PRAROOP-20'!H301</f>
        <v>1</v>
      </c>
      <c r="K300" s="103">
        <f>'66 SYANA PRAROOP-20'!I301</f>
        <v>1</v>
      </c>
      <c r="L300" s="103">
        <f>'66 SYANA PRAROOP-20'!J301</f>
        <v>1</v>
      </c>
      <c r="M300" s="78">
        <f t="shared" si="8"/>
        <v>610</v>
      </c>
      <c r="N300" s="103">
        <v>0</v>
      </c>
      <c r="O300" s="103">
        <f>'66 SYANA PRAROOP-20'!M301</f>
        <v>2</v>
      </c>
      <c r="P300" s="78">
        <f t="shared" si="9"/>
        <v>612</v>
      </c>
      <c r="Q300" s="103">
        <v>0</v>
      </c>
    </row>
    <row r="301" spans="2:17" ht="18.75">
      <c r="B301" s="78">
        <v>295</v>
      </c>
      <c r="C301" s="114" t="s">
        <v>474</v>
      </c>
      <c r="D301" s="33">
        <v>354</v>
      </c>
      <c r="E301" s="103">
        <f>'66 SYANA PRAROOP-20'!C302</f>
        <v>54</v>
      </c>
      <c r="F301" s="103">
        <f>'66 SYANA PRAROOP-20'!D302</f>
        <v>107</v>
      </c>
      <c r="G301" s="103">
        <f>'66 SYANA PRAROOP-20'!E302</f>
        <v>1</v>
      </c>
      <c r="H301" s="103">
        <f>'66 SYANA PRAROOP-20'!F302</f>
        <v>189</v>
      </c>
      <c r="I301" s="103">
        <f>'66 SYANA PRAROOP-20'!G302</f>
        <v>0</v>
      </c>
      <c r="J301" s="103">
        <f>'66 SYANA PRAROOP-20'!H302</f>
        <v>1</v>
      </c>
      <c r="K301" s="103">
        <f>'66 SYANA PRAROOP-20'!I302</f>
        <v>1</v>
      </c>
      <c r="L301" s="103">
        <f>'66 SYANA PRAROOP-20'!J302</f>
        <v>0</v>
      </c>
      <c r="M301" s="78">
        <f t="shared" si="8"/>
        <v>353</v>
      </c>
      <c r="N301" s="103">
        <v>0</v>
      </c>
      <c r="O301" s="103">
        <f>'66 SYANA PRAROOP-20'!M302</f>
        <v>1</v>
      </c>
      <c r="P301" s="78">
        <f t="shared" si="9"/>
        <v>354</v>
      </c>
      <c r="Q301" s="103">
        <v>0</v>
      </c>
    </row>
    <row r="302" spans="2:17" ht="18.75">
      <c r="B302" s="78">
        <v>296</v>
      </c>
      <c r="C302" s="114" t="s">
        <v>475</v>
      </c>
      <c r="D302" s="33">
        <v>623</v>
      </c>
      <c r="E302" s="103">
        <f>'66 SYANA PRAROOP-20'!C303</f>
        <v>348</v>
      </c>
      <c r="F302" s="103">
        <f>'66 SYANA PRAROOP-20'!D303</f>
        <v>256</v>
      </c>
      <c r="G302" s="103">
        <f>'66 SYANA PRAROOP-20'!E303</f>
        <v>5</v>
      </c>
      <c r="H302" s="103">
        <f>'66 SYANA PRAROOP-20'!F303</f>
        <v>8</v>
      </c>
      <c r="I302" s="103">
        <f>'66 SYANA PRAROOP-20'!G303</f>
        <v>2</v>
      </c>
      <c r="J302" s="103">
        <f>'66 SYANA PRAROOP-20'!H303</f>
        <v>3</v>
      </c>
      <c r="K302" s="103">
        <f>'66 SYANA PRAROOP-20'!I303</f>
        <v>0</v>
      </c>
      <c r="L302" s="103">
        <f>'66 SYANA PRAROOP-20'!J303</f>
        <v>0</v>
      </c>
      <c r="M302" s="78">
        <f t="shared" si="8"/>
        <v>622</v>
      </c>
      <c r="N302" s="103">
        <v>0</v>
      </c>
      <c r="O302" s="103">
        <f>'66 SYANA PRAROOP-20'!M303</f>
        <v>1</v>
      </c>
      <c r="P302" s="78">
        <f t="shared" si="9"/>
        <v>623</v>
      </c>
      <c r="Q302" s="103">
        <v>0</v>
      </c>
    </row>
    <row r="303" spans="2:17" ht="18.75">
      <c r="B303" s="78">
        <v>297</v>
      </c>
      <c r="C303" s="114" t="s">
        <v>476</v>
      </c>
      <c r="D303" s="33">
        <v>508</v>
      </c>
      <c r="E303" s="103">
        <f>'66 SYANA PRAROOP-20'!C304</f>
        <v>119</v>
      </c>
      <c r="F303" s="103">
        <f>'66 SYANA PRAROOP-20'!D304</f>
        <v>94</v>
      </c>
      <c r="G303" s="103">
        <f>'66 SYANA PRAROOP-20'!E304</f>
        <v>4</v>
      </c>
      <c r="H303" s="103">
        <f>'66 SYANA PRAROOP-20'!F304</f>
        <v>287</v>
      </c>
      <c r="I303" s="103">
        <f>'66 SYANA PRAROOP-20'!G304</f>
        <v>1</v>
      </c>
      <c r="J303" s="103">
        <f>'66 SYANA PRAROOP-20'!H304</f>
        <v>1</v>
      </c>
      <c r="K303" s="103">
        <f>'66 SYANA PRAROOP-20'!I304</f>
        <v>2</v>
      </c>
      <c r="L303" s="103">
        <f>'66 SYANA PRAROOP-20'!J304</f>
        <v>0</v>
      </c>
      <c r="M303" s="78">
        <f t="shared" si="8"/>
        <v>508</v>
      </c>
      <c r="N303" s="103">
        <v>0</v>
      </c>
      <c r="O303" s="103">
        <f>'66 SYANA PRAROOP-20'!M304</f>
        <v>0</v>
      </c>
      <c r="P303" s="78">
        <f t="shared" si="9"/>
        <v>508</v>
      </c>
      <c r="Q303" s="103">
        <v>0</v>
      </c>
    </row>
    <row r="304" spans="2:17" ht="18.75">
      <c r="B304" s="78">
        <v>298</v>
      </c>
      <c r="C304" s="114" t="s">
        <v>477</v>
      </c>
      <c r="D304" s="33">
        <v>387</v>
      </c>
      <c r="E304" s="103">
        <f>'66 SYANA PRAROOP-20'!C305</f>
        <v>94</v>
      </c>
      <c r="F304" s="103">
        <f>'66 SYANA PRAROOP-20'!D305</f>
        <v>169</v>
      </c>
      <c r="G304" s="103">
        <f>'66 SYANA PRAROOP-20'!E305</f>
        <v>5</v>
      </c>
      <c r="H304" s="103">
        <f>'66 SYANA PRAROOP-20'!F305</f>
        <v>111</v>
      </c>
      <c r="I304" s="103">
        <f>'66 SYANA PRAROOP-20'!G305</f>
        <v>2</v>
      </c>
      <c r="J304" s="103">
        <f>'66 SYANA PRAROOP-20'!H305</f>
        <v>2</v>
      </c>
      <c r="K304" s="103">
        <f>'66 SYANA PRAROOP-20'!I305</f>
        <v>2</v>
      </c>
      <c r="L304" s="103">
        <f>'66 SYANA PRAROOP-20'!J305</f>
        <v>1</v>
      </c>
      <c r="M304" s="78">
        <f t="shared" si="8"/>
        <v>386</v>
      </c>
      <c r="N304" s="103">
        <v>0</v>
      </c>
      <c r="O304" s="103">
        <f>'66 SYANA PRAROOP-20'!M305</f>
        <v>1</v>
      </c>
      <c r="P304" s="78">
        <f t="shared" si="9"/>
        <v>387</v>
      </c>
      <c r="Q304" s="103">
        <v>0</v>
      </c>
    </row>
    <row r="305" spans="2:17" ht="18.75">
      <c r="B305" s="78">
        <v>299</v>
      </c>
      <c r="C305" s="114" t="s">
        <v>478</v>
      </c>
      <c r="D305" s="33">
        <v>658</v>
      </c>
      <c r="E305" s="103">
        <f>'66 SYANA PRAROOP-20'!C306</f>
        <v>15</v>
      </c>
      <c r="F305" s="103">
        <f>'66 SYANA PRAROOP-20'!D306</f>
        <v>514</v>
      </c>
      <c r="G305" s="103">
        <f>'66 SYANA PRAROOP-20'!E306</f>
        <v>3</v>
      </c>
      <c r="H305" s="103">
        <f>'66 SYANA PRAROOP-20'!F306</f>
        <v>110</v>
      </c>
      <c r="I305" s="103">
        <f>'66 SYANA PRAROOP-20'!G306</f>
        <v>0</v>
      </c>
      <c r="J305" s="103">
        <f>'66 SYANA PRAROOP-20'!H306</f>
        <v>3</v>
      </c>
      <c r="K305" s="103">
        <f>'66 SYANA PRAROOP-20'!I306</f>
        <v>6</v>
      </c>
      <c r="L305" s="103">
        <f>'66 SYANA PRAROOP-20'!J306</f>
        <v>4</v>
      </c>
      <c r="M305" s="78">
        <f t="shared" si="8"/>
        <v>655</v>
      </c>
      <c r="N305" s="103">
        <v>0</v>
      </c>
      <c r="O305" s="103">
        <f>'66 SYANA PRAROOP-20'!M306</f>
        <v>3</v>
      </c>
      <c r="P305" s="78">
        <f t="shared" si="9"/>
        <v>658</v>
      </c>
      <c r="Q305" s="103">
        <v>0</v>
      </c>
    </row>
    <row r="306" spans="2:17" ht="18.75">
      <c r="B306" s="78">
        <v>300</v>
      </c>
      <c r="C306" s="114" t="s">
        <v>479</v>
      </c>
      <c r="D306" s="33">
        <v>379</v>
      </c>
      <c r="E306" s="103">
        <f>'66 SYANA PRAROOP-20'!C307</f>
        <v>90</v>
      </c>
      <c r="F306" s="103">
        <f>'66 SYANA PRAROOP-20'!D307</f>
        <v>217</v>
      </c>
      <c r="G306" s="103">
        <f>'66 SYANA PRAROOP-20'!E307</f>
        <v>27</v>
      </c>
      <c r="H306" s="103">
        <f>'66 SYANA PRAROOP-20'!F307</f>
        <v>42</v>
      </c>
      <c r="I306" s="103">
        <f>'66 SYANA PRAROOP-20'!G307</f>
        <v>2</v>
      </c>
      <c r="J306" s="103">
        <f>'66 SYANA PRAROOP-20'!H307</f>
        <v>1</v>
      </c>
      <c r="K306" s="103">
        <f>'66 SYANA PRAROOP-20'!I307</f>
        <v>0</v>
      </c>
      <c r="L306" s="103">
        <f>'66 SYANA PRAROOP-20'!J307</f>
        <v>0</v>
      </c>
      <c r="M306" s="78">
        <f t="shared" si="8"/>
        <v>379</v>
      </c>
      <c r="N306" s="103">
        <v>0</v>
      </c>
      <c r="O306" s="103">
        <f>'66 SYANA PRAROOP-20'!M307</f>
        <v>0</v>
      </c>
      <c r="P306" s="78">
        <f t="shared" si="9"/>
        <v>379</v>
      </c>
      <c r="Q306" s="103">
        <v>0</v>
      </c>
    </row>
    <row r="307" spans="2:17" ht="18.75">
      <c r="B307" s="78">
        <v>301</v>
      </c>
      <c r="C307" s="114" t="s">
        <v>480</v>
      </c>
      <c r="D307" s="33">
        <v>424</v>
      </c>
      <c r="E307" s="103">
        <f>'66 SYANA PRAROOP-20'!C308</f>
        <v>103</v>
      </c>
      <c r="F307" s="103">
        <f>'66 SYANA PRAROOP-20'!D308</f>
        <v>78</v>
      </c>
      <c r="G307" s="103">
        <f>'66 SYANA PRAROOP-20'!E308</f>
        <v>5</v>
      </c>
      <c r="H307" s="103">
        <f>'66 SYANA PRAROOP-20'!F308</f>
        <v>231</v>
      </c>
      <c r="I307" s="103">
        <f>'66 SYANA PRAROOP-20'!G308</f>
        <v>1</v>
      </c>
      <c r="J307" s="103">
        <f>'66 SYANA PRAROOP-20'!H308</f>
        <v>3</v>
      </c>
      <c r="K307" s="103">
        <f>'66 SYANA PRAROOP-20'!I308</f>
        <v>1</v>
      </c>
      <c r="L307" s="103">
        <f>'66 SYANA PRAROOP-20'!J308</f>
        <v>0</v>
      </c>
      <c r="M307" s="78">
        <f t="shared" si="8"/>
        <v>422</v>
      </c>
      <c r="N307" s="103">
        <v>0</v>
      </c>
      <c r="O307" s="103">
        <f>'66 SYANA PRAROOP-20'!M308</f>
        <v>2</v>
      </c>
      <c r="P307" s="78">
        <f t="shared" si="9"/>
        <v>424</v>
      </c>
      <c r="Q307" s="103">
        <v>0</v>
      </c>
    </row>
    <row r="308" spans="2:17" ht="18.75">
      <c r="B308" s="78">
        <v>302</v>
      </c>
      <c r="C308" s="114" t="s">
        <v>481</v>
      </c>
      <c r="D308" s="33">
        <v>445</v>
      </c>
      <c r="E308" s="103">
        <f>'66 SYANA PRAROOP-20'!C309</f>
        <v>11</v>
      </c>
      <c r="F308" s="103">
        <f>'66 SYANA PRAROOP-20'!D309</f>
        <v>277</v>
      </c>
      <c r="G308" s="103">
        <f>'66 SYANA PRAROOP-20'!E309</f>
        <v>15</v>
      </c>
      <c r="H308" s="103">
        <f>'66 SYANA PRAROOP-20'!F309</f>
        <v>136</v>
      </c>
      <c r="I308" s="103">
        <f>'66 SYANA PRAROOP-20'!G309</f>
        <v>1</v>
      </c>
      <c r="J308" s="103">
        <f>'66 SYANA PRAROOP-20'!H309</f>
        <v>3</v>
      </c>
      <c r="K308" s="103">
        <f>'66 SYANA PRAROOP-20'!I309</f>
        <v>1</v>
      </c>
      <c r="L308" s="103">
        <f>'66 SYANA PRAROOP-20'!J309</f>
        <v>1</v>
      </c>
      <c r="M308" s="78">
        <f t="shared" si="8"/>
        <v>445</v>
      </c>
      <c r="N308" s="103">
        <v>0</v>
      </c>
      <c r="O308" s="103">
        <f>'66 SYANA PRAROOP-20'!M309</f>
        <v>0</v>
      </c>
      <c r="P308" s="78">
        <f t="shared" si="9"/>
        <v>445</v>
      </c>
      <c r="Q308" s="103">
        <v>0</v>
      </c>
    </row>
    <row r="309" spans="2:17" ht="18.75">
      <c r="B309" s="78">
        <v>303</v>
      </c>
      <c r="C309" s="114" t="s">
        <v>482</v>
      </c>
      <c r="D309" s="33">
        <v>469</v>
      </c>
      <c r="E309" s="103">
        <f>'66 SYANA PRAROOP-20'!C310</f>
        <v>21</v>
      </c>
      <c r="F309" s="103">
        <f>'66 SYANA PRAROOP-20'!D310</f>
        <v>414</v>
      </c>
      <c r="G309" s="103">
        <f>'66 SYANA PRAROOP-20'!E310</f>
        <v>22</v>
      </c>
      <c r="H309" s="103">
        <f>'66 SYANA PRAROOP-20'!F310</f>
        <v>4</v>
      </c>
      <c r="I309" s="103">
        <f>'66 SYANA PRAROOP-20'!G310</f>
        <v>0</v>
      </c>
      <c r="J309" s="103">
        <f>'66 SYANA PRAROOP-20'!H310</f>
        <v>0</v>
      </c>
      <c r="K309" s="103">
        <f>'66 SYANA PRAROOP-20'!I310</f>
        <v>3</v>
      </c>
      <c r="L309" s="103">
        <f>'66 SYANA PRAROOP-20'!J310</f>
        <v>3</v>
      </c>
      <c r="M309" s="78">
        <f t="shared" si="8"/>
        <v>467</v>
      </c>
      <c r="N309" s="103">
        <v>0</v>
      </c>
      <c r="O309" s="103">
        <f>'66 SYANA PRAROOP-20'!M310</f>
        <v>2</v>
      </c>
      <c r="P309" s="78">
        <f t="shared" si="9"/>
        <v>469</v>
      </c>
      <c r="Q309" s="103">
        <v>0</v>
      </c>
    </row>
    <row r="310" spans="2:17" ht="18.75">
      <c r="B310" s="78">
        <v>304</v>
      </c>
      <c r="C310" s="114" t="s">
        <v>483</v>
      </c>
      <c r="D310" s="33">
        <v>414</v>
      </c>
      <c r="E310" s="103">
        <f>'66 SYANA PRAROOP-20'!C311</f>
        <v>5</v>
      </c>
      <c r="F310" s="103">
        <f>'66 SYANA PRAROOP-20'!D311</f>
        <v>323</v>
      </c>
      <c r="G310" s="103">
        <f>'66 SYANA PRAROOP-20'!E311</f>
        <v>3</v>
      </c>
      <c r="H310" s="103">
        <f>'66 SYANA PRAROOP-20'!F311</f>
        <v>77</v>
      </c>
      <c r="I310" s="103">
        <f>'66 SYANA PRAROOP-20'!G311</f>
        <v>2</v>
      </c>
      <c r="J310" s="103">
        <f>'66 SYANA PRAROOP-20'!H311</f>
        <v>1</v>
      </c>
      <c r="K310" s="103">
        <f>'66 SYANA PRAROOP-20'!I311</f>
        <v>0</v>
      </c>
      <c r="L310" s="103">
        <f>'66 SYANA PRAROOP-20'!J311</f>
        <v>2</v>
      </c>
      <c r="M310" s="78">
        <f t="shared" si="8"/>
        <v>413</v>
      </c>
      <c r="N310" s="103">
        <v>0</v>
      </c>
      <c r="O310" s="103">
        <f>'66 SYANA PRAROOP-20'!M311</f>
        <v>1</v>
      </c>
      <c r="P310" s="78">
        <f t="shared" si="9"/>
        <v>414</v>
      </c>
      <c r="Q310" s="103">
        <v>0</v>
      </c>
    </row>
    <row r="311" spans="2:17" ht="18.75">
      <c r="B311" s="78">
        <v>305</v>
      </c>
      <c r="C311" s="114" t="s">
        <v>484</v>
      </c>
      <c r="D311" s="33">
        <v>624</v>
      </c>
      <c r="E311" s="103">
        <f>'66 SYANA PRAROOP-20'!C312</f>
        <v>4</v>
      </c>
      <c r="F311" s="103">
        <f>'66 SYANA PRAROOP-20'!D312</f>
        <v>607</v>
      </c>
      <c r="G311" s="103">
        <f>'66 SYANA PRAROOP-20'!E312</f>
        <v>4</v>
      </c>
      <c r="H311" s="103">
        <f>'66 SYANA PRAROOP-20'!F312</f>
        <v>0</v>
      </c>
      <c r="I311" s="103">
        <f>'66 SYANA PRAROOP-20'!G312</f>
        <v>1</v>
      </c>
      <c r="J311" s="103">
        <f>'66 SYANA PRAROOP-20'!H312</f>
        <v>0</v>
      </c>
      <c r="K311" s="103">
        <f>'66 SYANA PRAROOP-20'!I312</f>
        <v>0</v>
      </c>
      <c r="L311" s="103">
        <f>'66 SYANA PRAROOP-20'!J312</f>
        <v>8</v>
      </c>
      <c r="M311" s="78">
        <f t="shared" si="8"/>
        <v>624</v>
      </c>
      <c r="N311" s="103">
        <v>0</v>
      </c>
      <c r="O311" s="103">
        <f>'66 SYANA PRAROOP-20'!M312</f>
        <v>0</v>
      </c>
      <c r="P311" s="78">
        <f t="shared" si="9"/>
        <v>624</v>
      </c>
      <c r="Q311" s="103">
        <v>0</v>
      </c>
    </row>
    <row r="312" spans="2:17" ht="18.75">
      <c r="B312" s="78">
        <v>306</v>
      </c>
      <c r="C312" s="114" t="s">
        <v>485</v>
      </c>
      <c r="D312" s="33">
        <v>241</v>
      </c>
      <c r="E312" s="103">
        <f>'66 SYANA PRAROOP-20'!C313</f>
        <v>38</v>
      </c>
      <c r="F312" s="103">
        <f>'66 SYANA PRAROOP-20'!D313</f>
        <v>194</v>
      </c>
      <c r="G312" s="103">
        <f>'66 SYANA PRAROOP-20'!E313</f>
        <v>2</v>
      </c>
      <c r="H312" s="103">
        <f>'66 SYANA PRAROOP-20'!F313</f>
        <v>3</v>
      </c>
      <c r="I312" s="103">
        <f>'66 SYANA PRAROOP-20'!G313</f>
        <v>1</v>
      </c>
      <c r="J312" s="103">
        <f>'66 SYANA PRAROOP-20'!H313</f>
        <v>1</v>
      </c>
      <c r="K312" s="103">
        <f>'66 SYANA PRAROOP-20'!I313</f>
        <v>0</v>
      </c>
      <c r="L312" s="103">
        <f>'66 SYANA PRAROOP-20'!J313</f>
        <v>1</v>
      </c>
      <c r="M312" s="78">
        <f t="shared" si="8"/>
        <v>240</v>
      </c>
      <c r="N312" s="103">
        <v>0</v>
      </c>
      <c r="O312" s="103">
        <f>'66 SYANA PRAROOP-20'!M313</f>
        <v>1</v>
      </c>
      <c r="P312" s="78">
        <f t="shared" si="9"/>
        <v>241</v>
      </c>
      <c r="Q312" s="103">
        <v>0</v>
      </c>
    </row>
    <row r="313" spans="2:17" ht="18.75">
      <c r="B313" s="78">
        <v>307</v>
      </c>
      <c r="C313" s="114" t="s">
        <v>486</v>
      </c>
      <c r="D313" s="33">
        <v>641</v>
      </c>
      <c r="E313" s="103">
        <f>'66 SYANA PRAROOP-20'!C314</f>
        <v>24</v>
      </c>
      <c r="F313" s="103">
        <f>'66 SYANA PRAROOP-20'!D314</f>
        <v>592</v>
      </c>
      <c r="G313" s="103">
        <f>'66 SYANA PRAROOP-20'!E314</f>
        <v>8</v>
      </c>
      <c r="H313" s="103">
        <f>'66 SYANA PRAROOP-20'!F314</f>
        <v>4</v>
      </c>
      <c r="I313" s="103">
        <f>'66 SYANA PRAROOP-20'!G314</f>
        <v>0</v>
      </c>
      <c r="J313" s="103">
        <f>'66 SYANA PRAROOP-20'!H314</f>
        <v>1</v>
      </c>
      <c r="K313" s="103">
        <f>'66 SYANA PRAROOP-20'!I314</f>
        <v>4</v>
      </c>
      <c r="L313" s="103">
        <f>'66 SYANA PRAROOP-20'!J314</f>
        <v>3</v>
      </c>
      <c r="M313" s="78">
        <f t="shared" si="8"/>
        <v>636</v>
      </c>
      <c r="N313" s="103">
        <v>0</v>
      </c>
      <c r="O313" s="103">
        <f>'66 SYANA PRAROOP-20'!M314</f>
        <v>5</v>
      </c>
      <c r="P313" s="78">
        <f t="shared" si="9"/>
        <v>641</v>
      </c>
      <c r="Q313" s="103">
        <v>0</v>
      </c>
    </row>
    <row r="314" spans="2:17" ht="18.75">
      <c r="B314" s="78">
        <v>308</v>
      </c>
      <c r="C314" s="114" t="s">
        <v>487</v>
      </c>
      <c r="D314" s="33">
        <v>533</v>
      </c>
      <c r="E314" s="103">
        <f>'66 SYANA PRAROOP-20'!C315</f>
        <v>59</v>
      </c>
      <c r="F314" s="103">
        <f>'66 SYANA PRAROOP-20'!D315</f>
        <v>432</v>
      </c>
      <c r="G314" s="103">
        <f>'66 SYANA PRAROOP-20'!E315</f>
        <v>7</v>
      </c>
      <c r="H314" s="103">
        <f>'66 SYANA PRAROOP-20'!F315</f>
        <v>28</v>
      </c>
      <c r="I314" s="103">
        <f>'66 SYANA PRAROOP-20'!G315</f>
        <v>0</v>
      </c>
      <c r="J314" s="103">
        <f>'66 SYANA PRAROOP-20'!H315</f>
        <v>0</v>
      </c>
      <c r="K314" s="103">
        <f>'66 SYANA PRAROOP-20'!I315</f>
        <v>1</v>
      </c>
      <c r="L314" s="103">
        <f>'66 SYANA PRAROOP-20'!J315</f>
        <v>4</v>
      </c>
      <c r="M314" s="78">
        <f t="shared" si="8"/>
        <v>531</v>
      </c>
      <c r="N314" s="103">
        <v>0</v>
      </c>
      <c r="O314" s="103">
        <f>'66 SYANA PRAROOP-20'!M315</f>
        <v>2</v>
      </c>
      <c r="P314" s="78">
        <f t="shared" si="9"/>
        <v>533</v>
      </c>
      <c r="Q314" s="103">
        <v>0</v>
      </c>
    </row>
    <row r="315" spans="2:17" ht="18.75">
      <c r="B315" s="78">
        <v>309</v>
      </c>
      <c r="C315" s="114" t="s">
        <v>488</v>
      </c>
      <c r="D315" s="33">
        <v>438</v>
      </c>
      <c r="E315" s="103">
        <f>'66 SYANA PRAROOP-20'!C316</f>
        <v>80</v>
      </c>
      <c r="F315" s="103">
        <f>'66 SYANA PRAROOP-20'!D316</f>
        <v>324</v>
      </c>
      <c r="G315" s="103">
        <f>'66 SYANA PRAROOP-20'!E316</f>
        <v>4</v>
      </c>
      <c r="H315" s="103">
        <f>'66 SYANA PRAROOP-20'!F316</f>
        <v>17</v>
      </c>
      <c r="I315" s="103">
        <f>'66 SYANA PRAROOP-20'!G316</f>
        <v>1</v>
      </c>
      <c r="J315" s="103">
        <f>'66 SYANA PRAROOP-20'!H316</f>
        <v>3</v>
      </c>
      <c r="K315" s="103">
        <f>'66 SYANA PRAROOP-20'!I316</f>
        <v>2</v>
      </c>
      <c r="L315" s="103">
        <f>'66 SYANA PRAROOP-20'!J316</f>
        <v>1</v>
      </c>
      <c r="M315" s="78">
        <f t="shared" si="8"/>
        <v>432</v>
      </c>
      <c r="N315" s="103">
        <v>0</v>
      </c>
      <c r="O315" s="103">
        <f>'66 SYANA PRAROOP-20'!M316</f>
        <v>6</v>
      </c>
      <c r="P315" s="78">
        <f t="shared" si="9"/>
        <v>438</v>
      </c>
      <c r="Q315" s="103">
        <v>0</v>
      </c>
    </row>
    <row r="316" spans="2:17" ht="18.75">
      <c r="B316" s="78">
        <v>310</v>
      </c>
      <c r="C316" s="119" t="s">
        <v>632</v>
      </c>
      <c r="D316" s="33">
        <v>548</v>
      </c>
      <c r="E316" s="103">
        <f>'66 SYANA PRAROOP-20'!C317</f>
        <v>60</v>
      </c>
      <c r="F316" s="103">
        <f>'66 SYANA PRAROOP-20'!D317</f>
        <v>256</v>
      </c>
      <c r="G316" s="103">
        <f>'66 SYANA PRAROOP-20'!E317</f>
        <v>4</v>
      </c>
      <c r="H316" s="103">
        <f>'66 SYANA PRAROOP-20'!F317</f>
        <v>207</v>
      </c>
      <c r="I316" s="103">
        <f>'66 SYANA PRAROOP-20'!G317</f>
        <v>4</v>
      </c>
      <c r="J316" s="103">
        <f>'66 SYANA PRAROOP-20'!H317</f>
        <v>6</v>
      </c>
      <c r="K316" s="103">
        <f>'66 SYANA PRAROOP-20'!I317</f>
        <v>5</v>
      </c>
      <c r="L316" s="103">
        <f>'66 SYANA PRAROOP-20'!J317</f>
        <v>1</v>
      </c>
      <c r="M316" s="78">
        <f t="shared" si="8"/>
        <v>543</v>
      </c>
      <c r="N316" s="103">
        <v>0</v>
      </c>
      <c r="O316" s="103">
        <f>'66 SYANA PRAROOP-20'!M317</f>
        <v>5</v>
      </c>
      <c r="P316" s="78">
        <f t="shared" si="9"/>
        <v>548</v>
      </c>
      <c r="Q316" s="103">
        <v>0</v>
      </c>
    </row>
    <row r="317" spans="2:17" ht="18.75">
      <c r="B317" s="78">
        <v>311</v>
      </c>
      <c r="C317" s="114" t="s">
        <v>489</v>
      </c>
      <c r="D317" s="33">
        <v>415</v>
      </c>
      <c r="E317" s="103">
        <f>'66 SYANA PRAROOP-20'!C318</f>
        <v>7</v>
      </c>
      <c r="F317" s="103">
        <f>'66 SYANA PRAROOP-20'!D318</f>
        <v>304</v>
      </c>
      <c r="G317" s="103">
        <f>'66 SYANA PRAROOP-20'!E318</f>
        <v>4</v>
      </c>
      <c r="H317" s="103">
        <f>'66 SYANA PRAROOP-20'!F318</f>
        <v>97</v>
      </c>
      <c r="I317" s="103">
        <f>'66 SYANA PRAROOP-20'!G318</f>
        <v>0</v>
      </c>
      <c r="J317" s="103">
        <f>'66 SYANA PRAROOP-20'!H318</f>
        <v>1</v>
      </c>
      <c r="K317" s="103">
        <f>'66 SYANA PRAROOP-20'!I318</f>
        <v>1</v>
      </c>
      <c r="L317" s="103">
        <f>'66 SYANA PRAROOP-20'!J318</f>
        <v>0</v>
      </c>
      <c r="M317" s="78">
        <f t="shared" si="8"/>
        <v>414</v>
      </c>
      <c r="N317" s="103">
        <v>0</v>
      </c>
      <c r="O317" s="103">
        <f>'66 SYANA PRAROOP-20'!M318</f>
        <v>1</v>
      </c>
      <c r="P317" s="78">
        <f t="shared" si="9"/>
        <v>415</v>
      </c>
      <c r="Q317" s="103">
        <v>0</v>
      </c>
    </row>
    <row r="318" spans="2:17" ht="18.75">
      <c r="B318" s="78">
        <v>312</v>
      </c>
      <c r="C318" s="114" t="s">
        <v>490</v>
      </c>
      <c r="D318" s="33">
        <v>431</v>
      </c>
      <c r="E318" s="103">
        <f>'66 SYANA PRAROOP-20'!C319</f>
        <v>3</v>
      </c>
      <c r="F318" s="103">
        <f>'66 SYANA PRAROOP-20'!D319</f>
        <v>270</v>
      </c>
      <c r="G318" s="103">
        <f>'66 SYANA PRAROOP-20'!E319</f>
        <v>1</v>
      </c>
      <c r="H318" s="103">
        <f>'66 SYANA PRAROOP-20'!F319</f>
        <v>148</v>
      </c>
      <c r="I318" s="103">
        <f>'66 SYANA PRAROOP-20'!G319</f>
        <v>2</v>
      </c>
      <c r="J318" s="103">
        <f>'66 SYANA PRAROOP-20'!H319</f>
        <v>3</v>
      </c>
      <c r="K318" s="103">
        <f>'66 SYANA PRAROOP-20'!I319</f>
        <v>0</v>
      </c>
      <c r="L318" s="103">
        <f>'66 SYANA PRAROOP-20'!J319</f>
        <v>2</v>
      </c>
      <c r="M318" s="78">
        <f t="shared" si="8"/>
        <v>429</v>
      </c>
      <c r="N318" s="103">
        <v>0</v>
      </c>
      <c r="O318" s="103">
        <f>'66 SYANA PRAROOP-20'!M319</f>
        <v>2</v>
      </c>
      <c r="P318" s="78">
        <f t="shared" si="9"/>
        <v>431</v>
      </c>
      <c r="Q318" s="103">
        <v>0</v>
      </c>
    </row>
    <row r="319" spans="2:17" ht="18.75">
      <c r="B319" s="78">
        <v>313</v>
      </c>
      <c r="C319" s="114" t="s">
        <v>491</v>
      </c>
      <c r="D319" s="33">
        <v>767</v>
      </c>
      <c r="E319" s="103">
        <f>'66 SYANA PRAROOP-20'!C320</f>
        <v>25</v>
      </c>
      <c r="F319" s="103">
        <f>'66 SYANA PRAROOP-20'!D320</f>
        <v>716</v>
      </c>
      <c r="G319" s="103">
        <f>'66 SYANA PRAROOP-20'!E320</f>
        <v>4</v>
      </c>
      <c r="H319" s="103">
        <f>'66 SYANA PRAROOP-20'!F320</f>
        <v>14</v>
      </c>
      <c r="I319" s="103">
        <f>'66 SYANA PRAROOP-20'!G320</f>
        <v>0</v>
      </c>
      <c r="J319" s="103">
        <f>'66 SYANA PRAROOP-20'!H320</f>
        <v>0</v>
      </c>
      <c r="K319" s="103">
        <f>'66 SYANA PRAROOP-20'!I320</f>
        <v>3</v>
      </c>
      <c r="L319" s="103">
        <f>'66 SYANA PRAROOP-20'!J320</f>
        <v>3</v>
      </c>
      <c r="M319" s="78">
        <f t="shared" si="8"/>
        <v>765</v>
      </c>
      <c r="N319" s="103">
        <v>0</v>
      </c>
      <c r="O319" s="103">
        <f>'66 SYANA PRAROOP-20'!M320</f>
        <v>2</v>
      </c>
      <c r="P319" s="78">
        <f t="shared" si="9"/>
        <v>767</v>
      </c>
      <c r="Q319" s="103">
        <v>0</v>
      </c>
    </row>
    <row r="320" spans="2:17" ht="18.75">
      <c r="B320" s="78">
        <v>314</v>
      </c>
      <c r="C320" s="114" t="s">
        <v>492</v>
      </c>
      <c r="D320" s="33">
        <v>625</v>
      </c>
      <c r="E320" s="103">
        <f>'66 SYANA PRAROOP-20'!C321</f>
        <v>253</v>
      </c>
      <c r="F320" s="103">
        <f>'66 SYANA PRAROOP-20'!D321</f>
        <v>320</v>
      </c>
      <c r="G320" s="103">
        <f>'66 SYANA PRAROOP-20'!E321</f>
        <v>5</v>
      </c>
      <c r="H320" s="103">
        <f>'66 SYANA PRAROOP-20'!F321</f>
        <v>37</v>
      </c>
      <c r="I320" s="103">
        <f>'66 SYANA PRAROOP-20'!G321</f>
        <v>3</v>
      </c>
      <c r="J320" s="103">
        <f>'66 SYANA PRAROOP-20'!H321</f>
        <v>4</v>
      </c>
      <c r="K320" s="103">
        <f>'66 SYANA PRAROOP-20'!I321</f>
        <v>0</v>
      </c>
      <c r="L320" s="103">
        <f>'66 SYANA PRAROOP-20'!J321</f>
        <v>0</v>
      </c>
      <c r="M320" s="78">
        <f t="shared" si="8"/>
        <v>622</v>
      </c>
      <c r="N320" s="103">
        <v>0</v>
      </c>
      <c r="O320" s="103">
        <f>'66 SYANA PRAROOP-20'!M321</f>
        <v>3</v>
      </c>
      <c r="P320" s="78">
        <f t="shared" si="9"/>
        <v>625</v>
      </c>
      <c r="Q320" s="103">
        <v>0</v>
      </c>
    </row>
    <row r="321" spans="2:17" ht="18.75">
      <c r="B321" s="78">
        <v>315</v>
      </c>
      <c r="C321" s="114" t="s">
        <v>493</v>
      </c>
      <c r="D321" s="33">
        <v>490</v>
      </c>
      <c r="E321" s="103">
        <f>'66 SYANA PRAROOP-20'!C322</f>
        <v>27</v>
      </c>
      <c r="F321" s="103">
        <f>'66 SYANA PRAROOP-20'!D322</f>
        <v>330</v>
      </c>
      <c r="G321" s="103">
        <f>'66 SYANA PRAROOP-20'!E322</f>
        <v>3</v>
      </c>
      <c r="H321" s="103">
        <f>'66 SYANA PRAROOP-20'!F322</f>
        <v>122</v>
      </c>
      <c r="I321" s="103">
        <f>'66 SYANA PRAROOP-20'!G322</f>
        <v>0</v>
      </c>
      <c r="J321" s="103">
        <f>'66 SYANA PRAROOP-20'!H322</f>
        <v>3</v>
      </c>
      <c r="K321" s="103">
        <f>'66 SYANA PRAROOP-20'!I322</f>
        <v>2</v>
      </c>
      <c r="L321" s="103">
        <f>'66 SYANA PRAROOP-20'!J322</f>
        <v>0</v>
      </c>
      <c r="M321" s="78">
        <f t="shared" si="8"/>
        <v>487</v>
      </c>
      <c r="N321" s="103">
        <v>0</v>
      </c>
      <c r="O321" s="103">
        <f>'66 SYANA PRAROOP-20'!M322</f>
        <v>3</v>
      </c>
      <c r="P321" s="78">
        <f t="shared" si="9"/>
        <v>490</v>
      </c>
      <c r="Q321" s="103">
        <v>0</v>
      </c>
    </row>
    <row r="322" spans="2:17" ht="18.75">
      <c r="B322" s="78">
        <v>316</v>
      </c>
      <c r="C322" s="114" t="s">
        <v>494</v>
      </c>
      <c r="D322" s="33">
        <v>738</v>
      </c>
      <c r="E322" s="103">
        <f>'66 SYANA PRAROOP-20'!C323</f>
        <v>10</v>
      </c>
      <c r="F322" s="103">
        <f>'66 SYANA PRAROOP-20'!D323</f>
        <v>711</v>
      </c>
      <c r="G322" s="103">
        <f>'66 SYANA PRAROOP-20'!E323</f>
        <v>3</v>
      </c>
      <c r="H322" s="103">
        <f>'66 SYANA PRAROOP-20'!F323</f>
        <v>1</v>
      </c>
      <c r="I322" s="103">
        <f>'66 SYANA PRAROOP-20'!G323</f>
        <v>1</v>
      </c>
      <c r="J322" s="103">
        <f>'66 SYANA PRAROOP-20'!H323</f>
        <v>4</v>
      </c>
      <c r="K322" s="103">
        <f>'66 SYANA PRAROOP-20'!I323</f>
        <v>2</v>
      </c>
      <c r="L322" s="103">
        <f>'66 SYANA PRAROOP-20'!J323</f>
        <v>4</v>
      </c>
      <c r="M322" s="78">
        <f t="shared" si="8"/>
        <v>736</v>
      </c>
      <c r="N322" s="103">
        <v>0</v>
      </c>
      <c r="O322" s="103">
        <f>'66 SYANA PRAROOP-20'!M323</f>
        <v>2</v>
      </c>
      <c r="P322" s="78">
        <f t="shared" si="9"/>
        <v>738</v>
      </c>
      <c r="Q322" s="103">
        <v>0</v>
      </c>
    </row>
    <row r="323" spans="2:17" ht="18.75">
      <c r="B323" s="78">
        <v>317</v>
      </c>
      <c r="C323" s="114" t="s">
        <v>495</v>
      </c>
      <c r="D323" s="33">
        <v>601</v>
      </c>
      <c r="E323" s="103">
        <f>'66 SYANA PRAROOP-20'!C324</f>
        <v>16</v>
      </c>
      <c r="F323" s="103">
        <f>'66 SYANA PRAROOP-20'!D324</f>
        <v>478</v>
      </c>
      <c r="G323" s="103">
        <f>'66 SYANA PRAROOP-20'!E324</f>
        <v>4</v>
      </c>
      <c r="H323" s="103">
        <f>'66 SYANA PRAROOP-20'!F324</f>
        <v>76</v>
      </c>
      <c r="I323" s="103">
        <f>'66 SYANA PRAROOP-20'!G324</f>
        <v>1</v>
      </c>
      <c r="J323" s="103">
        <f>'66 SYANA PRAROOP-20'!H324</f>
        <v>5</v>
      </c>
      <c r="K323" s="103">
        <f>'66 SYANA PRAROOP-20'!I324</f>
        <v>9</v>
      </c>
      <c r="L323" s="103">
        <f>'66 SYANA PRAROOP-20'!J324</f>
        <v>8</v>
      </c>
      <c r="M323" s="78">
        <f t="shared" si="8"/>
        <v>597</v>
      </c>
      <c r="N323" s="103">
        <v>0</v>
      </c>
      <c r="O323" s="103">
        <f>'66 SYANA PRAROOP-20'!M324</f>
        <v>4</v>
      </c>
      <c r="P323" s="78">
        <f t="shared" si="9"/>
        <v>601</v>
      </c>
      <c r="Q323" s="103">
        <v>0</v>
      </c>
    </row>
    <row r="324" spans="2:17" ht="18.75">
      <c r="B324" s="78">
        <v>318</v>
      </c>
      <c r="C324" s="114" t="s">
        <v>496</v>
      </c>
      <c r="D324" s="33">
        <v>647</v>
      </c>
      <c r="E324" s="103">
        <f>'66 SYANA PRAROOP-20'!C325</f>
        <v>59</v>
      </c>
      <c r="F324" s="103">
        <f>'66 SYANA PRAROOP-20'!D325</f>
        <v>256</v>
      </c>
      <c r="G324" s="103">
        <f>'66 SYANA PRAROOP-20'!E325</f>
        <v>11</v>
      </c>
      <c r="H324" s="103">
        <f>'66 SYANA PRAROOP-20'!F325</f>
        <v>297</v>
      </c>
      <c r="I324" s="103">
        <f>'66 SYANA PRAROOP-20'!G325</f>
        <v>2</v>
      </c>
      <c r="J324" s="103">
        <f>'66 SYANA PRAROOP-20'!H325</f>
        <v>4</v>
      </c>
      <c r="K324" s="103">
        <f>'66 SYANA PRAROOP-20'!I325</f>
        <v>9</v>
      </c>
      <c r="L324" s="103">
        <f>'66 SYANA PRAROOP-20'!J325</f>
        <v>3</v>
      </c>
      <c r="M324" s="78">
        <f t="shared" si="8"/>
        <v>641</v>
      </c>
      <c r="N324" s="103">
        <v>0</v>
      </c>
      <c r="O324" s="103">
        <f>'66 SYANA PRAROOP-20'!M325</f>
        <v>6</v>
      </c>
      <c r="P324" s="78">
        <f t="shared" si="9"/>
        <v>647</v>
      </c>
      <c r="Q324" s="103">
        <v>0</v>
      </c>
    </row>
    <row r="325" spans="2:17" ht="18.75">
      <c r="B325" s="78">
        <v>319</v>
      </c>
      <c r="C325" s="114" t="s">
        <v>497</v>
      </c>
      <c r="D325" s="33">
        <v>638</v>
      </c>
      <c r="E325" s="103">
        <f>'66 SYANA PRAROOP-20'!C326</f>
        <v>83</v>
      </c>
      <c r="F325" s="103">
        <f>'66 SYANA PRAROOP-20'!D326</f>
        <v>368</v>
      </c>
      <c r="G325" s="103">
        <f>'66 SYANA PRAROOP-20'!E326</f>
        <v>6</v>
      </c>
      <c r="H325" s="103">
        <f>'66 SYANA PRAROOP-20'!F326</f>
        <v>173</v>
      </c>
      <c r="I325" s="103">
        <f>'66 SYANA PRAROOP-20'!G326</f>
        <v>1</v>
      </c>
      <c r="J325" s="103">
        <f>'66 SYANA PRAROOP-20'!H326</f>
        <v>1</v>
      </c>
      <c r="K325" s="103">
        <f>'66 SYANA PRAROOP-20'!I326</f>
        <v>2</v>
      </c>
      <c r="L325" s="103">
        <f>'66 SYANA PRAROOP-20'!J326</f>
        <v>1</v>
      </c>
      <c r="M325" s="78">
        <f t="shared" si="8"/>
        <v>635</v>
      </c>
      <c r="N325" s="103">
        <v>0</v>
      </c>
      <c r="O325" s="103">
        <f>'66 SYANA PRAROOP-20'!M326</f>
        <v>3</v>
      </c>
      <c r="P325" s="78">
        <f t="shared" si="9"/>
        <v>638</v>
      </c>
      <c r="Q325" s="103">
        <v>0</v>
      </c>
    </row>
    <row r="326" spans="2:17" ht="18.75">
      <c r="B326" s="78">
        <v>320</v>
      </c>
      <c r="C326" s="114" t="s">
        <v>498</v>
      </c>
      <c r="D326" s="33">
        <v>591</v>
      </c>
      <c r="E326" s="103">
        <f>'66 SYANA PRAROOP-20'!C327</f>
        <v>37</v>
      </c>
      <c r="F326" s="103">
        <f>'66 SYANA PRAROOP-20'!D327</f>
        <v>544</v>
      </c>
      <c r="G326" s="103">
        <f>'66 SYANA PRAROOP-20'!E327</f>
        <v>1</v>
      </c>
      <c r="H326" s="103">
        <f>'66 SYANA PRAROOP-20'!F327</f>
        <v>4</v>
      </c>
      <c r="I326" s="103">
        <f>'66 SYANA PRAROOP-20'!G327</f>
        <v>0</v>
      </c>
      <c r="J326" s="103">
        <f>'66 SYANA PRAROOP-20'!H327</f>
        <v>2</v>
      </c>
      <c r="K326" s="103">
        <f>'66 SYANA PRAROOP-20'!I327</f>
        <v>0</v>
      </c>
      <c r="L326" s="103">
        <f>'66 SYANA PRAROOP-20'!J327</f>
        <v>1</v>
      </c>
      <c r="M326" s="78">
        <f t="shared" si="8"/>
        <v>589</v>
      </c>
      <c r="N326" s="103">
        <v>0</v>
      </c>
      <c r="O326" s="103">
        <f>'66 SYANA PRAROOP-20'!M327</f>
        <v>2</v>
      </c>
      <c r="P326" s="78">
        <f t="shared" si="9"/>
        <v>591</v>
      </c>
      <c r="Q326" s="103">
        <v>0</v>
      </c>
    </row>
    <row r="327" spans="2:17" ht="18.75">
      <c r="B327" s="78">
        <v>321</v>
      </c>
      <c r="C327" s="114" t="s">
        <v>499</v>
      </c>
      <c r="D327" s="33">
        <v>579</v>
      </c>
      <c r="E327" s="103">
        <f>'66 SYANA PRAROOP-20'!C328</f>
        <v>11</v>
      </c>
      <c r="F327" s="103">
        <f>'66 SYANA PRAROOP-20'!D328</f>
        <v>544</v>
      </c>
      <c r="G327" s="103">
        <f>'66 SYANA PRAROOP-20'!E328</f>
        <v>7</v>
      </c>
      <c r="H327" s="103">
        <f>'66 SYANA PRAROOP-20'!F328</f>
        <v>1</v>
      </c>
      <c r="I327" s="103">
        <f>'66 SYANA PRAROOP-20'!G328</f>
        <v>0</v>
      </c>
      <c r="J327" s="103">
        <f>'66 SYANA PRAROOP-20'!H328</f>
        <v>2</v>
      </c>
      <c r="K327" s="103">
        <f>'66 SYANA PRAROOP-20'!I328</f>
        <v>6</v>
      </c>
      <c r="L327" s="103">
        <f>'66 SYANA PRAROOP-20'!J328</f>
        <v>3</v>
      </c>
      <c r="M327" s="78">
        <f t="shared" ref="M327:M390" si="10">SUM(E327:L327)</f>
        <v>574</v>
      </c>
      <c r="N327" s="103">
        <v>0</v>
      </c>
      <c r="O327" s="103">
        <f>'66 SYANA PRAROOP-20'!M328</f>
        <v>5</v>
      </c>
      <c r="P327" s="78">
        <f t="shared" si="9"/>
        <v>579</v>
      </c>
      <c r="Q327" s="103">
        <v>0</v>
      </c>
    </row>
    <row r="328" spans="2:17" ht="18.75">
      <c r="B328" s="78">
        <v>322</v>
      </c>
      <c r="C328" s="114" t="s">
        <v>500</v>
      </c>
      <c r="D328" s="33">
        <v>531</v>
      </c>
      <c r="E328" s="103">
        <f>'66 SYANA PRAROOP-20'!C329</f>
        <v>10</v>
      </c>
      <c r="F328" s="103">
        <f>'66 SYANA PRAROOP-20'!D329</f>
        <v>510</v>
      </c>
      <c r="G328" s="103">
        <f>'66 SYANA PRAROOP-20'!E329</f>
        <v>1</v>
      </c>
      <c r="H328" s="103">
        <f>'66 SYANA PRAROOP-20'!F329</f>
        <v>0</v>
      </c>
      <c r="I328" s="103">
        <f>'66 SYANA PRAROOP-20'!G329</f>
        <v>1</v>
      </c>
      <c r="J328" s="103">
        <f>'66 SYANA PRAROOP-20'!H329</f>
        <v>2</v>
      </c>
      <c r="K328" s="103">
        <f>'66 SYANA PRAROOP-20'!I329</f>
        <v>2</v>
      </c>
      <c r="L328" s="103">
        <f>'66 SYANA PRAROOP-20'!J329</f>
        <v>3</v>
      </c>
      <c r="M328" s="78">
        <f t="shared" si="10"/>
        <v>529</v>
      </c>
      <c r="N328" s="103">
        <v>0</v>
      </c>
      <c r="O328" s="103">
        <f>'66 SYANA PRAROOP-20'!M329</f>
        <v>2</v>
      </c>
      <c r="P328" s="78">
        <f t="shared" ref="P328:P391" si="11">M328+O328-N328</f>
        <v>531</v>
      </c>
      <c r="Q328" s="103">
        <v>0</v>
      </c>
    </row>
    <row r="329" spans="2:17" ht="18.75">
      <c r="B329" s="78">
        <v>323</v>
      </c>
      <c r="C329" s="116" t="s">
        <v>633</v>
      </c>
      <c r="D329" s="33">
        <v>810</v>
      </c>
      <c r="E329" s="103">
        <f>'66 SYANA PRAROOP-20'!C330</f>
        <v>21</v>
      </c>
      <c r="F329" s="103">
        <f>'66 SYANA PRAROOP-20'!D330</f>
        <v>599</v>
      </c>
      <c r="G329" s="103">
        <f>'66 SYANA PRAROOP-20'!E330</f>
        <v>15</v>
      </c>
      <c r="H329" s="103">
        <f>'66 SYANA PRAROOP-20'!F330</f>
        <v>126</v>
      </c>
      <c r="I329" s="103">
        <f>'66 SYANA PRAROOP-20'!G330</f>
        <v>4</v>
      </c>
      <c r="J329" s="103">
        <f>'66 SYANA PRAROOP-20'!H330</f>
        <v>6</v>
      </c>
      <c r="K329" s="103">
        <f>'66 SYANA PRAROOP-20'!I330</f>
        <v>11</v>
      </c>
      <c r="L329" s="103">
        <f>'66 SYANA PRAROOP-20'!J330</f>
        <v>8</v>
      </c>
      <c r="M329" s="78">
        <f t="shared" si="10"/>
        <v>790</v>
      </c>
      <c r="N329" s="103">
        <v>0</v>
      </c>
      <c r="O329" s="103">
        <f>'66 SYANA PRAROOP-20'!M330</f>
        <v>20</v>
      </c>
      <c r="P329" s="78">
        <f t="shared" si="11"/>
        <v>810</v>
      </c>
      <c r="Q329" s="103">
        <v>0</v>
      </c>
    </row>
    <row r="330" spans="2:17" ht="18.75">
      <c r="B330" s="78">
        <v>324</v>
      </c>
      <c r="C330" s="114" t="s">
        <v>501</v>
      </c>
      <c r="D330" s="33">
        <v>561</v>
      </c>
      <c r="E330" s="103">
        <f>'66 SYANA PRAROOP-20'!C331</f>
        <v>12</v>
      </c>
      <c r="F330" s="103">
        <f>'66 SYANA PRAROOP-20'!D331</f>
        <v>471</v>
      </c>
      <c r="G330" s="103">
        <f>'66 SYANA PRAROOP-20'!E331</f>
        <v>5</v>
      </c>
      <c r="H330" s="103">
        <f>'66 SYANA PRAROOP-20'!F331</f>
        <v>60</v>
      </c>
      <c r="I330" s="103">
        <f>'66 SYANA PRAROOP-20'!G331</f>
        <v>2</v>
      </c>
      <c r="J330" s="103">
        <f>'66 SYANA PRAROOP-20'!H331</f>
        <v>4</v>
      </c>
      <c r="K330" s="103">
        <f>'66 SYANA PRAROOP-20'!I331</f>
        <v>5</v>
      </c>
      <c r="L330" s="103">
        <f>'66 SYANA PRAROOP-20'!J331</f>
        <v>0</v>
      </c>
      <c r="M330" s="78">
        <f t="shared" si="10"/>
        <v>559</v>
      </c>
      <c r="N330" s="103">
        <v>0</v>
      </c>
      <c r="O330" s="103">
        <f>'66 SYANA PRAROOP-20'!M331</f>
        <v>2</v>
      </c>
      <c r="P330" s="78">
        <f t="shared" si="11"/>
        <v>561</v>
      </c>
      <c r="Q330" s="103">
        <v>0</v>
      </c>
    </row>
    <row r="331" spans="2:17" ht="18.75">
      <c r="B331" s="78">
        <v>325</v>
      </c>
      <c r="C331" s="114" t="s">
        <v>502</v>
      </c>
      <c r="D331" s="33">
        <v>583</v>
      </c>
      <c r="E331" s="103">
        <f>'66 SYANA PRAROOP-20'!C332</f>
        <v>6</v>
      </c>
      <c r="F331" s="103">
        <f>'66 SYANA PRAROOP-20'!D332</f>
        <v>548</v>
      </c>
      <c r="G331" s="103">
        <f>'66 SYANA PRAROOP-20'!E332</f>
        <v>5</v>
      </c>
      <c r="H331" s="103">
        <f>'66 SYANA PRAROOP-20'!F332</f>
        <v>8</v>
      </c>
      <c r="I331" s="103">
        <f>'66 SYANA PRAROOP-20'!G332</f>
        <v>1</v>
      </c>
      <c r="J331" s="103">
        <f>'66 SYANA PRAROOP-20'!H332</f>
        <v>6</v>
      </c>
      <c r="K331" s="103">
        <f>'66 SYANA PRAROOP-20'!I332</f>
        <v>2</v>
      </c>
      <c r="L331" s="103">
        <f>'66 SYANA PRAROOP-20'!J332</f>
        <v>4</v>
      </c>
      <c r="M331" s="78">
        <f t="shared" si="10"/>
        <v>580</v>
      </c>
      <c r="N331" s="103">
        <v>0</v>
      </c>
      <c r="O331" s="103">
        <f>'66 SYANA PRAROOP-20'!M332</f>
        <v>3</v>
      </c>
      <c r="P331" s="78">
        <f t="shared" si="11"/>
        <v>583</v>
      </c>
      <c r="Q331" s="103">
        <v>0</v>
      </c>
    </row>
    <row r="332" spans="2:17" ht="18.75">
      <c r="B332" s="78">
        <v>326</v>
      </c>
      <c r="C332" s="116" t="s">
        <v>634</v>
      </c>
      <c r="D332" s="33">
        <v>585</v>
      </c>
      <c r="E332" s="103">
        <f>'66 SYANA PRAROOP-20'!C333</f>
        <v>41</v>
      </c>
      <c r="F332" s="103">
        <f>'66 SYANA PRAROOP-20'!D333</f>
        <v>527</v>
      </c>
      <c r="G332" s="103">
        <f>'66 SYANA PRAROOP-20'!E333</f>
        <v>3</v>
      </c>
      <c r="H332" s="103">
        <f>'66 SYANA PRAROOP-20'!F333</f>
        <v>2</v>
      </c>
      <c r="I332" s="103">
        <f>'66 SYANA PRAROOP-20'!G333</f>
        <v>3</v>
      </c>
      <c r="J332" s="103">
        <f>'66 SYANA PRAROOP-20'!H333</f>
        <v>3</v>
      </c>
      <c r="K332" s="103">
        <f>'66 SYANA PRAROOP-20'!I333</f>
        <v>2</v>
      </c>
      <c r="L332" s="103">
        <f>'66 SYANA PRAROOP-20'!J333</f>
        <v>3</v>
      </c>
      <c r="M332" s="78">
        <f t="shared" si="10"/>
        <v>584</v>
      </c>
      <c r="N332" s="103">
        <v>0</v>
      </c>
      <c r="O332" s="103">
        <f>'66 SYANA PRAROOP-20'!M333</f>
        <v>1</v>
      </c>
      <c r="P332" s="78">
        <f t="shared" si="11"/>
        <v>585</v>
      </c>
      <c r="Q332" s="103">
        <v>0</v>
      </c>
    </row>
    <row r="333" spans="2:17" ht="18.75">
      <c r="B333" s="78">
        <v>327</v>
      </c>
      <c r="C333" s="114" t="s">
        <v>503</v>
      </c>
      <c r="D333" s="33">
        <v>586</v>
      </c>
      <c r="E333" s="103">
        <f>'66 SYANA PRAROOP-20'!C334</f>
        <v>10</v>
      </c>
      <c r="F333" s="103">
        <f>'66 SYANA PRAROOP-20'!D334</f>
        <v>446</v>
      </c>
      <c r="G333" s="103">
        <f>'66 SYANA PRAROOP-20'!E334</f>
        <v>9</v>
      </c>
      <c r="H333" s="103">
        <f>'66 SYANA PRAROOP-20'!F334</f>
        <v>107</v>
      </c>
      <c r="I333" s="103">
        <f>'66 SYANA PRAROOP-20'!G334</f>
        <v>0</v>
      </c>
      <c r="J333" s="103">
        <f>'66 SYANA PRAROOP-20'!H334</f>
        <v>10</v>
      </c>
      <c r="K333" s="103">
        <f>'66 SYANA PRAROOP-20'!I334</f>
        <v>0</v>
      </c>
      <c r="L333" s="103">
        <f>'66 SYANA PRAROOP-20'!J334</f>
        <v>3</v>
      </c>
      <c r="M333" s="78">
        <f t="shared" si="10"/>
        <v>585</v>
      </c>
      <c r="N333" s="103">
        <v>0</v>
      </c>
      <c r="O333" s="103">
        <f>'66 SYANA PRAROOP-20'!M334</f>
        <v>1</v>
      </c>
      <c r="P333" s="78">
        <f t="shared" si="11"/>
        <v>586</v>
      </c>
      <c r="Q333" s="103">
        <v>0</v>
      </c>
    </row>
    <row r="334" spans="2:17" ht="18.75">
      <c r="B334" s="78">
        <v>328</v>
      </c>
      <c r="C334" s="114" t="s">
        <v>504</v>
      </c>
      <c r="D334" s="33">
        <v>653</v>
      </c>
      <c r="E334" s="103">
        <f>'66 SYANA PRAROOP-20'!C335</f>
        <v>95</v>
      </c>
      <c r="F334" s="103">
        <f>'66 SYANA PRAROOP-20'!D335</f>
        <v>405</v>
      </c>
      <c r="G334" s="103">
        <f>'66 SYANA PRAROOP-20'!E335</f>
        <v>23</v>
      </c>
      <c r="H334" s="103">
        <f>'66 SYANA PRAROOP-20'!F335</f>
        <v>107</v>
      </c>
      <c r="I334" s="103">
        <f>'66 SYANA PRAROOP-20'!G335</f>
        <v>2</v>
      </c>
      <c r="J334" s="103">
        <f>'66 SYANA PRAROOP-20'!H335</f>
        <v>4</v>
      </c>
      <c r="K334" s="103">
        <f>'66 SYANA PRAROOP-20'!I335</f>
        <v>5</v>
      </c>
      <c r="L334" s="103">
        <f>'66 SYANA PRAROOP-20'!J335</f>
        <v>3</v>
      </c>
      <c r="M334" s="78">
        <f t="shared" si="10"/>
        <v>644</v>
      </c>
      <c r="N334" s="103">
        <v>0</v>
      </c>
      <c r="O334" s="103">
        <f>'66 SYANA PRAROOP-20'!M335</f>
        <v>9</v>
      </c>
      <c r="P334" s="78">
        <f t="shared" si="11"/>
        <v>653</v>
      </c>
      <c r="Q334" s="103">
        <v>0</v>
      </c>
    </row>
    <row r="335" spans="2:17" ht="18.75">
      <c r="B335" s="78">
        <v>329</v>
      </c>
      <c r="C335" s="114" t="s">
        <v>505</v>
      </c>
      <c r="D335" s="33">
        <v>376</v>
      </c>
      <c r="E335" s="103">
        <f>'66 SYANA PRAROOP-20'!C336</f>
        <v>13</v>
      </c>
      <c r="F335" s="103">
        <f>'66 SYANA PRAROOP-20'!D336</f>
        <v>353</v>
      </c>
      <c r="G335" s="103">
        <f>'66 SYANA PRAROOP-20'!E336</f>
        <v>4</v>
      </c>
      <c r="H335" s="103">
        <f>'66 SYANA PRAROOP-20'!F336</f>
        <v>1</v>
      </c>
      <c r="I335" s="103">
        <f>'66 SYANA PRAROOP-20'!G336</f>
        <v>0</v>
      </c>
      <c r="J335" s="103">
        <f>'66 SYANA PRAROOP-20'!H336</f>
        <v>1</v>
      </c>
      <c r="K335" s="103">
        <f>'66 SYANA PRAROOP-20'!I336</f>
        <v>1</v>
      </c>
      <c r="L335" s="103">
        <f>'66 SYANA PRAROOP-20'!J336</f>
        <v>2</v>
      </c>
      <c r="M335" s="78">
        <f t="shared" si="10"/>
        <v>375</v>
      </c>
      <c r="N335" s="103">
        <v>0</v>
      </c>
      <c r="O335" s="103">
        <f>'66 SYANA PRAROOP-20'!M336</f>
        <v>1</v>
      </c>
      <c r="P335" s="78">
        <f t="shared" si="11"/>
        <v>376</v>
      </c>
      <c r="Q335" s="103">
        <v>0</v>
      </c>
    </row>
    <row r="336" spans="2:17" ht="18.75">
      <c r="B336" s="78">
        <v>330</v>
      </c>
      <c r="C336" s="114" t="s">
        <v>506</v>
      </c>
      <c r="D336" s="33">
        <v>454</v>
      </c>
      <c r="E336" s="103">
        <f>'66 SYANA PRAROOP-20'!C337</f>
        <v>113</v>
      </c>
      <c r="F336" s="103">
        <f>'66 SYANA PRAROOP-20'!D337</f>
        <v>324</v>
      </c>
      <c r="G336" s="103">
        <f>'66 SYANA PRAROOP-20'!E337</f>
        <v>4</v>
      </c>
      <c r="H336" s="103">
        <f>'66 SYANA PRAROOP-20'!F337</f>
        <v>6</v>
      </c>
      <c r="I336" s="103">
        <f>'66 SYANA PRAROOP-20'!G337</f>
        <v>0</v>
      </c>
      <c r="J336" s="103">
        <f>'66 SYANA PRAROOP-20'!H337</f>
        <v>0</v>
      </c>
      <c r="K336" s="103">
        <f>'66 SYANA PRAROOP-20'!I337</f>
        <v>1</v>
      </c>
      <c r="L336" s="103">
        <f>'66 SYANA PRAROOP-20'!J337</f>
        <v>3</v>
      </c>
      <c r="M336" s="78">
        <f t="shared" si="10"/>
        <v>451</v>
      </c>
      <c r="N336" s="103">
        <v>0</v>
      </c>
      <c r="O336" s="103">
        <f>'66 SYANA PRAROOP-20'!M337</f>
        <v>3</v>
      </c>
      <c r="P336" s="78">
        <f t="shared" si="11"/>
        <v>454</v>
      </c>
      <c r="Q336" s="103">
        <v>0</v>
      </c>
    </row>
    <row r="337" spans="2:17" ht="18.75">
      <c r="B337" s="78">
        <v>331</v>
      </c>
      <c r="C337" s="114" t="s">
        <v>507</v>
      </c>
      <c r="D337" s="33">
        <v>444</v>
      </c>
      <c r="E337" s="103">
        <f>'66 SYANA PRAROOP-20'!C338</f>
        <v>334</v>
      </c>
      <c r="F337" s="103">
        <f>'66 SYANA PRAROOP-20'!D338</f>
        <v>10</v>
      </c>
      <c r="G337" s="103">
        <f>'66 SYANA PRAROOP-20'!E338</f>
        <v>0</v>
      </c>
      <c r="H337" s="103">
        <f>'66 SYANA PRAROOP-20'!F338</f>
        <v>96</v>
      </c>
      <c r="I337" s="103">
        <f>'66 SYANA PRAROOP-20'!G338</f>
        <v>1</v>
      </c>
      <c r="J337" s="103">
        <f>'66 SYANA PRAROOP-20'!H338</f>
        <v>0</v>
      </c>
      <c r="K337" s="103">
        <f>'66 SYANA PRAROOP-20'!I338</f>
        <v>0</v>
      </c>
      <c r="L337" s="103">
        <f>'66 SYANA PRAROOP-20'!J338</f>
        <v>1</v>
      </c>
      <c r="M337" s="78">
        <f t="shared" si="10"/>
        <v>442</v>
      </c>
      <c r="N337" s="103">
        <v>0</v>
      </c>
      <c r="O337" s="103">
        <f>'66 SYANA PRAROOP-20'!M338</f>
        <v>2</v>
      </c>
      <c r="P337" s="78">
        <f t="shared" si="11"/>
        <v>444</v>
      </c>
      <c r="Q337" s="103">
        <v>0</v>
      </c>
    </row>
    <row r="338" spans="2:17" ht="18.75">
      <c r="B338" s="78">
        <v>332</v>
      </c>
      <c r="C338" s="114" t="s">
        <v>508</v>
      </c>
      <c r="D338" s="33">
        <v>688</v>
      </c>
      <c r="E338" s="103">
        <f>'66 SYANA PRAROOP-20'!C339</f>
        <v>52</v>
      </c>
      <c r="F338" s="103">
        <f>'66 SYANA PRAROOP-20'!D339</f>
        <v>251</v>
      </c>
      <c r="G338" s="103">
        <f>'66 SYANA PRAROOP-20'!E339</f>
        <v>15</v>
      </c>
      <c r="H338" s="103">
        <f>'66 SYANA PRAROOP-20'!F339</f>
        <v>340</v>
      </c>
      <c r="I338" s="103">
        <f>'66 SYANA PRAROOP-20'!G339</f>
        <v>3</v>
      </c>
      <c r="J338" s="103">
        <f>'66 SYANA PRAROOP-20'!H339</f>
        <v>11</v>
      </c>
      <c r="K338" s="103">
        <f>'66 SYANA PRAROOP-20'!I339</f>
        <v>2</v>
      </c>
      <c r="L338" s="103">
        <f>'66 SYANA PRAROOP-20'!J339</f>
        <v>8</v>
      </c>
      <c r="M338" s="78">
        <f t="shared" si="10"/>
        <v>682</v>
      </c>
      <c r="N338" s="103">
        <v>0</v>
      </c>
      <c r="O338" s="103">
        <f>'66 SYANA PRAROOP-20'!M339</f>
        <v>6</v>
      </c>
      <c r="P338" s="78">
        <f t="shared" si="11"/>
        <v>688</v>
      </c>
      <c r="Q338" s="103">
        <v>0</v>
      </c>
    </row>
    <row r="339" spans="2:17" ht="18.75">
      <c r="B339" s="78">
        <v>333</v>
      </c>
      <c r="C339" s="114" t="s">
        <v>509</v>
      </c>
      <c r="D339" s="33">
        <v>398</v>
      </c>
      <c r="E339" s="103">
        <f>'66 SYANA PRAROOP-20'!C340</f>
        <v>57</v>
      </c>
      <c r="F339" s="103">
        <f>'66 SYANA PRAROOP-20'!D340</f>
        <v>37</v>
      </c>
      <c r="G339" s="103">
        <f>'66 SYANA PRAROOP-20'!E340</f>
        <v>8</v>
      </c>
      <c r="H339" s="103">
        <f>'66 SYANA PRAROOP-20'!F340</f>
        <v>287</v>
      </c>
      <c r="I339" s="103">
        <f>'66 SYANA PRAROOP-20'!G340</f>
        <v>2</v>
      </c>
      <c r="J339" s="103">
        <f>'66 SYANA PRAROOP-20'!H340</f>
        <v>2</v>
      </c>
      <c r="K339" s="103">
        <f>'66 SYANA PRAROOP-20'!I340</f>
        <v>1</v>
      </c>
      <c r="L339" s="103">
        <f>'66 SYANA PRAROOP-20'!J340</f>
        <v>2</v>
      </c>
      <c r="M339" s="78">
        <f t="shared" si="10"/>
        <v>396</v>
      </c>
      <c r="N339" s="103">
        <v>0</v>
      </c>
      <c r="O339" s="103">
        <f>'66 SYANA PRAROOP-20'!M340</f>
        <v>2</v>
      </c>
      <c r="P339" s="78">
        <f t="shared" si="11"/>
        <v>398</v>
      </c>
      <c r="Q339" s="103">
        <v>0</v>
      </c>
    </row>
    <row r="340" spans="2:17" ht="18.75">
      <c r="B340" s="78">
        <v>334</v>
      </c>
      <c r="C340" s="114" t="s">
        <v>510</v>
      </c>
      <c r="D340" s="33">
        <v>373</v>
      </c>
      <c r="E340" s="103">
        <f>'66 SYANA PRAROOP-20'!C341</f>
        <v>11</v>
      </c>
      <c r="F340" s="103">
        <f>'66 SYANA PRAROOP-20'!D341</f>
        <v>339</v>
      </c>
      <c r="G340" s="103">
        <f>'66 SYANA PRAROOP-20'!E341</f>
        <v>9</v>
      </c>
      <c r="H340" s="103">
        <f>'66 SYANA PRAROOP-20'!F341</f>
        <v>0</v>
      </c>
      <c r="I340" s="103">
        <f>'66 SYANA PRAROOP-20'!G341</f>
        <v>6</v>
      </c>
      <c r="J340" s="103">
        <f>'66 SYANA PRAROOP-20'!H341</f>
        <v>6</v>
      </c>
      <c r="K340" s="103">
        <f>'66 SYANA PRAROOP-20'!I341</f>
        <v>2</v>
      </c>
      <c r="L340" s="103">
        <f>'66 SYANA PRAROOP-20'!J341</f>
        <v>0</v>
      </c>
      <c r="M340" s="78">
        <f t="shared" si="10"/>
        <v>373</v>
      </c>
      <c r="N340" s="103">
        <v>0</v>
      </c>
      <c r="O340" s="103">
        <f>'66 SYANA PRAROOP-20'!M341</f>
        <v>0</v>
      </c>
      <c r="P340" s="78">
        <f t="shared" si="11"/>
        <v>373</v>
      </c>
      <c r="Q340" s="103">
        <v>0</v>
      </c>
    </row>
    <row r="341" spans="2:17" ht="18.75">
      <c r="B341" s="78">
        <v>335</v>
      </c>
      <c r="C341" s="114" t="s">
        <v>511</v>
      </c>
      <c r="D341" s="33">
        <v>287</v>
      </c>
      <c r="E341" s="103">
        <f>'66 SYANA PRAROOP-20'!C342</f>
        <v>1</v>
      </c>
      <c r="F341" s="103">
        <f>'66 SYANA PRAROOP-20'!D342</f>
        <v>260</v>
      </c>
      <c r="G341" s="103">
        <f>'66 SYANA PRAROOP-20'!E342</f>
        <v>0</v>
      </c>
      <c r="H341" s="103">
        <f>'66 SYANA PRAROOP-20'!F342</f>
        <v>7</v>
      </c>
      <c r="I341" s="103">
        <f>'66 SYANA PRAROOP-20'!G342</f>
        <v>8</v>
      </c>
      <c r="J341" s="103">
        <f>'66 SYANA PRAROOP-20'!H342</f>
        <v>5</v>
      </c>
      <c r="K341" s="103">
        <f>'66 SYANA PRAROOP-20'!I342</f>
        <v>1</v>
      </c>
      <c r="L341" s="103">
        <f>'66 SYANA PRAROOP-20'!J342</f>
        <v>2</v>
      </c>
      <c r="M341" s="78">
        <f t="shared" si="10"/>
        <v>284</v>
      </c>
      <c r="N341" s="103">
        <v>0</v>
      </c>
      <c r="O341" s="103">
        <f>'66 SYANA PRAROOP-20'!M342</f>
        <v>3</v>
      </c>
      <c r="P341" s="78">
        <f t="shared" si="11"/>
        <v>287</v>
      </c>
      <c r="Q341" s="103">
        <v>0</v>
      </c>
    </row>
    <row r="342" spans="2:17" ht="18.75">
      <c r="B342" s="78">
        <v>336</v>
      </c>
      <c r="C342" s="114" t="s">
        <v>512</v>
      </c>
      <c r="D342" s="33">
        <v>414</v>
      </c>
      <c r="E342" s="103">
        <f>'66 SYANA PRAROOP-20'!C343</f>
        <v>11</v>
      </c>
      <c r="F342" s="103">
        <f>'66 SYANA PRAROOP-20'!D343</f>
        <v>360</v>
      </c>
      <c r="G342" s="103">
        <f>'66 SYANA PRAROOP-20'!E343</f>
        <v>4</v>
      </c>
      <c r="H342" s="103">
        <f>'66 SYANA PRAROOP-20'!F343</f>
        <v>34</v>
      </c>
      <c r="I342" s="103">
        <f>'66 SYANA PRAROOP-20'!G343</f>
        <v>1</v>
      </c>
      <c r="J342" s="103">
        <f>'66 SYANA PRAROOP-20'!H343</f>
        <v>1</v>
      </c>
      <c r="K342" s="103">
        <f>'66 SYANA PRAROOP-20'!I343</f>
        <v>2</v>
      </c>
      <c r="L342" s="103">
        <f>'66 SYANA PRAROOP-20'!J343</f>
        <v>0</v>
      </c>
      <c r="M342" s="78">
        <f t="shared" si="10"/>
        <v>413</v>
      </c>
      <c r="N342" s="103">
        <v>0</v>
      </c>
      <c r="O342" s="103">
        <f>'66 SYANA PRAROOP-20'!M343</f>
        <v>1</v>
      </c>
      <c r="P342" s="78">
        <f t="shared" si="11"/>
        <v>414</v>
      </c>
      <c r="Q342" s="103">
        <v>0</v>
      </c>
    </row>
    <row r="343" spans="2:17" ht="18.75">
      <c r="B343" s="78">
        <v>337</v>
      </c>
      <c r="C343" s="114" t="s">
        <v>513</v>
      </c>
      <c r="D343" s="33">
        <v>495</v>
      </c>
      <c r="E343" s="103">
        <f>'66 SYANA PRAROOP-20'!C344</f>
        <v>71</v>
      </c>
      <c r="F343" s="103">
        <f>'66 SYANA PRAROOP-20'!D344</f>
        <v>281</v>
      </c>
      <c r="G343" s="103">
        <f>'66 SYANA PRAROOP-20'!E344</f>
        <v>3</v>
      </c>
      <c r="H343" s="103">
        <f>'66 SYANA PRAROOP-20'!F344</f>
        <v>135</v>
      </c>
      <c r="I343" s="103">
        <f>'66 SYANA PRAROOP-20'!G344</f>
        <v>2</v>
      </c>
      <c r="J343" s="103">
        <f>'66 SYANA PRAROOP-20'!H344</f>
        <v>1</v>
      </c>
      <c r="K343" s="103">
        <f>'66 SYANA PRAROOP-20'!I344</f>
        <v>1</v>
      </c>
      <c r="L343" s="103">
        <f>'66 SYANA PRAROOP-20'!J344</f>
        <v>0</v>
      </c>
      <c r="M343" s="78">
        <f t="shared" si="10"/>
        <v>494</v>
      </c>
      <c r="N343" s="103">
        <v>0</v>
      </c>
      <c r="O343" s="103">
        <f>'66 SYANA PRAROOP-20'!M344</f>
        <v>1</v>
      </c>
      <c r="P343" s="78">
        <f t="shared" si="11"/>
        <v>495</v>
      </c>
      <c r="Q343" s="103">
        <v>0</v>
      </c>
    </row>
    <row r="344" spans="2:17" ht="18.75">
      <c r="B344" s="78">
        <v>338</v>
      </c>
      <c r="C344" s="114" t="s">
        <v>514</v>
      </c>
      <c r="D344" s="33">
        <v>509</v>
      </c>
      <c r="E344" s="103">
        <f>'66 SYANA PRAROOP-20'!C345</f>
        <v>98</v>
      </c>
      <c r="F344" s="103">
        <f>'66 SYANA PRAROOP-20'!D345</f>
        <v>198</v>
      </c>
      <c r="G344" s="103">
        <f>'66 SYANA PRAROOP-20'!E345</f>
        <v>12</v>
      </c>
      <c r="H344" s="103">
        <f>'66 SYANA PRAROOP-20'!F345</f>
        <v>198</v>
      </c>
      <c r="I344" s="103">
        <f>'66 SYANA PRAROOP-20'!G345</f>
        <v>1</v>
      </c>
      <c r="J344" s="103">
        <f>'66 SYANA PRAROOP-20'!H345</f>
        <v>0</v>
      </c>
      <c r="K344" s="103">
        <f>'66 SYANA PRAROOP-20'!I345</f>
        <v>1</v>
      </c>
      <c r="L344" s="103">
        <f>'66 SYANA PRAROOP-20'!J345</f>
        <v>1</v>
      </c>
      <c r="M344" s="78">
        <f t="shared" si="10"/>
        <v>509</v>
      </c>
      <c r="N344" s="103">
        <v>0</v>
      </c>
      <c r="O344" s="103">
        <f>'66 SYANA PRAROOP-20'!M345</f>
        <v>0</v>
      </c>
      <c r="P344" s="78">
        <f t="shared" si="11"/>
        <v>509</v>
      </c>
      <c r="Q344" s="103">
        <v>0</v>
      </c>
    </row>
    <row r="345" spans="2:17" ht="18.75">
      <c r="B345" s="78">
        <v>339</v>
      </c>
      <c r="C345" s="114" t="s">
        <v>515</v>
      </c>
      <c r="D345" s="33">
        <v>760</v>
      </c>
      <c r="E345" s="103">
        <f>'66 SYANA PRAROOP-20'!C346</f>
        <v>34</v>
      </c>
      <c r="F345" s="103">
        <f>'66 SYANA PRAROOP-20'!D346</f>
        <v>702</v>
      </c>
      <c r="G345" s="103">
        <f>'66 SYANA PRAROOP-20'!E346</f>
        <v>4</v>
      </c>
      <c r="H345" s="103">
        <f>'66 SYANA PRAROOP-20'!F346</f>
        <v>1</v>
      </c>
      <c r="I345" s="103">
        <f>'66 SYANA PRAROOP-20'!G346</f>
        <v>4</v>
      </c>
      <c r="J345" s="103">
        <f>'66 SYANA PRAROOP-20'!H346</f>
        <v>2</v>
      </c>
      <c r="K345" s="103">
        <f>'66 SYANA PRAROOP-20'!I346</f>
        <v>4</v>
      </c>
      <c r="L345" s="103">
        <f>'66 SYANA PRAROOP-20'!J346</f>
        <v>4</v>
      </c>
      <c r="M345" s="78">
        <f t="shared" si="10"/>
        <v>755</v>
      </c>
      <c r="N345" s="103">
        <v>0</v>
      </c>
      <c r="O345" s="103">
        <f>'66 SYANA PRAROOP-20'!M346</f>
        <v>5</v>
      </c>
      <c r="P345" s="78">
        <f t="shared" si="11"/>
        <v>760</v>
      </c>
      <c r="Q345" s="103">
        <v>0</v>
      </c>
    </row>
    <row r="346" spans="2:17" ht="18.75">
      <c r="B346" s="78">
        <v>340</v>
      </c>
      <c r="C346" s="114" t="s">
        <v>516</v>
      </c>
      <c r="D346" s="33">
        <v>478</v>
      </c>
      <c r="E346" s="103">
        <f>'66 SYANA PRAROOP-20'!C347</f>
        <v>12</v>
      </c>
      <c r="F346" s="103">
        <f>'66 SYANA PRAROOP-20'!D347</f>
        <v>435</v>
      </c>
      <c r="G346" s="103">
        <f>'66 SYANA PRAROOP-20'!E347</f>
        <v>9</v>
      </c>
      <c r="H346" s="103">
        <f>'66 SYANA PRAROOP-20'!F347</f>
        <v>14</v>
      </c>
      <c r="I346" s="103">
        <f>'66 SYANA PRAROOP-20'!G347</f>
        <v>0</v>
      </c>
      <c r="J346" s="103">
        <f>'66 SYANA PRAROOP-20'!H347</f>
        <v>0</v>
      </c>
      <c r="K346" s="103">
        <f>'66 SYANA PRAROOP-20'!I347</f>
        <v>3</v>
      </c>
      <c r="L346" s="103">
        <f>'66 SYANA PRAROOP-20'!J347</f>
        <v>2</v>
      </c>
      <c r="M346" s="78">
        <f t="shared" si="10"/>
        <v>475</v>
      </c>
      <c r="N346" s="103">
        <v>0</v>
      </c>
      <c r="O346" s="103">
        <f>'66 SYANA PRAROOP-20'!M347</f>
        <v>3</v>
      </c>
      <c r="P346" s="78">
        <f t="shared" si="11"/>
        <v>478</v>
      </c>
      <c r="Q346" s="103">
        <v>0</v>
      </c>
    </row>
    <row r="347" spans="2:17" ht="18.75">
      <c r="B347" s="78">
        <v>341</v>
      </c>
      <c r="C347" s="114" t="s">
        <v>517</v>
      </c>
      <c r="D347" s="33">
        <v>752</v>
      </c>
      <c r="E347" s="103">
        <f>'66 SYANA PRAROOP-20'!C348</f>
        <v>60</v>
      </c>
      <c r="F347" s="103">
        <f>'66 SYANA PRAROOP-20'!D348</f>
        <v>648</v>
      </c>
      <c r="G347" s="103">
        <f>'66 SYANA PRAROOP-20'!E348</f>
        <v>9</v>
      </c>
      <c r="H347" s="103">
        <f>'66 SYANA PRAROOP-20'!F348</f>
        <v>5</v>
      </c>
      <c r="I347" s="103">
        <f>'66 SYANA PRAROOP-20'!G348</f>
        <v>3</v>
      </c>
      <c r="J347" s="103">
        <f>'66 SYANA PRAROOP-20'!H348</f>
        <v>5</v>
      </c>
      <c r="K347" s="103">
        <f>'66 SYANA PRAROOP-20'!I348</f>
        <v>6</v>
      </c>
      <c r="L347" s="103">
        <f>'66 SYANA PRAROOP-20'!J348</f>
        <v>7</v>
      </c>
      <c r="M347" s="78">
        <f t="shared" si="10"/>
        <v>743</v>
      </c>
      <c r="N347" s="103">
        <v>0</v>
      </c>
      <c r="O347" s="103">
        <f>'66 SYANA PRAROOP-20'!M348</f>
        <v>9</v>
      </c>
      <c r="P347" s="78">
        <f t="shared" si="11"/>
        <v>752</v>
      </c>
      <c r="Q347" s="103">
        <v>0</v>
      </c>
    </row>
    <row r="348" spans="2:17" ht="18.75">
      <c r="B348" s="78">
        <v>342</v>
      </c>
      <c r="C348" s="114" t="s">
        <v>518</v>
      </c>
      <c r="D348" s="33">
        <v>781</v>
      </c>
      <c r="E348" s="103">
        <f>'66 SYANA PRAROOP-20'!C349</f>
        <v>91</v>
      </c>
      <c r="F348" s="103">
        <f>'66 SYANA PRAROOP-20'!D349</f>
        <v>656</v>
      </c>
      <c r="G348" s="103">
        <f>'66 SYANA PRAROOP-20'!E349</f>
        <v>7</v>
      </c>
      <c r="H348" s="103">
        <f>'66 SYANA PRAROOP-20'!F349</f>
        <v>6</v>
      </c>
      <c r="I348" s="103">
        <f>'66 SYANA PRAROOP-20'!G349</f>
        <v>2</v>
      </c>
      <c r="J348" s="103">
        <f>'66 SYANA PRAROOP-20'!H349</f>
        <v>3</v>
      </c>
      <c r="K348" s="103">
        <f>'66 SYANA PRAROOP-20'!I349</f>
        <v>10</v>
      </c>
      <c r="L348" s="103">
        <f>'66 SYANA PRAROOP-20'!J349</f>
        <v>3</v>
      </c>
      <c r="M348" s="78">
        <f t="shared" si="10"/>
        <v>778</v>
      </c>
      <c r="N348" s="103">
        <v>0</v>
      </c>
      <c r="O348" s="103">
        <f>'66 SYANA PRAROOP-20'!M349</f>
        <v>3</v>
      </c>
      <c r="P348" s="78">
        <f t="shared" si="11"/>
        <v>781</v>
      </c>
      <c r="Q348" s="103">
        <v>0</v>
      </c>
    </row>
    <row r="349" spans="2:17" ht="18.75">
      <c r="B349" s="78">
        <v>343</v>
      </c>
      <c r="C349" s="114" t="s">
        <v>519</v>
      </c>
      <c r="D349" s="33">
        <v>584</v>
      </c>
      <c r="E349" s="103">
        <f>'66 SYANA PRAROOP-20'!C350</f>
        <v>72</v>
      </c>
      <c r="F349" s="103">
        <f>'66 SYANA PRAROOP-20'!D350</f>
        <v>448</v>
      </c>
      <c r="G349" s="103">
        <f>'66 SYANA PRAROOP-20'!E350</f>
        <v>4</v>
      </c>
      <c r="H349" s="103">
        <f>'66 SYANA PRAROOP-20'!F350</f>
        <v>43</v>
      </c>
      <c r="I349" s="103">
        <f>'66 SYANA PRAROOP-20'!G350</f>
        <v>4</v>
      </c>
      <c r="J349" s="103">
        <f>'66 SYANA PRAROOP-20'!H350</f>
        <v>1</v>
      </c>
      <c r="K349" s="103">
        <f>'66 SYANA PRAROOP-20'!I350</f>
        <v>3</v>
      </c>
      <c r="L349" s="103">
        <f>'66 SYANA PRAROOP-20'!J350</f>
        <v>5</v>
      </c>
      <c r="M349" s="78">
        <f t="shared" si="10"/>
        <v>580</v>
      </c>
      <c r="N349" s="103">
        <v>0</v>
      </c>
      <c r="O349" s="103">
        <f>'66 SYANA PRAROOP-20'!M350</f>
        <v>4</v>
      </c>
      <c r="P349" s="78">
        <f t="shared" si="11"/>
        <v>584</v>
      </c>
      <c r="Q349" s="103">
        <v>0</v>
      </c>
    </row>
    <row r="350" spans="2:17" ht="18.75">
      <c r="B350" s="78">
        <v>344</v>
      </c>
      <c r="C350" s="114" t="s">
        <v>520</v>
      </c>
      <c r="D350" s="33">
        <v>553</v>
      </c>
      <c r="E350" s="103">
        <f>'66 SYANA PRAROOP-20'!C351</f>
        <v>100</v>
      </c>
      <c r="F350" s="103">
        <f>'66 SYANA PRAROOP-20'!D351</f>
        <v>179</v>
      </c>
      <c r="G350" s="103">
        <f>'66 SYANA PRAROOP-20'!E351</f>
        <v>6</v>
      </c>
      <c r="H350" s="103">
        <f>'66 SYANA PRAROOP-20'!F351</f>
        <v>256</v>
      </c>
      <c r="I350" s="103">
        <f>'66 SYANA PRAROOP-20'!G351</f>
        <v>2</v>
      </c>
      <c r="J350" s="103">
        <f>'66 SYANA PRAROOP-20'!H351</f>
        <v>4</v>
      </c>
      <c r="K350" s="103">
        <f>'66 SYANA PRAROOP-20'!I351</f>
        <v>2</v>
      </c>
      <c r="L350" s="103">
        <f>'66 SYANA PRAROOP-20'!J351</f>
        <v>0</v>
      </c>
      <c r="M350" s="78">
        <f t="shared" si="10"/>
        <v>549</v>
      </c>
      <c r="N350" s="103">
        <v>0</v>
      </c>
      <c r="O350" s="103">
        <f>'66 SYANA PRAROOP-20'!M351</f>
        <v>4</v>
      </c>
      <c r="P350" s="78">
        <f t="shared" si="11"/>
        <v>553</v>
      </c>
      <c r="Q350" s="103">
        <v>0</v>
      </c>
    </row>
    <row r="351" spans="2:17" ht="18.75">
      <c r="B351" s="78">
        <v>345</v>
      </c>
      <c r="C351" s="114" t="s">
        <v>521</v>
      </c>
      <c r="D351" s="33">
        <v>649</v>
      </c>
      <c r="E351" s="103">
        <f>'66 SYANA PRAROOP-20'!C352</f>
        <v>139</v>
      </c>
      <c r="F351" s="103">
        <f>'66 SYANA PRAROOP-20'!D352</f>
        <v>463</v>
      </c>
      <c r="G351" s="103">
        <f>'66 SYANA PRAROOP-20'!E352</f>
        <v>6</v>
      </c>
      <c r="H351" s="103">
        <f>'66 SYANA PRAROOP-20'!F352</f>
        <v>28</v>
      </c>
      <c r="I351" s="103">
        <f>'66 SYANA PRAROOP-20'!G352</f>
        <v>1</v>
      </c>
      <c r="J351" s="103">
        <f>'66 SYANA PRAROOP-20'!H352</f>
        <v>5</v>
      </c>
      <c r="K351" s="103">
        <f>'66 SYANA PRAROOP-20'!I352</f>
        <v>2</v>
      </c>
      <c r="L351" s="103">
        <f>'66 SYANA PRAROOP-20'!J352</f>
        <v>1</v>
      </c>
      <c r="M351" s="78">
        <f t="shared" si="10"/>
        <v>645</v>
      </c>
      <c r="N351" s="103">
        <v>0</v>
      </c>
      <c r="O351" s="103">
        <f>'66 SYANA PRAROOP-20'!M352</f>
        <v>4</v>
      </c>
      <c r="P351" s="78">
        <f t="shared" si="11"/>
        <v>649</v>
      </c>
      <c r="Q351" s="103">
        <v>0</v>
      </c>
    </row>
    <row r="352" spans="2:17" ht="18.75">
      <c r="B352" s="78">
        <v>346</v>
      </c>
      <c r="C352" s="114" t="s">
        <v>522</v>
      </c>
      <c r="D352" s="33">
        <v>574</v>
      </c>
      <c r="E352" s="103">
        <f>'66 SYANA PRAROOP-20'!C353</f>
        <v>195</v>
      </c>
      <c r="F352" s="103">
        <f>'66 SYANA PRAROOP-20'!D353</f>
        <v>324</v>
      </c>
      <c r="G352" s="103">
        <f>'66 SYANA PRAROOP-20'!E353</f>
        <v>16</v>
      </c>
      <c r="H352" s="103">
        <f>'66 SYANA PRAROOP-20'!F353</f>
        <v>22</v>
      </c>
      <c r="I352" s="103">
        <f>'66 SYANA PRAROOP-20'!G353</f>
        <v>0</v>
      </c>
      <c r="J352" s="103">
        <f>'66 SYANA PRAROOP-20'!H353</f>
        <v>1</v>
      </c>
      <c r="K352" s="103">
        <f>'66 SYANA PRAROOP-20'!I353</f>
        <v>3</v>
      </c>
      <c r="L352" s="103">
        <f>'66 SYANA PRAROOP-20'!J353</f>
        <v>7</v>
      </c>
      <c r="M352" s="78">
        <f t="shared" si="10"/>
        <v>568</v>
      </c>
      <c r="N352" s="103">
        <v>0</v>
      </c>
      <c r="O352" s="103">
        <f>'66 SYANA PRAROOP-20'!M353</f>
        <v>6</v>
      </c>
      <c r="P352" s="78">
        <f t="shared" si="11"/>
        <v>574</v>
      </c>
      <c r="Q352" s="103">
        <v>0</v>
      </c>
    </row>
    <row r="353" spans="2:17" ht="18.75">
      <c r="B353" s="78">
        <v>347</v>
      </c>
      <c r="C353" s="119" t="s">
        <v>635</v>
      </c>
      <c r="D353" s="33">
        <v>361</v>
      </c>
      <c r="E353" s="103">
        <f>'66 SYANA PRAROOP-20'!C354</f>
        <v>10</v>
      </c>
      <c r="F353" s="103">
        <f>'66 SYANA PRAROOP-20'!D354</f>
        <v>345</v>
      </c>
      <c r="G353" s="103">
        <f>'66 SYANA PRAROOP-20'!E354</f>
        <v>2</v>
      </c>
      <c r="H353" s="103">
        <f>'66 SYANA PRAROOP-20'!F354</f>
        <v>0</v>
      </c>
      <c r="I353" s="103">
        <f>'66 SYANA PRAROOP-20'!G354</f>
        <v>0</v>
      </c>
      <c r="J353" s="103">
        <f>'66 SYANA PRAROOP-20'!H354</f>
        <v>0</v>
      </c>
      <c r="K353" s="103">
        <f>'66 SYANA PRAROOP-20'!I354</f>
        <v>1</v>
      </c>
      <c r="L353" s="103">
        <f>'66 SYANA PRAROOP-20'!J354</f>
        <v>2</v>
      </c>
      <c r="M353" s="78">
        <f t="shared" si="10"/>
        <v>360</v>
      </c>
      <c r="N353" s="103">
        <v>0</v>
      </c>
      <c r="O353" s="103">
        <f>'66 SYANA PRAROOP-20'!M354</f>
        <v>1</v>
      </c>
      <c r="P353" s="78">
        <f t="shared" si="11"/>
        <v>361</v>
      </c>
      <c r="Q353" s="103">
        <v>0</v>
      </c>
    </row>
    <row r="354" spans="2:17" ht="18.75">
      <c r="B354" s="78">
        <v>348</v>
      </c>
      <c r="C354" s="114" t="s">
        <v>523</v>
      </c>
      <c r="D354" s="33">
        <v>214</v>
      </c>
      <c r="E354" s="103">
        <f>'66 SYANA PRAROOP-20'!C355</f>
        <v>3</v>
      </c>
      <c r="F354" s="103">
        <f>'66 SYANA PRAROOP-20'!D355</f>
        <v>168</v>
      </c>
      <c r="G354" s="103">
        <f>'66 SYANA PRAROOP-20'!E355</f>
        <v>4</v>
      </c>
      <c r="H354" s="103">
        <f>'66 SYANA PRAROOP-20'!F355</f>
        <v>38</v>
      </c>
      <c r="I354" s="103">
        <f>'66 SYANA PRAROOP-20'!G355</f>
        <v>0</v>
      </c>
      <c r="J354" s="103">
        <f>'66 SYANA PRAROOP-20'!H355</f>
        <v>1</v>
      </c>
      <c r="K354" s="103">
        <f>'66 SYANA PRAROOP-20'!I355</f>
        <v>0</v>
      </c>
      <c r="L354" s="103">
        <f>'66 SYANA PRAROOP-20'!J355</f>
        <v>0</v>
      </c>
      <c r="M354" s="78">
        <f t="shared" si="10"/>
        <v>214</v>
      </c>
      <c r="N354" s="103">
        <v>0</v>
      </c>
      <c r="O354" s="103">
        <f>'66 SYANA PRAROOP-20'!M355</f>
        <v>0</v>
      </c>
      <c r="P354" s="78">
        <f t="shared" si="11"/>
        <v>214</v>
      </c>
      <c r="Q354" s="103">
        <v>0</v>
      </c>
    </row>
    <row r="355" spans="2:17" ht="18.75">
      <c r="B355" s="78">
        <v>349</v>
      </c>
      <c r="C355" s="114" t="s">
        <v>524</v>
      </c>
      <c r="D355" s="33">
        <v>411</v>
      </c>
      <c r="E355" s="103">
        <f>'66 SYANA PRAROOP-20'!C356</f>
        <v>41</v>
      </c>
      <c r="F355" s="103">
        <f>'66 SYANA PRAROOP-20'!D356</f>
        <v>304</v>
      </c>
      <c r="G355" s="103">
        <f>'66 SYANA PRAROOP-20'!E356</f>
        <v>4</v>
      </c>
      <c r="H355" s="103">
        <f>'66 SYANA PRAROOP-20'!F356</f>
        <v>51</v>
      </c>
      <c r="I355" s="103">
        <f>'66 SYANA PRAROOP-20'!G356</f>
        <v>4</v>
      </c>
      <c r="J355" s="103">
        <f>'66 SYANA PRAROOP-20'!H356</f>
        <v>2</v>
      </c>
      <c r="K355" s="103">
        <f>'66 SYANA PRAROOP-20'!I356</f>
        <v>0</v>
      </c>
      <c r="L355" s="103">
        <f>'66 SYANA PRAROOP-20'!J356</f>
        <v>2</v>
      </c>
      <c r="M355" s="78">
        <f t="shared" si="10"/>
        <v>408</v>
      </c>
      <c r="N355" s="103">
        <v>0</v>
      </c>
      <c r="O355" s="103">
        <f>'66 SYANA PRAROOP-20'!M356</f>
        <v>3</v>
      </c>
      <c r="P355" s="78">
        <f t="shared" si="11"/>
        <v>411</v>
      </c>
      <c r="Q355" s="103">
        <v>0</v>
      </c>
    </row>
    <row r="356" spans="2:17" ht="18.75">
      <c r="B356" s="78">
        <v>350</v>
      </c>
      <c r="C356" s="114" t="s">
        <v>525</v>
      </c>
      <c r="D356" s="33">
        <v>783</v>
      </c>
      <c r="E356" s="103">
        <f>'66 SYANA PRAROOP-20'!C357</f>
        <v>241</v>
      </c>
      <c r="F356" s="103">
        <f>'66 SYANA PRAROOP-20'!D357</f>
        <v>500</v>
      </c>
      <c r="G356" s="103">
        <f>'66 SYANA PRAROOP-20'!E357</f>
        <v>8</v>
      </c>
      <c r="H356" s="103">
        <f>'66 SYANA PRAROOP-20'!F357</f>
        <v>1</v>
      </c>
      <c r="I356" s="103">
        <f>'66 SYANA PRAROOP-20'!G357</f>
        <v>2</v>
      </c>
      <c r="J356" s="103">
        <f>'66 SYANA PRAROOP-20'!H357</f>
        <v>4</v>
      </c>
      <c r="K356" s="103">
        <f>'66 SYANA PRAROOP-20'!I357</f>
        <v>9</v>
      </c>
      <c r="L356" s="103">
        <f>'66 SYANA PRAROOP-20'!J357</f>
        <v>6</v>
      </c>
      <c r="M356" s="78">
        <f t="shared" si="10"/>
        <v>771</v>
      </c>
      <c r="N356" s="103">
        <v>0</v>
      </c>
      <c r="O356" s="103">
        <f>'66 SYANA PRAROOP-20'!M357</f>
        <v>12</v>
      </c>
      <c r="P356" s="78">
        <f t="shared" si="11"/>
        <v>783</v>
      </c>
      <c r="Q356" s="103">
        <v>0</v>
      </c>
    </row>
    <row r="357" spans="2:17" ht="18.75">
      <c r="B357" s="78">
        <v>351</v>
      </c>
      <c r="C357" s="114" t="s">
        <v>526</v>
      </c>
      <c r="D357" s="33">
        <v>599</v>
      </c>
      <c r="E357" s="103">
        <f>'66 SYANA PRAROOP-20'!C358</f>
        <v>114</v>
      </c>
      <c r="F357" s="103">
        <f>'66 SYANA PRAROOP-20'!D358</f>
        <v>307</v>
      </c>
      <c r="G357" s="103">
        <f>'66 SYANA PRAROOP-20'!E358</f>
        <v>3</v>
      </c>
      <c r="H357" s="103">
        <f>'66 SYANA PRAROOP-20'!F358</f>
        <v>154</v>
      </c>
      <c r="I357" s="103">
        <f>'66 SYANA PRAROOP-20'!G358</f>
        <v>5</v>
      </c>
      <c r="J357" s="103">
        <f>'66 SYANA PRAROOP-20'!H358</f>
        <v>4</v>
      </c>
      <c r="K357" s="103">
        <f>'66 SYANA PRAROOP-20'!I358</f>
        <v>2</v>
      </c>
      <c r="L357" s="103">
        <f>'66 SYANA PRAROOP-20'!J358</f>
        <v>7</v>
      </c>
      <c r="M357" s="78">
        <f t="shared" si="10"/>
        <v>596</v>
      </c>
      <c r="N357" s="103">
        <v>0</v>
      </c>
      <c r="O357" s="103">
        <f>'66 SYANA PRAROOP-20'!M358</f>
        <v>3</v>
      </c>
      <c r="P357" s="78">
        <f t="shared" si="11"/>
        <v>599</v>
      </c>
      <c r="Q357" s="103">
        <v>0</v>
      </c>
    </row>
    <row r="358" spans="2:17" ht="18.75">
      <c r="B358" s="78">
        <v>352</v>
      </c>
      <c r="C358" s="114" t="s">
        <v>527</v>
      </c>
      <c r="D358" s="33">
        <v>581</v>
      </c>
      <c r="E358" s="103">
        <f>'66 SYANA PRAROOP-20'!C359</f>
        <v>204</v>
      </c>
      <c r="F358" s="103">
        <f>'66 SYANA PRAROOP-20'!D359</f>
        <v>182</v>
      </c>
      <c r="G358" s="103">
        <f>'66 SYANA PRAROOP-20'!E359</f>
        <v>6</v>
      </c>
      <c r="H358" s="103">
        <f>'66 SYANA PRAROOP-20'!F359</f>
        <v>169</v>
      </c>
      <c r="I358" s="103">
        <f>'66 SYANA PRAROOP-20'!G359</f>
        <v>2</v>
      </c>
      <c r="J358" s="103">
        <f>'66 SYANA PRAROOP-20'!H359</f>
        <v>9</v>
      </c>
      <c r="K358" s="103">
        <f>'66 SYANA PRAROOP-20'!I359</f>
        <v>5</v>
      </c>
      <c r="L358" s="103">
        <f>'66 SYANA PRAROOP-20'!J359</f>
        <v>1</v>
      </c>
      <c r="M358" s="78">
        <f t="shared" si="10"/>
        <v>578</v>
      </c>
      <c r="N358" s="103">
        <v>0</v>
      </c>
      <c r="O358" s="103">
        <f>'66 SYANA PRAROOP-20'!M359</f>
        <v>3</v>
      </c>
      <c r="P358" s="78">
        <f t="shared" si="11"/>
        <v>581</v>
      </c>
      <c r="Q358" s="103">
        <v>0</v>
      </c>
    </row>
    <row r="359" spans="2:17" ht="18.75">
      <c r="B359" s="78">
        <v>353</v>
      </c>
      <c r="C359" s="114" t="s">
        <v>528</v>
      </c>
      <c r="D359" s="33">
        <v>640</v>
      </c>
      <c r="E359" s="103">
        <f>'66 SYANA PRAROOP-20'!C360</f>
        <v>28</v>
      </c>
      <c r="F359" s="103">
        <f>'66 SYANA PRAROOP-20'!D360</f>
        <v>203</v>
      </c>
      <c r="G359" s="103">
        <f>'66 SYANA PRAROOP-20'!E360</f>
        <v>16</v>
      </c>
      <c r="H359" s="103">
        <f>'66 SYANA PRAROOP-20'!F360</f>
        <v>380</v>
      </c>
      <c r="I359" s="103">
        <f>'66 SYANA PRAROOP-20'!G360</f>
        <v>3</v>
      </c>
      <c r="J359" s="103">
        <f>'66 SYANA PRAROOP-20'!H360</f>
        <v>3</v>
      </c>
      <c r="K359" s="103">
        <f>'66 SYANA PRAROOP-20'!I360</f>
        <v>3</v>
      </c>
      <c r="L359" s="103">
        <f>'66 SYANA PRAROOP-20'!J360</f>
        <v>2</v>
      </c>
      <c r="M359" s="78">
        <f t="shared" si="10"/>
        <v>638</v>
      </c>
      <c r="N359" s="103">
        <v>0</v>
      </c>
      <c r="O359" s="103">
        <f>'66 SYANA PRAROOP-20'!M360</f>
        <v>2</v>
      </c>
      <c r="P359" s="78">
        <f t="shared" si="11"/>
        <v>640</v>
      </c>
      <c r="Q359" s="103">
        <v>0</v>
      </c>
    </row>
    <row r="360" spans="2:17" ht="18.75">
      <c r="B360" s="78">
        <v>354</v>
      </c>
      <c r="C360" s="114" t="s">
        <v>529</v>
      </c>
      <c r="D360" s="33">
        <v>529</v>
      </c>
      <c r="E360" s="103">
        <f>'66 SYANA PRAROOP-20'!C361</f>
        <v>45</v>
      </c>
      <c r="F360" s="103">
        <f>'66 SYANA PRAROOP-20'!D361</f>
        <v>434</v>
      </c>
      <c r="G360" s="103">
        <f>'66 SYANA PRAROOP-20'!E361</f>
        <v>4</v>
      </c>
      <c r="H360" s="103">
        <f>'66 SYANA PRAROOP-20'!F361</f>
        <v>30</v>
      </c>
      <c r="I360" s="103">
        <f>'66 SYANA PRAROOP-20'!G361</f>
        <v>4</v>
      </c>
      <c r="J360" s="103">
        <f>'66 SYANA PRAROOP-20'!H361</f>
        <v>2</v>
      </c>
      <c r="K360" s="103">
        <f>'66 SYANA PRAROOP-20'!I361</f>
        <v>5</v>
      </c>
      <c r="L360" s="103">
        <f>'66 SYANA PRAROOP-20'!J361</f>
        <v>1</v>
      </c>
      <c r="M360" s="78">
        <f t="shared" si="10"/>
        <v>525</v>
      </c>
      <c r="N360" s="103">
        <v>0</v>
      </c>
      <c r="O360" s="103">
        <f>'66 SYANA PRAROOP-20'!M361</f>
        <v>4</v>
      </c>
      <c r="P360" s="78">
        <f t="shared" si="11"/>
        <v>529</v>
      </c>
      <c r="Q360" s="103">
        <v>0</v>
      </c>
    </row>
    <row r="361" spans="2:17" ht="18.75">
      <c r="B361" s="78">
        <v>355</v>
      </c>
      <c r="C361" s="114" t="s">
        <v>530</v>
      </c>
      <c r="D361" s="33">
        <v>558</v>
      </c>
      <c r="E361" s="103">
        <f>'66 SYANA PRAROOP-20'!C362</f>
        <v>19</v>
      </c>
      <c r="F361" s="103">
        <f>'66 SYANA PRAROOP-20'!D362</f>
        <v>493</v>
      </c>
      <c r="G361" s="103">
        <f>'66 SYANA PRAROOP-20'!E362</f>
        <v>7</v>
      </c>
      <c r="H361" s="103">
        <f>'66 SYANA PRAROOP-20'!F362</f>
        <v>33</v>
      </c>
      <c r="I361" s="103">
        <f>'66 SYANA PRAROOP-20'!G362</f>
        <v>2</v>
      </c>
      <c r="J361" s="103">
        <f>'66 SYANA PRAROOP-20'!H362</f>
        <v>1</v>
      </c>
      <c r="K361" s="103">
        <f>'66 SYANA PRAROOP-20'!I362</f>
        <v>2</v>
      </c>
      <c r="L361" s="103">
        <f>'66 SYANA PRAROOP-20'!J362</f>
        <v>1</v>
      </c>
      <c r="M361" s="78">
        <f t="shared" si="10"/>
        <v>558</v>
      </c>
      <c r="N361" s="103">
        <v>0</v>
      </c>
      <c r="O361" s="103">
        <f>'66 SYANA PRAROOP-20'!M362</f>
        <v>0</v>
      </c>
      <c r="P361" s="78">
        <f t="shared" si="11"/>
        <v>558</v>
      </c>
      <c r="Q361" s="103">
        <v>0</v>
      </c>
    </row>
    <row r="362" spans="2:17" ht="18.75">
      <c r="B362" s="78">
        <v>356</v>
      </c>
      <c r="C362" s="114" t="s">
        <v>531</v>
      </c>
      <c r="D362" s="33">
        <v>368</v>
      </c>
      <c r="E362" s="103">
        <f>'66 SYANA PRAROOP-20'!C363</f>
        <v>43</v>
      </c>
      <c r="F362" s="103">
        <f>'66 SYANA PRAROOP-20'!D363</f>
        <v>247</v>
      </c>
      <c r="G362" s="103">
        <f>'66 SYANA PRAROOP-20'!E363</f>
        <v>11</v>
      </c>
      <c r="H362" s="103">
        <f>'66 SYANA PRAROOP-20'!F363</f>
        <v>63</v>
      </c>
      <c r="I362" s="103">
        <f>'66 SYANA PRAROOP-20'!G363</f>
        <v>0</v>
      </c>
      <c r="J362" s="103">
        <f>'66 SYANA PRAROOP-20'!H363</f>
        <v>0</v>
      </c>
      <c r="K362" s="103">
        <f>'66 SYANA PRAROOP-20'!I363</f>
        <v>2</v>
      </c>
      <c r="L362" s="103">
        <f>'66 SYANA PRAROOP-20'!J363</f>
        <v>1</v>
      </c>
      <c r="M362" s="78">
        <f t="shared" si="10"/>
        <v>367</v>
      </c>
      <c r="N362" s="103">
        <v>0</v>
      </c>
      <c r="O362" s="103">
        <f>'66 SYANA PRAROOP-20'!M363</f>
        <v>1</v>
      </c>
      <c r="P362" s="78">
        <f t="shared" si="11"/>
        <v>368</v>
      </c>
      <c r="Q362" s="103">
        <v>0</v>
      </c>
    </row>
    <row r="363" spans="2:17" ht="18.75">
      <c r="B363" s="78">
        <v>357</v>
      </c>
      <c r="C363" s="114" t="s">
        <v>532</v>
      </c>
      <c r="D363" s="33">
        <v>332</v>
      </c>
      <c r="E363" s="103">
        <f>'66 SYANA PRAROOP-20'!C364</f>
        <v>47</v>
      </c>
      <c r="F363" s="103">
        <f>'66 SYANA PRAROOP-20'!D364</f>
        <v>162</v>
      </c>
      <c r="G363" s="103">
        <f>'66 SYANA PRAROOP-20'!E364</f>
        <v>15</v>
      </c>
      <c r="H363" s="103">
        <f>'66 SYANA PRAROOP-20'!F364</f>
        <v>102</v>
      </c>
      <c r="I363" s="103">
        <f>'66 SYANA PRAROOP-20'!G364</f>
        <v>1</v>
      </c>
      <c r="J363" s="103">
        <f>'66 SYANA PRAROOP-20'!H364</f>
        <v>2</v>
      </c>
      <c r="K363" s="103">
        <f>'66 SYANA PRAROOP-20'!I364</f>
        <v>2</v>
      </c>
      <c r="L363" s="103">
        <f>'66 SYANA PRAROOP-20'!J364</f>
        <v>0</v>
      </c>
      <c r="M363" s="78">
        <f t="shared" si="10"/>
        <v>331</v>
      </c>
      <c r="N363" s="103">
        <v>0</v>
      </c>
      <c r="O363" s="103">
        <f>'66 SYANA PRAROOP-20'!M364</f>
        <v>1</v>
      </c>
      <c r="P363" s="78">
        <f t="shared" si="11"/>
        <v>332</v>
      </c>
      <c r="Q363" s="103">
        <v>0</v>
      </c>
    </row>
    <row r="364" spans="2:17" ht="18.75">
      <c r="B364" s="78">
        <v>358</v>
      </c>
      <c r="C364" s="114" t="s">
        <v>533</v>
      </c>
      <c r="D364" s="33">
        <v>439</v>
      </c>
      <c r="E364" s="103">
        <f>'66 SYANA PRAROOP-20'!C365</f>
        <v>94</v>
      </c>
      <c r="F364" s="103">
        <f>'66 SYANA PRAROOP-20'!D365</f>
        <v>278</v>
      </c>
      <c r="G364" s="103">
        <f>'66 SYANA PRAROOP-20'!E365</f>
        <v>8</v>
      </c>
      <c r="H364" s="103">
        <f>'66 SYANA PRAROOP-20'!F365</f>
        <v>47</v>
      </c>
      <c r="I364" s="103">
        <f>'66 SYANA PRAROOP-20'!G365</f>
        <v>2</v>
      </c>
      <c r="J364" s="103">
        <f>'66 SYANA PRAROOP-20'!H365</f>
        <v>2</v>
      </c>
      <c r="K364" s="103">
        <f>'66 SYANA PRAROOP-20'!I365</f>
        <v>5</v>
      </c>
      <c r="L364" s="103">
        <f>'66 SYANA PRAROOP-20'!J365</f>
        <v>2</v>
      </c>
      <c r="M364" s="78">
        <f t="shared" si="10"/>
        <v>438</v>
      </c>
      <c r="N364" s="103">
        <v>0</v>
      </c>
      <c r="O364" s="103">
        <f>'66 SYANA PRAROOP-20'!M365</f>
        <v>1</v>
      </c>
      <c r="P364" s="78">
        <f t="shared" si="11"/>
        <v>439</v>
      </c>
      <c r="Q364" s="103">
        <v>0</v>
      </c>
    </row>
    <row r="365" spans="2:17" ht="18.75">
      <c r="B365" s="78">
        <v>359</v>
      </c>
      <c r="C365" s="114" t="s">
        <v>534</v>
      </c>
      <c r="D365" s="33">
        <v>412</v>
      </c>
      <c r="E365" s="103">
        <f>'66 SYANA PRAROOP-20'!C366</f>
        <v>74</v>
      </c>
      <c r="F365" s="103">
        <f>'66 SYANA PRAROOP-20'!D366</f>
        <v>283</v>
      </c>
      <c r="G365" s="103">
        <f>'66 SYANA PRAROOP-20'!E366</f>
        <v>6</v>
      </c>
      <c r="H365" s="103">
        <f>'66 SYANA PRAROOP-20'!F366</f>
        <v>40</v>
      </c>
      <c r="I365" s="103">
        <f>'66 SYANA PRAROOP-20'!G366</f>
        <v>2</v>
      </c>
      <c r="J365" s="103">
        <f>'66 SYANA PRAROOP-20'!H366</f>
        <v>0</v>
      </c>
      <c r="K365" s="103">
        <f>'66 SYANA PRAROOP-20'!I366</f>
        <v>1</v>
      </c>
      <c r="L365" s="103">
        <f>'66 SYANA PRAROOP-20'!J366</f>
        <v>5</v>
      </c>
      <c r="M365" s="78">
        <f t="shared" si="10"/>
        <v>411</v>
      </c>
      <c r="N365" s="103">
        <v>0</v>
      </c>
      <c r="O365" s="103">
        <f>'66 SYANA PRAROOP-20'!M366</f>
        <v>1</v>
      </c>
      <c r="P365" s="78">
        <f t="shared" si="11"/>
        <v>412</v>
      </c>
      <c r="Q365" s="103">
        <v>0</v>
      </c>
    </row>
    <row r="366" spans="2:17" ht="18.75">
      <c r="B366" s="78">
        <v>360</v>
      </c>
      <c r="C366" s="114" t="s">
        <v>535</v>
      </c>
      <c r="D366" s="33">
        <v>555</v>
      </c>
      <c r="E366" s="103">
        <f>'66 SYANA PRAROOP-20'!C367</f>
        <v>38</v>
      </c>
      <c r="F366" s="103">
        <f>'66 SYANA PRAROOP-20'!D367</f>
        <v>487</v>
      </c>
      <c r="G366" s="103">
        <f>'66 SYANA PRAROOP-20'!E367</f>
        <v>8</v>
      </c>
      <c r="H366" s="103">
        <f>'66 SYANA PRAROOP-20'!F367</f>
        <v>18</v>
      </c>
      <c r="I366" s="103">
        <f>'66 SYANA PRAROOP-20'!G367</f>
        <v>1</v>
      </c>
      <c r="J366" s="103">
        <f>'66 SYANA PRAROOP-20'!H367</f>
        <v>1</v>
      </c>
      <c r="K366" s="103">
        <f>'66 SYANA PRAROOP-20'!I367</f>
        <v>0</v>
      </c>
      <c r="L366" s="103">
        <f>'66 SYANA PRAROOP-20'!J367</f>
        <v>2</v>
      </c>
      <c r="M366" s="78">
        <f t="shared" si="10"/>
        <v>555</v>
      </c>
      <c r="N366" s="103">
        <v>0</v>
      </c>
      <c r="O366" s="103">
        <f>'66 SYANA PRAROOP-20'!M367</f>
        <v>0</v>
      </c>
      <c r="P366" s="78">
        <f t="shared" si="11"/>
        <v>555</v>
      </c>
      <c r="Q366" s="103">
        <v>0</v>
      </c>
    </row>
    <row r="367" spans="2:17" ht="18.75">
      <c r="B367" s="78">
        <v>361</v>
      </c>
      <c r="C367" s="114" t="s">
        <v>536</v>
      </c>
      <c r="D367" s="33">
        <v>631</v>
      </c>
      <c r="E367" s="103">
        <f>'66 SYANA PRAROOP-20'!C368</f>
        <v>11</v>
      </c>
      <c r="F367" s="103">
        <f>'66 SYANA PRAROOP-20'!D368</f>
        <v>594</v>
      </c>
      <c r="G367" s="103">
        <f>'66 SYANA PRAROOP-20'!E368</f>
        <v>5</v>
      </c>
      <c r="H367" s="103">
        <f>'66 SYANA PRAROOP-20'!F368</f>
        <v>2</v>
      </c>
      <c r="I367" s="103">
        <f>'66 SYANA PRAROOP-20'!G368</f>
        <v>2</v>
      </c>
      <c r="J367" s="103">
        <f>'66 SYANA PRAROOP-20'!H368</f>
        <v>5</v>
      </c>
      <c r="K367" s="103">
        <f>'66 SYANA PRAROOP-20'!I368</f>
        <v>4</v>
      </c>
      <c r="L367" s="103">
        <f>'66 SYANA PRAROOP-20'!J368</f>
        <v>4</v>
      </c>
      <c r="M367" s="78">
        <f t="shared" si="10"/>
        <v>627</v>
      </c>
      <c r="N367" s="103">
        <v>0</v>
      </c>
      <c r="O367" s="103">
        <f>'66 SYANA PRAROOP-20'!M368</f>
        <v>4</v>
      </c>
      <c r="P367" s="78">
        <f t="shared" si="11"/>
        <v>631</v>
      </c>
      <c r="Q367" s="103">
        <v>0</v>
      </c>
    </row>
    <row r="368" spans="2:17" ht="18.75">
      <c r="B368" s="78">
        <v>362</v>
      </c>
      <c r="C368" s="114" t="s">
        <v>537</v>
      </c>
      <c r="D368" s="33">
        <v>601</v>
      </c>
      <c r="E368" s="103">
        <f>'66 SYANA PRAROOP-20'!C369</f>
        <v>102</v>
      </c>
      <c r="F368" s="103">
        <f>'66 SYANA PRAROOP-20'!D369</f>
        <v>468</v>
      </c>
      <c r="G368" s="103">
        <f>'66 SYANA PRAROOP-20'!E369</f>
        <v>14</v>
      </c>
      <c r="H368" s="103">
        <f>'66 SYANA PRAROOP-20'!F369</f>
        <v>5</v>
      </c>
      <c r="I368" s="103">
        <f>'66 SYANA PRAROOP-20'!G369</f>
        <v>2</v>
      </c>
      <c r="J368" s="103">
        <f>'66 SYANA PRAROOP-20'!H369</f>
        <v>1</v>
      </c>
      <c r="K368" s="103">
        <f>'66 SYANA PRAROOP-20'!I369</f>
        <v>4</v>
      </c>
      <c r="L368" s="103">
        <f>'66 SYANA PRAROOP-20'!J369</f>
        <v>1</v>
      </c>
      <c r="M368" s="78">
        <f t="shared" si="10"/>
        <v>597</v>
      </c>
      <c r="N368" s="103">
        <v>0</v>
      </c>
      <c r="O368" s="103">
        <f>'66 SYANA PRAROOP-20'!M369</f>
        <v>4</v>
      </c>
      <c r="P368" s="78">
        <f t="shared" si="11"/>
        <v>601</v>
      </c>
      <c r="Q368" s="103">
        <v>0</v>
      </c>
    </row>
    <row r="369" spans="2:17" ht="18.75">
      <c r="B369" s="78">
        <v>363</v>
      </c>
      <c r="C369" s="119" t="s">
        <v>636</v>
      </c>
      <c r="D369" s="33">
        <v>419</v>
      </c>
      <c r="E369" s="103">
        <f>'66 SYANA PRAROOP-20'!C370</f>
        <v>20</v>
      </c>
      <c r="F369" s="103">
        <f>'66 SYANA PRAROOP-20'!D370</f>
        <v>391</v>
      </c>
      <c r="G369" s="103">
        <f>'66 SYANA PRAROOP-20'!E370</f>
        <v>3</v>
      </c>
      <c r="H369" s="103">
        <f>'66 SYANA PRAROOP-20'!F370</f>
        <v>2</v>
      </c>
      <c r="I369" s="103">
        <f>'66 SYANA PRAROOP-20'!G370</f>
        <v>0</v>
      </c>
      <c r="J369" s="103">
        <f>'66 SYANA PRAROOP-20'!H370</f>
        <v>1</v>
      </c>
      <c r="K369" s="103">
        <f>'66 SYANA PRAROOP-20'!I370</f>
        <v>1</v>
      </c>
      <c r="L369" s="103">
        <f>'66 SYANA PRAROOP-20'!J370</f>
        <v>0</v>
      </c>
      <c r="M369" s="78">
        <f t="shared" si="10"/>
        <v>418</v>
      </c>
      <c r="N369" s="103">
        <v>0</v>
      </c>
      <c r="O369" s="103">
        <f>'66 SYANA PRAROOP-20'!M370</f>
        <v>1</v>
      </c>
      <c r="P369" s="78">
        <f t="shared" si="11"/>
        <v>419</v>
      </c>
      <c r="Q369" s="103">
        <v>0</v>
      </c>
    </row>
    <row r="370" spans="2:17" ht="18.75">
      <c r="B370" s="78">
        <v>364</v>
      </c>
      <c r="C370" s="116" t="s">
        <v>637</v>
      </c>
      <c r="D370" s="33">
        <v>450</v>
      </c>
      <c r="E370" s="103">
        <f>'66 SYANA PRAROOP-20'!C371</f>
        <v>66</v>
      </c>
      <c r="F370" s="103">
        <f>'66 SYANA PRAROOP-20'!D371</f>
        <v>92</v>
      </c>
      <c r="G370" s="103">
        <f>'66 SYANA PRAROOP-20'!E371</f>
        <v>17</v>
      </c>
      <c r="H370" s="103">
        <f>'66 SYANA PRAROOP-20'!F371</f>
        <v>248</v>
      </c>
      <c r="I370" s="103">
        <f>'66 SYANA PRAROOP-20'!G371</f>
        <v>5</v>
      </c>
      <c r="J370" s="103">
        <f>'66 SYANA PRAROOP-20'!H371</f>
        <v>5</v>
      </c>
      <c r="K370" s="103">
        <f>'66 SYANA PRAROOP-20'!I371</f>
        <v>5</v>
      </c>
      <c r="L370" s="103">
        <f>'66 SYANA PRAROOP-20'!J371</f>
        <v>2</v>
      </c>
      <c r="M370" s="78">
        <f t="shared" si="10"/>
        <v>440</v>
      </c>
      <c r="N370" s="103">
        <v>0</v>
      </c>
      <c r="O370" s="103">
        <f>'66 SYANA PRAROOP-20'!M371</f>
        <v>10</v>
      </c>
      <c r="P370" s="78">
        <f t="shared" si="11"/>
        <v>450</v>
      </c>
      <c r="Q370" s="103">
        <v>0</v>
      </c>
    </row>
    <row r="371" spans="2:17" ht="18.75">
      <c r="B371" s="78">
        <v>365</v>
      </c>
      <c r="C371" s="114" t="s">
        <v>538</v>
      </c>
      <c r="D371" s="33">
        <v>472</v>
      </c>
      <c r="E371" s="103">
        <f>'66 SYANA PRAROOP-20'!C372</f>
        <v>91</v>
      </c>
      <c r="F371" s="103">
        <f>'66 SYANA PRAROOP-20'!D372</f>
        <v>90</v>
      </c>
      <c r="G371" s="103">
        <f>'66 SYANA PRAROOP-20'!E372</f>
        <v>6</v>
      </c>
      <c r="H371" s="103">
        <f>'66 SYANA PRAROOP-20'!F372</f>
        <v>265</v>
      </c>
      <c r="I371" s="103">
        <f>'66 SYANA PRAROOP-20'!G372</f>
        <v>5</v>
      </c>
      <c r="J371" s="103">
        <f>'66 SYANA PRAROOP-20'!H372</f>
        <v>7</v>
      </c>
      <c r="K371" s="103">
        <f>'66 SYANA PRAROOP-20'!I372</f>
        <v>3</v>
      </c>
      <c r="L371" s="103">
        <f>'66 SYANA PRAROOP-20'!J372</f>
        <v>3</v>
      </c>
      <c r="M371" s="78">
        <f t="shared" si="10"/>
        <v>470</v>
      </c>
      <c r="N371" s="103">
        <v>0</v>
      </c>
      <c r="O371" s="103">
        <f>'66 SYANA PRAROOP-20'!M372</f>
        <v>2</v>
      </c>
      <c r="P371" s="78">
        <f t="shared" si="11"/>
        <v>472</v>
      </c>
      <c r="Q371" s="103">
        <v>0</v>
      </c>
    </row>
    <row r="372" spans="2:17" ht="18.75">
      <c r="B372" s="78">
        <v>366</v>
      </c>
      <c r="C372" s="114" t="s">
        <v>539</v>
      </c>
      <c r="D372" s="33">
        <v>512</v>
      </c>
      <c r="E372" s="103">
        <f>'66 SYANA PRAROOP-20'!C373</f>
        <v>9</v>
      </c>
      <c r="F372" s="103">
        <f>'66 SYANA PRAROOP-20'!D373</f>
        <v>318</v>
      </c>
      <c r="G372" s="103">
        <f>'66 SYANA PRAROOP-20'!E373</f>
        <v>6</v>
      </c>
      <c r="H372" s="103">
        <f>'66 SYANA PRAROOP-20'!F373</f>
        <v>171</v>
      </c>
      <c r="I372" s="103">
        <f>'66 SYANA PRAROOP-20'!G373</f>
        <v>2</v>
      </c>
      <c r="J372" s="103">
        <f>'66 SYANA PRAROOP-20'!H373</f>
        <v>2</v>
      </c>
      <c r="K372" s="103">
        <f>'66 SYANA PRAROOP-20'!I373</f>
        <v>1</v>
      </c>
      <c r="L372" s="103">
        <f>'66 SYANA PRAROOP-20'!J373</f>
        <v>0</v>
      </c>
      <c r="M372" s="78">
        <f t="shared" si="10"/>
        <v>509</v>
      </c>
      <c r="N372" s="103">
        <v>0</v>
      </c>
      <c r="O372" s="103">
        <f>'66 SYANA PRAROOP-20'!M373</f>
        <v>3</v>
      </c>
      <c r="P372" s="78">
        <f t="shared" si="11"/>
        <v>512</v>
      </c>
      <c r="Q372" s="103">
        <v>0</v>
      </c>
    </row>
    <row r="373" spans="2:17" ht="18.75">
      <c r="B373" s="78">
        <v>367</v>
      </c>
      <c r="C373" s="114" t="s">
        <v>540</v>
      </c>
      <c r="D373" s="33">
        <v>428</v>
      </c>
      <c r="E373" s="103">
        <f>'66 SYANA PRAROOP-20'!C374</f>
        <v>163</v>
      </c>
      <c r="F373" s="103">
        <f>'66 SYANA PRAROOP-20'!D374</f>
        <v>239</v>
      </c>
      <c r="G373" s="103">
        <f>'66 SYANA PRAROOP-20'!E374</f>
        <v>0</v>
      </c>
      <c r="H373" s="103">
        <f>'66 SYANA PRAROOP-20'!F374</f>
        <v>15</v>
      </c>
      <c r="I373" s="103">
        <f>'66 SYANA PRAROOP-20'!G374</f>
        <v>1</v>
      </c>
      <c r="J373" s="103">
        <f>'66 SYANA PRAROOP-20'!H374</f>
        <v>2</v>
      </c>
      <c r="K373" s="103">
        <f>'66 SYANA PRAROOP-20'!I374</f>
        <v>0</v>
      </c>
      <c r="L373" s="103">
        <f>'66 SYANA PRAROOP-20'!J374</f>
        <v>3</v>
      </c>
      <c r="M373" s="78">
        <f t="shared" si="10"/>
        <v>423</v>
      </c>
      <c r="N373" s="103">
        <v>0</v>
      </c>
      <c r="O373" s="103">
        <f>'66 SYANA PRAROOP-20'!M374</f>
        <v>5</v>
      </c>
      <c r="P373" s="78">
        <f t="shared" si="11"/>
        <v>428</v>
      </c>
      <c r="Q373" s="103">
        <v>0</v>
      </c>
    </row>
    <row r="374" spans="2:17" ht="18.75">
      <c r="B374" s="78">
        <v>368</v>
      </c>
      <c r="C374" s="114" t="s">
        <v>541</v>
      </c>
      <c r="D374" s="33">
        <v>411</v>
      </c>
      <c r="E374" s="103">
        <f>'66 SYANA PRAROOP-20'!C375</f>
        <v>35</v>
      </c>
      <c r="F374" s="103">
        <f>'66 SYANA PRAROOP-20'!D375</f>
        <v>369</v>
      </c>
      <c r="G374" s="103">
        <f>'66 SYANA PRAROOP-20'!E375</f>
        <v>3</v>
      </c>
      <c r="H374" s="103">
        <f>'66 SYANA PRAROOP-20'!F375</f>
        <v>0</v>
      </c>
      <c r="I374" s="103">
        <f>'66 SYANA PRAROOP-20'!G375</f>
        <v>1</v>
      </c>
      <c r="J374" s="103">
        <f>'66 SYANA PRAROOP-20'!H375</f>
        <v>2</v>
      </c>
      <c r="K374" s="103">
        <f>'66 SYANA PRAROOP-20'!I375</f>
        <v>0</v>
      </c>
      <c r="L374" s="103">
        <f>'66 SYANA PRAROOP-20'!J375</f>
        <v>0</v>
      </c>
      <c r="M374" s="78">
        <f t="shared" si="10"/>
        <v>410</v>
      </c>
      <c r="N374" s="103">
        <v>0</v>
      </c>
      <c r="O374" s="103">
        <f>'66 SYANA PRAROOP-20'!M375</f>
        <v>1</v>
      </c>
      <c r="P374" s="78">
        <f t="shared" si="11"/>
        <v>411</v>
      </c>
      <c r="Q374" s="103">
        <v>0</v>
      </c>
    </row>
    <row r="375" spans="2:17" ht="18.75">
      <c r="B375" s="78">
        <v>369</v>
      </c>
      <c r="C375" s="114" t="s">
        <v>542</v>
      </c>
      <c r="D375" s="33">
        <v>604</v>
      </c>
      <c r="E375" s="103">
        <f>'66 SYANA PRAROOP-20'!C376</f>
        <v>99</v>
      </c>
      <c r="F375" s="103">
        <f>'66 SYANA PRAROOP-20'!D376</f>
        <v>446</v>
      </c>
      <c r="G375" s="103">
        <f>'66 SYANA PRAROOP-20'!E376</f>
        <v>8</v>
      </c>
      <c r="H375" s="103">
        <f>'66 SYANA PRAROOP-20'!F376</f>
        <v>6</v>
      </c>
      <c r="I375" s="103">
        <f>'66 SYANA PRAROOP-20'!G376</f>
        <v>5</v>
      </c>
      <c r="J375" s="103">
        <f>'66 SYANA PRAROOP-20'!H376</f>
        <v>9</v>
      </c>
      <c r="K375" s="103">
        <f>'66 SYANA PRAROOP-20'!I376</f>
        <v>8</v>
      </c>
      <c r="L375" s="103">
        <f>'66 SYANA PRAROOP-20'!J376</f>
        <v>8</v>
      </c>
      <c r="M375" s="78">
        <f t="shared" si="10"/>
        <v>589</v>
      </c>
      <c r="N375" s="103">
        <v>0</v>
      </c>
      <c r="O375" s="103">
        <f>'66 SYANA PRAROOP-20'!M376</f>
        <v>15</v>
      </c>
      <c r="P375" s="78">
        <f t="shared" si="11"/>
        <v>604</v>
      </c>
      <c r="Q375" s="103">
        <v>0</v>
      </c>
    </row>
    <row r="376" spans="2:17" ht="18.75">
      <c r="B376" s="78">
        <v>370</v>
      </c>
      <c r="C376" s="114" t="s">
        <v>543</v>
      </c>
      <c r="D376" s="33">
        <v>592</v>
      </c>
      <c r="E376" s="103">
        <f>'66 SYANA PRAROOP-20'!C377</f>
        <v>26</v>
      </c>
      <c r="F376" s="103">
        <f>'66 SYANA PRAROOP-20'!D377</f>
        <v>527</v>
      </c>
      <c r="G376" s="103">
        <f>'66 SYANA PRAROOP-20'!E377</f>
        <v>1</v>
      </c>
      <c r="H376" s="103">
        <f>'66 SYANA PRAROOP-20'!F377</f>
        <v>23</v>
      </c>
      <c r="I376" s="103">
        <f>'66 SYANA PRAROOP-20'!G377</f>
        <v>0</v>
      </c>
      <c r="J376" s="103">
        <f>'66 SYANA PRAROOP-20'!H377</f>
        <v>3</v>
      </c>
      <c r="K376" s="103">
        <f>'66 SYANA PRAROOP-20'!I377</f>
        <v>5</v>
      </c>
      <c r="L376" s="103">
        <f>'66 SYANA PRAROOP-20'!J377</f>
        <v>5</v>
      </c>
      <c r="M376" s="78">
        <f t="shared" si="10"/>
        <v>590</v>
      </c>
      <c r="N376" s="103">
        <v>0</v>
      </c>
      <c r="O376" s="103">
        <f>'66 SYANA PRAROOP-20'!M377</f>
        <v>2</v>
      </c>
      <c r="P376" s="78">
        <f t="shared" si="11"/>
        <v>592</v>
      </c>
      <c r="Q376" s="103">
        <v>0</v>
      </c>
    </row>
    <row r="377" spans="2:17" ht="18.75">
      <c r="B377" s="78">
        <v>371</v>
      </c>
      <c r="C377" s="114" t="s">
        <v>544</v>
      </c>
      <c r="D377" s="33">
        <v>487</v>
      </c>
      <c r="E377" s="103">
        <f>'66 SYANA PRAROOP-20'!C378</f>
        <v>22</v>
      </c>
      <c r="F377" s="103">
        <f>'66 SYANA PRAROOP-20'!D378</f>
        <v>418</v>
      </c>
      <c r="G377" s="103">
        <f>'66 SYANA PRAROOP-20'!E378</f>
        <v>3</v>
      </c>
      <c r="H377" s="103">
        <f>'66 SYANA PRAROOP-20'!F378</f>
        <v>21</v>
      </c>
      <c r="I377" s="103">
        <f>'66 SYANA PRAROOP-20'!G378</f>
        <v>0</v>
      </c>
      <c r="J377" s="103">
        <f>'66 SYANA PRAROOP-20'!H378</f>
        <v>4</v>
      </c>
      <c r="K377" s="103">
        <f>'66 SYANA PRAROOP-20'!I378</f>
        <v>6</v>
      </c>
      <c r="L377" s="103">
        <f>'66 SYANA PRAROOP-20'!J378</f>
        <v>5</v>
      </c>
      <c r="M377" s="78">
        <f t="shared" si="10"/>
        <v>479</v>
      </c>
      <c r="N377" s="103">
        <v>0</v>
      </c>
      <c r="O377" s="103">
        <f>'66 SYANA PRAROOP-20'!M378</f>
        <v>8</v>
      </c>
      <c r="P377" s="78">
        <f t="shared" si="11"/>
        <v>487</v>
      </c>
      <c r="Q377" s="103">
        <v>0</v>
      </c>
    </row>
    <row r="378" spans="2:17" ht="18.75">
      <c r="B378" s="78">
        <v>372</v>
      </c>
      <c r="C378" s="114" t="s">
        <v>545</v>
      </c>
      <c r="D378" s="33">
        <v>457</v>
      </c>
      <c r="E378" s="103">
        <f>'66 SYANA PRAROOP-20'!C379</f>
        <v>109</v>
      </c>
      <c r="F378" s="103">
        <f>'66 SYANA PRAROOP-20'!D379</f>
        <v>292</v>
      </c>
      <c r="G378" s="103">
        <f>'66 SYANA PRAROOP-20'!E379</f>
        <v>1</v>
      </c>
      <c r="H378" s="103">
        <f>'66 SYANA PRAROOP-20'!F379</f>
        <v>53</v>
      </c>
      <c r="I378" s="103">
        <f>'66 SYANA PRAROOP-20'!G379</f>
        <v>1</v>
      </c>
      <c r="J378" s="103">
        <f>'66 SYANA PRAROOP-20'!H379</f>
        <v>0</v>
      </c>
      <c r="K378" s="103">
        <f>'66 SYANA PRAROOP-20'!I379</f>
        <v>0</v>
      </c>
      <c r="L378" s="103">
        <f>'66 SYANA PRAROOP-20'!J379</f>
        <v>1</v>
      </c>
      <c r="M378" s="78">
        <f t="shared" si="10"/>
        <v>457</v>
      </c>
      <c r="N378" s="103">
        <v>0</v>
      </c>
      <c r="O378" s="103">
        <f>'66 SYANA PRAROOP-20'!M379</f>
        <v>0</v>
      </c>
      <c r="P378" s="78">
        <f t="shared" si="11"/>
        <v>457</v>
      </c>
      <c r="Q378" s="103">
        <v>0</v>
      </c>
    </row>
    <row r="379" spans="2:17" ht="18.75">
      <c r="B379" s="78">
        <v>373</v>
      </c>
      <c r="C379" s="114" t="s">
        <v>546</v>
      </c>
      <c r="D379" s="33">
        <v>513</v>
      </c>
      <c r="E379" s="103">
        <f>'66 SYANA PRAROOP-20'!C380</f>
        <v>28</v>
      </c>
      <c r="F379" s="103">
        <f>'66 SYANA PRAROOP-20'!D380</f>
        <v>10</v>
      </c>
      <c r="G379" s="103">
        <f>'66 SYANA PRAROOP-20'!E380</f>
        <v>0</v>
      </c>
      <c r="H379" s="103">
        <f>'66 SYANA PRAROOP-20'!F380</f>
        <v>472</v>
      </c>
      <c r="I379" s="103">
        <f>'66 SYANA PRAROOP-20'!G380</f>
        <v>0</v>
      </c>
      <c r="J379" s="103">
        <f>'66 SYANA PRAROOP-20'!H380</f>
        <v>2</v>
      </c>
      <c r="K379" s="103">
        <f>'66 SYANA PRAROOP-20'!I380</f>
        <v>1</v>
      </c>
      <c r="L379" s="103">
        <f>'66 SYANA PRAROOP-20'!J380</f>
        <v>0</v>
      </c>
      <c r="M379" s="78">
        <f t="shared" si="10"/>
        <v>513</v>
      </c>
      <c r="N379" s="103">
        <v>0</v>
      </c>
      <c r="O379" s="103">
        <f>'66 SYANA PRAROOP-20'!M380</f>
        <v>0</v>
      </c>
      <c r="P379" s="78">
        <f t="shared" si="11"/>
        <v>513</v>
      </c>
      <c r="Q379" s="103">
        <v>0</v>
      </c>
    </row>
    <row r="380" spans="2:17" ht="18.75">
      <c r="B380" s="78">
        <v>374</v>
      </c>
      <c r="C380" s="114" t="s">
        <v>547</v>
      </c>
      <c r="D380" s="33">
        <v>557</v>
      </c>
      <c r="E380" s="103">
        <f>'66 SYANA PRAROOP-20'!C381</f>
        <v>14</v>
      </c>
      <c r="F380" s="103">
        <f>'66 SYANA PRAROOP-20'!D381</f>
        <v>522</v>
      </c>
      <c r="G380" s="103">
        <f>'66 SYANA PRAROOP-20'!E381</f>
        <v>7</v>
      </c>
      <c r="H380" s="103">
        <f>'66 SYANA PRAROOP-20'!F381</f>
        <v>4</v>
      </c>
      <c r="I380" s="103">
        <f>'66 SYANA PRAROOP-20'!G381</f>
        <v>0</v>
      </c>
      <c r="J380" s="103">
        <f>'66 SYANA PRAROOP-20'!H381</f>
        <v>1</v>
      </c>
      <c r="K380" s="103">
        <f>'66 SYANA PRAROOP-20'!I381</f>
        <v>0</v>
      </c>
      <c r="L380" s="103">
        <f>'66 SYANA PRAROOP-20'!J381</f>
        <v>4</v>
      </c>
      <c r="M380" s="78">
        <f t="shared" si="10"/>
        <v>552</v>
      </c>
      <c r="N380" s="103">
        <v>0</v>
      </c>
      <c r="O380" s="103">
        <f>'66 SYANA PRAROOP-20'!M381</f>
        <v>5</v>
      </c>
      <c r="P380" s="78">
        <f t="shared" si="11"/>
        <v>557</v>
      </c>
      <c r="Q380" s="103">
        <v>0</v>
      </c>
    </row>
    <row r="381" spans="2:17" ht="18.75">
      <c r="B381" s="78">
        <v>375</v>
      </c>
      <c r="C381" s="114" t="s">
        <v>548</v>
      </c>
      <c r="D381" s="33">
        <v>702</v>
      </c>
      <c r="E381" s="103">
        <f>'66 SYANA PRAROOP-20'!C382</f>
        <v>2</v>
      </c>
      <c r="F381" s="103">
        <f>'66 SYANA PRAROOP-20'!D382</f>
        <v>682</v>
      </c>
      <c r="G381" s="103">
        <f>'66 SYANA PRAROOP-20'!E382</f>
        <v>5</v>
      </c>
      <c r="H381" s="103">
        <f>'66 SYANA PRAROOP-20'!F382</f>
        <v>2</v>
      </c>
      <c r="I381" s="103">
        <f>'66 SYANA PRAROOP-20'!G382</f>
        <v>0</v>
      </c>
      <c r="J381" s="103">
        <f>'66 SYANA PRAROOP-20'!H382</f>
        <v>0</v>
      </c>
      <c r="K381" s="103">
        <f>'66 SYANA PRAROOP-20'!I382</f>
        <v>2</v>
      </c>
      <c r="L381" s="103">
        <f>'66 SYANA PRAROOP-20'!J382</f>
        <v>5</v>
      </c>
      <c r="M381" s="78">
        <f t="shared" si="10"/>
        <v>698</v>
      </c>
      <c r="N381" s="103">
        <v>0</v>
      </c>
      <c r="O381" s="103">
        <f>'66 SYANA PRAROOP-20'!M382</f>
        <v>4</v>
      </c>
      <c r="P381" s="78">
        <f t="shared" si="11"/>
        <v>702</v>
      </c>
      <c r="Q381" s="103">
        <v>0</v>
      </c>
    </row>
    <row r="382" spans="2:17" ht="18.75">
      <c r="B382" s="78">
        <v>376</v>
      </c>
      <c r="C382" s="114" t="s">
        <v>549</v>
      </c>
      <c r="D382" s="33">
        <v>676</v>
      </c>
      <c r="E382" s="103">
        <f>'66 SYANA PRAROOP-20'!C383</f>
        <v>12</v>
      </c>
      <c r="F382" s="103">
        <f>'66 SYANA PRAROOP-20'!D383</f>
        <v>634</v>
      </c>
      <c r="G382" s="103">
        <f>'66 SYANA PRAROOP-20'!E383</f>
        <v>6</v>
      </c>
      <c r="H382" s="103">
        <f>'66 SYANA PRAROOP-20'!F383</f>
        <v>1</v>
      </c>
      <c r="I382" s="103">
        <f>'66 SYANA PRAROOP-20'!G383</f>
        <v>1</v>
      </c>
      <c r="J382" s="103">
        <f>'66 SYANA PRAROOP-20'!H383</f>
        <v>3</v>
      </c>
      <c r="K382" s="103">
        <f>'66 SYANA PRAROOP-20'!I383</f>
        <v>7</v>
      </c>
      <c r="L382" s="103">
        <f>'66 SYANA PRAROOP-20'!J383</f>
        <v>5</v>
      </c>
      <c r="M382" s="78">
        <f t="shared" si="10"/>
        <v>669</v>
      </c>
      <c r="N382" s="103">
        <v>0</v>
      </c>
      <c r="O382" s="103">
        <f>'66 SYANA PRAROOP-20'!M383</f>
        <v>7</v>
      </c>
      <c r="P382" s="78">
        <f t="shared" si="11"/>
        <v>676</v>
      </c>
      <c r="Q382" s="103">
        <v>0</v>
      </c>
    </row>
    <row r="383" spans="2:17" ht="18.75">
      <c r="B383" s="78">
        <v>377</v>
      </c>
      <c r="C383" s="114" t="s">
        <v>550</v>
      </c>
      <c r="D383" s="33">
        <v>560</v>
      </c>
      <c r="E383" s="103">
        <f>'66 SYANA PRAROOP-20'!C384</f>
        <v>175</v>
      </c>
      <c r="F383" s="103">
        <f>'66 SYANA PRAROOP-20'!D384</f>
        <v>359</v>
      </c>
      <c r="G383" s="103">
        <f>'66 SYANA PRAROOP-20'!E384</f>
        <v>2</v>
      </c>
      <c r="H383" s="103">
        <f>'66 SYANA PRAROOP-20'!F384</f>
        <v>4</v>
      </c>
      <c r="I383" s="103">
        <f>'66 SYANA PRAROOP-20'!G384</f>
        <v>2</v>
      </c>
      <c r="J383" s="103">
        <f>'66 SYANA PRAROOP-20'!H384</f>
        <v>2</v>
      </c>
      <c r="K383" s="103">
        <f>'66 SYANA PRAROOP-20'!I384</f>
        <v>4</v>
      </c>
      <c r="L383" s="103">
        <f>'66 SYANA PRAROOP-20'!J384</f>
        <v>6</v>
      </c>
      <c r="M383" s="78">
        <f t="shared" si="10"/>
        <v>554</v>
      </c>
      <c r="N383" s="103">
        <v>0</v>
      </c>
      <c r="O383" s="103">
        <f>'66 SYANA PRAROOP-20'!M384</f>
        <v>6</v>
      </c>
      <c r="P383" s="78">
        <f t="shared" si="11"/>
        <v>560</v>
      </c>
      <c r="Q383" s="103">
        <v>0</v>
      </c>
    </row>
    <row r="384" spans="2:17" ht="18.75">
      <c r="B384" s="78">
        <v>378</v>
      </c>
      <c r="C384" s="116" t="s">
        <v>638</v>
      </c>
      <c r="D384" s="33">
        <v>456</v>
      </c>
      <c r="E384" s="103">
        <f>'66 SYANA PRAROOP-20'!C385</f>
        <v>438</v>
      </c>
      <c r="F384" s="103">
        <f>'66 SYANA PRAROOP-20'!D385</f>
        <v>16</v>
      </c>
      <c r="G384" s="103">
        <f>'66 SYANA PRAROOP-20'!E385</f>
        <v>0</v>
      </c>
      <c r="H384" s="103">
        <f>'66 SYANA PRAROOP-20'!F385</f>
        <v>0</v>
      </c>
      <c r="I384" s="103">
        <f>'66 SYANA PRAROOP-20'!G385</f>
        <v>0</v>
      </c>
      <c r="J384" s="103">
        <f>'66 SYANA PRAROOP-20'!H385</f>
        <v>0</v>
      </c>
      <c r="K384" s="103">
        <f>'66 SYANA PRAROOP-20'!I385</f>
        <v>1</v>
      </c>
      <c r="L384" s="103">
        <f>'66 SYANA PRAROOP-20'!J385</f>
        <v>0</v>
      </c>
      <c r="M384" s="78">
        <f t="shared" si="10"/>
        <v>455</v>
      </c>
      <c r="N384" s="103">
        <v>0</v>
      </c>
      <c r="O384" s="103">
        <f>'66 SYANA PRAROOP-20'!M385</f>
        <v>1</v>
      </c>
      <c r="P384" s="78">
        <f t="shared" si="11"/>
        <v>456</v>
      </c>
      <c r="Q384" s="103">
        <v>0</v>
      </c>
    </row>
    <row r="385" spans="2:17" ht="18.75">
      <c r="B385" s="78">
        <v>379</v>
      </c>
      <c r="C385" s="114" t="s">
        <v>551</v>
      </c>
      <c r="D385" s="33">
        <v>395</v>
      </c>
      <c r="E385" s="103">
        <f>'66 SYANA PRAROOP-20'!C386</f>
        <v>363</v>
      </c>
      <c r="F385" s="103">
        <f>'66 SYANA PRAROOP-20'!D386</f>
        <v>11</v>
      </c>
      <c r="G385" s="103">
        <f>'66 SYANA PRAROOP-20'!E386</f>
        <v>1</v>
      </c>
      <c r="H385" s="103">
        <f>'66 SYANA PRAROOP-20'!F386</f>
        <v>11</v>
      </c>
      <c r="I385" s="103">
        <f>'66 SYANA PRAROOP-20'!G386</f>
        <v>6</v>
      </c>
      <c r="J385" s="103">
        <f>'66 SYANA PRAROOP-20'!H386</f>
        <v>0</v>
      </c>
      <c r="K385" s="103">
        <f>'66 SYANA PRAROOP-20'!I386</f>
        <v>1</v>
      </c>
      <c r="L385" s="103">
        <f>'66 SYANA PRAROOP-20'!J386</f>
        <v>0</v>
      </c>
      <c r="M385" s="78">
        <f t="shared" si="10"/>
        <v>393</v>
      </c>
      <c r="N385" s="103">
        <v>0</v>
      </c>
      <c r="O385" s="103">
        <f>'66 SYANA PRAROOP-20'!M386</f>
        <v>2</v>
      </c>
      <c r="P385" s="78">
        <f t="shared" si="11"/>
        <v>395</v>
      </c>
      <c r="Q385" s="103">
        <v>0</v>
      </c>
    </row>
    <row r="386" spans="2:17" ht="18.75">
      <c r="B386" s="78">
        <v>380</v>
      </c>
      <c r="C386" s="114" t="s">
        <v>552</v>
      </c>
      <c r="D386" s="33">
        <v>596</v>
      </c>
      <c r="E386" s="103">
        <f>'66 SYANA PRAROOP-20'!C387</f>
        <v>437</v>
      </c>
      <c r="F386" s="103">
        <f>'66 SYANA PRAROOP-20'!D387</f>
        <v>48</v>
      </c>
      <c r="G386" s="103">
        <f>'66 SYANA PRAROOP-20'!E387</f>
        <v>3</v>
      </c>
      <c r="H386" s="103">
        <f>'66 SYANA PRAROOP-20'!F387</f>
        <v>98</v>
      </c>
      <c r="I386" s="103">
        <f>'66 SYANA PRAROOP-20'!G387</f>
        <v>3</v>
      </c>
      <c r="J386" s="103">
        <f>'66 SYANA PRAROOP-20'!H387</f>
        <v>3</v>
      </c>
      <c r="K386" s="103">
        <f>'66 SYANA PRAROOP-20'!I387</f>
        <v>2</v>
      </c>
      <c r="L386" s="103">
        <f>'66 SYANA PRAROOP-20'!J387</f>
        <v>0</v>
      </c>
      <c r="M386" s="78">
        <f t="shared" si="10"/>
        <v>594</v>
      </c>
      <c r="N386" s="103">
        <v>0</v>
      </c>
      <c r="O386" s="103">
        <f>'66 SYANA PRAROOP-20'!M387</f>
        <v>2</v>
      </c>
      <c r="P386" s="78">
        <f t="shared" si="11"/>
        <v>596</v>
      </c>
      <c r="Q386" s="103">
        <v>0</v>
      </c>
    </row>
    <row r="387" spans="2:17" ht="18.75">
      <c r="B387" s="78">
        <v>381</v>
      </c>
      <c r="C387" s="114" t="s">
        <v>553</v>
      </c>
      <c r="D387" s="33">
        <v>650</v>
      </c>
      <c r="E387" s="103">
        <f>'66 SYANA PRAROOP-20'!C388</f>
        <v>100</v>
      </c>
      <c r="F387" s="103">
        <f>'66 SYANA PRAROOP-20'!D388</f>
        <v>241</v>
      </c>
      <c r="G387" s="103">
        <f>'66 SYANA PRAROOP-20'!E388</f>
        <v>3</v>
      </c>
      <c r="H387" s="103">
        <f>'66 SYANA PRAROOP-20'!F388</f>
        <v>285</v>
      </c>
      <c r="I387" s="103">
        <f>'66 SYANA PRAROOP-20'!G388</f>
        <v>9</v>
      </c>
      <c r="J387" s="103">
        <f>'66 SYANA PRAROOP-20'!H388</f>
        <v>2</v>
      </c>
      <c r="K387" s="103">
        <f>'66 SYANA PRAROOP-20'!I388</f>
        <v>3</v>
      </c>
      <c r="L387" s="103">
        <f>'66 SYANA PRAROOP-20'!J388</f>
        <v>3</v>
      </c>
      <c r="M387" s="78">
        <f t="shared" si="10"/>
        <v>646</v>
      </c>
      <c r="N387" s="103">
        <v>0</v>
      </c>
      <c r="O387" s="103">
        <f>'66 SYANA PRAROOP-20'!M388</f>
        <v>4</v>
      </c>
      <c r="P387" s="78">
        <f t="shared" si="11"/>
        <v>650</v>
      </c>
      <c r="Q387" s="103">
        <v>0</v>
      </c>
    </row>
    <row r="388" spans="2:17" ht="18.75">
      <c r="B388" s="78">
        <v>382</v>
      </c>
      <c r="C388" s="114" t="s">
        <v>554</v>
      </c>
      <c r="D388" s="33">
        <v>665</v>
      </c>
      <c r="E388" s="103">
        <f>'66 SYANA PRAROOP-20'!C389</f>
        <v>74</v>
      </c>
      <c r="F388" s="103">
        <f>'66 SYANA PRAROOP-20'!D389</f>
        <v>524</v>
      </c>
      <c r="G388" s="103">
        <f>'66 SYANA PRAROOP-20'!E389</f>
        <v>7</v>
      </c>
      <c r="H388" s="103">
        <f>'66 SYANA PRAROOP-20'!F389</f>
        <v>44</v>
      </c>
      <c r="I388" s="103">
        <f>'66 SYANA PRAROOP-20'!G389</f>
        <v>1</v>
      </c>
      <c r="J388" s="103">
        <f>'66 SYANA PRAROOP-20'!H389</f>
        <v>1</v>
      </c>
      <c r="K388" s="103">
        <f>'66 SYANA PRAROOP-20'!I389</f>
        <v>6</v>
      </c>
      <c r="L388" s="103">
        <f>'66 SYANA PRAROOP-20'!J389</f>
        <v>5</v>
      </c>
      <c r="M388" s="78">
        <f t="shared" si="10"/>
        <v>662</v>
      </c>
      <c r="N388" s="103">
        <v>0</v>
      </c>
      <c r="O388" s="103">
        <f>'66 SYANA PRAROOP-20'!M389</f>
        <v>3</v>
      </c>
      <c r="P388" s="78">
        <f t="shared" si="11"/>
        <v>665</v>
      </c>
      <c r="Q388" s="103">
        <v>0</v>
      </c>
    </row>
    <row r="389" spans="2:17" ht="18.75">
      <c r="B389" s="78">
        <v>383</v>
      </c>
      <c r="C389" s="114" t="s">
        <v>555</v>
      </c>
      <c r="D389" s="33">
        <v>769</v>
      </c>
      <c r="E389" s="103">
        <f>'66 SYANA PRAROOP-20'!C390</f>
        <v>522</v>
      </c>
      <c r="F389" s="103">
        <f>'66 SYANA PRAROOP-20'!D390</f>
        <v>47</v>
      </c>
      <c r="G389" s="103">
        <f>'66 SYANA PRAROOP-20'!E390</f>
        <v>5</v>
      </c>
      <c r="H389" s="103">
        <f>'66 SYANA PRAROOP-20'!F390</f>
        <v>183</v>
      </c>
      <c r="I389" s="103">
        <f>'66 SYANA PRAROOP-20'!G390</f>
        <v>3</v>
      </c>
      <c r="J389" s="103">
        <f>'66 SYANA PRAROOP-20'!H390</f>
        <v>0</v>
      </c>
      <c r="K389" s="103">
        <f>'66 SYANA PRAROOP-20'!I390</f>
        <v>0</v>
      </c>
      <c r="L389" s="103">
        <f>'66 SYANA PRAROOP-20'!J390</f>
        <v>2</v>
      </c>
      <c r="M389" s="78">
        <f t="shared" si="10"/>
        <v>762</v>
      </c>
      <c r="N389" s="103">
        <v>0</v>
      </c>
      <c r="O389" s="103">
        <f>'66 SYANA PRAROOP-20'!M390</f>
        <v>7</v>
      </c>
      <c r="P389" s="78">
        <f t="shared" si="11"/>
        <v>769</v>
      </c>
      <c r="Q389" s="103">
        <v>0</v>
      </c>
    </row>
    <row r="390" spans="2:17" ht="18.75">
      <c r="B390" s="78">
        <v>384</v>
      </c>
      <c r="C390" s="114" t="s">
        <v>556</v>
      </c>
      <c r="D390" s="33">
        <v>558</v>
      </c>
      <c r="E390" s="103">
        <f>'66 SYANA PRAROOP-20'!C391</f>
        <v>415</v>
      </c>
      <c r="F390" s="103">
        <f>'66 SYANA PRAROOP-20'!D391</f>
        <v>17</v>
      </c>
      <c r="G390" s="103">
        <f>'66 SYANA PRAROOP-20'!E391</f>
        <v>2</v>
      </c>
      <c r="H390" s="103">
        <f>'66 SYANA PRAROOP-20'!F391</f>
        <v>109</v>
      </c>
      <c r="I390" s="103">
        <f>'66 SYANA PRAROOP-20'!G391</f>
        <v>3</v>
      </c>
      <c r="J390" s="103">
        <f>'66 SYANA PRAROOP-20'!H391</f>
        <v>3</v>
      </c>
      <c r="K390" s="103">
        <f>'66 SYANA PRAROOP-20'!I391</f>
        <v>0</v>
      </c>
      <c r="L390" s="103">
        <f>'66 SYANA PRAROOP-20'!J391</f>
        <v>2</v>
      </c>
      <c r="M390" s="78">
        <f t="shared" si="10"/>
        <v>551</v>
      </c>
      <c r="N390" s="103">
        <v>0</v>
      </c>
      <c r="O390" s="103">
        <f>'66 SYANA PRAROOP-20'!M391</f>
        <v>7</v>
      </c>
      <c r="P390" s="78">
        <f t="shared" si="11"/>
        <v>558</v>
      </c>
      <c r="Q390" s="103">
        <v>0</v>
      </c>
    </row>
    <row r="391" spans="2:17" ht="18.75">
      <c r="B391" s="78">
        <v>385</v>
      </c>
      <c r="C391" s="114" t="s">
        <v>557</v>
      </c>
      <c r="D391" s="33">
        <v>620</v>
      </c>
      <c r="E391" s="103">
        <f>'66 SYANA PRAROOP-20'!C392</f>
        <v>599</v>
      </c>
      <c r="F391" s="103">
        <f>'66 SYANA PRAROOP-20'!D392</f>
        <v>5</v>
      </c>
      <c r="G391" s="103">
        <f>'66 SYANA PRAROOP-20'!E392</f>
        <v>4</v>
      </c>
      <c r="H391" s="103">
        <f>'66 SYANA PRAROOP-20'!F392</f>
        <v>9</v>
      </c>
      <c r="I391" s="103">
        <f>'66 SYANA PRAROOP-20'!G392</f>
        <v>0</v>
      </c>
      <c r="J391" s="103">
        <f>'66 SYANA PRAROOP-20'!H392</f>
        <v>0</v>
      </c>
      <c r="K391" s="103">
        <f>'66 SYANA PRAROOP-20'!I392</f>
        <v>0</v>
      </c>
      <c r="L391" s="103">
        <f>'66 SYANA PRAROOP-20'!J392</f>
        <v>0</v>
      </c>
      <c r="M391" s="78">
        <f t="shared" ref="M391:M444" si="12">SUM(E391:L391)</f>
        <v>617</v>
      </c>
      <c r="N391" s="103">
        <v>0</v>
      </c>
      <c r="O391" s="103">
        <f>'66 SYANA PRAROOP-20'!M392</f>
        <v>3</v>
      </c>
      <c r="P391" s="78">
        <f t="shared" si="11"/>
        <v>620</v>
      </c>
      <c r="Q391" s="103">
        <v>0</v>
      </c>
    </row>
    <row r="392" spans="2:17" ht="18.75">
      <c r="B392" s="78">
        <v>386</v>
      </c>
      <c r="C392" s="114" t="s">
        <v>558</v>
      </c>
      <c r="D392" s="33">
        <v>610</v>
      </c>
      <c r="E392" s="103">
        <f>'66 SYANA PRAROOP-20'!C393</f>
        <v>323</v>
      </c>
      <c r="F392" s="103">
        <f>'66 SYANA PRAROOP-20'!D393</f>
        <v>151</v>
      </c>
      <c r="G392" s="103">
        <f>'66 SYANA PRAROOP-20'!E393</f>
        <v>8</v>
      </c>
      <c r="H392" s="103">
        <f>'66 SYANA PRAROOP-20'!F393</f>
        <v>94</v>
      </c>
      <c r="I392" s="103">
        <f>'66 SYANA PRAROOP-20'!G393</f>
        <v>6</v>
      </c>
      <c r="J392" s="103">
        <f>'66 SYANA PRAROOP-20'!H393</f>
        <v>7</v>
      </c>
      <c r="K392" s="103">
        <f>'66 SYANA PRAROOP-20'!I393</f>
        <v>8</v>
      </c>
      <c r="L392" s="103">
        <f>'66 SYANA PRAROOP-20'!J393</f>
        <v>5</v>
      </c>
      <c r="M392" s="78">
        <f t="shared" si="12"/>
        <v>602</v>
      </c>
      <c r="N392" s="103">
        <v>0</v>
      </c>
      <c r="O392" s="103">
        <f>'66 SYANA PRAROOP-20'!M393</f>
        <v>8</v>
      </c>
      <c r="P392" s="78">
        <f t="shared" ref="P392:P444" si="13">M392+O392-N392</f>
        <v>610</v>
      </c>
      <c r="Q392" s="103">
        <v>0</v>
      </c>
    </row>
    <row r="393" spans="2:17" ht="18.75">
      <c r="B393" s="78">
        <v>387</v>
      </c>
      <c r="C393" s="114" t="s">
        <v>559</v>
      </c>
      <c r="D393" s="33">
        <v>734</v>
      </c>
      <c r="E393" s="103">
        <f>'66 SYANA PRAROOP-20'!C394</f>
        <v>653</v>
      </c>
      <c r="F393" s="103">
        <f>'66 SYANA PRAROOP-20'!D394</f>
        <v>38</v>
      </c>
      <c r="G393" s="103">
        <f>'66 SYANA PRAROOP-20'!E394</f>
        <v>2</v>
      </c>
      <c r="H393" s="103">
        <f>'66 SYANA PRAROOP-20'!F394</f>
        <v>25</v>
      </c>
      <c r="I393" s="103">
        <f>'66 SYANA PRAROOP-20'!G394</f>
        <v>1</v>
      </c>
      <c r="J393" s="103">
        <f>'66 SYANA PRAROOP-20'!H394</f>
        <v>0</v>
      </c>
      <c r="K393" s="103">
        <f>'66 SYANA PRAROOP-20'!I394</f>
        <v>0</v>
      </c>
      <c r="L393" s="103">
        <f>'66 SYANA PRAROOP-20'!J394</f>
        <v>1</v>
      </c>
      <c r="M393" s="78">
        <f t="shared" si="12"/>
        <v>720</v>
      </c>
      <c r="N393" s="103">
        <v>0</v>
      </c>
      <c r="O393" s="103">
        <f>'66 SYANA PRAROOP-20'!M394</f>
        <v>14</v>
      </c>
      <c r="P393" s="78">
        <f t="shared" si="13"/>
        <v>734</v>
      </c>
      <c r="Q393" s="103">
        <v>0</v>
      </c>
    </row>
    <row r="394" spans="2:17" ht="18.75">
      <c r="B394" s="78">
        <v>388</v>
      </c>
      <c r="C394" s="114" t="s">
        <v>560</v>
      </c>
      <c r="D394" s="33">
        <v>534</v>
      </c>
      <c r="E394" s="103">
        <f>'66 SYANA PRAROOP-20'!C395</f>
        <v>480</v>
      </c>
      <c r="F394" s="103">
        <f>'66 SYANA PRAROOP-20'!D395</f>
        <v>14</v>
      </c>
      <c r="G394" s="103">
        <f>'66 SYANA PRAROOP-20'!E395</f>
        <v>1</v>
      </c>
      <c r="H394" s="103">
        <f>'66 SYANA PRAROOP-20'!F395</f>
        <v>33</v>
      </c>
      <c r="I394" s="103">
        <f>'66 SYANA PRAROOP-20'!G395</f>
        <v>1</v>
      </c>
      <c r="J394" s="103">
        <f>'66 SYANA PRAROOP-20'!H395</f>
        <v>1</v>
      </c>
      <c r="K394" s="103">
        <f>'66 SYANA PRAROOP-20'!I395</f>
        <v>1</v>
      </c>
      <c r="L394" s="103">
        <f>'66 SYANA PRAROOP-20'!J395</f>
        <v>0</v>
      </c>
      <c r="M394" s="78">
        <f t="shared" si="12"/>
        <v>531</v>
      </c>
      <c r="N394" s="103">
        <v>0</v>
      </c>
      <c r="O394" s="103">
        <f>'66 SYANA PRAROOP-20'!M395</f>
        <v>3</v>
      </c>
      <c r="P394" s="78">
        <f t="shared" si="13"/>
        <v>534</v>
      </c>
      <c r="Q394" s="103">
        <v>0</v>
      </c>
    </row>
    <row r="395" spans="2:17" ht="18.75">
      <c r="B395" s="78">
        <v>389</v>
      </c>
      <c r="C395" s="114" t="s">
        <v>561</v>
      </c>
      <c r="D395" s="33">
        <v>659</v>
      </c>
      <c r="E395" s="103">
        <f>'66 SYANA PRAROOP-20'!C396</f>
        <v>385</v>
      </c>
      <c r="F395" s="103">
        <f>'66 SYANA PRAROOP-20'!D396</f>
        <v>227</v>
      </c>
      <c r="G395" s="103">
        <f>'66 SYANA PRAROOP-20'!E396</f>
        <v>2</v>
      </c>
      <c r="H395" s="103">
        <f>'66 SYANA PRAROOP-20'!F396</f>
        <v>36</v>
      </c>
      <c r="I395" s="103">
        <f>'66 SYANA PRAROOP-20'!G396</f>
        <v>1</v>
      </c>
      <c r="J395" s="103">
        <f>'66 SYANA PRAROOP-20'!H396</f>
        <v>1</v>
      </c>
      <c r="K395" s="103">
        <f>'66 SYANA PRAROOP-20'!I396</f>
        <v>2</v>
      </c>
      <c r="L395" s="103">
        <f>'66 SYANA PRAROOP-20'!J396</f>
        <v>2</v>
      </c>
      <c r="M395" s="78">
        <f t="shared" si="12"/>
        <v>656</v>
      </c>
      <c r="N395" s="103">
        <v>0</v>
      </c>
      <c r="O395" s="103">
        <f>'66 SYANA PRAROOP-20'!M396</f>
        <v>3</v>
      </c>
      <c r="P395" s="78">
        <f t="shared" si="13"/>
        <v>659</v>
      </c>
      <c r="Q395" s="103">
        <v>0</v>
      </c>
    </row>
    <row r="396" spans="2:17" ht="18.75">
      <c r="B396" s="78">
        <v>390</v>
      </c>
      <c r="C396" s="114" t="s">
        <v>562</v>
      </c>
      <c r="D396" s="33">
        <v>615</v>
      </c>
      <c r="E396" s="103">
        <f>'66 SYANA PRAROOP-20'!C397</f>
        <v>431</v>
      </c>
      <c r="F396" s="103">
        <f>'66 SYANA PRAROOP-20'!D397</f>
        <v>28</v>
      </c>
      <c r="G396" s="103">
        <f>'66 SYANA PRAROOP-20'!E397</f>
        <v>5</v>
      </c>
      <c r="H396" s="103">
        <f>'66 SYANA PRAROOP-20'!F397</f>
        <v>137</v>
      </c>
      <c r="I396" s="103">
        <f>'66 SYANA PRAROOP-20'!G397</f>
        <v>2</v>
      </c>
      <c r="J396" s="103">
        <f>'66 SYANA PRAROOP-20'!H397</f>
        <v>1</v>
      </c>
      <c r="K396" s="103">
        <f>'66 SYANA PRAROOP-20'!I397</f>
        <v>2</v>
      </c>
      <c r="L396" s="103">
        <f>'66 SYANA PRAROOP-20'!J397</f>
        <v>4</v>
      </c>
      <c r="M396" s="78">
        <f t="shared" si="12"/>
        <v>610</v>
      </c>
      <c r="N396" s="103">
        <v>0</v>
      </c>
      <c r="O396" s="103">
        <f>'66 SYANA PRAROOP-20'!M397</f>
        <v>5</v>
      </c>
      <c r="P396" s="78">
        <f t="shared" si="13"/>
        <v>615</v>
      </c>
      <c r="Q396" s="103">
        <v>0</v>
      </c>
    </row>
    <row r="397" spans="2:17" ht="18.75">
      <c r="B397" s="78">
        <v>391</v>
      </c>
      <c r="C397" s="114" t="s">
        <v>563</v>
      </c>
      <c r="D397" s="33">
        <v>692</v>
      </c>
      <c r="E397" s="103">
        <f>'66 SYANA PRAROOP-20'!C398</f>
        <v>557</v>
      </c>
      <c r="F397" s="103">
        <f>'66 SYANA PRAROOP-20'!D398</f>
        <v>129</v>
      </c>
      <c r="G397" s="103">
        <f>'66 SYANA PRAROOP-20'!E398</f>
        <v>2</v>
      </c>
      <c r="H397" s="103">
        <f>'66 SYANA PRAROOP-20'!F398</f>
        <v>0</v>
      </c>
      <c r="I397" s="103">
        <f>'66 SYANA PRAROOP-20'!G398</f>
        <v>0</v>
      </c>
      <c r="J397" s="103">
        <f>'66 SYANA PRAROOP-20'!H398</f>
        <v>1</v>
      </c>
      <c r="K397" s="103">
        <f>'66 SYANA PRAROOP-20'!I398</f>
        <v>0</v>
      </c>
      <c r="L397" s="103">
        <f>'66 SYANA PRAROOP-20'!J398</f>
        <v>0</v>
      </c>
      <c r="M397" s="78">
        <f t="shared" si="12"/>
        <v>689</v>
      </c>
      <c r="N397" s="103">
        <v>0</v>
      </c>
      <c r="O397" s="103">
        <f>'66 SYANA PRAROOP-20'!M398</f>
        <v>3</v>
      </c>
      <c r="P397" s="78">
        <f t="shared" si="13"/>
        <v>692</v>
      </c>
      <c r="Q397" s="103">
        <v>0</v>
      </c>
    </row>
    <row r="398" spans="2:17" ht="18.75">
      <c r="B398" s="78">
        <v>392</v>
      </c>
      <c r="C398" s="114" t="s">
        <v>564</v>
      </c>
      <c r="D398" s="33">
        <v>543</v>
      </c>
      <c r="E398" s="103">
        <f>'66 SYANA PRAROOP-20'!C399</f>
        <v>41</v>
      </c>
      <c r="F398" s="103">
        <f>'66 SYANA PRAROOP-20'!D399</f>
        <v>250</v>
      </c>
      <c r="G398" s="103">
        <f>'66 SYANA PRAROOP-20'!E399</f>
        <v>8</v>
      </c>
      <c r="H398" s="103">
        <f>'66 SYANA PRAROOP-20'!F399</f>
        <v>230</v>
      </c>
      <c r="I398" s="103">
        <f>'66 SYANA PRAROOP-20'!G399</f>
        <v>4</v>
      </c>
      <c r="J398" s="103">
        <f>'66 SYANA PRAROOP-20'!H399</f>
        <v>6</v>
      </c>
      <c r="K398" s="103">
        <f>'66 SYANA PRAROOP-20'!I399</f>
        <v>3</v>
      </c>
      <c r="L398" s="103">
        <f>'66 SYANA PRAROOP-20'!J399</f>
        <v>0</v>
      </c>
      <c r="M398" s="78">
        <f t="shared" si="12"/>
        <v>542</v>
      </c>
      <c r="N398" s="103">
        <v>0</v>
      </c>
      <c r="O398" s="103">
        <f>'66 SYANA PRAROOP-20'!M399</f>
        <v>1</v>
      </c>
      <c r="P398" s="78">
        <f t="shared" si="13"/>
        <v>543</v>
      </c>
      <c r="Q398" s="103">
        <v>0</v>
      </c>
    </row>
    <row r="399" spans="2:17" ht="18.75">
      <c r="B399" s="78">
        <v>393</v>
      </c>
      <c r="C399" s="114" t="s">
        <v>565</v>
      </c>
      <c r="D399" s="33">
        <v>579</v>
      </c>
      <c r="E399" s="103">
        <f>'66 SYANA PRAROOP-20'!C400</f>
        <v>73</v>
      </c>
      <c r="F399" s="103">
        <f>'66 SYANA PRAROOP-20'!D400</f>
        <v>357</v>
      </c>
      <c r="G399" s="103">
        <f>'66 SYANA PRAROOP-20'!E400</f>
        <v>2</v>
      </c>
      <c r="H399" s="103">
        <f>'66 SYANA PRAROOP-20'!F400</f>
        <v>124</v>
      </c>
      <c r="I399" s="103">
        <f>'66 SYANA PRAROOP-20'!G400</f>
        <v>3</v>
      </c>
      <c r="J399" s="103">
        <f>'66 SYANA PRAROOP-20'!H400</f>
        <v>13</v>
      </c>
      <c r="K399" s="103">
        <f>'66 SYANA PRAROOP-20'!I400</f>
        <v>3</v>
      </c>
      <c r="L399" s="103">
        <f>'66 SYANA PRAROOP-20'!J400</f>
        <v>2</v>
      </c>
      <c r="M399" s="78">
        <f t="shared" si="12"/>
        <v>577</v>
      </c>
      <c r="N399" s="103">
        <v>0</v>
      </c>
      <c r="O399" s="103">
        <f>'66 SYANA PRAROOP-20'!M400</f>
        <v>2</v>
      </c>
      <c r="P399" s="78">
        <f t="shared" si="13"/>
        <v>579</v>
      </c>
      <c r="Q399" s="103">
        <v>0</v>
      </c>
    </row>
    <row r="400" spans="2:17" ht="18.75">
      <c r="B400" s="78">
        <v>394</v>
      </c>
      <c r="C400" s="114" t="s">
        <v>566</v>
      </c>
      <c r="D400" s="33">
        <v>623</v>
      </c>
      <c r="E400" s="103">
        <f>'66 SYANA PRAROOP-20'!C401</f>
        <v>65</v>
      </c>
      <c r="F400" s="103">
        <f>'66 SYANA PRAROOP-20'!D401</f>
        <v>520</v>
      </c>
      <c r="G400" s="103">
        <f>'66 SYANA PRAROOP-20'!E401</f>
        <v>14</v>
      </c>
      <c r="H400" s="103">
        <f>'66 SYANA PRAROOP-20'!F401</f>
        <v>1</v>
      </c>
      <c r="I400" s="103">
        <f>'66 SYANA PRAROOP-20'!G401</f>
        <v>2</v>
      </c>
      <c r="J400" s="103">
        <f>'66 SYANA PRAROOP-20'!H401</f>
        <v>8</v>
      </c>
      <c r="K400" s="103">
        <f>'66 SYANA PRAROOP-20'!I401</f>
        <v>5</v>
      </c>
      <c r="L400" s="103">
        <f>'66 SYANA PRAROOP-20'!J401</f>
        <v>4</v>
      </c>
      <c r="M400" s="78">
        <f t="shared" si="12"/>
        <v>619</v>
      </c>
      <c r="N400" s="103">
        <v>0</v>
      </c>
      <c r="O400" s="103">
        <f>'66 SYANA PRAROOP-20'!M401</f>
        <v>4</v>
      </c>
      <c r="P400" s="78">
        <f t="shared" si="13"/>
        <v>623</v>
      </c>
      <c r="Q400" s="103">
        <v>0</v>
      </c>
    </row>
    <row r="401" spans="2:17" ht="18.75">
      <c r="B401" s="78">
        <v>395</v>
      </c>
      <c r="C401" s="114" t="s">
        <v>567</v>
      </c>
      <c r="D401" s="33">
        <v>553</v>
      </c>
      <c r="E401" s="103">
        <f>'66 SYANA PRAROOP-20'!C402</f>
        <v>53</v>
      </c>
      <c r="F401" s="103">
        <f>'66 SYANA PRAROOP-20'!D402</f>
        <v>436</v>
      </c>
      <c r="G401" s="103">
        <f>'66 SYANA PRAROOP-20'!E402</f>
        <v>11</v>
      </c>
      <c r="H401" s="103">
        <f>'66 SYANA PRAROOP-20'!F402</f>
        <v>40</v>
      </c>
      <c r="I401" s="103">
        <f>'66 SYANA PRAROOP-20'!G402</f>
        <v>2</v>
      </c>
      <c r="J401" s="103">
        <f>'66 SYANA PRAROOP-20'!H402</f>
        <v>8</v>
      </c>
      <c r="K401" s="103">
        <f>'66 SYANA PRAROOP-20'!I402</f>
        <v>1</v>
      </c>
      <c r="L401" s="103">
        <f>'66 SYANA PRAROOP-20'!J402</f>
        <v>1</v>
      </c>
      <c r="M401" s="78">
        <f t="shared" si="12"/>
        <v>552</v>
      </c>
      <c r="N401" s="103">
        <v>0</v>
      </c>
      <c r="O401" s="103">
        <f>'66 SYANA PRAROOP-20'!M402</f>
        <v>1</v>
      </c>
      <c r="P401" s="78">
        <f t="shared" si="13"/>
        <v>553</v>
      </c>
      <c r="Q401" s="103">
        <v>0</v>
      </c>
    </row>
    <row r="402" spans="2:17" ht="18.75">
      <c r="B402" s="78">
        <v>396</v>
      </c>
      <c r="C402" s="114" t="s">
        <v>568</v>
      </c>
      <c r="D402" s="33">
        <v>663</v>
      </c>
      <c r="E402" s="103">
        <f>'66 SYANA PRAROOP-20'!C403</f>
        <v>228</v>
      </c>
      <c r="F402" s="103">
        <f>'66 SYANA PRAROOP-20'!D403</f>
        <v>38</v>
      </c>
      <c r="G402" s="103">
        <f>'66 SYANA PRAROOP-20'!E403</f>
        <v>5</v>
      </c>
      <c r="H402" s="103">
        <f>'66 SYANA PRAROOP-20'!F403</f>
        <v>375</v>
      </c>
      <c r="I402" s="103">
        <f>'66 SYANA PRAROOP-20'!G403</f>
        <v>1</v>
      </c>
      <c r="J402" s="103">
        <f>'66 SYANA PRAROOP-20'!H403</f>
        <v>4</v>
      </c>
      <c r="K402" s="103">
        <f>'66 SYANA PRAROOP-20'!I403</f>
        <v>4</v>
      </c>
      <c r="L402" s="103">
        <f>'66 SYANA PRAROOP-20'!J403</f>
        <v>1</v>
      </c>
      <c r="M402" s="78">
        <f t="shared" si="12"/>
        <v>656</v>
      </c>
      <c r="N402" s="103">
        <v>0</v>
      </c>
      <c r="O402" s="103">
        <f>'66 SYANA PRAROOP-20'!M403</f>
        <v>7</v>
      </c>
      <c r="P402" s="78">
        <f t="shared" si="13"/>
        <v>663</v>
      </c>
      <c r="Q402" s="103">
        <v>0</v>
      </c>
    </row>
    <row r="403" spans="2:17" ht="18.75">
      <c r="B403" s="78">
        <v>397</v>
      </c>
      <c r="C403" s="114" t="s">
        <v>569</v>
      </c>
      <c r="D403" s="33">
        <v>579</v>
      </c>
      <c r="E403" s="103">
        <f>'66 SYANA PRAROOP-20'!C404</f>
        <v>481</v>
      </c>
      <c r="F403" s="103">
        <f>'66 SYANA PRAROOP-20'!D404</f>
        <v>32</v>
      </c>
      <c r="G403" s="103">
        <f>'66 SYANA PRAROOP-20'!E404</f>
        <v>3</v>
      </c>
      <c r="H403" s="103">
        <f>'66 SYANA PRAROOP-20'!F404</f>
        <v>58</v>
      </c>
      <c r="I403" s="103">
        <f>'66 SYANA PRAROOP-20'!G404</f>
        <v>0</v>
      </c>
      <c r="J403" s="103">
        <f>'66 SYANA PRAROOP-20'!H404</f>
        <v>0</v>
      </c>
      <c r="K403" s="103">
        <f>'66 SYANA PRAROOP-20'!I404</f>
        <v>2</v>
      </c>
      <c r="L403" s="103">
        <f>'66 SYANA PRAROOP-20'!J404</f>
        <v>1</v>
      </c>
      <c r="M403" s="78">
        <f t="shared" si="12"/>
        <v>577</v>
      </c>
      <c r="N403" s="103">
        <v>0</v>
      </c>
      <c r="O403" s="103">
        <f>'66 SYANA PRAROOP-20'!M404</f>
        <v>2</v>
      </c>
      <c r="P403" s="78">
        <f t="shared" si="13"/>
        <v>579</v>
      </c>
      <c r="Q403" s="103">
        <v>0</v>
      </c>
    </row>
    <row r="404" spans="2:17" ht="18.75">
      <c r="B404" s="78">
        <v>398</v>
      </c>
      <c r="C404" s="114" t="s">
        <v>570</v>
      </c>
      <c r="D404" s="33">
        <v>487</v>
      </c>
      <c r="E404" s="103">
        <f>'66 SYANA PRAROOP-20'!C405</f>
        <v>418</v>
      </c>
      <c r="F404" s="103">
        <f>'66 SYANA PRAROOP-20'!D405</f>
        <v>61</v>
      </c>
      <c r="G404" s="103">
        <f>'66 SYANA PRAROOP-20'!E405</f>
        <v>2</v>
      </c>
      <c r="H404" s="103">
        <f>'66 SYANA PRAROOP-20'!F405</f>
        <v>5</v>
      </c>
      <c r="I404" s="103">
        <f>'66 SYANA PRAROOP-20'!G405</f>
        <v>0</v>
      </c>
      <c r="J404" s="103">
        <f>'66 SYANA PRAROOP-20'!H405</f>
        <v>0</v>
      </c>
      <c r="K404" s="103">
        <f>'66 SYANA PRAROOP-20'!I405</f>
        <v>0</v>
      </c>
      <c r="L404" s="103">
        <f>'66 SYANA PRAROOP-20'!J405</f>
        <v>1</v>
      </c>
      <c r="M404" s="78">
        <f t="shared" si="12"/>
        <v>487</v>
      </c>
      <c r="N404" s="103">
        <v>0</v>
      </c>
      <c r="O404" s="103">
        <f>'66 SYANA PRAROOP-20'!M405</f>
        <v>0</v>
      </c>
      <c r="P404" s="78">
        <f t="shared" si="13"/>
        <v>487</v>
      </c>
      <c r="Q404" s="103">
        <v>0</v>
      </c>
    </row>
    <row r="405" spans="2:17" ht="18.75">
      <c r="B405" s="78">
        <v>399</v>
      </c>
      <c r="C405" s="114" t="s">
        <v>571</v>
      </c>
      <c r="D405" s="33">
        <v>500</v>
      </c>
      <c r="E405" s="103">
        <f>'66 SYANA PRAROOP-20'!C406</f>
        <v>8</v>
      </c>
      <c r="F405" s="103">
        <f>'66 SYANA PRAROOP-20'!D406</f>
        <v>306</v>
      </c>
      <c r="G405" s="103">
        <f>'66 SYANA PRAROOP-20'!E406</f>
        <v>6</v>
      </c>
      <c r="H405" s="103">
        <f>'66 SYANA PRAROOP-20'!F406</f>
        <v>84</v>
      </c>
      <c r="I405" s="103">
        <f>'66 SYANA PRAROOP-20'!G406</f>
        <v>1</v>
      </c>
      <c r="J405" s="103">
        <f>'66 SYANA PRAROOP-20'!H406</f>
        <v>89</v>
      </c>
      <c r="K405" s="103">
        <f>'66 SYANA PRAROOP-20'!I406</f>
        <v>1</v>
      </c>
      <c r="L405" s="103">
        <f>'66 SYANA PRAROOP-20'!J406</f>
        <v>2</v>
      </c>
      <c r="M405" s="78">
        <f t="shared" si="12"/>
        <v>497</v>
      </c>
      <c r="N405" s="103">
        <v>0</v>
      </c>
      <c r="O405" s="103">
        <f>'66 SYANA PRAROOP-20'!M406</f>
        <v>3</v>
      </c>
      <c r="P405" s="78">
        <f t="shared" si="13"/>
        <v>500</v>
      </c>
      <c r="Q405" s="103">
        <v>0</v>
      </c>
    </row>
    <row r="406" spans="2:17" ht="18.75">
      <c r="B406" s="78">
        <v>400</v>
      </c>
      <c r="C406" s="114" t="s">
        <v>572</v>
      </c>
      <c r="D406" s="33">
        <v>508</v>
      </c>
      <c r="E406" s="103">
        <f>'66 SYANA PRAROOP-20'!C407</f>
        <v>27</v>
      </c>
      <c r="F406" s="103">
        <f>'66 SYANA PRAROOP-20'!D407</f>
        <v>240</v>
      </c>
      <c r="G406" s="103">
        <f>'66 SYANA PRAROOP-20'!E407</f>
        <v>15</v>
      </c>
      <c r="H406" s="103">
        <f>'66 SYANA PRAROOP-20'!F407</f>
        <v>203</v>
      </c>
      <c r="I406" s="103">
        <f>'66 SYANA PRAROOP-20'!G407</f>
        <v>5</v>
      </c>
      <c r="J406" s="103">
        <f>'66 SYANA PRAROOP-20'!H407</f>
        <v>7</v>
      </c>
      <c r="K406" s="103">
        <f>'66 SYANA PRAROOP-20'!I407</f>
        <v>4</v>
      </c>
      <c r="L406" s="103">
        <f>'66 SYANA PRAROOP-20'!J407</f>
        <v>2</v>
      </c>
      <c r="M406" s="78">
        <f t="shared" si="12"/>
        <v>503</v>
      </c>
      <c r="N406" s="103">
        <v>0</v>
      </c>
      <c r="O406" s="103">
        <f>'66 SYANA PRAROOP-20'!M407</f>
        <v>5</v>
      </c>
      <c r="P406" s="78">
        <f t="shared" si="13"/>
        <v>508</v>
      </c>
      <c r="Q406" s="103">
        <v>0</v>
      </c>
    </row>
    <row r="407" spans="2:17" ht="18.75">
      <c r="B407" s="78">
        <v>401</v>
      </c>
      <c r="C407" s="114" t="s">
        <v>573</v>
      </c>
      <c r="D407" s="33">
        <v>667</v>
      </c>
      <c r="E407" s="103">
        <f>'66 SYANA PRAROOP-20'!C408</f>
        <v>27</v>
      </c>
      <c r="F407" s="103">
        <f>'66 SYANA PRAROOP-20'!D408</f>
        <v>566</v>
      </c>
      <c r="G407" s="103">
        <f>'66 SYANA PRAROOP-20'!E408</f>
        <v>17</v>
      </c>
      <c r="H407" s="103">
        <f>'66 SYANA PRAROOP-20'!F408</f>
        <v>21</v>
      </c>
      <c r="I407" s="103">
        <f>'66 SYANA PRAROOP-20'!G408</f>
        <v>2</v>
      </c>
      <c r="J407" s="103">
        <f>'66 SYANA PRAROOP-20'!H408</f>
        <v>6</v>
      </c>
      <c r="K407" s="103">
        <f>'66 SYANA PRAROOP-20'!I408</f>
        <v>12</v>
      </c>
      <c r="L407" s="103">
        <f>'66 SYANA PRAROOP-20'!J408</f>
        <v>7</v>
      </c>
      <c r="M407" s="78">
        <f t="shared" si="12"/>
        <v>658</v>
      </c>
      <c r="N407" s="103">
        <v>0</v>
      </c>
      <c r="O407" s="103">
        <f>'66 SYANA PRAROOP-20'!M408</f>
        <v>9</v>
      </c>
      <c r="P407" s="78">
        <f t="shared" si="13"/>
        <v>667</v>
      </c>
      <c r="Q407" s="103">
        <v>0</v>
      </c>
    </row>
    <row r="408" spans="2:17" ht="18.75">
      <c r="B408" s="78">
        <v>402</v>
      </c>
      <c r="C408" s="114" t="s">
        <v>574</v>
      </c>
      <c r="D408" s="33">
        <v>563</v>
      </c>
      <c r="E408" s="103">
        <f>'66 SYANA PRAROOP-20'!C409</f>
        <v>38</v>
      </c>
      <c r="F408" s="103">
        <f>'66 SYANA PRAROOP-20'!D409</f>
        <v>467</v>
      </c>
      <c r="G408" s="103">
        <f>'66 SYANA PRAROOP-20'!E409</f>
        <v>34</v>
      </c>
      <c r="H408" s="103">
        <f>'66 SYANA PRAROOP-20'!F409</f>
        <v>4</v>
      </c>
      <c r="I408" s="103">
        <f>'66 SYANA PRAROOP-20'!G409</f>
        <v>2</v>
      </c>
      <c r="J408" s="103">
        <f>'66 SYANA PRAROOP-20'!H409</f>
        <v>3</v>
      </c>
      <c r="K408" s="103">
        <f>'66 SYANA PRAROOP-20'!I409</f>
        <v>4</v>
      </c>
      <c r="L408" s="103">
        <f>'66 SYANA PRAROOP-20'!J409</f>
        <v>4</v>
      </c>
      <c r="M408" s="78">
        <f t="shared" si="12"/>
        <v>556</v>
      </c>
      <c r="N408" s="103">
        <v>0</v>
      </c>
      <c r="O408" s="103">
        <f>'66 SYANA PRAROOP-20'!M409</f>
        <v>7</v>
      </c>
      <c r="P408" s="78">
        <f t="shared" si="13"/>
        <v>563</v>
      </c>
      <c r="Q408" s="103">
        <v>0</v>
      </c>
    </row>
    <row r="409" spans="2:17" ht="18.75">
      <c r="B409" s="78">
        <v>403</v>
      </c>
      <c r="C409" s="114" t="s">
        <v>575</v>
      </c>
      <c r="D409" s="33">
        <v>377</v>
      </c>
      <c r="E409" s="103">
        <f>'66 SYANA PRAROOP-20'!C410</f>
        <v>118</v>
      </c>
      <c r="F409" s="103">
        <f>'66 SYANA PRAROOP-20'!D410</f>
        <v>236</v>
      </c>
      <c r="G409" s="103">
        <f>'66 SYANA PRAROOP-20'!E410</f>
        <v>11</v>
      </c>
      <c r="H409" s="103">
        <f>'66 SYANA PRAROOP-20'!F410</f>
        <v>7</v>
      </c>
      <c r="I409" s="103">
        <f>'66 SYANA PRAROOP-20'!G410</f>
        <v>0</v>
      </c>
      <c r="J409" s="103">
        <f>'66 SYANA PRAROOP-20'!H410</f>
        <v>1</v>
      </c>
      <c r="K409" s="103">
        <f>'66 SYANA PRAROOP-20'!I410</f>
        <v>2</v>
      </c>
      <c r="L409" s="103">
        <f>'66 SYANA PRAROOP-20'!J410</f>
        <v>0</v>
      </c>
      <c r="M409" s="78">
        <f t="shared" si="12"/>
        <v>375</v>
      </c>
      <c r="N409" s="103">
        <v>0</v>
      </c>
      <c r="O409" s="103">
        <f>'66 SYANA PRAROOP-20'!M410</f>
        <v>2</v>
      </c>
      <c r="P409" s="78">
        <f t="shared" si="13"/>
        <v>377</v>
      </c>
      <c r="Q409" s="103">
        <v>0</v>
      </c>
    </row>
    <row r="410" spans="2:17" ht="18.75">
      <c r="B410" s="78">
        <v>404</v>
      </c>
      <c r="C410" s="114" t="s">
        <v>576</v>
      </c>
      <c r="D410" s="33">
        <v>474</v>
      </c>
      <c r="E410" s="103">
        <f>'66 SYANA PRAROOP-20'!C411</f>
        <v>102</v>
      </c>
      <c r="F410" s="103">
        <f>'66 SYANA PRAROOP-20'!D411</f>
        <v>291</v>
      </c>
      <c r="G410" s="103">
        <f>'66 SYANA PRAROOP-20'!E411</f>
        <v>4</v>
      </c>
      <c r="H410" s="103">
        <f>'66 SYANA PRAROOP-20'!F411</f>
        <v>64</v>
      </c>
      <c r="I410" s="103">
        <f>'66 SYANA PRAROOP-20'!G411</f>
        <v>4</v>
      </c>
      <c r="J410" s="103">
        <f>'66 SYANA PRAROOP-20'!H411</f>
        <v>3</v>
      </c>
      <c r="K410" s="103">
        <f>'66 SYANA PRAROOP-20'!I411</f>
        <v>0</v>
      </c>
      <c r="L410" s="103">
        <f>'66 SYANA PRAROOP-20'!J411</f>
        <v>4</v>
      </c>
      <c r="M410" s="78">
        <f t="shared" si="12"/>
        <v>472</v>
      </c>
      <c r="N410" s="103">
        <v>0</v>
      </c>
      <c r="O410" s="103">
        <f>'66 SYANA PRAROOP-20'!M411</f>
        <v>2</v>
      </c>
      <c r="P410" s="78">
        <f t="shared" si="13"/>
        <v>474</v>
      </c>
      <c r="Q410" s="103">
        <v>0</v>
      </c>
    </row>
    <row r="411" spans="2:17" ht="18.75">
      <c r="B411" s="78">
        <v>405</v>
      </c>
      <c r="C411" s="114" t="s">
        <v>577</v>
      </c>
      <c r="D411" s="33">
        <v>429</v>
      </c>
      <c r="E411" s="103">
        <f>'66 SYANA PRAROOP-20'!C412</f>
        <v>105</v>
      </c>
      <c r="F411" s="103">
        <f>'66 SYANA PRAROOP-20'!D412</f>
        <v>273</v>
      </c>
      <c r="G411" s="103">
        <f>'66 SYANA PRAROOP-20'!E412</f>
        <v>17</v>
      </c>
      <c r="H411" s="103">
        <f>'66 SYANA PRAROOP-20'!F412</f>
        <v>21</v>
      </c>
      <c r="I411" s="103">
        <f>'66 SYANA PRAROOP-20'!G412</f>
        <v>0</v>
      </c>
      <c r="J411" s="103">
        <f>'66 SYANA PRAROOP-20'!H412</f>
        <v>3</v>
      </c>
      <c r="K411" s="103">
        <f>'66 SYANA PRAROOP-20'!I412</f>
        <v>0</v>
      </c>
      <c r="L411" s="103">
        <f>'66 SYANA PRAROOP-20'!J412</f>
        <v>5</v>
      </c>
      <c r="M411" s="78">
        <f t="shared" si="12"/>
        <v>424</v>
      </c>
      <c r="N411" s="103">
        <v>0</v>
      </c>
      <c r="O411" s="103">
        <f>'66 SYANA PRAROOP-20'!M412</f>
        <v>5</v>
      </c>
      <c r="P411" s="78">
        <f t="shared" si="13"/>
        <v>429</v>
      </c>
      <c r="Q411" s="103">
        <v>0</v>
      </c>
    </row>
    <row r="412" spans="2:17" ht="18.75">
      <c r="B412" s="78">
        <v>406</v>
      </c>
      <c r="C412" s="114" t="s">
        <v>578</v>
      </c>
      <c r="D412" s="33">
        <v>506</v>
      </c>
      <c r="E412" s="103">
        <f>'66 SYANA PRAROOP-20'!C413</f>
        <v>172</v>
      </c>
      <c r="F412" s="103">
        <f>'66 SYANA PRAROOP-20'!D413</f>
        <v>227</v>
      </c>
      <c r="G412" s="103">
        <f>'66 SYANA PRAROOP-20'!E413</f>
        <v>6</v>
      </c>
      <c r="H412" s="103">
        <f>'66 SYANA PRAROOP-20'!F413</f>
        <v>88</v>
      </c>
      <c r="I412" s="103">
        <f>'66 SYANA PRAROOP-20'!G413</f>
        <v>1</v>
      </c>
      <c r="J412" s="103">
        <f>'66 SYANA PRAROOP-20'!H413</f>
        <v>6</v>
      </c>
      <c r="K412" s="103">
        <f>'66 SYANA PRAROOP-20'!I413</f>
        <v>3</v>
      </c>
      <c r="L412" s="103">
        <f>'66 SYANA PRAROOP-20'!J413</f>
        <v>0</v>
      </c>
      <c r="M412" s="78">
        <f t="shared" si="12"/>
        <v>503</v>
      </c>
      <c r="N412" s="103">
        <v>0</v>
      </c>
      <c r="O412" s="103">
        <f>'66 SYANA PRAROOP-20'!M413</f>
        <v>3</v>
      </c>
      <c r="P412" s="78">
        <f t="shared" si="13"/>
        <v>506</v>
      </c>
      <c r="Q412" s="103">
        <v>0</v>
      </c>
    </row>
    <row r="413" spans="2:17" ht="18.75">
      <c r="B413" s="78">
        <v>407</v>
      </c>
      <c r="C413" s="114" t="s">
        <v>579</v>
      </c>
      <c r="D413" s="33">
        <v>536</v>
      </c>
      <c r="E413" s="103">
        <f>'66 SYANA PRAROOP-20'!C414</f>
        <v>55</v>
      </c>
      <c r="F413" s="103">
        <f>'66 SYANA PRAROOP-20'!D414</f>
        <v>460</v>
      </c>
      <c r="G413" s="103">
        <f>'66 SYANA PRAROOP-20'!E414</f>
        <v>3</v>
      </c>
      <c r="H413" s="103">
        <f>'66 SYANA PRAROOP-20'!F414</f>
        <v>3</v>
      </c>
      <c r="I413" s="103">
        <f>'66 SYANA PRAROOP-20'!G414</f>
        <v>0</v>
      </c>
      <c r="J413" s="103">
        <f>'66 SYANA PRAROOP-20'!H414</f>
        <v>4</v>
      </c>
      <c r="K413" s="103">
        <f>'66 SYANA PRAROOP-20'!I414</f>
        <v>3</v>
      </c>
      <c r="L413" s="103">
        <f>'66 SYANA PRAROOP-20'!J414</f>
        <v>1</v>
      </c>
      <c r="M413" s="78">
        <f t="shared" si="12"/>
        <v>529</v>
      </c>
      <c r="N413" s="103">
        <v>0</v>
      </c>
      <c r="O413" s="103">
        <f>'66 SYANA PRAROOP-20'!M414</f>
        <v>7</v>
      </c>
      <c r="P413" s="78">
        <f t="shared" si="13"/>
        <v>536</v>
      </c>
      <c r="Q413" s="103">
        <v>0</v>
      </c>
    </row>
    <row r="414" spans="2:17" ht="18.75">
      <c r="B414" s="78">
        <v>408</v>
      </c>
      <c r="C414" s="114" t="s">
        <v>580</v>
      </c>
      <c r="D414" s="33">
        <v>343</v>
      </c>
      <c r="E414" s="103">
        <f>'66 SYANA PRAROOP-20'!C415</f>
        <v>112</v>
      </c>
      <c r="F414" s="103">
        <f>'66 SYANA PRAROOP-20'!D415</f>
        <v>203</v>
      </c>
      <c r="G414" s="103">
        <f>'66 SYANA PRAROOP-20'!E415</f>
        <v>4</v>
      </c>
      <c r="H414" s="103">
        <f>'66 SYANA PRAROOP-20'!F415</f>
        <v>10</v>
      </c>
      <c r="I414" s="103">
        <f>'66 SYANA PRAROOP-20'!G415</f>
        <v>1</v>
      </c>
      <c r="J414" s="103">
        <f>'66 SYANA PRAROOP-20'!H415</f>
        <v>5</v>
      </c>
      <c r="K414" s="103">
        <f>'66 SYANA PRAROOP-20'!I415</f>
        <v>3</v>
      </c>
      <c r="L414" s="103">
        <f>'66 SYANA PRAROOP-20'!J415</f>
        <v>1</v>
      </c>
      <c r="M414" s="78">
        <f t="shared" si="12"/>
        <v>339</v>
      </c>
      <c r="N414" s="103">
        <v>0</v>
      </c>
      <c r="O414" s="103">
        <f>'66 SYANA PRAROOP-20'!M415</f>
        <v>4</v>
      </c>
      <c r="P414" s="78">
        <f t="shared" si="13"/>
        <v>343</v>
      </c>
      <c r="Q414" s="103">
        <v>0</v>
      </c>
    </row>
    <row r="415" spans="2:17" ht="18.75">
      <c r="B415" s="78">
        <v>409</v>
      </c>
      <c r="C415" s="114" t="s">
        <v>581</v>
      </c>
      <c r="D415" s="33">
        <v>522</v>
      </c>
      <c r="E415" s="103">
        <f>'66 SYANA PRAROOP-20'!C416</f>
        <v>47</v>
      </c>
      <c r="F415" s="103">
        <f>'66 SYANA PRAROOP-20'!D416</f>
        <v>451</v>
      </c>
      <c r="G415" s="103">
        <f>'66 SYANA PRAROOP-20'!E416</f>
        <v>5</v>
      </c>
      <c r="H415" s="103">
        <f>'66 SYANA PRAROOP-20'!F416</f>
        <v>3</v>
      </c>
      <c r="I415" s="103">
        <f>'66 SYANA PRAROOP-20'!G416</f>
        <v>3</v>
      </c>
      <c r="J415" s="103">
        <f>'66 SYANA PRAROOP-20'!H416</f>
        <v>5</v>
      </c>
      <c r="K415" s="103">
        <f>'66 SYANA PRAROOP-20'!I416</f>
        <v>0</v>
      </c>
      <c r="L415" s="103">
        <f>'66 SYANA PRAROOP-20'!J416</f>
        <v>1</v>
      </c>
      <c r="M415" s="78">
        <f t="shared" si="12"/>
        <v>515</v>
      </c>
      <c r="N415" s="103">
        <v>0</v>
      </c>
      <c r="O415" s="103">
        <f>'66 SYANA PRAROOP-20'!M416</f>
        <v>7</v>
      </c>
      <c r="P415" s="78">
        <f t="shared" si="13"/>
        <v>522</v>
      </c>
      <c r="Q415" s="103">
        <v>0</v>
      </c>
    </row>
    <row r="416" spans="2:17" ht="18.75">
      <c r="B416" s="78">
        <v>410</v>
      </c>
      <c r="C416" s="114" t="s">
        <v>582</v>
      </c>
      <c r="D416" s="33">
        <v>558</v>
      </c>
      <c r="E416" s="103">
        <f>'66 SYANA PRAROOP-20'!C417</f>
        <v>416</v>
      </c>
      <c r="F416" s="103">
        <f>'66 SYANA PRAROOP-20'!D417</f>
        <v>125</v>
      </c>
      <c r="G416" s="103">
        <f>'66 SYANA PRAROOP-20'!E417</f>
        <v>2</v>
      </c>
      <c r="H416" s="103">
        <f>'66 SYANA PRAROOP-20'!F417</f>
        <v>9</v>
      </c>
      <c r="I416" s="103">
        <f>'66 SYANA PRAROOP-20'!G417</f>
        <v>0</v>
      </c>
      <c r="J416" s="103">
        <f>'66 SYANA PRAROOP-20'!H417</f>
        <v>1</v>
      </c>
      <c r="K416" s="103">
        <f>'66 SYANA PRAROOP-20'!I417</f>
        <v>1</v>
      </c>
      <c r="L416" s="103">
        <f>'66 SYANA PRAROOP-20'!J417</f>
        <v>1</v>
      </c>
      <c r="M416" s="78">
        <f t="shared" si="12"/>
        <v>555</v>
      </c>
      <c r="N416" s="103">
        <v>0</v>
      </c>
      <c r="O416" s="103">
        <f>'66 SYANA PRAROOP-20'!M417</f>
        <v>3</v>
      </c>
      <c r="P416" s="78">
        <f t="shared" si="13"/>
        <v>558</v>
      </c>
      <c r="Q416" s="103">
        <v>0</v>
      </c>
    </row>
    <row r="417" spans="2:17" ht="18.75">
      <c r="B417" s="78">
        <v>411</v>
      </c>
      <c r="C417" s="114" t="s">
        <v>583</v>
      </c>
      <c r="D417" s="33">
        <v>563</v>
      </c>
      <c r="E417" s="103">
        <f>'66 SYANA PRAROOP-20'!C418</f>
        <v>425</v>
      </c>
      <c r="F417" s="103">
        <f>'66 SYANA PRAROOP-20'!D418</f>
        <v>59</v>
      </c>
      <c r="G417" s="103">
        <f>'66 SYANA PRAROOP-20'!E418</f>
        <v>8</v>
      </c>
      <c r="H417" s="103">
        <f>'66 SYANA PRAROOP-20'!F418</f>
        <v>58</v>
      </c>
      <c r="I417" s="103">
        <f>'66 SYANA PRAROOP-20'!G418</f>
        <v>0</v>
      </c>
      <c r="J417" s="103">
        <f>'66 SYANA PRAROOP-20'!H418</f>
        <v>2</v>
      </c>
      <c r="K417" s="103">
        <f>'66 SYANA PRAROOP-20'!I418</f>
        <v>2</v>
      </c>
      <c r="L417" s="103">
        <f>'66 SYANA PRAROOP-20'!J418</f>
        <v>3</v>
      </c>
      <c r="M417" s="78">
        <f t="shared" si="12"/>
        <v>557</v>
      </c>
      <c r="N417" s="103">
        <v>0</v>
      </c>
      <c r="O417" s="103">
        <f>'66 SYANA PRAROOP-20'!M418</f>
        <v>6</v>
      </c>
      <c r="P417" s="78">
        <f t="shared" si="13"/>
        <v>563</v>
      </c>
      <c r="Q417" s="103">
        <v>0</v>
      </c>
    </row>
    <row r="418" spans="2:17" ht="18.75">
      <c r="B418" s="78">
        <v>412</v>
      </c>
      <c r="C418" s="114" t="s">
        <v>584</v>
      </c>
      <c r="D418" s="33">
        <v>586</v>
      </c>
      <c r="E418" s="103">
        <f>'66 SYANA PRAROOP-20'!C419</f>
        <v>438</v>
      </c>
      <c r="F418" s="103">
        <f>'66 SYANA PRAROOP-20'!D419</f>
        <v>76</v>
      </c>
      <c r="G418" s="103">
        <f>'66 SYANA PRAROOP-20'!E419</f>
        <v>2</v>
      </c>
      <c r="H418" s="103">
        <f>'66 SYANA PRAROOP-20'!F419</f>
        <v>61</v>
      </c>
      <c r="I418" s="103">
        <f>'66 SYANA PRAROOP-20'!G419</f>
        <v>2</v>
      </c>
      <c r="J418" s="103">
        <f>'66 SYANA PRAROOP-20'!H419</f>
        <v>2</v>
      </c>
      <c r="K418" s="103">
        <f>'66 SYANA PRAROOP-20'!I419</f>
        <v>3</v>
      </c>
      <c r="L418" s="103">
        <f>'66 SYANA PRAROOP-20'!J419</f>
        <v>1</v>
      </c>
      <c r="M418" s="78">
        <f t="shared" si="12"/>
        <v>585</v>
      </c>
      <c r="N418" s="103">
        <v>0</v>
      </c>
      <c r="O418" s="103">
        <f>'66 SYANA PRAROOP-20'!M419</f>
        <v>1</v>
      </c>
      <c r="P418" s="78">
        <f t="shared" si="13"/>
        <v>586</v>
      </c>
      <c r="Q418" s="103">
        <v>0</v>
      </c>
    </row>
    <row r="419" spans="2:17" ht="18.75">
      <c r="B419" s="78">
        <v>413</v>
      </c>
      <c r="C419" s="114" t="s">
        <v>585</v>
      </c>
      <c r="D419" s="33">
        <v>485</v>
      </c>
      <c r="E419" s="103">
        <f>'66 SYANA PRAROOP-20'!C420</f>
        <v>95</v>
      </c>
      <c r="F419" s="103">
        <f>'66 SYANA PRAROOP-20'!D420</f>
        <v>159</v>
      </c>
      <c r="G419" s="103">
        <f>'66 SYANA PRAROOP-20'!E420</f>
        <v>5</v>
      </c>
      <c r="H419" s="103">
        <f>'66 SYANA PRAROOP-20'!F420</f>
        <v>212</v>
      </c>
      <c r="I419" s="103">
        <f>'66 SYANA PRAROOP-20'!G420</f>
        <v>4</v>
      </c>
      <c r="J419" s="103">
        <f>'66 SYANA PRAROOP-20'!H420</f>
        <v>1</v>
      </c>
      <c r="K419" s="103">
        <f>'66 SYANA PRAROOP-20'!I420</f>
        <v>4</v>
      </c>
      <c r="L419" s="103">
        <f>'66 SYANA PRAROOP-20'!J420</f>
        <v>4</v>
      </c>
      <c r="M419" s="78">
        <f t="shared" si="12"/>
        <v>484</v>
      </c>
      <c r="N419" s="103">
        <v>0</v>
      </c>
      <c r="O419" s="103">
        <f>'66 SYANA PRAROOP-20'!M420</f>
        <v>1</v>
      </c>
      <c r="P419" s="78">
        <f t="shared" si="13"/>
        <v>485</v>
      </c>
      <c r="Q419" s="103">
        <v>0</v>
      </c>
    </row>
    <row r="420" spans="2:17" ht="18.75">
      <c r="B420" s="78">
        <v>414</v>
      </c>
      <c r="C420" s="114" t="s">
        <v>586</v>
      </c>
      <c r="D420" s="33">
        <v>498</v>
      </c>
      <c r="E420" s="103">
        <f>'66 SYANA PRAROOP-20'!C421</f>
        <v>116</v>
      </c>
      <c r="F420" s="103">
        <f>'66 SYANA PRAROOP-20'!D421</f>
        <v>372</v>
      </c>
      <c r="G420" s="103">
        <f>'66 SYANA PRAROOP-20'!E421</f>
        <v>2</v>
      </c>
      <c r="H420" s="103">
        <f>'66 SYANA PRAROOP-20'!F421</f>
        <v>4</v>
      </c>
      <c r="I420" s="103">
        <f>'66 SYANA PRAROOP-20'!G421</f>
        <v>2</v>
      </c>
      <c r="J420" s="103">
        <f>'66 SYANA PRAROOP-20'!H421</f>
        <v>1</v>
      </c>
      <c r="K420" s="103">
        <f>'66 SYANA PRAROOP-20'!I421</f>
        <v>0</v>
      </c>
      <c r="L420" s="103">
        <f>'66 SYANA PRAROOP-20'!J421</f>
        <v>1</v>
      </c>
      <c r="M420" s="78">
        <f t="shared" si="12"/>
        <v>498</v>
      </c>
      <c r="N420" s="103">
        <v>0</v>
      </c>
      <c r="O420" s="103">
        <f>'66 SYANA PRAROOP-20'!M421</f>
        <v>0</v>
      </c>
      <c r="P420" s="78">
        <f t="shared" si="13"/>
        <v>498</v>
      </c>
      <c r="Q420" s="103">
        <v>0</v>
      </c>
    </row>
    <row r="421" spans="2:17" ht="18.75">
      <c r="B421" s="78">
        <v>415</v>
      </c>
      <c r="C421" s="114" t="s">
        <v>587</v>
      </c>
      <c r="D421" s="33">
        <v>823</v>
      </c>
      <c r="E421" s="103">
        <f>'66 SYANA PRAROOP-20'!C422</f>
        <v>75</v>
      </c>
      <c r="F421" s="103">
        <f>'66 SYANA PRAROOP-20'!D422</f>
        <v>624</v>
      </c>
      <c r="G421" s="103">
        <f>'66 SYANA PRAROOP-20'!E422</f>
        <v>1</v>
      </c>
      <c r="H421" s="103">
        <f>'66 SYANA PRAROOP-20'!F422</f>
        <v>113</v>
      </c>
      <c r="I421" s="103">
        <f>'66 SYANA PRAROOP-20'!G422</f>
        <v>0</v>
      </c>
      <c r="J421" s="103">
        <f>'66 SYANA PRAROOP-20'!H422</f>
        <v>0</v>
      </c>
      <c r="K421" s="103">
        <f>'66 SYANA PRAROOP-20'!I422</f>
        <v>3</v>
      </c>
      <c r="L421" s="103">
        <f>'66 SYANA PRAROOP-20'!J422</f>
        <v>4</v>
      </c>
      <c r="M421" s="78">
        <f t="shared" si="12"/>
        <v>820</v>
      </c>
      <c r="N421" s="103">
        <v>0</v>
      </c>
      <c r="O421" s="103">
        <f>'66 SYANA PRAROOP-20'!M422</f>
        <v>3</v>
      </c>
      <c r="P421" s="78">
        <f t="shared" si="13"/>
        <v>823</v>
      </c>
      <c r="Q421" s="103">
        <v>0</v>
      </c>
    </row>
    <row r="422" spans="2:17" ht="18.75">
      <c r="B422" s="78">
        <v>416</v>
      </c>
      <c r="C422" s="114" t="s">
        <v>588</v>
      </c>
      <c r="D422" s="33">
        <v>400</v>
      </c>
      <c r="E422" s="103">
        <f>'66 SYANA PRAROOP-20'!C423</f>
        <v>18</v>
      </c>
      <c r="F422" s="103">
        <f>'66 SYANA PRAROOP-20'!D423</f>
        <v>267</v>
      </c>
      <c r="G422" s="103">
        <f>'66 SYANA PRAROOP-20'!E423</f>
        <v>5</v>
      </c>
      <c r="H422" s="103">
        <f>'66 SYANA PRAROOP-20'!F423</f>
        <v>98</v>
      </c>
      <c r="I422" s="103">
        <f>'66 SYANA PRAROOP-20'!G423</f>
        <v>2</v>
      </c>
      <c r="J422" s="103">
        <f>'66 SYANA PRAROOP-20'!H423</f>
        <v>3</v>
      </c>
      <c r="K422" s="103">
        <f>'66 SYANA PRAROOP-20'!I423</f>
        <v>2</v>
      </c>
      <c r="L422" s="103">
        <f>'66 SYANA PRAROOP-20'!J423</f>
        <v>2</v>
      </c>
      <c r="M422" s="78">
        <f t="shared" si="12"/>
        <v>397</v>
      </c>
      <c r="N422" s="103">
        <v>0</v>
      </c>
      <c r="O422" s="103">
        <f>'66 SYANA PRAROOP-20'!M423</f>
        <v>3</v>
      </c>
      <c r="P422" s="78">
        <f t="shared" si="13"/>
        <v>400</v>
      </c>
      <c r="Q422" s="103">
        <v>0</v>
      </c>
    </row>
    <row r="423" spans="2:17" ht="18.75">
      <c r="B423" s="78">
        <v>417</v>
      </c>
      <c r="C423" s="114" t="s">
        <v>589</v>
      </c>
      <c r="D423" s="33">
        <v>418</v>
      </c>
      <c r="E423" s="103">
        <f>'66 SYANA PRAROOP-20'!C424</f>
        <v>11</v>
      </c>
      <c r="F423" s="103">
        <f>'66 SYANA PRAROOP-20'!D424</f>
        <v>137</v>
      </c>
      <c r="G423" s="103">
        <f>'66 SYANA PRAROOP-20'!E424</f>
        <v>5</v>
      </c>
      <c r="H423" s="103">
        <f>'66 SYANA PRAROOP-20'!F424</f>
        <v>254</v>
      </c>
      <c r="I423" s="103">
        <f>'66 SYANA PRAROOP-20'!G424</f>
        <v>3</v>
      </c>
      <c r="J423" s="103">
        <f>'66 SYANA PRAROOP-20'!H424</f>
        <v>4</v>
      </c>
      <c r="K423" s="103">
        <f>'66 SYANA PRAROOP-20'!I424</f>
        <v>3</v>
      </c>
      <c r="L423" s="103">
        <f>'66 SYANA PRAROOP-20'!J424</f>
        <v>0</v>
      </c>
      <c r="M423" s="78">
        <f t="shared" si="12"/>
        <v>417</v>
      </c>
      <c r="N423" s="103">
        <v>0</v>
      </c>
      <c r="O423" s="103">
        <f>'66 SYANA PRAROOP-20'!M424</f>
        <v>1</v>
      </c>
      <c r="P423" s="78">
        <f t="shared" si="13"/>
        <v>418</v>
      </c>
      <c r="Q423" s="103">
        <v>0</v>
      </c>
    </row>
    <row r="424" spans="2:17" ht="18.75">
      <c r="B424" s="78">
        <v>418</v>
      </c>
      <c r="C424" s="114" t="s">
        <v>590</v>
      </c>
      <c r="D424" s="33">
        <v>438</v>
      </c>
      <c r="E424" s="103">
        <f>'66 SYANA PRAROOP-20'!C425</f>
        <v>32</v>
      </c>
      <c r="F424" s="103">
        <f>'66 SYANA PRAROOP-20'!D425</f>
        <v>378</v>
      </c>
      <c r="G424" s="103">
        <f>'66 SYANA PRAROOP-20'!E425</f>
        <v>6</v>
      </c>
      <c r="H424" s="103">
        <f>'66 SYANA PRAROOP-20'!F425</f>
        <v>13</v>
      </c>
      <c r="I424" s="103">
        <f>'66 SYANA PRAROOP-20'!G425</f>
        <v>0</v>
      </c>
      <c r="J424" s="103">
        <f>'66 SYANA PRAROOP-20'!H425</f>
        <v>1</v>
      </c>
      <c r="K424" s="103">
        <f>'66 SYANA PRAROOP-20'!I425</f>
        <v>0</v>
      </c>
      <c r="L424" s="103">
        <f>'66 SYANA PRAROOP-20'!J425</f>
        <v>3</v>
      </c>
      <c r="M424" s="78">
        <f t="shared" si="12"/>
        <v>433</v>
      </c>
      <c r="N424" s="103">
        <v>0</v>
      </c>
      <c r="O424" s="103">
        <f>'66 SYANA PRAROOP-20'!M425</f>
        <v>5</v>
      </c>
      <c r="P424" s="78">
        <f t="shared" si="13"/>
        <v>438</v>
      </c>
      <c r="Q424" s="103">
        <v>0</v>
      </c>
    </row>
    <row r="425" spans="2:17" ht="18.75">
      <c r="B425" s="78">
        <v>419</v>
      </c>
      <c r="C425" s="114" t="s">
        <v>591</v>
      </c>
      <c r="D425" s="33">
        <v>480</v>
      </c>
      <c r="E425" s="103">
        <f>'66 SYANA PRAROOP-20'!C426</f>
        <v>24</v>
      </c>
      <c r="F425" s="103">
        <f>'66 SYANA PRAROOP-20'!D426</f>
        <v>426</v>
      </c>
      <c r="G425" s="103">
        <f>'66 SYANA PRAROOP-20'!E426</f>
        <v>8</v>
      </c>
      <c r="H425" s="103">
        <f>'66 SYANA PRAROOP-20'!F426</f>
        <v>12</v>
      </c>
      <c r="I425" s="103">
        <f>'66 SYANA PRAROOP-20'!G426</f>
        <v>0</v>
      </c>
      <c r="J425" s="103">
        <f>'66 SYANA PRAROOP-20'!H426</f>
        <v>2</v>
      </c>
      <c r="K425" s="103">
        <f>'66 SYANA PRAROOP-20'!I426</f>
        <v>1</v>
      </c>
      <c r="L425" s="103">
        <f>'66 SYANA PRAROOP-20'!J426</f>
        <v>3</v>
      </c>
      <c r="M425" s="78">
        <f t="shared" si="12"/>
        <v>476</v>
      </c>
      <c r="N425" s="103">
        <v>0</v>
      </c>
      <c r="O425" s="103">
        <f>'66 SYANA PRAROOP-20'!M426</f>
        <v>4</v>
      </c>
      <c r="P425" s="78">
        <f t="shared" si="13"/>
        <v>480</v>
      </c>
      <c r="Q425" s="103">
        <v>0</v>
      </c>
    </row>
    <row r="426" spans="2:17" ht="18.75">
      <c r="B426" s="78">
        <v>420</v>
      </c>
      <c r="C426" s="114" t="s">
        <v>592</v>
      </c>
      <c r="D426" s="33">
        <v>785</v>
      </c>
      <c r="E426" s="103">
        <f>'66 SYANA PRAROOP-20'!C427</f>
        <v>63</v>
      </c>
      <c r="F426" s="103">
        <f>'66 SYANA PRAROOP-20'!D427</f>
        <v>699</v>
      </c>
      <c r="G426" s="103">
        <f>'66 SYANA PRAROOP-20'!E427</f>
        <v>6</v>
      </c>
      <c r="H426" s="103">
        <f>'66 SYANA PRAROOP-20'!F427</f>
        <v>3</v>
      </c>
      <c r="I426" s="103">
        <f>'66 SYANA PRAROOP-20'!G427</f>
        <v>1</v>
      </c>
      <c r="J426" s="103">
        <f>'66 SYANA PRAROOP-20'!H427</f>
        <v>3</v>
      </c>
      <c r="K426" s="103">
        <f>'66 SYANA PRAROOP-20'!I427</f>
        <v>4</v>
      </c>
      <c r="L426" s="103">
        <f>'66 SYANA PRAROOP-20'!J427</f>
        <v>6</v>
      </c>
      <c r="M426" s="78">
        <f t="shared" si="12"/>
        <v>785</v>
      </c>
      <c r="N426" s="103">
        <v>0</v>
      </c>
      <c r="O426" s="103">
        <f>'66 SYANA PRAROOP-20'!M427</f>
        <v>0</v>
      </c>
      <c r="P426" s="78">
        <f t="shared" si="13"/>
        <v>785</v>
      </c>
      <c r="Q426" s="103">
        <v>0</v>
      </c>
    </row>
    <row r="427" spans="2:17" ht="18.75">
      <c r="B427" s="78">
        <v>421</v>
      </c>
      <c r="C427" s="114" t="s">
        <v>593</v>
      </c>
      <c r="D427" s="33">
        <v>867</v>
      </c>
      <c r="E427" s="103">
        <f>'66 SYANA PRAROOP-20'!C428</f>
        <v>114</v>
      </c>
      <c r="F427" s="103">
        <f>'66 SYANA PRAROOP-20'!D428</f>
        <v>597</v>
      </c>
      <c r="G427" s="103">
        <f>'66 SYANA PRAROOP-20'!E428</f>
        <v>4</v>
      </c>
      <c r="H427" s="103">
        <f>'66 SYANA PRAROOP-20'!F428</f>
        <v>131</v>
      </c>
      <c r="I427" s="103">
        <f>'66 SYANA PRAROOP-20'!G428</f>
        <v>8</v>
      </c>
      <c r="J427" s="103">
        <f>'66 SYANA PRAROOP-20'!H428</f>
        <v>3</v>
      </c>
      <c r="K427" s="103">
        <f>'66 SYANA PRAROOP-20'!I428</f>
        <v>4</v>
      </c>
      <c r="L427" s="103">
        <f>'66 SYANA PRAROOP-20'!J428</f>
        <v>2</v>
      </c>
      <c r="M427" s="78">
        <f t="shared" si="12"/>
        <v>863</v>
      </c>
      <c r="N427" s="103">
        <v>0</v>
      </c>
      <c r="O427" s="103">
        <f>'66 SYANA PRAROOP-20'!M428</f>
        <v>4</v>
      </c>
      <c r="P427" s="78">
        <f t="shared" si="13"/>
        <v>867</v>
      </c>
      <c r="Q427" s="103">
        <v>0</v>
      </c>
    </row>
    <row r="428" spans="2:17" ht="18.75">
      <c r="B428" s="78">
        <v>422</v>
      </c>
      <c r="C428" s="114" t="s">
        <v>594</v>
      </c>
      <c r="D428" s="33">
        <v>684</v>
      </c>
      <c r="E428" s="103">
        <f>'66 SYANA PRAROOP-20'!C429</f>
        <v>47</v>
      </c>
      <c r="F428" s="103">
        <f>'66 SYANA PRAROOP-20'!D429</f>
        <v>599</v>
      </c>
      <c r="G428" s="103">
        <f>'66 SYANA PRAROOP-20'!E429</f>
        <v>8</v>
      </c>
      <c r="H428" s="103">
        <f>'66 SYANA PRAROOP-20'!F429</f>
        <v>15</v>
      </c>
      <c r="I428" s="103">
        <f>'66 SYANA PRAROOP-20'!G429</f>
        <v>0</v>
      </c>
      <c r="J428" s="103">
        <f>'66 SYANA PRAROOP-20'!H429</f>
        <v>4</v>
      </c>
      <c r="K428" s="103">
        <f>'66 SYANA PRAROOP-20'!I429</f>
        <v>1</v>
      </c>
      <c r="L428" s="103">
        <f>'66 SYANA PRAROOP-20'!J429</f>
        <v>4</v>
      </c>
      <c r="M428" s="78">
        <f t="shared" si="12"/>
        <v>678</v>
      </c>
      <c r="N428" s="103">
        <v>0</v>
      </c>
      <c r="O428" s="103">
        <f>'66 SYANA PRAROOP-20'!M429</f>
        <v>6</v>
      </c>
      <c r="P428" s="78">
        <f t="shared" si="13"/>
        <v>684</v>
      </c>
      <c r="Q428" s="103">
        <v>0</v>
      </c>
    </row>
    <row r="429" spans="2:17" ht="18.75">
      <c r="B429" s="78">
        <v>423</v>
      </c>
      <c r="C429" s="114" t="s">
        <v>595</v>
      </c>
      <c r="D429" s="33">
        <v>619</v>
      </c>
      <c r="E429" s="103">
        <f>'66 SYANA PRAROOP-20'!C430</f>
        <v>110</v>
      </c>
      <c r="F429" s="103">
        <f>'66 SYANA PRAROOP-20'!D430</f>
        <v>463</v>
      </c>
      <c r="G429" s="103">
        <f>'66 SYANA PRAROOP-20'!E430</f>
        <v>3</v>
      </c>
      <c r="H429" s="103">
        <f>'66 SYANA PRAROOP-20'!F430</f>
        <v>30</v>
      </c>
      <c r="I429" s="103">
        <f>'66 SYANA PRAROOP-20'!G430</f>
        <v>2</v>
      </c>
      <c r="J429" s="103">
        <f>'66 SYANA PRAROOP-20'!H430</f>
        <v>0</v>
      </c>
      <c r="K429" s="103">
        <f>'66 SYANA PRAROOP-20'!I430</f>
        <v>1</v>
      </c>
      <c r="L429" s="103">
        <f>'66 SYANA PRAROOP-20'!J430</f>
        <v>3</v>
      </c>
      <c r="M429" s="78">
        <f t="shared" si="12"/>
        <v>612</v>
      </c>
      <c r="N429" s="103">
        <v>0</v>
      </c>
      <c r="O429" s="103">
        <f>'66 SYANA PRAROOP-20'!M430</f>
        <v>7</v>
      </c>
      <c r="P429" s="78">
        <f t="shared" si="13"/>
        <v>619</v>
      </c>
      <c r="Q429" s="103">
        <v>0</v>
      </c>
    </row>
    <row r="430" spans="2:17" ht="18.75">
      <c r="B430" s="78">
        <v>424</v>
      </c>
      <c r="C430" s="114" t="s">
        <v>596</v>
      </c>
      <c r="D430" s="33">
        <v>571</v>
      </c>
      <c r="E430" s="103">
        <f>'66 SYANA PRAROOP-20'!C431</f>
        <v>122</v>
      </c>
      <c r="F430" s="103">
        <f>'66 SYANA PRAROOP-20'!D431</f>
        <v>410</v>
      </c>
      <c r="G430" s="103">
        <f>'66 SYANA PRAROOP-20'!E431</f>
        <v>6</v>
      </c>
      <c r="H430" s="103">
        <f>'66 SYANA PRAROOP-20'!F431</f>
        <v>28</v>
      </c>
      <c r="I430" s="103">
        <f>'66 SYANA PRAROOP-20'!G431</f>
        <v>0</v>
      </c>
      <c r="J430" s="103">
        <f>'66 SYANA PRAROOP-20'!H431</f>
        <v>2</v>
      </c>
      <c r="K430" s="103">
        <f>'66 SYANA PRAROOP-20'!I431</f>
        <v>0</v>
      </c>
      <c r="L430" s="103">
        <f>'66 SYANA PRAROOP-20'!J431</f>
        <v>3</v>
      </c>
      <c r="M430" s="78">
        <f t="shared" si="12"/>
        <v>571</v>
      </c>
      <c r="N430" s="103">
        <v>0</v>
      </c>
      <c r="O430" s="103">
        <f>'66 SYANA PRAROOP-20'!M431</f>
        <v>0</v>
      </c>
      <c r="P430" s="78">
        <f t="shared" si="13"/>
        <v>571</v>
      </c>
      <c r="Q430" s="103">
        <v>0</v>
      </c>
    </row>
    <row r="431" spans="2:17" ht="18.75">
      <c r="B431" s="78">
        <v>425</v>
      </c>
      <c r="C431" s="114" t="s">
        <v>597</v>
      </c>
      <c r="D431" s="33">
        <v>584</v>
      </c>
      <c r="E431" s="103">
        <f>'66 SYANA PRAROOP-20'!C432</f>
        <v>181</v>
      </c>
      <c r="F431" s="103">
        <f>'66 SYANA PRAROOP-20'!D432</f>
        <v>350</v>
      </c>
      <c r="G431" s="103">
        <f>'66 SYANA PRAROOP-20'!E432</f>
        <v>6</v>
      </c>
      <c r="H431" s="103">
        <f>'66 SYANA PRAROOP-20'!F432</f>
        <v>29</v>
      </c>
      <c r="I431" s="103">
        <f>'66 SYANA PRAROOP-20'!G432</f>
        <v>2</v>
      </c>
      <c r="J431" s="103">
        <f>'66 SYANA PRAROOP-20'!H432</f>
        <v>3</v>
      </c>
      <c r="K431" s="103">
        <f>'66 SYANA PRAROOP-20'!I432</f>
        <v>4</v>
      </c>
      <c r="L431" s="103">
        <f>'66 SYANA PRAROOP-20'!J432</f>
        <v>2</v>
      </c>
      <c r="M431" s="78">
        <f t="shared" si="12"/>
        <v>577</v>
      </c>
      <c r="N431" s="103">
        <v>0</v>
      </c>
      <c r="O431" s="103">
        <f>'66 SYANA PRAROOP-20'!M432</f>
        <v>7</v>
      </c>
      <c r="P431" s="78">
        <f t="shared" si="13"/>
        <v>584</v>
      </c>
      <c r="Q431" s="103">
        <v>0</v>
      </c>
    </row>
    <row r="432" spans="2:17" ht="18.75">
      <c r="B432" s="78">
        <v>426</v>
      </c>
      <c r="C432" s="114" t="s">
        <v>598</v>
      </c>
      <c r="D432" s="33">
        <v>707</v>
      </c>
      <c r="E432" s="103">
        <f>'66 SYANA PRAROOP-20'!C433</f>
        <v>65</v>
      </c>
      <c r="F432" s="103">
        <f>'66 SYANA PRAROOP-20'!D433</f>
        <v>379</v>
      </c>
      <c r="G432" s="103">
        <f>'66 SYANA PRAROOP-20'!E433</f>
        <v>3</v>
      </c>
      <c r="H432" s="103">
        <f>'66 SYANA PRAROOP-20'!F433</f>
        <v>243</v>
      </c>
      <c r="I432" s="103">
        <f>'66 SYANA PRAROOP-20'!G433</f>
        <v>2</v>
      </c>
      <c r="J432" s="103">
        <f>'66 SYANA PRAROOP-20'!H433</f>
        <v>4</v>
      </c>
      <c r="K432" s="103">
        <f>'66 SYANA PRAROOP-20'!I433</f>
        <v>5</v>
      </c>
      <c r="L432" s="103">
        <f>'66 SYANA PRAROOP-20'!J433</f>
        <v>2</v>
      </c>
      <c r="M432" s="78">
        <f t="shared" si="12"/>
        <v>703</v>
      </c>
      <c r="N432" s="103">
        <v>0</v>
      </c>
      <c r="O432" s="103">
        <f>'66 SYANA PRAROOP-20'!M433</f>
        <v>4</v>
      </c>
      <c r="P432" s="78">
        <f t="shared" si="13"/>
        <v>707</v>
      </c>
      <c r="Q432" s="103">
        <v>0</v>
      </c>
    </row>
    <row r="433" spans="2:17" ht="18.75">
      <c r="B433" s="78">
        <v>427</v>
      </c>
      <c r="C433" s="114" t="s">
        <v>599</v>
      </c>
      <c r="D433" s="33">
        <v>655</v>
      </c>
      <c r="E433" s="103">
        <f>'66 SYANA PRAROOP-20'!C434</f>
        <v>56</v>
      </c>
      <c r="F433" s="103">
        <f>'66 SYANA PRAROOP-20'!D434</f>
        <v>564</v>
      </c>
      <c r="G433" s="103">
        <f>'66 SYANA PRAROOP-20'!E434</f>
        <v>6</v>
      </c>
      <c r="H433" s="103">
        <f>'66 SYANA PRAROOP-20'!F434</f>
        <v>16</v>
      </c>
      <c r="I433" s="103">
        <f>'66 SYANA PRAROOP-20'!G434</f>
        <v>0</v>
      </c>
      <c r="J433" s="103">
        <f>'66 SYANA PRAROOP-20'!H434</f>
        <v>5</v>
      </c>
      <c r="K433" s="103">
        <f>'66 SYANA PRAROOP-20'!I434</f>
        <v>5</v>
      </c>
      <c r="L433" s="103">
        <f>'66 SYANA PRAROOP-20'!J434</f>
        <v>2</v>
      </c>
      <c r="M433" s="78">
        <f t="shared" si="12"/>
        <v>654</v>
      </c>
      <c r="N433" s="103">
        <v>0</v>
      </c>
      <c r="O433" s="103">
        <f>'66 SYANA PRAROOP-20'!M434</f>
        <v>1</v>
      </c>
      <c r="P433" s="78">
        <f t="shared" si="13"/>
        <v>655</v>
      </c>
      <c r="Q433" s="103">
        <v>0</v>
      </c>
    </row>
    <row r="434" spans="2:17" ht="18.75">
      <c r="B434" s="78">
        <v>428</v>
      </c>
      <c r="C434" s="114" t="s">
        <v>600</v>
      </c>
      <c r="D434" s="33">
        <v>333</v>
      </c>
      <c r="E434" s="103">
        <f>'66 SYANA PRAROOP-20'!C435</f>
        <v>87</v>
      </c>
      <c r="F434" s="103">
        <f>'66 SYANA PRAROOP-20'!D435</f>
        <v>224</v>
      </c>
      <c r="G434" s="103">
        <f>'66 SYANA PRAROOP-20'!E435</f>
        <v>8</v>
      </c>
      <c r="H434" s="103">
        <f>'66 SYANA PRAROOP-20'!F435</f>
        <v>5</v>
      </c>
      <c r="I434" s="103">
        <f>'66 SYANA PRAROOP-20'!G435</f>
        <v>0</v>
      </c>
      <c r="J434" s="103">
        <f>'66 SYANA PRAROOP-20'!H435</f>
        <v>2</v>
      </c>
      <c r="K434" s="103">
        <f>'66 SYANA PRAROOP-20'!I435</f>
        <v>3</v>
      </c>
      <c r="L434" s="103">
        <f>'66 SYANA PRAROOP-20'!J435</f>
        <v>1</v>
      </c>
      <c r="M434" s="78">
        <f t="shared" si="12"/>
        <v>330</v>
      </c>
      <c r="N434" s="103">
        <v>0</v>
      </c>
      <c r="O434" s="103">
        <f>'66 SYANA PRAROOP-20'!M435</f>
        <v>3</v>
      </c>
      <c r="P434" s="78">
        <f t="shared" si="13"/>
        <v>333</v>
      </c>
      <c r="Q434" s="103">
        <v>0</v>
      </c>
    </row>
    <row r="435" spans="2:17" ht="18.75">
      <c r="B435" s="78">
        <v>429</v>
      </c>
      <c r="C435" s="114" t="s">
        <v>601</v>
      </c>
      <c r="D435" s="33">
        <v>444</v>
      </c>
      <c r="E435" s="103">
        <f>'66 SYANA PRAROOP-20'!C436</f>
        <v>132</v>
      </c>
      <c r="F435" s="103">
        <f>'66 SYANA PRAROOP-20'!D436</f>
        <v>253</v>
      </c>
      <c r="G435" s="103">
        <f>'66 SYANA PRAROOP-20'!E436</f>
        <v>7</v>
      </c>
      <c r="H435" s="103">
        <f>'66 SYANA PRAROOP-20'!F436</f>
        <v>40</v>
      </c>
      <c r="I435" s="103">
        <f>'66 SYANA PRAROOP-20'!G436</f>
        <v>0</v>
      </c>
      <c r="J435" s="103">
        <f>'66 SYANA PRAROOP-20'!H436</f>
        <v>2</v>
      </c>
      <c r="K435" s="103">
        <f>'66 SYANA PRAROOP-20'!I436</f>
        <v>1</v>
      </c>
      <c r="L435" s="103">
        <f>'66 SYANA PRAROOP-20'!J436</f>
        <v>2</v>
      </c>
      <c r="M435" s="78">
        <f t="shared" si="12"/>
        <v>437</v>
      </c>
      <c r="N435" s="103">
        <v>0</v>
      </c>
      <c r="O435" s="103">
        <f>'66 SYANA PRAROOP-20'!M436</f>
        <v>7</v>
      </c>
      <c r="P435" s="78">
        <f t="shared" si="13"/>
        <v>444</v>
      </c>
      <c r="Q435" s="103">
        <v>0</v>
      </c>
    </row>
    <row r="436" spans="2:17" ht="18.75">
      <c r="B436" s="78">
        <v>430</v>
      </c>
      <c r="C436" s="114" t="s">
        <v>602</v>
      </c>
      <c r="D436" s="33">
        <v>470</v>
      </c>
      <c r="E436" s="103">
        <f>'66 SYANA PRAROOP-20'!C437</f>
        <v>172</v>
      </c>
      <c r="F436" s="103">
        <f>'66 SYANA PRAROOP-20'!D437</f>
        <v>270</v>
      </c>
      <c r="G436" s="103">
        <f>'66 SYANA PRAROOP-20'!E437</f>
        <v>15</v>
      </c>
      <c r="H436" s="103">
        <f>'66 SYANA PRAROOP-20'!F437</f>
        <v>2</v>
      </c>
      <c r="I436" s="103">
        <f>'66 SYANA PRAROOP-20'!G437</f>
        <v>1</v>
      </c>
      <c r="J436" s="103">
        <f>'66 SYANA PRAROOP-20'!H437</f>
        <v>0</v>
      </c>
      <c r="K436" s="103">
        <f>'66 SYANA PRAROOP-20'!I437</f>
        <v>2</v>
      </c>
      <c r="L436" s="103">
        <f>'66 SYANA PRAROOP-20'!J437</f>
        <v>2</v>
      </c>
      <c r="M436" s="78">
        <f t="shared" si="12"/>
        <v>464</v>
      </c>
      <c r="N436" s="103">
        <v>0</v>
      </c>
      <c r="O436" s="103">
        <f>'66 SYANA PRAROOP-20'!M437</f>
        <v>6</v>
      </c>
      <c r="P436" s="78">
        <f t="shared" si="13"/>
        <v>470</v>
      </c>
      <c r="Q436" s="103">
        <v>0</v>
      </c>
    </row>
    <row r="437" spans="2:17" ht="18.75">
      <c r="B437" s="78">
        <v>431</v>
      </c>
      <c r="C437" s="114" t="s">
        <v>603</v>
      </c>
      <c r="D437" s="33">
        <v>583</v>
      </c>
      <c r="E437" s="103">
        <f>'66 SYANA PRAROOP-20'!C438</f>
        <v>77</v>
      </c>
      <c r="F437" s="103">
        <f>'66 SYANA PRAROOP-20'!D438</f>
        <v>234</v>
      </c>
      <c r="G437" s="103">
        <f>'66 SYANA PRAROOP-20'!E438</f>
        <v>29</v>
      </c>
      <c r="H437" s="103">
        <f>'66 SYANA PRAROOP-20'!F438</f>
        <v>226</v>
      </c>
      <c r="I437" s="103">
        <f>'66 SYANA PRAROOP-20'!G438</f>
        <v>8</v>
      </c>
      <c r="J437" s="103">
        <f>'66 SYANA PRAROOP-20'!H438</f>
        <v>6</v>
      </c>
      <c r="K437" s="103">
        <f>'66 SYANA PRAROOP-20'!I438</f>
        <v>0</v>
      </c>
      <c r="L437" s="103">
        <f>'66 SYANA PRAROOP-20'!J438</f>
        <v>2</v>
      </c>
      <c r="M437" s="78">
        <f t="shared" si="12"/>
        <v>582</v>
      </c>
      <c r="N437" s="103">
        <v>0</v>
      </c>
      <c r="O437" s="103">
        <f>'66 SYANA PRAROOP-20'!M438</f>
        <v>1</v>
      </c>
      <c r="P437" s="78">
        <f t="shared" si="13"/>
        <v>583</v>
      </c>
      <c r="Q437" s="103">
        <v>0</v>
      </c>
    </row>
    <row r="438" spans="2:17" ht="18.75">
      <c r="B438" s="78">
        <v>432</v>
      </c>
      <c r="C438" s="114" t="s">
        <v>604</v>
      </c>
      <c r="D438" s="33">
        <v>406</v>
      </c>
      <c r="E438" s="103">
        <f>'66 SYANA PRAROOP-20'!C439</f>
        <v>79</v>
      </c>
      <c r="F438" s="103">
        <f>'66 SYANA PRAROOP-20'!D439</f>
        <v>302</v>
      </c>
      <c r="G438" s="103">
        <f>'66 SYANA PRAROOP-20'!E439</f>
        <v>6</v>
      </c>
      <c r="H438" s="103">
        <f>'66 SYANA PRAROOP-20'!F439</f>
        <v>12</v>
      </c>
      <c r="I438" s="103">
        <f>'66 SYANA PRAROOP-20'!G439</f>
        <v>0</v>
      </c>
      <c r="J438" s="103">
        <f>'66 SYANA PRAROOP-20'!H439</f>
        <v>3</v>
      </c>
      <c r="K438" s="103">
        <f>'66 SYANA PRAROOP-20'!I439</f>
        <v>0</v>
      </c>
      <c r="L438" s="103">
        <f>'66 SYANA PRAROOP-20'!J439</f>
        <v>1</v>
      </c>
      <c r="M438" s="78">
        <f t="shared" si="12"/>
        <v>403</v>
      </c>
      <c r="N438" s="103">
        <v>0</v>
      </c>
      <c r="O438" s="103">
        <f>'66 SYANA PRAROOP-20'!M439</f>
        <v>3</v>
      </c>
      <c r="P438" s="78">
        <f t="shared" si="13"/>
        <v>406</v>
      </c>
      <c r="Q438" s="103">
        <v>0</v>
      </c>
    </row>
    <row r="439" spans="2:17" ht="18.75">
      <c r="B439" s="78">
        <v>433</v>
      </c>
      <c r="C439" s="114" t="s">
        <v>605</v>
      </c>
      <c r="D439" s="33">
        <v>485</v>
      </c>
      <c r="E439" s="103">
        <f>'66 SYANA PRAROOP-20'!C440</f>
        <v>44</v>
      </c>
      <c r="F439" s="103">
        <f>'66 SYANA PRAROOP-20'!D440</f>
        <v>386</v>
      </c>
      <c r="G439" s="103">
        <f>'66 SYANA PRAROOP-20'!E440</f>
        <v>1</v>
      </c>
      <c r="H439" s="103">
        <f>'66 SYANA PRAROOP-20'!F440</f>
        <v>46</v>
      </c>
      <c r="I439" s="103">
        <f>'66 SYANA PRAROOP-20'!G440</f>
        <v>2</v>
      </c>
      <c r="J439" s="103">
        <f>'66 SYANA PRAROOP-20'!H440</f>
        <v>1</v>
      </c>
      <c r="K439" s="103">
        <f>'66 SYANA PRAROOP-20'!I440</f>
        <v>2</v>
      </c>
      <c r="L439" s="103">
        <f>'66 SYANA PRAROOP-20'!J440</f>
        <v>2</v>
      </c>
      <c r="M439" s="78">
        <f t="shared" si="12"/>
        <v>484</v>
      </c>
      <c r="N439" s="103">
        <v>0</v>
      </c>
      <c r="O439" s="103">
        <f>'66 SYANA PRAROOP-20'!M440</f>
        <v>1</v>
      </c>
      <c r="P439" s="78">
        <f t="shared" si="13"/>
        <v>485</v>
      </c>
      <c r="Q439" s="103">
        <v>0</v>
      </c>
    </row>
    <row r="440" spans="2:17" ht="18.75">
      <c r="B440" s="78">
        <v>434</v>
      </c>
      <c r="C440" s="114" t="s">
        <v>606</v>
      </c>
      <c r="D440" s="33">
        <v>337</v>
      </c>
      <c r="E440" s="103">
        <f>'66 SYANA PRAROOP-20'!C441</f>
        <v>74</v>
      </c>
      <c r="F440" s="103">
        <f>'66 SYANA PRAROOP-20'!D441</f>
        <v>148</v>
      </c>
      <c r="G440" s="103">
        <f>'66 SYANA PRAROOP-20'!E441</f>
        <v>4</v>
      </c>
      <c r="H440" s="103">
        <f>'66 SYANA PRAROOP-20'!F441</f>
        <v>102</v>
      </c>
      <c r="I440" s="103">
        <f>'66 SYANA PRAROOP-20'!G441</f>
        <v>1</v>
      </c>
      <c r="J440" s="103">
        <f>'66 SYANA PRAROOP-20'!H441</f>
        <v>0</v>
      </c>
      <c r="K440" s="103">
        <f>'66 SYANA PRAROOP-20'!I441</f>
        <v>3</v>
      </c>
      <c r="L440" s="103">
        <f>'66 SYANA PRAROOP-20'!J441</f>
        <v>1</v>
      </c>
      <c r="M440" s="78">
        <f t="shared" si="12"/>
        <v>333</v>
      </c>
      <c r="N440" s="103">
        <v>0</v>
      </c>
      <c r="O440" s="103">
        <f>'66 SYANA PRAROOP-20'!M441</f>
        <v>4</v>
      </c>
      <c r="P440" s="78">
        <f t="shared" si="13"/>
        <v>337</v>
      </c>
      <c r="Q440" s="103">
        <v>0</v>
      </c>
    </row>
    <row r="441" spans="2:17" ht="18.75">
      <c r="B441" s="78">
        <v>435</v>
      </c>
      <c r="C441" s="114" t="s">
        <v>607</v>
      </c>
      <c r="D441" s="33">
        <v>635</v>
      </c>
      <c r="E441" s="103">
        <f>'66 SYANA PRAROOP-20'!C442</f>
        <v>67</v>
      </c>
      <c r="F441" s="103">
        <f>'66 SYANA PRAROOP-20'!D442</f>
        <v>270</v>
      </c>
      <c r="G441" s="103">
        <f>'66 SYANA PRAROOP-20'!E442</f>
        <v>12</v>
      </c>
      <c r="H441" s="103">
        <f>'66 SYANA PRAROOP-20'!F442</f>
        <v>279</v>
      </c>
      <c r="I441" s="103">
        <f>'66 SYANA PRAROOP-20'!G442</f>
        <v>2</v>
      </c>
      <c r="J441" s="103">
        <f>'66 SYANA PRAROOP-20'!H442</f>
        <v>2</v>
      </c>
      <c r="K441" s="103">
        <f>'66 SYANA PRAROOP-20'!I442</f>
        <v>2</v>
      </c>
      <c r="L441" s="103">
        <f>'66 SYANA PRAROOP-20'!J442</f>
        <v>0</v>
      </c>
      <c r="M441" s="78">
        <f t="shared" si="12"/>
        <v>634</v>
      </c>
      <c r="N441" s="103">
        <v>0</v>
      </c>
      <c r="O441" s="103">
        <f>'66 SYANA PRAROOP-20'!M442</f>
        <v>1</v>
      </c>
      <c r="P441" s="78">
        <f t="shared" si="13"/>
        <v>635</v>
      </c>
      <c r="Q441" s="103">
        <v>0</v>
      </c>
    </row>
    <row r="442" spans="2:17" ht="18.75">
      <c r="B442" s="78">
        <v>436</v>
      </c>
      <c r="C442" s="114" t="s">
        <v>608</v>
      </c>
      <c r="D442" s="33">
        <v>644</v>
      </c>
      <c r="E442" s="103">
        <f>'66 SYANA PRAROOP-20'!C443</f>
        <v>71</v>
      </c>
      <c r="F442" s="103">
        <f>'66 SYANA PRAROOP-20'!D443</f>
        <v>548</v>
      </c>
      <c r="G442" s="103">
        <f>'66 SYANA PRAROOP-20'!E443</f>
        <v>13</v>
      </c>
      <c r="H442" s="103">
        <f>'66 SYANA PRAROOP-20'!F443</f>
        <v>5</v>
      </c>
      <c r="I442" s="103">
        <f>'66 SYANA PRAROOP-20'!G443</f>
        <v>0</v>
      </c>
      <c r="J442" s="103">
        <f>'66 SYANA PRAROOP-20'!H443</f>
        <v>3</v>
      </c>
      <c r="K442" s="103">
        <f>'66 SYANA PRAROOP-20'!I443</f>
        <v>0</v>
      </c>
      <c r="L442" s="103">
        <f>'66 SYANA PRAROOP-20'!J443</f>
        <v>3</v>
      </c>
      <c r="M442" s="78">
        <f t="shared" si="12"/>
        <v>643</v>
      </c>
      <c r="N442" s="103">
        <v>0</v>
      </c>
      <c r="O442" s="103">
        <f>'66 SYANA PRAROOP-20'!M443</f>
        <v>1</v>
      </c>
      <c r="P442" s="78">
        <f t="shared" si="13"/>
        <v>644</v>
      </c>
      <c r="Q442" s="103">
        <v>0</v>
      </c>
    </row>
    <row r="443" spans="2:17" ht="18.75">
      <c r="B443" s="78">
        <v>437</v>
      </c>
      <c r="C443" s="114" t="s">
        <v>609</v>
      </c>
      <c r="D443" s="33">
        <v>636</v>
      </c>
      <c r="E443" s="103">
        <f>'66 SYANA PRAROOP-20'!C444</f>
        <v>28</v>
      </c>
      <c r="F443" s="103">
        <f>'66 SYANA PRAROOP-20'!D444</f>
        <v>478</v>
      </c>
      <c r="G443" s="103">
        <f>'66 SYANA PRAROOP-20'!E444</f>
        <v>5</v>
      </c>
      <c r="H443" s="103">
        <f>'66 SYANA PRAROOP-20'!F444</f>
        <v>112</v>
      </c>
      <c r="I443" s="103">
        <f>'66 SYANA PRAROOP-20'!G444</f>
        <v>4</v>
      </c>
      <c r="J443" s="103">
        <f>'66 SYANA PRAROOP-20'!H444</f>
        <v>4</v>
      </c>
      <c r="K443" s="103">
        <f>'66 SYANA PRAROOP-20'!I444</f>
        <v>3</v>
      </c>
      <c r="L443" s="103">
        <f>'66 SYANA PRAROOP-20'!J444</f>
        <v>0</v>
      </c>
      <c r="M443" s="78">
        <f t="shared" si="12"/>
        <v>634</v>
      </c>
      <c r="N443" s="103">
        <v>0</v>
      </c>
      <c r="O443" s="103">
        <f>'66 SYANA PRAROOP-20'!M444</f>
        <v>2</v>
      </c>
      <c r="P443" s="78">
        <f t="shared" si="13"/>
        <v>636</v>
      </c>
      <c r="Q443" s="103">
        <v>0</v>
      </c>
    </row>
    <row r="444" spans="2:17" ht="19.5" thickBot="1">
      <c r="B444" s="78">
        <v>438</v>
      </c>
      <c r="C444" s="115" t="s">
        <v>610</v>
      </c>
      <c r="D444" s="33">
        <v>231</v>
      </c>
      <c r="E444" s="103">
        <f>'66 SYANA PRAROOP-20'!C445</f>
        <v>103</v>
      </c>
      <c r="F444" s="103">
        <f>'66 SYANA PRAROOP-20'!D445</f>
        <v>120</v>
      </c>
      <c r="G444" s="103">
        <f>'66 SYANA PRAROOP-20'!E445</f>
        <v>1</v>
      </c>
      <c r="H444" s="103">
        <f>'66 SYANA PRAROOP-20'!F445</f>
        <v>3</v>
      </c>
      <c r="I444" s="103">
        <f>'66 SYANA PRAROOP-20'!G445</f>
        <v>0</v>
      </c>
      <c r="J444" s="103">
        <f>'66 SYANA PRAROOP-20'!H445</f>
        <v>2</v>
      </c>
      <c r="K444" s="103">
        <f>'66 SYANA PRAROOP-20'!I445</f>
        <v>0</v>
      </c>
      <c r="L444" s="103">
        <f>'66 SYANA PRAROOP-20'!J445</f>
        <v>2</v>
      </c>
      <c r="M444" s="78">
        <f t="shared" si="12"/>
        <v>231</v>
      </c>
      <c r="N444" s="103">
        <v>0</v>
      </c>
      <c r="O444" s="103">
        <f>'66 SYANA PRAROOP-20'!M445</f>
        <v>0</v>
      </c>
      <c r="P444" s="78">
        <f t="shared" si="13"/>
        <v>231</v>
      </c>
      <c r="Q444" s="103">
        <v>0</v>
      </c>
    </row>
    <row r="445" spans="2:17" s="104" customFormat="1" ht="96" customHeight="1">
      <c r="B445" s="276" t="s">
        <v>154</v>
      </c>
      <c r="C445" s="276"/>
      <c r="D445" s="77">
        <f>SUM(D7:D444)</f>
        <v>251967</v>
      </c>
      <c r="E445" s="77">
        <f t="shared" ref="E445:Q445" si="14">SUM(E7:E444)</f>
        <v>59207</v>
      </c>
      <c r="F445" s="77">
        <f t="shared" si="14"/>
        <v>148342</v>
      </c>
      <c r="G445" s="77">
        <f t="shared" si="14"/>
        <v>2888</v>
      </c>
      <c r="H445" s="77">
        <f t="shared" si="14"/>
        <v>36043</v>
      </c>
      <c r="I445" s="77">
        <f t="shared" si="14"/>
        <v>728</v>
      </c>
      <c r="J445" s="77">
        <f t="shared" si="14"/>
        <v>1235</v>
      </c>
      <c r="K445" s="77">
        <f t="shared" si="14"/>
        <v>1109</v>
      </c>
      <c r="L445" s="77">
        <f t="shared" si="14"/>
        <v>1009</v>
      </c>
      <c r="M445" s="77">
        <f t="shared" si="14"/>
        <v>250561</v>
      </c>
      <c r="N445" s="77">
        <f t="shared" si="14"/>
        <v>0</v>
      </c>
      <c r="O445" s="77">
        <f t="shared" si="14"/>
        <v>1400</v>
      </c>
      <c r="P445" s="77">
        <f t="shared" si="14"/>
        <v>251961</v>
      </c>
      <c r="Q445" s="77">
        <f t="shared" si="14"/>
        <v>0</v>
      </c>
    </row>
    <row r="446" spans="2:17" ht="22.5" customHeight="1">
      <c r="B446" s="275" t="s">
        <v>153</v>
      </c>
      <c r="C446" s="275"/>
      <c r="D446" s="33">
        <v>0</v>
      </c>
      <c r="E446" s="98">
        <v>261</v>
      </c>
      <c r="F446" s="98">
        <v>783</v>
      </c>
      <c r="G446" s="98">
        <v>26</v>
      </c>
      <c r="H446" s="98">
        <v>150</v>
      </c>
      <c r="I446" s="98">
        <v>10</v>
      </c>
      <c r="J446" s="98">
        <v>2</v>
      </c>
      <c r="K446" s="98">
        <v>0</v>
      </c>
      <c r="L446" s="98">
        <v>2</v>
      </c>
      <c r="M446" s="78">
        <f>SUM(E446:L446)</f>
        <v>1234</v>
      </c>
      <c r="N446" s="78">
        <v>542</v>
      </c>
      <c r="O446" s="103">
        <f>'66 SYANA PRAROOP-20'!M447</f>
        <v>2</v>
      </c>
      <c r="P446" s="78">
        <f>M446+O446+N446</f>
        <v>1778</v>
      </c>
      <c r="Q446" s="78">
        <v>0</v>
      </c>
    </row>
    <row r="447" spans="2:17" s="104" customFormat="1" ht="96" customHeight="1">
      <c r="B447" s="276" t="s">
        <v>155</v>
      </c>
      <c r="C447" s="276"/>
      <c r="D447" s="100">
        <f>D445+D446</f>
        <v>251967</v>
      </c>
      <c r="E447" s="100">
        <f t="shared" ref="E447:Q447" si="15">E445+E446</f>
        <v>59468</v>
      </c>
      <c r="F447" s="100">
        <f t="shared" si="15"/>
        <v>149125</v>
      </c>
      <c r="G447" s="100">
        <f t="shared" si="15"/>
        <v>2914</v>
      </c>
      <c r="H447" s="100">
        <f t="shared" si="15"/>
        <v>36193</v>
      </c>
      <c r="I447" s="100">
        <f t="shared" si="15"/>
        <v>738</v>
      </c>
      <c r="J447" s="100">
        <f t="shared" si="15"/>
        <v>1237</v>
      </c>
      <c r="K447" s="100">
        <f t="shared" si="15"/>
        <v>1109</v>
      </c>
      <c r="L447" s="100">
        <f t="shared" si="15"/>
        <v>1011</v>
      </c>
      <c r="M447" s="100">
        <f t="shared" si="15"/>
        <v>251795</v>
      </c>
      <c r="N447" s="100">
        <f t="shared" si="15"/>
        <v>542</v>
      </c>
      <c r="O447" s="100">
        <f t="shared" si="15"/>
        <v>1402</v>
      </c>
      <c r="P447" s="100">
        <f t="shared" si="15"/>
        <v>253739</v>
      </c>
      <c r="Q447" s="100">
        <f t="shared" si="15"/>
        <v>0</v>
      </c>
    </row>
    <row r="451" spans="14:14" ht="21">
      <c r="N451" s="106" t="s">
        <v>108</v>
      </c>
    </row>
    <row r="452" spans="14:14" ht="21">
      <c r="N452" s="107" t="s">
        <v>185</v>
      </c>
    </row>
  </sheetData>
  <mergeCells count="16">
    <mergeCell ref="E5:L5"/>
    <mergeCell ref="B446:C446"/>
    <mergeCell ref="B445:C445"/>
    <mergeCell ref="B447:C447"/>
    <mergeCell ref="B1:Q1"/>
    <mergeCell ref="B2:Q2"/>
    <mergeCell ref="B3:Q3"/>
    <mergeCell ref="B4:Q4"/>
    <mergeCell ref="P5:P6"/>
    <mergeCell ref="Q5:Q6"/>
    <mergeCell ref="B5:B6"/>
    <mergeCell ref="C5:C6"/>
    <mergeCell ref="D5:D6"/>
    <mergeCell ref="M5:M6"/>
    <mergeCell ref="N5:N6"/>
    <mergeCell ref="O5:O6"/>
  </mergeCells>
  <conditionalFormatting sqref="C131 C250 C271 C281 C316 C353 C369">
    <cfRule type="notContainsBlanks" dxfId="0" priority="7" stopIfTrue="1">
      <formula>LEN(TRIM(C131))&gt;0</formula>
    </cfRule>
  </conditionalFormatting>
  <pageMargins left="0.63" right="0.23" top="0.34" bottom="0.57999999999999996" header="0.13" footer="0.14000000000000001"/>
  <pageSetup paperSize="5" orientation="landscape" r:id="rId1"/>
  <headerFooter>
    <oddHeader>&amp;A</oddHeader>
    <oddFooter>&amp;R&amp;"Arial Rounded MT Bold,Regular"&amp;P</oddFooter>
  </headerFooter>
  <ignoredErrors>
    <ignoredError sqref="M446" formulaRange="1"/>
    <ignoredError sqref="M445" 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7030A0"/>
  </sheetPr>
  <dimension ref="A1:AJ450"/>
  <sheetViews>
    <sheetView tabSelected="1" view="pageBreakPreview" zoomScale="60" zoomScaleNormal="85" workbookViewId="0">
      <selection activeCell="F223" sqref="F223"/>
    </sheetView>
  </sheetViews>
  <sheetFormatPr defaultRowHeight="15.75"/>
  <cols>
    <col min="1" max="1" width="4.85546875" style="122" customWidth="1"/>
    <col min="2" max="2" width="5.140625" style="122" customWidth="1"/>
    <col min="3" max="3" width="13.7109375" style="133" customWidth="1"/>
    <col min="4" max="4" width="9.42578125" style="122" customWidth="1"/>
    <col min="5" max="5" width="7.85546875" style="122" bestFit="1" customWidth="1"/>
    <col min="6" max="6" width="9.42578125" style="122" customWidth="1"/>
    <col min="7" max="7" width="7.42578125" style="122" customWidth="1"/>
    <col min="8" max="8" width="7.85546875" style="122" customWidth="1"/>
    <col min="9" max="9" width="11" style="122" customWidth="1"/>
    <col min="10" max="10" width="7.5703125" style="122" customWidth="1"/>
    <col min="11" max="11" width="3.28515625" style="122" customWidth="1"/>
    <col min="12" max="12" width="5.85546875" style="122" customWidth="1"/>
    <col min="13" max="13" width="6.5703125" style="122" customWidth="1"/>
    <col min="14" max="14" width="3.28515625" style="122" customWidth="1"/>
    <col min="15" max="15" width="5.85546875" style="122" customWidth="1"/>
    <col min="16" max="16" width="6.5703125" style="122" customWidth="1"/>
    <col min="17" max="17" width="3.28515625" style="122" customWidth="1"/>
    <col min="18" max="18" width="5.85546875" style="122" customWidth="1"/>
    <col min="19" max="19" width="6.5703125" style="122" customWidth="1"/>
    <col min="20" max="20" width="3.28515625" style="122" customWidth="1"/>
    <col min="21" max="21" width="5.85546875" style="122" customWidth="1"/>
    <col min="22" max="22" width="6.5703125" style="122" customWidth="1"/>
    <col min="23" max="23" width="3.28515625" style="122" customWidth="1"/>
    <col min="24" max="24" width="5.85546875" style="122" customWidth="1"/>
    <col min="25" max="25" width="6.5703125" style="122" customWidth="1"/>
    <col min="26" max="26" width="3.28515625" style="122" customWidth="1"/>
    <col min="27" max="27" width="5.85546875" style="122" customWidth="1"/>
    <col min="28" max="28" width="6.5703125" style="122" customWidth="1"/>
    <col min="29" max="29" width="3.28515625" style="122" customWidth="1"/>
    <col min="30" max="30" width="5.85546875" style="122" customWidth="1"/>
    <col min="31" max="31" width="6.5703125" style="122" customWidth="1"/>
    <col min="32" max="32" width="3.28515625" style="122" customWidth="1"/>
    <col min="33" max="33" width="5.85546875" style="122" customWidth="1"/>
    <col min="34" max="34" width="6.5703125" style="122" customWidth="1"/>
    <col min="35" max="35" width="10.7109375" style="122" customWidth="1"/>
    <col min="36" max="36" width="9.140625" style="122" hidden="1" customWidth="1"/>
    <col min="37" max="37" width="0" style="122" hidden="1" customWidth="1"/>
    <col min="38" max="238" width="9.140625" style="122"/>
    <col min="239" max="239" width="4.85546875" style="122" customWidth="1"/>
    <col min="240" max="240" width="5.140625" style="122" customWidth="1"/>
    <col min="241" max="241" width="13.7109375" style="122" customWidth="1"/>
    <col min="242" max="242" width="9.42578125" style="122" customWidth="1"/>
    <col min="243" max="243" width="7.85546875" style="122" bestFit="1" customWidth="1"/>
    <col min="244" max="244" width="9.42578125" style="122" customWidth="1"/>
    <col min="245" max="245" width="7.42578125" style="122" customWidth="1"/>
    <col min="246" max="246" width="7.85546875" style="122" customWidth="1"/>
    <col min="247" max="247" width="11" style="122" customWidth="1"/>
    <col min="248" max="248" width="7.5703125" style="122" customWidth="1"/>
    <col min="249" max="249" width="3.28515625" style="122" customWidth="1"/>
    <col min="250" max="250" width="5.85546875" style="122" customWidth="1"/>
    <col min="251" max="251" width="6.5703125" style="122" customWidth="1"/>
    <col min="252" max="252" width="3.28515625" style="122" customWidth="1"/>
    <col min="253" max="253" width="5.85546875" style="122" customWidth="1"/>
    <col min="254" max="254" width="6.5703125" style="122" customWidth="1"/>
    <col min="255" max="255" width="3.28515625" style="122" customWidth="1"/>
    <col min="256" max="256" width="5.85546875" style="122" customWidth="1"/>
    <col min="257" max="257" width="6.5703125" style="122" customWidth="1"/>
    <col min="258" max="258" width="3.28515625" style="122" customWidth="1"/>
    <col min="259" max="259" width="5.85546875" style="122" customWidth="1"/>
    <col min="260" max="260" width="6.5703125" style="122" customWidth="1"/>
    <col min="261" max="261" width="3.28515625" style="122" customWidth="1"/>
    <col min="262" max="262" width="5.85546875" style="122" customWidth="1"/>
    <col min="263" max="263" width="6.5703125" style="122" customWidth="1"/>
    <col min="264" max="264" width="3.28515625" style="122" customWidth="1"/>
    <col min="265" max="265" width="5.85546875" style="122" customWidth="1"/>
    <col min="266" max="266" width="6.5703125" style="122" customWidth="1"/>
    <col min="267" max="267" width="3.28515625" style="122" customWidth="1"/>
    <col min="268" max="268" width="5.85546875" style="122" customWidth="1"/>
    <col min="269" max="269" width="6.5703125" style="122" customWidth="1"/>
    <col min="270" max="270" width="3.28515625" style="122" customWidth="1"/>
    <col min="271" max="271" width="5.85546875" style="122" customWidth="1"/>
    <col min="272" max="272" width="6.5703125" style="122" customWidth="1"/>
    <col min="273" max="273" width="3.28515625" style="122" customWidth="1"/>
    <col min="274" max="274" width="5.85546875" style="122" customWidth="1"/>
    <col min="275" max="275" width="6.5703125" style="122" customWidth="1"/>
    <col min="276" max="276" width="3.28515625" style="122" customWidth="1"/>
    <col min="277" max="277" width="5.85546875" style="122" customWidth="1"/>
    <col min="278" max="278" width="6.5703125" style="122" customWidth="1"/>
    <col min="279" max="279" width="3.28515625" style="122" customWidth="1"/>
    <col min="280" max="280" width="5.85546875" style="122" customWidth="1"/>
    <col min="281" max="281" width="6.5703125" style="122" customWidth="1"/>
    <col min="282" max="282" width="3.28515625" style="122" customWidth="1"/>
    <col min="283" max="283" width="5.85546875" style="122" customWidth="1"/>
    <col min="284" max="284" width="6.5703125" style="122" customWidth="1"/>
    <col min="285" max="285" width="3.28515625" style="122" customWidth="1"/>
    <col min="286" max="286" width="5.85546875" style="122" customWidth="1"/>
    <col min="287" max="287" width="6.5703125" style="122" customWidth="1"/>
    <col min="288" max="288" width="3.28515625" style="122" customWidth="1"/>
    <col min="289" max="289" width="5.85546875" style="122" customWidth="1"/>
    <col min="290" max="290" width="6.5703125" style="122" customWidth="1"/>
    <col min="291" max="291" width="9.42578125" style="122" customWidth="1"/>
    <col min="292" max="494" width="9.140625" style="122"/>
    <col min="495" max="495" width="4.85546875" style="122" customWidth="1"/>
    <col min="496" max="496" width="5.140625" style="122" customWidth="1"/>
    <col min="497" max="497" width="13.7109375" style="122" customWidth="1"/>
    <col min="498" max="498" width="9.42578125" style="122" customWidth="1"/>
    <col min="499" max="499" width="7.85546875" style="122" bestFit="1" customWidth="1"/>
    <col min="500" max="500" width="9.42578125" style="122" customWidth="1"/>
    <col min="501" max="501" width="7.42578125" style="122" customWidth="1"/>
    <col min="502" max="502" width="7.85546875" style="122" customWidth="1"/>
    <col min="503" max="503" width="11" style="122" customWidth="1"/>
    <col min="504" max="504" width="7.5703125" style="122" customWidth="1"/>
    <col min="505" max="505" width="3.28515625" style="122" customWidth="1"/>
    <col min="506" max="506" width="5.85546875" style="122" customWidth="1"/>
    <col min="507" max="507" width="6.5703125" style="122" customWidth="1"/>
    <col min="508" max="508" width="3.28515625" style="122" customWidth="1"/>
    <col min="509" max="509" width="5.85546875" style="122" customWidth="1"/>
    <col min="510" max="510" width="6.5703125" style="122" customWidth="1"/>
    <col min="511" max="511" width="3.28515625" style="122" customWidth="1"/>
    <col min="512" max="512" width="5.85546875" style="122" customWidth="1"/>
    <col min="513" max="513" width="6.5703125" style="122" customWidth="1"/>
    <col min="514" max="514" width="3.28515625" style="122" customWidth="1"/>
    <col min="515" max="515" width="5.85546875" style="122" customWidth="1"/>
    <col min="516" max="516" width="6.5703125" style="122" customWidth="1"/>
    <col min="517" max="517" width="3.28515625" style="122" customWidth="1"/>
    <col min="518" max="518" width="5.85546875" style="122" customWidth="1"/>
    <col min="519" max="519" width="6.5703125" style="122" customWidth="1"/>
    <col min="520" max="520" width="3.28515625" style="122" customWidth="1"/>
    <col min="521" max="521" width="5.85546875" style="122" customWidth="1"/>
    <col min="522" max="522" width="6.5703125" style="122" customWidth="1"/>
    <col min="523" max="523" width="3.28515625" style="122" customWidth="1"/>
    <col min="524" max="524" width="5.85546875" style="122" customWidth="1"/>
    <col min="525" max="525" width="6.5703125" style="122" customWidth="1"/>
    <col min="526" max="526" width="3.28515625" style="122" customWidth="1"/>
    <col min="527" max="527" width="5.85546875" style="122" customWidth="1"/>
    <col min="528" max="528" width="6.5703125" style="122" customWidth="1"/>
    <col min="529" max="529" width="3.28515625" style="122" customWidth="1"/>
    <col min="530" max="530" width="5.85546875" style="122" customWidth="1"/>
    <col min="531" max="531" width="6.5703125" style="122" customWidth="1"/>
    <col min="532" max="532" width="3.28515625" style="122" customWidth="1"/>
    <col min="533" max="533" width="5.85546875" style="122" customWidth="1"/>
    <col min="534" max="534" width="6.5703125" style="122" customWidth="1"/>
    <col min="535" max="535" width="3.28515625" style="122" customWidth="1"/>
    <col min="536" max="536" width="5.85546875" style="122" customWidth="1"/>
    <col min="537" max="537" width="6.5703125" style="122" customWidth="1"/>
    <col min="538" max="538" width="3.28515625" style="122" customWidth="1"/>
    <col min="539" max="539" width="5.85546875" style="122" customWidth="1"/>
    <col min="540" max="540" width="6.5703125" style="122" customWidth="1"/>
    <col min="541" max="541" width="3.28515625" style="122" customWidth="1"/>
    <col min="542" max="542" width="5.85546875" style="122" customWidth="1"/>
    <col min="543" max="543" width="6.5703125" style="122" customWidth="1"/>
    <col min="544" max="544" width="3.28515625" style="122" customWidth="1"/>
    <col min="545" max="545" width="5.85546875" style="122" customWidth="1"/>
    <col min="546" max="546" width="6.5703125" style="122" customWidth="1"/>
    <col min="547" max="547" width="9.42578125" style="122" customWidth="1"/>
    <col min="548" max="750" width="9.140625" style="122"/>
    <col min="751" max="751" width="4.85546875" style="122" customWidth="1"/>
    <col min="752" max="752" width="5.140625" style="122" customWidth="1"/>
    <col min="753" max="753" width="13.7109375" style="122" customWidth="1"/>
    <col min="754" max="754" width="9.42578125" style="122" customWidth="1"/>
    <col min="755" max="755" width="7.85546875" style="122" bestFit="1" customWidth="1"/>
    <col min="756" max="756" width="9.42578125" style="122" customWidth="1"/>
    <col min="757" max="757" width="7.42578125" style="122" customWidth="1"/>
    <col min="758" max="758" width="7.85546875" style="122" customWidth="1"/>
    <col min="759" max="759" width="11" style="122" customWidth="1"/>
    <col min="760" max="760" width="7.5703125" style="122" customWidth="1"/>
    <col min="761" max="761" width="3.28515625" style="122" customWidth="1"/>
    <col min="762" max="762" width="5.85546875" style="122" customWidth="1"/>
    <col min="763" max="763" width="6.5703125" style="122" customWidth="1"/>
    <col min="764" max="764" width="3.28515625" style="122" customWidth="1"/>
    <col min="765" max="765" width="5.85546875" style="122" customWidth="1"/>
    <col min="766" max="766" width="6.5703125" style="122" customWidth="1"/>
    <col min="767" max="767" width="3.28515625" style="122" customWidth="1"/>
    <col min="768" max="768" width="5.85546875" style="122" customWidth="1"/>
    <col min="769" max="769" width="6.5703125" style="122" customWidth="1"/>
    <col min="770" max="770" width="3.28515625" style="122" customWidth="1"/>
    <col min="771" max="771" width="5.85546875" style="122" customWidth="1"/>
    <col min="772" max="772" width="6.5703125" style="122" customWidth="1"/>
    <col min="773" max="773" width="3.28515625" style="122" customWidth="1"/>
    <col min="774" max="774" width="5.85546875" style="122" customWidth="1"/>
    <col min="775" max="775" width="6.5703125" style="122" customWidth="1"/>
    <col min="776" max="776" width="3.28515625" style="122" customWidth="1"/>
    <col min="777" max="777" width="5.85546875" style="122" customWidth="1"/>
    <col min="778" max="778" width="6.5703125" style="122" customWidth="1"/>
    <col min="779" max="779" width="3.28515625" style="122" customWidth="1"/>
    <col min="780" max="780" width="5.85546875" style="122" customWidth="1"/>
    <col min="781" max="781" width="6.5703125" style="122" customWidth="1"/>
    <col min="782" max="782" width="3.28515625" style="122" customWidth="1"/>
    <col min="783" max="783" width="5.85546875" style="122" customWidth="1"/>
    <col min="784" max="784" width="6.5703125" style="122" customWidth="1"/>
    <col min="785" max="785" width="3.28515625" style="122" customWidth="1"/>
    <col min="786" max="786" width="5.85546875" style="122" customWidth="1"/>
    <col min="787" max="787" width="6.5703125" style="122" customWidth="1"/>
    <col min="788" max="788" width="3.28515625" style="122" customWidth="1"/>
    <col min="789" max="789" width="5.85546875" style="122" customWidth="1"/>
    <col min="790" max="790" width="6.5703125" style="122" customWidth="1"/>
    <col min="791" max="791" width="3.28515625" style="122" customWidth="1"/>
    <col min="792" max="792" width="5.85546875" style="122" customWidth="1"/>
    <col min="793" max="793" width="6.5703125" style="122" customWidth="1"/>
    <col min="794" max="794" width="3.28515625" style="122" customWidth="1"/>
    <col min="795" max="795" width="5.85546875" style="122" customWidth="1"/>
    <col min="796" max="796" width="6.5703125" style="122" customWidth="1"/>
    <col min="797" max="797" width="3.28515625" style="122" customWidth="1"/>
    <col min="798" max="798" width="5.85546875" style="122" customWidth="1"/>
    <col min="799" max="799" width="6.5703125" style="122" customWidth="1"/>
    <col min="800" max="800" width="3.28515625" style="122" customWidth="1"/>
    <col min="801" max="801" width="5.85546875" style="122" customWidth="1"/>
    <col min="802" max="802" width="6.5703125" style="122" customWidth="1"/>
    <col min="803" max="803" width="9.42578125" style="122" customWidth="1"/>
    <col min="804" max="1006" width="9.140625" style="122"/>
    <col min="1007" max="1007" width="4.85546875" style="122" customWidth="1"/>
    <col min="1008" max="1008" width="5.140625" style="122" customWidth="1"/>
    <col min="1009" max="1009" width="13.7109375" style="122" customWidth="1"/>
    <col min="1010" max="1010" width="9.42578125" style="122" customWidth="1"/>
    <col min="1011" max="1011" width="7.85546875" style="122" bestFit="1" customWidth="1"/>
    <col min="1012" max="1012" width="9.42578125" style="122" customWidth="1"/>
    <col min="1013" max="1013" width="7.42578125" style="122" customWidth="1"/>
    <col min="1014" max="1014" width="7.85546875" style="122" customWidth="1"/>
    <col min="1015" max="1015" width="11" style="122" customWidth="1"/>
    <col min="1016" max="1016" width="7.5703125" style="122" customWidth="1"/>
    <col min="1017" max="1017" width="3.28515625" style="122" customWidth="1"/>
    <col min="1018" max="1018" width="5.85546875" style="122" customWidth="1"/>
    <col min="1019" max="1019" width="6.5703125" style="122" customWidth="1"/>
    <col min="1020" max="1020" width="3.28515625" style="122" customWidth="1"/>
    <col min="1021" max="1021" width="5.85546875" style="122" customWidth="1"/>
    <col min="1022" max="1022" width="6.5703125" style="122" customWidth="1"/>
    <col min="1023" max="1023" width="3.28515625" style="122" customWidth="1"/>
    <col min="1024" max="1024" width="5.85546875" style="122" customWidth="1"/>
    <col min="1025" max="1025" width="6.5703125" style="122" customWidth="1"/>
    <col min="1026" max="1026" width="3.28515625" style="122" customWidth="1"/>
    <col min="1027" max="1027" width="5.85546875" style="122" customWidth="1"/>
    <col min="1028" max="1028" width="6.5703125" style="122" customWidth="1"/>
    <col min="1029" max="1029" width="3.28515625" style="122" customWidth="1"/>
    <col min="1030" max="1030" width="5.85546875" style="122" customWidth="1"/>
    <col min="1031" max="1031" width="6.5703125" style="122" customWidth="1"/>
    <col min="1032" max="1032" width="3.28515625" style="122" customWidth="1"/>
    <col min="1033" max="1033" width="5.85546875" style="122" customWidth="1"/>
    <col min="1034" max="1034" width="6.5703125" style="122" customWidth="1"/>
    <col min="1035" max="1035" width="3.28515625" style="122" customWidth="1"/>
    <col min="1036" max="1036" width="5.85546875" style="122" customWidth="1"/>
    <col min="1037" max="1037" width="6.5703125" style="122" customWidth="1"/>
    <col min="1038" max="1038" width="3.28515625" style="122" customWidth="1"/>
    <col min="1039" max="1039" width="5.85546875" style="122" customWidth="1"/>
    <col min="1040" max="1040" width="6.5703125" style="122" customWidth="1"/>
    <col min="1041" max="1041" width="3.28515625" style="122" customWidth="1"/>
    <col min="1042" max="1042" width="5.85546875" style="122" customWidth="1"/>
    <col min="1043" max="1043" width="6.5703125" style="122" customWidth="1"/>
    <col min="1044" max="1044" width="3.28515625" style="122" customWidth="1"/>
    <col min="1045" max="1045" width="5.85546875" style="122" customWidth="1"/>
    <col min="1046" max="1046" width="6.5703125" style="122" customWidth="1"/>
    <col min="1047" max="1047" width="3.28515625" style="122" customWidth="1"/>
    <col min="1048" max="1048" width="5.85546875" style="122" customWidth="1"/>
    <col min="1049" max="1049" width="6.5703125" style="122" customWidth="1"/>
    <col min="1050" max="1050" width="3.28515625" style="122" customWidth="1"/>
    <col min="1051" max="1051" width="5.85546875" style="122" customWidth="1"/>
    <col min="1052" max="1052" width="6.5703125" style="122" customWidth="1"/>
    <col min="1053" max="1053" width="3.28515625" style="122" customWidth="1"/>
    <col min="1054" max="1054" width="5.85546875" style="122" customWidth="1"/>
    <col min="1055" max="1055" width="6.5703125" style="122" customWidth="1"/>
    <col min="1056" max="1056" width="3.28515625" style="122" customWidth="1"/>
    <col min="1057" max="1057" width="5.85546875" style="122" customWidth="1"/>
    <col min="1058" max="1058" width="6.5703125" style="122" customWidth="1"/>
    <col min="1059" max="1059" width="9.42578125" style="122" customWidth="1"/>
    <col min="1060" max="1262" width="9.140625" style="122"/>
    <col min="1263" max="1263" width="4.85546875" style="122" customWidth="1"/>
    <col min="1264" max="1264" width="5.140625" style="122" customWidth="1"/>
    <col min="1265" max="1265" width="13.7109375" style="122" customWidth="1"/>
    <col min="1266" max="1266" width="9.42578125" style="122" customWidth="1"/>
    <col min="1267" max="1267" width="7.85546875" style="122" bestFit="1" customWidth="1"/>
    <col min="1268" max="1268" width="9.42578125" style="122" customWidth="1"/>
    <col min="1269" max="1269" width="7.42578125" style="122" customWidth="1"/>
    <col min="1270" max="1270" width="7.85546875" style="122" customWidth="1"/>
    <col min="1271" max="1271" width="11" style="122" customWidth="1"/>
    <col min="1272" max="1272" width="7.5703125" style="122" customWidth="1"/>
    <col min="1273" max="1273" width="3.28515625" style="122" customWidth="1"/>
    <col min="1274" max="1274" width="5.85546875" style="122" customWidth="1"/>
    <col min="1275" max="1275" width="6.5703125" style="122" customWidth="1"/>
    <col min="1276" max="1276" width="3.28515625" style="122" customWidth="1"/>
    <col min="1277" max="1277" width="5.85546875" style="122" customWidth="1"/>
    <col min="1278" max="1278" width="6.5703125" style="122" customWidth="1"/>
    <col min="1279" max="1279" width="3.28515625" style="122" customWidth="1"/>
    <col min="1280" max="1280" width="5.85546875" style="122" customWidth="1"/>
    <col min="1281" max="1281" width="6.5703125" style="122" customWidth="1"/>
    <col min="1282" max="1282" width="3.28515625" style="122" customWidth="1"/>
    <col min="1283" max="1283" width="5.85546875" style="122" customWidth="1"/>
    <col min="1284" max="1284" width="6.5703125" style="122" customWidth="1"/>
    <col min="1285" max="1285" width="3.28515625" style="122" customWidth="1"/>
    <col min="1286" max="1286" width="5.85546875" style="122" customWidth="1"/>
    <col min="1287" max="1287" width="6.5703125" style="122" customWidth="1"/>
    <col min="1288" max="1288" width="3.28515625" style="122" customWidth="1"/>
    <col min="1289" max="1289" width="5.85546875" style="122" customWidth="1"/>
    <col min="1290" max="1290" width="6.5703125" style="122" customWidth="1"/>
    <col min="1291" max="1291" width="3.28515625" style="122" customWidth="1"/>
    <col min="1292" max="1292" width="5.85546875" style="122" customWidth="1"/>
    <col min="1293" max="1293" width="6.5703125" style="122" customWidth="1"/>
    <col min="1294" max="1294" width="3.28515625" style="122" customWidth="1"/>
    <col min="1295" max="1295" width="5.85546875" style="122" customWidth="1"/>
    <col min="1296" max="1296" width="6.5703125" style="122" customWidth="1"/>
    <col min="1297" max="1297" width="3.28515625" style="122" customWidth="1"/>
    <col min="1298" max="1298" width="5.85546875" style="122" customWidth="1"/>
    <col min="1299" max="1299" width="6.5703125" style="122" customWidth="1"/>
    <col min="1300" max="1300" width="3.28515625" style="122" customWidth="1"/>
    <col min="1301" max="1301" width="5.85546875" style="122" customWidth="1"/>
    <col min="1302" max="1302" width="6.5703125" style="122" customWidth="1"/>
    <col min="1303" max="1303" width="3.28515625" style="122" customWidth="1"/>
    <col min="1304" max="1304" width="5.85546875" style="122" customWidth="1"/>
    <col min="1305" max="1305" width="6.5703125" style="122" customWidth="1"/>
    <col min="1306" max="1306" width="3.28515625" style="122" customWidth="1"/>
    <col min="1307" max="1307" width="5.85546875" style="122" customWidth="1"/>
    <col min="1308" max="1308" width="6.5703125" style="122" customWidth="1"/>
    <col min="1309" max="1309" width="3.28515625" style="122" customWidth="1"/>
    <col min="1310" max="1310" width="5.85546875" style="122" customWidth="1"/>
    <col min="1311" max="1311" width="6.5703125" style="122" customWidth="1"/>
    <col min="1312" max="1312" width="3.28515625" style="122" customWidth="1"/>
    <col min="1313" max="1313" width="5.85546875" style="122" customWidth="1"/>
    <col min="1314" max="1314" width="6.5703125" style="122" customWidth="1"/>
    <col min="1315" max="1315" width="9.42578125" style="122" customWidth="1"/>
    <col min="1316" max="1518" width="9.140625" style="122"/>
    <col min="1519" max="1519" width="4.85546875" style="122" customWidth="1"/>
    <col min="1520" max="1520" width="5.140625" style="122" customWidth="1"/>
    <col min="1521" max="1521" width="13.7109375" style="122" customWidth="1"/>
    <col min="1522" max="1522" width="9.42578125" style="122" customWidth="1"/>
    <col min="1523" max="1523" width="7.85546875" style="122" bestFit="1" customWidth="1"/>
    <col min="1524" max="1524" width="9.42578125" style="122" customWidth="1"/>
    <col min="1525" max="1525" width="7.42578125" style="122" customWidth="1"/>
    <col min="1526" max="1526" width="7.85546875" style="122" customWidth="1"/>
    <col min="1527" max="1527" width="11" style="122" customWidth="1"/>
    <col min="1528" max="1528" width="7.5703125" style="122" customWidth="1"/>
    <col min="1529" max="1529" width="3.28515625" style="122" customWidth="1"/>
    <col min="1530" max="1530" width="5.85546875" style="122" customWidth="1"/>
    <col min="1531" max="1531" width="6.5703125" style="122" customWidth="1"/>
    <col min="1532" max="1532" width="3.28515625" style="122" customWidth="1"/>
    <col min="1533" max="1533" width="5.85546875" style="122" customWidth="1"/>
    <col min="1534" max="1534" width="6.5703125" style="122" customWidth="1"/>
    <col min="1535" max="1535" width="3.28515625" style="122" customWidth="1"/>
    <col min="1536" max="1536" width="5.85546875" style="122" customWidth="1"/>
    <col min="1537" max="1537" width="6.5703125" style="122" customWidth="1"/>
    <col min="1538" max="1538" width="3.28515625" style="122" customWidth="1"/>
    <col min="1539" max="1539" width="5.85546875" style="122" customWidth="1"/>
    <col min="1540" max="1540" width="6.5703125" style="122" customWidth="1"/>
    <col min="1541" max="1541" width="3.28515625" style="122" customWidth="1"/>
    <col min="1542" max="1542" width="5.85546875" style="122" customWidth="1"/>
    <col min="1543" max="1543" width="6.5703125" style="122" customWidth="1"/>
    <col min="1544" max="1544" width="3.28515625" style="122" customWidth="1"/>
    <col min="1545" max="1545" width="5.85546875" style="122" customWidth="1"/>
    <col min="1546" max="1546" width="6.5703125" style="122" customWidth="1"/>
    <col min="1547" max="1547" width="3.28515625" style="122" customWidth="1"/>
    <col min="1548" max="1548" width="5.85546875" style="122" customWidth="1"/>
    <col min="1549" max="1549" width="6.5703125" style="122" customWidth="1"/>
    <col min="1550" max="1550" width="3.28515625" style="122" customWidth="1"/>
    <col min="1551" max="1551" width="5.85546875" style="122" customWidth="1"/>
    <col min="1552" max="1552" width="6.5703125" style="122" customWidth="1"/>
    <col min="1553" max="1553" width="3.28515625" style="122" customWidth="1"/>
    <col min="1554" max="1554" width="5.85546875" style="122" customWidth="1"/>
    <col min="1555" max="1555" width="6.5703125" style="122" customWidth="1"/>
    <col min="1556" max="1556" width="3.28515625" style="122" customWidth="1"/>
    <col min="1557" max="1557" width="5.85546875" style="122" customWidth="1"/>
    <col min="1558" max="1558" width="6.5703125" style="122" customWidth="1"/>
    <col min="1559" max="1559" width="3.28515625" style="122" customWidth="1"/>
    <col min="1560" max="1560" width="5.85546875" style="122" customWidth="1"/>
    <col min="1561" max="1561" width="6.5703125" style="122" customWidth="1"/>
    <col min="1562" max="1562" width="3.28515625" style="122" customWidth="1"/>
    <col min="1563" max="1563" width="5.85546875" style="122" customWidth="1"/>
    <col min="1564" max="1564" width="6.5703125" style="122" customWidth="1"/>
    <col min="1565" max="1565" width="3.28515625" style="122" customWidth="1"/>
    <col min="1566" max="1566" width="5.85546875" style="122" customWidth="1"/>
    <col min="1567" max="1567" width="6.5703125" style="122" customWidth="1"/>
    <col min="1568" max="1568" width="3.28515625" style="122" customWidth="1"/>
    <col min="1569" max="1569" width="5.85546875" style="122" customWidth="1"/>
    <col min="1570" max="1570" width="6.5703125" style="122" customWidth="1"/>
    <col min="1571" max="1571" width="9.42578125" style="122" customWidth="1"/>
    <col min="1572" max="1774" width="9.140625" style="122"/>
    <col min="1775" max="1775" width="4.85546875" style="122" customWidth="1"/>
    <col min="1776" max="1776" width="5.140625" style="122" customWidth="1"/>
    <col min="1777" max="1777" width="13.7109375" style="122" customWidth="1"/>
    <col min="1778" max="1778" width="9.42578125" style="122" customWidth="1"/>
    <col min="1779" max="1779" width="7.85546875" style="122" bestFit="1" customWidth="1"/>
    <col min="1780" max="1780" width="9.42578125" style="122" customWidth="1"/>
    <col min="1781" max="1781" width="7.42578125" style="122" customWidth="1"/>
    <col min="1782" max="1782" width="7.85546875" style="122" customWidth="1"/>
    <col min="1783" max="1783" width="11" style="122" customWidth="1"/>
    <col min="1784" max="1784" width="7.5703125" style="122" customWidth="1"/>
    <col min="1785" max="1785" width="3.28515625" style="122" customWidth="1"/>
    <col min="1786" max="1786" width="5.85546875" style="122" customWidth="1"/>
    <col min="1787" max="1787" width="6.5703125" style="122" customWidth="1"/>
    <col min="1788" max="1788" width="3.28515625" style="122" customWidth="1"/>
    <col min="1789" max="1789" width="5.85546875" style="122" customWidth="1"/>
    <col min="1790" max="1790" width="6.5703125" style="122" customWidth="1"/>
    <col min="1791" max="1791" width="3.28515625" style="122" customWidth="1"/>
    <col min="1792" max="1792" width="5.85546875" style="122" customWidth="1"/>
    <col min="1793" max="1793" width="6.5703125" style="122" customWidth="1"/>
    <col min="1794" max="1794" width="3.28515625" style="122" customWidth="1"/>
    <col min="1795" max="1795" width="5.85546875" style="122" customWidth="1"/>
    <col min="1796" max="1796" width="6.5703125" style="122" customWidth="1"/>
    <col min="1797" max="1797" width="3.28515625" style="122" customWidth="1"/>
    <col min="1798" max="1798" width="5.85546875" style="122" customWidth="1"/>
    <col min="1799" max="1799" width="6.5703125" style="122" customWidth="1"/>
    <col min="1800" max="1800" width="3.28515625" style="122" customWidth="1"/>
    <col min="1801" max="1801" width="5.85546875" style="122" customWidth="1"/>
    <col min="1802" max="1802" width="6.5703125" style="122" customWidth="1"/>
    <col min="1803" max="1803" width="3.28515625" style="122" customWidth="1"/>
    <col min="1804" max="1804" width="5.85546875" style="122" customWidth="1"/>
    <col min="1805" max="1805" width="6.5703125" style="122" customWidth="1"/>
    <col min="1806" max="1806" width="3.28515625" style="122" customWidth="1"/>
    <col min="1807" max="1807" width="5.85546875" style="122" customWidth="1"/>
    <col min="1808" max="1808" width="6.5703125" style="122" customWidth="1"/>
    <col min="1809" max="1809" width="3.28515625" style="122" customWidth="1"/>
    <col min="1810" max="1810" width="5.85546875" style="122" customWidth="1"/>
    <col min="1811" max="1811" width="6.5703125" style="122" customWidth="1"/>
    <col min="1812" max="1812" width="3.28515625" style="122" customWidth="1"/>
    <col min="1813" max="1813" width="5.85546875" style="122" customWidth="1"/>
    <col min="1814" max="1814" width="6.5703125" style="122" customWidth="1"/>
    <col min="1815" max="1815" width="3.28515625" style="122" customWidth="1"/>
    <col min="1816" max="1816" width="5.85546875" style="122" customWidth="1"/>
    <col min="1817" max="1817" width="6.5703125" style="122" customWidth="1"/>
    <col min="1818" max="1818" width="3.28515625" style="122" customWidth="1"/>
    <col min="1819" max="1819" width="5.85546875" style="122" customWidth="1"/>
    <col min="1820" max="1820" width="6.5703125" style="122" customWidth="1"/>
    <col min="1821" max="1821" width="3.28515625" style="122" customWidth="1"/>
    <col min="1822" max="1822" width="5.85546875" style="122" customWidth="1"/>
    <col min="1823" max="1823" width="6.5703125" style="122" customWidth="1"/>
    <col min="1824" max="1824" width="3.28515625" style="122" customWidth="1"/>
    <col min="1825" max="1825" width="5.85546875" style="122" customWidth="1"/>
    <col min="1826" max="1826" width="6.5703125" style="122" customWidth="1"/>
    <col min="1827" max="1827" width="9.42578125" style="122" customWidth="1"/>
    <col min="1828" max="2030" width="9.140625" style="122"/>
    <col min="2031" max="2031" width="4.85546875" style="122" customWidth="1"/>
    <col min="2032" max="2032" width="5.140625" style="122" customWidth="1"/>
    <col min="2033" max="2033" width="13.7109375" style="122" customWidth="1"/>
    <col min="2034" max="2034" width="9.42578125" style="122" customWidth="1"/>
    <col min="2035" max="2035" width="7.85546875" style="122" bestFit="1" customWidth="1"/>
    <col min="2036" max="2036" width="9.42578125" style="122" customWidth="1"/>
    <col min="2037" max="2037" width="7.42578125" style="122" customWidth="1"/>
    <col min="2038" max="2038" width="7.85546875" style="122" customWidth="1"/>
    <col min="2039" max="2039" width="11" style="122" customWidth="1"/>
    <col min="2040" max="2040" width="7.5703125" style="122" customWidth="1"/>
    <col min="2041" max="2041" width="3.28515625" style="122" customWidth="1"/>
    <col min="2042" max="2042" width="5.85546875" style="122" customWidth="1"/>
    <col min="2043" max="2043" width="6.5703125" style="122" customWidth="1"/>
    <col min="2044" max="2044" width="3.28515625" style="122" customWidth="1"/>
    <col min="2045" max="2045" width="5.85546875" style="122" customWidth="1"/>
    <col min="2046" max="2046" width="6.5703125" style="122" customWidth="1"/>
    <col min="2047" max="2047" width="3.28515625" style="122" customWidth="1"/>
    <col min="2048" max="2048" width="5.85546875" style="122" customWidth="1"/>
    <col min="2049" max="2049" width="6.5703125" style="122" customWidth="1"/>
    <col min="2050" max="2050" width="3.28515625" style="122" customWidth="1"/>
    <col min="2051" max="2051" width="5.85546875" style="122" customWidth="1"/>
    <col min="2052" max="2052" width="6.5703125" style="122" customWidth="1"/>
    <col min="2053" max="2053" width="3.28515625" style="122" customWidth="1"/>
    <col min="2054" max="2054" width="5.85546875" style="122" customWidth="1"/>
    <col min="2055" max="2055" width="6.5703125" style="122" customWidth="1"/>
    <col min="2056" max="2056" width="3.28515625" style="122" customWidth="1"/>
    <col min="2057" max="2057" width="5.85546875" style="122" customWidth="1"/>
    <col min="2058" max="2058" width="6.5703125" style="122" customWidth="1"/>
    <col min="2059" max="2059" width="3.28515625" style="122" customWidth="1"/>
    <col min="2060" max="2060" width="5.85546875" style="122" customWidth="1"/>
    <col min="2061" max="2061" width="6.5703125" style="122" customWidth="1"/>
    <col min="2062" max="2062" width="3.28515625" style="122" customWidth="1"/>
    <col min="2063" max="2063" width="5.85546875" style="122" customWidth="1"/>
    <col min="2064" max="2064" width="6.5703125" style="122" customWidth="1"/>
    <col min="2065" max="2065" width="3.28515625" style="122" customWidth="1"/>
    <col min="2066" max="2066" width="5.85546875" style="122" customWidth="1"/>
    <col min="2067" max="2067" width="6.5703125" style="122" customWidth="1"/>
    <col min="2068" max="2068" width="3.28515625" style="122" customWidth="1"/>
    <col min="2069" max="2069" width="5.85546875" style="122" customWidth="1"/>
    <col min="2070" max="2070" width="6.5703125" style="122" customWidth="1"/>
    <col min="2071" max="2071" width="3.28515625" style="122" customWidth="1"/>
    <col min="2072" max="2072" width="5.85546875" style="122" customWidth="1"/>
    <col min="2073" max="2073" width="6.5703125" style="122" customWidth="1"/>
    <col min="2074" max="2074" width="3.28515625" style="122" customWidth="1"/>
    <col min="2075" max="2075" width="5.85546875" style="122" customWidth="1"/>
    <col min="2076" max="2076" width="6.5703125" style="122" customWidth="1"/>
    <col min="2077" max="2077" width="3.28515625" style="122" customWidth="1"/>
    <col min="2078" max="2078" width="5.85546875" style="122" customWidth="1"/>
    <col min="2079" max="2079" width="6.5703125" style="122" customWidth="1"/>
    <col min="2080" max="2080" width="3.28515625" style="122" customWidth="1"/>
    <col min="2081" max="2081" width="5.85546875" style="122" customWidth="1"/>
    <col min="2082" max="2082" width="6.5703125" style="122" customWidth="1"/>
    <col min="2083" max="2083" width="9.42578125" style="122" customWidth="1"/>
    <col min="2084" max="2286" width="9.140625" style="122"/>
    <col min="2287" max="2287" width="4.85546875" style="122" customWidth="1"/>
    <col min="2288" max="2288" width="5.140625" style="122" customWidth="1"/>
    <col min="2289" max="2289" width="13.7109375" style="122" customWidth="1"/>
    <col min="2290" max="2290" width="9.42578125" style="122" customWidth="1"/>
    <col min="2291" max="2291" width="7.85546875" style="122" bestFit="1" customWidth="1"/>
    <col min="2292" max="2292" width="9.42578125" style="122" customWidth="1"/>
    <col min="2293" max="2293" width="7.42578125" style="122" customWidth="1"/>
    <col min="2294" max="2294" width="7.85546875" style="122" customWidth="1"/>
    <col min="2295" max="2295" width="11" style="122" customWidth="1"/>
    <col min="2296" max="2296" width="7.5703125" style="122" customWidth="1"/>
    <col min="2297" max="2297" width="3.28515625" style="122" customWidth="1"/>
    <col min="2298" max="2298" width="5.85546875" style="122" customWidth="1"/>
    <col min="2299" max="2299" width="6.5703125" style="122" customWidth="1"/>
    <col min="2300" max="2300" width="3.28515625" style="122" customWidth="1"/>
    <col min="2301" max="2301" width="5.85546875" style="122" customWidth="1"/>
    <col min="2302" max="2302" width="6.5703125" style="122" customWidth="1"/>
    <col min="2303" max="2303" width="3.28515625" style="122" customWidth="1"/>
    <col min="2304" max="2304" width="5.85546875" style="122" customWidth="1"/>
    <col min="2305" max="2305" width="6.5703125" style="122" customWidth="1"/>
    <col min="2306" max="2306" width="3.28515625" style="122" customWidth="1"/>
    <col min="2307" max="2307" width="5.85546875" style="122" customWidth="1"/>
    <col min="2308" max="2308" width="6.5703125" style="122" customWidth="1"/>
    <col min="2309" max="2309" width="3.28515625" style="122" customWidth="1"/>
    <col min="2310" max="2310" width="5.85546875" style="122" customWidth="1"/>
    <col min="2311" max="2311" width="6.5703125" style="122" customWidth="1"/>
    <col min="2312" max="2312" width="3.28515625" style="122" customWidth="1"/>
    <col min="2313" max="2313" width="5.85546875" style="122" customWidth="1"/>
    <col min="2314" max="2314" width="6.5703125" style="122" customWidth="1"/>
    <col min="2315" max="2315" width="3.28515625" style="122" customWidth="1"/>
    <col min="2316" max="2316" width="5.85546875" style="122" customWidth="1"/>
    <col min="2317" max="2317" width="6.5703125" style="122" customWidth="1"/>
    <col min="2318" max="2318" width="3.28515625" style="122" customWidth="1"/>
    <col min="2319" max="2319" width="5.85546875" style="122" customWidth="1"/>
    <col min="2320" max="2320" width="6.5703125" style="122" customWidth="1"/>
    <col min="2321" max="2321" width="3.28515625" style="122" customWidth="1"/>
    <col min="2322" max="2322" width="5.85546875" style="122" customWidth="1"/>
    <col min="2323" max="2323" width="6.5703125" style="122" customWidth="1"/>
    <col min="2324" max="2324" width="3.28515625" style="122" customWidth="1"/>
    <col min="2325" max="2325" width="5.85546875" style="122" customWidth="1"/>
    <col min="2326" max="2326" width="6.5703125" style="122" customWidth="1"/>
    <col min="2327" max="2327" width="3.28515625" style="122" customWidth="1"/>
    <col min="2328" max="2328" width="5.85546875" style="122" customWidth="1"/>
    <col min="2329" max="2329" width="6.5703125" style="122" customWidth="1"/>
    <col min="2330" max="2330" width="3.28515625" style="122" customWidth="1"/>
    <col min="2331" max="2331" width="5.85546875" style="122" customWidth="1"/>
    <col min="2332" max="2332" width="6.5703125" style="122" customWidth="1"/>
    <col min="2333" max="2333" width="3.28515625" style="122" customWidth="1"/>
    <col min="2334" max="2334" width="5.85546875" style="122" customWidth="1"/>
    <col min="2335" max="2335" width="6.5703125" style="122" customWidth="1"/>
    <col min="2336" max="2336" width="3.28515625" style="122" customWidth="1"/>
    <col min="2337" max="2337" width="5.85546875" style="122" customWidth="1"/>
    <col min="2338" max="2338" width="6.5703125" style="122" customWidth="1"/>
    <col min="2339" max="2339" width="9.42578125" style="122" customWidth="1"/>
    <col min="2340" max="2542" width="9.140625" style="122"/>
    <col min="2543" max="2543" width="4.85546875" style="122" customWidth="1"/>
    <col min="2544" max="2544" width="5.140625" style="122" customWidth="1"/>
    <col min="2545" max="2545" width="13.7109375" style="122" customWidth="1"/>
    <col min="2546" max="2546" width="9.42578125" style="122" customWidth="1"/>
    <col min="2547" max="2547" width="7.85546875" style="122" bestFit="1" customWidth="1"/>
    <col min="2548" max="2548" width="9.42578125" style="122" customWidth="1"/>
    <col min="2549" max="2549" width="7.42578125" style="122" customWidth="1"/>
    <col min="2550" max="2550" width="7.85546875" style="122" customWidth="1"/>
    <col min="2551" max="2551" width="11" style="122" customWidth="1"/>
    <col min="2552" max="2552" width="7.5703125" style="122" customWidth="1"/>
    <col min="2553" max="2553" width="3.28515625" style="122" customWidth="1"/>
    <col min="2554" max="2554" width="5.85546875" style="122" customWidth="1"/>
    <col min="2555" max="2555" width="6.5703125" style="122" customWidth="1"/>
    <col min="2556" max="2556" width="3.28515625" style="122" customWidth="1"/>
    <col min="2557" max="2557" width="5.85546875" style="122" customWidth="1"/>
    <col min="2558" max="2558" width="6.5703125" style="122" customWidth="1"/>
    <col min="2559" max="2559" width="3.28515625" style="122" customWidth="1"/>
    <col min="2560" max="2560" width="5.85546875" style="122" customWidth="1"/>
    <col min="2561" max="2561" width="6.5703125" style="122" customWidth="1"/>
    <col min="2562" max="2562" width="3.28515625" style="122" customWidth="1"/>
    <col min="2563" max="2563" width="5.85546875" style="122" customWidth="1"/>
    <col min="2564" max="2564" width="6.5703125" style="122" customWidth="1"/>
    <col min="2565" max="2565" width="3.28515625" style="122" customWidth="1"/>
    <col min="2566" max="2566" width="5.85546875" style="122" customWidth="1"/>
    <col min="2567" max="2567" width="6.5703125" style="122" customWidth="1"/>
    <col min="2568" max="2568" width="3.28515625" style="122" customWidth="1"/>
    <col min="2569" max="2569" width="5.85546875" style="122" customWidth="1"/>
    <col min="2570" max="2570" width="6.5703125" style="122" customWidth="1"/>
    <col min="2571" max="2571" width="3.28515625" style="122" customWidth="1"/>
    <col min="2572" max="2572" width="5.85546875" style="122" customWidth="1"/>
    <col min="2573" max="2573" width="6.5703125" style="122" customWidth="1"/>
    <col min="2574" max="2574" width="3.28515625" style="122" customWidth="1"/>
    <col min="2575" max="2575" width="5.85546875" style="122" customWidth="1"/>
    <col min="2576" max="2576" width="6.5703125" style="122" customWidth="1"/>
    <col min="2577" max="2577" width="3.28515625" style="122" customWidth="1"/>
    <col min="2578" max="2578" width="5.85546875" style="122" customWidth="1"/>
    <col min="2579" max="2579" width="6.5703125" style="122" customWidth="1"/>
    <col min="2580" max="2580" width="3.28515625" style="122" customWidth="1"/>
    <col min="2581" max="2581" width="5.85546875" style="122" customWidth="1"/>
    <col min="2582" max="2582" width="6.5703125" style="122" customWidth="1"/>
    <col min="2583" max="2583" width="3.28515625" style="122" customWidth="1"/>
    <col min="2584" max="2584" width="5.85546875" style="122" customWidth="1"/>
    <col min="2585" max="2585" width="6.5703125" style="122" customWidth="1"/>
    <col min="2586" max="2586" width="3.28515625" style="122" customWidth="1"/>
    <col min="2587" max="2587" width="5.85546875" style="122" customWidth="1"/>
    <col min="2588" max="2588" width="6.5703125" style="122" customWidth="1"/>
    <col min="2589" max="2589" width="3.28515625" style="122" customWidth="1"/>
    <col min="2590" max="2590" width="5.85546875" style="122" customWidth="1"/>
    <col min="2591" max="2591" width="6.5703125" style="122" customWidth="1"/>
    <col min="2592" max="2592" width="3.28515625" style="122" customWidth="1"/>
    <col min="2593" max="2593" width="5.85546875" style="122" customWidth="1"/>
    <col min="2594" max="2594" width="6.5703125" style="122" customWidth="1"/>
    <col min="2595" max="2595" width="9.42578125" style="122" customWidth="1"/>
    <col min="2596" max="2798" width="9.140625" style="122"/>
    <col min="2799" max="2799" width="4.85546875" style="122" customWidth="1"/>
    <col min="2800" max="2800" width="5.140625" style="122" customWidth="1"/>
    <col min="2801" max="2801" width="13.7109375" style="122" customWidth="1"/>
    <col min="2802" max="2802" width="9.42578125" style="122" customWidth="1"/>
    <col min="2803" max="2803" width="7.85546875" style="122" bestFit="1" customWidth="1"/>
    <col min="2804" max="2804" width="9.42578125" style="122" customWidth="1"/>
    <col min="2805" max="2805" width="7.42578125" style="122" customWidth="1"/>
    <col min="2806" max="2806" width="7.85546875" style="122" customWidth="1"/>
    <col min="2807" max="2807" width="11" style="122" customWidth="1"/>
    <col min="2808" max="2808" width="7.5703125" style="122" customWidth="1"/>
    <col min="2809" max="2809" width="3.28515625" style="122" customWidth="1"/>
    <col min="2810" max="2810" width="5.85546875" style="122" customWidth="1"/>
    <col min="2811" max="2811" width="6.5703125" style="122" customWidth="1"/>
    <col min="2812" max="2812" width="3.28515625" style="122" customWidth="1"/>
    <col min="2813" max="2813" width="5.85546875" style="122" customWidth="1"/>
    <col min="2814" max="2814" width="6.5703125" style="122" customWidth="1"/>
    <col min="2815" max="2815" width="3.28515625" style="122" customWidth="1"/>
    <col min="2816" max="2816" width="5.85546875" style="122" customWidth="1"/>
    <col min="2817" max="2817" width="6.5703125" style="122" customWidth="1"/>
    <col min="2818" max="2818" width="3.28515625" style="122" customWidth="1"/>
    <col min="2819" max="2819" width="5.85546875" style="122" customWidth="1"/>
    <col min="2820" max="2820" width="6.5703125" style="122" customWidth="1"/>
    <col min="2821" max="2821" width="3.28515625" style="122" customWidth="1"/>
    <col min="2822" max="2822" width="5.85546875" style="122" customWidth="1"/>
    <col min="2823" max="2823" width="6.5703125" style="122" customWidth="1"/>
    <col min="2824" max="2824" width="3.28515625" style="122" customWidth="1"/>
    <col min="2825" max="2825" width="5.85546875" style="122" customWidth="1"/>
    <col min="2826" max="2826" width="6.5703125" style="122" customWidth="1"/>
    <col min="2827" max="2827" width="3.28515625" style="122" customWidth="1"/>
    <col min="2828" max="2828" width="5.85546875" style="122" customWidth="1"/>
    <col min="2829" max="2829" width="6.5703125" style="122" customWidth="1"/>
    <col min="2830" max="2830" width="3.28515625" style="122" customWidth="1"/>
    <col min="2831" max="2831" width="5.85546875" style="122" customWidth="1"/>
    <col min="2832" max="2832" width="6.5703125" style="122" customWidth="1"/>
    <col min="2833" max="2833" width="3.28515625" style="122" customWidth="1"/>
    <col min="2834" max="2834" width="5.85546875" style="122" customWidth="1"/>
    <col min="2835" max="2835" width="6.5703125" style="122" customWidth="1"/>
    <col min="2836" max="2836" width="3.28515625" style="122" customWidth="1"/>
    <col min="2837" max="2837" width="5.85546875" style="122" customWidth="1"/>
    <col min="2838" max="2838" width="6.5703125" style="122" customWidth="1"/>
    <col min="2839" max="2839" width="3.28515625" style="122" customWidth="1"/>
    <col min="2840" max="2840" width="5.85546875" style="122" customWidth="1"/>
    <col min="2841" max="2841" width="6.5703125" style="122" customWidth="1"/>
    <col min="2842" max="2842" width="3.28515625" style="122" customWidth="1"/>
    <col min="2843" max="2843" width="5.85546875" style="122" customWidth="1"/>
    <col min="2844" max="2844" width="6.5703125" style="122" customWidth="1"/>
    <col min="2845" max="2845" width="3.28515625" style="122" customWidth="1"/>
    <col min="2846" max="2846" width="5.85546875" style="122" customWidth="1"/>
    <col min="2847" max="2847" width="6.5703125" style="122" customWidth="1"/>
    <col min="2848" max="2848" width="3.28515625" style="122" customWidth="1"/>
    <col min="2849" max="2849" width="5.85546875" style="122" customWidth="1"/>
    <col min="2850" max="2850" width="6.5703125" style="122" customWidth="1"/>
    <col min="2851" max="2851" width="9.42578125" style="122" customWidth="1"/>
    <col min="2852" max="3054" width="9.140625" style="122"/>
    <col min="3055" max="3055" width="4.85546875" style="122" customWidth="1"/>
    <col min="3056" max="3056" width="5.140625" style="122" customWidth="1"/>
    <col min="3057" max="3057" width="13.7109375" style="122" customWidth="1"/>
    <col min="3058" max="3058" width="9.42578125" style="122" customWidth="1"/>
    <col min="3059" max="3059" width="7.85546875" style="122" bestFit="1" customWidth="1"/>
    <col min="3060" max="3060" width="9.42578125" style="122" customWidth="1"/>
    <col min="3061" max="3061" width="7.42578125" style="122" customWidth="1"/>
    <col min="3062" max="3062" width="7.85546875" style="122" customWidth="1"/>
    <col min="3063" max="3063" width="11" style="122" customWidth="1"/>
    <col min="3064" max="3064" width="7.5703125" style="122" customWidth="1"/>
    <col min="3065" max="3065" width="3.28515625" style="122" customWidth="1"/>
    <col min="3066" max="3066" width="5.85546875" style="122" customWidth="1"/>
    <col min="3067" max="3067" width="6.5703125" style="122" customWidth="1"/>
    <col min="3068" max="3068" width="3.28515625" style="122" customWidth="1"/>
    <col min="3069" max="3069" width="5.85546875" style="122" customWidth="1"/>
    <col min="3070" max="3070" width="6.5703125" style="122" customWidth="1"/>
    <col min="3071" max="3071" width="3.28515625" style="122" customWidth="1"/>
    <col min="3072" max="3072" width="5.85546875" style="122" customWidth="1"/>
    <col min="3073" max="3073" width="6.5703125" style="122" customWidth="1"/>
    <col min="3074" max="3074" width="3.28515625" style="122" customWidth="1"/>
    <col min="3075" max="3075" width="5.85546875" style="122" customWidth="1"/>
    <col min="3076" max="3076" width="6.5703125" style="122" customWidth="1"/>
    <col min="3077" max="3077" width="3.28515625" style="122" customWidth="1"/>
    <col min="3078" max="3078" width="5.85546875" style="122" customWidth="1"/>
    <col min="3079" max="3079" width="6.5703125" style="122" customWidth="1"/>
    <col min="3080" max="3080" width="3.28515625" style="122" customWidth="1"/>
    <col min="3081" max="3081" width="5.85546875" style="122" customWidth="1"/>
    <col min="3082" max="3082" width="6.5703125" style="122" customWidth="1"/>
    <col min="3083" max="3083" width="3.28515625" style="122" customWidth="1"/>
    <col min="3084" max="3084" width="5.85546875" style="122" customWidth="1"/>
    <col min="3085" max="3085" width="6.5703125" style="122" customWidth="1"/>
    <col min="3086" max="3086" width="3.28515625" style="122" customWidth="1"/>
    <col min="3087" max="3087" width="5.85546875" style="122" customWidth="1"/>
    <col min="3088" max="3088" width="6.5703125" style="122" customWidth="1"/>
    <col min="3089" max="3089" width="3.28515625" style="122" customWidth="1"/>
    <col min="3090" max="3090" width="5.85546875" style="122" customWidth="1"/>
    <col min="3091" max="3091" width="6.5703125" style="122" customWidth="1"/>
    <col min="3092" max="3092" width="3.28515625" style="122" customWidth="1"/>
    <col min="3093" max="3093" width="5.85546875" style="122" customWidth="1"/>
    <col min="3094" max="3094" width="6.5703125" style="122" customWidth="1"/>
    <col min="3095" max="3095" width="3.28515625" style="122" customWidth="1"/>
    <col min="3096" max="3096" width="5.85546875" style="122" customWidth="1"/>
    <col min="3097" max="3097" width="6.5703125" style="122" customWidth="1"/>
    <col min="3098" max="3098" width="3.28515625" style="122" customWidth="1"/>
    <col min="3099" max="3099" width="5.85546875" style="122" customWidth="1"/>
    <col min="3100" max="3100" width="6.5703125" style="122" customWidth="1"/>
    <col min="3101" max="3101" width="3.28515625" style="122" customWidth="1"/>
    <col min="3102" max="3102" width="5.85546875" style="122" customWidth="1"/>
    <col min="3103" max="3103" width="6.5703125" style="122" customWidth="1"/>
    <col min="3104" max="3104" width="3.28515625" style="122" customWidth="1"/>
    <col min="3105" max="3105" width="5.85546875" style="122" customWidth="1"/>
    <col min="3106" max="3106" width="6.5703125" style="122" customWidth="1"/>
    <col min="3107" max="3107" width="9.42578125" style="122" customWidth="1"/>
    <col min="3108" max="3310" width="9.140625" style="122"/>
    <col min="3311" max="3311" width="4.85546875" style="122" customWidth="1"/>
    <col min="3312" max="3312" width="5.140625" style="122" customWidth="1"/>
    <col min="3313" max="3313" width="13.7109375" style="122" customWidth="1"/>
    <col min="3314" max="3314" width="9.42578125" style="122" customWidth="1"/>
    <col min="3315" max="3315" width="7.85546875" style="122" bestFit="1" customWidth="1"/>
    <col min="3316" max="3316" width="9.42578125" style="122" customWidth="1"/>
    <col min="3317" max="3317" width="7.42578125" style="122" customWidth="1"/>
    <col min="3318" max="3318" width="7.85546875" style="122" customWidth="1"/>
    <col min="3319" max="3319" width="11" style="122" customWidth="1"/>
    <col min="3320" max="3320" width="7.5703125" style="122" customWidth="1"/>
    <col min="3321" max="3321" width="3.28515625" style="122" customWidth="1"/>
    <col min="3322" max="3322" width="5.85546875" style="122" customWidth="1"/>
    <col min="3323" max="3323" width="6.5703125" style="122" customWidth="1"/>
    <col min="3324" max="3324" width="3.28515625" style="122" customWidth="1"/>
    <col min="3325" max="3325" width="5.85546875" style="122" customWidth="1"/>
    <col min="3326" max="3326" width="6.5703125" style="122" customWidth="1"/>
    <col min="3327" max="3327" width="3.28515625" style="122" customWidth="1"/>
    <col min="3328" max="3328" width="5.85546875" style="122" customWidth="1"/>
    <col min="3329" max="3329" width="6.5703125" style="122" customWidth="1"/>
    <col min="3330" max="3330" width="3.28515625" style="122" customWidth="1"/>
    <col min="3331" max="3331" width="5.85546875" style="122" customWidth="1"/>
    <col min="3332" max="3332" width="6.5703125" style="122" customWidth="1"/>
    <col min="3333" max="3333" width="3.28515625" style="122" customWidth="1"/>
    <col min="3334" max="3334" width="5.85546875" style="122" customWidth="1"/>
    <col min="3335" max="3335" width="6.5703125" style="122" customWidth="1"/>
    <col min="3336" max="3336" width="3.28515625" style="122" customWidth="1"/>
    <col min="3337" max="3337" width="5.85546875" style="122" customWidth="1"/>
    <col min="3338" max="3338" width="6.5703125" style="122" customWidth="1"/>
    <col min="3339" max="3339" width="3.28515625" style="122" customWidth="1"/>
    <col min="3340" max="3340" width="5.85546875" style="122" customWidth="1"/>
    <col min="3341" max="3341" width="6.5703125" style="122" customWidth="1"/>
    <col min="3342" max="3342" width="3.28515625" style="122" customWidth="1"/>
    <col min="3343" max="3343" width="5.85546875" style="122" customWidth="1"/>
    <col min="3344" max="3344" width="6.5703125" style="122" customWidth="1"/>
    <col min="3345" max="3345" width="3.28515625" style="122" customWidth="1"/>
    <col min="3346" max="3346" width="5.85546875" style="122" customWidth="1"/>
    <col min="3347" max="3347" width="6.5703125" style="122" customWidth="1"/>
    <col min="3348" max="3348" width="3.28515625" style="122" customWidth="1"/>
    <col min="3349" max="3349" width="5.85546875" style="122" customWidth="1"/>
    <col min="3350" max="3350" width="6.5703125" style="122" customWidth="1"/>
    <col min="3351" max="3351" width="3.28515625" style="122" customWidth="1"/>
    <col min="3352" max="3352" width="5.85546875" style="122" customWidth="1"/>
    <col min="3353" max="3353" width="6.5703125" style="122" customWidth="1"/>
    <col min="3354" max="3354" width="3.28515625" style="122" customWidth="1"/>
    <col min="3355" max="3355" width="5.85546875" style="122" customWidth="1"/>
    <col min="3356" max="3356" width="6.5703125" style="122" customWidth="1"/>
    <col min="3357" max="3357" width="3.28515625" style="122" customWidth="1"/>
    <col min="3358" max="3358" width="5.85546875" style="122" customWidth="1"/>
    <col min="3359" max="3359" width="6.5703125" style="122" customWidth="1"/>
    <col min="3360" max="3360" width="3.28515625" style="122" customWidth="1"/>
    <col min="3361" max="3361" width="5.85546875" style="122" customWidth="1"/>
    <col min="3362" max="3362" width="6.5703125" style="122" customWidth="1"/>
    <col min="3363" max="3363" width="9.42578125" style="122" customWidth="1"/>
    <col min="3364" max="3566" width="9.140625" style="122"/>
    <col min="3567" max="3567" width="4.85546875" style="122" customWidth="1"/>
    <col min="3568" max="3568" width="5.140625" style="122" customWidth="1"/>
    <col min="3569" max="3569" width="13.7109375" style="122" customWidth="1"/>
    <col min="3570" max="3570" width="9.42578125" style="122" customWidth="1"/>
    <col min="3571" max="3571" width="7.85546875" style="122" bestFit="1" customWidth="1"/>
    <col min="3572" max="3572" width="9.42578125" style="122" customWidth="1"/>
    <col min="3573" max="3573" width="7.42578125" style="122" customWidth="1"/>
    <col min="3574" max="3574" width="7.85546875" style="122" customWidth="1"/>
    <col min="3575" max="3575" width="11" style="122" customWidth="1"/>
    <col min="3576" max="3576" width="7.5703125" style="122" customWidth="1"/>
    <col min="3577" max="3577" width="3.28515625" style="122" customWidth="1"/>
    <col min="3578" max="3578" width="5.85546875" style="122" customWidth="1"/>
    <col min="3579" max="3579" width="6.5703125" style="122" customWidth="1"/>
    <col min="3580" max="3580" width="3.28515625" style="122" customWidth="1"/>
    <col min="3581" max="3581" width="5.85546875" style="122" customWidth="1"/>
    <col min="3582" max="3582" width="6.5703125" style="122" customWidth="1"/>
    <col min="3583" max="3583" width="3.28515625" style="122" customWidth="1"/>
    <col min="3584" max="3584" width="5.85546875" style="122" customWidth="1"/>
    <col min="3585" max="3585" width="6.5703125" style="122" customWidth="1"/>
    <col min="3586" max="3586" width="3.28515625" style="122" customWidth="1"/>
    <col min="3587" max="3587" width="5.85546875" style="122" customWidth="1"/>
    <col min="3588" max="3588" width="6.5703125" style="122" customWidth="1"/>
    <col min="3589" max="3589" width="3.28515625" style="122" customWidth="1"/>
    <col min="3590" max="3590" width="5.85546875" style="122" customWidth="1"/>
    <col min="3591" max="3591" width="6.5703125" style="122" customWidth="1"/>
    <col min="3592" max="3592" width="3.28515625" style="122" customWidth="1"/>
    <col min="3593" max="3593" width="5.85546875" style="122" customWidth="1"/>
    <col min="3594" max="3594" width="6.5703125" style="122" customWidth="1"/>
    <col min="3595" max="3595" width="3.28515625" style="122" customWidth="1"/>
    <col min="3596" max="3596" width="5.85546875" style="122" customWidth="1"/>
    <col min="3597" max="3597" width="6.5703125" style="122" customWidth="1"/>
    <col min="3598" max="3598" width="3.28515625" style="122" customWidth="1"/>
    <col min="3599" max="3599" width="5.85546875" style="122" customWidth="1"/>
    <col min="3600" max="3600" width="6.5703125" style="122" customWidth="1"/>
    <col min="3601" max="3601" width="3.28515625" style="122" customWidth="1"/>
    <col min="3602" max="3602" width="5.85546875" style="122" customWidth="1"/>
    <col min="3603" max="3603" width="6.5703125" style="122" customWidth="1"/>
    <col min="3604" max="3604" width="3.28515625" style="122" customWidth="1"/>
    <col min="3605" max="3605" width="5.85546875" style="122" customWidth="1"/>
    <col min="3606" max="3606" width="6.5703125" style="122" customWidth="1"/>
    <col min="3607" max="3607" width="3.28515625" style="122" customWidth="1"/>
    <col min="3608" max="3608" width="5.85546875" style="122" customWidth="1"/>
    <col min="3609" max="3609" width="6.5703125" style="122" customWidth="1"/>
    <col min="3610" max="3610" width="3.28515625" style="122" customWidth="1"/>
    <col min="3611" max="3611" width="5.85546875" style="122" customWidth="1"/>
    <col min="3612" max="3612" width="6.5703125" style="122" customWidth="1"/>
    <col min="3613" max="3613" width="3.28515625" style="122" customWidth="1"/>
    <col min="3614" max="3614" width="5.85546875" style="122" customWidth="1"/>
    <col min="3615" max="3615" width="6.5703125" style="122" customWidth="1"/>
    <col min="3616" max="3616" width="3.28515625" style="122" customWidth="1"/>
    <col min="3617" max="3617" width="5.85546875" style="122" customWidth="1"/>
    <col min="3618" max="3618" width="6.5703125" style="122" customWidth="1"/>
    <col min="3619" max="3619" width="9.42578125" style="122" customWidth="1"/>
    <col min="3620" max="3822" width="9.140625" style="122"/>
    <col min="3823" max="3823" width="4.85546875" style="122" customWidth="1"/>
    <col min="3824" max="3824" width="5.140625" style="122" customWidth="1"/>
    <col min="3825" max="3825" width="13.7109375" style="122" customWidth="1"/>
    <col min="3826" max="3826" width="9.42578125" style="122" customWidth="1"/>
    <col min="3827" max="3827" width="7.85546875" style="122" bestFit="1" customWidth="1"/>
    <col min="3828" max="3828" width="9.42578125" style="122" customWidth="1"/>
    <col min="3829" max="3829" width="7.42578125" style="122" customWidth="1"/>
    <col min="3830" max="3830" width="7.85546875" style="122" customWidth="1"/>
    <col min="3831" max="3831" width="11" style="122" customWidth="1"/>
    <col min="3832" max="3832" width="7.5703125" style="122" customWidth="1"/>
    <col min="3833" max="3833" width="3.28515625" style="122" customWidth="1"/>
    <col min="3834" max="3834" width="5.85546875" style="122" customWidth="1"/>
    <col min="3835" max="3835" width="6.5703125" style="122" customWidth="1"/>
    <col min="3836" max="3836" width="3.28515625" style="122" customWidth="1"/>
    <col min="3837" max="3837" width="5.85546875" style="122" customWidth="1"/>
    <col min="3838" max="3838" width="6.5703125" style="122" customWidth="1"/>
    <col min="3839" max="3839" width="3.28515625" style="122" customWidth="1"/>
    <col min="3840" max="3840" width="5.85546875" style="122" customWidth="1"/>
    <col min="3841" max="3841" width="6.5703125" style="122" customWidth="1"/>
    <col min="3842" max="3842" width="3.28515625" style="122" customWidth="1"/>
    <col min="3843" max="3843" width="5.85546875" style="122" customWidth="1"/>
    <col min="3844" max="3844" width="6.5703125" style="122" customWidth="1"/>
    <col min="3845" max="3845" width="3.28515625" style="122" customWidth="1"/>
    <col min="3846" max="3846" width="5.85546875" style="122" customWidth="1"/>
    <col min="3847" max="3847" width="6.5703125" style="122" customWidth="1"/>
    <col min="3848" max="3848" width="3.28515625" style="122" customWidth="1"/>
    <col min="3849" max="3849" width="5.85546875" style="122" customWidth="1"/>
    <col min="3850" max="3850" width="6.5703125" style="122" customWidth="1"/>
    <col min="3851" max="3851" width="3.28515625" style="122" customWidth="1"/>
    <col min="3852" max="3852" width="5.85546875" style="122" customWidth="1"/>
    <col min="3853" max="3853" width="6.5703125" style="122" customWidth="1"/>
    <col min="3854" max="3854" width="3.28515625" style="122" customWidth="1"/>
    <col min="3855" max="3855" width="5.85546875" style="122" customWidth="1"/>
    <col min="3856" max="3856" width="6.5703125" style="122" customWidth="1"/>
    <col min="3857" max="3857" width="3.28515625" style="122" customWidth="1"/>
    <col min="3858" max="3858" width="5.85546875" style="122" customWidth="1"/>
    <col min="3859" max="3859" width="6.5703125" style="122" customWidth="1"/>
    <col min="3860" max="3860" width="3.28515625" style="122" customWidth="1"/>
    <col min="3861" max="3861" width="5.85546875" style="122" customWidth="1"/>
    <col min="3862" max="3862" width="6.5703125" style="122" customWidth="1"/>
    <col min="3863" max="3863" width="3.28515625" style="122" customWidth="1"/>
    <col min="3864" max="3864" width="5.85546875" style="122" customWidth="1"/>
    <col min="3865" max="3865" width="6.5703125" style="122" customWidth="1"/>
    <col min="3866" max="3866" width="3.28515625" style="122" customWidth="1"/>
    <col min="3867" max="3867" width="5.85546875" style="122" customWidth="1"/>
    <col min="3868" max="3868" width="6.5703125" style="122" customWidth="1"/>
    <col min="3869" max="3869" width="3.28515625" style="122" customWidth="1"/>
    <col min="3870" max="3870" width="5.85546875" style="122" customWidth="1"/>
    <col min="3871" max="3871" width="6.5703125" style="122" customWidth="1"/>
    <col min="3872" max="3872" width="3.28515625" style="122" customWidth="1"/>
    <col min="3873" max="3873" width="5.85546875" style="122" customWidth="1"/>
    <col min="3874" max="3874" width="6.5703125" style="122" customWidth="1"/>
    <col min="3875" max="3875" width="9.42578125" style="122" customWidth="1"/>
    <col min="3876" max="4078" width="9.140625" style="122"/>
    <col min="4079" max="4079" width="4.85546875" style="122" customWidth="1"/>
    <col min="4080" max="4080" width="5.140625" style="122" customWidth="1"/>
    <col min="4081" max="4081" width="13.7109375" style="122" customWidth="1"/>
    <col min="4082" max="4082" width="9.42578125" style="122" customWidth="1"/>
    <col min="4083" max="4083" width="7.85546875" style="122" bestFit="1" customWidth="1"/>
    <col min="4084" max="4084" width="9.42578125" style="122" customWidth="1"/>
    <col min="4085" max="4085" width="7.42578125" style="122" customWidth="1"/>
    <col min="4086" max="4086" width="7.85546875" style="122" customWidth="1"/>
    <col min="4087" max="4087" width="11" style="122" customWidth="1"/>
    <col min="4088" max="4088" width="7.5703125" style="122" customWidth="1"/>
    <col min="4089" max="4089" width="3.28515625" style="122" customWidth="1"/>
    <col min="4090" max="4090" width="5.85546875" style="122" customWidth="1"/>
    <col min="4091" max="4091" width="6.5703125" style="122" customWidth="1"/>
    <col min="4092" max="4092" width="3.28515625" style="122" customWidth="1"/>
    <col min="4093" max="4093" width="5.85546875" style="122" customWidth="1"/>
    <col min="4094" max="4094" width="6.5703125" style="122" customWidth="1"/>
    <col min="4095" max="4095" width="3.28515625" style="122" customWidth="1"/>
    <col min="4096" max="4096" width="5.85546875" style="122" customWidth="1"/>
    <col min="4097" max="4097" width="6.5703125" style="122" customWidth="1"/>
    <col min="4098" max="4098" width="3.28515625" style="122" customWidth="1"/>
    <col min="4099" max="4099" width="5.85546875" style="122" customWidth="1"/>
    <col min="4100" max="4100" width="6.5703125" style="122" customWidth="1"/>
    <col min="4101" max="4101" width="3.28515625" style="122" customWidth="1"/>
    <col min="4102" max="4102" width="5.85546875" style="122" customWidth="1"/>
    <col min="4103" max="4103" width="6.5703125" style="122" customWidth="1"/>
    <col min="4104" max="4104" width="3.28515625" style="122" customWidth="1"/>
    <col min="4105" max="4105" width="5.85546875" style="122" customWidth="1"/>
    <col min="4106" max="4106" width="6.5703125" style="122" customWidth="1"/>
    <col min="4107" max="4107" width="3.28515625" style="122" customWidth="1"/>
    <col min="4108" max="4108" width="5.85546875" style="122" customWidth="1"/>
    <col min="4109" max="4109" width="6.5703125" style="122" customWidth="1"/>
    <col min="4110" max="4110" width="3.28515625" style="122" customWidth="1"/>
    <col min="4111" max="4111" width="5.85546875" style="122" customWidth="1"/>
    <col min="4112" max="4112" width="6.5703125" style="122" customWidth="1"/>
    <col min="4113" max="4113" width="3.28515625" style="122" customWidth="1"/>
    <col min="4114" max="4114" width="5.85546875" style="122" customWidth="1"/>
    <col min="4115" max="4115" width="6.5703125" style="122" customWidth="1"/>
    <col min="4116" max="4116" width="3.28515625" style="122" customWidth="1"/>
    <col min="4117" max="4117" width="5.85546875" style="122" customWidth="1"/>
    <col min="4118" max="4118" width="6.5703125" style="122" customWidth="1"/>
    <col min="4119" max="4119" width="3.28515625" style="122" customWidth="1"/>
    <col min="4120" max="4120" width="5.85546875" style="122" customWidth="1"/>
    <col min="4121" max="4121" width="6.5703125" style="122" customWidth="1"/>
    <col min="4122" max="4122" width="3.28515625" style="122" customWidth="1"/>
    <col min="4123" max="4123" width="5.85546875" style="122" customWidth="1"/>
    <col min="4124" max="4124" width="6.5703125" style="122" customWidth="1"/>
    <col min="4125" max="4125" width="3.28515625" style="122" customWidth="1"/>
    <col min="4126" max="4126" width="5.85546875" style="122" customWidth="1"/>
    <col min="4127" max="4127" width="6.5703125" style="122" customWidth="1"/>
    <col min="4128" max="4128" width="3.28515625" style="122" customWidth="1"/>
    <col min="4129" max="4129" width="5.85546875" style="122" customWidth="1"/>
    <col min="4130" max="4130" width="6.5703125" style="122" customWidth="1"/>
    <col min="4131" max="4131" width="9.42578125" style="122" customWidth="1"/>
    <col min="4132" max="4334" width="9.140625" style="122"/>
    <col min="4335" max="4335" width="4.85546875" style="122" customWidth="1"/>
    <col min="4336" max="4336" width="5.140625" style="122" customWidth="1"/>
    <col min="4337" max="4337" width="13.7109375" style="122" customWidth="1"/>
    <col min="4338" max="4338" width="9.42578125" style="122" customWidth="1"/>
    <col min="4339" max="4339" width="7.85546875" style="122" bestFit="1" customWidth="1"/>
    <col min="4340" max="4340" width="9.42578125" style="122" customWidth="1"/>
    <col min="4341" max="4341" width="7.42578125" style="122" customWidth="1"/>
    <col min="4342" max="4342" width="7.85546875" style="122" customWidth="1"/>
    <col min="4343" max="4343" width="11" style="122" customWidth="1"/>
    <col min="4344" max="4344" width="7.5703125" style="122" customWidth="1"/>
    <col min="4345" max="4345" width="3.28515625" style="122" customWidth="1"/>
    <col min="4346" max="4346" width="5.85546875" style="122" customWidth="1"/>
    <col min="4347" max="4347" width="6.5703125" style="122" customWidth="1"/>
    <col min="4348" max="4348" width="3.28515625" style="122" customWidth="1"/>
    <col min="4349" max="4349" width="5.85546875" style="122" customWidth="1"/>
    <col min="4350" max="4350" width="6.5703125" style="122" customWidth="1"/>
    <col min="4351" max="4351" width="3.28515625" style="122" customWidth="1"/>
    <col min="4352" max="4352" width="5.85546875" style="122" customWidth="1"/>
    <col min="4353" max="4353" width="6.5703125" style="122" customWidth="1"/>
    <col min="4354" max="4354" width="3.28515625" style="122" customWidth="1"/>
    <col min="4355" max="4355" width="5.85546875" style="122" customWidth="1"/>
    <col min="4356" max="4356" width="6.5703125" style="122" customWidth="1"/>
    <col min="4357" max="4357" width="3.28515625" style="122" customWidth="1"/>
    <col min="4358" max="4358" width="5.85546875" style="122" customWidth="1"/>
    <col min="4359" max="4359" width="6.5703125" style="122" customWidth="1"/>
    <col min="4360" max="4360" width="3.28515625" style="122" customWidth="1"/>
    <col min="4361" max="4361" width="5.85546875" style="122" customWidth="1"/>
    <col min="4362" max="4362" width="6.5703125" style="122" customWidth="1"/>
    <col min="4363" max="4363" width="3.28515625" style="122" customWidth="1"/>
    <col min="4364" max="4364" width="5.85546875" style="122" customWidth="1"/>
    <col min="4365" max="4365" width="6.5703125" style="122" customWidth="1"/>
    <col min="4366" max="4366" width="3.28515625" style="122" customWidth="1"/>
    <col min="4367" max="4367" width="5.85546875" style="122" customWidth="1"/>
    <col min="4368" max="4368" width="6.5703125" style="122" customWidth="1"/>
    <col min="4369" max="4369" width="3.28515625" style="122" customWidth="1"/>
    <col min="4370" max="4370" width="5.85546875" style="122" customWidth="1"/>
    <col min="4371" max="4371" width="6.5703125" style="122" customWidth="1"/>
    <col min="4372" max="4372" width="3.28515625" style="122" customWidth="1"/>
    <col min="4373" max="4373" width="5.85546875" style="122" customWidth="1"/>
    <col min="4374" max="4374" width="6.5703125" style="122" customWidth="1"/>
    <col min="4375" max="4375" width="3.28515625" style="122" customWidth="1"/>
    <col min="4376" max="4376" width="5.85546875" style="122" customWidth="1"/>
    <col min="4377" max="4377" width="6.5703125" style="122" customWidth="1"/>
    <col min="4378" max="4378" width="3.28515625" style="122" customWidth="1"/>
    <col min="4379" max="4379" width="5.85546875" style="122" customWidth="1"/>
    <col min="4380" max="4380" width="6.5703125" style="122" customWidth="1"/>
    <col min="4381" max="4381" width="3.28515625" style="122" customWidth="1"/>
    <col min="4382" max="4382" width="5.85546875" style="122" customWidth="1"/>
    <col min="4383" max="4383" width="6.5703125" style="122" customWidth="1"/>
    <col min="4384" max="4384" width="3.28515625" style="122" customWidth="1"/>
    <col min="4385" max="4385" width="5.85546875" style="122" customWidth="1"/>
    <col min="4386" max="4386" width="6.5703125" style="122" customWidth="1"/>
    <col min="4387" max="4387" width="9.42578125" style="122" customWidth="1"/>
    <col min="4388" max="4590" width="9.140625" style="122"/>
    <col min="4591" max="4591" width="4.85546875" style="122" customWidth="1"/>
    <col min="4592" max="4592" width="5.140625" style="122" customWidth="1"/>
    <col min="4593" max="4593" width="13.7109375" style="122" customWidth="1"/>
    <col min="4594" max="4594" width="9.42578125" style="122" customWidth="1"/>
    <col min="4595" max="4595" width="7.85546875" style="122" bestFit="1" customWidth="1"/>
    <col min="4596" max="4596" width="9.42578125" style="122" customWidth="1"/>
    <col min="4597" max="4597" width="7.42578125" style="122" customWidth="1"/>
    <col min="4598" max="4598" width="7.85546875" style="122" customWidth="1"/>
    <col min="4599" max="4599" width="11" style="122" customWidth="1"/>
    <col min="4600" max="4600" width="7.5703125" style="122" customWidth="1"/>
    <col min="4601" max="4601" width="3.28515625" style="122" customWidth="1"/>
    <col min="4602" max="4602" width="5.85546875" style="122" customWidth="1"/>
    <col min="4603" max="4603" width="6.5703125" style="122" customWidth="1"/>
    <col min="4604" max="4604" width="3.28515625" style="122" customWidth="1"/>
    <col min="4605" max="4605" width="5.85546875" style="122" customWidth="1"/>
    <col min="4606" max="4606" width="6.5703125" style="122" customWidth="1"/>
    <col min="4607" max="4607" width="3.28515625" style="122" customWidth="1"/>
    <col min="4608" max="4608" width="5.85546875" style="122" customWidth="1"/>
    <col min="4609" max="4609" width="6.5703125" style="122" customWidth="1"/>
    <col min="4610" max="4610" width="3.28515625" style="122" customWidth="1"/>
    <col min="4611" max="4611" width="5.85546875" style="122" customWidth="1"/>
    <col min="4612" max="4612" width="6.5703125" style="122" customWidth="1"/>
    <col min="4613" max="4613" width="3.28515625" style="122" customWidth="1"/>
    <col min="4614" max="4614" width="5.85546875" style="122" customWidth="1"/>
    <col min="4615" max="4615" width="6.5703125" style="122" customWidth="1"/>
    <col min="4616" max="4616" width="3.28515625" style="122" customWidth="1"/>
    <col min="4617" max="4617" width="5.85546875" style="122" customWidth="1"/>
    <col min="4618" max="4618" width="6.5703125" style="122" customWidth="1"/>
    <col min="4619" max="4619" width="3.28515625" style="122" customWidth="1"/>
    <col min="4620" max="4620" width="5.85546875" style="122" customWidth="1"/>
    <col min="4621" max="4621" width="6.5703125" style="122" customWidth="1"/>
    <col min="4622" max="4622" width="3.28515625" style="122" customWidth="1"/>
    <col min="4623" max="4623" width="5.85546875" style="122" customWidth="1"/>
    <col min="4624" max="4624" width="6.5703125" style="122" customWidth="1"/>
    <col min="4625" max="4625" width="3.28515625" style="122" customWidth="1"/>
    <col min="4626" max="4626" width="5.85546875" style="122" customWidth="1"/>
    <col min="4627" max="4627" width="6.5703125" style="122" customWidth="1"/>
    <col min="4628" max="4628" width="3.28515625" style="122" customWidth="1"/>
    <col min="4629" max="4629" width="5.85546875" style="122" customWidth="1"/>
    <col min="4630" max="4630" width="6.5703125" style="122" customWidth="1"/>
    <col min="4631" max="4631" width="3.28515625" style="122" customWidth="1"/>
    <col min="4632" max="4632" width="5.85546875" style="122" customWidth="1"/>
    <col min="4633" max="4633" width="6.5703125" style="122" customWidth="1"/>
    <col min="4634" max="4634" width="3.28515625" style="122" customWidth="1"/>
    <col min="4635" max="4635" width="5.85546875" style="122" customWidth="1"/>
    <col min="4636" max="4636" width="6.5703125" style="122" customWidth="1"/>
    <col min="4637" max="4637" width="3.28515625" style="122" customWidth="1"/>
    <col min="4638" max="4638" width="5.85546875" style="122" customWidth="1"/>
    <col min="4639" max="4639" width="6.5703125" style="122" customWidth="1"/>
    <col min="4640" max="4640" width="3.28515625" style="122" customWidth="1"/>
    <col min="4641" max="4641" width="5.85546875" style="122" customWidth="1"/>
    <col min="4642" max="4642" width="6.5703125" style="122" customWidth="1"/>
    <col min="4643" max="4643" width="9.42578125" style="122" customWidth="1"/>
    <col min="4644" max="4846" width="9.140625" style="122"/>
    <col min="4847" max="4847" width="4.85546875" style="122" customWidth="1"/>
    <col min="4848" max="4848" width="5.140625" style="122" customWidth="1"/>
    <col min="4849" max="4849" width="13.7109375" style="122" customWidth="1"/>
    <col min="4850" max="4850" width="9.42578125" style="122" customWidth="1"/>
    <col min="4851" max="4851" width="7.85546875" style="122" bestFit="1" customWidth="1"/>
    <col min="4852" max="4852" width="9.42578125" style="122" customWidth="1"/>
    <col min="4853" max="4853" width="7.42578125" style="122" customWidth="1"/>
    <col min="4854" max="4854" width="7.85546875" style="122" customWidth="1"/>
    <col min="4855" max="4855" width="11" style="122" customWidth="1"/>
    <col min="4856" max="4856" width="7.5703125" style="122" customWidth="1"/>
    <col min="4857" max="4857" width="3.28515625" style="122" customWidth="1"/>
    <col min="4858" max="4858" width="5.85546875" style="122" customWidth="1"/>
    <col min="4859" max="4859" width="6.5703125" style="122" customWidth="1"/>
    <col min="4860" max="4860" width="3.28515625" style="122" customWidth="1"/>
    <col min="4861" max="4861" width="5.85546875" style="122" customWidth="1"/>
    <col min="4862" max="4862" width="6.5703125" style="122" customWidth="1"/>
    <col min="4863" max="4863" width="3.28515625" style="122" customWidth="1"/>
    <col min="4864" max="4864" width="5.85546875" style="122" customWidth="1"/>
    <col min="4865" max="4865" width="6.5703125" style="122" customWidth="1"/>
    <col min="4866" max="4866" width="3.28515625" style="122" customWidth="1"/>
    <col min="4867" max="4867" width="5.85546875" style="122" customWidth="1"/>
    <col min="4868" max="4868" width="6.5703125" style="122" customWidth="1"/>
    <col min="4869" max="4869" width="3.28515625" style="122" customWidth="1"/>
    <col min="4870" max="4870" width="5.85546875" style="122" customWidth="1"/>
    <col min="4871" max="4871" width="6.5703125" style="122" customWidth="1"/>
    <col min="4872" max="4872" width="3.28515625" style="122" customWidth="1"/>
    <col min="4873" max="4873" width="5.85546875" style="122" customWidth="1"/>
    <col min="4874" max="4874" width="6.5703125" style="122" customWidth="1"/>
    <col min="4875" max="4875" width="3.28515625" style="122" customWidth="1"/>
    <col min="4876" max="4876" width="5.85546875" style="122" customWidth="1"/>
    <col min="4877" max="4877" width="6.5703125" style="122" customWidth="1"/>
    <col min="4878" max="4878" width="3.28515625" style="122" customWidth="1"/>
    <col min="4879" max="4879" width="5.85546875" style="122" customWidth="1"/>
    <col min="4880" max="4880" width="6.5703125" style="122" customWidth="1"/>
    <col min="4881" max="4881" width="3.28515625" style="122" customWidth="1"/>
    <col min="4882" max="4882" width="5.85546875" style="122" customWidth="1"/>
    <col min="4883" max="4883" width="6.5703125" style="122" customWidth="1"/>
    <col min="4884" max="4884" width="3.28515625" style="122" customWidth="1"/>
    <col min="4885" max="4885" width="5.85546875" style="122" customWidth="1"/>
    <col min="4886" max="4886" width="6.5703125" style="122" customWidth="1"/>
    <col min="4887" max="4887" width="3.28515625" style="122" customWidth="1"/>
    <col min="4888" max="4888" width="5.85546875" style="122" customWidth="1"/>
    <col min="4889" max="4889" width="6.5703125" style="122" customWidth="1"/>
    <col min="4890" max="4890" width="3.28515625" style="122" customWidth="1"/>
    <col min="4891" max="4891" width="5.85546875" style="122" customWidth="1"/>
    <col min="4892" max="4892" width="6.5703125" style="122" customWidth="1"/>
    <col min="4893" max="4893" width="3.28515625" style="122" customWidth="1"/>
    <col min="4894" max="4894" width="5.85546875" style="122" customWidth="1"/>
    <col min="4895" max="4895" width="6.5703125" style="122" customWidth="1"/>
    <col min="4896" max="4896" width="3.28515625" style="122" customWidth="1"/>
    <col min="4897" max="4897" width="5.85546875" style="122" customWidth="1"/>
    <col min="4898" max="4898" width="6.5703125" style="122" customWidth="1"/>
    <col min="4899" max="4899" width="9.42578125" style="122" customWidth="1"/>
    <col min="4900" max="5102" width="9.140625" style="122"/>
    <col min="5103" max="5103" width="4.85546875" style="122" customWidth="1"/>
    <col min="5104" max="5104" width="5.140625" style="122" customWidth="1"/>
    <col min="5105" max="5105" width="13.7109375" style="122" customWidth="1"/>
    <col min="5106" max="5106" width="9.42578125" style="122" customWidth="1"/>
    <col min="5107" max="5107" width="7.85546875" style="122" bestFit="1" customWidth="1"/>
    <col min="5108" max="5108" width="9.42578125" style="122" customWidth="1"/>
    <col min="5109" max="5109" width="7.42578125" style="122" customWidth="1"/>
    <col min="5110" max="5110" width="7.85546875" style="122" customWidth="1"/>
    <col min="5111" max="5111" width="11" style="122" customWidth="1"/>
    <col min="5112" max="5112" width="7.5703125" style="122" customWidth="1"/>
    <col min="5113" max="5113" width="3.28515625" style="122" customWidth="1"/>
    <col min="5114" max="5114" width="5.85546875" style="122" customWidth="1"/>
    <col min="5115" max="5115" width="6.5703125" style="122" customWidth="1"/>
    <col min="5116" max="5116" width="3.28515625" style="122" customWidth="1"/>
    <col min="5117" max="5117" width="5.85546875" style="122" customWidth="1"/>
    <col min="5118" max="5118" width="6.5703125" style="122" customWidth="1"/>
    <col min="5119" max="5119" width="3.28515625" style="122" customWidth="1"/>
    <col min="5120" max="5120" width="5.85546875" style="122" customWidth="1"/>
    <col min="5121" max="5121" width="6.5703125" style="122" customWidth="1"/>
    <col min="5122" max="5122" width="3.28515625" style="122" customWidth="1"/>
    <col min="5123" max="5123" width="5.85546875" style="122" customWidth="1"/>
    <col min="5124" max="5124" width="6.5703125" style="122" customWidth="1"/>
    <col min="5125" max="5125" width="3.28515625" style="122" customWidth="1"/>
    <col min="5126" max="5126" width="5.85546875" style="122" customWidth="1"/>
    <col min="5127" max="5127" width="6.5703125" style="122" customWidth="1"/>
    <col min="5128" max="5128" width="3.28515625" style="122" customWidth="1"/>
    <col min="5129" max="5129" width="5.85546875" style="122" customWidth="1"/>
    <col min="5130" max="5130" width="6.5703125" style="122" customWidth="1"/>
    <col min="5131" max="5131" width="3.28515625" style="122" customWidth="1"/>
    <col min="5132" max="5132" width="5.85546875" style="122" customWidth="1"/>
    <col min="5133" max="5133" width="6.5703125" style="122" customWidth="1"/>
    <col min="5134" max="5134" width="3.28515625" style="122" customWidth="1"/>
    <col min="5135" max="5135" width="5.85546875" style="122" customWidth="1"/>
    <col min="5136" max="5136" width="6.5703125" style="122" customWidth="1"/>
    <col min="5137" max="5137" width="3.28515625" style="122" customWidth="1"/>
    <col min="5138" max="5138" width="5.85546875" style="122" customWidth="1"/>
    <col min="5139" max="5139" width="6.5703125" style="122" customWidth="1"/>
    <col min="5140" max="5140" width="3.28515625" style="122" customWidth="1"/>
    <col min="5141" max="5141" width="5.85546875" style="122" customWidth="1"/>
    <col min="5142" max="5142" width="6.5703125" style="122" customWidth="1"/>
    <col min="5143" max="5143" width="3.28515625" style="122" customWidth="1"/>
    <col min="5144" max="5144" width="5.85546875" style="122" customWidth="1"/>
    <col min="5145" max="5145" width="6.5703125" style="122" customWidth="1"/>
    <col min="5146" max="5146" width="3.28515625" style="122" customWidth="1"/>
    <col min="5147" max="5147" width="5.85546875" style="122" customWidth="1"/>
    <col min="5148" max="5148" width="6.5703125" style="122" customWidth="1"/>
    <col min="5149" max="5149" width="3.28515625" style="122" customWidth="1"/>
    <col min="5150" max="5150" width="5.85546875" style="122" customWidth="1"/>
    <col min="5151" max="5151" width="6.5703125" style="122" customWidth="1"/>
    <col min="5152" max="5152" width="3.28515625" style="122" customWidth="1"/>
    <col min="5153" max="5153" width="5.85546875" style="122" customWidth="1"/>
    <col min="5154" max="5154" width="6.5703125" style="122" customWidth="1"/>
    <col min="5155" max="5155" width="9.42578125" style="122" customWidth="1"/>
    <col min="5156" max="5358" width="9.140625" style="122"/>
    <col min="5359" max="5359" width="4.85546875" style="122" customWidth="1"/>
    <col min="5360" max="5360" width="5.140625" style="122" customWidth="1"/>
    <col min="5361" max="5361" width="13.7109375" style="122" customWidth="1"/>
    <col min="5362" max="5362" width="9.42578125" style="122" customWidth="1"/>
    <col min="5363" max="5363" width="7.85546875" style="122" bestFit="1" customWidth="1"/>
    <col min="5364" max="5364" width="9.42578125" style="122" customWidth="1"/>
    <col min="5365" max="5365" width="7.42578125" style="122" customWidth="1"/>
    <col min="5366" max="5366" width="7.85546875" style="122" customWidth="1"/>
    <col min="5367" max="5367" width="11" style="122" customWidth="1"/>
    <col min="5368" max="5368" width="7.5703125" style="122" customWidth="1"/>
    <col min="5369" max="5369" width="3.28515625" style="122" customWidth="1"/>
    <col min="5370" max="5370" width="5.85546875" style="122" customWidth="1"/>
    <col min="5371" max="5371" width="6.5703125" style="122" customWidth="1"/>
    <col min="5372" max="5372" width="3.28515625" style="122" customWidth="1"/>
    <col min="5373" max="5373" width="5.85546875" style="122" customWidth="1"/>
    <col min="5374" max="5374" width="6.5703125" style="122" customWidth="1"/>
    <col min="5375" max="5375" width="3.28515625" style="122" customWidth="1"/>
    <col min="5376" max="5376" width="5.85546875" style="122" customWidth="1"/>
    <col min="5377" max="5377" width="6.5703125" style="122" customWidth="1"/>
    <col min="5378" max="5378" width="3.28515625" style="122" customWidth="1"/>
    <col min="5379" max="5379" width="5.85546875" style="122" customWidth="1"/>
    <col min="5380" max="5380" width="6.5703125" style="122" customWidth="1"/>
    <col min="5381" max="5381" width="3.28515625" style="122" customWidth="1"/>
    <col min="5382" max="5382" width="5.85546875" style="122" customWidth="1"/>
    <col min="5383" max="5383" width="6.5703125" style="122" customWidth="1"/>
    <col min="5384" max="5384" width="3.28515625" style="122" customWidth="1"/>
    <col min="5385" max="5385" width="5.85546875" style="122" customWidth="1"/>
    <col min="5386" max="5386" width="6.5703125" style="122" customWidth="1"/>
    <col min="5387" max="5387" width="3.28515625" style="122" customWidth="1"/>
    <col min="5388" max="5388" width="5.85546875" style="122" customWidth="1"/>
    <col min="5389" max="5389" width="6.5703125" style="122" customWidth="1"/>
    <col min="5390" max="5390" width="3.28515625" style="122" customWidth="1"/>
    <col min="5391" max="5391" width="5.85546875" style="122" customWidth="1"/>
    <col min="5392" max="5392" width="6.5703125" style="122" customWidth="1"/>
    <col min="5393" max="5393" width="3.28515625" style="122" customWidth="1"/>
    <col min="5394" max="5394" width="5.85546875" style="122" customWidth="1"/>
    <col min="5395" max="5395" width="6.5703125" style="122" customWidth="1"/>
    <col min="5396" max="5396" width="3.28515625" style="122" customWidth="1"/>
    <col min="5397" max="5397" width="5.85546875" style="122" customWidth="1"/>
    <col min="5398" max="5398" width="6.5703125" style="122" customWidth="1"/>
    <col min="5399" max="5399" width="3.28515625" style="122" customWidth="1"/>
    <col min="5400" max="5400" width="5.85546875" style="122" customWidth="1"/>
    <col min="5401" max="5401" width="6.5703125" style="122" customWidth="1"/>
    <col min="5402" max="5402" width="3.28515625" style="122" customWidth="1"/>
    <col min="5403" max="5403" width="5.85546875" style="122" customWidth="1"/>
    <col min="5404" max="5404" width="6.5703125" style="122" customWidth="1"/>
    <col min="5405" max="5405" width="3.28515625" style="122" customWidth="1"/>
    <col min="5406" max="5406" width="5.85546875" style="122" customWidth="1"/>
    <col min="5407" max="5407" width="6.5703125" style="122" customWidth="1"/>
    <col min="5408" max="5408" width="3.28515625" style="122" customWidth="1"/>
    <col min="5409" max="5409" width="5.85546875" style="122" customWidth="1"/>
    <col min="5410" max="5410" width="6.5703125" style="122" customWidth="1"/>
    <col min="5411" max="5411" width="9.42578125" style="122" customWidth="1"/>
    <col min="5412" max="5614" width="9.140625" style="122"/>
    <col min="5615" max="5615" width="4.85546875" style="122" customWidth="1"/>
    <col min="5616" max="5616" width="5.140625" style="122" customWidth="1"/>
    <col min="5617" max="5617" width="13.7109375" style="122" customWidth="1"/>
    <col min="5618" max="5618" width="9.42578125" style="122" customWidth="1"/>
    <col min="5619" max="5619" width="7.85546875" style="122" bestFit="1" customWidth="1"/>
    <col min="5620" max="5620" width="9.42578125" style="122" customWidth="1"/>
    <col min="5621" max="5621" width="7.42578125" style="122" customWidth="1"/>
    <col min="5622" max="5622" width="7.85546875" style="122" customWidth="1"/>
    <col min="5623" max="5623" width="11" style="122" customWidth="1"/>
    <col min="5624" max="5624" width="7.5703125" style="122" customWidth="1"/>
    <col min="5625" max="5625" width="3.28515625" style="122" customWidth="1"/>
    <col min="5626" max="5626" width="5.85546875" style="122" customWidth="1"/>
    <col min="5627" max="5627" width="6.5703125" style="122" customWidth="1"/>
    <col min="5628" max="5628" width="3.28515625" style="122" customWidth="1"/>
    <col min="5629" max="5629" width="5.85546875" style="122" customWidth="1"/>
    <col min="5630" max="5630" width="6.5703125" style="122" customWidth="1"/>
    <col min="5631" max="5631" width="3.28515625" style="122" customWidth="1"/>
    <col min="5632" max="5632" width="5.85546875" style="122" customWidth="1"/>
    <col min="5633" max="5633" width="6.5703125" style="122" customWidth="1"/>
    <col min="5634" max="5634" width="3.28515625" style="122" customWidth="1"/>
    <col min="5635" max="5635" width="5.85546875" style="122" customWidth="1"/>
    <col min="5636" max="5636" width="6.5703125" style="122" customWidth="1"/>
    <col min="5637" max="5637" width="3.28515625" style="122" customWidth="1"/>
    <col min="5638" max="5638" width="5.85546875" style="122" customWidth="1"/>
    <col min="5639" max="5639" width="6.5703125" style="122" customWidth="1"/>
    <col min="5640" max="5640" width="3.28515625" style="122" customWidth="1"/>
    <col min="5641" max="5641" width="5.85546875" style="122" customWidth="1"/>
    <col min="5642" max="5642" width="6.5703125" style="122" customWidth="1"/>
    <col min="5643" max="5643" width="3.28515625" style="122" customWidth="1"/>
    <col min="5644" max="5644" width="5.85546875" style="122" customWidth="1"/>
    <col min="5645" max="5645" width="6.5703125" style="122" customWidth="1"/>
    <col min="5646" max="5646" width="3.28515625" style="122" customWidth="1"/>
    <col min="5647" max="5647" width="5.85546875" style="122" customWidth="1"/>
    <col min="5648" max="5648" width="6.5703125" style="122" customWidth="1"/>
    <col min="5649" max="5649" width="3.28515625" style="122" customWidth="1"/>
    <col min="5650" max="5650" width="5.85546875" style="122" customWidth="1"/>
    <col min="5651" max="5651" width="6.5703125" style="122" customWidth="1"/>
    <col min="5652" max="5652" width="3.28515625" style="122" customWidth="1"/>
    <col min="5653" max="5653" width="5.85546875" style="122" customWidth="1"/>
    <col min="5654" max="5654" width="6.5703125" style="122" customWidth="1"/>
    <col min="5655" max="5655" width="3.28515625" style="122" customWidth="1"/>
    <col min="5656" max="5656" width="5.85546875" style="122" customWidth="1"/>
    <col min="5657" max="5657" width="6.5703125" style="122" customWidth="1"/>
    <col min="5658" max="5658" width="3.28515625" style="122" customWidth="1"/>
    <col min="5659" max="5659" width="5.85546875" style="122" customWidth="1"/>
    <col min="5660" max="5660" width="6.5703125" style="122" customWidth="1"/>
    <col min="5661" max="5661" width="3.28515625" style="122" customWidth="1"/>
    <col min="5662" max="5662" width="5.85546875" style="122" customWidth="1"/>
    <col min="5663" max="5663" width="6.5703125" style="122" customWidth="1"/>
    <col min="5664" max="5664" width="3.28515625" style="122" customWidth="1"/>
    <col min="5665" max="5665" width="5.85546875" style="122" customWidth="1"/>
    <col min="5666" max="5666" width="6.5703125" style="122" customWidth="1"/>
    <col min="5667" max="5667" width="9.42578125" style="122" customWidth="1"/>
    <col min="5668" max="5870" width="9.140625" style="122"/>
    <col min="5871" max="5871" width="4.85546875" style="122" customWidth="1"/>
    <col min="5872" max="5872" width="5.140625" style="122" customWidth="1"/>
    <col min="5873" max="5873" width="13.7109375" style="122" customWidth="1"/>
    <col min="5874" max="5874" width="9.42578125" style="122" customWidth="1"/>
    <col min="5875" max="5875" width="7.85546875" style="122" bestFit="1" customWidth="1"/>
    <col min="5876" max="5876" width="9.42578125" style="122" customWidth="1"/>
    <col min="5877" max="5877" width="7.42578125" style="122" customWidth="1"/>
    <col min="5878" max="5878" width="7.85546875" style="122" customWidth="1"/>
    <col min="5879" max="5879" width="11" style="122" customWidth="1"/>
    <col min="5880" max="5880" width="7.5703125" style="122" customWidth="1"/>
    <col min="5881" max="5881" width="3.28515625" style="122" customWidth="1"/>
    <col min="5882" max="5882" width="5.85546875" style="122" customWidth="1"/>
    <col min="5883" max="5883" width="6.5703125" style="122" customWidth="1"/>
    <col min="5884" max="5884" width="3.28515625" style="122" customWidth="1"/>
    <col min="5885" max="5885" width="5.85546875" style="122" customWidth="1"/>
    <col min="5886" max="5886" width="6.5703125" style="122" customWidth="1"/>
    <col min="5887" max="5887" width="3.28515625" style="122" customWidth="1"/>
    <col min="5888" max="5888" width="5.85546875" style="122" customWidth="1"/>
    <col min="5889" max="5889" width="6.5703125" style="122" customWidth="1"/>
    <col min="5890" max="5890" width="3.28515625" style="122" customWidth="1"/>
    <col min="5891" max="5891" width="5.85546875" style="122" customWidth="1"/>
    <col min="5892" max="5892" width="6.5703125" style="122" customWidth="1"/>
    <col min="5893" max="5893" width="3.28515625" style="122" customWidth="1"/>
    <col min="5894" max="5894" width="5.85546875" style="122" customWidth="1"/>
    <col min="5895" max="5895" width="6.5703125" style="122" customWidth="1"/>
    <col min="5896" max="5896" width="3.28515625" style="122" customWidth="1"/>
    <col min="5897" max="5897" width="5.85546875" style="122" customWidth="1"/>
    <col min="5898" max="5898" width="6.5703125" style="122" customWidth="1"/>
    <col min="5899" max="5899" width="3.28515625" style="122" customWidth="1"/>
    <col min="5900" max="5900" width="5.85546875" style="122" customWidth="1"/>
    <col min="5901" max="5901" width="6.5703125" style="122" customWidth="1"/>
    <col min="5902" max="5902" width="3.28515625" style="122" customWidth="1"/>
    <col min="5903" max="5903" width="5.85546875" style="122" customWidth="1"/>
    <col min="5904" max="5904" width="6.5703125" style="122" customWidth="1"/>
    <col min="5905" max="5905" width="3.28515625" style="122" customWidth="1"/>
    <col min="5906" max="5906" width="5.85546875" style="122" customWidth="1"/>
    <col min="5907" max="5907" width="6.5703125" style="122" customWidth="1"/>
    <col min="5908" max="5908" width="3.28515625" style="122" customWidth="1"/>
    <col min="5909" max="5909" width="5.85546875" style="122" customWidth="1"/>
    <col min="5910" max="5910" width="6.5703125" style="122" customWidth="1"/>
    <col min="5911" max="5911" width="3.28515625" style="122" customWidth="1"/>
    <col min="5912" max="5912" width="5.85546875" style="122" customWidth="1"/>
    <col min="5913" max="5913" width="6.5703125" style="122" customWidth="1"/>
    <col min="5914" max="5914" width="3.28515625" style="122" customWidth="1"/>
    <col min="5915" max="5915" width="5.85546875" style="122" customWidth="1"/>
    <col min="5916" max="5916" width="6.5703125" style="122" customWidth="1"/>
    <col min="5917" max="5917" width="3.28515625" style="122" customWidth="1"/>
    <col min="5918" max="5918" width="5.85546875" style="122" customWidth="1"/>
    <col min="5919" max="5919" width="6.5703125" style="122" customWidth="1"/>
    <col min="5920" max="5920" width="3.28515625" style="122" customWidth="1"/>
    <col min="5921" max="5921" width="5.85546875" style="122" customWidth="1"/>
    <col min="5922" max="5922" width="6.5703125" style="122" customWidth="1"/>
    <col min="5923" max="5923" width="9.42578125" style="122" customWidth="1"/>
    <col min="5924" max="6126" width="9.140625" style="122"/>
    <col min="6127" max="6127" width="4.85546875" style="122" customWidth="1"/>
    <col min="6128" max="6128" width="5.140625" style="122" customWidth="1"/>
    <col min="6129" max="6129" width="13.7109375" style="122" customWidth="1"/>
    <col min="6130" max="6130" width="9.42578125" style="122" customWidth="1"/>
    <col min="6131" max="6131" width="7.85546875" style="122" bestFit="1" customWidth="1"/>
    <col min="6132" max="6132" width="9.42578125" style="122" customWidth="1"/>
    <col min="6133" max="6133" width="7.42578125" style="122" customWidth="1"/>
    <col min="6134" max="6134" width="7.85546875" style="122" customWidth="1"/>
    <col min="6135" max="6135" width="11" style="122" customWidth="1"/>
    <col min="6136" max="6136" width="7.5703125" style="122" customWidth="1"/>
    <col min="6137" max="6137" width="3.28515625" style="122" customWidth="1"/>
    <col min="6138" max="6138" width="5.85546875" style="122" customWidth="1"/>
    <col min="6139" max="6139" width="6.5703125" style="122" customWidth="1"/>
    <col min="6140" max="6140" width="3.28515625" style="122" customWidth="1"/>
    <col min="6141" max="6141" width="5.85546875" style="122" customWidth="1"/>
    <col min="6142" max="6142" width="6.5703125" style="122" customWidth="1"/>
    <col min="6143" max="6143" width="3.28515625" style="122" customWidth="1"/>
    <col min="6144" max="6144" width="5.85546875" style="122" customWidth="1"/>
    <col min="6145" max="6145" width="6.5703125" style="122" customWidth="1"/>
    <col min="6146" max="6146" width="3.28515625" style="122" customWidth="1"/>
    <col min="6147" max="6147" width="5.85546875" style="122" customWidth="1"/>
    <col min="6148" max="6148" width="6.5703125" style="122" customWidth="1"/>
    <col min="6149" max="6149" width="3.28515625" style="122" customWidth="1"/>
    <col min="6150" max="6150" width="5.85546875" style="122" customWidth="1"/>
    <col min="6151" max="6151" width="6.5703125" style="122" customWidth="1"/>
    <col min="6152" max="6152" width="3.28515625" style="122" customWidth="1"/>
    <col min="6153" max="6153" width="5.85546875" style="122" customWidth="1"/>
    <col min="6154" max="6154" width="6.5703125" style="122" customWidth="1"/>
    <col min="6155" max="6155" width="3.28515625" style="122" customWidth="1"/>
    <col min="6156" max="6156" width="5.85546875" style="122" customWidth="1"/>
    <col min="6157" max="6157" width="6.5703125" style="122" customWidth="1"/>
    <col min="6158" max="6158" width="3.28515625" style="122" customWidth="1"/>
    <col min="6159" max="6159" width="5.85546875" style="122" customWidth="1"/>
    <col min="6160" max="6160" width="6.5703125" style="122" customWidth="1"/>
    <col min="6161" max="6161" width="3.28515625" style="122" customWidth="1"/>
    <col min="6162" max="6162" width="5.85546875" style="122" customWidth="1"/>
    <col min="6163" max="6163" width="6.5703125" style="122" customWidth="1"/>
    <col min="6164" max="6164" width="3.28515625" style="122" customWidth="1"/>
    <col min="6165" max="6165" width="5.85546875" style="122" customWidth="1"/>
    <col min="6166" max="6166" width="6.5703125" style="122" customWidth="1"/>
    <col min="6167" max="6167" width="3.28515625" style="122" customWidth="1"/>
    <col min="6168" max="6168" width="5.85546875" style="122" customWidth="1"/>
    <col min="6169" max="6169" width="6.5703125" style="122" customWidth="1"/>
    <col min="6170" max="6170" width="3.28515625" style="122" customWidth="1"/>
    <col min="6171" max="6171" width="5.85546875" style="122" customWidth="1"/>
    <col min="6172" max="6172" width="6.5703125" style="122" customWidth="1"/>
    <col min="6173" max="6173" width="3.28515625" style="122" customWidth="1"/>
    <col min="6174" max="6174" width="5.85546875" style="122" customWidth="1"/>
    <col min="6175" max="6175" width="6.5703125" style="122" customWidth="1"/>
    <col min="6176" max="6176" width="3.28515625" style="122" customWidth="1"/>
    <col min="6177" max="6177" width="5.85546875" style="122" customWidth="1"/>
    <col min="6178" max="6178" width="6.5703125" style="122" customWidth="1"/>
    <col min="6179" max="6179" width="9.42578125" style="122" customWidth="1"/>
    <col min="6180" max="6382" width="9.140625" style="122"/>
    <col min="6383" max="6383" width="4.85546875" style="122" customWidth="1"/>
    <col min="6384" max="6384" width="5.140625" style="122" customWidth="1"/>
    <col min="6385" max="6385" width="13.7109375" style="122" customWidth="1"/>
    <col min="6386" max="6386" width="9.42578125" style="122" customWidth="1"/>
    <col min="6387" max="6387" width="7.85546875" style="122" bestFit="1" customWidth="1"/>
    <col min="6388" max="6388" width="9.42578125" style="122" customWidth="1"/>
    <col min="6389" max="6389" width="7.42578125" style="122" customWidth="1"/>
    <col min="6390" max="6390" width="7.85546875" style="122" customWidth="1"/>
    <col min="6391" max="6391" width="11" style="122" customWidth="1"/>
    <col min="6392" max="6392" width="7.5703125" style="122" customWidth="1"/>
    <col min="6393" max="6393" width="3.28515625" style="122" customWidth="1"/>
    <col min="6394" max="6394" width="5.85546875" style="122" customWidth="1"/>
    <col min="6395" max="6395" width="6.5703125" style="122" customWidth="1"/>
    <col min="6396" max="6396" width="3.28515625" style="122" customWidth="1"/>
    <col min="6397" max="6397" width="5.85546875" style="122" customWidth="1"/>
    <col min="6398" max="6398" width="6.5703125" style="122" customWidth="1"/>
    <col min="6399" max="6399" width="3.28515625" style="122" customWidth="1"/>
    <col min="6400" max="6400" width="5.85546875" style="122" customWidth="1"/>
    <col min="6401" max="6401" width="6.5703125" style="122" customWidth="1"/>
    <col min="6402" max="6402" width="3.28515625" style="122" customWidth="1"/>
    <col min="6403" max="6403" width="5.85546875" style="122" customWidth="1"/>
    <col min="6404" max="6404" width="6.5703125" style="122" customWidth="1"/>
    <col min="6405" max="6405" width="3.28515625" style="122" customWidth="1"/>
    <col min="6406" max="6406" width="5.85546875" style="122" customWidth="1"/>
    <col min="6407" max="6407" width="6.5703125" style="122" customWidth="1"/>
    <col min="6408" max="6408" width="3.28515625" style="122" customWidth="1"/>
    <col min="6409" max="6409" width="5.85546875" style="122" customWidth="1"/>
    <col min="6410" max="6410" width="6.5703125" style="122" customWidth="1"/>
    <col min="6411" max="6411" width="3.28515625" style="122" customWidth="1"/>
    <col min="6412" max="6412" width="5.85546875" style="122" customWidth="1"/>
    <col min="6413" max="6413" width="6.5703125" style="122" customWidth="1"/>
    <col min="6414" max="6414" width="3.28515625" style="122" customWidth="1"/>
    <col min="6415" max="6415" width="5.85546875" style="122" customWidth="1"/>
    <col min="6416" max="6416" width="6.5703125" style="122" customWidth="1"/>
    <col min="6417" max="6417" width="3.28515625" style="122" customWidth="1"/>
    <col min="6418" max="6418" width="5.85546875" style="122" customWidth="1"/>
    <col min="6419" max="6419" width="6.5703125" style="122" customWidth="1"/>
    <col min="6420" max="6420" width="3.28515625" style="122" customWidth="1"/>
    <col min="6421" max="6421" width="5.85546875" style="122" customWidth="1"/>
    <col min="6422" max="6422" width="6.5703125" style="122" customWidth="1"/>
    <col min="6423" max="6423" width="3.28515625" style="122" customWidth="1"/>
    <col min="6424" max="6424" width="5.85546875" style="122" customWidth="1"/>
    <col min="6425" max="6425" width="6.5703125" style="122" customWidth="1"/>
    <col min="6426" max="6426" width="3.28515625" style="122" customWidth="1"/>
    <col min="6427" max="6427" width="5.85546875" style="122" customWidth="1"/>
    <col min="6428" max="6428" width="6.5703125" style="122" customWidth="1"/>
    <col min="6429" max="6429" width="3.28515625" style="122" customWidth="1"/>
    <col min="6430" max="6430" width="5.85546875" style="122" customWidth="1"/>
    <col min="6431" max="6431" width="6.5703125" style="122" customWidth="1"/>
    <col min="6432" max="6432" width="3.28515625" style="122" customWidth="1"/>
    <col min="6433" max="6433" width="5.85546875" style="122" customWidth="1"/>
    <col min="6434" max="6434" width="6.5703125" style="122" customWidth="1"/>
    <col min="6435" max="6435" width="9.42578125" style="122" customWidth="1"/>
    <col min="6436" max="6638" width="9.140625" style="122"/>
    <col min="6639" max="6639" width="4.85546875" style="122" customWidth="1"/>
    <col min="6640" max="6640" width="5.140625" style="122" customWidth="1"/>
    <col min="6641" max="6641" width="13.7109375" style="122" customWidth="1"/>
    <col min="6642" max="6642" width="9.42578125" style="122" customWidth="1"/>
    <col min="6643" max="6643" width="7.85546875" style="122" bestFit="1" customWidth="1"/>
    <col min="6644" max="6644" width="9.42578125" style="122" customWidth="1"/>
    <col min="6645" max="6645" width="7.42578125" style="122" customWidth="1"/>
    <col min="6646" max="6646" width="7.85546875" style="122" customWidth="1"/>
    <col min="6647" max="6647" width="11" style="122" customWidth="1"/>
    <col min="6648" max="6648" width="7.5703125" style="122" customWidth="1"/>
    <col min="6649" max="6649" width="3.28515625" style="122" customWidth="1"/>
    <col min="6650" max="6650" width="5.85546875" style="122" customWidth="1"/>
    <col min="6651" max="6651" width="6.5703125" style="122" customWidth="1"/>
    <col min="6652" max="6652" width="3.28515625" style="122" customWidth="1"/>
    <col min="6653" max="6653" width="5.85546875" style="122" customWidth="1"/>
    <col min="6654" max="6654" width="6.5703125" style="122" customWidth="1"/>
    <col min="6655" max="6655" width="3.28515625" style="122" customWidth="1"/>
    <col min="6656" max="6656" width="5.85546875" style="122" customWidth="1"/>
    <col min="6657" max="6657" width="6.5703125" style="122" customWidth="1"/>
    <col min="6658" max="6658" width="3.28515625" style="122" customWidth="1"/>
    <col min="6659" max="6659" width="5.85546875" style="122" customWidth="1"/>
    <col min="6660" max="6660" width="6.5703125" style="122" customWidth="1"/>
    <col min="6661" max="6661" width="3.28515625" style="122" customWidth="1"/>
    <col min="6662" max="6662" width="5.85546875" style="122" customWidth="1"/>
    <col min="6663" max="6663" width="6.5703125" style="122" customWidth="1"/>
    <col min="6664" max="6664" width="3.28515625" style="122" customWidth="1"/>
    <col min="6665" max="6665" width="5.85546875" style="122" customWidth="1"/>
    <col min="6666" max="6666" width="6.5703125" style="122" customWidth="1"/>
    <col min="6667" max="6667" width="3.28515625" style="122" customWidth="1"/>
    <col min="6668" max="6668" width="5.85546875" style="122" customWidth="1"/>
    <col min="6669" max="6669" width="6.5703125" style="122" customWidth="1"/>
    <col min="6670" max="6670" width="3.28515625" style="122" customWidth="1"/>
    <col min="6671" max="6671" width="5.85546875" style="122" customWidth="1"/>
    <col min="6672" max="6672" width="6.5703125" style="122" customWidth="1"/>
    <col min="6673" max="6673" width="3.28515625" style="122" customWidth="1"/>
    <col min="6674" max="6674" width="5.85546875" style="122" customWidth="1"/>
    <col min="6675" max="6675" width="6.5703125" style="122" customWidth="1"/>
    <col min="6676" max="6676" width="3.28515625" style="122" customWidth="1"/>
    <col min="6677" max="6677" width="5.85546875" style="122" customWidth="1"/>
    <col min="6678" max="6678" width="6.5703125" style="122" customWidth="1"/>
    <col min="6679" max="6679" width="3.28515625" style="122" customWidth="1"/>
    <col min="6680" max="6680" width="5.85546875" style="122" customWidth="1"/>
    <col min="6681" max="6681" width="6.5703125" style="122" customWidth="1"/>
    <col min="6682" max="6682" width="3.28515625" style="122" customWidth="1"/>
    <col min="6683" max="6683" width="5.85546875" style="122" customWidth="1"/>
    <col min="6684" max="6684" width="6.5703125" style="122" customWidth="1"/>
    <col min="6685" max="6685" width="3.28515625" style="122" customWidth="1"/>
    <col min="6686" max="6686" width="5.85546875" style="122" customWidth="1"/>
    <col min="6687" max="6687" width="6.5703125" style="122" customWidth="1"/>
    <col min="6688" max="6688" width="3.28515625" style="122" customWidth="1"/>
    <col min="6689" max="6689" width="5.85546875" style="122" customWidth="1"/>
    <col min="6690" max="6690" width="6.5703125" style="122" customWidth="1"/>
    <col min="6691" max="6691" width="9.42578125" style="122" customWidth="1"/>
    <col min="6692" max="6894" width="9.140625" style="122"/>
    <col min="6895" max="6895" width="4.85546875" style="122" customWidth="1"/>
    <col min="6896" max="6896" width="5.140625" style="122" customWidth="1"/>
    <col min="6897" max="6897" width="13.7109375" style="122" customWidth="1"/>
    <col min="6898" max="6898" width="9.42578125" style="122" customWidth="1"/>
    <col min="6899" max="6899" width="7.85546875" style="122" bestFit="1" customWidth="1"/>
    <col min="6900" max="6900" width="9.42578125" style="122" customWidth="1"/>
    <col min="6901" max="6901" width="7.42578125" style="122" customWidth="1"/>
    <col min="6902" max="6902" width="7.85546875" style="122" customWidth="1"/>
    <col min="6903" max="6903" width="11" style="122" customWidth="1"/>
    <col min="6904" max="6904" width="7.5703125" style="122" customWidth="1"/>
    <col min="6905" max="6905" width="3.28515625" style="122" customWidth="1"/>
    <col min="6906" max="6906" width="5.85546875" style="122" customWidth="1"/>
    <col min="6907" max="6907" width="6.5703125" style="122" customWidth="1"/>
    <col min="6908" max="6908" width="3.28515625" style="122" customWidth="1"/>
    <col min="6909" max="6909" width="5.85546875" style="122" customWidth="1"/>
    <col min="6910" max="6910" width="6.5703125" style="122" customWidth="1"/>
    <col min="6911" max="6911" width="3.28515625" style="122" customWidth="1"/>
    <col min="6912" max="6912" width="5.85546875" style="122" customWidth="1"/>
    <col min="6913" max="6913" width="6.5703125" style="122" customWidth="1"/>
    <col min="6914" max="6914" width="3.28515625" style="122" customWidth="1"/>
    <col min="6915" max="6915" width="5.85546875" style="122" customWidth="1"/>
    <col min="6916" max="6916" width="6.5703125" style="122" customWidth="1"/>
    <col min="6917" max="6917" width="3.28515625" style="122" customWidth="1"/>
    <col min="6918" max="6918" width="5.85546875" style="122" customWidth="1"/>
    <col min="6919" max="6919" width="6.5703125" style="122" customWidth="1"/>
    <col min="6920" max="6920" width="3.28515625" style="122" customWidth="1"/>
    <col min="6921" max="6921" width="5.85546875" style="122" customWidth="1"/>
    <col min="6922" max="6922" width="6.5703125" style="122" customWidth="1"/>
    <col min="6923" max="6923" width="3.28515625" style="122" customWidth="1"/>
    <col min="6924" max="6924" width="5.85546875" style="122" customWidth="1"/>
    <col min="6925" max="6925" width="6.5703125" style="122" customWidth="1"/>
    <col min="6926" max="6926" width="3.28515625" style="122" customWidth="1"/>
    <col min="6927" max="6927" width="5.85546875" style="122" customWidth="1"/>
    <col min="6928" max="6928" width="6.5703125" style="122" customWidth="1"/>
    <col min="6929" max="6929" width="3.28515625" style="122" customWidth="1"/>
    <col min="6930" max="6930" width="5.85546875" style="122" customWidth="1"/>
    <col min="6931" max="6931" width="6.5703125" style="122" customWidth="1"/>
    <col min="6932" max="6932" width="3.28515625" style="122" customWidth="1"/>
    <col min="6933" max="6933" width="5.85546875" style="122" customWidth="1"/>
    <col min="6934" max="6934" width="6.5703125" style="122" customWidth="1"/>
    <col min="6935" max="6935" width="3.28515625" style="122" customWidth="1"/>
    <col min="6936" max="6936" width="5.85546875" style="122" customWidth="1"/>
    <col min="6937" max="6937" width="6.5703125" style="122" customWidth="1"/>
    <col min="6938" max="6938" width="3.28515625" style="122" customWidth="1"/>
    <col min="6939" max="6939" width="5.85546875" style="122" customWidth="1"/>
    <col min="6940" max="6940" width="6.5703125" style="122" customWidth="1"/>
    <col min="6941" max="6941" width="3.28515625" style="122" customWidth="1"/>
    <col min="6942" max="6942" width="5.85546875" style="122" customWidth="1"/>
    <col min="6943" max="6943" width="6.5703125" style="122" customWidth="1"/>
    <col min="6944" max="6944" width="3.28515625" style="122" customWidth="1"/>
    <col min="6945" max="6945" width="5.85546875" style="122" customWidth="1"/>
    <col min="6946" max="6946" width="6.5703125" style="122" customWidth="1"/>
    <col min="6947" max="6947" width="9.42578125" style="122" customWidth="1"/>
    <col min="6948" max="7150" width="9.140625" style="122"/>
    <col min="7151" max="7151" width="4.85546875" style="122" customWidth="1"/>
    <col min="7152" max="7152" width="5.140625" style="122" customWidth="1"/>
    <col min="7153" max="7153" width="13.7109375" style="122" customWidth="1"/>
    <col min="7154" max="7154" width="9.42578125" style="122" customWidth="1"/>
    <col min="7155" max="7155" width="7.85546875" style="122" bestFit="1" customWidth="1"/>
    <col min="7156" max="7156" width="9.42578125" style="122" customWidth="1"/>
    <col min="7157" max="7157" width="7.42578125" style="122" customWidth="1"/>
    <col min="7158" max="7158" width="7.85546875" style="122" customWidth="1"/>
    <col min="7159" max="7159" width="11" style="122" customWidth="1"/>
    <col min="7160" max="7160" width="7.5703125" style="122" customWidth="1"/>
    <col min="7161" max="7161" width="3.28515625" style="122" customWidth="1"/>
    <col min="7162" max="7162" width="5.85546875" style="122" customWidth="1"/>
    <col min="7163" max="7163" width="6.5703125" style="122" customWidth="1"/>
    <col min="7164" max="7164" width="3.28515625" style="122" customWidth="1"/>
    <col min="7165" max="7165" width="5.85546875" style="122" customWidth="1"/>
    <col min="7166" max="7166" width="6.5703125" style="122" customWidth="1"/>
    <col min="7167" max="7167" width="3.28515625" style="122" customWidth="1"/>
    <col min="7168" max="7168" width="5.85546875" style="122" customWidth="1"/>
    <col min="7169" max="7169" width="6.5703125" style="122" customWidth="1"/>
    <col min="7170" max="7170" width="3.28515625" style="122" customWidth="1"/>
    <col min="7171" max="7171" width="5.85546875" style="122" customWidth="1"/>
    <col min="7172" max="7172" width="6.5703125" style="122" customWidth="1"/>
    <col min="7173" max="7173" width="3.28515625" style="122" customWidth="1"/>
    <col min="7174" max="7174" width="5.85546875" style="122" customWidth="1"/>
    <col min="7175" max="7175" width="6.5703125" style="122" customWidth="1"/>
    <col min="7176" max="7176" width="3.28515625" style="122" customWidth="1"/>
    <col min="7177" max="7177" width="5.85546875" style="122" customWidth="1"/>
    <col min="7178" max="7178" width="6.5703125" style="122" customWidth="1"/>
    <col min="7179" max="7179" width="3.28515625" style="122" customWidth="1"/>
    <col min="7180" max="7180" width="5.85546875" style="122" customWidth="1"/>
    <col min="7181" max="7181" width="6.5703125" style="122" customWidth="1"/>
    <col min="7182" max="7182" width="3.28515625" style="122" customWidth="1"/>
    <col min="7183" max="7183" width="5.85546875" style="122" customWidth="1"/>
    <col min="7184" max="7184" width="6.5703125" style="122" customWidth="1"/>
    <col min="7185" max="7185" width="3.28515625" style="122" customWidth="1"/>
    <col min="7186" max="7186" width="5.85546875" style="122" customWidth="1"/>
    <col min="7187" max="7187" width="6.5703125" style="122" customWidth="1"/>
    <col min="7188" max="7188" width="3.28515625" style="122" customWidth="1"/>
    <col min="7189" max="7189" width="5.85546875" style="122" customWidth="1"/>
    <col min="7190" max="7190" width="6.5703125" style="122" customWidth="1"/>
    <col min="7191" max="7191" width="3.28515625" style="122" customWidth="1"/>
    <col min="7192" max="7192" width="5.85546875" style="122" customWidth="1"/>
    <col min="7193" max="7193" width="6.5703125" style="122" customWidth="1"/>
    <col min="7194" max="7194" width="3.28515625" style="122" customWidth="1"/>
    <col min="7195" max="7195" width="5.85546875" style="122" customWidth="1"/>
    <col min="7196" max="7196" width="6.5703125" style="122" customWidth="1"/>
    <col min="7197" max="7197" width="3.28515625" style="122" customWidth="1"/>
    <col min="7198" max="7198" width="5.85546875" style="122" customWidth="1"/>
    <col min="7199" max="7199" width="6.5703125" style="122" customWidth="1"/>
    <col min="7200" max="7200" width="3.28515625" style="122" customWidth="1"/>
    <col min="7201" max="7201" width="5.85546875" style="122" customWidth="1"/>
    <col min="7202" max="7202" width="6.5703125" style="122" customWidth="1"/>
    <col min="7203" max="7203" width="9.42578125" style="122" customWidth="1"/>
    <col min="7204" max="7406" width="9.140625" style="122"/>
    <col min="7407" max="7407" width="4.85546875" style="122" customWidth="1"/>
    <col min="7408" max="7408" width="5.140625" style="122" customWidth="1"/>
    <col min="7409" max="7409" width="13.7109375" style="122" customWidth="1"/>
    <col min="7410" max="7410" width="9.42578125" style="122" customWidth="1"/>
    <col min="7411" max="7411" width="7.85546875" style="122" bestFit="1" customWidth="1"/>
    <col min="7412" max="7412" width="9.42578125" style="122" customWidth="1"/>
    <col min="7413" max="7413" width="7.42578125" style="122" customWidth="1"/>
    <col min="7414" max="7414" width="7.85546875" style="122" customWidth="1"/>
    <col min="7415" max="7415" width="11" style="122" customWidth="1"/>
    <col min="7416" max="7416" width="7.5703125" style="122" customWidth="1"/>
    <col min="7417" max="7417" width="3.28515625" style="122" customWidth="1"/>
    <col min="7418" max="7418" width="5.85546875" style="122" customWidth="1"/>
    <col min="7419" max="7419" width="6.5703125" style="122" customWidth="1"/>
    <col min="7420" max="7420" width="3.28515625" style="122" customWidth="1"/>
    <col min="7421" max="7421" width="5.85546875" style="122" customWidth="1"/>
    <col min="7422" max="7422" width="6.5703125" style="122" customWidth="1"/>
    <col min="7423" max="7423" width="3.28515625" style="122" customWidth="1"/>
    <col min="7424" max="7424" width="5.85546875" style="122" customWidth="1"/>
    <col min="7425" max="7425" width="6.5703125" style="122" customWidth="1"/>
    <col min="7426" max="7426" width="3.28515625" style="122" customWidth="1"/>
    <col min="7427" max="7427" width="5.85546875" style="122" customWidth="1"/>
    <col min="7428" max="7428" width="6.5703125" style="122" customWidth="1"/>
    <col min="7429" max="7429" width="3.28515625" style="122" customWidth="1"/>
    <col min="7430" max="7430" width="5.85546875" style="122" customWidth="1"/>
    <col min="7431" max="7431" width="6.5703125" style="122" customWidth="1"/>
    <col min="7432" max="7432" width="3.28515625" style="122" customWidth="1"/>
    <col min="7433" max="7433" width="5.85546875" style="122" customWidth="1"/>
    <col min="7434" max="7434" width="6.5703125" style="122" customWidth="1"/>
    <col min="7435" max="7435" width="3.28515625" style="122" customWidth="1"/>
    <col min="7436" max="7436" width="5.85546875" style="122" customWidth="1"/>
    <col min="7437" max="7437" width="6.5703125" style="122" customWidth="1"/>
    <col min="7438" max="7438" width="3.28515625" style="122" customWidth="1"/>
    <col min="7439" max="7439" width="5.85546875" style="122" customWidth="1"/>
    <col min="7440" max="7440" width="6.5703125" style="122" customWidth="1"/>
    <col min="7441" max="7441" width="3.28515625" style="122" customWidth="1"/>
    <col min="7442" max="7442" width="5.85546875" style="122" customWidth="1"/>
    <col min="7443" max="7443" width="6.5703125" style="122" customWidth="1"/>
    <col min="7444" max="7444" width="3.28515625" style="122" customWidth="1"/>
    <col min="7445" max="7445" width="5.85546875" style="122" customWidth="1"/>
    <col min="7446" max="7446" width="6.5703125" style="122" customWidth="1"/>
    <col min="7447" max="7447" width="3.28515625" style="122" customWidth="1"/>
    <col min="7448" max="7448" width="5.85546875" style="122" customWidth="1"/>
    <col min="7449" max="7449" width="6.5703125" style="122" customWidth="1"/>
    <col min="7450" max="7450" width="3.28515625" style="122" customWidth="1"/>
    <col min="7451" max="7451" width="5.85546875" style="122" customWidth="1"/>
    <col min="7452" max="7452" width="6.5703125" style="122" customWidth="1"/>
    <col min="7453" max="7453" width="3.28515625" style="122" customWidth="1"/>
    <col min="7454" max="7454" width="5.85546875" style="122" customWidth="1"/>
    <col min="7455" max="7455" width="6.5703125" style="122" customWidth="1"/>
    <col min="7456" max="7456" width="3.28515625" style="122" customWidth="1"/>
    <col min="7457" max="7457" width="5.85546875" style="122" customWidth="1"/>
    <col min="7458" max="7458" width="6.5703125" style="122" customWidth="1"/>
    <col min="7459" max="7459" width="9.42578125" style="122" customWidth="1"/>
    <col min="7460" max="7662" width="9.140625" style="122"/>
    <col min="7663" max="7663" width="4.85546875" style="122" customWidth="1"/>
    <col min="7664" max="7664" width="5.140625" style="122" customWidth="1"/>
    <col min="7665" max="7665" width="13.7109375" style="122" customWidth="1"/>
    <col min="7666" max="7666" width="9.42578125" style="122" customWidth="1"/>
    <col min="7667" max="7667" width="7.85546875" style="122" bestFit="1" customWidth="1"/>
    <col min="7668" max="7668" width="9.42578125" style="122" customWidth="1"/>
    <col min="7669" max="7669" width="7.42578125" style="122" customWidth="1"/>
    <col min="7670" max="7670" width="7.85546875" style="122" customWidth="1"/>
    <col min="7671" max="7671" width="11" style="122" customWidth="1"/>
    <col min="7672" max="7672" width="7.5703125" style="122" customWidth="1"/>
    <col min="7673" max="7673" width="3.28515625" style="122" customWidth="1"/>
    <col min="7674" max="7674" width="5.85546875" style="122" customWidth="1"/>
    <col min="7675" max="7675" width="6.5703125" style="122" customWidth="1"/>
    <col min="7676" max="7676" width="3.28515625" style="122" customWidth="1"/>
    <col min="7677" max="7677" width="5.85546875" style="122" customWidth="1"/>
    <col min="7678" max="7678" width="6.5703125" style="122" customWidth="1"/>
    <col min="7679" max="7679" width="3.28515625" style="122" customWidth="1"/>
    <col min="7680" max="7680" width="5.85546875" style="122" customWidth="1"/>
    <col min="7681" max="7681" width="6.5703125" style="122" customWidth="1"/>
    <col min="7682" max="7682" width="3.28515625" style="122" customWidth="1"/>
    <col min="7683" max="7683" width="5.85546875" style="122" customWidth="1"/>
    <col min="7684" max="7684" width="6.5703125" style="122" customWidth="1"/>
    <col min="7685" max="7685" width="3.28515625" style="122" customWidth="1"/>
    <col min="7686" max="7686" width="5.85546875" style="122" customWidth="1"/>
    <col min="7687" max="7687" width="6.5703125" style="122" customWidth="1"/>
    <col min="7688" max="7688" width="3.28515625" style="122" customWidth="1"/>
    <col min="7689" max="7689" width="5.85546875" style="122" customWidth="1"/>
    <col min="7690" max="7690" width="6.5703125" style="122" customWidth="1"/>
    <col min="7691" max="7691" width="3.28515625" style="122" customWidth="1"/>
    <col min="7692" max="7692" width="5.85546875" style="122" customWidth="1"/>
    <col min="7693" max="7693" width="6.5703125" style="122" customWidth="1"/>
    <col min="7694" max="7694" width="3.28515625" style="122" customWidth="1"/>
    <col min="7695" max="7695" width="5.85546875" style="122" customWidth="1"/>
    <col min="7696" max="7696" width="6.5703125" style="122" customWidth="1"/>
    <col min="7697" max="7697" width="3.28515625" style="122" customWidth="1"/>
    <col min="7698" max="7698" width="5.85546875" style="122" customWidth="1"/>
    <col min="7699" max="7699" width="6.5703125" style="122" customWidth="1"/>
    <col min="7700" max="7700" width="3.28515625" style="122" customWidth="1"/>
    <col min="7701" max="7701" width="5.85546875" style="122" customWidth="1"/>
    <col min="7702" max="7702" width="6.5703125" style="122" customWidth="1"/>
    <col min="7703" max="7703" width="3.28515625" style="122" customWidth="1"/>
    <col min="7704" max="7704" width="5.85546875" style="122" customWidth="1"/>
    <col min="7705" max="7705" width="6.5703125" style="122" customWidth="1"/>
    <col min="7706" max="7706" width="3.28515625" style="122" customWidth="1"/>
    <col min="7707" max="7707" width="5.85546875" style="122" customWidth="1"/>
    <col min="7708" max="7708" width="6.5703125" style="122" customWidth="1"/>
    <col min="7709" max="7709" width="3.28515625" style="122" customWidth="1"/>
    <col min="7710" max="7710" width="5.85546875" style="122" customWidth="1"/>
    <col min="7711" max="7711" width="6.5703125" style="122" customWidth="1"/>
    <col min="7712" max="7712" width="3.28515625" style="122" customWidth="1"/>
    <col min="7713" max="7713" width="5.85546875" style="122" customWidth="1"/>
    <col min="7714" max="7714" width="6.5703125" style="122" customWidth="1"/>
    <col min="7715" max="7715" width="9.42578125" style="122" customWidth="1"/>
    <col min="7716" max="7918" width="9.140625" style="122"/>
    <col min="7919" max="7919" width="4.85546875" style="122" customWidth="1"/>
    <col min="7920" max="7920" width="5.140625" style="122" customWidth="1"/>
    <col min="7921" max="7921" width="13.7109375" style="122" customWidth="1"/>
    <col min="7922" max="7922" width="9.42578125" style="122" customWidth="1"/>
    <col min="7923" max="7923" width="7.85546875" style="122" bestFit="1" customWidth="1"/>
    <col min="7924" max="7924" width="9.42578125" style="122" customWidth="1"/>
    <col min="7925" max="7925" width="7.42578125" style="122" customWidth="1"/>
    <col min="7926" max="7926" width="7.85546875" style="122" customWidth="1"/>
    <col min="7927" max="7927" width="11" style="122" customWidth="1"/>
    <col min="7928" max="7928" width="7.5703125" style="122" customWidth="1"/>
    <col min="7929" max="7929" width="3.28515625" style="122" customWidth="1"/>
    <col min="7930" max="7930" width="5.85546875" style="122" customWidth="1"/>
    <col min="7931" max="7931" width="6.5703125" style="122" customWidth="1"/>
    <col min="7932" max="7932" width="3.28515625" style="122" customWidth="1"/>
    <col min="7933" max="7933" width="5.85546875" style="122" customWidth="1"/>
    <col min="7934" max="7934" width="6.5703125" style="122" customWidth="1"/>
    <col min="7935" max="7935" width="3.28515625" style="122" customWidth="1"/>
    <col min="7936" max="7936" width="5.85546875" style="122" customWidth="1"/>
    <col min="7937" max="7937" width="6.5703125" style="122" customWidth="1"/>
    <col min="7938" max="7938" width="3.28515625" style="122" customWidth="1"/>
    <col min="7939" max="7939" width="5.85546875" style="122" customWidth="1"/>
    <col min="7940" max="7940" width="6.5703125" style="122" customWidth="1"/>
    <col min="7941" max="7941" width="3.28515625" style="122" customWidth="1"/>
    <col min="7942" max="7942" width="5.85546875" style="122" customWidth="1"/>
    <col min="7943" max="7943" width="6.5703125" style="122" customWidth="1"/>
    <col min="7944" max="7944" width="3.28515625" style="122" customWidth="1"/>
    <col min="7945" max="7945" width="5.85546875" style="122" customWidth="1"/>
    <col min="7946" max="7946" width="6.5703125" style="122" customWidth="1"/>
    <col min="7947" max="7947" width="3.28515625" style="122" customWidth="1"/>
    <col min="7948" max="7948" width="5.85546875" style="122" customWidth="1"/>
    <col min="7949" max="7949" width="6.5703125" style="122" customWidth="1"/>
    <col min="7950" max="7950" width="3.28515625" style="122" customWidth="1"/>
    <col min="7951" max="7951" width="5.85546875" style="122" customWidth="1"/>
    <col min="7952" max="7952" width="6.5703125" style="122" customWidth="1"/>
    <col min="7953" max="7953" width="3.28515625" style="122" customWidth="1"/>
    <col min="7954" max="7954" width="5.85546875" style="122" customWidth="1"/>
    <col min="7955" max="7955" width="6.5703125" style="122" customWidth="1"/>
    <col min="7956" max="7956" width="3.28515625" style="122" customWidth="1"/>
    <col min="7957" max="7957" width="5.85546875" style="122" customWidth="1"/>
    <col min="7958" max="7958" width="6.5703125" style="122" customWidth="1"/>
    <col min="7959" max="7959" width="3.28515625" style="122" customWidth="1"/>
    <col min="7960" max="7960" width="5.85546875" style="122" customWidth="1"/>
    <col min="7961" max="7961" width="6.5703125" style="122" customWidth="1"/>
    <col min="7962" max="7962" width="3.28515625" style="122" customWidth="1"/>
    <col min="7963" max="7963" width="5.85546875" style="122" customWidth="1"/>
    <col min="7964" max="7964" width="6.5703125" style="122" customWidth="1"/>
    <col min="7965" max="7965" width="3.28515625" style="122" customWidth="1"/>
    <col min="7966" max="7966" width="5.85546875" style="122" customWidth="1"/>
    <col min="7967" max="7967" width="6.5703125" style="122" customWidth="1"/>
    <col min="7968" max="7968" width="3.28515625" style="122" customWidth="1"/>
    <col min="7969" max="7969" width="5.85546875" style="122" customWidth="1"/>
    <col min="7970" max="7970" width="6.5703125" style="122" customWidth="1"/>
    <col min="7971" max="7971" width="9.42578125" style="122" customWidth="1"/>
    <col min="7972" max="8174" width="9.140625" style="122"/>
    <col min="8175" max="8175" width="4.85546875" style="122" customWidth="1"/>
    <col min="8176" max="8176" width="5.140625" style="122" customWidth="1"/>
    <col min="8177" max="8177" width="13.7109375" style="122" customWidth="1"/>
    <col min="8178" max="8178" width="9.42578125" style="122" customWidth="1"/>
    <col min="8179" max="8179" width="7.85546875" style="122" bestFit="1" customWidth="1"/>
    <col min="8180" max="8180" width="9.42578125" style="122" customWidth="1"/>
    <col min="8181" max="8181" width="7.42578125" style="122" customWidth="1"/>
    <col min="8182" max="8182" width="7.85546875" style="122" customWidth="1"/>
    <col min="8183" max="8183" width="11" style="122" customWidth="1"/>
    <col min="8184" max="8184" width="7.5703125" style="122" customWidth="1"/>
    <col min="8185" max="8185" width="3.28515625" style="122" customWidth="1"/>
    <col min="8186" max="8186" width="5.85546875" style="122" customWidth="1"/>
    <col min="8187" max="8187" width="6.5703125" style="122" customWidth="1"/>
    <col min="8188" max="8188" width="3.28515625" style="122" customWidth="1"/>
    <col min="8189" max="8189" width="5.85546875" style="122" customWidth="1"/>
    <col min="8190" max="8190" width="6.5703125" style="122" customWidth="1"/>
    <col min="8191" max="8191" width="3.28515625" style="122" customWidth="1"/>
    <col min="8192" max="8192" width="5.85546875" style="122" customWidth="1"/>
    <col min="8193" max="8193" width="6.5703125" style="122" customWidth="1"/>
    <col min="8194" max="8194" width="3.28515625" style="122" customWidth="1"/>
    <col min="8195" max="8195" width="5.85546875" style="122" customWidth="1"/>
    <col min="8196" max="8196" width="6.5703125" style="122" customWidth="1"/>
    <col min="8197" max="8197" width="3.28515625" style="122" customWidth="1"/>
    <col min="8198" max="8198" width="5.85546875" style="122" customWidth="1"/>
    <col min="8199" max="8199" width="6.5703125" style="122" customWidth="1"/>
    <col min="8200" max="8200" width="3.28515625" style="122" customWidth="1"/>
    <col min="8201" max="8201" width="5.85546875" style="122" customWidth="1"/>
    <col min="8202" max="8202" width="6.5703125" style="122" customWidth="1"/>
    <col min="8203" max="8203" width="3.28515625" style="122" customWidth="1"/>
    <col min="8204" max="8204" width="5.85546875" style="122" customWidth="1"/>
    <col min="8205" max="8205" width="6.5703125" style="122" customWidth="1"/>
    <col min="8206" max="8206" width="3.28515625" style="122" customWidth="1"/>
    <col min="8207" max="8207" width="5.85546875" style="122" customWidth="1"/>
    <col min="8208" max="8208" width="6.5703125" style="122" customWidth="1"/>
    <col min="8209" max="8209" width="3.28515625" style="122" customWidth="1"/>
    <col min="8210" max="8210" width="5.85546875" style="122" customWidth="1"/>
    <col min="8211" max="8211" width="6.5703125" style="122" customWidth="1"/>
    <col min="8212" max="8212" width="3.28515625" style="122" customWidth="1"/>
    <col min="8213" max="8213" width="5.85546875" style="122" customWidth="1"/>
    <col min="8214" max="8214" width="6.5703125" style="122" customWidth="1"/>
    <col min="8215" max="8215" width="3.28515625" style="122" customWidth="1"/>
    <col min="8216" max="8216" width="5.85546875" style="122" customWidth="1"/>
    <col min="8217" max="8217" width="6.5703125" style="122" customWidth="1"/>
    <col min="8218" max="8218" width="3.28515625" style="122" customWidth="1"/>
    <col min="8219" max="8219" width="5.85546875" style="122" customWidth="1"/>
    <col min="8220" max="8220" width="6.5703125" style="122" customWidth="1"/>
    <col min="8221" max="8221" width="3.28515625" style="122" customWidth="1"/>
    <col min="8222" max="8222" width="5.85546875" style="122" customWidth="1"/>
    <col min="8223" max="8223" width="6.5703125" style="122" customWidth="1"/>
    <col min="8224" max="8224" width="3.28515625" style="122" customWidth="1"/>
    <col min="8225" max="8225" width="5.85546875" style="122" customWidth="1"/>
    <col min="8226" max="8226" width="6.5703125" style="122" customWidth="1"/>
    <col min="8227" max="8227" width="9.42578125" style="122" customWidth="1"/>
    <col min="8228" max="8430" width="9.140625" style="122"/>
    <col min="8431" max="8431" width="4.85546875" style="122" customWidth="1"/>
    <col min="8432" max="8432" width="5.140625" style="122" customWidth="1"/>
    <col min="8433" max="8433" width="13.7109375" style="122" customWidth="1"/>
    <col min="8434" max="8434" width="9.42578125" style="122" customWidth="1"/>
    <col min="8435" max="8435" width="7.85546875" style="122" bestFit="1" customWidth="1"/>
    <col min="8436" max="8436" width="9.42578125" style="122" customWidth="1"/>
    <col min="8437" max="8437" width="7.42578125" style="122" customWidth="1"/>
    <col min="8438" max="8438" width="7.85546875" style="122" customWidth="1"/>
    <col min="8439" max="8439" width="11" style="122" customWidth="1"/>
    <col min="8440" max="8440" width="7.5703125" style="122" customWidth="1"/>
    <col min="8441" max="8441" width="3.28515625" style="122" customWidth="1"/>
    <col min="8442" max="8442" width="5.85546875" style="122" customWidth="1"/>
    <col min="8443" max="8443" width="6.5703125" style="122" customWidth="1"/>
    <col min="8444" max="8444" width="3.28515625" style="122" customWidth="1"/>
    <col min="8445" max="8445" width="5.85546875" style="122" customWidth="1"/>
    <col min="8446" max="8446" width="6.5703125" style="122" customWidth="1"/>
    <col min="8447" max="8447" width="3.28515625" style="122" customWidth="1"/>
    <col min="8448" max="8448" width="5.85546875" style="122" customWidth="1"/>
    <col min="8449" max="8449" width="6.5703125" style="122" customWidth="1"/>
    <col min="8450" max="8450" width="3.28515625" style="122" customWidth="1"/>
    <col min="8451" max="8451" width="5.85546875" style="122" customWidth="1"/>
    <col min="8452" max="8452" width="6.5703125" style="122" customWidth="1"/>
    <col min="8453" max="8453" width="3.28515625" style="122" customWidth="1"/>
    <col min="8454" max="8454" width="5.85546875" style="122" customWidth="1"/>
    <col min="8455" max="8455" width="6.5703125" style="122" customWidth="1"/>
    <col min="8456" max="8456" width="3.28515625" style="122" customWidth="1"/>
    <col min="8457" max="8457" width="5.85546875" style="122" customWidth="1"/>
    <col min="8458" max="8458" width="6.5703125" style="122" customWidth="1"/>
    <col min="8459" max="8459" width="3.28515625" style="122" customWidth="1"/>
    <col min="8460" max="8460" width="5.85546875" style="122" customWidth="1"/>
    <col min="8461" max="8461" width="6.5703125" style="122" customWidth="1"/>
    <col min="8462" max="8462" width="3.28515625" style="122" customWidth="1"/>
    <col min="8463" max="8463" width="5.85546875" style="122" customWidth="1"/>
    <col min="8464" max="8464" width="6.5703125" style="122" customWidth="1"/>
    <col min="8465" max="8465" width="3.28515625" style="122" customWidth="1"/>
    <col min="8466" max="8466" width="5.85546875" style="122" customWidth="1"/>
    <col min="8467" max="8467" width="6.5703125" style="122" customWidth="1"/>
    <col min="8468" max="8468" width="3.28515625" style="122" customWidth="1"/>
    <col min="8469" max="8469" width="5.85546875" style="122" customWidth="1"/>
    <col min="8470" max="8470" width="6.5703125" style="122" customWidth="1"/>
    <col min="8471" max="8471" width="3.28515625" style="122" customWidth="1"/>
    <col min="8472" max="8472" width="5.85546875" style="122" customWidth="1"/>
    <col min="8473" max="8473" width="6.5703125" style="122" customWidth="1"/>
    <col min="8474" max="8474" width="3.28515625" style="122" customWidth="1"/>
    <col min="8475" max="8475" width="5.85546875" style="122" customWidth="1"/>
    <col min="8476" max="8476" width="6.5703125" style="122" customWidth="1"/>
    <col min="8477" max="8477" width="3.28515625" style="122" customWidth="1"/>
    <col min="8478" max="8478" width="5.85546875" style="122" customWidth="1"/>
    <col min="8479" max="8479" width="6.5703125" style="122" customWidth="1"/>
    <col min="8480" max="8480" width="3.28515625" style="122" customWidth="1"/>
    <col min="8481" max="8481" width="5.85546875" style="122" customWidth="1"/>
    <col min="8482" max="8482" width="6.5703125" style="122" customWidth="1"/>
    <col min="8483" max="8483" width="9.42578125" style="122" customWidth="1"/>
    <col min="8484" max="8686" width="9.140625" style="122"/>
    <col min="8687" max="8687" width="4.85546875" style="122" customWidth="1"/>
    <col min="8688" max="8688" width="5.140625" style="122" customWidth="1"/>
    <col min="8689" max="8689" width="13.7109375" style="122" customWidth="1"/>
    <col min="8690" max="8690" width="9.42578125" style="122" customWidth="1"/>
    <col min="8691" max="8691" width="7.85546875" style="122" bestFit="1" customWidth="1"/>
    <col min="8692" max="8692" width="9.42578125" style="122" customWidth="1"/>
    <col min="8693" max="8693" width="7.42578125" style="122" customWidth="1"/>
    <col min="8694" max="8694" width="7.85546875" style="122" customWidth="1"/>
    <col min="8695" max="8695" width="11" style="122" customWidth="1"/>
    <col min="8696" max="8696" width="7.5703125" style="122" customWidth="1"/>
    <col min="8697" max="8697" width="3.28515625" style="122" customWidth="1"/>
    <col min="8698" max="8698" width="5.85546875" style="122" customWidth="1"/>
    <col min="8699" max="8699" width="6.5703125" style="122" customWidth="1"/>
    <col min="8700" max="8700" width="3.28515625" style="122" customWidth="1"/>
    <col min="8701" max="8701" width="5.85546875" style="122" customWidth="1"/>
    <col min="8702" max="8702" width="6.5703125" style="122" customWidth="1"/>
    <col min="8703" max="8703" width="3.28515625" style="122" customWidth="1"/>
    <col min="8704" max="8704" width="5.85546875" style="122" customWidth="1"/>
    <col min="8705" max="8705" width="6.5703125" style="122" customWidth="1"/>
    <col min="8706" max="8706" width="3.28515625" style="122" customWidth="1"/>
    <col min="8707" max="8707" width="5.85546875" style="122" customWidth="1"/>
    <col min="8708" max="8708" width="6.5703125" style="122" customWidth="1"/>
    <col min="8709" max="8709" width="3.28515625" style="122" customWidth="1"/>
    <col min="8710" max="8710" width="5.85546875" style="122" customWidth="1"/>
    <col min="8711" max="8711" width="6.5703125" style="122" customWidth="1"/>
    <col min="8712" max="8712" width="3.28515625" style="122" customWidth="1"/>
    <col min="8713" max="8713" width="5.85546875" style="122" customWidth="1"/>
    <col min="8714" max="8714" width="6.5703125" style="122" customWidth="1"/>
    <col min="8715" max="8715" width="3.28515625" style="122" customWidth="1"/>
    <col min="8716" max="8716" width="5.85546875" style="122" customWidth="1"/>
    <col min="8717" max="8717" width="6.5703125" style="122" customWidth="1"/>
    <col min="8718" max="8718" width="3.28515625" style="122" customWidth="1"/>
    <col min="8719" max="8719" width="5.85546875" style="122" customWidth="1"/>
    <col min="8720" max="8720" width="6.5703125" style="122" customWidth="1"/>
    <col min="8721" max="8721" width="3.28515625" style="122" customWidth="1"/>
    <col min="8722" max="8722" width="5.85546875" style="122" customWidth="1"/>
    <col min="8723" max="8723" width="6.5703125" style="122" customWidth="1"/>
    <col min="8724" max="8724" width="3.28515625" style="122" customWidth="1"/>
    <col min="8725" max="8725" width="5.85546875" style="122" customWidth="1"/>
    <col min="8726" max="8726" width="6.5703125" style="122" customWidth="1"/>
    <col min="8727" max="8727" width="3.28515625" style="122" customWidth="1"/>
    <col min="8728" max="8728" width="5.85546875" style="122" customWidth="1"/>
    <col min="8729" max="8729" width="6.5703125" style="122" customWidth="1"/>
    <col min="8730" max="8730" width="3.28515625" style="122" customWidth="1"/>
    <col min="8731" max="8731" width="5.85546875" style="122" customWidth="1"/>
    <col min="8732" max="8732" width="6.5703125" style="122" customWidth="1"/>
    <col min="8733" max="8733" width="3.28515625" style="122" customWidth="1"/>
    <col min="8734" max="8734" width="5.85546875" style="122" customWidth="1"/>
    <col min="8735" max="8735" width="6.5703125" style="122" customWidth="1"/>
    <col min="8736" max="8736" width="3.28515625" style="122" customWidth="1"/>
    <col min="8737" max="8737" width="5.85546875" style="122" customWidth="1"/>
    <col min="8738" max="8738" width="6.5703125" style="122" customWidth="1"/>
    <col min="8739" max="8739" width="9.42578125" style="122" customWidth="1"/>
    <col min="8740" max="8942" width="9.140625" style="122"/>
    <col min="8943" max="8943" width="4.85546875" style="122" customWidth="1"/>
    <col min="8944" max="8944" width="5.140625" style="122" customWidth="1"/>
    <col min="8945" max="8945" width="13.7109375" style="122" customWidth="1"/>
    <col min="8946" max="8946" width="9.42578125" style="122" customWidth="1"/>
    <col min="8947" max="8947" width="7.85546875" style="122" bestFit="1" customWidth="1"/>
    <col min="8948" max="8948" width="9.42578125" style="122" customWidth="1"/>
    <col min="8949" max="8949" width="7.42578125" style="122" customWidth="1"/>
    <col min="8950" max="8950" width="7.85546875" style="122" customWidth="1"/>
    <col min="8951" max="8951" width="11" style="122" customWidth="1"/>
    <col min="8952" max="8952" width="7.5703125" style="122" customWidth="1"/>
    <col min="8953" max="8953" width="3.28515625" style="122" customWidth="1"/>
    <col min="8954" max="8954" width="5.85546875" style="122" customWidth="1"/>
    <col min="8955" max="8955" width="6.5703125" style="122" customWidth="1"/>
    <col min="8956" max="8956" width="3.28515625" style="122" customWidth="1"/>
    <col min="8957" max="8957" width="5.85546875" style="122" customWidth="1"/>
    <col min="8958" max="8958" width="6.5703125" style="122" customWidth="1"/>
    <col min="8959" max="8959" width="3.28515625" style="122" customWidth="1"/>
    <col min="8960" max="8960" width="5.85546875" style="122" customWidth="1"/>
    <col min="8961" max="8961" width="6.5703125" style="122" customWidth="1"/>
    <col min="8962" max="8962" width="3.28515625" style="122" customWidth="1"/>
    <col min="8963" max="8963" width="5.85546875" style="122" customWidth="1"/>
    <col min="8964" max="8964" width="6.5703125" style="122" customWidth="1"/>
    <col min="8965" max="8965" width="3.28515625" style="122" customWidth="1"/>
    <col min="8966" max="8966" width="5.85546875" style="122" customWidth="1"/>
    <col min="8967" max="8967" width="6.5703125" style="122" customWidth="1"/>
    <col min="8968" max="8968" width="3.28515625" style="122" customWidth="1"/>
    <col min="8969" max="8969" width="5.85546875" style="122" customWidth="1"/>
    <col min="8970" max="8970" width="6.5703125" style="122" customWidth="1"/>
    <col min="8971" max="8971" width="3.28515625" style="122" customWidth="1"/>
    <col min="8972" max="8972" width="5.85546875" style="122" customWidth="1"/>
    <col min="8973" max="8973" width="6.5703125" style="122" customWidth="1"/>
    <col min="8974" max="8974" width="3.28515625" style="122" customWidth="1"/>
    <col min="8975" max="8975" width="5.85546875" style="122" customWidth="1"/>
    <col min="8976" max="8976" width="6.5703125" style="122" customWidth="1"/>
    <col min="8977" max="8977" width="3.28515625" style="122" customWidth="1"/>
    <col min="8978" max="8978" width="5.85546875" style="122" customWidth="1"/>
    <col min="8979" max="8979" width="6.5703125" style="122" customWidth="1"/>
    <col min="8980" max="8980" width="3.28515625" style="122" customWidth="1"/>
    <col min="8981" max="8981" width="5.85546875" style="122" customWidth="1"/>
    <col min="8982" max="8982" width="6.5703125" style="122" customWidth="1"/>
    <col min="8983" max="8983" width="3.28515625" style="122" customWidth="1"/>
    <col min="8984" max="8984" width="5.85546875" style="122" customWidth="1"/>
    <col min="8985" max="8985" width="6.5703125" style="122" customWidth="1"/>
    <col min="8986" max="8986" width="3.28515625" style="122" customWidth="1"/>
    <col min="8987" max="8987" width="5.85546875" style="122" customWidth="1"/>
    <col min="8988" max="8988" width="6.5703125" style="122" customWidth="1"/>
    <col min="8989" max="8989" width="3.28515625" style="122" customWidth="1"/>
    <col min="8990" max="8990" width="5.85546875" style="122" customWidth="1"/>
    <col min="8991" max="8991" width="6.5703125" style="122" customWidth="1"/>
    <col min="8992" max="8992" width="3.28515625" style="122" customWidth="1"/>
    <col min="8993" max="8993" width="5.85546875" style="122" customWidth="1"/>
    <col min="8994" max="8994" width="6.5703125" style="122" customWidth="1"/>
    <col min="8995" max="8995" width="9.42578125" style="122" customWidth="1"/>
    <col min="8996" max="9198" width="9.140625" style="122"/>
    <col min="9199" max="9199" width="4.85546875" style="122" customWidth="1"/>
    <col min="9200" max="9200" width="5.140625" style="122" customWidth="1"/>
    <col min="9201" max="9201" width="13.7109375" style="122" customWidth="1"/>
    <col min="9202" max="9202" width="9.42578125" style="122" customWidth="1"/>
    <col min="9203" max="9203" width="7.85546875" style="122" bestFit="1" customWidth="1"/>
    <col min="9204" max="9204" width="9.42578125" style="122" customWidth="1"/>
    <col min="9205" max="9205" width="7.42578125" style="122" customWidth="1"/>
    <col min="9206" max="9206" width="7.85546875" style="122" customWidth="1"/>
    <col min="9207" max="9207" width="11" style="122" customWidth="1"/>
    <col min="9208" max="9208" width="7.5703125" style="122" customWidth="1"/>
    <col min="9209" max="9209" width="3.28515625" style="122" customWidth="1"/>
    <col min="9210" max="9210" width="5.85546875" style="122" customWidth="1"/>
    <col min="9211" max="9211" width="6.5703125" style="122" customWidth="1"/>
    <col min="9212" max="9212" width="3.28515625" style="122" customWidth="1"/>
    <col min="9213" max="9213" width="5.85546875" style="122" customWidth="1"/>
    <col min="9214" max="9214" width="6.5703125" style="122" customWidth="1"/>
    <col min="9215" max="9215" width="3.28515625" style="122" customWidth="1"/>
    <col min="9216" max="9216" width="5.85546875" style="122" customWidth="1"/>
    <col min="9217" max="9217" width="6.5703125" style="122" customWidth="1"/>
    <col min="9218" max="9218" width="3.28515625" style="122" customWidth="1"/>
    <col min="9219" max="9219" width="5.85546875" style="122" customWidth="1"/>
    <col min="9220" max="9220" width="6.5703125" style="122" customWidth="1"/>
    <col min="9221" max="9221" width="3.28515625" style="122" customWidth="1"/>
    <col min="9222" max="9222" width="5.85546875" style="122" customWidth="1"/>
    <col min="9223" max="9223" width="6.5703125" style="122" customWidth="1"/>
    <col min="9224" max="9224" width="3.28515625" style="122" customWidth="1"/>
    <col min="9225" max="9225" width="5.85546875" style="122" customWidth="1"/>
    <col min="9226" max="9226" width="6.5703125" style="122" customWidth="1"/>
    <col min="9227" max="9227" width="3.28515625" style="122" customWidth="1"/>
    <col min="9228" max="9228" width="5.85546875" style="122" customWidth="1"/>
    <col min="9229" max="9229" width="6.5703125" style="122" customWidth="1"/>
    <col min="9230" max="9230" width="3.28515625" style="122" customWidth="1"/>
    <col min="9231" max="9231" width="5.85546875" style="122" customWidth="1"/>
    <col min="9232" max="9232" width="6.5703125" style="122" customWidth="1"/>
    <col min="9233" max="9233" width="3.28515625" style="122" customWidth="1"/>
    <col min="9234" max="9234" width="5.85546875" style="122" customWidth="1"/>
    <col min="9235" max="9235" width="6.5703125" style="122" customWidth="1"/>
    <col min="9236" max="9236" width="3.28515625" style="122" customWidth="1"/>
    <col min="9237" max="9237" width="5.85546875" style="122" customWidth="1"/>
    <col min="9238" max="9238" width="6.5703125" style="122" customWidth="1"/>
    <col min="9239" max="9239" width="3.28515625" style="122" customWidth="1"/>
    <col min="9240" max="9240" width="5.85546875" style="122" customWidth="1"/>
    <col min="9241" max="9241" width="6.5703125" style="122" customWidth="1"/>
    <col min="9242" max="9242" width="3.28515625" style="122" customWidth="1"/>
    <col min="9243" max="9243" width="5.85546875" style="122" customWidth="1"/>
    <col min="9244" max="9244" width="6.5703125" style="122" customWidth="1"/>
    <col min="9245" max="9245" width="3.28515625" style="122" customWidth="1"/>
    <col min="9246" max="9246" width="5.85546875" style="122" customWidth="1"/>
    <col min="9247" max="9247" width="6.5703125" style="122" customWidth="1"/>
    <col min="9248" max="9248" width="3.28515625" style="122" customWidth="1"/>
    <col min="9249" max="9249" width="5.85546875" style="122" customWidth="1"/>
    <col min="9250" max="9250" width="6.5703125" style="122" customWidth="1"/>
    <col min="9251" max="9251" width="9.42578125" style="122" customWidth="1"/>
    <col min="9252" max="9454" width="9.140625" style="122"/>
    <col min="9455" max="9455" width="4.85546875" style="122" customWidth="1"/>
    <col min="9456" max="9456" width="5.140625" style="122" customWidth="1"/>
    <col min="9457" max="9457" width="13.7109375" style="122" customWidth="1"/>
    <col min="9458" max="9458" width="9.42578125" style="122" customWidth="1"/>
    <col min="9459" max="9459" width="7.85546875" style="122" bestFit="1" customWidth="1"/>
    <col min="9460" max="9460" width="9.42578125" style="122" customWidth="1"/>
    <col min="9461" max="9461" width="7.42578125" style="122" customWidth="1"/>
    <col min="9462" max="9462" width="7.85546875" style="122" customWidth="1"/>
    <col min="9463" max="9463" width="11" style="122" customWidth="1"/>
    <col min="9464" max="9464" width="7.5703125" style="122" customWidth="1"/>
    <col min="9465" max="9465" width="3.28515625" style="122" customWidth="1"/>
    <col min="9466" max="9466" width="5.85546875" style="122" customWidth="1"/>
    <col min="9467" max="9467" width="6.5703125" style="122" customWidth="1"/>
    <col min="9468" max="9468" width="3.28515625" style="122" customWidth="1"/>
    <col min="9469" max="9469" width="5.85546875" style="122" customWidth="1"/>
    <col min="9470" max="9470" width="6.5703125" style="122" customWidth="1"/>
    <col min="9471" max="9471" width="3.28515625" style="122" customWidth="1"/>
    <col min="9472" max="9472" width="5.85546875" style="122" customWidth="1"/>
    <col min="9473" max="9473" width="6.5703125" style="122" customWidth="1"/>
    <col min="9474" max="9474" width="3.28515625" style="122" customWidth="1"/>
    <col min="9475" max="9475" width="5.85546875" style="122" customWidth="1"/>
    <col min="9476" max="9476" width="6.5703125" style="122" customWidth="1"/>
    <col min="9477" max="9477" width="3.28515625" style="122" customWidth="1"/>
    <col min="9478" max="9478" width="5.85546875" style="122" customWidth="1"/>
    <col min="9479" max="9479" width="6.5703125" style="122" customWidth="1"/>
    <col min="9480" max="9480" width="3.28515625" style="122" customWidth="1"/>
    <col min="9481" max="9481" width="5.85546875" style="122" customWidth="1"/>
    <col min="9482" max="9482" width="6.5703125" style="122" customWidth="1"/>
    <col min="9483" max="9483" width="3.28515625" style="122" customWidth="1"/>
    <col min="9484" max="9484" width="5.85546875" style="122" customWidth="1"/>
    <col min="9485" max="9485" width="6.5703125" style="122" customWidth="1"/>
    <col min="9486" max="9486" width="3.28515625" style="122" customWidth="1"/>
    <col min="9487" max="9487" width="5.85546875" style="122" customWidth="1"/>
    <col min="9488" max="9488" width="6.5703125" style="122" customWidth="1"/>
    <col min="9489" max="9489" width="3.28515625" style="122" customWidth="1"/>
    <col min="9490" max="9490" width="5.85546875" style="122" customWidth="1"/>
    <col min="9491" max="9491" width="6.5703125" style="122" customWidth="1"/>
    <col min="9492" max="9492" width="3.28515625" style="122" customWidth="1"/>
    <col min="9493" max="9493" width="5.85546875" style="122" customWidth="1"/>
    <col min="9494" max="9494" width="6.5703125" style="122" customWidth="1"/>
    <col min="9495" max="9495" width="3.28515625" style="122" customWidth="1"/>
    <col min="9496" max="9496" width="5.85546875" style="122" customWidth="1"/>
    <col min="9497" max="9497" width="6.5703125" style="122" customWidth="1"/>
    <col min="9498" max="9498" width="3.28515625" style="122" customWidth="1"/>
    <col min="9499" max="9499" width="5.85546875" style="122" customWidth="1"/>
    <col min="9500" max="9500" width="6.5703125" style="122" customWidth="1"/>
    <col min="9501" max="9501" width="3.28515625" style="122" customWidth="1"/>
    <col min="9502" max="9502" width="5.85546875" style="122" customWidth="1"/>
    <col min="9503" max="9503" width="6.5703125" style="122" customWidth="1"/>
    <col min="9504" max="9504" width="3.28515625" style="122" customWidth="1"/>
    <col min="9505" max="9505" width="5.85546875" style="122" customWidth="1"/>
    <col min="9506" max="9506" width="6.5703125" style="122" customWidth="1"/>
    <col min="9507" max="9507" width="9.42578125" style="122" customWidth="1"/>
    <col min="9508" max="9710" width="9.140625" style="122"/>
    <col min="9711" max="9711" width="4.85546875" style="122" customWidth="1"/>
    <col min="9712" max="9712" width="5.140625" style="122" customWidth="1"/>
    <col min="9713" max="9713" width="13.7109375" style="122" customWidth="1"/>
    <col min="9714" max="9714" width="9.42578125" style="122" customWidth="1"/>
    <col min="9715" max="9715" width="7.85546875" style="122" bestFit="1" customWidth="1"/>
    <col min="9716" max="9716" width="9.42578125" style="122" customWidth="1"/>
    <col min="9717" max="9717" width="7.42578125" style="122" customWidth="1"/>
    <col min="9718" max="9718" width="7.85546875" style="122" customWidth="1"/>
    <col min="9719" max="9719" width="11" style="122" customWidth="1"/>
    <col min="9720" max="9720" width="7.5703125" style="122" customWidth="1"/>
    <col min="9721" max="9721" width="3.28515625" style="122" customWidth="1"/>
    <col min="9722" max="9722" width="5.85546875" style="122" customWidth="1"/>
    <col min="9723" max="9723" width="6.5703125" style="122" customWidth="1"/>
    <col min="9724" max="9724" width="3.28515625" style="122" customWidth="1"/>
    <col min="9725" max="9725" width="5.85546875" style="122" customWidth="1"/>
    <col min="9726" max="9726" width="6.5703125" style="122" customWidth="1"/>
    <col min="9727" max="9727" width="3.28515625" style="122" customWidth="1"/>
    <col min="9728" max="9728" width="5.85546875" style="122" customWidth="1"/>
    <col min="9729" max="9729" width="6.5703125" style="122" customWidth="1"/>
    <col min="9730" max="9730" width="3.28515625" style="122" customWidth="1"/>
    <col min="9731" max="9731" width="5.85546875" style="122" customWidth="1"/>
    <col min="9732" max="9732" width="6.5703125" style="122" customWidth="1"/>
    <col min="9733" max="9733" width="3.28515625" style="122" customWidth="1"/>
    <col min="9734" max="9734" width="5.85546875" style="122" customWidth="1"/>
    <col min="9735" max="9735" width="6.5703125" style="122" customWidth="1"/>
    <col min="9736" max="9736" width="3.28515625" style="122" customWidth="1"/>
    <col min="9737" max="9737" width="5.85546875" style="122" customWidth="1"/>
    <col min="9738" max="9738" width="6.5703125" style="122" customWidth="1"/>
    <col min="9739" max="9739" width="3.28515625" style="122" customWidth="1"/>
    <col min="9740" max="9740" width="5.85546875" style="122" customWidth="1"/>
    <col min="9741" max="9741" width="6.5703125" style="122" customWidth="1"/>
    <col min="9742" max="9742" width="3.28515625" style="122" customWidth="1"/>
    <col min="9743" max="9743" width="5.85546875" style="122" customWidth="1"/>
    <col min="9744" max="9744" width="6.5703125" style="122" customWidth="1"/>
    <col min="9745" max="9745" width="3.28515625" style="122" customWidth="1"/>
    <col min="9746" max="9746" width="5.85546875" style="122" customWidth="1"/>
    <col min="9747" max="9747" width="6.5703125" style="122" customWidth="1"/>
    <col min="9748" max="9748" width="3.28515625" style="122" customWidth="1"/>
    <col min="9749" max="9749" width="5.85546875" style="122" customWidth="1"/>
    <col min="9750" max="9750" width="6.5703125" style="122" customWidth="1"/>
    <col min="9751" max="9751" width="3.28515625" style="122" customWidth="1"/>
    <col min="9752" max="9752" width="5.85546875" style="122" customWidth="1"/>
    <col min="9753" max="9753" width="6.5703125" style="122" customWidth="1"/>
    <col min="9754" max="9754" width="3.28515625" style="122" customWidth="1"/>
    <col min="9755" max="9755" width="5.85546875" style="122" customWidth="1"/>
    <col min="9756" max="9756" width="6.5703125" style="122" customWidth="1"/>
    <col min="9757" max="9757" width="3.28515625" style="122" customWidth="1"/>
    <col min="9758" max="9758" width="5.85546875" style="122" customWidth="1"/>
    <col min="9759" max="9759" width="6.5703125" style="122" customWidth="1"/>
    <col min="9760" max="9760" width="3.28515625" style="122" customWidth="1"/>
    <col min="9761" max="9761" width="5.85546875" style="122" customWidth="1"/>
    <col min="9762" max="9762" width="6.5703125" style="122" customWidth="1"/>
    <col min="9763" max="9763" width="9.42578125" style="122" customWidth="1"/>
    <col min="9764" max="9966" width="9.140625" style="122"/>
    <col min="9967" max="9967" width="4.85546875" style="122" customWidth="1"/>
    <col min="9968" max="9968" width="5.140625" style="122" customWidth="1"/>
    <col min="9969" max="9969" width="13.7109375" style="122" customWidth="1"/>
    <col min="9970" max="9970" width="9.42578125" style="122" customWidth="1"/>
    <col min="9971" max="9971" width="7.85546875" style="122" bestFit="1" customWidth="1"/>
    <col min="9972" max="9972" width="9.42578125" style="122" customWidth="1"/>
    <col min="9973" max="9973" width="7.42578125" style="122" customWidth="1"/>
    <col min="9974" max="9974" width="7.85546875" style="122" customWidth="1"/>
    <col min="9975" max="9975" width="11" style="122" customWidth="1"/>
    <col min="9976" max="9976" width="7.5703125" style="122" customWidth="1"/>
    <col min="9977" max="9977" width="3.28515625" style="122" customWidth="1"/>
    <col min="9978" max="9978" width="5.85546875" style="122" customWidth="1"/>
    <col min="9979" max="9979" width="6.5703125" style="122" customWidth="1"/>
    <col min="9980" max="9980" width="3.28515625" style="122" customWidth="1"/>
    <col min="9981" max="9981" width="5.85546875" style="122" customWidth="1"/>
    <col min="9982" max="9982" width="6.5703125" style="122" customWidth="1"/>
    <col min="9983" max="9983" width="3.28515625" style="122" customWidth="1"/>
    <col min="9984" max="9984" width="5.85546875" style="122" customWidth="1"/>
    <col min="9985" max="9985" width="6.5703125" style="122" customWidth="1"/>
    <col min="9986" max="9986" width="3.28515625" style="122" customWidth="1"/>
    <col min="9987" max="9987" width="5.85546875" style="122" customWidth="1"/>
    <col min="9988" max="9988" width="6.5703125" style="122" customWidth="1"/>
    <col min="9989" max="9989" width="3.28515625" style="122" customWidth="1"/>
    <col min="9990" max="9990" width="5.85546875" style="122" customWidth="1"/>
    <col min="9991" max="9991" width="6.5703125" style="122" customWidth="1"/>
    <col min="9992" max="9992" width="3.28515625" style="122" customWidth="1"/>
    <col min="9993" max="9993" width="5.85546875" style="122" customWidth="1"/>
    <col min="9994" max="9994" width="6.5703125" style="122" customWidth="1"/>
    <col min="9995" max="9995" width="3.28515625" style="122" customWidth="1"/>
    <col min="9996" max="9996" width="5.85546875" style="122" customWidth="1"/>
    <col min="9997" max="9997" width="6.5703125" style="122" customWidth="1"/>
    <col min="9998" max="9998" width="3.28515625" style="122" customWidth="1"/>
    <col min="9999" max="9999" width="5.85546875" style="122" customWidth="1"/>
    <col min="10000" max="10000" width="6.5703125" style="122" customWidth="1"/>
    <col min="10001" max="10001" width="3.28515625" style="122" customWidth="1"/>
    <col min="10002" max="10002" width="5.85546875" style="122" customWidth="1"/>
    <col min="10003" max="10003" width="6.5703125" style="122" customWidth="1"/>
    <col min="10004" max="10004" width="3.28515625" style="122" customWidth="1"/>
    <col min="10005" max="10005" width="5.85546875" style="122" customWidth="1"/>
    <col min="10006" max="10006" width="6.5703125" style="122" customWidth="1"/>
    <col min="10007" max="10007" width="3.28515625" style="122" customWidth="1"/>
    <col min="10008" max="10008" width="5.85546875" style="122" customWidth="1"/>
    <col min="10009" max="10009" width="6.5703125" style="122" customWidth="1"/>
    <col min="10010" max="10010" width="3.28515625" style="122" customWidth="1"/>
    <col min="10011" max="10011" width="5.85546875" style="122" customWidth="1"/>
    <col min="10012" max="10012" width="6.5703125" style="122" customWidth="1"/>
    <col min="10013" max="10013" width="3.28515625" style="122" customWidth="1"/>
    <col min="10014" max="10014" width="5.85546875" style="122" customWidth="1"/>
    <col min="10015" max="10015" width="6.5703125" style="122" customWidth="1"/>
    <col min="10016" max="10016" width="3.28515625" style="122" customWidth="1"/>
    <col min="10017" max="10017" width="5.85546875" style="122" customWidth="1"/>
    <col min="10018" max="10018" width="6.5703125" style="122" customWidth="1"/>
    <col min="10019" max="10019" width="9.42578125" style="122" customWidth="1"/>
    <col min="10020" max="10222" width="9.140625" style="122"/>
    <col min="10223" max="10223" width="4.85546875" style="122" customWidth="1"/>
    <col min="10224" max="10224" width="5.140625" style="122" customWidth="1"/>
    <col min="10225" max="10225" width="13.7109375" style="122" customWidth="1"/>
    <col min="10226" max="10226" width="9.42578125" style="122" customWidth="1"/>
    <col min="10227" max="10227" width="7.85546875" style="122" bestFit="1" customWidth="1"/>
    <col min="10228" max="10228" width="9.42578125" style="122" customWidth="1"/>
    <col min="10229" max="10229" width="7.42578125" style="122" customWidth="1"/>
    <col min="10230" max="10230" width="7.85546875" style="122" customWidth="1"/>
    <col min="10231" max="10231" width="11" style="122" customWidth="1"/>
    <col min="10232" max="10232" width="7.5703125" style="122" customWidth="1"/>
    <col min="10233" max="10233" width="3.28515625" style="122" customWidth="1"/>
    <col min="10234" max="10234" width="5.85546875" style="122" customWidth="1"/>
    <col min="10235" max="10235" width="6.5703125" style="122" customWidth="1"/>
    <col min="10236" max="10236" width="3.28515625" style="122" customWidth="1"/>
    <col min="10237" max="10237" width="5.85546875" style="122" customWidth="1"/>
    <col min="10238" max="10238" width="6.5703125" style="122" customWidth="1"/>
    <col min="10239" max="10239" width="3.28515625" style="122" customWidth="1"/>
    <col min="10240" max="10240" width="5.85546875" style="122" customWidth="1"/>
    <col min="10241" max="10241" width="6.5703125" style="122" customWidth="1"/>
    <col min="10242" max="10242" width="3.28515625" style="122" customWidth="1"/>
    <col min="10243" max="10243" width="5.85546875" style="122" customWidth="1"/>
    <col min="10244" max="10244" width="6.5703125" style="122" customWidth="1"/>
    <col min="10245" max="10245" width="3.28515625" style="122" customWidth="1"/>
    <col min="10246" max="10246" width="5.85546875" style="122" customWidth="1"/>
    <col min="10247" max="10247" width="6.5703125" style="122" customWidth="1"/>
    <col min="10248" max="10248" width="3.28515625" style="122" customWidth="1"/>
    <col min="10249" max="10249" width="5.85546875" style="122" customWidth="1"/>
    <col min="10250" max="10250" width="6.5703125" style="122" customWidth="1"/>
    <col min="10251" max="10251" width="3.28515625" style="122" customWidth="1"/>
    <col min="10252" max="10252" width="5.85546875" style="122" customWidth="1"/>
    <col min="10253" max="10253" width="6.5703125" style="122" customWidth="1"/>
    <col min="10254" max="10254" width="3.28515625" style="122" customWidth="1"/>
    <col min="10255" max="10255" width="5.85546875" style="122" customWidth="1"/>
    <col min="10256" max="10256" width="6.5703125" style="122" customWidth="1"/>
    <col min="10257" max="10257" width="3.28515625" style="122" customWidth="1"/>
    <col min="10258" max="10258" width="5.85546875" style="122" customWidth="1"/>
    <col min="10259" max="10259" width="6.5703125" style="122" customWidth="1"/>
    <col min="10260" max="10260" width="3.28515625" style="122" customWidth="1"/>
    <col min="10261" max="10261" width="5.85546875" style="122" customWidth="1"/>
    <col min="10262" max="10262" width="6.5703125" style="122" customWidth="1"/>
    <col min="10263" max="10263" width="3.28515625" style="122" customWidth="1"/>
    <col min="10264" max="10264" width="5.85546875" style="122" customWidth="1"/>
    <col min="10265" max="10265" width="6.5703125" style="122" customWidth="1"/>
    <col min="10266" max="10266" width="3.28515625" style="122" customWidth="1"/>
    <col min="10267" max="10267" width="5.85546875" style="122" customWidth="1"/>
    <col min="10268" max="10268" width="6.5703125" style="122" customWidth="1"/>
    <col min="10269" max="10269" width="3.28515625" style="122" customWidth="1"/>
    <col min="10270" max="10270" width="5.85546875" style="122" customWidth="1"/>
    <col min="10271" max="10271" width="6.5703125" style="122" customWidth="1"/>
    <col min="10272" max="10272" width="3.28515625" style="122" customWidth="1"/>
    <col min="10273" max="10273" width="5.85546875" style="122" customWidth="1"/>
    <col min="10274" max="10274" width="6.5703125" style="122" customWidth="1"/>
    <col min="10275" max="10275" width="9.42578125" style="122" customWidth="1"/>
    <col min="10276" max="10478" width="9.140625" style="122"/>
    <col min="10479" max="10479" width="4.85546875" style="122" customWidth="1"/>
    <col min="10480" max="10480" width="5.140625" style="122" customWidth="1"/>
    <col min="10481" max="10481" width="13.7109375" style="122" customWidth="1"/>
    <col min="10482" max="10482" width="9.42578125" style="122" customWidth="1"/>
    <col min="10483" max="10483" width="7.85546875" style="122" bestFit="1" customWidth="1"/>
    <col min="10484" max="10484" width="9.42578125" style="122" customWidth="1"/>
    <col min="10485" max="10485" width="7.42578125" style="122" customWidth="1"/>
    <col min="10486" max="10486" width="7.85546875" style="122" customWidth="1"/>
    <col min="10487" max="10487" width="11" style="122" customWidth="1"/>
    <col min="10488" max="10488" width="7.5703125" style="122" customWidth="1"/>
    <col min="10489" max="10489" width="3.28515625" style="122" customWidth="1"/>
    <col min="10490" max="10490" width="5.85546875" style="122" customWidth="1"/>
    <col min="10491" max="10491" width="6.5703125" style="122" customWidth="1"/>
    <col min="10492" max="10492" width="3.28515625" style="122" customWidth="1"/>
    <col min="10493" max="10493" width="5.85546875" style="122" customWidth="1"/>
    <col min="10494" max="10494" width="6.5703125" style="122" customWidth="1"/>
    <col min="10495" max="10495" width="3.28515625" style="122" customWidth="1"/>
    <col min="10496" max="10496" width="5.85546875" style="122" customWidth="1"/>
    <col min="10497" max="10497" width="6.5703125" style="122" customWidth="1"/>
    <col min="10498" max="10498" width="3.28515625" style="122" customWidth="1"/>
    <col min="10499" max="10499" width="5.85546875" style="122" customWidth="1"/>
    <col min="10500" max="10500" width="6.5703125" style="122" customWidth="1"/>
    <col min="10501" max="10501" width="3.28515625" style="122" customWidth="1"/>
    <col min="10502" max="10502" width="5.85546875" style="122" customWidth="1"/>
    <col min="10503" max="10503" width="6.5703125" style="122" customWidth="1"/>
    <col min="10504" max="10504" width="3.28515625" style="122" customWidth="1"/>
    <col min="10505" max="10505" width="5.85546875" style="122" customWidth="1"/>
    <col min="10506" max="10506" width="6.5703125" style="122" customWidth="1"/>
    <col min="10507" max="10507" width="3.28515625" style="122" customWidth="1"/>
    <col min="10508" max="10508" width="5.85546875" style="122" customWidth="1"/>
    <col min="10509" max="10509" width="6.5703125" style="122" customWidth="1"/>
    <col min="10510" max="10510" width="3.28515625" style="122" customWidth="1"/>
    <col min="10511" max="10511" width="5.85546875" style="122" customWidth="1"/>
    <col min="10512" max="10512" width="6.5703125" style="122" customWidth="1"/>
    <col min="10513" max="10513" width="3.28515625" style="122" customWidth="1"/>
    <col min="10514" max="10514" width="5.85546875" style="122" customWidth="1"/>
    <col min="10515" max="10515" width="6.5703125" style="122" customWidth="1"/>
    <col min="10516" max="10516" width="3.28515625" style="122" customWidth="1"/>
    <col min="10517" max="10517" width="5.85546875" style="122" customWidth="1"/>
    <col min="10518" max="10518" width="6.5703125" style="122" customWidth="1"/>
    <col min="10519" max="10519" width="3.28515625" style="122" customWidth="1"/>
    <col min="10520" max="10520" width="5.85546875" style="122" customWidth="1"/>
    <col min="10521" max="10521" width="6.5703125" style="122" customWidth="1"/>
    <col min="10522" max="10522" width="3.28515625" style="122" customWidth="1"/>
    <col min="10523" max="10523" width="5.85546875" style="122" customWidth="1"/>
    <col min="10524" max="10524" width="6.5703125" style="122" customWidth="1"/>
    <col min="10525" max="10525" width="3.28515625" style="122" customWidth="1"/>
    <col min="10526" max="10526" width="5.85546875" style="122" customWidth="1"/>
    <col min="10527" max="10527" width="6.5703125" style="122" customWidth="1"/>
    <col min="10528" max="10528" width="3.28515625" style="122" customWidth="1"/>
    <col min="10529" max="10529" width="5.85546875" style="122" customWidth="1"/>
    <col min="10530" max="10530" width="6.5703125" style="122" customWidth="1"/>
    <col min="10531" max="10531" width="9.42578125" style="122" customWidth="1"/>
    <col min="10532" max="10734" width="9.140625" style="122"/>
    <col min="10735" max="10735" width="4.85546875" style="122" customWidth="1"/>
    <col min="10736" max="10736" width="5.140625" style="122" customWidth="1"/>
    <col min="10737" max="10737" width="13.7109375" style="122" customWidth="1"/>
    <col min="10738" max="10738" width="9.42578125" style="122" customWidth="1"/>
    <col min="10739" max="10739" width="7.85546875" style="122" bestFit="1" customWidth="1"/>
    <col min="10740" max="10740" width="9.42578125" style="122" customWidth="1"/>
    <col min="10741" max="10741" width="7.42578125" style="122" customWidth="1"/>
    <col min="10742" max="10742" width="7.85546875" style="122" customWidth="1"/>
    <col min="10743" max="10743" width="11" style="122" customWidth="1"/>
    <col min="10744" max="10744" width="7.5703125" style="122" customWidth="1"/>
    <col min="10745" max="10745" width="3.28515625" style="122" customWidth="1"/>
    <col min="10746" max="10746" width="5.85546875" style="122" customWidth="1"/>
    <col min="10747" max="10747" width="6.5703125" style="122" customWidth="1"/>
    <col min="10748" max="10748" width="3.28515625" style="122" customWidth="1"/>
    <col min="10749" max="10749" width="5.85546875" style="122" customWidth="1"/>
    <col min="10750" max="10750" width="6.5703125" style="122" customWidth="1"/>
    <col min="10751" max="10751" width="3.28515625" style="122" customWidth="1"/>
    <col min="10752" max="10752" width="5.85546875" style="122" customWidth="1"/>
    <col min="10753" max="10753" width="6.5703125" style="122" customWidth="1"/>
    <col min="10754" max="10754" width="3.28515625" style="122" customWidth="1"/>
    <col min="10755" max="10755" width="5.85546875" style="122" customWidth="1"/>
    <col min="10756" max="10756" width="6.5703125" style="122" customWidth="1"/>
    <col min="10757" max="10757" width="3.28515625" style="122" customWidth="1"/>
    <col min="10758" max="10758" width="5.85546875" style="122" customWidth="1"/>
    <col min="10759" max="10759" width="6.5703125" style="122" customWidth="1"/>
    <col min="10760" max="10760" width="3.28515625" style="122" customWidth="1"/>
    <col min="10761" max="10761" width="5.85546875" style="122" customWidth="1"/>
    <col min="10762" max="10762" width="6.5703125" style="122" customWidth="1"/>
    <col min="10763" max="10763" width="3.28515625" style="122" customWidth="1"/>
    <col min="10764" max="10764" width="5.85546875" style="122" customWidth="1"/>
    <col min="10765" max="10765" width="6.5703125" style="122" customWidth="1"/>
    <col min="10766" max="10766" width="3.28515625" style="122" customWidth="1"/>
    <col min="10767" max="10767" width="5.85546875" style="122" customWidth="1"/>
    <col min="10768" max="10768" width="6.5703125" style="122" customWidth="1"/>
    <col min="10769" max="10769" width="3.28515625" style="122" customWidth="1"/>
    <col min="10770" max="10770" width="5.85546875" style="122" customWidth="1"/>
    <col min="10771" max="10771" width="6.5703125" style="122" customWidth="1"/>
    <col min="10772" max="10772" width="3.28515625" style="122" customWidth="1"/>
    <col min="10773" max="10773" width="5.85546875" style="122" customWidth="1"/>
    <col min="10774" max="10774" width="6.5703125" style="122" customWidth="1"/>
    <col min="10775" max="10775" width="3.28515625" style="122" customWidth="1"/>
    <col min="10776" max="10776" width="5.85546875" style="122" customWidth="1"/>
    <col min="10777" max="10777" width="6.5703125" style="122" customWidth="1"/>
    <col min="10778" max="10778" width="3.28515625" style="122" customWidth="1"/>
    <col min="10779" max="10779" width="5.85546875" style="122" customWidth="1"/>
    <col min="10780" max="10780" width="6.5703125" style="122" customWidth="1"/>
    <col min="10781" max="10781" width="3.28515625" style="122" customWidth="1"/>
    <col min="10782" max="10782" width="5.85546875" style="122" customWidth="1"/>
    <col min="10783" max="10783" width="6.5703125" style="122" customWidth="1"/>
    <col min="10784" max="10784" width="3.28515625" style="122" customWidth="1"/>
    <col min="10785" max="10785" width="5.85546875" style="122" customWidth="1"/>
    <col min="10786" max="10786" width="6.5703125" style="122" customWidth="1"/>
    <col min="10787" max="10787" width="9.42578125" style="122" customWidth="1"/>
    <col min="10788" max="10990" width="9.140625" style="122"/>
    <col min="10991" max="10991" width="4.85546875" style="122" customWidth="1"/>
    <col min="10992" max="10992" width="5.140625" style="122" customWidth="1"/>
    <col min="10993" max="10993" width="13.7109375" style="122" customWidth="1"/>
    <col min="10994" max="10994" width="9.42578125" style="122" customWidth="1"/>
    <col min="10995" max="10995" width="7.85546875" style="122" bestFit="1" customWidth="1"/>
    <col min="10996" max="10996" width="9.42578125" style="122" customWidth="1"/>
    <col min="10997" max="10997" width="7.42578125" style="122" customWidth="1"/>
    <col min="10998" max="10998" width="7.85546875" style="122" customWidth="1"/>
    <col min="10999" max="10999" width="11" style="122" customWidth="1"/>
    <col min="11000" max="11000" width="7.5703125" style="122" customWidth="1"/>
    <col min="11001" max="11001" width="3.28515625" style="122" customWidth="1"/>
    <col min="11002" max="11002" width="5.85546875" style="122" customWidth="1"/>
    <col min="11003" max="11003" width="6.5703125" style="122" customWidth="1"/>
    <col min="11004" max="11004" width="3.28515625" style="122" customWidth="1"/>
    <col min="11005" max="11005" width="5.85546875" style="122" customWidth="1"/>
    <col min="11006" max="11006" width="6.5703125" style="122" customWidth="1"/>
    <col min="11007" max="11007" width="3.28515625" style="122" customWidth="1"/>
    <col min="11008" max="11008" width="5.85546875" style="122" customWidth="1"/>
    <col min="11009" max="11009" width="6.5703125" style="122" customWidth="1"/>
    <col min="11010" max="11010" width="3.28515625" style="122" customWidth="1"/>
    <col min="11011" max="11011" width="5.85546875" style="122" customWidth="1"/>
    <col min="11012" max="11012" width="6.5703125" style="122" customWidth="1"/>
    <col min="11013" max="11013" width="3.28515625" style="122" customWidth="1"/>
    <col min="11014" max="11014" width="5.85546875" style="122" customWidth="1"/>
    <col min="11015" max="11015" width="6.5703125" style="122" customWidth="1"/>
    <col min="11016" max="11016" width="3.28515625" style="122" customWidth="1"/>
    <col min="11017" max="11017" width="5.85546875" style="122" customWidth="1"/>
    <col min="11018" max="11018" width="6.5703125" style="122" customWidth="1"/>
    <col min="11019" max="11019" width="3.28515625" style="122" customWidth="1"/>
    <col min="11020" max="11020" width="5.85546875" style="122" customWidth="1"/>
    <col min="11021" max="11021" width="6.5703125" style="122" customWidth="1"/>
    <col min="11022" max="11022" width="3.28515625" style="122" customWidth="1"/>
    <col min="11023" max="11023" width="5.85546875" style="122" customWidth="1"/>
    <col min="11024" max="11024" width="6.5703125" style="122" customWidth="1"/>
    <col min="11025" max="11025" width="3.28515625" style="122" customWidth="1"/>
    <col min="11026" max="11026" width="5.85546875" style="122" customWidth="1"/>
    <col min="11027" max="11027" width="6.5703125" style="122" customWidth="1"/>
    <col min="11028" max="11028" width="3.28515625" style="122" customWidth="1"/>
    <col min="11029" max="11029" width="5.85546875" style="122" customWidth="1"/>
    <col min="11030" max="11030" width="6.5703125" style="122" customWidth="1"/>
    <col min="11031" max="11031" width="3.28515625" style="122" customWidth="1"/>
    <col min="11032" max="11032" width="5.85546875" style="122" customWidth="1"/>
    <col min="11033" max="11033" width="6.5703125" style="122" customWidth="1"/>
    <col min="11034" max="11034" width="3.28515625" style="122" customWidth="1"/>
    <col min="11035" max="11035" width="5.85546875" style="122" customWidth="1"/>
    <col min="11036" max="11036" width="6.5703125" style="122" customWidth="1"/>
    <col min="11037" max="11037" width="3.28515625" style="122" customWidth="1"/>
    <col min="11038" max="11038" width="5.85546875" style="122" customWidth="1"/>
    <col min="11039" max="11039" width="6.5703125" style="122" customWidth="1"/>
    <col min="11040" max="11040" width="3.28515625" style="122" customWidth="1"/>
    <col min="11041" max="11041" width="5.85546875" style="122" customWidth="1"/>
    <col min="11042" max="11042" width="6.5703125" style="122" customWidth="1"/>
    <col min="11043" max="11043" width="9.42578125" style="122" customWidth="1"/>
    <col min="11044" max="11246" width="9.140625" style="122"/>
    <col min="11247" max="11247" width="4.85546875" style="122" customWidth="1"/>
    <col min="11248" max="11248" width="5.140625" style="122" customWidth="1"/>
    <col min="11249" max="11249" width="13.7109375" style="122" customWidth="1"/>
    <col min="11250" max="11250" width="9.42578125" style="122" customWidth="1"/>
    <col min="11251" max="11251" width="7.85546875" style="122" bestFit="1" customWidth="1"/>
    <col min="11252" max="11252" width="9.42578125" style="122" customWidth="1"/>
    <col min="11253" max="11253" width="7.42578125" style="122" customWidth="1"/>
    <col min="11254" max="11254" width="7.85546875" style="122" customWidth="1"/>
    <col min="11255" max="11255" width="11" style="122" customWidth="1"/>
    <col min="11256" max="11256" width="7.5703125" style="122" customWidth="1"/>
    <col min="11257" max="11257" width="3.28515625" style="122" customWidth="1"/>
    <col min="11258" max="11258" width="5.85546875" style="122" customWidth="1"/>
    <col min="11259" max="11259" width="6.5703125" style="122" customWidth="1"/>
    <col min="11260" max="11260" width="3.28515625" style="122" customWidth="1"/>
    <col min="11261" max="11261" width="5.85546875" style="122" customWidth="1"/>
    <col min="11262" max="11262" width="6.5703125" style="122" customWidth="1"/>
    <col min="11263" max="11263" width="3.28515625" style="122" customWidth="1"/>
    <col min="11264" max="11264" width="5.85546875" style="122" customWidth="1"/>
    <col min="11265" max="11265" width="6.5703125" style="122" customWidth="1"/>
    <col min="11266" max="11266" width="3.28515625" style="122" customWidth="1"/>
    <col min="11267" max="11267" width="5.85546875" style="122" customWidth="1"/>
    <col min="11268" max="11268" width="6.5703125" style="122" customWidth="1"/>
    <col min="11269" max="11269" width="3.28515625" style="122" customWidth="1"/>
    <col min="11270" max="11270" width="5.85546875" style="122" customWidth="1"/>
    <col min="11271" max="11271" width="6.5703125" style="122" customWidth="1"/>
    <col min="11272" max="11272" width="3.28515625" style="122" customWidth="1"/>
    <col min="11273" max="11273" width="5.85546875" style="122" customWidth="1"/>
    <col min="11274" max="11274" width="6.5703125" style="122" customWidth="1"/>
    <col min="11275" max="11275" width="3.28515625" style="122" customWidth="1"/>
    <col min="11276" max="11276" width="5.85546875" style="122" customWidth="1"/>
    <col min="11277" max="11277" width="6.5703125" style="122" customWidth="1"/>
    <col min="11278" max="11278" width="3.28515625" style="122" customWidth="1"/>
    <col min="11279" max="11279" width="5.85546875" style="122" customWidth="1"/>
    <col min="11280" max="11280" width="6.5703125" style="122" customWidth="1"/>
    <col min="11281" max="11281" width="3.28515625" style="122" customWidth="1"/>
    <col min="11282" max="11282" width="5.85546875" style="122" customWidth="1"/>
    <col min="11283" max="11283" width="6.5703125" style="122" customWidth="1"/>
    <col min="11284" max="11284" width="3.28515625" style="122" customWidth="1"/>
    <col min="11285" max="11285" width="5.85546875" style="122" customWidth="1"/>
    <col min="11286" max="11286" width="6.5703125" style="122" customWidth="1"/>
    <col min="11287" max="11287" width="3.28515625" style="122" customWidth="1"/>
    <col min="11288" max="11288" width="5.85546875" style="122" customWidth="1"/>
    <col min="11289" max="11289" width="6.5703125" style="122" customWidth="1"/>
    <col min="11290" max="11290" width="3.28515625" style="122" customWidth="1"/>
    <col min="11291" max="11291" width="5.85546875" style="122" customWidth="1"/>
    <col min="11292" max="11292" width="6.5703125" style="122" customWidth="1"/>
    <col min="11293" max="11293" width="3.28515625" style="122" customWidth="1"/>
    <col min="11294" max="11294" width="5.85546875" style="122" customWidth="1"/>
    <col min="11295" max="11295" width="6.5703125" style="122" customWidth="1"/>
    <col min="11296" max="11296" width="3.28515625" style="122" customWidth="1"/>
    <col min="11297" max="11297" width="5.85546875" style="122" customWidth="1"/>
    <col min="11298" max="11298" width="6.5703125" style="122" customWidth="1"/>
    <col min="11299" max="11299" width="9.42578125" style="122" customWidth="1"/>
    <col min="11300" max="11502" width="9.140625" style="122"/>
    <col min="11503" max="11503" width="4.85546875" style="122" customWidth="1"/>
    <col min="11504" max="11504" width="5.140625" style="122" customWidth="1"/>
    <col min="11505" max="11505" width="13.7109375" style="122" customWidth="1"/>
    <col min="11506" max="11506" width="9.42578125" style="122" customWidth="1"/>
    <col min="11507" max="11507" width="7.85546875" style="122" bestFit="1" customWidth="1"/>
    <col min="11508" max="11508" width="9.42578125" style="122" customWidth="1"/>
    <col min="11509" max="11509" width="7.42578125" style="122" customWidth="1"/>
    <col min="11510" max="11510" width="7.85546875" style="122" customWidth="1"/>
    <col min="11511" max="11511" width="11" style="122" customWidth="1"/>
    <col min="11512" max="11512" width="7.5703125" style="122" customWidth="1"/>
    <col min="11513" max="11513" width="3.28515625" style="122" customWidth="1"/>
    <col min="11514" max="11514" width="5.85546875" style="122" customWidth="1"/>
    <col min="11515" max="11515" width="6.5703125" style="122" customWidth="1"/>
    <col min="11516" max="11516" width="3.28515625" style="122" customWidth="1"/>
    <col min="11517" max="11517" width="5.85546875" style="122" customWidth="1"/>
    <col min="11518" max="11518" width="6.5703125" style="122" customWidth="1"/>
    <col min="11519" max="11519" width="3.28515625" style="122" customWidth="1"/>
    <col min="11520" max="11520" width="5.85546875" style="122" customWidth="1"/>
    <col min="11521" max="11521" width="6.5703125" style="122" customWidth="1"/>
    <col min="11522" max="11522" width="3.28515625" style="122" customWidth="1"/>
    <col min="11523" max="11523" width="5.85546875" style="122" customWidth="1"/>
    <col min="11524" max="11524" width="6.5703125" style="122" customWidth="1"/>
    <col min="11525" max="11525" width="3.28515625" style="122" customWidth="1"/>
    <col min="11526" max="11526" width="5.85546875" style="122" customWidth="1"/>
    <col min="11527" max="11527" width="6.5703125" style="122" customWidth="1"/>
    <col min="11528" max="11528" width="3.28515625" style="122" customWidth="1"/>
    <col min="11529" max="11529" width="5.85546875" style="122" customWidth="1"/>
    <col min="11530" max="11530" width="6.5703125" style="122" customWidth="1"/>
    <col min="11531" max="11531" width="3.28515625" style="122" customWidth="1"/>
    <col min="11532" max="11532" width="5.85546875" style="122" customWidth="1"/>
    <col min="11533" max="11533" width="6.5703125" style="122" customWidth="1"/>
    <col min="11534" max="11534" width="3.28515625" style="122" customWidth="1"/>
    <col min="11535" max="11535" width="5.85546875" style="122" customWidth="1"/>
    <col min="11536" max="11536" width="6.5703125" style="122" customWidth="1"/>
    <col min="11537" max="11537" width="3.28515625" style="122" customWidth="1"/>
    <col min="11538" max="11538" width="5.85546875" style="122" customWidth="1"/>
    <col min="11539" max="11539" width="6.5703125" style="122" customWidth="1"/>
    <col min="11540" max="11540" width="3.28515625" style="122" customWidth="1"/>
    <col min="11541" max="11541" width="5.85546875" style="122" customWidth="1"/>
    <col min="11542" max="11542" width="6.5703125" style="122" customWidth="1"/>
    <col min="11543" max="11543" width="3.28515625" style="122" customWidth="1"/>
    <col min="11544" max="11544" width="5.85546875" style="122" customWidth="1"/>
    <col min="11545" max="11545" width="6.5703125" style="122" customWidth="1"/>
    <col min="11546" max="11546" width="3.28515625" style="122" customWidth="1"/>
    <col min="11547" max="11547" width="5.85546875" style="122" customWidth="1"/>
    <col min="11548" max="11548" width="6.5703125" style="122" customWidth="1"/>
    <col min="11549" max="11549" width="3.28515625" style="122" customWidth="1"/>
    <col min="11550" max="11550" width="5.85546875" style="122" customWidth="1"/>
    <col min="11551" max="11551" width="6.5703125" style="122" customWidth="1"/>
    <col min="11552" max="11552" width="3.28515625" style="122" customWidth="1"/>
    <col min="11553" max="11553" width="5.85546875" style="122" customWidth="1"/>
    <col min="11554" max="11554" width="6.5703125" style="122" customWidth="1"/>
    <col min="11555" max="11555" width="9.42578125" style="122" customWidth="1"/>
    <col min="11556" max="11758" width="9.140625" style="122"/>
    <col min="11759" max="11759" width="4.85546875" style="122" customWidth="1"/>
    <col min="11760" max="11760" width="5.140625" style="122" customWidth="1"/>
    <col min="11761" max="11761" width="13.7109375" style="122" customWidth="1"/>
    <col min="11762" max="11762" width="9.42578125" style="122" customWidth="1"/>
    <col min="11763" max="11763" width="7.85546875" style="122" bestFit="1" customWidth="1"/>
    <col min="11764" max="11764" width="9.42578125" style="122" customWidth="1"/>
    <col min="11765" max="11765" width="7.42578125" style="122" customWidth="1"/>
    <col min="11766" max="11766" width="7.85546875" style="122" customWidth="1"/>
    <col min="11767" max="11767" width="11" style="122" customWidth="1"/>
    <col min="11768" max="11768" width="7.5703125" style="122" customWidth="1"/>
    <col min="11769" max="11769" width="3.28515625" style="122" customWidth="1"/>
    <col min="11770" max="11770" width="5.85546875" style="122" customWidth="1"/>
    <col min="11771" max="11771" width="6.5703125" style="122" customWidth="1"/>
    <col min="11772" max="11772" width="3.28515625" style="122" customWidth="1"/>
    <col min="11773" max="11773" width="5.85546875" style="122" customWidth="1"/>
    <col min="11774" max="11774" width="6.5703125" style="122" customWidth="1"/>
    <col min="11775" max="11775" width="3.28515625" style="122" customWidth="1"/>
    <col min="11776" max="11776" width="5.85546875" style="122" customWidth="1"/>
    <col min="11777" max="11777" width="6.5703125" style="122" customWidth="1"/>
    <col min="11778" max="11778" width="3.28515625" style="122" customWidth="1"/>
    <col min="11779" max="11779" width="5.85546875" style="122" customWidth="1"/>
    <col min="11780" max="11780" width="6.5703125" style="122" customWidth="1"/>
    <col min="11781" max="11781" width="3.28515625" style="122" customWidth="1"/>
    <col min="11782" max="11782" width="5.85546875" style="122" customWidth="1"/>
    <col min="11783" max="11783" width="6.5703125" style="122" customWidth="1"/>
    <col min="11784" max="11784" width="3.28515625" style="122" customWidth="1"/>
    <col min="11785" max="11785" width="5.85546875" style="122" customWidth="1"/>
    <col min="11786" max="11786" width="6.5703125" style="122" customWidth="1"/>
    <col min="11787" max="11787" width="3.28515625" style="122" customWidth="1"/>
    <col min="11788" max="11788" width="5.85546875" style="122" customWidth="1"/>
    <col min="11789" max="11789" width="6.5703125" style="122" customWidth="1"/>
    <col min="11790" max="11790" width="3.28515625" style="122" customWidth="1"/>
    <col min="11791" max="11791" width="5.85546875" style="122" customWidth="1"/>
    <col min="11792" max="11792" width="6.5703125" style="122" customWidth="1"/>
    <col min="11793" max="11793" width="3.28515625" style="122" customWidth="1"/>
    <col min="11794" max="11794" width="5.85546875" style="122" customWidth="1"/>
    <col min="11795" max="11795" width="6.5703125" style="122" customWidth="1"/>
    <col min="11796" max="11796" width="3.28515625" style="122" customWidth="1"/>
    <col min="11797" max="11797" width="5.85546875" style="122" customWidth="1"/>
    <col min="11798" max="11798" width="6.5703125" style="122" customWidth="1"/>
    <col min="11799" max="11799" width="3.28515625" style="122" customWidth="1"/>
    <col min="11800" max="11800" width="5.85546875" style="122" customWidth="1"/>
    <col min="11801" max="11801" width="6.5703125" style="122" customWidth="1"/>
    <col min="11802" max="11802" width="3.28515625" style="122" customWidth="1"/>
    <col min="11803" max="11803" width="5.85546875" style="122" customWidth="1"/>
    <col min="11804" max="11804" width="6.5703125" style="122" customWidth="1"/>
    <col min="11805" max="11805" width="3.28515625" style="122" customWidth="1"/>
    <col min="11806" max="11806" width="5.85546875" style="122" customWidth="1"/>
    <col min="11807" max="11807" width="6.5703125" style="122" customWidth="1"/>
    <col min="11808" max="11808" width="3.28515625" style="122" customWidth="1"/>
    <col min="11809" max="11809" width="5.85546875" style="122" customWidth="1"/>
    <col min="11810" max="11810" width="6.5703125" style="122" customWidth="1"/>
    <col min="11811" max="11811" width="9.42578125" style="122" customWidth="1"/>
    <col min="11812" max="12014" width="9.140625" style="122"/>
    <col min="12015" max="12015" width="4.85546875" style="122" customWidth="1"/>
    <col min="12016" max="12016" width="5.140625" style="122" customWidth="1"/>
    <col min="12017" max="12017" width="13.7109375" style="122" customWidth="1"/>
    <col min="12018" max="12018" width="9.42578125" style="122" customWidth="1"/>
    <col min="12019" max="12019" width="7.85546875" style="122" bestFit="1" customWidth="1"/>
    <col min="12020" max="12020" width="9.42578125" style="122" customWidth="1"/>
    <col min="12021" max="12021" width="7.42578125" style="122" customWidth="1"/>
    <col min="12022" max="12022" width="7.85546875" style="122" customWidth="1"/>
    <col min="12023" max="12023" width="11" style="122" customWidth="1"/>
    <col min="12024" max="12024" width="7.5703125" style="122" customWidth="1"/>
    <col min="12025" max="12025" width="3.28515625" style="122" customWidth="1"/>
    <col min="12026" max="12026" width="5.85546875" style="122" customWidth="1"/>
    <col min="12027" max="12027" width="6.5703125" style="122" customWidth="1"/>
    <col min="12028" max="12028" width="3.28515625" style="122" customWidth="1"/>
    <col min="12029" max="12029" width="5.85546875" style="122" customWidth="1"/>
    <col min="12030" max="12030" width="6.5703125" style="122" customWidth="1"/>
    <col min="12031" max="12031" width="3.28515625" style="122" customWidth="1"/>
    <col min="12032" max="12032" width="5.85546875" style="122" customWidth="1"/>
    <col min="12033" max="12033" width="6.5703125" style="122" customWidth="1"/>
    <col min="12034" max="12034" width="3.28515625" style="122" customWidth="1"/>
    <col min="12035" max="12035" width="5.85546875" style="122" customWidth="1"/>
    <col min="12036" max="12036" width="6.5703125" style="122" customWidth="1"/>
    <col min="12037" max="12037" width="3.28515625" style="122" customWidth="1"/>
    <col min="12038" max="12038" width="5.85546875" style="122" customWidth="1"/>
    <col min="12039" max="12039" width="6.5703125" style="122" customWidth="1"/>
    <col min="12040" max="12040" width="3.28515625" style="122" customWidth="1"/>
    <col min="12041" max="12041" width="5.85546875" style="122" customWidth="1"/>
    <col min="12042" max="12042" width="6.5703125" style="122" customWidth="1"/>
    <col min="12043" max="12043" width="3.28515625" style="122" customWidth="1"/>
    <col min="12044" max="12044" width="5.85546875" style="122" customWidth="1"/>
    <col min="12045" max="12045" width="6.5703125" style="122" customWidth="1"/>
    <col min="12046" max="12046" width="3.28515625" style="122" customWidth="1"/>
    <col min="12047" max="12047" width="5.85546875" style="122" customWidth="1"/>
    <col min="12048" max="12048" width="6.5703125" style="122" customWidth="1"/>
    <col min="12049" max="12049" width="3.28515625" style="122" customWidth="1"/>
    <col min="12050" max="12050" width="5.85546875" style="122" customWidth="1"/>
    <col min="12051" max="12051" width="6.5703125" style="122" customWidth="1"/>
    <col min="12052" max="12052" width="3.28515625" style="122" customWidth="1"/>
    <col min="12053" max="12053" width="5.85546875" style="122" customWidth="1"/>
    <col min="12054" max="12054" width="6.5703125" style="122" customWidth="1"/>
    <col min="12055" max="12055" width="3.28515625" style="122" customWidth="1"/>
    <col min="12056" max="12056" width="5.85546875" style="122" customWidth="1"/>
    <col min="12057" max="12057" width="6.5703125" style="122" customWidth="1"/>
    <col min="12058" max="12058" width="3.28515625" style="122" customWidth="1"/>
    <col min="12059" max="12059" width="5.85546875" style="122" customWidth="1"/>
    <col min="12060" max="12060" width="6.5703125" style="122" customWidth="1"/>
    <col min="12061" max="12061" width="3.28515625" style="122" customWidth="1"/>
    <col min="12062" max="12062" width="5.85546875" style="122" customWidth="1"/>
    <col min="12063" max="12063" width="6.5703125" style="122" customWidth="1"/>
    <col min="12064" max="12064" width="3.28515625" style="122" customWidth="1"/>
    <col min="12065" max="12065" width="5.85546875" style="122" customWidth="1"/>
    <col min="12066" max="12066" width="6.5703125" style="122" customWidth="1"/>
    <col min="12067" max="12067" width="9.42578125" style="122" customWidth="1"/>
    <col min="12068" max="12270" width="9.140625" style="122"/>
    <col min="12271" max="12271" width="4.85546875" style="122" customWidth="1"/>
    <col min="12272" max="12272" width="5.140625" style="122" customWidth="1"/>
    <col min="12273" max="12273" width="13.7109375" style="122" customWidth="1"/>
    <col min="12274" max="12274" width="9.42578125" style="122" customWidth="1"/>
    <col min="12275" max="12275" width="7.85546875" style="122" bestFit="1" customWidth="1"/>
    <col min="12276" max="12276" width="9.42578125" style="122" customWidth="1"/>
    <col min="12277" max="12277" width="7.42578125" style="122" customWidth="1"/>
    <col min="12278" max="12278" width="7.85546875" style="122" customWidth="1"/>
    <col min="12279" max="12279" width="11" style="122" customWidth="1"/>
    <col min="12280" max="12280" width="7.5703125" style="122" customWidth="1"/>
    <col min="12281" max="12281" width="3.28515625" style="122" customWidth="1"/>
    <col min="12282" max="12282" width="5.85546875" style="122" customWidth="1"/>
    <col min="12283" max="12283" width="6.5703125" style="122" customWidth="1"/>
    <col min="12284" max="12284" width="3.28515625" style="122" customWidth="1"/>
    <col min="12285" max="12285" width="5.85546875" style="122" customWidth="1"/>
    <col min="12286" max="12286" width="6.5703125" style="122" customWidth="1"/>
    <col min="12287" max="12287" width="3.28515625" style="122" customWidth="1"/>
    <col min="12288" max="12288" width="5.85546875" style="122" customWidth="1"/>
    <col min="12289" max="12289" width="6.5703125" style="122" customWidth="1"/>
    <col min="12290" max="12290" width="3.28515625" style="122" customWidth="1"/>
    <col min="12291" max="12291" width="5.85546875" style="122" customWidth="1"/>
    <col min="12292" max="12292" width="6.5703125" style="122" customWidth="1"/>
    <col min="12293" max="12293" width="3.28515625" style="122" customWidth="1"/>
    <col min="12294" max="12294" width="5.85546875" style="122" customWidth="1"/>
    <col min="12295" max="12295" width="6.5703125" style="122" customWidth="1"/>
    <col min="12296" max="12296" width="3.28515625" style="122" customWidth="1"/>
    <col min="12297" max="12297" width="5.85546875" style="122" customWidth="1"/>
    <col min="12298" max="12298" width="6.5703125" style="122" customWidth="1"/>
    <col min="12299" max="12299" width="3.28515625" style="122" customWidth="1"/>
    <col min="12300" max="12300" width="5.85546875" style="122" customWidth="1"/>
    <col min="12301" max="12301" width="6.5703125" style="122" customWidth="1"/>
    <col min="12302" max="12302" width="3.28515625" style="122" customWidth="1"/>
    <col min="12303" max="12303" width="5.85546875" style="122" customWidth="1"/>
    <col min="12304" max="12304" width="6.5703125" style="122" customWidth="1"/>
    <col min="12305" max="12305" width="3.28515625" style="122" customWidth="1"/>
    <col min="12306" max="12306" width="5.85546875" style="122" customWidth="1"/>
    <col min="12307" max="12307" width="6.5703125" style="122" customWidth="1"/>
    <col min="12308" max="12308" width="3.28515625" style="122" customWidth="1"/>
    <col min="12309" max="12309" width="5.85546875" style="122" customWidth="1"/>
    <col min="12310" max="12310" width="6.5703125" style="122" customWidth="1"/>
    <col min="12311" max="12311" width="3.28515625" style="122" customWidth="1"/>
    <col min="12312" max="12312" width="5.85546875" style="122" customWidth="1"/>
    <col min="12313" max="12313" width="6.5703125" style="122" customWidth="1"/>
    <col min="12314" max="12314" width="3.28515625" style="122" customWidth="1"/>
    <col min="12315" max="12315" width="5.85546875" style="122" customWidth="1"/>
    <col min="12316" max="12316" width="6.5703125" style="122" customWidth="1"/>
    <col min="12317" max="12317" width="3.28515625" style="122" customWidth="1"/>
    <col min="12318" max="12318" width="5.85546875" style="122" customWidth="1"/>
    <col min="12319" max="12319" width="6.5703125" style="122" customWidth="1"/>
    <col min="12320" max="12320" width="3.28515625" style="122" customWidth="1"/>
    <col min="12321" max="12321" width="5.85546875" style="122" customWidth="1"/>
    <col min="12322" max="12322" width="6.5703125" style="122" customWidth="1"/>
    <col min="12323" max="12323" width="9.42578125" style="122" customWidth="1"/>
    <col min="12324" max="12526" width="9.140625" style="122"/>
    <col min="12527" max="12527" width="4.85546875" style="122" customWidth="1"/>
    <col min="12528" max="12528" width="5.140625" style="122" customWidth="1"/>
    <col min="12529" max="12529" width="13.7109375" style="122" customWidth="1"/>
    <col min="12530" max="12530" width="9.42578125" style="122" customWidth="1"/>
    <col min="12531" max="12531" width="7.85546875" style="122" bestFit="1" customWidth="1"/>
    <col min="12532" max="12532" width="9.42578125" style="122" customWidth="1"/>
    <col min="12533" max="12533" width="7.42578125" style="122" customWidth="1"/>
    <col min="12534" max="12534" width="7.85546875" style="122" customWidth="1"/>
    <col min="12535" max="12535" width="11" style="122" customWidth="1"/>
    <col min="12536" max="12536" width="7.5703125" style="122" customWidth="1"/>
    <col min="12537" max="12537" width="3.28515625" style="122" customWidth="1"/>
    <col min="12538" max="12538" width="5.85546875" style="122" customWidth="1"/>
    <col min="12539" max="12539" width="6.5703125" style="122" customWidth="1"/>
    <col min="12540" max="12540" width="3.28515625" style="122" customWidth="1"/>
    <col min="12541" max="12541" width="5.85546875" style="122" customWidth="1"/>
    <col min="12542" max="12542" width="6.5703125" style="122" customWidth="1"/>
    <col min="12543" max="12543" width="3.28515625" style="122" customWidth="1"/>
    <col min="12544" max="12544" width="5.85546875" style="122" customWidth="1"/>
    <col min="12545" max="12545" width="6.5703125" style="122" customWidth="1"/>
    <col min="12546" max="12546" width="3.28515625" style="122" customWidth="1"/>
    <col min="12547" max="12547" width="5.85546875" style="122" customWidth="1"/>
    <col min="12548" max="12548" width="6.5703125" style="122" customWidth="1"/>
    <col min="12549" max="12549" width="3.28515625" style="122" customWidth="1"/>
    <col min="12550" max="12550" width="5.85546875" style="122" customWidth="1"/>
    <col min="12551" max="12551" width="6.5703125" style="122" customWidth="1"/>
    <col min="12552" max="12552" width="3.28515625" style="122" customWidth="1"/>
    <col min="12553" max="12553" width="5.85546875" style="122" customWidth="1"/>
    <col min="12554" max="12554" width="6.5703125" style="122" customWidth="1"/>
    <col min="12555" max="12555" width="3.28515625" style="122" customWidth="1"/>
    <col min="12556" max="12556" width="5.85546875" style="122" customWidth="1"/>
    <col min="12557" max="12557" width="6.5703125" style="122" customWidth="1"/>
    <col min="12558" max="12558" width="3.28515625" style="122" customWidth="1"/>
    <col min="12559" max="12559" width="5.85546875" style="122" customWidth="1"/>
    <col min="12560" max="12560" width="6.5703125" style="122" customWidth="1"/>
    <col min="12561" max="12561" width="3.28515625" style="122" customWidth="1"/>
    <col min="12562" max="12562" width="5.85546875" style="122" customWidth="1"/>
    <col min="12563" max="12563" width="6.5703125" style="122" customWidth="1"/>
    <col min="12564" max="12564" width="3.28515625" style="122" customWidth="1"/>
    <col min="12565" max="12565" width="5.85546875" style="122" customWidth="1"/>
    <col min="12566" max="12566" width="6.5703125" style="122" customWidth="1"/>
    <col min="12567" max="12567" width="3.28515625" style="122" customWidth="1"/>
    <col min="12568" max="12568" width="5.85546875" style="122" customWidth="1"/>
    <col min="12569" max="12569" width="6.5703125" style="122" customWidth="1"/>
    <col min="12570" max="12570" width="3.28515625" style="122" customWidth="1"/>
    <col min="12571" max="12571" width="5.85546875" style="122" customWidth="1"/>
    <col min="12572" max="12572" width="6.5703125" style="122" customWidth="1"/>
    <col min="12573" max="12573" width="3.28515625" style="122" customWidth="1"/>
    <col min="12574" max="12574" width="5.85546875" style="122" customWidth="1"/>
    <col min="12575" max="12575" width="6.5703125" style="122" customWidth="1"/>
    <col min="12576" max="12576" width="3.28515625" style="122" customWidth="1"/>
    <col min="12577" max="12577" width="5.85546875" style="122" customWidth="1"/>
    <col min="12578" max="12578" width="6.5703125" style="122" customWidth="1"/>
    <col min="12579" max="12579" width="9.42578125" style="122" customWidth="1"/>
    <col min="12580" max="12782" width="9.140625" style="122"/>
    <col min="12783" max="12783" width="4.85546875" style="122" customWidth="1"/>
    <col min="12784" max="12784" width="5.140625" style="122" customWidth="1"/>
    <col min="12785" max="12785" width="13.7109375" style="122" customWidth="1"/>
    <col min="12786" max="12786" width="9.42578125" style="122" customWidth="1"/>
    <col min="12787" max="12787" width="7.85546875" style="122" bestFit="1" customWidth="1"/>
    <col min="12788" max="12788" width="9.42578125" style="122" customWidth="1"/>
    <col min="12789" max="12789" width="7.42578125" style="122" customWidth="1"/>
    <col min="12790" max="12790" width="7.85546875" style="122" customWidth="1"/>
    <col min="12791" max="12791" width="11" style="122" customWidth="1"/>
    <col min="12792" max="12792" width="7.5703125" style="122" customWidth="1"/>
    <col min="12793" max="12793" width="3.28515625" style="122" customWidth="1"/>
    <col min="12794" max="12794" width="5.85546875" style="122" customWidth="1"/>
    <col min="12795" max="12795" width="6.5703125" style="122" customWidth="1"/>
    <col min="12796" max="12796" width="3.28515625" style="122" customWidth="1"/>
    <col min="12797" max="12797" width="5.85546875" style="122" customWidth="1"/>
    <col min="12798" max="12798" width="6.5703125" style="122" customWidth="1"/>
    <col min="12799" max="12799" width="3.28515625" style="122" customWidth="1"/>
    <col min="12800" max="12800" width="5.85546875" style="122" customWidth="1"/>
    <col min="12801" max="12801" width="6.5703125" style="122" customWidth="1"/>
    <col min="12802" max="12802" width="3.28515625" style="122" customWidth="1"/>
    <col min="12803" max="12803" width="5.85546875" style="122" customWidth="1"/>
    <col min="12804" max="12804" width="6.5703125" style="122" customWidth="1"/>
    <col min="12805" max="12805" width="3.28515625" style="122" customWidth="1"/>
    <col min="12806" max="12806" width="5.85546875" style="122" customWidth="1"/>
    <col min="12807" max="12807" width="6.5703125" style="122" customWidth="1"/>
    <col min="12808" max="12808" width="3.28515625" style="122" customWidth="1"/>
    <col min="12809" max="12809" width="5.85546875" style="122" customWidth="1"/>
    <col min="12810" max="12810" width="6.5703125" style="122" customWidth="1"/>
    <col min="12811" max="12811" width="3.28515625" style="122" customWidth="1"/>
    <col min="12812" max="12812" width="5.85546875" style="122" customWidth="1"/>
    <col min="12813" max="12813" width="6.5703125" style="122" customWidth="1"/>
    <col min="12814" max="12814" width="3.28515625" style="122" customWidth="1"/>
    <col min="12815" max="12815" width="5.85546875" style="122" customWidth="1"/>
    <col min="12816" max="12816" width="6.5703125" style="122" customWidth="1"/>
    <col min="12817" max="12817" width="3.28515625" style="122" customWidth="1"/>
    <col min="12818" max="12818" width="5.85546875" style="122" customWidth="1"/>
    <col min="12819" max="12819" width="6.5703125" style="122" customWidth="1"/>
    <col min="12820" max="12820" width="3.28515625" style="122" customWidth="1"/>
    <col min="12821" max="12821" width="5.85546875" style="122" customWidth="1"/>
    <col min="12822" max="12822" width="6.5703125" style="122" customWidth="1"/>
    <col min="12823" max="12823" width="3.28515625" style="122" customWidth="1"/>
    <col min="12824" max="12824" width="5.85546875" style="122" customWidth="1"/>
    <col min="12825" max="12825" width="6.5703125" style="122" customWidth="1"/>
    <col min="12826" max="12826" width="3.28515625" style="122" customWidth="1"/>
    <col min="12827" max="12827" width="5.85546875" style="122" customWidth="1"/>
    <col min="12828" max="12828" width="6.5703125" style="122" customWidth="1"/>
    <col min="12829" max="12829" width="3.28515625" style="122" customWidth="1"/>
    <col min="12830" max="12830" width="5.85546875" style="122" customWidth="1"/>
    <col min="12831" max="12831" width="6.5703125" style="122" customWidth="1"/>
    <col min="12832" max="12832" width="3.28515625" style="122" customWidth="1"/>
    <col min="12833" max="12833" width="5.85546875" style="122" customWidth="1"/>
    <col min="12834" max="12834" width="6.5703125" style="122" customWidth="1"/>
    <col min="12835" max="12835" width="9.42578125" style="122" customWidth="1"/>
    <col min="12836" max="13038" width="9.140625" style="122"/>
    <col min="13039" max="13039" width="4.85546875" style="122" customWidth="1"/>
    <col min="13040" max="13040" width="5.140625" style="122" customWidth="1"/>
    <col min="13041" max="13041" width="13.7109375" style="122" customWidth="1"/>
    <col min="13042" max="13042" width="9.42578125" style="122" customWidth="1"/>
    <col min="13043" max="13043" width="7.85546875" style="122" bestFit="1" customWidth="1"/>
    <col min="13044" max="13044" width="9.42578125" style="122" customWidth="1"/>
    <col min="13045" max="13045" width="7.42578125" style="122" customWidth="1"/>
    <col min="13046" max="13046" width="7.85546875" style="122" customWidth="1"/>
    <col min="13047" max="13047" width="11" style="122" customWidth="1"/>
    <col min="13048" max="13048" width="7.5703125" style="122" customWidth="1"/>
    <col min="13049" max="13049" width="3.28515625" style="122" customWidth="1"/>
    <col min="13050" max="13050" width="5.85546875" style="122" customWidth="1"/>
    <col min="13051" max="13051" width="6.5703125" style="122" customWidth="1"/>
    <col min="13052" max="13052" width="3.28515625" style="122" customWidth="1"/>
    <col min="13053" max="13053" width="5.85546875" style="122" customWidth="1"/>
    <col min="13054" max="13054" width="6.5703125" style="122" customWidth="1"/>
    <col min="13055" max="13055" width="3.28515625" style="122" customWidth="1"/>
    <col min="13056" max="13056" width="5.85546875" style="122" customWidth="1"/>
    <col min="13057" max="13057" width="6.5703125" style="122" customWidth="1"/>
    <col min="13058" max="13058" width="3.28515625" style="122" customWidth="1"/>
    <col min="13059" max="13059" width="5.85546875" style="122" customWidth="1"/>
    <col min="13060" max="13060" width="6.5703125" style="122" customWidth="1"/>
    <col min="13061" max="13061" width="3.28515625" style="122" customWidth="1"/>
    <col min="13062" max="13062" width="5.85546875" style="122" customWidth="1"/>
    <col min="13063" max="13063" width="6.5703125" style="122" customWidth="1"/>
    <col min="13064" max="13064" width="3.28515625" style="122" customWidth="1"/>
    <col min="13065" max="13065" width="5.85546875" style="122" customWidth="1"/>
    <col min="13066" max="13066" width="6.5703125" style="122" customWidth="1"/>
    <col min="13067" max="13067" width="3.28515625" style="122" customWidth="1"/>
    <col min="13068" max="13068" width="5.85546875" style="122" customWidth="1"/>
    <col min="13069" max="13069" width="6.5703125" style="122" customWidth="1"/>
    <col min="13070" max="13070" width="3.28515625" style="122" customWidth="1"/>
    <col min="13071" max="13071" width="5.85546875" style="122" customWidth="1"/>
    <col min="13072" max="13072" width="6.5703125" style="122" customWidth="1"/>
    <col min="13073" max="13073" width="3.28515625" style="122" customWidth="1"/>
    <col min="13074" max="13074" width="5.85546875" style="122" customWidth="1"/>
    <col min="13075" max="13075" width="6.5703125" style="122" customWidth="1"/>
    <col min="13076" max="13076" width="3.28515625" style="122" customWidth="1"/>
    <col min="13077" max="13077" width="5.85546875" style="122" customWidth="1"/>
    <col min="13078" max="13078" width="6.5703125" style="122" customWidth="1"/>
    <col min="13079" max="13079" width="3.28515625" style="122" customWidth="1"/>
    <col min="13080" max="13080" width="5.85546875" style="122" customWidth="1"/>
    <col min="13081" max="13081" width="6.5703125" style="122" customWidth="1"/>
    <col min="13082" max="13082" width="3.28515625" style="122" customWidth="1"/>
    <col min="13083" max="13083" width="5.85546875" style="122" customWidth="1"/>
    <col min="13084" max="13084" width="6.5703125" style="122" customWidth="1"/>
    <col min="13085" max="13085" width="3.28515625" style="122" customWidth="1"/>
    <col min="13086" max="13086" width="5.85546875" style="122" customWidth="1"/>
    <col min="13087" max="13087" width="6.5703125" style="122" customWidth="1"/>
    <col min="13088" max="13088" width="3.28515625" style="122" customWidth="1"/>
    <col min="13089" max="13089" width="5.85546875" style="122" customWidth="1"/>
    <col min="13090" max="13090" width="6.5703125" style="122" customWidth="1"/>
    <col min="13091" max="13091" width="9.42578125" style="122" customWidth="1"/>
    <col min="13092" max="13294" width="9.140625" style="122"/>
    <col min="13295" max="13295" width="4.85546875" style="122" customWidth="1"/>
    <col min="13296" max="13296" width="5.140625" style="122" customWidth="1"/>
    <col min="13297" max="13297" width="13.7109375" style="122" customWidth="1"/>
    <col min="13298" max="13298" width="9.42578125" style="122" customWidth="1"/>
    <col min="13299" max="13299" width="7.85546875" style="122" bestFit="1" customWidth="1"/>
    <col min="13300" max="13300" width="9.42578125" style="122" customWidth="1"/>
    <col min="13301" max="13301" width="7.42578125" style="122" customWidth="1"/>
    <col min="13302" max="13302" width="7.85546875" style="122" customWidth="1"/>
    <col min="13303" max="13303" width="11" style="122" customWidth="1"/>
    <col min="13304" max="13304" width="7.5703125" style="122" customWidth="1"/>
    <col min="13305" max="13305" width="3.28515625" style="122" customWidth="1"/>
    <col min="13306" max="13306" width="5.85546875" style="122" customWidth="1"/>
    <col min="13307" max="13307" width="6.5703125" style="122" customWidth="1"/>
    <col min="13308" max="13308" width="3.28515625" style="122" customWidth="1"/>
    <col min="13309" max="13309" width="5.85546875" style="122" customWidth="1"/>
    <col min="13310" max="13310" width="6.5703125" style="122" customWidth="1"/>
    <col min="13311" max="13311" width="3.28515625" style="122" customWidth="1"/>
    <col min="13312" max="13312" width="5.85546875" style="122" customWidth="1"/>
    <col min="13313" max="13313" width="6.5703125" style="122" customWidth="1"/>
    <col min="13314" max="13314" width="3.28515625" style="122" customWidth="1"/>
    <col min="13315" max="13315" width="5.85546875" style="122" customWidth="1"/>
    <col min="13316" max="13316" width="6.5703125" style="122" customWidth="1"/>
    <col min="13317" max="13317" width="3.28515625" style="122" customWidth="1"/>
    <col min="13318" max="13318" width="5.85546875" style="122" customWidth="1"/>
    <col min="13319" max="13319" width="6.5703125" style="122" customWidth="1"/>
    <col min="13320" max="13320" width="3.28515625" style="122" customWidth="1"/>
    <col min="13321" max="13321" width="5.85546875" style="122" customWidth="1"/>
    <col min="13322" max="13322" width="6.5703125" style="122" customWidth="1"/>
    <col min="13323" max="13323" width="3.28515625" style="122" customWidth="1"/>
    <col min="13324" max="13324" width="5.85546875" style="122" customWidth="1"/>
    <col min="13325" max="13325" width="6.5703125" style="122" customWidth="1"/>
    <col min="13326" max="13326" width="3.28515625" style="122" customWidth="1"/>
    <col min="13327" max="13327" width="5.85546875" style="122" customWidth="1"/>
    <col min="13328" max="13328" width="6.5703125" style="122" customWidth="1"/>
    <col min="13329" max="13329" width="3.28515625" style="122" customWidth="1"/>
    <col min="13330" max="13330" width="5.85546875" style="122" customWidth="1"/>
    <col min="13331" max="13331" width="6.5703125" style="122" customWidth="1"/>
    <col min="13332" max="13332" width="3.28515625" style="122" customWidth="1"/>
    <col min="13333" max="13333" width="5.85546875" style="122" customWidth="1"/>
    <col min="13334" max="13334" width="6.5703125" style="122" customWidth="1"/>
    <col min="13335" max="13335" width="3.28515625" style="122" customWidth="1"/>
    <col min="13336" max="13336" width="5.85546875" style="122" customWidth="1"/>
    <col min="13337" max="13337" width="6.5703125" style="122" customWidth="1"/>
    <col min="13338" max="13338" width="3.28515625" style="122" customWidth="1"/>
    <col min="13339" max="13339" width="5.85546875" style="122" customWidth="1"/>
    <col min="13340" max="13340" width="6.5703125" style="122" customWidth="1"/>
    <col min="13341" max="13341" width="3.28515625" style="122" customWidth="1"/>
    <col min="13342" max="13342" width="5.85546875" style="122" customWidth="1"/>
    <col min="13343" max="13343" width="6.5703125" style="122" customWidth="1"/>
    <col min="13344" max="13344" width="3.28515625" style="122" customWidth="1"/>
    <col min="13345" max="13345" width="5.85546875" style="122" customWidth="1"/>
    <col min="13346" max="13346" width="6.5703125" style="122" customWidth="1"/>
    <col min="13347" max="13347" width="9.42578125" style="122" customWidth="1"/>
    <col min="13348" max="13550" width="9.140625" style="122"/>
    <col min="13551" max="13551" width="4.85546875" style="122" customWidth="1"/>
    <col min="13552" max="13552" width="5.140625" style="122" customWidth="1"/>
    <col min="13553" max="13553" width="13.7109375" style="122" customWidth="1"/>
    <col min="13554" max="13554" width="9.42578125" style="122" customWidth="1"/>
    <col min="13555" max="13555" width="7.85546875" style="122" bestFit="1" customWidth="1"/>
    <col min="13556" max="13556" width="9.42578125" style="122" customWidth="1"/>
    <col min="13557" max="13557" width="7.42578125" style="122" customWidth="1"/>
    <col min="13558" max="13558" width="7.85546875" style="122" customWidth="1"/>
    <col min="13559" max="13559" width="11" style="122" customWidth="1"/>
    <col min="13560" max="13560" width="7.5703125" style="122" customWidth="1"/>
    <col min="13561" max="13561" width="3.28515625" style="122" customWidth="1"/>
    <col min="13562" max="13562" width="5.85546875" style="122" customWidth="1"/>
    <col min="13563" max="13563" width="6.5703125" style="122" customWidth="1"/>
    <col min="13564" max="13564" width="3.28515625" style="122" customWidth="1"/>
    <col min="13565" max="13565" width="5.85546875" style="122" customWidth="1"/>
    <col min="13566" max="13566" width="6.5703125" style="122" customWidth="1"/>
    <col min="13567" max="13567" width="3.28515625" style="122" customWidth="1"/>
    <col min="13568" max="13568" width="5.85546875" style="122" customWidth="1"/>
    <col min="13569" max="13569" width="6.5703125" style="122" customWidth="1"/>
    <col min="13570" max="13570" width="3.28515625" style="122" customWidth="1"/>
    <col min="13571" max="13571" width="5.85546875" style="122" customWidth="1"/>
    <col min="13572" max="13572" width="6.5703125" style="122" customWidth="1"/>
    <col min="13573" max="13573" width="3.28515625" style="122" customWidth="1"/>
    <col min="13574" max="13574" width="5.85546875" style="122" customWidth="1"/>
    <col min="13575" max="13575" width="6.5703125" style="122" customWidth="1"/>
    <col min="13576" max="13576" width="3.28515625" style="122" customWidth="1"/>
    <col min="13577" max="13577" width="5.85546875" style="122" customWidth="1"/>
    <col min="13578" max="13578" width="6.5703125" style="122" customWidth="1"/>
    <col min="13579" max="13579" width="3.28515625" style="122" customWidth="1"/>
    <col min="13580" max="13580" width="5.85546875" style="122" customWidth="1"/>
    <col min="13581" max="13581" width="6.5703125" style="122" customWidth="1"/>
    <col min="13582" max="13582" width="3.28515625" style="122" customWidth="1"/>
    <col min="13583" max="13583" width="5.85546875" style="122" customWidth="1"/>
    <col min="13584" max="13584" width="6.5703125" style="122" customWidth="1"/>
    <col min="13585" max="13585" width="3.28515625" style="122" customWidth="1"/>
    <col min="13586" max="13586" width="5.85546875" style="122" customWidth="1"/>
    <col min="13587" max="13587" width="6.5703125" style="122" customWidth="1"/>
    <col min="13588" max="13588" width="3.28515625" style="122" customWidth="1"/>
    <col min="13589" max="13589" width="5.85546875" style="122" customWidth="1"/>
    <col min="13590" max="13590" width="6.5703125" style="122" customWidth="1"/>
    <col min="13591" max="13591" width="3.28515625" style="122" customWidth="1"/>
    <col min="13592" max="13592" width="5.85546875" style="122" customWidth="1"/>
    <col min="13593" max="13593" width="6.5703125" style="122" customWidth="1"/>
    <col min="13594" max="13594" width="3.28515625" style="122" customWidth="1"/>
    <col min="13595" max="13595" width="5.85546875" style="122" customWidth="1"/>
    <col min="13596" max="13596" width="6.5703125" style="122" customWidth="1"/>
    <col min="13597" max="13597" width="3.28515625" style="122" customWidth="1"/>
    <col min="13598" max="13598" width="5.85546875" style="122" customWidth="1"/>
    <col min="13599" max="13599" width="6.5703125" style="122" customWidth="1"/>
    <col min="13600" max="13600" width="3.28515625" style="122" customWidth="1"/>
    <col min="13601" max="13601" width="5.85546875" style="122" customWidth="1"/>
    <col min="13602" max="13602" width="6.5703125" style="122" customWidth="1"/>
    <col min="13603" max="13603" width="9.42578125" style="122" customWidth="1"/>
    <col min="13604" max="13806" width="9.140625" style="122"/>
    <col min="13807" max="13807" width="4.85546875" style="122" customWidth="1"/>
    <col min="13808" max="13808" width="5.140625" style="122" customWidth="1"/>
    <col min="13809" max="13809" width="13.7109375" style="122" customWidth="1"/>
    <col min="13810" max="13810" width="9.42578125" style="122" customWidth="1"/>
    <col min="13811" max="13811" width="7.85546875" style="122" bestFit="1" customWidth="1"/>
    <col min="13812" max="13812" width="9.42578125" style="122" customWidth="1"/>
    <col min="13813" max="13813" width="7.42578125" style="122" customWidth="1"/>
    <col min="13814" max="13814" width="7.85546875" style="122" customWidth="1"/>
    <col min="13815" max="13815" width="11" style="122" customWidth="1"/>
    <col min="13816" max="13816" width="7.5703125" style="122" customWidth="1"/>
    <col min="13817" max="13817" width="3.28515625" style="122" customWidth="1"/>
    <col min="13818" max="13818" width="5.85546875" style="122" customWidth="1"/>
    <col min="13819" max="13819" width="6.5703125" style="122" customWidth="1"/>
    <col min="13820" max="13820" width="3.28515625" style="122" customWidth="1"/>
    <col min="13821" max="13821" width="5.85546875" style="122" customWidth="1"/>
    <col min="13822" max="13822" width="6.5703125" style="122" customWidth="1"/>
    <col min="13823" max="13823" width="3.28515625" style="122" customWidth="1"/>
    <col min="13824" max="13824" width="5.85546875" style="122" customWidth="1"/>
    <col min="13825" max="13825" width="6.5703125" style="122" customWidth="1"/>
    <col min="13826" max="13826" width="3.28515625" style="122" customWidth="1"/>
    <col min="13827" max="13827" width="5.85546875" style="122" customWidth="1"/>
    <col min="13828" max="13828" width="6.5703125" style="122" customWidth="1"/>
    <col min="13829" max="13829" width="3.28515625" style="122" customWidth="1"/>
    <col min="13830" max="13830" width="5.85546875" style="122" customWidth="1"/>
    <col min="13831" max="13831" width="6.5703125" style="122" customWidth="1"/>
    <col min="13832" max="13832" width="3.28515625" style="122" customWidth="1"/>
    <col min="13833" max="13833" width="5.85546875" style="122" customWidth="1"/>
    <col min="13834" max="13834" width="6.5703125" style="122" customWidth="1"/>
    <col min="13835" max="13835" width="3.28515625" style="122" customWidth="1"/>
    <col min="13836" max="13836" width="5.85546875" style="122" customWidth="1"/>
    <col min="13837" max="13837" width="6.5703125" style="122" customWidth="1"/>
    <col min="13838" max="13838" width="3.28515625" style="122" customWidth="1"/>
    <col min="13839" max="13839" width="5.85546875" style="122" customWidth="1"/>
    <col min="13840" max="13840" width="6.5703125" style="122" customWidth="1"/>
    <col min="13841" max="13841" width="3.28515625" style="122" customWidth="1"/>
    <col min="13842" max="13842" width="5.85546875" style="122" customWidth="1"/>
    <col min="13843" max="13843" width="6.5703125" style="122" customWidth="1"/>
    <col min="13844" max="13844" width="3.28515625" style="122" customWidth="1"/>
    <col min="13845" max="13845" width="5.85546875" style="122" customWidth="1"/>
    <col min="13846" max="13846" width="6.5703125" style="122" customWidth="1"/>
    <col min="13847" max="13847" width="3.28515625" style="122" customWidth="1"/>
    <col min="13848" max="13848" width="5.85546875" style="122" customWidth="1"/>
    <col min="13849" max="13849" width="6.5703125" style="122" customWidth="1"/>
    <col min="13850" max="13850" width="3.28515625" style="122" customWidth="1"/>
    <col min="13851" max="13851" width="5.85546875" style="122" customWidth="1"/>
    <col min="13852" max="13852" width="6.5703125" style="122" customWidth="1"/>
    <col min="13853" max="13853" width="3.28515625" style="122" customWidth="1"/>
    <col min="13854" max="13854" width="5.85546875" style="122" customWidth="1"/>
    <col min="13855" max="13855" width="6.5703125" style="122" customWidth="1"/>
    <col min="13856" max="13856" width="3.28515625" style="122" customWidth="1"/>
    <col min="13857" max="13857" width="5.85546875" style="122" customWidth="1"/>
    <col min="13858" max="13858" width="6.5703125" style="122" customWidth="1"/>
    <col min="13859" max="13859" width="9.42578125" style="122" customWidth="1"/>
    <col min="13860" max="14062" width="9.140625" style="122"/>
    <col min="14063" max="14063" width="4.85546875" style="122" customWidth="1"/>
    <col min="14064" max="14064" width="5.140625" style="122" customWidth="1"/>
    <col min="14065" max="14065" width="13.7109375" style="122" customWidth="1"/>
    <col min="14066" max="14066" width="9.42578125" style="122" customWidth="1"/>
    <col min="14067" max="14067" width="7.85546875" style="122" bestFit="1" customWidth="1"/>
    <col min="14068" max="14068" width="9.42578125" style="122" customWidth="1"/>
    <col min="14069" max="14069" width="7.42578125" style="122" customWidth="1"/>
    <col min="14070" max="14070" width="7.85546875" style="122" customWidth="1"/>
    <col min="14071" max="14071" width="11" style="122" customWidth="1"/>
    <col min="14072" max="14072" width="7.5703125" style="122" customWidth="1"/>
    <col min="14073" max="14073" width="3.28515625" style="122" customWidth="1"/>
    <col min="14074" max="14074" width="5.85546875" style="122" customWidth="1"/>
    <col min="14075" max="14075" width="6.5703125" style="122" customWidth="1"/>
    <col min="14076" max="14076" width="3.28515625" style="122" customWidth="1"/>
    <col min="14077" max="14077" width="5.85546875" style="122" customWidth="1"/>
    <col min="14078" max="14078" width="6.5703125" style="122" customWidth="1"/>
    <col min="14079" max="14079" width="3.28515625" style="122" customWidth="1"/>
    <col min="14080" max="14080" width="5.85546875" style="122" customWidth="1"/>
    <col min="14081" max="14081" width="6.5703125" style="122" customWidth="1"/>
    <col min="14082" max="14082" width="3.28515625" style="122" customWidth="1"/>
    <col min="14083" max="14083" width="5.85546875" style="122" customWidth="1"/>
    <col min="14084" max="14084" width="6.5703125" style="122" customWidth="1"/>
    <col min="14085" max="14085" width="3.28515625" style="122" customWidth="1"/>
    <col min="14086" max="14086" width="5.85546875" style="122" customWidth="1"/>
    <col min="14087" max="14087" width="6.5703125" style="122" customWidth="1"/>
    <col min="14088" max="14088" width="3.28515625" style="122" customWidth="1"/>
    <col min="14089" max="14089" width="5.85546875" style="122" customWidth="1"/>
    <col min="14090" max="14090" width="6.5703125" style="122" customWidth="1"/>
    <col min="14091" max="14091" width="3.28515625" style="122" customWidth="1"/>
    <col min="14092" max="14092" width="5.85546875" style="122" customWidth="1"/>
    <col min="14093" max="14093" width="6.5703125" style="122" customWidth="1"/>
    <col min="14094" max="14094" width="3.28515625" style="122" customWidth="1"/>
    <col min="14095" max="14095" width="5.85546875" style="122" customWidth="1"/>
    <col min="14096" max="14096" width="6.5703125" style="122" customWidth="1"/>
    <col min="14097" max="14097" width="3.28515625" style="122" customWidth="1"/>
    <col min="14098" max="14098" width="5.85546875" style="122" customWidth="1"/>
    <col min="14099" max="14099" width="6.5703125" style="122" customWidth="1"/>
    <col min="14100" max="14100" width="3.28515625" style="122" customWidth="1"/>
    <col min="14101" max="14101" width="5.85546875" style="122" customWidth="1"/>
    <col min="14102" max="14102" width="6.5703125" style="122" customWidth="1"/>
    <col min="14103" max="14103" width="3.28515625" style="122" customWidth="1"/>
    <col min="14104" max="14104" width="5.85546875" style="122" customWidth="1"/>
    <col min="14105" max="14105" width="6.5703125" style="122" customWidth="1"/>
    <col min="14106" max="14106" width="3.28515625" style="122" customWidth="1"/>
    <col min="14107" max="14107" width="5.85546875" style="122" customWidth="1"/>
    <col min="14108" max="14108" width="6.5703125" style="122" customWidth="1"/>
    <col min="14109" max="14109" width="3.28515625" style="122" customWidth="1"/>
    <col min="14110" max="14110" width="5.85546875" style="122" customWidth="1"/>
    <col min="14111" max="14111" width="6.5703125" style="122" customWidth="1"/>
    <col min="14112" max="14112" width="3.28515625" style="122" customWidth="1"/>
    <col min="14113" max="14113" width="5.85546875" style="122" customWidth="1"/>
    <col min="14114" max="14114" width="6.5703125" style="122" customWidth="1"/>
    <col min="14115" max="14115" width="9.42578125" style="122" customWidth="1"/>
    <col min="14116" max="14318" width="9.140625" style="122"/>
    <col min="14319" max="14319" width="4.85546875" style="122" customWidth="1"/>
    <col min="14320" max="14320" width="5.140625" style="122" customWidth="1"/>
    <col min="14321" max="14321" width="13.7109375" style="122" customWidth="1"/>
    <col min="14322" max="14322" width="9.42578125" style="122" customWidth="1"/>
    <col min="14323" max="14323" width="7.85546875" style="122" bestFit="1" customWidth="1"/>
    <col min="14324" max="14324" width="9.42578125" style="122" customWidth="1"/>
    <col min="14325" max="14325" width="7.42578125" style="122" customWidth="1"/>
    <col min="14326" max="14326" width="7.85546875" style="122" customWidth="1"/>
    <col min="14327" max="14327" width="11" style="122" customWidth="1"/>
    <col min="14328" max="14328" width="7.5703125" style="122" customWidth="1"/>
    <col min="14329" max="14329" width="3.28515625" style="122" customWidth="1"/>
    <col min="14330" max="14330" width="5.85546875" style="122" customWidth="1"/>
    <col min="14331" max="14331" width="6.5703125" style="122" customWidth="1"/>
    <col min="14332" max="14332" width="3.28515625" style="122" customWidth="1"/>
    <col min="14333" max="14333" width="5.85546875" style="122" customWidth="1"/>
    <col min="14334" max="14334" width="6.5703125" style="122" customWidth="1"/>
    <col min="14335" max="14335" width="3.28515625" style="122" customWidth="1"/>
    <col min="14336" max="14336" width="5.85546875" style="122" customWidth="1"/>
    <col min="14337" max="14337" width="6.5703125" style="122" customWidth="1"/>
    <col min="14338" max="14338" width="3.28515625" style="122" customWidth="1"/>
    <col min="14339" max="14339" width="5.85546875" style="122" customWidth="1"/>
    <col min="14340" max="14340" width="6.5703125" style="122" customWidth="1"/>
    <col min="14341" max="14341" width="3.28515625" style="122" customWidth="1"/>
    <col min="14342" max="14342" width="5.85546875" style="122" customWidth="1"/>
    <col min="14343" max="14343" width="6.5703125" style="122" customWidth="1"/>
    <col min="14344" max="14344" width="3.28515625" style="122" customWidth="1"/>
    <col min="14345" max="14345" width="5.85546875" style="122" customWidth="1"/>
    <col min="14346" max="14346" width="6.5703125" style="122" customWidth="1"/>
    <col min="14347" max="14347" width="3.28515625" style="122" customWidth="1"/>
    <col min="14348" max="14348" width="5.85546875" style="122" customWidth="1"/>
    <col min="14349" max="14349" width="6.5703125" style="122" customWidth="1"/>
    <col min="14350" max="14350" width="3.28515625" style="122" customWidth="1"/>
    <col min="14351" max="14351" width="5.85546875" style="122" customWidth="1"/>
    <col min="14352" max="14352" width="6.5703125" style="122" customWidth="1"/>
    <col min="14353" max="14353" width="3.28515625" style="122" customWidth="1"/>
    <col min="14354" max="14354" width="5.85546875" style="122" customWidth="1"/>
    <col min="14355" max="14355" width="6.5703125" style="122" customWidth="1"/>
    <col min="14356" max="14356" width="3.28515625" style="122" customWidth="1"/>
    <col min="14357" max="14357" width="5.85546875" style="122" customWidth="1"/>
    <col min="14358" max="14358" width="6.5703125" style="122" customWidth="1"/>
    <col min="14359" max="14359" width="3.28515625" style="122" customWidth="1"/>
    <col min="14360" max="14360" width="5.85546875" style="122" customWidth="1"/>
    <col min="14361" max="14361" width="6.5703125" style="122" customWidth="1"/>
    <col min="14362" max="14362" width="3.28515625" style="122" customWidth="1"/>
    <col min="14363" max="14363" width="5.85546875" style="122" customWidth="1"/>
    <col min="14364" max="14364" width="6.5703125" style="122" customWidth="1"/>
    <col min="14365" max="14365" width="3.28515625" style="122" customWidth="1"/>
    <col min="14366" max="14366" width="5.85546875" style="122" customWidth="1"/>
    <col min="14367" max="14367" width="6.5703125" style="122" customWidth="1"/>
    <col min="14368" max="14368" width="3.28515625" style="122" customWidth="1"/>
    <col min="14369" max="14369" width="5.85546875" style="122" customWidth="1"/>
    <col min="14370" max="14370" width="6.5703125" style="122" customWidth="1"/>
    <col min="14371" max="14371" width="9.42578125" style="122" customWidth="1"/>
    <col min="14372" max="14574" width="9.140625" style="122"/>
    <col min="14575" max="14575" width="4.85546875" style="122" customWidth="1"/>
    <col min="14576" max="14576" width="5.140625" style="122" customWidth="1"/>
    <col min="14577" max="14577" width="13.7109375" style="122" customWidth="1"/>
    <col min="14578" max="14578" width="9.42578125" style="122" customWidth="1"/>
    <col min="14579" max="14579" width="7.85546875" style="122" bestFit="1" customWidth="1"/>
    <col min="14580" max="14580" width="9.42578125" style="122" customWidth="1"/>
    <col min="14581" max="14581" width="7.42578125" style="122" customWidth="1"/>
    <col min="14582" max="14582" width="7.85546875" style="122" customWidth="1"/>
    <col min="14583" max="14583" width="11" style="122" customWidth="1"/>
    <col min="14584" max="14584" width="7.5703125" style="122" customWidth="1"/>
    <col min="14585" max="14585" width="3.28515625" style="122" customWidth="1"/>
    <col min="14586" max="14586" width="5.85546875" style="122" customWidth="1"/>
    <col min="14587" max="14587" width="6.5703125" style="122" customWidth="1"/>
    <col min="14588" max="14588" width="3.28515625" style="122" customWidth="1"/>
    <col min="14589" max="14589" width="5.85546875" style="122" customWidth="1"/>
    <col min="14590" max="14590" width="6.5703125" style="122" customWidth="1"/>
    <col min="14591" max="14591" width="3.28515625" style="122" customWidth="1"/>
    <col min="14592" max="14592" width="5.85546875" style="122" customWidth="1"/>
    <col min="14593" max="14593" width="6.5703125" style="122" customWidth="1"/>
    <col min="14594" max="14594" width="3.28515625" style="122" customWidth="1"/>
    <col min="14595" max="14595" width="5.85546875" style="122" customWidth="1"/>
    <col min="14596" max="14596" width="6.5703125" style="122" customWidth="1"/>
    <col min="14597" max="14597" width="3.28515625" style="122" customWidth="1"/>
    <col min="14598" max="14598" width="5.85546875" style="122" customWidth="1"/>
    <col min="14599" max="14599" width="6.5703125" style="122" customWidth="1"/>
    <col min="14600" max="14600" width="3.28515625" style="122" customWidth="1"/>
    <col min="14601" max="14601" width="5.85546875" style="122" customWidth="1"/>
    <col min="14602" max="14602" width="6.5703125" style="122" customWidth="1"/>
    <col min="14603" max="14603" width="3.28515625" style="122" customWidth="1"/>
    <col min="14604" max="14604" width="5.85546875" style="122" customWidth="1"/>
    <col min="14605" max="14605" width="6.5703125" style="122" customWidth="1"/>
    <col min="14606" max="14606" width="3.28515625" style="122" customWidth="1"/>
    <col min="14607" max="14607" width="5.85546875" style="122" customWidth="1"/>
    <col min="14608" max="14608" width="6.5703125" style="122" customWidth="1"/>
    <col min="14609" max="14609" width="3.28515625" style="122" customWidth="1"/>
    <col min="14610" max="14610" width="5.85546875" style="122" customWidth="1"/>
    <col min="14611" max="14611" width="6.5703125" style="122" customWidth="1"/>
    <col min="14612" max="14612" width="3.28515625" style="122" customWidth="1"/>
    <col min="14613" max="14613" width="5.85546875" style="122" customWidth="1"/>
    <col min="14614" max="14614" width="6.5703125" style="122" customWidth="1"/>
    <col min="14615" max="14615" width="3.28515625" style="122" customWidth="1"/>
    <col min="14616" max="14616" width="5.85546875" style="122" customWidth="1"/>
    <col min="14617" max="14617" width="6.5703125" style="122" customWidth="1"/>
    <col min="14618" max="14618" width="3.28515625" style="122" customWidth="1"/>
    <col min="14619" max="14619" width="5.85546875" style="122" customWidth="1"/>
    <col min="14620" max="14620" width="6.5703125" style="122" customWidth="1"/>
    <col min="14621" max="14621" width="3.28515625" style="122" customWidth="1"/>
    <col min="14622" max="14622" width="5.85546875" style="122" customWidth="1"/>
    <col min="14623" max="14623" width="6.5703125" style="122" customWidth="1"/>
    <col min="14624" max="14624" width="3.28515625" style="122" customWidth="1"/>
    <col min="14625" max="14625" width="5.85546875" style="122" customWidth="1"/>
    <col min="14626" max="14626" width="6.5703125" style="122" customWidth="1"/>
    <col min="14627" max="14627" width="9.42578125" style="122" customWidth="1"/>
    <col min="14628" max="14830" width="9.140625" style="122"/>
    <col min="14831" max="14831" width="4.85546875" style="122" customWidth="1"/>
    <col min="14832" max="14832" width="5.140625" style="122" customWidth="1"/>
    <col min="14833" max="14833" width="13.7109375" style="122" customWidth="1"/>
    <col min="14834" max="14834" width="9.42578125" style="122" customWidth="1"/>
    <col min="14835" max="14835" width="7.85546875" style="122" bestFit="1" customWidth="1"/>
    <col min="14836" max="14836" width="9.42578125" style="122" customWidth="1"/>
    <col min="14837" max="14837" width="7.42578125" style="122" customWidth="1"/>
    <col min="14838" max="14838" width="7.85546875" style="122" customWidth="1"/>
    <col min="14839" max="14839" width="11" style="122" customWidth="1"/>
    <col min="14840" max="14840" width="7.5703125" style="122" customWidth="1"/>
    <col min="14841" max="14841" width="3.28515625" style="122" customWidth="1"/>
    <col min="14842" max="14842" width="5.85546875" style="122" customWidth="1"/>
    <col min="14843" max="14843" width="6.5703125" style="122" customWidth="1"/>
    <col min="14844" max="14844" width="3.28515625" style="122" customWidth="1"/>
    <col min="14845" max="14845" width="5.85546875" style="122" customWidth="1"/>
    <col min="14846" max="14846" width="6.5703125" style="122" customWidth="1"/>
    <col min="14847" max="14847" width="3.28515625" style="122" customWidth="1"/>
    <col min="14848" max="14848" width="5.85546875" style="122" customWidth="1"/>
    <col min="14849" max="14849" width="6.5703125" style="122" customWidth="1"/>
    <col min="14850" max="14850" width="3.28515625" style="122" customWidth="1"/>
    <col min="14851" max="14851" width="5.85546875" style="122" customWidth="1"/>
    <col min="14852" max="14852" width="6.5703125" style="122" customWidth="1"/>
    <col min="14853" max="14853" width="3.28515625" style="122" customWidth="1"/>
    <col min="14854" max="14854" width="5.85546875" style="122" customWidth="1"/>
    <col min="14855" max="14855" width="6.5703125" style="122" customWidth="1"/>
    <col min="14856" max="14856" width="3.28515625" style="122" customWidth="1"/>
    <col min="14857" max="14857" width="5.85546875" style="122" customWidth="1"/>
    <col min="14858" max="14858" width="6.5703125" style="122" customWidth="1"/>
    <col min="14859" max="14859" width="3.28515625" style="122" customWidth="1"/>
    <col min="14860" max="14860" width="5.85546875" style="122" customWidth="1"/>
    <col min="14861" max="14861" width="6.5703125" style="122" customWidth="1"/>
    <col min="14862" max="14862" width="3.28515625" style="122" customWidth="1"/>
    <col min="14863" max="14863" width="5.85546875" style="122" customWidth="1"/>
    <col min="14864" max="14864" width="6.5703125" style="122" customWidth="1"/>
    <col min="14865" max="14865" width="3.28515625" style="122" customWidth="1"/>
    <col min="14866" max="14866" width="5.85546875" style="122" customWidth="1"/>
    <col min="14867" max="14867" width="6.5703125" style="122" customWidth="1"/>
    <col min="14868" max="14868" width="3.28515625" style="122" customWidth="1"/>
    <col min="14869" max="14869" width="5.85546875" style="122" customWidth="1"/>
    <col min="14870" max="14870" width="6.5703125" style="122" customWidth="1"/>
    <col min="14871" max="14871" width="3.28515625" style="122" customWidth="1"/>
    <col min="14872" max="14872" width="5.85546875" style="122" customWidth="1"/>
    <col min="14873" max="14873" width="6.5703125" style="122" customWidth="1"/>
    <col min="14874" max="14874" width="3.28515625" style="122" customWidth="1"/>
    <col min="14875" max="14875" width="5.85546875" style="122" customWidth="1"/>
    <col min="14876" max="14876" width="6.5703125" style="122" customWidth="1"/>
    <col min="14877" max="14877" width="3.28515625" style="122" customWidth="1"/>
    <col min="14878" max="14878" width="5.85546875" style="122" customWidth="1"/>
    <col min="14879" max="14879" width="6.5703125" style="122" customWidth="1"/>
    <col min="14880" max="14880" width="3.28515625" style="122" customWidth="1"/>
    <col min="14881" max="14881" width="5.85546875" style="122" customWidth="1"/>
    <col min="14882" max="14882" width="6.5703125" style="122" customWidth="1"/>
    <col min="14883" max="14883" width="9.42578125" style="122" customWidth="1"/>
    <col min="14884" max="15086" width="9.140625" style="122"/>
    <col min="15087" max="15087" width="4.85546875" style="122" customWidth="1"/>
    <col min="15088" max="15088" width="5.140625" style="122" customWidth="1"/>
    <col min="15089" max="15089" width="13.7109375" style="122" customWidth="1"/>
    <col min="15090" max="15090" width="9.42578125" style="122" customWidth="1"/>
    <col min="15091" max="15091" width="7.85546875" style="122" bestFit="1" customWidth="1"/>
    <col min="15092" max="15092" width="9.42578125" style="122" customWidth="1"/>
    <col min="15093" max="15093" width="7.42578125" style="122" customWidth="1"/>
    <col min="15094" max="15094" width="7.85546875" style="122" customWidth="1"/>
    <col min="15095" max="15095" width="11" style="122" customWidth="1"/>
    <col min="15096" max="15096" width="7.5703125" style="122" customWidth="1"/>
    <col min="15097" max="15097" width="3.28515625" style="122" customWidth="1"/>
    <col min="15098" max="15098" width="5.85546875" style="122" customWidth="1"/>
    <col min="15099" max="15099" width="6.5703125" style="122" customWidth="1"/>
    <col min="15100" max="15100" width="3.28515625" style="122" customWidth="1"/>
    <col min="15101" max="15101" width="5.85546875" style="122" customWidth="1"/>
    <col min="15102" max="15102" width="6.5703125" style="122" customWidth="1"/>
    <col min="15103" max="15103" width="3.28515625" style="122" customWidth="1"/>
    <col min="15104" max="15104" width="5.85546875" style="122" customWidth="1"/>
    <col min="15105" max="15105" width="6.5703125" style="122" customWidth="1"/>
    <col min="15106" max="15106" width="3.28515625" style="122" customWidth="1"/>
    <col min="15107" max="15107" width="5.85546875" style="122" customWidth="1"/>
    <col min="15108" max="15108" width="6.5703125" style="122" customWidth="1"/>
    <col min="15109" max="15109" width="3.28515625" style="122" customWidth="1"/>
    <col min="15110" max="15110" width="5.85546875" style="122" customWidth="1"/>
    <col min="15111" max="15111" width="6.5703125" style="122" customWidth="1"/>
    <col min="15112" max="15112" width="3.28515625" style="122" customWidth="1"/>
    <col min="15113" max="15113" width="5.85546875" style="122" customWidth="1"/>
    <col min="15114" max="15114" width="6.5703125" style="122" customWidth="1"/>
    <col min="15115" max="15115" width="3.28515625" style="122" customWidth="1"/>
    <col min="15116" max="15116" width="5.85546875" style="122" customWidth="1"/>
    <col min="15117" max="15117" width="6.5703125" style="122" customWidth="1"/>
    <col min="15118" max="15118" width="3.28515625" style="122" customWidth="1"/>
    <col min="15119" max="15119" width="5.85546875" style="122" customWidth="1"/>
    <col min="15120" max="15120" width="6.5703125" style="122" customWidth="1"/>
    <col min="15121" max="15121" width="3.28515625" style="122" customWidth="1"/>
    <col min="15122" max="15122" width="5.85546875" style="122" customWidth="1"/>
    <col min="15123" max="15123" width="6.5703125" style="122" customWidth="1"/>
    <col min="15124" max="15124" width="3.28515625" style="122" customWidth="1"/>
    <col min="15125" max="15125" width="5.85546875" style="122" customWidth="1"/>
    <col min="15126" max="15126" width="6.5703125" style="122" customWidth="1"/>
    <col min="15127" max="15127" width="3.28515625" style="122" customWidth="1"/>
    <col min="15128" max="15128" width="5.85546875" style="122" customWidth="1"/>
    <col min="15129" max="15129" width="6.5703125" style="122" customWidth="1"/>
    <col min="15130" max="15130" width="3.28515625" style="122" customWidth="1"/>
    <col min="15131" max="15131" width="5.85546875" style="122" customWidth="1"/>
    <col min="15132" max="15132" width="6.5703125" style="122" customWidth="1"/>
    <col min="15133" max="15133" width="3.28515625" style="122" customWidth="1"/>
    <col min="15134" max="15134" width="5.85546875" style="122" customWidth="1"/>
    <col min="15135" max="15135" width="6.5703125" style="122" customWidth="1"/>
    <col min="15136" max="15136" width="3.28515625" style="122" customWidth="1"/>
    <col min="15137" max="15137" width="5.85546875" style="122" customWidth="1"/>
    <col min="15138" max="15138" width="6.5703125" style="122" customWidth="1"/>
    <col min="15139" max="15139" width="9.42578125" style="122" customWidth="1"/>
    <col min="15140" max="15342" width="9.140625" style="122"/>
    <col min="15343" max="15343" width="4.85546875" style="122" customWidth="1"/>
    <col min="15344" max="15344" width="5.140625" style="122" customWidth="1"/>
    <col min="15345" max="15345" width="13.7109375" style="122" customWidth="1"/>
    <col min="15346" max="15346" width="9.42578125" style="122" customWidth="1"/>
    <col min="15347" max="15347" width="7.85546875" style="122" bestFit="1" customWidth="1"/>
    <col min="15348" max="15348" width="9.42578125" style="122" customWidth="1"/>
    <col min="15349" max="15349" width="7.42578125" style="122" customWidth="1"/>
    <col min="15350" max="15350" width="7.85546875" style="122" customWidth="1"/>
    <col min="15351" max="15351" width="11" style="122" customWidth="1"/>
    <col min="15352" max="15352" width="7.5703125" style="122" customWidth="1"/>
    <col min="15353" max="15353" width="3.28515625" style="122" customWidth="1"/>
    <col min="15354" max="15354" width="5.85546875" style="122" customWidth="1"/>
    <col min="15355" max="15355" width="6.5703125" style="122" customWidth="1"/>
    <col min="15356" max="15356" width="3.28515625" style="122" customWidth="1"/>
    <col min="15357" max="15357" width="5.85546875" style="122" customWidth="1"/>
    <col min="15358" max="15358" width="6.5703125" style="122" customWidth="1"/>
    <col min="15359" max="15359" width="3.28515625" style="122" customWidth="1"/>
    <col min="15360" max="15360" width="5.85546875" style="122" customWidth="1"/>
    <col min="15361" max="15361" width="6.5703125" style="122" customWidth="1"/>
    <col min="15362" max="15362" width="3.28515625" style="122" customWidth="1"/>
    <col min="15363" max="15363" width="5.85546875" style="122" customWidth="1"/>
    <col min="15364" max="15364" width="6.5703125" style="122" customWidth="1"/>
    <col min="15365" max="15365" width="3.28515625" style="122" customWidth="1"/>
    <col min="15366" max="15366" width="5.85546875" style="122" customWidth="1"/>
    <col min="15367" max="15367" width="6.5703125" style="122" customWidth="1"/>
    <col min="15368" max="15368" width="3.28515625" style="122" customWidth="1"/>
    <col min="15369" max="15369" width="5.85546875" style="122" customWidth="1"/>
    <col min="15370" max="15370" width="6.5703125" style="122" customWidth="1"/>
    <col min="15371" max="15371" width="3.28515625" style="122" customWidth="1"/>
    <col min="15372" max="15372" width="5.85546875" style="122" customWidth="1"/>
    <col min="15373" max="15373" width="6.5703125" style="122" customWidth="1"/>
    <col min="15374" max="15374" width="3.28515625" style="122" customWidth="1"/>
    <col min="15375" max="15375" width="5.85546875" style="122" customWidth="1"/>
    <col min="15376" max="15376" width="6.5703125" style="122" customWidth="1"/>
    <col min="15377" max="15377" width="3.28515625" style="122" customWidth="1"/>
    <col min="15378" max="15378" width="5.85546875" style="122" customWidth="1"/>
    <col min="15379" max="15379" width="6.5703125" style="122" customWidth="1"/>
    <col min="15380" max="15380" width="3.28515625" style="122" customWidth="1"/>
    <col min="15381" max="15381" width="5.85546875" style="122" customWidth="1"/>
    <col min="15382" max="15382" width="6.5703125" style="122" customWidth="1"/>
    <col min="15383" max="15383" width="3.28515625" style="122" customWidth="1"/>
    <col min="15384" max="15384" width="5.85546875" style="122" customWidth="1"/>
    <col min="15385" max="15385" width="6.5703125" style="122" customWidth="1"/>
    <col min="15386" max="15386" width="3.28515625" style="122" customWidth="1"/>
    <col min="15387" max="15387" width="5.85546875" style="122" customWidth="1"/>
    <col min="15388" max="15388" width="6.5703125" style="122" customWidth="1"/>
    <col min="15389" max="15389" width="3.28515625" style="122" customWidth="1"/>
    <col min="15390" max="15390" width="5.85546875" style="122" customWidth="1"/>
    <col min="15391" max="15391" width="6.5703125" style="122" customWidth="1"/>
    <col min="15392" max="15392" width="3.28515625" style="122" customWidth="1"/>
    <col min="15393" max="15393" width="5.85546875" style="122" customWidth="1"/>
    <col min="15394" max="15394" width="6.5703125" style="122" customWidth="1"/>
    <col min="15395" max="15395" width="9.42578125" style="122" customWidth="1"/>
    <col min="15396" max="15598" width="9.140625" style="122"/>
    <col min="15599" max="15599" width="4.85546875" style="122" customWidth="1"/>
    <col min="15600" max="15600" width="5.140625" style="122" customWidth="1"/>
    <col min="15601" max="15601" width="13.7109375" style="122" customWidth="1"/>
    <col min="15602" max="15602" width="9.42578125" style="122" customWidth="1"/>
    <col min="15603" max="15603" width="7.85546875" style="122" bestFit="1" customWidth="1"/>
    <col min="15604" max="15604" width="9.42578125" style="122" customWidth="1"/>
    <col min="15605" max="15605" width="7.42578125" style="122" customWidth="1"/>
    <col min="15606" max="15606" width="7.85546875" style="122" customWidth="1"/>
    <col min="15607" max="15607" width="11" style="122" customWidth="1"/>
    <col min="15608" max="15608" width="7.5703125" style="122" customWidth="1"/>
    <col min="15609" max="15609" width="3.28515625" style="122" customWidth="1"/>
    <col min="15610" max="15610" width="5.85546875" style="122" customWidth="1"/>
    <col min="15611" max="15611" width="6.5703125" style="122" customWidth="1"/>
    <col min="15612" max="15612" width="3.28515625" style="122" customWidth="1"/>
    <col min="15613" max="15613" width="5.85546875" style="122" customWidth="1"/>
    <col min="15614" max="15614" width="6.5703125" style="122" customWidth="1"/>
    <col min="15615" max="15615" width="3.28515625" style="122" customWidth="1"/>
    <col min="15616" max="15616" width="5.85546875" style="122" customWidth="1"/>
    <col min="15617" max="15617" width="6.5703125" style="122" customWidth="1"/>
    <col min="15618" max="15618" width="3.28515625" style="122" customWidth="1"/>
    <col min="15619" max="15619" width="5.85546875" style="122" customWidth="1"/>
    <col min="15620" max="15620" width="6.5703125" style="122" customWidth="1"/>
    <col min="15621" max="15621" width="3.28515625" style="122" customWidth="1"/>
    <col min="15622" max="15622" width="5.85546875" style="122" customWidth="1"/>
    <col min="15623" max="15623" width="6.5703125" style="122" customWidth="1"/>
    <col min="15624" max="15624" width="3.28515625" style="122" customWidth="1"/>
    <col min="15625" max="15625" width="5.85546875" style="122" customWidth="1"/>
    <col min="15626" max="15626" width="6.5703125" style="122" customWidth="1"/>
    <col min="15627" max="15627" width="3.28515625" style="122" customWidth="1"/>
    <col min="15628" max="15628" width="5.85546875" style="122" customWidth="1"/>
    <col min="15629" max="15629" width="6.5703125" style="122" customWidth="1"/>
    <col min="15630" max="15630" width="3.28515625" style="122" customWidth="1"/>
    <col min="15631" max="15631" width="5.85546875" style="122" customWidth="1"/>
    <col min="15632" max="15632" width="6.5703125" style="122" customWidth="1"/>
    <col min="15633" max="15633" width="3.28515625" style="122" customWidth="1"/>
    <col min="15634" max="15634" width="5.85546875" style="122" customWidth="1"/>
    <col min="15635" max="15635" width="6.5703125" style="122" customWidth="1"/>
    <col min="15636" max="15636" width="3.28515625" style="122" customWidth="1"/>
    <col min="15637" max="15637" width="5.85546875" style="122" customWidth="1"/>
    <col min="15638" max="15638" width="6.5703125" style="122" customWidth="1"/>
    <col min="15639" max="15639" width="3.28515625" style="122" customWidth="1"/>
    <col min="15640" max="15640" width="5.85546875" style="122" customWidth="1"/>
    <col min="15641" max="15641" width="6.5703125" style="122" customWidth="1"/>
    <col min="15642" max="15642" width="3.28515625" style="122" customWidth="1"/>
    <col min="15643" max="15643" width="5.85546875" style="122" customWidth="1"/>
    <col min="15644" max="15644" width="6.5703125" style="122" customWidth="1"/>
    <col min="15645" max="15645" width="3.28515625" style="122" customWidth="1"/>
    <col min="15646" max="15646" width="5.85546875" style="122" customWidth="1"/>
    <col min="15647" max="15647" width="6.5703125" style="122" customWidth="1"/>
    <col min="15648" max="15648" width="3.28515625" style="122" customWidth="1"/>
    <col min="15649" max="15649" width="5.85546875" style="122" customWidth="1"/>
    <col min="15650" max="15650" width="6.5703125" style="122" customWidth="1"/>
    <col min="15651" max="15651" width="9.42578125" style="122" customWidth="1"/>
    <col min="15652" max="15854" width="9.140625" style="122"/>
    <col min="15855" max="15855" width="4.85546875" style="122" customWidth="1"/>
    <col min="15856" max="15856" width="5.140625" style="122" customWidth="1"/>
    <col min="15857" max="15857" width="13.7109375" style="122" customWidth="1"/>
    <col min="15858" max="15858" width="9.42578125" style="122" customWidth="1"/>
    <col min="15859" max="15859" width="7.85546875" style="122" bestFit="1" customWidth="1"/>
    <col min="15860" max="15860" width="9.42578125" style="122" customWidth="1"/>
    <col min="15861" max="15861" width="7.42578125" style="122" customWidth="1"/>
    <col min="15862" max="15862" width="7.85546875" style="122" customWidth="1"/>
    <col min="15863" max="15863" width="11" style="122" customWidth="1"/>
    <col min="15864" max="15864" width="7.5703125" style="122" customWidth="1"/>
    <col min="15865" max="15865" width="3.28515625" style="122" customWidth="1"/>
    <col min="15866" max="15866" width="5.85546875" style="122" customWidth="1"/>
    <col min="15867" max="15867" width="6.5703125" style="122" customWidth="1"/>
    <col min="15868" max="15868" width="3.28515625" style="122" customWidth="1"/>
    <col min="15869" max="15869" width="5.85546875" style="122" customWidth="1"/>
    <col min="15870" max="15870" width="6.5703125" style="122" customWidth="1"/>
    <col min="15871" max="15871" width="3.28515625" style="122" customWidth="1"/>
    <col min="15872" max="15872" width="5.85546875" style="122" customWidth="1"/>
    <col min="15873" max="15873" width="6.5703125" style="122" customWidth="1"/>
    <col min="15874" max="15874" width="3.28515625" style="122" customWidth="1"/>
    <col min="15875" max="15875" width="5.85546875" style="122" customWidth="1"/>
    <col min="15876" max="15876" width="6.5703125" style="122" customWidth="1"/>
    <col min="15877" max="15877" width="3.28515625" style="122" customWidth="1"/>
    <col min="15878" max="15878" width="5.85546875" style="122" customWidth="1"/>
    <col min="15879" max="15879" width="6.5703125" style="122" customWidth="1"/>
    <col min="15880" max="15880" width="3.28515625" style="122" customWidth="1"/>
    <col min="15881" max="15881" width="5.85546875" style="122" customWidth="1"/>
    <col min="15882" max="15882" width="6.5703125" style="122" customWidth="1"/>
    <col min="15883" max="15883" width="3.28515625" style="122" customWidth="1"/>
    <col min="15884" max="15884" width="5.85546875" style="122" customWidth="1"/>
    <col min="15885" max="15885" width="6.5703125" style="122" customWidth="1"/>
    <col min="15886" max="15886" width="3.28515625" style="122" customWidth="1"/>
    <col min="15887" max="15887" width="5.85546875" style="122" customWidth="1"/>
    <col min="15888" max="15888" width="6.5703125" style="122" customWidth="1"/>
    <col min="15889" max="15889" width="3.28515625" style="122" customWidth="1"/>
    <col min="15890" max="15890" width="5.85546875" style="122" customWidth="1"/>
    <col min="15891" max="15891" width="6.5703125" style="122" customWidth="1"/>
    <col min="15892" max="15892" width="3.28515625" style="122" customWidth="1"/>
    <col min="15893" max="15893" width="5.85546875" style="122" customWidth="1"/>
    <col min="15894" max="15894" width="6.5703125" style="122" customWidth="1"/>
    <col min="15895" max="15895" width="3.28515625" style="122" customWidth="1"/>
    <col min="15896" max="15896" width="5.85546875" style="122" customWidth="1"/>
    <col min="15897" max="15897" width="6.5703125" style="122" customWidth="1"/>
    <col min="15898" max="15898" width="3.28515625" style="122" customWidth="1"/>
    <col min="15899" max="15899" width="5.85546875" style="122" customWidth="1"/>
    <col min="15900" max="15900" width="6.5703125" style="122" customWidth="1"/>
    <col min="15901" max="15901" width="3.28515625" style="122" customWidth="1"/>
    <col min="15902" max="15902" width="5.85546875" style="122" customWidth="1"/>
    <col min="15903" max="15903" width="6.5703125" style="122" customWidth="1"/>
    <col min="15904" max="15904" width="3.28515625" style="122" customWidth="1"/>
    <col min="15905" max="15905" width="5.85546875" style="122" customWidth="1"/>
    <col min="15906" max="15906" width="6.5703125" style="122" customWidth="1"/>
    <col min="15907" max="15907" width="9.42578125" style="122" customWidth="1"/>
    <col min="15908" max="16110" width="9.140625" style="122"/>
    <col min="16111" max="16111" width="4.85546875" style="122" customWidth="1"/>
    <col min="16112" max="16112" width="5.140625" style="122" customWidth="1"/>
    <col min="16113" max="16113" width="13.7109375" style="122" customWidth="1"/>
    <col min="16114" max="16114" width="9.42578125" style="122" customWidth="1"/>
    <col min="16115" max="16115" width="7.85546875" style="122" bestFit="1" customWidth="1"/>
    <col min="16116" max="16116" width="9.42578125" style="122" customWidth="1"/>
    <col min="16117" max="16117" width="7.42578125" style="122" customWidth="1"/>
    <col min="16118" max="16118" width="7.85546875" style="122" customWidth="1"/>
    <col min="16119" max="16119" width="11" style="122" customWidth="1"/>
    <col min="16120" max="16120" width="7.5703125" style="122" customWidth="1"/>
    <col min="16121" max="16121" width="3.28515625" style="122" customWidth="1"/>
    <col min="16122" max="16122" width="5.85546875" style="122" customWidth="1"/>
    <col min="16123" max="16123" width="6.5703125" style="122" customWidth="1"/>
    <col min="16124" max="16124" width="3.28515625" style="122" customWidth="1"/>
    <col min="16125" max="16125" width="5.85546875" style="122" customWidth="1"/>
    <col min="16126" max="16126" width="6.5703125" style="122" customWidth="1"/>
    <col min="16127" max="16127" width="3.28515625" style="122" customWidth="1"/>
    <col min="16128" max="16128" width="5.85546875" style="122" customWidth="1"/>
    <col min="16129" max="16129" width="6.5703125" style="122" customWidth="1"/>
    <col min="16130" max="16130" width="3.28515625" style="122" customWidth="1"/>
    <col min="16131" max="16131" width="5.85546875" style="122" customWidth="1"/>
    <col min="16132" max="16132" width="6.5703125" style="122" customWidth="1"/>
    <col min="16133" max="16133" width="3.28515625" style="122" customWidth="1"/>
    <col min="16134" max="16134" width="5.85546875" style="122" customWidth="1"/>
    <col min="16135" max="16135" width="6.5703125" style="122" customWidth="1"/>
    <col min="16136" max="16136" width="3.28515625" style="122" customWidth="1"/>
    <col min="16137" max="16137" width="5.85546875" style="122" customWidth="1"/>
    <col min="16138" max="16138" width="6.5703125" style="122" customWidth="1"/>
    <col min="16139" max="16139" width="3.28515625" style="122" customWidth="1"/>
    <col min="16140" max="16140" width="5.85546875" style="122" customWidth="1"/>
    <col min="16141" max="16141" width="6.5703125" style="122" customWidth="1"/>
    <col min="16142" max="16142" width="3.28515625" style="122" customWidth="1"/>
    <col min="16143" max="16143" width="5.85546875" style="122" customWidth="1"/>
    <col min="16144" max="16144" width="6.5703125" style="122" customWidth="1"/>
    <col min="16145" max="16145" width="3.28515625" style="122" customWidth="1"/>
    <col min="16146" max="16146" width="5.85546875" style="122" customWidth="1"/>
    <col min="16147" max="16147" width="6.5703125" style="122" customWidth="1"/>
    <col min="16148" max="16148" width="3.28515625" style="122" customWidth="1"/>
    <col min="16149" max="16149" width="5.85546875" style="122" customWidth="1"/>
    <col min="16150" max="16150" width="6.5703125" style="122" customWidth="1"/>
    <col min="16151" max="16151" width="3.28515625" style="122" customWidth="1"/>
    <col min="16152" max="16152" width="5.85546875" style="122" customWidth="1"/>
    <col min="16153" max="16153" width="6.5703125" style="122" customWidth="1"/>
    <col min="16154" max="16154" width="3.28515625" style="122" customWidth="1"/>
    <col min="16155" max="16155" width="5.85546875" style="122" customWidth="1"/>
    <col min="16156" max="16156" width="6.5703125" style="122" customWidth="1"/>
    <col min="16157" max="16157" width="3.28515625" style="122" customWidth="1"/>
    <col min="16158" max="16158" width="5.85546875" style="122" customWidth="1"/>
    <col min="16159" max="16159" width="6.5703125" style="122" customWidth="1"/>
    <col min="16160" max="16160" width="3.28515625" style="122" customWidth="1"/>
    <col min="16161" max="16161" width="5.85546875" style="122" customWidth="1"/>
    <col min="16162" max="16162" width="6.5703125" style="122" customWidth="1"/>
    <col min="16163" max="16163" width="9.42578125" style="122" customWidth="1"/>
    <col min="16164" max="16384" width="9.140625" style="122"/>
  </cols>
  <sheetData>
    <row r="1" spans="1:36" s="149" customFormat="1" ht="20.25" customHeight="1">
      <c r="A1" s="282" t="s">
        <v>1157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  <c r="O1" s="282"/>
      <c r="P1" s="282"/>
      <c r="Q1" s="282"/>
      <c r="R1" s="282"/>
      <c r="S1" s="282"/>
      <c r="T1" s="282"/>
      <c r="U1" s="282"/>
      <c r="V1" s="282"/>
      <c r="W1" s="282"/>
      <c r="X1" s="282"/>
      <c r="Y1" s="282"/>
      <c r="Z1" s="282"/>
      <c r="AA1" s="282"/>
      <c r="AB1" s="282"/>
      <c r="AC1" s="282"/>
      <c r="AD1" s="282"/>
      <c r="AE1" s="282"/>
      <c r="AF1" s="282"/>
      <c r="AG1" s="282"/>
      <c r="AH1" s="282"/>
      <c r="AI1" s="282"/>
      <c r="AJ1" s="148"/>
    </row>
    <row r="2" spans="1:36" s="149" customFormat="1" ht="20.25" customHeight="1">
      <c r="A2" s="282" t="s">
        <v>1170</v>
      </c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  <c r="O2" s="282"/>
      <c r="P2" s="282"/>
      <c r="Q2" s="282"/>
      <c r="R2" s="282"/>
      <c r="S2" s="282"/>
      <c r="T2" s="282"/>
      <c r="U2" s="282"/>
      <c r="V2" s="282"/>
      <c r="W2" s="282"/>
      <c r="X2" s="282"/>
      <c r="Y2" s="282"/>
      <c r="Z2" s="282"/>
      <c r="AA2" s="282"/>
      <c r="AB2" s="282"/>
      <c r="AC2" s="282"/>
      <c r="AD2" s="282"/>
      <c r="AE2" s="282"/>
      <c r="AF2" s="282"/>
      <c r="AG2" s="282"/>
      <c r="AH2" s="282"/>
      <c r="AI2" s="282"/>
      <c r="AJ2" s="148"/>
    </row>
    <row r="3" spans="1:36" s="149" customFormat="1" ht="20.25" customHeight="1">
      <c r="A3" s="282" t="s">
        <v>1171</v>
      </c>
      <c r="B3" s="282"/>
      <c r="C3" s="282"/>
      <c r="D3" s="282"/>
      <c r="E3" s="282"/>
      <c r="F3" s="282"/>
      <c r="G3" s="282"/>
      <c r="H3" s="282"/>
      <c r="I3" s="282"/>
      <c r="J3" s="282"/>
      <c r="K3" s="282"/>
      <c r="L3" s="282"/>
      <c r="M3" s="282"/>
      <c r="N3" s="282"/>
      <c r="O3" s="282"/>
      <c r="P3" s="282"/>
      <c r="Q3" s="282"/>
      <c r="R3" s="282"/>
      <c r="S3" s="282"/>
      <c r="T3" s="282"/>
      <c r="U3" s="282"/>
      <c r="V3" s="282"/>
      <c r="W3" s="282"/>
      <c r="X3" s="282"/>
      <c r="Y3" s="282"/>
      <c r="Z3" s="282"/>
      <c r="AA3" s="282"/>
      <c r="AB3" s="282"/>
      <c r="AC3" s="282"/>
      <c r="AD3" s="282"/>
      <c r="AE3" s="282"/>
      <c r="AF3" s="282"/>
      <c r="AG3" s="282"/>
      <c r="AH3" s="282"/>
      <c r="AI3" s="282"/>
      <c r="AJ3" s="148"/>
    </row>
    <row r="4" spans="1:36" ht="40.5" customHeight="1">
      <c r="A4" s="283" t="s">
        <v>698</v>
      </c>
      <c r="B4" s="283" t="s">
        <v>699</v>
      </c>
      <c r="C4" s="283"/>
      <c r="D4" s="283" t="s">
        <v>700</v>
      </c>
      <c r="E4" s="283" t="s">
        <v>701</v>
      </c>
      <c r="F4" s="283"/>
      <c r="G4" s="283"/>
      <c r="H4" s="283"/>
      <c r="I4" s="283" t="s">
        <v>702</v>
      </c>
      <c r="J4" s="283" t="s">
        <v>703</v>
      </c>
      <c r="K4" s="284" t="s">
        <v>85</v>
      </c>
      <c r="L4" s="285"/>
      <c r="M4" s="286"/>
      <c r="N4" s="284" t="s">
        <v>156</v>
      </c>
      <c r="O4" s="285"/>
      <c r="P4" s="286"/>
      <c r="Q4" s="284" t="s">
        <v>165</v>
      </c>
      <c r="R4" s="285"/>
      <c r="S4" s="286"/>
      <c r="T4" s="284" t="s">
        <v>158</v>
      </c>
      <c r="U4" s="285"/>
      <c r="V4" s="286"/>
      <c r="W4" s="284" t="s">
        <v>159</v>
      </c>
      <c r="X4" s="285"/>
      <c r="Y4" s="286"/>
      <c r="Z4" s="284" t="s">
        <v>160</v>
      </c>
      <c r="AA4" s="285"/>
      <c r="AB4" s="286"/>
      <c r="AC4" s="284" t="s">
        <v>86</v>
      </c>
      <c r="AD4" s="285"/>
      <c r="AE4" s="286"/>
      <c r="AF4" s="284" t="s">
        <v>1070</v>
      </c>
      <c r="AG4" s="285"/>
      <c r="AH4" s="286"/>
      <c r="AI4" s="283" t="s">
        <v>704</v>
      </c>
      <c r="AJ4" s="150"/>
    </row>
    <row r="5" spans="1:36" ht="54" customHeight="1">
      <c r="A5" s="283"/>
      <c r="B5" s="151" t="s">
        <v>658</v>
      </c>
      <c r="C5" s="152" t="s">
        <v>659</v>
      </c>
      <c r="D5" s="283"/>
      <c r="E5" s="151" t="s">
        <v>705</v>
      </c>
      <c r="F5" s="151" t="s">
        <v>706</v>
      </c>
      <c r="G5" s="151" t="s">
        <v>707</v>
      </c>
      <c r="H5" s="151" t="s">
        <v>3</v>
      </c>
      <c r="I5" s="283"/>
      <c r="J5" s="283"/>
      <c r="K5" s="153" t="s">
        <v>118</v>
      </c>
      <c r="L5" s="154" t="s">
        <v>708</v>
      </c>
      <c r="M5" s="153" t="s">
        <v>709</v>
      </c>
      <c r="N5" s="153" t="s">
        <v>118</v>
      </c>
      <c r="O5" s="154" t="s">
        <v>708</v>
      </c>
      <c r="P5" s="153" t="s">
        <v>709</v>
      </c>
      <c r="Q5" s="153" t="s">
        <v>118</v>
      </c>
      <c r="R5" s="154" t="s">
        <v>708</v>
      </c>
      <c r="S5" s="153" t="s">
        <v>709</v>
      </c>
      <c r="T5" s="153" t="s">
        <v>118</v>
      </c>
      <c r="U5" s="154" t="s">
        <v>708</v>
      </c>
      <c r="V5" s="153" t="s">
        <v>709</v>
      </c>
      <c r="W5" s="153" t="s">
        <v>118</v>
      </c>
      <c r="X5" s="154" t="s">
        <v>708</v>
      </c>
      <c r="Y5" s="153" t="s">
        <v>709</v>
      </c>
      <c r="Z5" s="153" t="s">
        <v>118</v>
      </c>
      <c r="AA5" s="154" t="s">
        <v>708</v>
      </c>
      <c r="AB5" s="153" t="s">
        <v>709</v>
      </c>
      <c r="AC5" s="153" t="s">
        <v>118</v>
      </c>
      <c r="AD5" s="154" t="s">
        <v>708</v>
      </c>
      <c r="AE5" s="153" t="s">
        <v>709</v>
      </c>
      <c r="AF5" s="153" t="s">
        <v>118</v>
      </c>
      <c r="AG5" s="154" t="s">
        <v>708</v>
      </c>
      <c r="AH5" s="153" t="s">
        <v>709</v>
      </c>
      <c r="AI5" s="283"/>
      <c r="AJ5" s="150"/>
    </row>
    <row r="6" spans="1:36">
      <c r="A6" s="151">
        <v>1</v>
      </c>
      <c r="B6" s="151">
        <v>2</v>
      </c>
      <c r="C6" s="165">
        <v>3</v>
      </c>
      <c r="D6" s="165">
        <v>4</v>
      </c>
      <c r="E6" s="165">
        <v>5</v>
      </c>
      <c r="F6" s="165">
        <v>6</v>
      </c>
      <c r="G6" s="165">
        <v>7</v>
      </c>
      <c r="H6" s="165">
        <v>8</v>
      </c>
      <c r="I6" s="165">
        <v>9</v>
      </c>
      <c r="J6" s="165">
        <v>10</v>
      </c>
      <c r="K6" s="165">
        <v>11</v>
      </c>
      <c r="L6" s="165">
        <v>12</v>
      </c>
      <c r="M6" s="165">
        <v>13</v>
      </c>
      <c r="N6" s="165">
        <v>14</v>
      </c>
      <c r="O6" s="165">
        <v>15</v>
      </c>
      <c r="P6" s="165">
        <v>16</v>
      </c>
      <c r="Q6" s="165">
        <v>17</v>
      </c>
      <c r="R6" s="165">
        <v>18</v>
      </c>
      <c r="S6" s="165">
        <v>19</v>
      </c>
      <c r="T6" s="165">
        <v>20</v>
      </c>
      <c r="U6" s="165">
        <v>21</v>
      </c>
      <c r="V6" s="165">
        <v>22</v>
      </c>
      <c r="W6" s="165">
        <v>23</v>
      </c>
      <c r="X6" s="165">
        <v>24</v>
      </c>
      <c r="Y6" s="165">
        <v>25</v>
      </c>
      <c r="Z6" s="165">
        <v>26</v>
      </c>
      <c r="AA6" s="165">
        <v>27</v>
      </c>
      <c r="AB6" s="165">
        <v>28</v>
      </c>
      <c r="AC6" s="165">
        <v>29</v>
      </c>
      <c r="AD6" s="165">
        <v>30</v>
      </c>
      <c r="AE6" s="165">
        <v>31</v>
      </c>
      <c r="AF6" s="165">
        <v>32</v>
      </c>
      <c r="AG6" s="165">
        <v>33</v>
      </c>
      <c r="AH6" s="165">
        <v>34</v>
      </c>
      <c r="AI6" s="165">
        <v>35</v>
      </c>
      <c r="AJ6" s="150"/>
    </row>
    <row r="7" spans="1:36" ht="63" customHeight="1">
      <c r="A7" s="151">
        <v>66</v>
      </c>
      <c r="B7" s="155">
        <v>1</v>
      </c>
      <c r="C7" s="156" t="s">
        <v>710</v>
      </c>
      <c r="D7" s="155">
        <v>1090</v>
      </c>
      <c r="E7" s="151">
        <v>402</v>
      </c>
      <c r="F7" s="151">
        <v>346</v>
      </c>
      <c r="G7" s="151">
        <v>0</v>
      </c>
      <c r="H7" s="151">
        <f>SUM(E7:G7)</f>
        <v>748</v>
      </c>
      <c r="I7" s="155">
        <v>502</v>
      </c>
      <c r="J7" s="151">
        <v>0</v>
      </c>
      <c r="K7" s="151">
        <v>1</v>
      </c>
      <c r="L7" s="287" t="s">
        <v>1069</v>
      </c>
      <c r="M7" s="151">
        <f>'66 SYANA PRAROOP-20'!C8</f>
        <v>258</v>
      </c>
      <c r="N7" s="157">
        <v>2</v>
      </c>
      <c r="O7" s="287" t="s">
        <v>124</v>
      </c>
      <c r="P7" s="158">
        <f>'66 SYANA PRAROOP-20'!D8</f>
        <v>438</v>
      </c>
      <c r="Q7" s="157">
        <v>3</v>
      </c>
      <c r="R7" s="287" t="s">
        <v>711</v>
      </c>
      <c r="S7" s="158">
        <f>'66 SYANA PRAROOP-20'!E8</f>
        <v>8</v>
      </c>
      <c r="T7" s="157">
        <v>4</v>
      </c>
      <c r="U7" s="287" t="s">
        <v>123</v>
      </c>
      <c r="V7" s="159">
        <f>'66 SYANA PRAROOP-20'!F8</f>
        <v>35</v>
      </c>
      <c r="W7" s="157">
        <v>5</v>
      </c>
      <c r="X7" s="287" t="s">
        <v>167</v>
      </c>
      <c r="Y7" s="159">
        <f>'66 SYANA PRAROOP-20'!G8</f>
        <v>1</v>
      </c>
      <c r="Z7" s="157">
        <v>6</v>
      </c>
      <c r="AA7" s="287" t="s">
        <v>168</v>
      </c>
      <c r="AB7" s="151">
        <f>'66 SYANA PRAROOP-20'!H8</f>
        <v>2</v>
      </c>
      <c r="AC7" s="157">
        <v>7</v>
      </c>
      <c r="AD7" s="291" t="s">
        <v>125</v>
      </c>
      <c r="AE7" s="151">
        <f>'66 SYANA PRAROOP-20'!I8</f>
        <v>2</v>
      </c>
      <c r="AF7" s="157">
        <v>8</v>
      </c>
      <c r="AG7" s="287" t="s">
        <v>125</v>
      </c>
      <c r="AH7" s="151">
        <f>'66 SYANA PRAROOP-20'!J8</f>
        <v>2</v>
      </c>
      <c r="AI7" s="159">
        <f>M7+P7+S7+V7+Y7+AB7+AE7+AH7</f>
        <v>746</v>
      </c>
      <c r="AJ7" s="150">
        <f t="shared" ref="AJ7:AJ70" si="0">AI7-H7</f>
        <v>-2</v>
      </c>
    </row>
    <row r="8" spans="1:36" ht="51">
      <c r="A8" s="151">
        <v>66</v>
      </c>
      <c r="B8" s="155">
        <v>2</v>
      </c>
      <c r="C8" s="156" t="s">
        <v>712</v>
      </c>
      <c r="D8" s="155">
        <v>1119</v>
      </c>
      <c r="E8" s="151">
        <v>373</v>
      </c>
      <c r="F8" s="151">
        <v>290</v>
      </c>
      <c r="G8" s="151">
        <v>0</v>
      </c>
      <c r="H8" s="151">
        <f t="shared" ref="H8:H71" si="1">SUM(E8:G8)</f>
        <v>663</v>
      </c>
      <c r="I8" s="155">
        <v>103</v>
      </c>
      <c r="J8" s="151">
        <v>0</v>
      </c>
      <c r="K8" s="160"/>
      <c r="L8" s="287"/>
      <c r="M8" s="168">
        <f>'66 SYANA PRAROOP-20'!C9</f>
        <v>151</v>
      </c>
      <c r="N8" s="160"/>
      <c r="O8" s="287"/>
      <c r="P8" s="158">
        <f>'66 SYANA PRAROOP-20'!D9</f>
        <v>197</v>
      </c>
      <c r="Q8" s="160"/>
      <c r="R8" s="287"/>
      <c r="S8" s="158">
        <f>'66 SYANA PRAROOP-20'!E9</f>
        <v>10</v>
      </c>
      <c r="T8" s="160"/>
      <c r="U8" s="287"/>
      <c r="V8" s="159">
        <f>'66 SYANA PRAROOP-20'!F9</f>
        <v>293</v>
      </c>
      <c r="W8" s="160"/>
      <c r="X8" s="287"/>
      <c r="Y8" s="159">
        <f>'66 SYANA PRAROOP-20'!G9</f>
        <v>2</v>
      </c>
      <c r="Z8" s="160"/>
      <c r="AA8" s="287"/>
      <c r="AB8" s="168">
        <f>'66 SYANA PRAROOP-20'!H9</f>
        <v>3</v>
      </c>
      <c r="AC8" s="160"/>
      <c r="AD8" s="291"/>
      <c r="AE8" s="168">
        <f>'66 SYANA PRAROOP-20'!I9</f>
        <v>6</v>
      </c>
      <c r="AF8" s="160"/>
      <c r="AG8" s="287"/>
      <c r="AH8" s="168">
        <f>'66 SYANA PRAROOP-20'!J9</f>
        <v>0</v>
      </c>
      <c r="AI8" s="159">
        <f t="shared" ref="AI8:AI71" si="2">M8+P8+S8+V8+Y8+AB8+AE8+AH8</f>
        <v>662</v>
      </c>
      <c r="AJ8" s="150">
        <f t="shared" si="0"/>
        <v>-1</v>
      </c>
    </row>
    <row r="9" spans="1:36" ht="51">
      <c r="A9" s="151">
        <v>66</v>
      </c>
      <c r="B9" s="155">
        <v>3</v>
      </c>
      <c r="C9" s="156" t="s">
        <v>713</v>
      </c>
      <c r="D9" s="155">
        <v>1183</v>
      </c>
      <c r="E9" s="151">
        <v>380</v>
      </c>
      <c r="F9" s="151">
        <v>344</v>
      </c>
      <c r="G9" s="151">
        <v>0</v>
      </c>
      <c r="H9" s="151">
        <f t="shared" si="1"/>
        <v>724</v>
      </c>
      <c r="I9" s="155">
        <v>92</v>
      </c>
      <c r="J9" s="151">
        <v>0</v>
      </c>
      <c r="K9" s="160"/>
      <c r="L9" s="287"/>
      <c r="M9" s="168">
        <f>'66 SYANA PRAROOP-20'!C10</f>
        <v>45</v>
      </c>
      <c r="N9" s="160"/>
      <c r="O9" s="287"/>
      <c r="P9" s="158">
        <f>'66 SYANA PRAROOP-20'!D10</f>
        <v>527</v>
      </c>
      <c r="Q9" s="160"/>
      <c r="R9" s="287"/>
      <c r="S9" s="158">
        <f>'66 SYANA PRAROOP-20'!E10</f>
        <v>16</v>
      </c>
      <c r="T9" s="160"/>
      <c r="U9" s="287"/>
      <c r="V9" s="159">
        <f>'66 SYANA PRAROOP-20'!F10</f>
        <v>95</v>
      </c>
      <c r="W9" s="160"/>
      <c r="X9" s="287"/>
      <c r="Y9" s="159">
        <f>'66 SYANA PRAROOP-20'!G10</f>
        <v>5</v>
      </c>
      <c r="Z9" s="160"/>
      <c r="AA9" s="287"/>
      <c r="AB9" s="168">
        <f>'66 SYANA PRAROOP-20'!H10</f>
        <v>6</v>
      </c>
      <c r="AC9" s="160"/>
      <c r="AD9" s="291"/>
      <c r="AE9" s="168">
        <f>'66 SYANA PRAROOP-20'!I10</f>
        <v>12</v>
      </c>
      <c r="AF9" s="160"/>
      <c r="AG9" s="287"/>
      <c r="AH9" s="168">
        <f>'66 SYANA PRAROOP-20'!J10</f>
        <v>11</v>
      </c>
      <c r="AI9" s="159">
        <f t="shared" si="2"/>
        <v>717</v>
      </c>
      <c r="AJ9" s="150">
        <f t="shared" si="0"/>
        <v>-7</v>
      </c>
    </row>
    <row r="10" spans="1:36" ht="51">
      <c r="A10" s="151">
        <v>66</v>
      </c>
      <c r="B10" s="155">
        <v>4</v>
      </c>
      <c r="C10" s="156" t="s">
        <v>714</v>
      </c>
      <c r="D10" s="155">
        <v>703</v>
      </c>
      <c r="E10" s="151">
        <v>259</v>
      </c>
      <c r="F10" s="151">
        <v>236</v>
      </c>
      <c r="G10" s="151">
        <v>0</v>
      </c>
      <c r="H10" s="151">
        <f t="shared" si="1"/>
        <v>495</v>
      </c>
      <c r="I10" s="155">
        <v>56</v>
      </c>
      <c r="J10" s="151">
        <v>0</v>
      </c>
      <c r="K10" s="160"/>
      <c r="L10" s="287"/>
      <c r="M10" s="168">
        <f>'66 SYANA PRAROOP-20'!C11</f>
        <v>63</v>
      </c>
      <c r="N10" s="160"/>
      <c r="O10" s="287"/>
      <c r="P10" s="158">
        <f>'66 SYANA PRAROOP-20'!D11</f>
        <v>339</v>
      </c>
      <c r="Q10" s="160"/>
      <c r="R10" s="287"/>
      <c r="S10" s="158">
        <f>'66 SYANA PRAROOP-20'!E11</f>
        <v>18</v>
      </c>
      <c r="T10" s="160"/>
      <c r="U10" s="287"/>
      <c r="V10" s="159">
        <f>'66 SYANA PRAROOP-20'!F11</f>
        <v>64</v>
      </c>
      <c r="W10" s="160"/>
      <c r="X10" s="287"/>
      <c r="Y10" s="159">
        <f>'66 SYANA PRAROOP-20'!G11</f>
        <v>2</v>
      </c>
      <c r="Z10" s="160"/>
      <c r="AA10" s="287"/>
      <c r="AB10" s="168">
        <f>'66 SYANA PRAROOP-20'!H11</f>
        <v>1</v>
      </c>
      <c r="AC10" s="160"/>
      <c r="AD10" s="291"/>
      <c r="AE10" s="168">
        <f>'66 SYANA PRAROOP-20'!I11</f>
        <v>0</v>
      </c>
      <c r="AF10" s="160"/>
      <c r="AG10" s="287"/>
      <c r="AH10" s="168">
        <f>'66 SYANA PRAROOP-20'!J11</f>
        <v>6</v>
      </c>
      <c r="AI10" s="159">
        <f t="shared" si="2"/>
        <v>493</v>
      </c>
      <c r="AJ10" s="150">
        <f t="shared" si="0"/>
        <v>-2</v>
      </c>
    </row>
    <row r="11" spans="1:36" ht="51">
      <c r="A11" s="151">
        <v>66</v>
      </c>
      <c r="B11" s="155">
        <v>5</v>
      </c>
      <c r="C11" s="156" t="s">
        <v>715</v>
      </c>
      <c r="D11" s="155">
        <v>714</v>
      </c>
      <c r="E11" s="151">
        <v>266</v>
      </c>
      <c r="F11" s="151">
        <v>231</v>
      </c>
      <c r="G11" s="151">
        <v>0</v>
      </c>
      <c r="H11" s="151">
        <f t="shared" si="1"/>
        <v>497</v>
      </c>
      <c r="I11" s="155">
        <v>301</v>
      </c>
      <c r="J11" s="151">
        <v>0</v>
      </c>
      <c r="K11" s="160"/>
      <c r="L11" s="287"/>
      <c r="M11" s="168">
        <f>'66 SYANA PRAROOP-20'!C12</f>
        <v>67</v>
      </c>
      <c r="N11" s="160"/>
      <c r="O11" s="287"/>
      <c r="P11" s="158">
        <f>'66 SYANA PRAROOP-20'!D12</f>
        <v>305</v>
      </c>
      <c r="Q11" s="160"/>
      <c r="R11" s="287"/>
      <c r="S11" s="158">
        <f>'66 SYANA PRAROOP-20'!E12</f>
        <v>28</v>
      </c>
      <c r="T11" s="160"/>
      <c r="U11" s="287"/>
      <c r="V11" s="159">
        <f>'66 SYANA PRAROOP-20'!F12</f>
        <v>75</v>
      </c>
      <c r="W11" s="160"/>
      <c r="X11" s="287"/>
      <c r="Y11" s="159">
        <f>'66 SYANA PRAROOP-20'!G12</f>
        <v>0</v>
      </c>
      <c r="Z11" s="160"/>
      <c r="AA11" s="287"/>
      <c r="AB11" s="168">
        <f>'66 SYANA PRAROOP-20'!H12</f>
        <v>2</v>
      </c>
      <c r="AC11" s="160"/>
      <c r="AD11" s="291"/>
      <c r="AE11" s="168">
        <f>'66 SYANA PRAROOP-20'!I12</f>
        <v>5</v>
      </c>
      <c r="AF11" s="160"/>
      <c r="AG11" s="287"/>
      <c r="AH11" s="168">
        <f>'66 SYANA PRAROOP-20'!J12</f>
        <v>9</v>
      </c>
      <c r="AI11" s="159">
        <f t="shared" si="2"/>
        <v>491</v>
      </c>
      <c r="AJ11" s="150">
        <f t="shared" si="0"/>
        <v>-6</v>
      </c>
    </row>
    <row r="12" spans="1:36" ht="51">
      <c r="A12" s="151">
        <v>66</v>
      </c>
      <c r="B12" s="155">
        <v>6</v>
      </c>
      <c r="C12" s="156" t="s">
        <v>716</v>
      </c>
      <c r="D12" s="155">
        <v>984</v>
      </c>
      <c r="E12" s="151">
        <v>389</v>
      </c>
      <c r="F12" s="151">
        <v>361</v>
      </c>
      <c r="G12" s="151">
        <v>0</v>
      </c>
      <c r="H12" s="151">
        <f t="shared" si="1"/>
        <v>750</v>
      </c>
      <c r="I12" s="155">
        <v>289</v>
      </c>
      <c r="J12" s="151">
        <v>0</v>
      </c>
      <c r="K12" s="160"/>
      <c r="L12" s="161"/>
      <c r="M12" s="168">
        <f>'66 SYANA PRAROOP-20'!C13</f>
        <v>52</v>
      </c>
      <c r="N12" s="160"/>
      <c r="O12" s="160"/>
      <c r="P12" s="158">
        <f>'66 SYANA PRAROOP-20'!D13</f>
        <v>666</v>
      </c>
      <c r="Q12" s="160"/>
      <c r="R12" s="160"/>
      <c r="S12" s="158">
        <f>'66 SYANA PRAROOP-20'!E13</f>
        <v>9</v>
      </c>
      <c r="T12" s="160"/>
      <c r="U12" s="160"/>
      <c r="V12" s="159">
        <f>'66 SYANA PRAROOP-20'!F13</f>
        <v>1</v>
      </c>
      <c r="W12" s="160"/>
      <c r="X12" s="161"/>
      <c r="Y12" s="159">
        <f>'66 SYANA PRAROOP-20'!G13</f>
        <v>1</v>
      </c>
      <c r="Z12" s="160"/>
      <c r="AA12" s="160"/>
      <c r="AB12" s="168">
        <f>'66 SYANA PRAROOP-20'!H13</f>
        <v>0</v>
      </c>
      <c r="AC12" s="160"/>
      <c r="AD12" s="160"/>
      <c r="AE12" s="168">
        <f>'66 SYANA PRAROOP-20'!I13</f>
        <v>4</v>
      </c>
      <c r="AF12" s="160"/>
      <c r="AG12" s="160"/>
      <c r="AH12" s="168">
        <f>'66 SYANA PRAROOP-20'!J13</f>
        <v>7</v>
      </c>
      <c r="AI12" s="159">
        <f t="shared" si="2"/>
        <v>740</v>
      </c>
      <c r="AJ12" s="150">
        <f t="shared" si="0"/>
        <v>-10</v>
      </c>
    </row>
    <row r="13" spans="1:36" ht="51">
      <c r="A13" s="151">
        <v>66</v>
      </c>
      <c r="B13" s="155">
        <v>7</v>
      </c>
      <c r="C13" s="156" t="s">
        <v>717</v>
      </c>
      <c r="D13" s="155">
        <v>757</v>
      </c>
      <c r="E13" s="151">
        <v>297</v>
      </c>
      <c r="F13" s="151">
        <v>313</v>
      </c>
      <c r="G13" s="151">
        <v>0</v>
      </c>
      <c r="H13" s="151">
        <f t="shared" si="1"/>
        <v>610</v>
      </c>
      <c r="I13" s="155">
        <v>197</v>
      </c>
      <c r="J13" s="151">
        <v>0</v>
      </c>
      <c r="K13" s="160"/>
      <c r="L13" s="160"/>
      <c r="M13" s="168">
        <f>'66 SYANA PRAROOP-20'!C14</f>
        <v>28</v>
      </c>
      <c r="N13" s="160"/>
      <c r="O13" s="160"/>
      <c r="P13" s="158">
        <f>'66 SYANA PRAROOP-20'!D14</f>
        <v>557</v>
      </c>
      <c r="Q13" s="160"/>
      <c r="R13" s="160"/>
      <c r="S13" s="158">
        <f>'66 SYANA PRAROOP-20'!E14</f>
        <v>10</v>
      </c>
      <c r="T13" s="160"/>
      <c r="U13" s="160"/>
      <c r="V13" s="159">
        <f>'66 SYANA PRAROOP-20'!F14</f>
        <v>7</v>
      </c>
      <c r="W13" s="160"/>
      <c r="X13" s="160"/>
      <c r="Y13" s="159">
        <f>'66 SYANA PRAROOP-20'!G14</f>
        <v>1</v>
      </c>
      <c r="Z13" s="160"/>
      <c r="AA13" s="160"/>
      <c r="AB13" s="168">
        <f>'66 SYANA PRAROOP-20'!H14</f>
        <v>2</v>
      </c>
      <c r="AC13" s="160"/>
      <c r="AD13" s="160"/>
      <c r="AE13" s="168">
        <f>'66 SYANA PRAROOP-20'!I14</f>
        <v>1</v>
      </c>
      <c r="AF13" s="160"/>
      <c r="AG13" s="160"/>
      <c r="AH13" s="168">
        <f>'66 SYANA PRAROOP-20'!J14</f>
        <v>2</v>
      </c>
      <c r="AI13" s="159">
        <f t="shared" si="2"/>
        <v>608</v>
      </c>
      <c r="AJ13" s="150">
        <f t="shared" si="0"/>
        <v>-2</v>
      </c>
    </row>
    <row r="14" spans="1:36" ht="38.25">
      <c r="A14" s="151">
        <v>66</v>
      </c>
      <c r="B14" s="155">
        <v>8</v>
      </c>
      <c r="C14" s="156" t="s">
        <v>1071</v>
      </c>
      <c r="D14" s="155">
        <v>1167</v>
      </c>
      <c r="E14" s="151">
        <v>434</v>
      </c>
      <c r="F14" s="151">
        <v>362</v>
      </c>
      <c r="G14" s="151">
        <v>0</v>
      </c>
      <c r="H14" s="151">
        <f t="shared" si="1"/>
        <v>796</v>
      </c>
      <c r="I14" s="155">
        <v>88</v>
      </c>
      <c r="J14" s="151">
        <v>0</v>
      </c>
      <c r="K14" s="160"/>
      <c r="L14" s="160"/>
      <c r="M14" s="168">
        <f>'66 SYANA PRAROOP-20'!C15</f>
        <v>160</v>
      </c>
      <c r="N14" s="160"/>
      <c r="O14" s="160"/>
      <c r="P14" s="158">
        <f>'66 SYANA PRAROOP-20'!D15</f>
        <v>613</v>
      </c>
      <c r="Q14" s="160"/>
      <c r="R14" s="160"/>
      <c r="S14" s="158">
        <f>'66 SYANA PRAROOP-20'!E15</f>
        <v>13</v>
      </c>
      <c r="T14" s="160"/>
      <c r="U14" s="160"/>
      <c r="V14" s="159">
        <f>'66 SYANA PRAROOP-20'!F15</f>
        <v>3</v>
      </c>
      <c r="W14" s="160"/>
      <c r="X14" s="160"/>
      <c r="Y14" s="159">
        <f>'66 SYANA PRAROOP-20'!G15</f>
        <v>1</v>
      </c>
      <c r="Z14" s="160"/>
      <c r="AA14" s="160"/>
      <c r="AB14" s="168">
        <f>'66 SYANA PRAROOP-20'!H15</f>
        <v>2</v>
      </c>
      <c r="AC14" s="160"/>
      <c r="AD14" s="160"/>
      <c r="AE14" s="168">
        <f>'66 SYANA PRAROOP-20'!I15</f>
        <v>1</v>
      </c>
      <c r="AF14" s="160"/>
      <c r="AG14" s="160"/>
      <c r="AH14" s="168">
        <f>'66 SYANA PRAROOP-20'!J15</f>
        <v>2</v>
      </c>
      <c r="AI14" s="159">
        <f t="shared" si="2"/>
        <v>795</v>
      </c>
      <c r="AJ14" s="150">
        <f t="shared" si="0"/>
        <v>-1</v>
      </c>
    </row>
    <row r="15" spans="1:36" ht="63.75">
      <c r="A15" s="151">
        <v>66</v>
      </c>
      <c r="B15" s="155">
        <v>9</v>
      </c>
      <c r="C15" s="156" t="s">
        <v>718</v>
      </c>
      <c r="D15" s="155">
        <v>869</v>
      </c>
      <c r="E15" s="151">
        <v>302</v>
      </c>
      <c r="F15" s="151">
        <v>271</v>
      </c>
      <c r="G15" s="151">
        <v>0</v>
      </c>
      <c r="H15" s="151">
        <f t="shared" si="1"/>
        <v>573</v>
      </c>
      <c r="I15" s="155">
        <v>402</v>
      </c>
      <c r="J15" s="151">
        <v>0</v>
      </c>
      <c r="K15" s="160"/>
      <c r="L15" s="160"/>
      <c r="M15" s="168">
        <f>'66 SYANA PRAROOP-20'!C16</f>
        <v>161</v>
      </c>
      <c r="N15" s="160"/>
      <c r="O15" s="160"/>
      <c r="P15" s="158">
        <f>'66 SYANA PRAROOP-20'!D16</f>
        <v>322</v>
      </c>
      <c r="Q15" s="160"/>
      <c r="R15" s="160"/>
      <c r="S15" s="158">
        <f>'66 SYANA PRAROOP-20'!E16</f>
        <v>1</v>
      </c>
      <c r="T15" s="160"/>
      <c r="U15" s="160"/>
      <c r="V15" s="159">
        <f>'66 SYANA PRAROOP-20'!F16</f>
        <v>78</v>
      </c>
      <c r="W15" s="160"/>
      <c r="X15" s="160"/>
      <c r="Y15" s="159">
        <f>'66 SYANA PRAROOP-20'!G16</f>
        <v>2</v>
      </c>
      <c r="Z15" s="160"/>
      <c r="AA15" s="160"/>
      <c r="AB15" s="168">
        <f>'66 SYANA PRAROOP-20'!H16</f>
        <v>2</v>
      </c>
      <c r="AC15" s="160"/>
      <c r="AD15" s="160"/>
      <c r="AE15" s="168">
        <f>'66 SYANA PRAROOP-20'!I16</f>
        <v>1</v>
      </c>
      <c r="AF15" s="160"/>
      <c r="AG15" s="160"/>
      <c r="AH15" s="168">
        <f>'66 SYANA PRAROOP-20'!J16</f>
        <v>4</v>
      </c>
      <c r="AI15" s="159">
        <f t="shared" si="2"/>
        <v>571</v>
      </c>
      <c r="AJ15" s="150">
        <f t="shared" si="0"/>
        <v>-2</v>
      </c>
    </row>
    <row r="16" spans="1:36" ht="63.75">
      <c r="A16" s="151">
        <v>66</v>
      </c>
      <c r="B16" s="155">
        <v>10</v>
      </c>
      <c r="C16" s="156" t="s">
        <v>719</v>
      </c>
      <c r="D16" s="155">
        <v>956</v>
      </c>
      <c r="E16" s="151">
        <v>335</v>
      </c>
      <c r="F16" s="151">
        <v>299</v>
      </c>
      <c r="G16" s="151">
        <v>0</v>
      </c>
      <c r="H16" s="151">
        <f t="shared" si="1"/>
        <v>634</v>
      </c>
      <c r="I16" s="155">
        <v>455</v>
      </c>
      <c r="J16" s="151">
        <v>0</v>
      </c>
      <c r="K16" s="160"/>
      <c r="L16" s="160"/>
      <c r="M16" s="168">
        <f>'66 SYANA PRAROOP-20'!C17</f>
        <v>264</v>
      </c>
      <c r="N16" s="160"/>
      <c r="O16" s="160"/>
      <c r="P16" s="158">
        <f>'66 SYANA PRAROOP-20'!D17</f>
        <v>321</v>
      </c>
      <c r="Q16" s="160"/>
      <c r="R16" s="160"/>
      <c r="S16" s="158">
        <f>'66 SYANA PRAROOP-20'!E17</f>
        <v>2</v>
      </c>
      <c r="T16" s="160"/>
      <c r="U16" s="160"/>
      <c r="V16" s="159">
        <f>'66 SYANA PRAROOP-20'!F17</f>
        <v>42</v>
      </c>
      <c r="W16" s="160"/>
      <c r="X16" s="160"/>
      <c r="Y16" s="159">
        <f>'66 SYANA PRAROOP-20'!G17</f>
        <v>0</v>
      </c>
      <c r="Z16" s="160"/>
      <c r="AA16" s="160"/>
      <c r="AB16" s="168">
        <f>'66 SYANA PRAROOP-20'!H17</f>
        <v>3</v>
      </c>
      <c r="AC16" s="160"/>
      <c r="AD16" s="160"/>
      <c r="AE16" s="168">
        <f>'66 SYANA PRAROOP-20'!I17</f>
        <v>0</v>
      </c>
      <c r="AF16" s="160"/>
      <c r="AG16" s="160"/>
      <c r="AH16" s="168">
        <f>'66 SYANA PRAROOP-20'!J17</f>
        <v>0</v>
      </c>
      <c r="AI16" s="159">
        <f t="shared" si="2"/>
        <v>632</v>
      </c>
      <c r="AJ16" s="150">
        <f t="shared" si="0"/>
        <v>-2</v>
      </c>
    </row>
    <row r="17" spans="1:36" ht="38.25">
      <c r="A17" s="151">
        <v>66</v>
      </c>
      <c r="B17" s="155">
        <v>11</v>
      </c>
      <c r="C17" s="156" t="s">
        <v>720</v>
      </c>
      <c r="D17" s="155">
        <v>879</v>
      </c>
      <c r="E17" s="151">
        <v>300</v>
      </c>
      <c r="F17" s="151">
        <v>264</v>
      </c>
      <c r="G17" s="151">
        <v>0</v>
      </c>
      <c r="H17" s="151">
        <f t="shared" si="1"/>
        <v>564</v>
      </c>
      <c r="I17" s="155">
        <v>400</v>
      </c>
      <c r="J17" s="151">
        <v>0</v>
      </c>
      <c r="K17" s="160"/>
      <c r="L17" s="160"/>
      <c r="M17" s="168">
        <f>'66 SYANA PRAROOP-20'!C18</f>
        <v>200</v>
      </c>
      <c r="N17" s="160"/>
      <c r="O17" s="160"/>
      <c r="P17" s="158">
        <f>'66 SYANA PRAROOP-20'!D18</f>
        <v>344</v>
      </c>
      <c r="Q17" s="160"/>
      <c r="R17" s="160"/>
      <c r="S17" s="158">
        <f>'66 SYANA PRAROOP-20'!E18</f>
        <v>13</v>
      </c>
      <c r="T17" s="160"/>
      <c r="U17" s="160"/>
      <c r="V17" s="159">
        <f>'66 SYANA PRAROOP-20'!F18</f>
        <v>4</v>
      </c>
      <c r="W17" s="160"/>
      <c r="X17" s="160"/>
      <c r="Y17" s="159">
        <f>'66 SYANA PRAROOP-20'!G18</f>
        <v>1</v>
      </c>
      <c r="Z17" s="160"/>
      <c r="AA17" s="160"/>
      <c r="AB17" s="168">
        <f>'66 SYANA PRAROOP-20'!H18</f>
        <v>1</v>
      </c>
      <c r="AC17" s="160"/>
      <c r="AD17" s="160"/>
      <c r="AE17" s="168">
        <f>'66 SYANA PRAROOP-20'!I18</f>
        <v>0</v>
      </c>
      <c r="AF17" s="160"/>
      <c r="AG17" s="160"/>
      <c r="AH17" s="168">
        <f>'66 SYANA PRAROOP-20'!J18</f>
        <v>0</v>
      </c>
      <c r="AI17" s="159">
        <f t="shared" si="2"/>
        <v>563</v>
      </c>
      <c r="AJ17" s="150">
        <f t="shared" si="0"/>
        <v>-1</v>
      </c>
    </row>
    <row r="18" spans="1:36" ht="38.25">
      <c r="A18" s="151">
        <v>66</v>
      </c>
      <c r="B18" s="155">
        <v>12</v>
      </c>
      <c r="C18" s="156" t="s">
        <v>721</v>
      </c>
      <c r="D18" s="155">
        <v>867</v>
      </c>
      <c r="E18" s="151">
        <v>288</v>
      </c>
      <c r="F18" s="151">
        <v>219</v>
      </c>
      <c r="G18" s="151">
        <v>0</v>
      </c>
      <c r="H18" s="151">
        <f t="shared" si="1"/>
        <v>507</v>
      </c>
      <c r="I18" s="155">
        <v>50</v>
      </c>
      <c r="J18" s="151">
        <v>0</v>
      </c>
      <c r="K18" s="160"/>
      <c r="L18" s="160"/>
      <c r="M18" s="168">
        <f>'66 SYANA PRAROOP-20'!C19</f>
        <v>48</v>
      </c>
      <c r="N18" s="160"/>
      <c r="O18" s="160"/>
      <c r="P18" s="158">
        <f>'66 SYANA PRAROOP-20'!D19</f>
        <v>319</v>
      </c>
      <c r="Q18" s="160"/>
      <c r="R18" s="160"/>
      <c r="S18" s="158">
        <f>'66 SYANA PRAROOP-20'!E19</f>
        <v>8</v>
      </c>
      <c r="T18" s="160"/>
      <c r="U18" s="160"/>
      <c r="V18" s="159">
        <f>'66 SYANA PRAROOP-20'!F19</f>
        <v>118</v>
      </c>
      <c r="W18" s="160"/>
      <c r="X18" s="160"/>
      <c r="Y18" s="159">
        <f>'66 SYANA PRAROOP-20'!G19</f>
        <v>3</v>
      </c>
      <c r="Z18" s="160"/>
      <c r="AA18" s="160"/>
      <c r="AB18" s="168">
        <f>'66 SYANA PRAROOP-20'!H19</f>
        <v>6</v>
      </c>
      <c r="AC18" s="160"/>
      <c r="AD18" s="160"/>
      <c r="AE18" s="168">
        <f>'66 SYANA PRAROOP-20'!I19</f>
        <v>5</v>
      </c>
      <c r="AF18" s="160"/>
      <c r="AG18" s="160"/>
      <c r="AH18" s="168">
        <f>'66 SYANA PRAROOP-20'!J19</f>
        <v>0</v>
      </c>
      <c r="AI18" s="159">
        <f t="shared" si="2"/>
        <v>507</v>
      </c>
      <c r="AJ18" s="150">
        <f t="shared" si="0"/>
        <v>0</v>
      </c>
    </row>
    <row r="19" spans="1:36" ht="51">
      <c r="A19" s="151">
        <v>66</v>
      </c>
      <c r="B19" s="155">
        <v>13</v>
      </c>
      <c r="C19" s="156" t="s">
        <v>722</v>
      </c>
      <c r="D19" s="155">
        <v>720</v>
      </c>
      <c r="E19" s="151">
        <v>240</v>
      </c>
      <c r="F19" s="151">
        <v>185</v>
      </c>
      <c r="G19" s="151">
        <v>0</v>
      </c>
      <c r="H19" s="151">
        <f t="shared" si="1"/>
        <v>425</v>
      </c>
      <c r="I19" s="155">
        <v>250</v>
      </c>
      <c r="J19" s="151">
        <v>0</v>
      </c>
      <c r="K19" s="160"/>
      <c r="L19" s="160"/>
      <c r="M19" s="168">
        <f>'66 SYANA PRAROOP-20'!C20</f>
        <v>213</v>
      </c>
      <c r="N19" s="160"/>
      <c r="O19" s="160"/>
      <c r="P19" s="158">
        <f>'66 SYANA PRAROOP-20'!D20</f>
        <v>190</v>
      </c>
      <c r="Q19" s="160"/>
      <c r="R19" s="160"/>
      <c r="S19" s="158">
        <f>'66 SYANA PRAROOP-20'!E20</f>
        <v>1</v>
      </c>
      <c r="T19" s="160"/>
      <c r="U19" s="160"/>
      <c r="V19" s="159">
        <f>'66 SYANA PRAROOP-20'!F20</f>
        <v>12</v>
      </c>
      <c r="W19" s="160"/>
      <c r="X19" s="160"/>
      <c r="Y19" s="159">
        <f>'66 SYANA PRAROOP-20'!G20</f>
        <v>0</v>
      </c>
      <c r="Z19" s="160"/>
      <c r="AA19" s="160"/>
      <c r="AB19" s="168">
        <f>'66 SYANA PRAROOP-20'!H20</f>
        <v>0</v>
      </c>
      <c r="AC19" s="160"/>
      <c r="AD19" s="160"/>
      <c r="AE19" s="168">
        <f>'66 SYANA PRAROOP-20'!I20</f>
        <v>2</v>
      </c>
      <c r="AF19" s="160"/>
      <c r="AG19" s="160"/>
      <c r="AH19" s="168">
        <f>'66 SYANA PRAROOP-20'!J20</f>
        <v>1</v>
      </c>
      <c r="AI19" s="159">
        <f t="shared" si="2"/>
        <v>419</v>
      </c>
      <c r="AJ19" s="150">
        <f t="shared" si="0"/>
        <v>-6</v>
      </c>
    </row>
    <row r="20" spans="1:36" ht="51">
      <c r="A20" s="151">
        <v>66</v>
      </c>
      <c r="B20" s="155">
        <v>14</v>
      </c>
      <c r="C20" s="156" t="s">
        <v>723</v>
      </c>
      <c r="D20" s="155">
        <v>829</v>
      </c>
      <c r="E20" s="151">
        <v>259</v>
      </c>
      <c r="F20" s="151">
        <v>233</v>
      </c>
      <c r="G20" s="151">
        <v>0</v>
      </c>
      <c r="H20" s="151">
        <f t="shared" si="1"/>
        <v>492</v>
      </c>
      <c r="I20" s="155">
        <v>80</v>
      </c>
      <c r="J20" s="151">
        <v>0</v>
      </c>
      <c r="K20" s="160"/>
      <c r="L20" s="160"/>
      <c r="M20" s="168">
        <f>'66 SYANA PRAROOP-20'!C21</f>
        <v>186</v>
      </c>
      <c r="N20" s="160"/>
      <c r="O20" s="160"/>
      <c r="P20" s="158">
        <f>'66 SYANA PRAROOP-20'!D21</f>
        <v>138</v>
      </c>
      <c r="Q20" s="160"/>
      <c r="R20" s="160"/>
      <c r="S20" s="158">
        <f>'66 SYANA PRAROOP-20'!E21</f>
        <v>3</v>
      </c>
      <c r="T20" s="160"/>
      <c r="U20" s="160"/>
      <c r="V20" s="159">
        <f>'66 SYANA PRAROOP-20'!F21</f>
        <v>159</v>
      </c>
      <c r="W20" s="160"/>
      <c r="X20" s="160"/>
      <c r="Y20" s="159">
        <f>'66 SYANA PRAROOP-20'!G21</f>
        <v>0</v>
      </c>
      <c r="Z20" s="160"/>
      <c r="AA20" s="160"/>
      <c r="AB20" s="168">
        <f>'66 SYANA PRAROOP-20'!H21</f>
        <v>1</v>
      </c>
      <c r="AC20" s="160"/>
      <c r="AD20" s="160"/>
      <c r="AE20" s="168">
        <f>'66 SYANA PRAROOP-20'!I21</f>
        <v>2</v>
      </c>
      <c r="AF20" s="160"/>
      <c r="AG20" s="160"/>
      <c r="AH20" s="168">
        <f>'66 SYANA PRAROOP-20'!J21</f>
        <v>2</v>
      </c>
      <c r="AI20" s="159">
        <f t="shared" si="2"/>
        <v>491</v>
      </c>
      <c r="AJ20" s="150">
        <f t="shared" si="0"/>
        <v>-1</v>
      </c>
    </row>
    <row r="21" spans="1:36" ht="51">
      <c r="A21" s="151">
        <v>66</v>
      </c>
      <c r="B21" s="155">
        <v>15</v>
      </c>
      <c r="C21" s="156" t="s">
        <v>724</v>
      </c>
      <c r="D21" s="155">
        <v>1039</v>
      </c>
      <c r="E21" s="151">
        <v>336</v>
      </c>
      <c r="F21" s="151">
        <v>297</v>
      </c>
      <c r="G21" s="151">
        <v>0</v>
      </c>
      <c r="H21" s="151">
        <f t="shared" si="1"/>
        <v>633</v>
      </c>
      <c r="I21" s="155">
        <v>43</v>
      </c>
      <c r="J21" s="151">
        <v>0</v>
      </c>
      <c r="K21" s="160"/>
      <c r="L21" s="160"/>
      <c r="M21" s="168">
        <f>'66 SYANA PRAROOP-20'!C22</f>
        <v>170</v>
      </c>
      <c r="N21" s="160"/>
      <c r="O21" s="160"/>
      <c r="P21" s="158">
        <f>'66 SYANA PRAROOP-20'!D22</f>
        <v>379</v>
      </c>
      <c r="Q21" s="160"/>
      <c r="R21" s="160"/>
      <c r="S21" s="158">
        <f>'66 SYANA PRAROOP-20'!E22</f>
        <v>10</v>
      </c>
      <c r="T21" s="160"/>
      <c r="U21" s="160"/>
      <c r="V21" s="159">
        <f>'66 SYANA PRAROOP-20'!F22</f>
        <v>59</v>
      </c>
      <c r="W21" s="160"/>
      <c r="X21" s="160"/>
      <c r="Y21" s="159">
        <f>'66 SYANA PRAROOP-20'!G22</f>
        <v>2</v>
      </c>
      <c r="Z21" s="160"/>
      <c r="AA21" s="160"/>
      <c r="AB21" s="168">
        <f>'66 SYANA PRAROOP-20'!H22</f>
        <v>3</v>
      </c>
      <c r="AC21" s="160"/>
      <c r="AD21" s="160"/>
      <c r="AE21" s="168">
        <f>'66 SYANA PRAROOP-20'!I22</f>
        <v>1</v>
      </c>
      <c r="AF21" s="160"/>
      <c r="AG21" s="160"/>
      <c r="AH21" s="168">
        <f>'66 SYANA PRAROOP-20'!J22</f>
        <v>3</v>
      </c>
      <c r="AI21" s="159">
        <f t="shared" si="2"/>
        <v>627</v>
      </c>
      <c r="AJ21" s="150">
        <f t="shared" si="0"/>
        <v>-6</v>
      </c>
    </row>
    <row r="22" spans="1:36" ht="51">
      <c r="A22" s="151">
        <v>66</v>
      </c>
      <c r="B22" s="155">
        <v>16</v>
      </c>
      <c r="C22" s="156" t="s">
        <v>725</v>
      </c>
      <c r="D22" s="155">
        <v>1062</v>
      </c>
      <c r="E22" s="151">
        <v>388</v>
      </c>
      <c r="F22" s="151">
        <v>351</v>
      </c>
      <c r="G22" s="151">
        <v>0</v>
      </c>
      <c r="H22" s="151">
        <f t="shared" si="1"/>
        <v>739</v>
      </c>
      <c r="I22" s="155">
        <v>135</v>
      </c>
      <c r="J22" s="151">
        <v>0</v>
      </c>
      <c r="K22" s="160"/>
      <c r="L22" s="160"/>
      <c r="M22" s="168">
        <f>'66 SYANA PRAROOP-20'!C23</f>
        <v>44</v>
      </c>
      <c r="N22" s="160"/>
      <c r="O22" s="160"/>
      <c r="P22" s="158">
        <f>'66 SYANA PRAROOP-20'!D23</f>
        <v>601</v>
      </c>
      <c r="Q22" s="160"/>
      <c r="R22" s="160"/>
      <c r="S22" s="158">
        <f>'66 SYANA PRAROOP-20'!E23</f>
        <v>7</v>
      </c>
      <c r="T22" s="160"/>
      <c r="U22" s="160"/>
      <c r="V22" s="159">
        <f>'66 SYANA PRAROOP-20'!F23</f>
        <v>63</v>
      </c>
      <c r="W22" s="160"/>
      <c r="X22" s="160"/>
      <c r="Y22" s="159">
        <f>'66 SYANA PRAROOP-20'!G23</f>
        <v>10</v>
      </c>
      <c r="Z22" s="160"/>
      <c r="AA22" s="160"/>
      <c r="AB22" s="168">
        <f>'66 SYANA PRAROOP-20'!H23</f>
        <v>1</v>
      </c>
      <c r="AC22" s="160"/>
      <c r="AD22" s="160"/>
      <c r="AE22" s="168">
        <f>'66 SYANA PRAROOP-20'!I23</f>
        <v>1</v>
      </c>
      <c r="AF22" s="160"/>
      <c r="AG22" s="160"/>
      <c r="AH22" s="168">
        <f>'66 SYANA PRAROOP-20'!J23</f>
        <v>4</v>
      </c>
      <c r="AI22" s="159">
        <f t="shared" si="2"/>
        <v>731</v>
      </c>
      <c r="AJ22" s="150">
        <f t="shared" si="0"/>
        <v>-8</v>
      </c>
    </row>
    <row r="23" spans="1:36" ht="51">
      <c r="A23" s="151">
        <v>66</v>
      </c>
      <c r="B23" s="155">
        <v>17</v>
      </c>
      <c r="C23" s="156" t="s">
        <v>726</v>
      </c>
      <c r="D23" s="155">
        <v>673</v>
      </c>
      <c r="E23" s="151">
        <v>228</v>
      </c>
      <c r="F23" s="151">
        <v>163</v>
      </c>
      <c r="G23" s="151">
        <v>0</v>
      </c>
      <c r="H23" s="151">
        <f t="shared" si="1"/>
        <v>391</v>
      </c>
      <c r="I23" s="155">
        <v>29</v>
      </c>
      <c r="J23" s="151">
        <v>0</v>
      </c>
      <c r="K23" s="160"/>
      <c r="L23" s="160"/>
      <c r="M23" s="168">
        <f>'66 SYANA PRAROOP-20'!C24</f>
        <v>179</v>
      </c>
      <c r="N23" s="160"/>
      <c r="O23" s="160"/>
      <c r="P23" s="158">
        <f>'66 SYANA PRAROOP-20'!D24</f>
        <v>199</v>
      </c>
      <c r="Q23" s="160"/>
      <c r="R23" s="160"/>
      <c r="S23" s="158">
        <f>'66 SYANA PRAROOP-20'!E24</f>
        <v>4</v>
      </c>
      <c r="T23" s="160"/>
      <c r="U23" s="160"/>
      <c r="V23" s="159">
        <f>'66 SYANA PRAROOP-20'!F24</f>
        <v>2</v>
      </c>
      <c r="W23" s="160"/>
      <c r="X23" s="160"/>
      <c r="Y23" s="159">
        <f>'66 SYANA PRAROOP-20'!G24</f>
        <v>0</v>
      </c>
      <c r="Z23" s="160"/>
      <c r="AA23" s="160"/>
      <c r="AB23" s="168">
        <f>'66 SYANA PRAROOP-20'!H24</f>
        <v>5</v>
      </c>
      <c r="AC23" s="160"/>
      <c r="AD23" s="160"/>
      <c r="AE23" s="168">
        <f>'66 SYANA PRAROOP-20'!I24</f>
        <v>0</v>
      </c>
      <c r="AF23" s="160"/>
      <c r="AG23" s="160"/>
      <c r="AH23" s="168">
        <f>'66 SYANA PRAROOP-20'!J24</f>
        <v>2</v>
      </c>
      <c r="AI23" s="159">
        <f t="shared" si="2"/>
        <v>391</v>
      </c>
      <c r="AJ23" s="150">
        <f t="shared" si="0"/>
        <v>0</v>
      </c>
    </row>
    <row r="24" spans="1:36" ht="51">
      <c r="A24" s="151">
        <v>66</v>
      </c>
      <c r="B24" s="155">
        <v>18</v>
      </c>
      <c r="C24" s="156" t="s">
        <v>727</v>
      </c>
      <c r="D24" s="155">
        <v>542</v>
      </c>
      <c r="E24" s="151">
        <v>178</v>
      </c>
      <c r="F24" s="151">
        <v>146</v>
      </c>
      <c r="G24" s="151">
        <v>0</v>
      </c>
      <c r="H24" s="151">
        <f t="shared" si="1"/>
        <v>324</v>
      </c>
      <c r="I24" s="155">
        <v>278</v>
      </c>
      <c r="J24" s="151">
        <v>0</v>
      </c>
      <c r="K24" s="160"/>
      <c r="L24" s="160"/>
      <c r="M24" s="168">
        <f>'66 SYANA PRAROOP-20'!C25</f>
        <v>133</v>
      </c>
      <c r="N24" s="160"/>
      <c r="O24" s="160"/>
      <c r="P24" s="158">
        <f>'66 SYANA PRAROOP-20'!D25</f>
        <v>157</v>
      </c>
      <c r="Q24" s="160"/>
      <c r="R24" s="160"/>
      <c r="S24" s="158">
        <f>'66 SYANA PRAROOP-20'!E25</f>
        <v>2</v>
      </c>
      <c r="T24" s="160"/>
      <c r="U24" s="160"/>
      <c r="V24" s="159">
        <f>'66 SYANA PRAROOP-20'!F25</f>
        <v>30</v>
      </c>
      <c r="W24" s="160"/>
      <c r="X24" s="160"/>
      <c r="Y24" s="159">
        <f>'66 SYANA PRAROOP-20'!G25</f>
        <v>0</v>
      </c>
      <c r="Z24" s="160"/>
      <c r="AA24" s="160"/>
      <c r="AB24" s="168">
        <f>'66 SYANA PRAROOP-20'!H25</f>
        <v>0</v>
      </c>
      <c r="AC24" s="160"/>
      <c r="AD24" s="160"/>
      <c r="AE24" s="168">
        <f>'66 SYANA PRAROOP-20'!I25</f>
        <v>1</v>
      </c>
      <c r="AF24" s="160"/>
      <c r="AG24" s="160"/>
      <c r="AH24" s="168">
        <f>'66 SYANA PRAROOP-20'!J25</f>
        <v>0</v>
      </c>
      <c r="AI24" s="159">
        <f t="shared" si="2"/>
        <v>323</v>
      </c>
      <c r="AJ24" s="150">
        <f t="shared" si="0"/>
        <v>-1</v>
      </c>
    </row>
    <row r="25" spans="1:36" ht="51">
      <c r="A25" s="151">
        <v>66</v>
      </c>
      <c r="B25" s="155">
        <v>19</v>
      </c>
      <c r="C25" s="156" t="s">
        <v>728</v>
      </c>
      <c r="D25" s="155">
        <v>884</v>
      </c>
      <c r="E25" s="151">
        <v>319</v>
      </c>
      <c r="F25" s="151">
        <v>298</v>
      </c>
      <c r="G25" s="151">
        <v>0</v>
      </c>
      <c r="H25" s="151">
        <f t="shared" si="1"/>
        <v>617</v>
      </c>
      <c r="I25" s="155">
        <v>98</v>
      </c>
      <c r="J25" s="151">
        <v>0</v>
      </c>
      <c r="K25" s="160"/>
      <c r="L25" s="160"/>
      <c r="M25" s="168">
        <f>'66 SYANA PRAROOP-20'!C26</f>
        <v>234</v>
      </c>
      <c r="N25" s="160"/>
      <c r="O25" s="160"/>
      <c r="P25" s="158">
        <f>'66 SYANA PRAROOP-20'!D26</f>
        <v>196</v>
      </c>
      <c r="Q25" s="160"/>
      <c r="R25" s="160"/>
      <c r="S25" s="158">
        <f>'66 SYANA PRAROOP-20'!E26</f>
        <v>2</v>
      </c>
      <c r="T25" s="160"/>
      <c r="U25" s="160"/>
      <c r="V25" s="159">
        <f>'66 SYANA PRAROOP-20'!F26</f>
        <v>174</v>
      </c>
      <c r="W25" s="160"/>
      <c r="X25" s="160"/>
      <c r="Y25" s="159">
        <f>'66 SYANA PRAROOP-20'!G26</f>
        <v>0</v>
      </c>
      <c r="Z25" s="160"/>
      <c r="AA25" s="160"/>
      <c r="AB25" s="168">
        <f>'66 SYANA PRAROOP-20'!H26</f>
        <v>5</v>
      </c>
      <c r="AC25" s="160"/>
      <c r="AD25" s="160"/>
      <c r="AE25" s="168">
        <f>'66 SYANA PRAROOP-20'!I26</f>
        <v>2</v>
      </c>
      <c r="AF25" s="160"/>
      <c r="AG25" s="160"/>
      <c r="AH25" s="168">
        <f>'66 SYANA PRAROOP-20'!J26</f>
        <v>1</v>
      </c>
      <c r="AI25" s="159">
        <f t="shared" si="2"/>
        <v>614</v>
      </c>
      <c r="AJ25" s="150">
        <f t="shared" si="0"/>
        <v>-3</v>
      </c>
    </row>
    <row r="26" spans="1:36" ht="51">
      <c r="A26" s="151">
        <v>66</v>
      </c>
      <c r="B26" s="155">
        <v>20</v>
      </c>
      <c r="C26" s="156" t="s">
        <v>729</v>
      </c>
      <c r="D26" s="155">
        <v>887</v>
      </c>
      <c r="E26" s="151">
        <v>300</v>
      </c>
      <c r="F26" s="151">
        <v>274</v>
      </c>
      <c r="G26" s="151">
        <v>0</v>
      </c>
      <c r="H26" s="151">
        <f t="shared" si="1"/>
        <v>574</v>
      </c>
      <c r="I26" s="155">
        <v>400</v>
      </c>
      <c r="J26" s="151">
        <v>0</v>
      </c>
      <c r="K26" s="160"/>
      <c r="L26" s="160"/>
      <c r="M26" s="168">
        <f>'66 SYANA PRAROOP-20'!C27</f>
        <v>113</v>
      </c>
      <c r="N26" s="160"/>
      <c r="O26" s="160"/>
      <c r="P26" s="158">
        <f>'66 SYANA PRAROOP-20'!D27</f>
        <v>167</v>
      </c>
      <c r="Q26" s="160"/>
      <c r="R26" s="160"/>
      <c r="S26" s="158">
        <f>'66 SYANA PRAROOP-20'!E27</f>
        <v>0</v>
      </c>
      <c r="T26" s="160"/>
      <c r="U26" s="160"/>
      <c r="V26" s="159">
        <f>'66 SYANA PRAROOP-20'!F27</f>
        <v>281</v>
      </c>
      <c r="W26" s="160"/>
      <c r="X26" s="160"/>
      <c r="Y26" s="159">
        <f>'66 SYANA PRAROOP-20'!G27</f>
        <v>3</v>
      </c>
      <c r="Z26" s="160"/>
      <c r="AA26" s="160"/>
      <c r="AB26" s="168">
        <f>'66 SYANA PRAROOP-20'!H27</f>
        <v>5</v>
      </c>
      <c r="AC26" s="160"/>
      <c r="AD26" s="160"/>
      <c r="AE26" s="168">
        <f>'66 SYANA PRAROOP-20'!I27</f>
        <v>1</v>
      </c>
      <c r="AF26" s="160"/>
      <c r="AG26" s="160"/>
      <c r="AH26" s="168">
        <f>'66 SYANA PRAROOP-20'!J27</f>
        <v>4</v>
      </c>
      <c r="AI26" s="159">
        <f t="shared" si="2"/>
        <v>574</v>
      </c>
      <c r="AJ26" s="150">
        <f t="shared" si="0"/>
        <v>0</v>
      </c>
    </row>
    <row r="27" spans="1:36" ht="51">
      <c r="A27" s="151">
        <v>66</v>
      </c>
      <c r="B27" s="155">
        <v>21</v>
      </c>
      <c r="C27" s="156" t="s">
        <v>730</v>
      </c>
      <c r="D27" s="155">
        <v>827</v>
      </c>
      <c r="E27" s="151">
        <v>291</v>
      </c>
      <c r="F27" s="151">
        <v>236</v>
      </c>
      <c r="G27" s="151">
        <v>0</v>
      </c>
      <c r="H27" s="151">
        <f t="shared" si="1"/>
        <v>527</v>
      </c>
      <c r="I27" s="155">
        <v>391</v>
      </c>
      <c r="J27" s="151">
        <v>0</v>
      </c>
      <c r="K27" s="160"/>
      <c r="L27" s="160"/>
      <c r="M27" s="168">
        <f>'66 SYANA PRAROOP-20'!C28</f>
        <v>126</v>
      </c>
      <c r="N27" s="160"/>
      <c r="O27" s="160"/>
      <c r="P27" s="158">
        <f>'66 SYANA PRAROOP-20'!D28</f>
        <v>188</v>
      </c>
      <c r="Q27" s="160"/>
      <c r="R27" s="160"/>
      <c r="S27" s="158">
        <f>'66 SYANA PRAROOP-20'!E28</f>
        <v>3</v>
      </c>
      <c r="T27" s="160"/>
      <c r="U27" s="160"/>
      <c r="V27" s="159">
        <f>'66 SYANA PRAROOP-20'!F28</f>
        <v>206</v>
      </c>
      <c r="W27" s="160"/>
      <c r="X27" s="160"/>
      <c r="Y27" s="159">
        <f>'66 SYANA PRAROOP-20'!G28</f>
        <v>1</v>
      </c>
      <c r="Z27" s="160"/>
      <c r="AA27" s="160"/>
      <c r="AB27" s="168">
        <f>'66 SYANA PRAROOP-20'!H28</f>
        <v>0</v>
      </c>
      <c r="AC27" s="160"/>
      <c r="AD27" s="160"/>
      <c r="AE27" s="168">
        <f>'66 SYANA PRAROOP-20'!I28</f>
        <v>1</v>
      </c>
      <c r="AF27" s="160"/>
      <c r="AG27" s="160"/>
      <c r="AH27" s="168">
        <f>'66 SYANA PRAROOP-20'!J28</f>
        <v>1</v>
      </c>
      <c r="AI27" s="159">
        <f t="shared" si="2"/>
        <v>526</v>
      </c>
      <c r="AJ27" s="150">
        <f t="shared" si="0"/>
        <v>-1</v>
      </c>
    </row>
    <row r="28" spans="1:36" ht="63.75">
      <c r="A28" s="151">
        <v>66</v>
      </c>
      <c r="B28" s="155">
        <v>22</v>
      </c>
      <c r="C28" s="156" t="s">
        <v>731</v>
      </c>
      <c r="D28" s="155">
        <v>986</v>
      </c>
      <c r="E28" s="151">
        <v>317</v>
      </c>
      <c r="F28" s="151">
        <v>303</v>
      </c>
      <c r="G28" s="151">
        <v>0</v>
      </c>
      <c r="H28" s="151">
        <f t="shared" si="1"/>
        <v>620</v>
      </c>
      <c r="I28" s="155">
        <v>204</v>
      </c>
      <c r="J28" s="151">
        <v>0</v>
      </c>
      <c r="K28" s="160"/>
      <c r="L28" s="160"/>
      <c r="M28" s="168">
        <f>'66 SYANA PRAROOP-20'!C29</f>
        <v>63</v>
      </c>
      <c r="N28" s="160"/>
      <c r="O28" s="160"/>
      <c r="P28" s="158">
        <f>'66 SYANA PRAROOP-20'!D29</f>
        <v>321</v>
      </c>
      <c r="Q28" s="160"/>
      <c r="R28" s="160"/>
      <c r="S28" s="158">
        <f>'66 SYANA PRAROOP-20'!E29</f>
        <v>6</v>
      </c>
      <c r="T28" s="160"/>
      <c r="U28" s="160"/>
      <c r="V28" s="159">
        <f>'66 SYANA PRAROOP-20'!F29</f>
        <v>215</v>
      </c>
      <c r="W28" s="160"/>
      <c r="X28" s="160"/>
      <c r="Y28" s="159">
        <f>'66 SYANA PRAROOP-20'!G29</f>
        <v>2</v>
      </c>
      <c r="Z28" s="160"/>
      <c r="AA28" s="160"/>
      <c r="AB28" s="168">
        <f>'66 SYANA PRAROOP-20'!H29</f>
        <v>5</v>
      </c>
      <c r="AC28" s="160"/>
      <c r="AD28" s="160"/>
      <c r="AE28" s="168">
        <f>'66 SYANA PRAROOP-20'!I29</f>
        <v>4</v>
      </c>
      <c r="AF28" s="160"/>
      <c r="AG28" s="160"/>
      <c r="AH28" s="168">
        <f>'66 SYANA PRAROOP-20'!J29</f>
        <v>1</v>
      </c>
      <c r="AI28" s="159">
        <f t="shared" si="2"/>
        <v>617</v>
      </c>
      <c r="AJ28" s="150">
        <f t="shared" si="0"/>
        <v>-3</v>
      </c>
    </row>
    <row r="29" spans="1:36" ht="63.75">
      <c r="A29" s="151">
        <v>66</v>
      </c>
      <c r="B29" s="155">
        <v>23</v>
      </c>
      <c r="C29" s="156" t="s">
        <v>732</v>
      </c>
      <c r="D29" s="155">
        <v>1024</v>
      </c>
      <c r="E29" s="151">
        <v>281</v>
      </c>
      <c r="F29" s="151">
        <v>238</v>
      </c>
      <c r="G29" s="151">
        <v>0</v>
      </c>
      <c r="H29" s="151">
        <f t="shared" si="1"/>
        <v>519</v>
      </c>
      <c r="I29" s="155">
        <v>52</v>
      </c>
      <c r="J29" s="151">
        <v>0</v>
      </c>
      <c r="K29" s="160"/>
      <c r="L29" s="160"/>
      <c r="M29" s="168">
        <f>'66 SYANA PRAROOP-20'!C30</f>
        <v>23</v>
      </c>
      <c r="N29" s="160"/>
      <c r="O29" s="160"/>
      <c r="P29" s="158">
        <f>'66 SYANA PRAROOP-20'!D30</f>
        <v>392</v>
      </c>
      <c r="Q29" s="160"/>
      <c r="R29" s="160"/>
      <c r="S29" s="158">
        <f>'66 SYANA PRAROOP-20'!E30</f>
        <v>6</v>
      </c>
      <c r="T29" s="160"/>
      <c r="U29" s="160"/>
      <c r="V29" s="159">
        <f>'66 SYANA PRAROOP-20'!F30</f>
        <v>92</v>
      </c>
      <c r="W29" s="160"/>
      <c r="X29" s="160"/>
      <c r="Y29" s="159">
        <f>'66 SYANA PRAROOP-20'!G30</f>
        <v>0</v>
      </c>
      <c r="Z29" s="160"/>
      <c r="AA29" s="160"/>
      <c r="AB29" s="168">
        <f>'66 SYANA PRAROOP-20'!H30</f>
        <v>2</v>
      </c>
      <c r="AC29" s="160"/>
      <c r="AD29" s="160"/>
      <c r="AE29" s="168">
        <f>'66 SYANA PRAROOP-20'!I30</f>
        <v>2</v>
      </c>
      <c r="AF29" s="160"/>
      <c r="AG29" s="160"/>
      <c r="AH29" s="168">
        <f>'66 SYANA PRAROOP-20'!J30</f>
        <v>0</v>
      </c>
      <c r="AI29" s="159">
        <f t="shared" si="2"/>
        <v>517</v>
      </c>
      <c r="AJ29" s="150">
        <f t="shared" si="0"/>
        <v>-2</v>
      </c>
    </row>
    <row r="30" spans="1:36" ht="63.75">
      <c r="A30" s="151">
        <v>66</v>
      </c>
      <c r="B30" s="155">
        <v>24</v>
      </c>
      <c r="C30" s="156" t="s">
        <v>733</v>
      </c>
      <c r="D30" s="155">
        <v>771</v>
      </c>
      <c r="E30" s="151">
        <v>256</v>
      </c>
      <c r="F30" s="151">
        <v>199</v>
      </c>
      <c r="G30" s="151">
        <v>0</v>
      </c>
      <c r="H30" s="151">
        <f t="shared" si="1"/>
        <v>455</v>
      </c>
      <c r="I30" s="155">
        <v>36</v>
      </c>
      <c r="J30" s="151">
        <v>0</v>
      </c>
      <c r="K30" s="160"/>
      <c r="L30" s="160"/>
      <c r="M30" s="168">
        <f>'66 SYANA PRAROOP-20'!C31</f>
        <v>26</v>
      </c>
      <c r="N30" s="160"/>
      <c r="O30" s="160"/>
      <c r="P30" s="158">
        <f>'66 SYANA PRAROOP-20'!D31</f>
        <v>398</v>
      </c>
      <c r="Q30" s="160"/>
      <c r="R30" s="160"/>
      <c r="S30" s="158">
        <f>'66 SYANA PRAROOP-20'!E31</f>
        <v>6</v>
      </c>
      <c r="T30" s="160"/>
      <c r="U30" s="160"/>
      <c r="V30" s="159">
        <f>'66 SYANA PRAROOP-20'!F31</f>
        <v>9</v>
      </c>
      <c r="W30" s="160"/>
      <c r="X30" s="160"/>
      <c r="Y30" s="159">
        <f>'66 SYANA PRAROOP-20'!G31</f>
        <v>2</v>
      </c>
      <c r="Z30" s="160"/>
      <c r="AA30" s="160"/>
      <c r="AB30" s="168">
        <f>'66 SYANA PRAROOP-20'!H31</f>
        <v>4</v>
      </c>
      <c r="AC30" s="160"/>
      <c r="AD30" s="160"/>
      <c r="AE30" s="168">
        <f>'66 SYANA PRAROOP-20'!I31</f>
        <v>8</v>
      </c>
      <c r="AF30" s="160"/>
      <c r="AG30" s="160"/>
      <c r="AH30" s="168">
        <f>'66 SYANA PRAROOP-20'!J31</f>
        <v>1</v>
      </c>
      <c r="AI30" s="159">
        <f t="shared" si="2"/>
        <v>454</v>
      </c>
      <c r="AJ30" s="150">
        <f t="shared" si="0"/>
        <v>-1</v>
      </c>
    </row>
    <row r="31" spans="1:36" ht="51">
      <c r="A31" s="151">
        <v>66</v>
      </c>
      <c r="B31" s="155">
        <v>25</v>
      </c>
      <c r="C31" s="156" t="s">
        <v>734</v>
      </c>
      <c r="D31" s="155">
        <v>1042</v>
      </c>
      <c r="E31" s="151">
        <v>338</v>
      </c>
      <c r="F31" s="151">
        <v>312</v>
      </c>
      <c r="G31" s="151">
        <v>0</v>
      </c>
      <c r="H31" s="151">
        <f t="shared" si="1"/>
        <v>650</v>
      </c>
      <c r="I31" s="155">
        <v>135</v>
      </c>
      <c r="J31" s="151">
        <v>0</v>
      </c>
      <c r="K31" s="160"/>
      <c r="L31" s="160"/>
      <c r="M31" s="168">
        <f>'66 SYANA PRAROOP-20'!C32</f>
        <v>195</v>
      </c>
      <c r="N31" s="160"/>
      <c r="O31" s="160"/>
      <c r="P31" s="158">
        <f>'66 SYANA PRAROOP-20'!D32</f>
        <v>443</v>
      </c>
      <c r="Q31" s="160"/>
      <c r="R31" s="160"/>
      <c r="S31" s="158">
        <f>'66 SYANA PRAROOP-20'!E32</f>
        <v>4</v>
      </c>
      <c r="T31" s="160"/>
      <c r="U31" s="160"/>
      <c r="V31" s="159">
        <f>'66 SYANA PRAROOP-20'!F32</f>
        <v>4</v>
      </c>
      <c r="W31" s="160"/>
      <c r="X31" s="160"/>
      <c r="Y31" s="159">
        <f>'66 SYANA PRAROOP-20'!G32</f>
        <v>0</v>
      </c>
      <c r="Z31" s="160"/>
      <c r="AA31" s="160"/>
      <c r="AB31" s="168">
        <f>'66 SYANA PRAROOP-20'!H32</f>
        <v>1</v>
      </c>
      <c r="AC31" s="160"/>
      <c r="AD31" s="160"/>
      <c r="AE31" s="168">
        <f>'66 SYANA PRAROOP-20'!I32</f>
        <v>0</v>
      </c>
      <c r="AF31" s="160"/>
      <c r="AG31" s="160"/>
      <c r="AH31" s="168">
        <f>'66 SYANA PRAROOP-20'!J32</f>
        <v>0</v>
      </c>
      <c r="AI31" s="159">
        <f t="shared" si="2"/>
        <v>647</v>
      </c>
      <c r="AJ31" s="150">
        <f t="shared" si="0"/>
        <v>-3</v>
      </c>
    </row>
    <row r="32" spans="1:36" ht="51">
      <c r="A32" s="151">
        <v>66</v>
      </c>
      <c r="B32" s="155">
        <v>26</v>
      </c>
      <c r="C32" s="156" t="s">
        <v>735</v>
      </c>
      <c r="D32" s="155">
        <v>1064</v>
      </c>
      <c r="E32" s="151">
        <v>364</v>
      </c>
      <c r="F32" s="151">
        <v>332</v>
      </c>
      <c r="G32" s="151">
        <v>0</v>
      </c>
      <c r="H32" s="151">
        <f t="shared" si="1"/>
        <v>696</v>
      </c>
      <c r="I32" s="155">
        <v>102</v>
      </c>
      <c r="J32" s="151">
        <v>0</v>
      </c>
      <c r="K32" s="160"/>
      <c r="L32" s="160"/>
      <c r="M32" s="168">
        <f>'66 SYANA PRAROOP-20'!C33</f>
        <v>313</v>
      </c>
      <c r="N32" s="160"/>
      <c r="O32" s="160"/>
      <c r="P32" s="158">
        <f>'66 SYANA PRAROOP-20'!D33</f>
        <v>367</v>
      </c>
      <c r="Q32" s="160"/>
      <c r="R32" s="160"/>
      <c r="S32" s="158">
        <f>'66 SYANA PRAROOP-20'!E33</f>
        <v>1</v>
      </c>
      <c r="T32" s="160"/>
      <c r="U32" s="160"/>
      <c r="V32" s="159">
        <f>'66 SYANA PRAROOP-20'!F33</f>
        <v>7</v>
      </c>
      <c r="W32" s="160"/>
      <c r="X32" s="160"/>
      <c r="Y32" s="159">
        <f>'66 SYANA PRAROOP-20'!G33</f>
        <v>1</v>
      </c>
      <c r="Z32" s="160"/>
      <c r="AA32" s="160"/>
      <c r="AB32" s="168">
        <f>'66 SYANA PRAROOP-20'!H33</f>
        <v>0</v>
      </c>
      <c r="AC32" s="160"/>
      <c r="AD32" s="160"/>
      <c r="AE32" s="168">
        <f>'66 SYANA PRAROOP-20'!I33</f>
        <v>3</v>
      </c>
      <c r="AF32" s="160"/>
      <c r="AG32" s="160"/>
      <c r="AH32" s="168">
        <f>'66 SYANA PRAROOP-20'!J33</f>
        <v>1</v>
      </c>
      <c r="AI32" s="159">
        <f t="shared" si="2"/>
        <v>693</v>
      </c>
      <c r="AJ32" s="150">
        <f t="shared" si="0"/>
        <v>-3</v>
      </c>
    </row>
    <row r="33" spans="1:36" ht="38.25">
      <c r="A33" s="151">
        <v>66</v>
      </c>
      <c r="B33" s="155">
        <v>27</v>
      </c>
      <c r="C33" s="156" t="s">
        <v>736</v>
      </c>
      <c r="D33" s="155">
        <v>1015</v>
      </c>
      <c r="E33" s="151">
        <v>311</v>
      </c>
      <c r="F33" s="151">
        <v>270</v>
      </c>
      <c r="G33" s="151">
        <v>0</v>
      </c>
      <c r="H33" s="151">
        <f t="shared" si="1"/>
        <v>581</v>
      </c>
      <c r="I33" s="155">
        <v>124</v>
      </c>
      <c r="J33" s="151">
        <v>0</v>
      </c>
      <c r="K33" s="160"/>
      <c r="L33" s="160"/>
      <c r="M33" s="168">
        <f>'66 SYANA PRAROOP-20'!C34</f>
        <v>157</v>
      </c>
      <c r="N33" s="160"/>
      <c r="O33" s="160"/>
      <c r="P33" s="158">
        <f>'66 SYANA PRAROOP-20'!D34</f>
        <v>379</v>
      </c>
      <c r="Q33" s="160"/>
      <c r="R33" s="160"/>
      <c r="S33" s="158">
        <f>'66 SYANA PRAROOP-20'!E34</f>
        <v>14</v>
      </c>
      <c r="T33" s="160"/>
      <c r="U33" s="160"/>
      <c r="V33" s="159">
        <f>'66 SYANA PRAROOP-20'!F34</f>
        <v>14</v>
      </c>
      <c r="W33" s="160"/>
      <c r="X33" s="160"/>
      <c r="Y33" s="159">
        <f>'66 SYANA PRAROOP-20'!G34</f>
        <v>6</v>
      </c>
      <c r="Z33" s="160"/>
      <c r="AA33" s="160"/>
      <c r="AB33" s="168">
        <f>'66 SYANA PRAROOP-20'!H34</f>
        <v>2</v>
      </c>
      <c r="AC33" s="160"/>
      <c r="AD33" s="160"/>
      <c r="AE33" s="168">
        <f>'66 SYANA PRAROOP-20'!I34</f>
        <v>3</v>
      </c>
      <c r="AF33" s="160"/>
      <c r="AG33" s="160"/>
      <c r="AH33" s="168">
        <f>'66 SYANA PRAROOP-20'!J34</f>
        <v>2</v>
      </c>
      <c r="AI33" s="159">
        <f t="shared" si="2"/>
        <v>577</v>
      </c>
      <c r="AJ33" s="150">
        <f t="shared" si="0"/>
        <v>-4</v>
      </c>
    </row>
    <row r="34" spans="1:36" ht="63.75">
      <c r="A34" s="151">
        <v>66</v>
      </c>
      <c r="B34" s="155">
        <v>28</v>
      </c>
      <c r="C34" s="156" t="s">
        <v>1072</v>
      </c>
      <c r="D34" s="155">
        <v>913</v>
      </c>
      <c r="E34" s="151">
        <v>358</v>
      </c>
      <c r="F34" s="151">
        <v>325</v>
      </c>
      <c r="G34" s="151">
        <v>0</v>
      </c>
      <c r="H34" s="151">
        <f t="shared" si="1"/>
        <v>683</v>
      </c>
      <c r="I34" s="155">
        <v>123</v>
      </c>
      <c r="J34" s="151">
        <v>0</v>
      </c>
      <c r="K34" s="160"/>
      <c r="L34" s="160"/>
      <c r="M34" s="168">
        <f>'66 SYANA PRAROOP-20'!C35</f>
        <v>78</v>
      </c>
      <c r="N34" s="160"/>
      <c r="O34" s="160"/>
      <c r="P34" s="158">
        <f>'66 SYANA PRAROOP-20'!D35</f>
        <v>199</v>
      </c>
      <c r="Q34" s="160"/>
      <c r="R34" s="160"/>
      <c r="S34" s="158">
        <f>'66 SYANA PRAROOP-20'!E35</f>
        <v>7</v>
      </c>
      <c r="T34" s="160"/>
      <c r="U34" s="160"/>
      <c r="V34" s="159">
        <f>'66 SYANA PRAROOP-20'!F35</f>
        <v>371</v>
      </c>
      <c r="W34" s="160"/>
      <c r="X34" s="160"/>
      <c r="Y34" s="159">
        <f>'66 SYANA PRAROOP-20'!G35</f>
        <v>10</v>
      </c>
      <c r="Z34" s="160"/>
      <c r="AA34" s="160"/>
      <c r="AB34" s="168">
        <f>'66 SYANA PRAROOP-20'!H35</f>
        <v>9</v>
      </c>
      <c r="AC34" s="160"/>
      <c r="AD34" s="160"/>
      <c r="AE34" s="168">
        <f>'66 SYANA PRAROOP-20'!I35</f>
        <v>5</v>
      </c>
      <c r="AF34" s="160"/>
      <c r="AG34" s="160"/>
      <c r="AH34" s="168">
        <f>'66 SYANA PRAROOP-20'!J35</f>
        <v>1</v>
      </c>
      <c r="AI34" s="159">
        <f t="shared" si="2"/>
        <v>680</v>
      </c>
      <c r="AJ34" s="150">
        <f t="shared" si="0"/>
        <v>-3</v>
      </c>
    </row>
    <row r="35" spans="1:36" ht="63.75">
      <c r="A35" s="151">
        <v>66</v>
      </c>
      <c r="B35" s="155">
        <v>29</v>
      </c>
      <c r="C35" s="156" t="s">
        <v>1073</v>
      </c>
      <c r="D35" s="155">
        <v>1079</v>
      </c>
      <c r="E35" s="151">
        <v>356</v>
      </c>
      <c r="F35" s="151">
        <v>328</v>
      </c>
      <c r="G35" s="151">
        <v>0</v>
      </c>
      <c r="H35" s="151">
        <f t="shared" si="1"/>
        <v>684</v>
      </c>
      <c r="I35" s="155">
        <v>115</v>
      </c>
      <c r="J35" s="151">
        <v>0</v>
      </c>
      <c r="K35" s="160"/>
      <c r="L35" s="160"/>
      <c r="M35" s="168">
        <f>'66 SYANA PRAROOP-20'!C36</f>
        <v>134</v>
      </c>
      <c r="N35" s="160"/>
      <c r="O35" s="160"/>
      <c r="P35" s="158">
        <f>'66 SYANA PRAROOP-20'!D36</f>
        <v>447</v>
      </c>
      <c r="Q35" s="160"/>
      <c r="R35" s="160"/>
      <c r="S35" s="158">
        <f>'66 SYANA PRAROOP-20'!E36</f>
        <v>3</v>
      </c>
      <c r="T35" s="160"/>
      <c r="U35" s="160"/>
      <c r="V35" s="159">
        <f>'66 SYANA PRAROOP-20'!F36</f>
        <v>87</v>
      </c>
      <c r="W35" s="160"/>
      <c r="X35" s="160"/>
      <c r="Y35" s="159">
        <f>'66 SYANA PRAROOP-20'!G36</f>
        <v>0</v>
      </c>
      <c r="Z35" s="160"/>
      <c r="AA35" s="160"/>
      <c r="AB35" s="168">
        <f>'66 SYANA PRAROOP-20'!H36</f>
        <v>1</v>
      </c>
      <c r="AC35" s="160"/>
      <c r="AD35" s="160"/>
      <c r="AE35" s="168">
        <f>'66 SYANA PRAROOP-20'!I36</f>
        <v>6</v>
      </c>
      <c r="AF35" s="160"/>
      <c r="AG35" s="160"/>
      <c r="AH35" s="168">
        <f>'66 SYANA PRAROOP-20'!J36</f>
        <v>1</v>
      </c>
      <c r="AI35" s="159">
        <f t="shared" si="2"/>
        <v>679</v>
      </c>
      <c r="AJ35" s="150">
        <f t="shared" si="0"/>
        <v>-5</v>
      </c>
    </row>
    <row r="36" spans="1:36" ht="63.75">
      <c r="A36" s="151">
        <v>66</v>
      </c>
      <c r="B36" s="155">
        <v>30</v>
      </c>
      <c r="C36" s="156" t="s">
        <v>737</v>
      </c>
      <c r="D36" s="155">
        <v>590</v>
      </c>
      <c r="E36" s="151">
        <v>217</v>
      </c>
      <c r="F36" s="151">
        <v>189</v>
      </c>
      <c r="G36" s="151">
        <v>0</v>
      </c>
      <c r="H36" s="151">
        <f t="shared" si="1"/>
        <v>406</v>
      </c>
      <c r="I36" s="155">
        <v>317</v>
      </c>
      <c r="J36" s="151">
        <v>0</v>
      </c>
      <c r="K36" s="160"/>
      <c r="L36" s="160"/>
      <c r="M36" s="168">
        <f>'66 SYANA PRAROOP-20'!C37</f>
        <v>43</v>
      </c>
      <c r="N36" s="160"/>
      <c r="O36" s="160"/>
      <c r="P36" s="158">
        <f>'66 SYANA PRAROOP-20'!D37</f>
        <v>327</v>
      </c>
      <c r="Q36" s="160"/>
      <c r="R36" s="160"/>
      <c r="S36" s="158">
        <f>'66 SYANA PRAROOP-20'!E37</f>
        <v>1</v>
      </c>
      <c r="T36" s="160"/>
      <c r="U36" s="160"/>
      <c r="V36" s="159">
        <f>'66 SYANA PRAROOP-20'!F37</f>
        <v>31</v>
      </c>
      <c r="W36" s="160"/>
      <c r="X36" s="160"/>
      <c r="Y36" s="159">
        <f>'66 SYANA PRAROOP-20'!G37</f>
        <v>0</v>
      </c>
      <c r="Z36" s="160"/>
      <c r="AA36" s="160"/>
      <c r="AB36" s="168">
        <f>'66 SYANA PRAROOP-20'!H37</f>
        <v>1</v>
      </c>
      <c r="AC36" s="160"/>
      <c r="AD36" s="160"/>
      <c r="AE36" s="168">
        <f>'66 SYANA PRAROOP-20'!I37</f>
        <v>3</v>
      </c>
      <c r="AF36" s="160"/>
      <c r="AG36" s="160"/>
      <c r="AH36" s="168">
        <f>'66 SYANA PRAROOP-20'!J37</f>
        <v>0</v>
      </c>
      <c r="AI36" s="159">
        <f t="shared" si="2"/>
        <v>406</v>
      </c>
      <c r="AJ36" s="150">
        <f t="shared" si="0"/>
        <v>0</v>
      </c>
    </row>
    <row r="37" spans="1:36" ht="63.75">
      <c r="A37" s="151">
        <v>66</v>
      </c>
      <c r="B37" s="155">
        <v>31</v>
      </c>
      <c r="C37" s="156" t="s">
        <v>738</v>
      </c>
      <c r="D37" s="155">
        <v>627</v>
      </c>
      <c r="E37" s="151">
        <v>239</v>
      </c>
      <c r="F37" s="151">
        <v>203</v>
      </c>
      <c r="G37" s="151">
        <v>0</v>
      </c>
      <c r="H37" s="151">
        <f t="shared" si="1"/>
        <v>442</v>
      </c>
      <c r="I37" s="155">
        <v>442</v>
      </c>
      <c r="J37" s="151">
        <v>0</v>
      </c>
      <c r="K37" s="160"/>
      <c r="L37" s="160"/>
      <c r="M37" s="168">
        <f>'66 SYANA PRAROOP-20'!C38</f>
        <v>66</v>
      </c>
      <c r="N37" s="160"/>
      <c r="O37" s="160"/>
      <c r="P37" s="158">
        <f>'66 SYANA PRAROOP-20'!D38</f>
        <v>369</v>
      </c>
      <c r="Q37" s="160"/>
      <c r="R37" s="160"/>
      <c r="S37" s="158">
        <f>'66 SYANA PRAROOP-20'!E38</f>
        <v>4</v>
      </c>
      <c r="T37" s="160"/>
      <c r="U37" s="160"/>
      <c r="V37" s="159">
        <f>'66 SYANA PRAROOP-20'!F38</f>
        <v>2</v>
      </c>
      <c r="W37" s="160"/>
      <c r="X37" s="160"/>
      <c r="Y37" s="159">
        <f>'66 SYANA PRAROOP-20'!G38</f>
        <v>1</v>
      </c>
      <c r="Z37" s="160"/>
      <c r="AA37" s="160"/>
      <c r="AB37" s="168">
        <f>'66 SYANA PRAROOP-20'!H38</f>
        <v>0</v>
      </c>
      <c r="AC37" s="160"/>
      <c r="AD37" s="160"/>
      <c r="AE37" s="168">
        <f>'66 SYANA PRAROOP-20'!I38</f>
        <v>0</v>
      </c>
      <c r="AF37" s="160"/>
      <c r="AG37" s="160"/>
      <c r="AH37" s="168">
        <f>'66 SYANA PRAROOP-20'!J38</f>
        <v>0</v>
      </c>
      <c r="AI37" s="159">
        <f t="shared" si="2"/>
        <v>442</v>
      </c>
      <c r="AJ37" s="150">
        <f t="shared" si="0"/>
        <v>0</v>
      </c>
    </row>
    <row r="38" spans="1:36" ht="38.25">
      <c r="A38" s="151">
        <v>66</v>
      </c>
      <c r="B38" s="155">
        <v>32</v>
      </c>
      <c r="C38" s="156" t="s">
        <v>739</v>
      </c>
      <c r="D38" s="155">
        <v>930</v>
      </c>
      <c r="E38" s="151">
        <v>300</v>
      </c>
      <c r="F38" s="151">
        <v>250</v>
      </c>
      <c r="G38" s="151">
        <v>0</v>
      </c>
      <c r="H38" s="151">
        <f t="shared" si="1"/>
        <v>550</v>
      </c>
      <c r="I38" s="155">
        <v>78</v>
      </c>
      <c r="J38" s="151">
        <v>0</v>
      </c>
      <c r="K38" s="160"/>
      <c r="L38" s="160"/>
      <c r="M38" s="168">
        <f>'66 SYANA PRAROOP-20'!C39</f>
        <v>348</v>
      </c>
      <c r="N38" s="160"/>
      <c r="O38" s="160"/>
      <c r="P38" s="158">
        <f>'66 SYANA PRAROOP-20'!D39</f>
        <v>188</v>
      </c>
      <c r="Q38" s="160"/>
      <c r="R38" s="160"/>
      <c r="S38" s="158">
        <f>'66 SYANA PRAROOP-20'!E39</f>
        <v>2</v>
      </c>
      <c r="T38" s="160"/>
      <c r="U38" s="160"/>
      <c r="V38" s="159">
        <f>'66 SYANA PRAROOP-20'!F39</f>
        <v>12</v>
      </c>
      <c r="W38" s="160"/>
      <c r="X38" s="160"/>
      <c r="Y38" s="159">
        <f>'66 SYANA PRAROOP-20'!G39</f>
        <v>0</v>
      </c>
      <c r="Z38" s="160"/>
      <c r="AA38" s="160"/>
      <c r="AB38" s="168">
        <f>'66 SYANA PRAROOP-20'!H39</f>
        <v>0</v>
      </c>
      <c r="AC38" s="160"/>
      <c r="AD38" s="160"/>
      <c r="AE38" s="168">
        <f>'66 SYANA PRAROOP-20'!I39</f>
        <v>0</v>
      </c>
      <c r="AF38" s="160"/>
      <c r="AG38" s="160"/>
      <c r="AH38" s="168">
        <f>'66 SYANA PRAROOP-20'!J39</f>
        <v>0</v>
      </c>
      <c r="AI38" s="159">
        <f t="shared" si="2"/>
        <v>550</v>
      </c>
      <c r="AJ38" s="150">
        <f t="shared" si="0"/>
        <v>0</v>
      </c>
    </row>
    <row r="39" spans="1:36" ht="38.25">
      <c r="A39" s="151">
        <v>66</v>
      </c>
      <c r="B39" s="155">
        <v>33</v>
      </c>
      <c r="C39" s="156" t="s">
        <v>740</v>
      </c>
      <c r="D39" s="155">
        <v>731</v>
      </c>
      <c r="E39" s="151">
        <v>219</v>
      </c>
      <c r="F39" s="151">
        <v>181</v>
      </c>
      <c r="G39" s="151">
        <v>0</v>
      </c>
      <c r="H39" s="151">
        <f t="shared" si="1"/>
        <v>400</v>
      </c>
      <c r="I39" s="155">
        <v>43</v>
      </c>
      <c r="J39" s="151">
        <v>0</v>
      </c>
      <c r="K39" s="160"/>
      <c r="L39" s="160"/>
      <c r="M39" s="168">
        <f>'66 SYANA PRAROOP-20'!C40</f>
        <v>226</v>
      </c>
      <c r="N39" s="160"/>
      <c r="O39" s="160"/>
      <c r="P39" s="158">
        <f>'66 SYANA PRAROOP-20'!D40</f>
        <v>171</v>
      </c>
      <c r="Q39" s="160"/>
      <c r="R39" s="160"/>
      <c r="S39" s="158">
        <f>'66 SYANA PRAROOP-20'!E40</f>
        <v>0</v>
      </c>
      <c r="T39" s="160"/>
      <c r="U39" s="160"/>
      <c r="V39" s="159">
        <f>'66 SYANA PRAROOP-20'!F40</f>
        <v>0</v>
      </c>
      <c r="W39" s="160"/>
      <c r="X39" s="160"/>
      <c r="Y39" s="159">
        <f>'66 SYANA PRAROOP-20'!G40</f>
        <v>1</v>
      </c>
      <c r="Z39" s="160"/>
      <c r="AA39" s="160"/>
      <c r="AB39" s="168">
        <f>'66 SYANA PRAROOP-20'!H40</f>
        <v>1</v>
      </c>
      <c r="AC39" s="160"/>
      <c r="AD39" s="160"/>
      <c r="AE39" s="168">
        <f>'66 SYANA PRAROOP-20'!I40</f>
        <v>0</v>
      </c>
      <c r="AF39" s="160"/>
      <c r="AG39" s="160"/>
      <c r="AH39" s="168">
        <f>'66 SYANA PRAROOP-20'!J40</f>
        <v>1</v>
      </c>
      <c r="AI39" s="159">
        <f t="shared" si="2"/>
        <v>400</v>
      </c>
      <c r="AJ39" s="150">
        <f t="shared" si="0"/>
        <v>0</v>
      </c>
    </row>
    <row r="40" spans="1:36" ht="63.75">
      <c r="A40" s="151">
        <v>66</v>
      </c>
      <c r="B40" s="155">
        <v>34</v>
      </c>
      <c r="C40" s="156" t="s">
        <v>1074</v>
      </c>
      <c r="D40" s="155">
        <v>814</v>
      </c>
      <c r="E40" s="151">
        <v>212</v>
      </c>
      <c r="F40" s="151">
        <v>193</v>
      </c>
      <c r="G40" s="151">
        <v>0</v>
      </c>
      <c r="H40" s="151">
        <f t="shared" si="1"/>
        <v>405</v>
      </c>
      <c r="I40" s="155">
        <v>185</v>
      </c>
      <c r="J40" s="151">
        <v>0</v>
      </c>
      <c r="K40" s="160"/>
      <c r="L40" s="160"/>
      <c r="M40" s="168">
        <f>'66 SYANA PRAROOP-20'!C41</f>
        <v>119</v>
      </c>
      <c r="N40" s="160"/>
      <c r="O40" s="160"/>
      <c r="P40" s="158">
        <f>'66 SYANA PRAROOP-20'!D41</f>
        <v>237</v>
      </c>
      <c r="Q40" s="160"/>
      <c r="R40" s="160"/>
      <c r="S40" s="158">
        <f>'66 SYANA PRAROOP-20'!E41</f>
        <v>3</v>
      </c>
      <c r="T40" s="160"/>
      <c r="U40" s="160"/>
      <c r="V40" s="159">
        <f>'66 SYANA PRAROOP-20'!F41</f>
        <v>44</v>
      </c>
      <c r="W40" s="160"/>
      <c r="X40" s="160"/>
      <c r="Y40" s="159">
        <f>'66 SYANA PRAROOP-20'!G41</f>
        <v>0</v>
      </c>
      <c r="Z40" s="160"/>
      <c r="AA40" s="160"/>
      <c r="AB40" s="168">
        <f>'66 SYANA PRAROOP-20'!H41</f>
        <v>0</v>
      </c>
      <c r="AC40" s="160"/>
      <c r="AD40" s="160"/>
      <c r="AE40" s="168">
        <f>'66 SYANA PRAROOP-20'!I41</f>
        <v>0</v>
      </c>
      <c r="AF40" s="160"/>
      <c r="AG40" s="160"/>
      <c r="AH40" s="168">
        <f>'66 SYANA PRAROOP-20'!J41</f>
        <v>1</v>
      </c>
      <c r="AI40" s="159">
        <f t="shared" si="2"/>
        <v>404</v>
      </c>
      <c r="AJ40" s="150">
        <f t="shared" si="0"/>
        <v>-1</v>
      </c>
    </row>
    <row r="41" spans="1:36" ht="63.75">
      <c r="A41" s="151">
        <v>66</v>
      </c>
      <c r="B41" s="155">
        <v>35</v>
      </c>
      <c r="C41" s="156" t="s">
        <v>1075</v>
      </c>
      <c r="D41" s="155">
        <v>1028</v>
      </c>
      <c r="E41" s="151">
        <v>300</v>
      </c>
      <c r="F41" s="151">
        <v>257</v>
      </c>
      <c r="G41" s="151">
        <v>0</v>
      </c>
      <c r="H41" s="151">
        <f t="shared" si="1"/>
        <v>557</v>
      </c>
      <c r="I41" s="155">
        <v>165</v>
      </c>
      <c r="J41" s="151">
        <v>0</v>
      </c>
      <c r="K41" s="160"/>
      <c r="L41" s="160"/>
      <c r="M41" s="168">
        <f>'66 SYANA PRAROOP-20'!C42</f>
        <v>222</v>
      </c>
      <c r="N41" s="160"/>
      <c r="O41" s="160"/>
      <c r="P41" s="158">
        <f>'66 SYANA PRAROOP-20'!D42</f>
        <v>309</v>
      </c>
      <c r="Q41" s="160"/>
      <c r="R41" s="160"/>
      <c r="S41" s="158">
        <f>'66 SYANA PRAROOP-20'!E42</f>
        <v>1</v>
      </c>
      <c r="T41" s="160"/>
      <c r="U41" s="160"/>
      <c r="V41" s="159">
        <f>'66 SYANA PRAROOP-20'!F42</f>
        <v>15</v>
      </c>
      <c r="W41" s="160"/>
      <c r="X41" s="160"/>
      <c r="Y41" s="159">
        <f>'66 SYANA PRAROOP-20'!G42</f>
        <v>1</v>
      </c>
      <c r="Z41" s="160"/>
      <c r="AA41" s="160"/>
      <c r="AB41" s="168">
        <f>'66 SYANA PRAROOP-20'!H42</f>
        <v>2</v>
      </c>
      <c r="AC41" s="160"/>
      <c r="AD41" s="160"/>
      <c r="AE41" s="168">
        <f>'66 SYANA PRAROOP-20'!I42</f>
        <v>2</v>
      </c>
      <c r="AF41" s="160"/>
      <c r="AG41" s="160"/>
      <c r="AH41" s="168">
        <f>'66 SYANA PRAROOP-20'!J42</f>
        <v>1</v>
      </c>
      <c r="AI41" s="159">
        <f t="shared" si="2"/>
        <v>553</v>
      </c>
      <c r="AJ41" s="150">
        <f t="shared" si="0"/>
        <v>-4</v>
      </c>
    </row>
    <row r="42" spans="1:36" ht="63.75">
      <c r="A42" s="151">
        <v>66</v>
      </c>
      <c r="B42" s="155">
        <v>36</v>
      </c>
      <c r="C42" s="156" t="s">
        <v>1076</v>
      </c>
      <c r="D42" s="155">
        <v>1054</v>
      </c>
      <c r="E42" s="151">
        <v>312</v>
      </c>
      <c r="F42" s="151">
        <v>277</v>
      </c>
      <c r="G42" s="151">
        <v>0</v>
      </c>
      <c r="H42" s="151">
        <f t="shared" si="1"/>
        <v>589</v>
      </c>
      <c r="I42" s="155">
        <v>27</v>
      </c>
      <c r="J42" s="151">
        <v>0</v>
      </c>
      <c r="K42" s="160"/>
      <c r="L42" s="160"/>
      <c r="M42" s="168">
        <f>'66 SYANA PRAROOP-20'!C43</f>
        <v>270</v>
      </c>
      <c r="N42" s="160"/>
      <c r="O42" s="160"/>
      <c r="P42" s="158">
        <f>'66 SYANA PRAROOP-20'!D43</f>
        <v>85</v>
      </c>
      <c r="Q42" s="160"/>
      <c r="R42" s="160"/>
      <c r="S42" s="158">
        <f>'66 SYANA PRAROOP-20'!E43</f>
        <v>1</v>
      </c>
      <c r="T42" s="160"/>
      <c r="U42" s="160"/>
      <c r="V42" s="159">
        <f>'66 SYANA PRAROOP-20'!F43</f>
        <v>224</v>
      </c>
      <c r="W42" s="160"/>
      <c r="X42" s="160"/>
      <c r="Y42" s="159">
        <f>'66 SYANA PRAROOP-20'!G43</f>
        <v>2</v>
      </c>
      <c r="Z42" s="160"/>
      <c r="AA42" s="160"/>
      <c r="AB42" s="168">
        <f>'66 SYANA PRAROOP-20'!H43</f>
        <v>0</v>
      </c>
      <c r="AC42" s="160"/>
      <c r="AD42" s="160"/>
      <c r="AE42" s="168">
        <f>'66 SYANA PRAROOP-20'!I43</f>
        <v>2</v>
      </c>
      <c r="AF42" s="160"/>
      <c r="AG42" s="160"/>
      <c r="AH42" s="168">
        <f>'66 SYANA PRAROOP-20'!J43</f>
        <v>2</v>
      </c>
      <c r="AI42" s="159">
        <f t="shared" si="2"/>
        <v>586</v>
      </c>
      <c r="AJ42" s="150">
        <f t="shared" si="0"/>
        <v>-3</v>
      </c>
    </row>
    <row r="43" spans="1:36" ht="51">
      <c r="A43" s="151">
        <v>66</v>
      </c>
      <c r="B43" s="155">
        <v>37</v>
      </c>
      <c r="C43" s="156" t="s">
        <v>741</v>
      </c>
      <c r="D43" s="155">
        <v>1020</v>
      </c>
      <c r="E43" s="151">
        <v>371</v>
      </c>
      <c r="F43" s="151">
        <v>322</v>
      </c>
      <c r="G43" s="151">
        <v>0</v>
      </c>
      <c r="H43" s="151">
        <f t="shared" si="1"/>
        <v>693</v>
      </c>
      <c r="I43" s="155">
        <v>107</v>
      </c>
      <c r="J43" s="151">
        <v>0</v>
      </c>
      <c r="K43" s="160"/>
      <c r="L43" s="160"/>
      <c r="M43" s="168">
        <f>'66 SYANA PRAROOP-20'!C44</f>
        <v>290</v>
      </c>
      <c r="N43" s="160"/>
      <c r="O43" s="160"/>
      <c r="P43" s="158">
        <f>'66 SYANA PRAROOP-20'!D44</f>
        <v>374</v>
      </c>
      <c r="Q43" s="160"/>
      <c r="R43" s="160"/>
      <c r="S43" s="158">
        <f>'66 SYANA PRAROOP-20'!E44</f>
        <v>8</v>
      </c>
      <c r="T43" s="160"/>
      <c r="U43" s="160"/>
      <c r="V43" s="159">
        <f>'66 SYANA PRAROOP-20'!F44</f>
        <v>10</v>
      </c>
      <c r="W43" s="160"/>
      <c r="X43" s="160"/>
      <c r="Y43" s="159">
        <f>'66 SYANA PRAROOP-20'!G44</f>
        <v>1</v>
      </c>
      <c r="Z43" s="160"/>
      <c r="AA43" s="160"/>
      <c r="AB43" s="168">
        <f>'66 SYANA PRAROOP-20'!H44</f>
        <v>3</v>
      </c>
      <c r="AC43" s="160"/>
      <c r="AD43" s="160"/>
      <c r="AE43" s="168">
        <f>'66 SYANA PRAROOP-20'!I44</f>
        <v>3</v>
      </c>
      <c r="AF43" s="160"/>
      <c r="AG43" s="160"/>
      <c r="AH43" s="168">
        <f>'66 SYANA PRAROOP-20'!J44</f>
        <v>2</v>
      </c>
      <c r="AI43" s="159">
        <f t="shared" si="2"/>
        <v>691</v>
      </c>
      <c r="AJ43" s="150">
        <f t="shared" si="0"/>
        <v>-2</v>
      </c>
    </row>
    <row r="44" spans="1:36" ht="63.75">
      <c r="A44" s="151">
        <v>66</v>
      </c>
      <c r="B44" s="155">
        <v>38</v>
      </c>
      <c r="C44" s="156" t="s">
        <v>1077</v>
      </c>
      <c r="D44" s="155">
        <v>1066</v>
      </c>
      <c r="E44" s="151">
        <v>431</v>
      </c>
      <c r="F44" s="151">
        <v>379</v>
      </c>
      <c r="G44" s="151">
        <v>0</v>
      </c>
      <c r="H44" s="151">
        <f t="shared" si="1"/>
        <v>810</v>
      </c>
      <c r="I44" s="155">
        <v>75</v>
      </c>
      <c r="J44" s="151">
        <v>0</v>
      </c>
      <c r="K44" s="160"/>
      <c r="L44" s="160"/>
      <c r="M44" s="168">
        <f>'66 SYANA PRAROOP-20'!C45</f>
        <v>206</v>
      </c>
      <c r="N44" s="160"/>
      <c r="O44" s="160"/>
      <c r="P44" s="158">
        <f>'66 SYANA PRAROOP-20'!D45</f>
        <v>196</v>
      </c>
      <c r="Q44" s="160"/>
      <c r="R44" s="160"/>
      <c r="S44" s="158">
        <f>'66 SYANA PRAROOP-20'!E45</f>
        <v>5</v>
      </c>
      <c r="T44" s="160"/>
      <c r="U44" s="160"/>
      <c r="V44" s="159">
        <f>'66 SYANA PRAROOP-20'!F45</f>
        <v>393</v>
      </c>
      <c r="W44" s="160"/>
      <c r="X44" s="160"/>
      <c r="Y44" s="159">
        <f>'66 SYANA PRAROOP-20'!G45</f>
        <v>1</v>
      </c>
      <c r="Z44" s="160"/>
      <c r="AA44" s="160"/>
      <c r="AB44" s="168">
        <f>'66 SYANA PRAROOP-20'!H45</f>
        <v>1</v>
      </c>
      <c r="AC44" s="160"/>
      <c r="AD44" s="160"/>
      <c r="AE44" s="168">
        <f>'66 SYANA PRAROOP-20'!I45</f>
        <v>3</v>
      </c>
      <c r="AF44" s="160"/>
      <c r="AG44" s="160"/>
      <c r="AH44" s="168">
        <f>'66 SYANA PRAROOP-20'!J45</f>
        <v>2</v>
      </c>
      <c r="AI44" s="159">
        <f t="shared" si="2"/>
        <v>807</v>
      </c>
      <c r="AJ44" s="150">
        <f t="shared" si="0"/>
        <v>-3</v>
      </c>
    </row>
    <row r="45" spans="1:36" ht="63.75">
      <c r="A45" s="151">
        <v>66</v>
      </c>
      <c r="B45" s="155">
        <v>39</v>
      </c>
      <c r="C45" s="156" t="s">
        <v>1078</v>
      </c>
      <c r="D45" s="155">
        <v>986</v>
      </c>
      <c r="E45" s="151">
        <v>358</v>
      </c>
      <c r="F45" s="151">
        <v>324</v>
      </c>
      <c r="G45" s="151">
        <v>0</v>
      </c>
      <c r="H45" s="151">
        <f t="shared" si="1"/>
        <v>682</v>
      </c>
      <c r="I45" s="155">
        <v>105</v>
      </c>
      <c r="J45" s="151">
        <v>0</v>
      </c>
      <c r="K45" s="160"/>
      <c r="L45" s="160"/>
      <c r="M45" s="168">
        <f>'66 SYANA PRAROOP-20'!C46</f>
        <v>169</v>
      </c>
      <c r="N45" s="160"/>
      <c r="O45" s="160"/>
      <c r="P45" s="158">
        <f>'66 SYANA PRAROOP-20'!D46</f>
        <v>208</v>
      </c>
      <c r="Q45" s="160"/>
      <c r="R45" s="160"/>
      <c r="S45" s="158">
        <f>'66 SYANA PRAROOP-20'!E46</f>
        <v>8</v>
      </c>
      <c r="T45" s="160"/>
      <c r="U45" s="160"/>
      <c r="V45" s="159">
        <f>'66 SYANA PRAROOP-20'!F46</f>
        <v>285</v>
      </c>
      <c r="W45" s="160"/>
      <c r="X45" s="160"/>
      <c r="Y45" s="159">
        <f>'66 SYANA PRAROOP-20'!G46</f>
        <v>4</v>
      </c>
      <c r="Z45" s="160"/>
      <c r="AA45" s="160"/>
      <c r="AB45" s="168">
        <f>'66 SYANA PRAROOP-20'!H46</f>
        <v>3</v>
      </c>
      <c r="AC45" s="160"/>
      <c r="AD45" s="160"/>
      <c r="AE45" s="168">
        <f>'66 SYANA PRAROOP-20'!I46</f>
        <v>3</v>
      </c>
      <c r="AF45" s="160"/>
      <c r="AG45" s="160"/>
      <c r="AH45" s="168">
        <f>'66 SYANA PRAROOP-20'!J46</f>
        <v>0</v>
      </c>
      <c r="AI45" s="159">
        <f t="shared" si="2"/>
        <v>680</v>
      </c>
      <c r="AJ45" s="150">
        <f t="shared" si="0"/>
        <v>-2</v>
      </c>
    </row>
    <row r="46" spans="1:36" ht="63.75">
      <c r="A46" s="151">
        <v>66</v>
      </c>
      <c r="B46" s="155">
        <v>40</v>
      </c>
      <c r="C46" s="156" t="s">
        <v>1079</v>
      </c>
      <c r="D46" s="155">
        <v>1032</v>
      </c>
      <c r="E46" s="151">
        <v>356</v>
      </c>
      <c r="F46" s="151">
        <v>286</v>
      </c>
      <c r="G46" s="151">
        <v>0</v>
      </c>
      <c r="H46" s="151">
        <f t="shared" si="1"/>
        <v>642</v>
      </c>
      <c r="I46" s="155">
        <v>67</v>
      </c>
      <c r="J46" s="151">
        <v>0</v>
      </c>
      <c r="K46" s="160"/>
      <c r="L46" s="160"/>
      <c r="M46" s="168">
        <f>'66 SYANA PRAROOP-20'!C47</f>
        <v>341</v>
      </c>
      <c r="N46" s="160"/>
      <c r="O46" s="160"/>
      <c r="P46" s="158">
        <f>'66 SYANA PRAROOP-20'!D47</f>
        <v>273</v>
      </c>
      <c r="Q46" s="160"/>
      <c r="R46" s="160"/>
      <c r="S46" s="158">
        <f>'66 SYANA PRAROOP-20'!E47</f>
        <v>8</v>
      </c>
      <c r="T46" s="160"/>
      <c r="U46" s="160"/>
      <c r="V46" s="159">
        <f>'66 SYANA PRAROOP-20'!F47</f>
        <v>11</v>
      </c>
      <c r="W46" s="160"/>
      <c r="X46" s="160"/>
      <c r="Y46" s="159">
        <f>'66 SYANA PRAROOP-20'!G47</f>
        <v>1</v>
      </c>
      <c r="Z46" s="160"/>
      <c r="AA46" s="160"/>
      <c r="AB46" s="168">
        <f>'66 SYANA PRAROOP-20'!H47</f>
        <v>1</v>
      </c>
      <c r="AC46" s="160"/>
      <c r="AD46" s="160"/>
      <c r="AE46" s="168">
        <f>'66 SYANA PRAROOP-20'!I47</f>
        <v>4</v>
      </c>
      <c r="AF46" s="160"/>
      <c r="AG46" s="160"/>
      <c r="AH46" s="168">
        <f>'66 SYANA PRAROOP-20'!J47</f>
        <v>2</v>
      </c>
      <c r="AI46" s="159">
        <f t="shared" si="2"/>
        <v>641</v>
      </c>
      <c r="AJ46" s="150">
        <f t="shared" si="0"/>
        <v>-1</v>
      </c>
    </row>
    <row r="47" spans="1:36" ht="63.75">
      <c r="A47" s="151">
        <v>66</v>
      </c>
      <c r="B47" s="155">
        <v>41</v>
      </c>
      <c r="C47" s="156" t="s">
        <v>742</v>
      </c>
      <c r="D47" s="155">
        <v>1006</v>
      </c>
      <c r="E47" s="151">
        <v>332</v>
      </c>
      <c r="F47" s="151">
        <v>293</v>
      </c>
      <c r="G47" s="151">
        <v>0</v>
      </c>
      <c r="H47" s="151">
        <f t="shared" si="1"/>
        <v>625</v>
      </c>
      <c r="I47" s="155">
        <v>84</v>
      </c>
      <c r="J47" s="151">
        <v>0</v>
      </c>
      <c r="K47" s="160"/>
      <c r="L47" s="160"/>
      <c r="M47" s="168">
        <f>'66 SYANA PRAROOP-20'!C48</f>
        <v>152</v>
      </c>
      <c r="N47" s="160"/>
      <c r="O47" s="160"/>
      <c r="P47" s="158">
        <f>'66 SYANA PRAROOP-20'!D48</f>
        <v>314</v>
      </c>
      <c r="Q47" s="160"/>
      <c r="R47" s="160"/>
      <c r="S47" s="158">
        <f>'66 SYANA PRAROOP-20'!E48</f>
        <v>2</v>
      </c>
      <c r="T47" s="160"/>
      <c r="U47" s="160"/>
      <c r="V47" s="159">
        <f>'66 SYANA PRAROOP-20'!F48</f>
        <v>141</v>
      </c>
      <c r="W47" s="160"/>
      <c r="X47" s="160"/>
      <c r="Y47" s="159">
        <f>'66 SYANA PRAROOP-20'!G48</f>
        <v>4</v>
      </c>
      <c r="Z47" s="160"/>
      <c r="AA47" s="160"/>
      <c r="AB47" s="168">
        <f>'66 SYANA PRAROOP-20'!H48</f>
        <v>3</v>
      </c>
      <c r="AC47" s="160"/>
      <c r="AD47" s="160"/>
      <c r="AE47" s="168">
        <f>'66 SYANA PRAROOP-20'!I48</f>
        <v>6</v>
      </c>
      <c r="AF47" s="160"/>
      <c r="AG47" s="160"/>
      <c r="AH47" s="168">
        <f>'66 SYANA PRAROOP-20'!J48</f>
        <v>1</v>
      </c>
      <c r="AI47" s="159">
        <f t="shared" si="2"/>
        <v>623</v>
      </c>
      <c r="AJ47" s="150">
        <f t="shared" si="0"/>
        <v>-2</v>
      </c>
    </row>
    <row r="48" spans="1:36" ht="63.75">
      <c r="A48" s="151">
        <v>66</v>
      </c>
      <c r="B48" s="155">
        <v>42</v>
      </c>
      <c r="C48" s="156" t="s">
        <v>743</v>
      </c>
      <c r="D48" s="155">
        <v>1095</v>
      </c>
      <c r="E48" s="151">
        <v>364</v>
      </c>
      <c r="F48" s="151">
        <v>301</v>
      </c>
      <c r="G48" s="151">
        <v>0</v>
      </c>
      <c r="H48" s="151">
        <f t="shared" si="1"/>
        <v>665</v>
      </c>
      <c r="I48" s="155">
        <v>119</v>
      </c>
      <c r="J48" s="151">
        <v>0</v>
      </c>
      <c r="K48" s="160"/>
      <c r="L48" s="160"/>
      <c r="M48" s="168">
        <f>'66 SYANA PRAROOP-20'!C49</f>
        <v>171</v>
      </c>
      <c r="N48" s="160"/>
      <c r="O48" s="160"/>
      <c r="P48" s="158">
        <f>'66 SYANA PRAROOP-20'!D49</f>
        <v>456</v>
      </c>
      <c r="Q48" s="160"/>
      <c r="R48" s="160"/>
      <c r="S48" s="158">
        <f>'66 SYANA PRAROOP-20'!E49</f>
        <v>5</v>
      </c>
      <c r="T48" s="160"/>
      <c r="U48" s="160"/>
      <c r="V48" s="159">
        <f>'66 SYANA PRAROOP-20'!F49</f>
        <v>15</v>
      </c>
      <c r="W48" s="160"/>
      <c r="X48" s="160"/>
      <c r="Y48" s="159">
        <f>'66 SYANA PRAROOP-20'!G49</f>
        <v>3</v>
      </c>
      <c r="Z48" s="160"/>
      <c r="AA48" s="160"/>
      <c r="AB48" s="168">
        <f>'66 SYANA PRAROOP-20'!H49</f>
        <v>2</v>
      </c>
      <c r="AC48" s="160"/>
      <c r="AD48" s="160"/>
      <c r="AE48" s="168">
        <f>'66 SYANA PRAROOP-20'!I49</f>
        <v>3</v>
      </c>
      <c r="AF48" s="160"/>
      <c r="AG48" s="160"/>
      <c r="AH48" s="168">
        <f>'66 SYANA PRAROOP-20'!J49</f>
        <v>3</v>
      </c>
      <c r="AI48" s="159">
        <f t="shared" si="2"/>
        <v>658</v>
      </c>
      <c r="AJ48" s="150">
        <f t="shared" si="0"/>
        <v>-7</v>
      </c>
    </row>
    <row r="49" spans="1:36" ht="63.75">
      <c r="A49" s="151">
        <v>66</v>
      </c>
      <c r="B49" s="155">
        <v>43</v>
      </c>
      <c r="C49" s="156" t="s">
        <v>744</v>
      </c>
      <c r="D49" s="155">
        <v>1061</v>
      </c>
      <c r="E49" s="151">
        <v>340</v>
      </c>
      <c r="F49" s="151">
        <v>302</v>
      </c>
      <c r="G49" s="151">
        <v>0</v>
      </c>
      <c r="H49" s="151">
        <f t="shared" si="1"/>
        <v>642</v>
      </c>
      <c r="I49" s="155">
        <v>240</v>
      </c>
      <c r="J49" s="151">
        <v>0</v>
      </c>
      <c r="K49" s="160"/>
      <c r="L49" s="160"/>
      <c r="M49" s="168">
        <f>'66 SYANA PRAROOP-20'!C50</f>
        <v>130</v>
      </c>
      <c r="N49" s="160"/>
      <c r="O49" s="160"/>
      <c r="P49" s="158">
        <f>'66 SYANA PRAROOP-20'!D50</f>
        <v>379</v>
      </c>
      <c r="Q49" s="160"/>
      <c r="R49" s="160"/>
      <c r="S49" s="158">
        <f>'66 SYANA PRAROOP-20'!E50</f>
        <v>11</v>
      </c>
      <c r="T49" s="160"/>
      <c r="U49" s="160"/>
      <c r="V49" s="159">
        <f>'66 SYANA PRAROOP-20'!F50</f>
        <v>106</v>
      </c>
      <c r="W49" s="160"/>
      <c r="X49" s="160"/>
      <c r="Y49" s="159">
        <f>'66 SYANA PRAROOP-20'!G50</f>
        <v>2</v>
      </c>
      <c r="Z49" s="160"/>
      <c r="AA49" s="160"/>
      <c r="AB49" s="168">
        <f>'66 SYANA PRAROOP-20'!H50</f>
        <v>1</v>
      </c>
      <c r="AC49" s="160"/>
      <c r="AD49" s="160"/>
      <c r="AE49" s="168">
        <f>'66 SYANA PRAROOP-20'!I50</f>
        <v>5</v>
      </c>
      <c r="AF49" s="160"/>
      <c r="AG49" s="160"/>
      <c r="AH49" s="168">
        <f>'66 SYANA PRAROOP-20'!J50</f>
        <v>3</v>
      </c>
      <c r="AI49" s="159">
        <f t="shared" si="2"/>
        <v>637</v>
      </c>
      <c r="AJ49" s="150">
        <f t="shared" si="0"/>
        <v>-5</v>
      </c>
    </row>
    <row r="50" spans="1:36" ht="63.75">
      <c r="A50" s="151">
        <v>66</v>
      </c>
      <c r="B50" s="155">
        <v>44</v>
      </c>
      <c r="C50" s="156" t="s">
        <v>745</v>
      </c>
      <c r="D50" s="155">
        <v>1042</v>
      </c>
      <c r="E50" s="151">
        <v>311</v>
      </c>
      <c r="F50" s="151">
        <v>266</v>
      </c>
      <c r="G50" s="151">
        <v>0</v>
      </c>
      <c r="H50" s="151">
        <f t="shared" si="1"/>
        <v>577</v>
      </c>
      <c r="I50" s="155">
        <v>211</v>
      </c>
      <c r="J50" s="151">
        <v>0</v>
      </c>
      <c r="K50" s="160"/>
      <c r="L50" s="160"/>
      <c r="M50" s="168">
        <f>'66 SYANA PRAROOP-20'!C51</f>
        <v>85</v>
      </c>
      <c r="N50" s="160"/>
      <c r="O50" s="160"/>
      <c r="P50" s="158">
        <f>'66 SYANA PRAROOP-20'!D51</f>
        <v>455</v>
      </c>
      <c r="Q50" s="160"/>
      <c r="R50" s="160"/>
      <c r="S50" s="158">
        <f>'66 SYANA PRAROOP-20'!E51</f>
        <v>5</v>
      </c>
      <c r="T50" s="160"/>
      <c r="U50" s="160"/>
      <c r="V50" s="159">
        <f>'66 SYANA PRAROOP-20'!F51</f>
        <v>8</v>
      </c>
      <c r="W50" s="160"/>
      <c r="X50" s="160"/>
      <c r="Y50" s="159">
        <f>'66 SYANA PRAROOP-20'!G51</f>
        <v>1</v>
      </c>
      <c r="Z50" s="160"/>
      <c r="AA50" s="160"/>
      <c r="AB50" s="168">
        <f>'66 SYANA PRAROOP-20'!H51</f>
        <v>3</v>
      </c>
      <c r="AC50" s="160"/>
      <c r="AD50" s="160"/>
      <c r="AE50" s="168">
        <f>'66 SYANA PRAROOP-20'!I51</f>
        <v>1</v>
      </c>
      <c r="AF50" s="160"/>
      <c r="AG50" s="160"/>
      <c r="AH50" s="168">
        <f>'66 SYANA PRAROOP-20'!J51</f>
        <v>1</v>
      </c>
      <c r="AI50" s="159">
        <f t="shared" si="2"/>
        <v>559</v>
      </c>
      <c r="AJ50" s="150">
        <f t="shared" si="0"/>
        <v>-18</v>
      </c>
    </row>
    <row r="51" spans="1:36" ht="63.75">
      <c r="A51" s="151">
        <v>66</v>
      </c>
      <c r="B51" s="155">
        <v>45</v>
      </c>
      <c r="C51" s="156" t="s">
        <v>746</v>
      </c>
      <c r="D51" s="155">
        <v>1009</v>
      </c>
      <c r="E51" s="151">
        <v>304</v>
      </c>
      <c r="F51" s="151">
        <v>225</v>
      </c>
      <c r="G51" s="151">
        <v>0</v>
      </c>
      <c r="H51" s="151">
        <f t="shared" si="1"/>
        <v>529</v>
      </c>
      <c r="I51" s="155">
        <v>45</v>
      </c>
      <c r="J51" s="151">
        <v>0</v>
      </c>
      <c r="K51" s="160"/>
      <c r="L51" s="160"/>
      <c r="M51" s="168">
        <f>'66 SYANA PRAROOP-20'!C52</f>
        <v>249</v>
      </c>
      <c r="N51" s="160"/>
      <c r="O51" s="160"/>
      <c r="P51" s="158">
        <f>'66 SYANA PRAROOP-20'!D52</f>
        <v>227</v>
      </c>
      <c r="Q51" s="160"/>
      <c r="R51" s="160"/>
      <c r="S51" s="158">
        <f>'66 SYANA PRAROOP-20'!E52</f>
        <v>3</v>
      </c>
      <c r="T51" s="160"/>
      <c r="U51" s="160"/>
      <c r="V51" s="159">
        <f>'66 SYANA PRAROOP-20'!F52</f>
        <v>44</v>
      </c>
      <c r="W51" s="160"/>
      <c r="X51" s="160"/>
      <c r="Y51" s="159">
        <f>'66 SYANA PRAROOP-20'!G52</f>
        <v>2</v>
      </c>
      <c r="Z51" s="160"/>
      <c r="AA51" s="160"/>
      <c r="AB51" s="168">
        <f>'66 SYANA PRAROOP-20'!H52</f>
        <v>0</v>
      </c>
      <c r="AC51" s="160"/>
      <c r="AD51" s="160"/>
      <c r="AE51" s="168">
        <f>'66 SYANA PRAROOP-20'!I52</f>
        <v>0</v>
      </c>
      <c r="AF51" s="160"/>
      <c r="AG51" s="160"/>
      <c r="AH51" s="168">
        <f>'66 SYANA PRAROOP-20'!J52</f>
        <v>2</v>
      </c>
      <c r="AI51" s="159">
        <f t="shared" si="2"/>
        <v>527</v>
      </c>
      <c r="AJ51" s="150">
        <f t="shared" si="0"/>
        <v>-2</v>
      </c>
    </row>
    <row r="52" spans="1:36" ht="63.75">
      <c r="A52" s="151">
        <v>66</v>
      </c>
      <c r="B52" s="155">
        <v>46</v>
      </c>
      <c r="C52" s="156" t="s">
        <v>747</v>
      </c>
      <c r="D52" s="155">
        <v>1008</v>
      </c>
      <c r="E52" s="151">
        <v>337</v>
      </c>
      <c r="F52" s="151">
        <v>201</v>
      </c>
      <c r="G52" s="151">
        <v>0</v>
      </c>
      <c r="H52" s="151">
        <f t="shared" si="1"/>
        <v>538</v>
      </c>
      <c r="I52" s="155">
        <v>57</v>
      </c>
      <c r="J52" s="151">
        <v>0</v>
      </c>
      <c r="K52" s="160"/>
      <c r="L52" s="160"/>
      <c r="M52" s="168">
        <f>'66 SYANA PRAROOP-20'!C53</f>
        <v>182</v>
      </c>
      <c r="N52" s="160"/>
      <c r="O52" s="160"/>
      <c r="P52" s="158">
        <f>'66 SYANA PRAROOP-20'!D53</f>
        <v>181</v>
      </c>
      <c r="Q52" s="160"/>
      <c r="R52" s="160"/>
      <c r="S52" s="158">
        <f>'66 SYANA PRAROOP-20'!E53</f>
        <v>3</v>
      </c>
      <c r="T52" s="160"/>
      <c r="U52" s="160"/>
      <c r="V52" s="159">
        <f>'66 SYANA PRAROOP-20'!F53</f>
        <v>161</v>
      </c>
      <c r="W52" s="160"/>
      <c r="X52" s="160"/>
      <c r="Y52" s="159">
        <f>'66 SYANA PRAROOP-20'!G53</f>
        <v>0</v>
      </c>
      <c r="Z52" s="160"/>
      <c r="AA52" s="160"/>
      <c r="AB52" s="168">
        <f>'66 SYANA PRAROOP-20'!H53</f>
        <v>0</v>
      </c>
      <c r="AC52" s="160"/>
      <c r="AD52" s="160"/>
      <c r="AE52" s="168">
        <f>'66 SYANA PRAROOP-20'!I53</f>
        <v>4</v>
      </c>
      <c r="AF52" s="160"/>
      <c r="AG52" s="160"/>
      <c r="AH52" s="168">
        <f>'66 SYANA PRAROOP-20'!J53</f>
        <v>3</v>
      </c>
      <c r="AI52" s="159">
        <f t="shared" si="2"/>
        <v>534</v>
      </c>
      <c r="AJ52" s="150">
        <f t="shared" si="0"/>
        <v>-4</v>
      </c>
    </row>
    <row r="53" spans="1:36" ht="51">
      <c r="A53" s="151">
        <v>66</v>
      </c>
      <c r="B53" s="155">
        <v>47</v>
      </c>
      <c r="C53" s="156" t="s">
        <v>748</v>
      </c>
      <c r="D53" s="155">
        <v>787</v>
      </c>
      <c r="E53" s="151">
        <v>245</v>
      </c>
      <c r="F53" s="151">
        <v>210</v>
      </c>
      <c r="G53" s="151">
        <v>0</v>
      </c>
      <c r="H53" s="151">
        <f t="shared" si="1"/>
        <v>455</v>
      </c>
      <c r="I53" s="155">
        <v>44</v>
      </c>
      <c r="J53" s="151">
        <v>0</v>
      </c>
      <c r="K53" s="160"/>
      <c r="L53" s="160"/>
      <c r="M53" s="168">
        <f>'66 SYANA PRAROOP-20'!C54</f>
        <v>68</v>
      </c>
      <c r="N53" s="160"/>
      <c r="O53" s="160"/>
      <c r="P53" s="158">
        <f>'66 SYANA PRAROOP-20'!D54</f>
        <v>296</v>
      </c>
      <c r="Q53" s="160"/>
      <c r="R53" s="160"/>
      <c r="S53" s="158">
        <f>'66 SYANA PRAROOP-20'!E54</f>
        <v>5</v>
      </c>
      <c r="T53" s="160"/>
      <c r="U53" s="160"/>
      <c r="V53" s="159">
        <f>'66 SYANA PRAROOP-20'!F54</f>
        <v>79</v>
      </c>
      <c r="W53" s="160"/>
      <c r="X53" s="160"/>
      <c r="Y53" s="159">
        <f>'66 SYANA PRAROOP-20'!G54</f>
        <v>0</v>
      </c>
      <c r="Z53" s="160"/>
      <c r="AA53" s="160"/>
      <c r="AB53" s="168">
        <f>'66 SYANA PRAROOP-20'!H54</f>
        <v>2</v>
      </c>
      <c r="AC53" s="160"/>
      <c r="AD53" s="160"/>
      <c r="AE53" s="168">
        <f>'66 SYANA PRAROOP-20'!I54</f>
        <v>0</v>
      </c>
      <c r="AF53" s="160"/>
      <c r="AG53" s="160"/>
      <c r="AH53" s="168">
        <f>'66 SYANA PRAROOP-20'!J54</f>
        <v>1</v>
      </c>
      <c r="AI53" s="159">
        <f t="shared" si="2"/>
        <v>451</v>
      </c>
      <c r="AJ53" s="150">
        <f t="shared" si="0"/>
        <v>-4</v>
      </c>
    </row>
    <row r="54" spans="1:36" ht="51">
      <c r="A54" s="151">
        <v>66</v>
      </c>
      <c r="B54" s="155">
        <v>48</v>
      </c>
      <c r="C54" s="156" t="s">
        <v>749</v>
      </c>
      <c r="D54" s="155">
        <v>805</v>
      </c>
      <c r="E54" s="151">
        <v>253</v>
      </c>
      <c r="F54" s="151">
        <v>210</v>
      </c>
      <c r="G54" s="151">
        <v>0</v>
      </c>
      <c r="H54" s="151">
        <f t="shared" si="1"/>
        <v>463</v>
      </c>
      <c r="I54" s="155">
        <v>31</v>
      </c>
      <c r="J54" s="151">
        <v>0</v>
      </c>
      <c r="K54" s="160"/>
      <c r="L54" s="160"/>
      <c r="M54" s="168">
        <f>'66 SYANA PRAROOP-20'!C55</f>
        <v>58</v>
      </c>
      <c r="N54" s="160"/>
      <c r="O54" s="160"/>
      <c r="P54" s="158">
        <f>'66 SYANA PRAROOP-20'!D55</f>
        <v>362</v>
      </c>
      <c r="Q54" s="160"/>
      <c r="R54" s="160"/>
      <c r="S54" s="158">
        <f>'66 SYANA PRAROOP-20'!E55</f>
        <v>9</v>
      </c>
      <c r="T54" s="160"/>
      <c r="U54" s="160"/>
      <c r="V54" s="159">
        <f>'66 SYANA PRAROOP-20'!F55</f>
        <v>30</v>
      </c>
      <c r="W54" s="160"/>
      <c r="X54" s="160"/>
      <c r="Y54" s="159">
        <f>'66 SYANA PRAROOP-20'!G55</f>
        <v>0</v>
      </c>
      <c r="Z54" s="160"/>
      <c r="AA54" s="160"/>
      <c r="AB54" s="168">
        <f>'66 SYANA PRAROOP-20'!H55</f>
        <v>0</v>
      </c>
      <c r="AC54" s="160"/>
      <c r="AD54" s="160"/>
      <c r="AE54" s="168">
        <f>'66 SYANA PRAROOP-20'!I55</f>
        <v>1</v>
      </c>
      <c r="AF54" s="160"/>
      <c r="AG54" s="160"/>
      <c r="AH54" s="168">
        <f>'66 SYANA PRAROOP-20'!J55</f>
        <v>2</v>
      </c>
      <c r="AI54" s="159">
        <f t="shared" si="2"/>
        <v>462</v>
      </c>
      <c r="AJ54" s="150">
        <f t="shared" si="0"/>
        <v>-1</v>
      </c>
    </row>
    <row r="55" spans="1:36" ht="63.75">
      <c r="A55" s="151">
        <v>66</v>
      </c>
      <c r="B55" s="155">
        <v>49</v>
      </c>
      <c r="C55" s="156" t="s">
        <v>750</v>
      </c>
      <c r="D55" s="155">
        <v>893</v>
      </c>
      <c r="E55" s="151">
        <v>334</v>
      </c>
      <c r="F55" s="151">
        <v>264</v>
      </c>
      <c r="G55" s="151">
        <v>0</v>
      </c>
      <c r="H55" s="151">
        <f t="shared" si="1"/>
        <v>598</v>
      </c>
      <c r="I55" s="155">
        <v>152</v>
      </c>
      <c r="J55" s="151">
        <v>0</v>
      </c>
      <c r="K55" s="160"/>
      <c r="L55" s="160"/>
      <c r="M55" s="168">
        <f>'66 SYANA PRAROOP-20'!C56</f>
        <v>108</v>
      </c>
      <c r="N55" s="160"/>
      <c r="O55" s="160"/>
      <c r="P55" s="158">
        <f>'66 SYANA PRAROOP-20'!D56</f>
        <v>471</v>
      </c>
      <c r="Q55" s="160"/>
      <c r="R55" s="160"/>
      <c r="S55" s="158">
        <f>'66 SYANA PRAROOP-20'!E56</f>
        <v>5</v>
      </c>
      <c r="T55" s="160"/>
      <c r="U55" s="160"/>
      <c r="V55" s="159">
        <f>'66 SYANA PRAROOP-20'!F56</f>
        <v>5</v>
      </c>
      <c r="W55" s="160"/>
      <c r="X55" s="160"/>
      <c r="Y55" s="159">
        <f>'66 SYANA PRAROOP-20'!G56</f>
        <v>0</v>
      </c>
      <c r="Z55" s="160"/>
      <c r="AA55" s="160"/>
      <c r="AB55" s="168">
        <f>'66 SYANA PRAROOP-20'!H56</f>
        <v>1</v>
      </c>
      <c r="AC55" s="160"/>
      <c r="AD55" s="160"/>
      <c r="AE55" s="168">
        <f>'66 SYANA PRAROOP-20'!I56</f>
        <v>1</v>
      </c>
      <c r="AF55" s="160"/>
      <c r="AG55" s="160"/>
      <c r="AH55" s="168">
        <f>'66 SYANA PRAROOP-20'!J56</f>
        <v>2</v>
      </c>
      <c r="AI55" s="159">
        <f t="shared" si="2"/>
        <v>593</v>
      </c>
      <c r="AJ55" s="150">
        <f t="shared" si="0"/>
        <v>-5</v>
      </c>
    </row>
    <row r="56" spans="1:36" ht="63.75">
      <c r="A56" s="151">
        <v>66</v>
      </c>
      <c r="B56" s="155">
        <v>50</v>
      </c>
      <c r="C56" s="156" t="s">
        <v>751</v>
      </c>
      <c r="D56" s="155">
        <v>837</v>
      </c>
      <c r="E56" s="151">
        <v>273</v>
      </c>
      <c r="F56" s="151">
        <v>211</v>
      </c>
      <c r="G56" s="151">
        <v>0</v>
      </c>
      <c r="H56" s="151">
        <f t="shared" si="1"/>
        <v>484</v>
      </c>
      <c r="I56" s="155">
        <v>62</v>
      </c>
      <c r="J56" s="151">
        <v>0</v>
      </c>
      <c r="K56" s="160"/>
      <c r="L56" s="160"/>
      <c r="M56" s="168">
        <f>'66 SYANA PRAROOP-20'!C57</f>
        <v>233</v>
      </c>
      <c r="N56" s="160"/>
      <c r="O56" s="160"/>
      <c r="P56" s="158">
        <f>'66 SYANA PRAROOP-20'!D57</f>
        <v>198</v>
      </c>
      <c r="Q56" s="160"/>
      <c r="R56" s="160"/>
      <c r="S56" s="158">
        <f>'66 SYANA PRAROOP-20'!E57</f>
        <v>3</v>
      </c>
      <c r="T56" s="160"/>
      <c r="U56" s="160"/>
      <c r="V56" s="159">
        <f>'66 SYANA PRAROOP-20'!F57</f>
        <v>47</v>
      </c>
      <c r="W56" s="160"/>
      <c r="X56" s="160"/>
      <c r="Y56" s="159">
        <f>'66 SYANA PRAROOP-20'!G57</f>
        <v>1</v>
      </c>
      <c r="Z56" s="160"/>
      <c r="AA56" s="160"/>
      <c r="AB56" s="168">
        <f>'66 SYANA PRAROOP-20'!H57</f>
        <v>0</v>
      </c>
      <c r="AC56" s="160"/>
      <c r="AD56" s="160"/>
      <c r="AE56" s="168">
        <f>'66 SYANA PRAROOP-20'!I57</f>
        <v>1</v>
      </c>
      <c r="AF56" s="160"/>
      <c r="AG56" s="160"/>
      <c r="AH56" s="168">
        <f>'66 SYANA PRAROOP-20'!J57</f>
        <v>0</v>
      </c>
      <c r="AI56" s="159">
        <f t="shared" si="2"/>
        <v>483</v>
      </c>
      <c r="AJ56" s="150">
        <f t="shared" si="0"/>
        <v>-1</v>
      </c>
    </row>
    <row r="57" spans="1:36" ht="63.75">
      <c r="A57" s="151">
        <v>66</v>
      </c>
      <c r="B57" s="155">
        <v>51</v>
      </c>
      <c r="C57" s="156" t="s">
        <v>1080</v>
      </c>
      <c r="D57" s="155">
        <v>856</v>
      </c>
      <c r="E57" s="151">
        <v>286</v>
      </c>
      <c r="F57" s="151">
        <v>214</v>
      </c>
      <c r="G57" s="151">
        <v>0</v>
      </c>
      <c r="H57" s="151">
        <f t="shared" si="1"/>
        <v>500</v>
      </c>
      <c r="I57" s="155">
        <v>5</v>
      </c>
      <c r="J57" s="151">
        <v>0</v>
      </c>
      <c r="K57" s="160"/>
      <c r="L57" s="160"/>
      <c r="M57" s="168">
        <f>'66 SYANA PRAROOP-20'!C58</f>
        <v>257</v>
      </c>
      <c r="N57" s="160"/>
      <c r="O57" s="160"/>
      <c r="P57" s="158">
        <f>'66 SYANA PRAROOP-20'!D58</f>
        <v>229</v>
      </c>
      <c r="Q57" s="160"/>
      <c r="R57" s="160"/>
      <c r="S57" s="158">
        <f>'66 SYANA PRAROOP-20'!E58</f>
        <v>1</v>
      </c>
      <c r="T57" s="160"/>
      <c r="U57" s="160"/>
      <c r="V57" s="159">
        <f>'66 SYANA PRAROOP-20'!F58</f>
        <v>6</v>
      </c>
      <c r="W57" s="160"/>
      <c r="X57" s="160"/>
      <c r="Y57" s="159">
        <f>'66 SYANA PRAROOP-20'!G58</f>
        <v>0</v>
      </c>
      <c r="Z57" s="160"/>
      <c r="AA57" s="160"/>
      <c r="AB57" s="168">
        <f>'66 SYANA PRAROOP-20'!H58</f>
        <v>2</v>
      </c>
      <c r="AC57" s="160"/>
      <c r="AD57" s="160"/>
      <c r="AE57" s="168">
        <f>'66 SYANA PRAROOP-20'!I58</f>
        <v>1</v>
      </c>
      <c r="AF57" s="160"/>
      <c r="AG57" s="160"/>
      <c r="AH57" s="168">
        <f>'66 SYANA PRAROOP-20'!J58</f>
        <v>2</v>
      </c>
      <c r="AI57" s="159">
        <f t="shared" si="2"/>
        <v>498</v>
      </c>
      <c r="AJ57" s="150">
        <f t="shared" si="0"/>
        <v>-2</v>
      </c>
    </row>
    <row r="58" spans="1:36" ht="63.75">
      <c r="A58" s="151">
        <v>66</v>
      </c>
      <c r="B58" s="155">
        <v>52</v>
      </c>
      <c r="C58" s="156" t="s">
        <v>752</v>
      </c>
      <c r="D58" s="155">
        <v>1193</v>
      </c>
      <c r="E58" s="151">
        <v>398</v>
      </c>
      <c r="F58" s="151">
        <v>346</v>
      </c>
      <c r="G58" s="151">
        <v>0</v>
      </c>
      <c r="H58" s="151">
        <f t="shared" si="1"/>
        <v>744</v>
      </c>
      <c r="I58" s="155">
        <v>74</v>
      </c>
      <c r="J58" s="151">
        <v>0</v>
      </c>
      <c r="K58" s="160"/>
      <c r="L58" s="160"/>
      <c r="M58" s="168">
        <f>'66 SYANA PRAROOP-20'!C59</f>
        <v>136</v>
      </c>
      <c r="N58" s="160"/>
      <c r="O58" s="160"/>
      <c r="P58" s="158">
        <f>'66 SYANA PRAROOP-20'!D59</f>
        <v>583</v>
      </c>
      <c r="Q58" s="160"/>
      <c r="R58" s="160"/>
      <c r="S58" s="158">
        <f>'66 SYANA PRAROOP-20'!E59</f>
        <v>7</v>
      </c>
      <c r="T58" s="160"/>
      <c r="U58" s="160"/>
      <c r="V58" s="159">
        <f>'66 SYANA PRAROOP-20'!F59</f>
        <v>9</v>
      </c>
      <c r="W58" s="160"/>
      <c r="X58" s="160"/>
      <c r="Y58" s="159">
        <f>'66 SYANA PRAROOP-20'!G59</f>
        <v>1</v>
      </c>
      <c r="Z58" s="160"/>
      <c r="AA58" s="160"/>
      <c r="AB58" s="168">
        <f>'66 SYANA PRAROOP-20'!H59</f>
        <v>2</v>
      </c>
      <c r="AC58" s="160"/>
      <c r="AD58" s="160"/>
      <c r="AE58" s="168">
        <f>'66 SYANA PRAROOP-20'!I59</f>
        <v>4</v>
      </c>
      <c r="AF58" s="160"/>
      <c r="AG58" s="160"/>
      <c r="AH58" s="168">
        <f>'66 SYANA PRAROOP-20'!J59</f>
        <v>2</v>
      </c>
      <c r="AI58" s="159">
        <f t="shared" si="2"/>
        <v>744</v>
      </c>
      <c r="AJ58" s="150">
        <f t="shared" si="0"/>
        <v>0</v>
      </c>
    </row>
    <row r="59" spans="1:36" ht="63.75">
      <c r="A59" s="151">
        <v>66</v>
      </c>
      <c r="B59" s="155">
        <v>53</v>
      </c>
      <c r="C59" s="156" t="s">
        <v>753</v>
      </c>
      <c r="D59" s="155">
        <v>1206</v>
      </c>
      <c r="E59" s="151">
        <v>384</v>
      </c>
      <c r="F59" s="151">
        <v>356</v>
      </c>
      <c r="G59" s="151">
        <v>0</v>
      </c>
      <c r="H59" s="151">
        <f t="shared" si="1"/>
        <v>740</v>
      </c>
      <c r="I59" s="155">
        <v>92</v>
      </c>
      <c r="J59" s="151">
        <v>0</v>
      </c>
      <c r="K59" s="160"/>
      <c r="L59" s="160"/>
      <c r="M59" s="168">
        <f>'66 SYANA PRAROOP-20'!C60</f>
        <v>17</v>
      </c>
      <c r="N59" s="160"/>
      <c r="O59" s="160"/>
      <c r="P59" s="158">
        <f>'66 SYANA PRAROOP-20'!D60</f>
        <v>45</v>
      </c>
      <c r="Q59" s="160"/>
      <c r="R59" s="160"/>
      <c r="S59" s="158">
        <f>'66 SYANA PRAROOP-20'!E60</f>
        <v>2</v>
      </c>
      <c r="T59" s="160"/>
      <c r="U59" s="160"/>
      <c r="V59" s="159">
        <f>'66 SYANA PRAROOP-20'!F60</f>
        <v>660</v>
      </c>
      <c r="W59" s="160"/>
      <c r="X59" s="160"/>
      <c r="Y59" s="159">
        <f>'66 SYANA PRAROOP-20'!G60</f>
        <v>3</v>
      </c>
      <c r="Z59" s="160"/>
      <c r="AA59" s="160"/>
      <c r="AB59" s="168">
        <f>'66 SYANA PRAROOP-20'!H60</f>
        <v>4</v>
      </c>
      <c r="AC59" s="160"/>
      <c r="AD59" s="160"/>
      <c r="AE59" s="168">
        <f>'66 SYANA PRAROOP-20'!I60</f>
        <v>4</v>
      </c>
      <c r="AF59" s="160"/>
      <c r="AG59" s="160"/>
      <c r="AH59" s="168">
        <f>'66 SYANA PRAROOP-20'!J60</f>
        <v>4</v>
      </c>
      <c r="AI59" s="159">
        <f t="shared" si="2"/>
        <v>739</v>
      </c>
      <c r="AJ59" s="150">
        <f t="shared" si="0"/>
        <v>-1</v>
      </c>
    </row>
    <row r="60" spans="1:36" ht="51">
      <c r="A60" s="151">
        <v>66</v>
      </c>
      <c r="B60" s="155">
        <v>54</v>
      </c>
      <c r="C60" s="156" t="s">
        <v>754</v>
      </c>
      <c r="D60" s="155">
        <v>1067</v>
      </c>
      <c r="E60" s="151">
        <v>325</v>
      </c>
      <c r="F60" s="151">
        <v>310</v>
      </c>
      <c r="G60" s="151">
        <v>0</v>
      </c>
      <c r="H60" s="151">
        <f t="shared" si="1"/>
        <v>635</v>
      </c>
      <c r="I60" s="155">
        <v>70</v>
      </c>
      <c r="J60" s="151">
        <v>0</v>
      </c>
      <c r="K60" s="160"/>
      <c r="L60" s="160"/>
      <c r="M60" s="168">
        <f>'66 SYANA PRAROOP-20'!C61</f>
        <v>87</v>
      </c>
      <c r="N60" s="160"/>
      <c r="O60" s="160"/>
      <c r="P60" s="158">
        <f>'66 SYANA PRAROOP-20'!D61</f>
        <v>527</v>
      </c>
      <c r="Q60" s="160"/>
      <c r="R60" s="160"/>
      <c r="S60" s="158">
        <f>'66 SYANA PRAROOP-20'!E61</f>
        <v>10</v>
      </c>
      <c r="T60" s="160"/>
      <c r="U60" s="160"/>
      <c r="V60" s="159">
        <f>'66 SYANA PRAROOP-20'!F61</f>
        <v>7</v>
      </c>
      <c r="W60" s="160"/>
      <c r="X60" s="160"/>
      <c r="Y60" s="159">
        <f>'66 SYANA PRAROOP-20'!G61</f>
        <v>1</v>
      </c>
      <c r="Z60" s="160"/>
      <c r="AA60" s="160"/>
      <c r="AB60" s="168">
        <f>'66 SYANA PRAROOP-20'!H61</f>
        <v>1</v>
      </c>
      <c r="AC60" s="160"/>
      <c r="AD60" s="160"/>
      <c r="AE60" s="168">
        <f>'66 SYANA PRAROOP-20'!I61</f>
        <v>0</v>
      </c>
      <c r="AF60" s="160"/>
      <c r="AG60" s="160"/>
      <c r="AH60" s="168">
        <f>'66 SYANA PRAROOP-20'!J61</f>
        <v>1</v>
      </c>
      <c r="AI60" s="159">
        <f t="shared" si="2"/>
        <v>634</v>
      </c>
      <c r="AJ60" s="150">
        <f t="shared" si="0"/>
        <v>-1</v>
      </c>
    </row>
    <row r="61" spans="1:36" ht="51">
      <c r="A61" s="151">
        <v>66</v>
      </c>
      <c r="B61" s="155">
        <v>55</v>
      </c>
      <c r="C61" s="156" t="s">
        <v>755</v>
      </c>
      <c r="D61" s="155">
        <v>1044</v>
      </c>
      <c r="E61" s="151">
        <v>409</v>
      </c>
      <c r="F61" s="151">
        <v>353</v>
      </c>
      <c r="G61" s="151">
        <v>0</v>
      </c>
      <c r="H61" s="151">
        <f t="shared" si="1"/>
        <v>762</v>
      </c>
      <c r="I61" s="155">
        <v>309</v>
      </c>
      <c r="J61" s="151">
        <v>0</v>
      </c>
      <c r="K61" s="160"/>
      <c r="L61" s="160"/>
      <c r="M61" s="168">
        <f>'66 SYANA PRAROOP-20'!C62</f>
        <v>222</v>
      </c>
      <c r="N61" s="160"/>
      <c r="O61" s="160"/>
      <c r="P61" s="158">
        <f>'66 SYANA PRAROOP-20'!D62</f>
        <v>502</v>
      </c>
      <c r="Q61" s="160"/>
      <c r="R61" s="160"/>
      <c r="S61" s="158">
        <f>'66 SYANA PRAROOP-20'!E62</f>
        <v>14</v>
      </c>
      <c r="T61" s="160"/>
      <c r="U61" s="160"/>
      <c r="V61" s="159">
        <f>'66 SYANA PRAROOP-20'!F62</f>
        <v>6</v>
      </c>
      <c r="W61" s="160"/>
      <c r="X61" s="160"/>
      <c r="Y61" s="159">
        <f>'66 SYANA PRAROOP-20'!G62</f>
        <v>1</v>
      </c>
      <c r="Z61" s="160"/>
      <c r="AA61" s="160"/>
      <c r="AB61" s="168">
        <f>'66 SYANA PRAROOP-20'!H62</f>
        <v>1</v>
      </c>
      <c r="AC61" s="160"/>
      <c r="AD61" s="160"/>
      <c r="AE61" s="168">
        <f>'66 SYANA PRAROOP-20'!I62</f>
        <v>4</v>
      </c>
      <c r="AF61" s="160"/>
      <c r="AG61" s="160"/>
      <c r="AH61" s="168">
        <f>'66 SYANA PRAROOP-20'!J62</f>
        <v>5</v>
      </c>
      <c r="AI61" s="159">
        <f t="shared" si="2"/>
        <v>755</v>
      </c>
      <c r="AJ61" s="150">
        <f t="shared" si="0"/>
        <v>-7</v>
      </c>
    </row>
    <row r="62" spans="1:36" ht="51">
      <c r="A62" s="151">
        <v>66</v>
      </c>
      <c r="B62" s="155">
        <v>56</v>
      </c>
      <c r="C62" s="156" t="s">
        <v>756</v>
      </c>
      <c r="D62" s="155">
        <v>656</v>
      </c>
      <c r="E62" s="151">
        <v>214</v>
      </c>
      <c r="F62" s="151">
        <v>194</v>
      </c>
      <c r="G62" s="151">
        <v>0</v>
      </c>
      <c r="H62" s="151">
        <f t="shared" si="1"/>
        <v>408</v>
      </c>
      <c r="I62" s="155">
        <v>44</v>
      </c>
      <c r="J62" s="151">
        <v>0</v>
      </c>
      <c r="K62" s="160"/>
      <c r="L62" s="160"/>
      <c r="M62" s="168">
        <f>'66 SYANA PRAROOP-20'!C63</f>
        <v>217</v>
      </c>
      <c r="N62" s="160"/>
      <c r="O62" s="160"/>
      <c r="P62" s="158">
        <f>'66 SYANA PRAROOP-20'!D63</f>
        <v>182</v>
      </c>
      <c r="Q62" s="160"/>
      <c r="R62" s="160"/>
      <c r="S62" s="158">
        <f>'66 SYANA PRAROOP-20'!E63</f>
        <v>3</v>
      </c>
      <c r="T62" s="160"/>
      <c r="U62" s="160"/>
      <c r="V62" s="159">
        <f>'66 SYANA PRAROOP-20'!F63</f>
        <v>2</v>
      </c>
      <c r="W62" s="160"/>
      <c r="X62" s="160"/>
      <c r="Y62" s="159">
        <f>'66 SYANA PRAROOP-20'!G63</f>
        <v>1</v>
      </c>
      <c r="Z62" s="160"/>
      <c r="AA62" s="160"/>
      <c r="AB62" s="168">
        <f>'66 SYANA PRAROOP-20'!H63</f>
        <v>0</v>
      </c>
      <c r="AC62" s="160"/>
      <c r="AD62" s="160"/>
      <c r="AE62" s="168">
        <f>'66 SYANA PRAROOP-20'!I63</f>
        <v>0</v>
      </c>
      <c r="AF62" s="160"/>
      <c r="AG62" s="160"/>
      <c r="AH62" s="168">
        <f>'66 SYANA PRAROOP-20'!J63</f>
        <v>0</v>
      </c>
      <c r="AI62" s="159">
        <f t="shared" si="2"/>
        <v>405</v>
      </c>
      <c r="AJ62" s="150">
        <f t="shared" si="0"/>
        <v>-3</v>
      </c>
    </row>
    <row r="63" spans="1:36" ht="38.25">
      <c r="A63" s="151">
        <v>66</v>
      </c>
      <c r="B63" s="155">
        <v>57</v>
      </c>
      <c r="C63" s="156" t="s">
        <v>757</v>
      </c>
      <c r="D63" s="155">
        <v>800</v>
      </c>
      <c r="E63" s="151">
        <v>309</v>
      </c>
      <c r="F63" s="151">
        <v>305</v>
      </c>
      <c r="G63" s="151">
        <v>0</v>
      </c>
      <c r="H63" s="151">
        <f t="shared" si="1"/>
        <v>614</v>
      </c>
      <c r="I63" s="155">
        <v>92</v>
      </c>
      <c r="J63" s="151">
        <v>0</v>
      </c>
      <c r="K63" s="160"/>
      <c r="L63" s="160"/>
      <c r="M63" s="168">
        <f>'66 SYANA PRAROOP-20'!C64</f>
        <v>172</v>
      </c>
      <c r="N63" s="160"/>
      <c r="O63" s="160"/>
      <c r="P63" s="158">
        <f>'66 SYANA PRAROOP-20'!D64</f>
        <v>409</v>
      </c>
      <c r="Q63" s="160"/>
      <c r="R63" s="160"/>
      <c r="S63" s="158">
        <f>'66 SYANA PRAROOP-20'!E64</f>
        <v>7</v>
      </c>
      <c r="T63" s="160"/>
      <c r="U63" s="160"/>
      <c r="V63" s="159">
        <f>'66 SYANA PRAROOP-20'!F64</f>
        <v>10</v>
      </c>
      <c r="W63" s="160"/>
      <c r="X63" s="160"/>
      <c r="Y63" s="159">
        <f>'66 SYANA PRAROOP-20'!G64</f>
        <v>0</v>
      </c>
      <c r="Z63" s="160"/>
      <c r="AA63" s="160"/>
      <c r="AB63" s="168">
        <f>'66 SYANA PRAROOP-20'!H64</f>
        <v>3</v>
      </c>
      <c r="AC63" s="160"/>
      <c r="AD63" s="160"/>
      <c r="AE63" s="168">
        <f>'66 SYANA PRAROOP-20'!I64</f>
        <v>6</v>
      </c>
      <c r="AF63" s="160"/>
      <c r="AG63" s="160"/>
      <c r="AH63" s="168">
        <f>'66 SYANA PRAROOP-20'!J64</f>
        <v>4</v>
      </c>
      <c r="AI63" s="159">
        <f t="shared" si="2"/>
        <v>611</v>
      </c>
      <c r="AJ63" s="150">
        <f t="shared" si="0"/>
        <v>-3</v>
      </c>
    </row>
    <row r="64" spans="1:36" ht="38.25">
      <c r="A64" s="151">
        <v>66</v>
      </c>
      <c r="B64" s="155">
        <v>58</v>
      </c>
      <c r="C64" s="156" t="s">
        <v>758</v>
      </c>
      <c r="D64" s="155">
        <v>798</v>
      </c>
      <c r="E64" s="151">
        <v>312</v>
      </c>
      <c r="F64" s="151">
        <v>301</v>
      </c>
      <c r="G64" s="151">
        <v>0</v>
      </c>
      <c r="H64" s="151">
        <f t="shared" si="1"/>
        <v>613</v>
      </c>
      <c r="I64" s="155">
        <v>58</v>
      </c>
      <c r="J64" s="151">
        <v>0</v>
      </c>
      <c r="K64" s="160"/>
      <c r="L64" s="160"/>
      <c r="M64" s="168">
        <f>'66 SYANA PRAROOP-20'!C65</f>
        <v>89</v>
      </c>
      <c r="N64" s="160"/>
      <c r="O64" s="160"/>
      <c r="P64" s="158">
        <f>'66 SYANA PRAROOP-20'!D65</f>
        <v>501</v>
      </c>
      <c r="Q64" s="160"/>
      <c r="R64" s="160"/>
      <c r="S64" s="158">
        <f>'66 SYANA PRAROOP-20'!E65</f>
        <v>6</v>
      </c>
      <c r="T64" s="160"/>
      <c r="U64" s="160"/>
      <c r="V64" s="159">
        <f>'66 SYANA PRAROOP-20'!F65</f>
        <v>10</v>
      </c>
      <c r="W64" s="160"/>
      <c r="X64" s="160"/>
      <c r="Y64" s="159">
        <f>'66 SYANA PRAROOP-20'!G65</f>
        <v>0</v>
      </c>
      <c r="Z64" s="160"/>
      <c r="AA64" s="160"/>
      <c r="AB64" s="168">
        <f>'66 SYANA PRAROOP-20'!H65</f>
        <v>4</v>
      </c>
      <c r="AC64" s="160"/>
      <c r="AD64" s="160"/>
      <c r="AE64" s="168">
        <f>'66 SYANA PRAROOP-20'!I65</f>
        <v>2</v>
      </c>
      <c r="AF64" s="160"/>
      <c r="AG64" s="160"/>
      <c r="AH64" s="168">
        <f>'66 SYANA PRAROOP-20'!J65</f>
        <v>1</v>
      </c>
      <c r="AI64" s="159">
        <f t="shared" si="2"/>
        <v>613</v>
      </c>
      <c r="AJ64" s="150">
        <f t="shared" si="0"/>
        <v>0</v>
      </c>
    </row>
    <row r="65" spans="1:36" ht="38.25">
      <c r="A65" s="151">
        <v>66</v>
      </c>
      <c r="B65" s="155">
        <v>59</v>
      </c>
      <c r="C65" s="156" t="s">
        <v>759</v>
      </c>
      <c r="D65" s="155">
        <v>1084</v>
      </c>
      <c r="E65" s="151">
        <v>369</v>
      </c>
      <c r="F65" s="151">
        <v>325</v>
      </c>
      <c r="G65" s="151">
        <v>0</v>
      </c>
      <c r="H65" s="151">
        <f t="shared" si="1"/>
        <v>694</v>
      </c>
      <c r="I65" s="155">
        <v>130</v>
      </c>
      <c r="J65" s="151">
        <v>0</v>
      </c>
      <c r="K65" s="160"/>
      <c r="L65" s="160"/>
      <c r="M65" s="168">
        <f>'66 SYANA PRAROOP-20'!C66</f>
        <v>253</v>
      </c>
      <c r="N65" s="160"/>
      <c r="O65" s="160"/>
      <c r="P65" s="158">
        <f>'66 SYANA PRAROOP-20'!D66</f>
        <v>425</v>
      </c>
      <c r="Q65" s="160"/>
      <c r="R65" s="160"/>
      <c r="S65" s="158">
        <f>'66 SYANA PRAROOP-20'!E66</f>
        <v>4</v>
      </c>
      <c r="T65" s="160"/>
      <c r="U65" s="160"/>
      <c r="V65" s="159">
        <f>'66 SYANA PRAROOP-20'!F66</f>
        <v>2</v>
      </c>
      <c r="W65" s="160"/>
      <c r="X65" s="160"/>
      <c r="Y65" s="159">
        <f>'66 SYANA PRAROOP-20'!G66</f>
        <v>1</v>
      </c>
      <c r="Z65" s="160"/>
      <c r="AA65" s="160"/>
      <c r="AB65" s="168">
        <f>'66 SYANA PRAROOP-20'!H66</f>
        <v>3</v>
      </c>
      <c r="AC65" s="160"/>
      <c r="AD65" s="160"/>
      <c r="AE65" s="168">
        <f>'66 SYANA PRAROOP-20'!I66</f>
        <v>3</v>
      </c>
      <c r="AF65" s="160"/>
      <c r="AG65" s="160"/>
      <c r="AH65" s="168">
        <f>'66 SYANA PRAROOP-20'!J66</f>
        <v>1</v>
      </c>
      <c r="AI65" s="159">
        <f t="shared" si="2"/>
        <v>692</v>
      </c>
      <c r="AJ65" s="150">
        <f t="shared" si="0"/>
        <v>-2</v>
      </c>
    </row>
    <row r="66" spans="1:36" ht="63.75">
      <c r="A66" s="151">
        <v>66</v>
      </c>
      <c r="B66" s="155">
        <v>60</v>
      </c>
      <c r="C66" s="156" t="s">
        <v>760</v>
      </c>
      <c r="D66" s="155">
        <v>762</v>
      </c>
      <c r="E66" s="151">
        <v>234</v>
      </c>
      <c r="F66" s="151">
        <v>211</v>
      </c>
      <c r="G66" s="151">
        <v>0</v>
      </c>
      <c r="H66" s="151">
        <f t="shared" si="1"/>
        <v>445</v>
      </c>
      <c r="I66" s="155">
        <v>163</v>
      </c>
      <c r="J66" s="151">
        <v>0</v>
      </c>
      <c r="K66" s="160"/>
      <c r="L66" s="160"/>
      <c r="M66" s="168">
        <f>'66 SYANA PRAROOP-20'!C67</f>
        <v>114</v>
      </c>
      <c r="N66" s="160"/>
      <c r="O66" s="160"/>
      <c r="P66" s="158">
        <f>'66 SYANA PRAROOP-20'!D67</f>
        <v>172</v>
      </c>
      <c r="Q66" s="160"/>
      <c r="R66" s="160"/>
      <c r="S66" s="158">
        <f>'66 SYANA PRAROOP-20'!E67</f>
        <v>2</v>
      </c>
      <c r="T66" s="160"/>
      <c r="U66" s="160"/>
      <c r="V66" s="159">
        <f>'66 SYANA PRAROOP-20'!F67</f>
        <v>152</v>
      </c>
      <c r="W66" s="160"/>
      <c r="X66" s="160"/>
      <c r="Y66" s="159">
        <f>'66 SYANA PRAROOP-20'!G67</f>
        <v>2</v>
      </c>
      <c r="Z66" s="160"/>
      <c r="AA66" s="160"/>
      <c r="AB66" s="168">
        <f>'66 SYANA PRAROOP-20'!H67</f>
        <v>1</v>
      </c>
      <c r="AC66" s="160"/>
      <c r="AD66" s="160"/>
      <c r="AE66" s="168">
        <f>'66 SYANA PRAROOP-20'!I67</f>
        <v>0</v>
      </c>
      <c r="AF66" s="160"/>
      <c r="AG66" s="160"/>
      <c r="AH66" s="168">
        <f>'66 SYANA PRAROOP-20'!J67</f>
        <v>0</v>
      </c>
      <c r="AI66" s="159">
        <f t="shared" si="2"/>
        <v>443</v>
      </c>
      <c r="AJ66" s="150">
        <f t="shared" si="0"/>
        <v>-2</v>
      </c>
    </row>
    <row r="67" spans="1:36" ht="63.75">
      <c r="A67" s="151">
        <v>66</v>
      </c>
      <c r="B67" s="155">
        <v>61</v>
      </c>
      <c r="C67" s="156" t="s">
        <v>761</v>
      </c>
      <c r="D67" s="155">
        <v>810</v>
      </c>
      <c r="E67" s="151">
        <v>298</v>
      </c>
      <c r="F67" s="151">
        <v>237</v>
      </c>
      <c r="G67" s="151">
        <v>0</v>
      </c>
      <c r="H67" s="151">
        <f t="shared" si="1"/>
        <v>535</v>
      </c>
      <c r="I67" s="155">
        <v>103</v>
      </c>
      <c r="J67" s="151">
        <v>0</v>
      </c>
      <c r="K67" s="160"/>
      <c r="L67" s="160"/>
      <c r="M67" s="168">
        <f>'66 SYANA PRAROOP-20'!C68</f>
        <v>116</v>
      </c>
      <c r="N67" s="160"/>
      <c r="O67" s="160"/>
      <c r="P67" s="158">
        <f>'66 SYANA PRAROOP-20'!D68</f>
        <v>134</v>
      </c>
      <c r="Q67" s="160"/>
      <c r="R67" s="160"/>
      <c r="S67" s="158">
        <f>'66 SYANA PRAROOP-20'!E68</f>
        <v>7</v>
      </c>
      <c r="T67" s="160"/>
      <c r="U67" s="160"/>
      <c r="V67" s="159">
        <f>'66 SYANA PRAROOP-20'!F68</f>
        <v>261</v>
      </c>
      <c r="W67" s="160"/>
      <c r="X67" s="160"/>
      <c r="Y67" s="159">
        <f>'66 SYANA PRAROOP-20'!G68</f>
        <v>5</v>
      </c>
      <c r="Z67" s="160"/>
      <c r="AA67" s="160"/>
      <c r="AB67" s="168">
        <f>'66 SYANA PRAROOP-20'!H68</f>
        <v>5</v>
      </c>
      <c r="AC67" s="160"/>
      <c r="AD67" s="160"/>
      <c r="AE67" s="168">
        <f>'66 SYANA PRAROOP-20'!I68</f>
        <v>0</v>
      </c>
      <c r="AF67" s="160"/>
      <c r="AG67" s="160"/>
      <c r="AH67" s="168">
        <f>'66 SYANA PRAROOP-20'!J68</f>
        <v>1</v>
      </c>
      <c r="AI67" s="159">
        <f t="shared" si="2"/>
        <v>529</v>
      </c>
      <c r="AJ67" s="150">
        <f t="shared" si="0"/>
        <v>-6</v>
      </c>
    </row>
    <row r="68" spans="1:36" ht="63.75">
      <c r="A68" s="151">
        <v>66</v>
      </c>
      <c r="B68" s="155">
        <v>62</v>
      </c>
      <c r="C68" s="156" t="s">
        <v>762</v>
      </c>
      <c r="D68" s="155">
        <v>859</v>
      </c>
      <c r="E68" s="151">
        <v>321</v>
      </c>
      <c r="F68" s="151">
        <v>301</v>
      </c>
      <c r="G68" s="151">
        <v>0</v>
      </c>
      <c r="H68" s="151">
        <f t="shared" si="1"/>
        <v>622</v>
      </c>
      <c r="I68" s="155">
        <v>205</v>
      </c>
      <c r="J68" s="151">
        <v>0</v>
      </c>
      <c r="K68" s="160"/>
      <c r="L68" s="160"/>
      <c r="M68" s="168">
        <f>'66 SYANA PRAROOP-20'!C69</f>
        <v>183</v>
      </c>
      <c r="N68" s="160"/>
      <c r="O68" s="160"/>
      <c r="P68" s="158">
        <f>'66 SYANA PRAROOP-20'!D69</f>
        <v>227</v>
      </c>
      <c r="Q68" s="160"/>
      <c r="R68" s="160"/>
      <c r="S68" s="158">
        <f>'66 SYANA PRAROOP-20'!E69</f>
        <v>3</v>
      </c>
      <c r="T68" s="160"/>
      <c r="U68" s="160"/>
      <c r="V68" s="159">
        <f>'66 SYANA PRAROOP-20'!F69</f>
        <v>201</v>
      </c>
      <c r="W68" s="160"/>
      <c r="X68" s="160"/>
      <c r="Y68" s="159">
        <f>'66 SYANA PRAROOP-20'!G69</f>
        <v>2</v>
      </c>
      <c r="Z68" s="160"/>
      <c r="AA68" s="160"/>
      <c r="AB68" s="168">
        <f>'66 SYANA PRAROOP-20'!H69</f>
        <v>2</v>
      </c>
      <c r="AC68" s="160"/>
      <c r="AD68" s="160"/>
      <c r="AE68" s="168">
        <f>'66 SYANA PRAROOP-20'!I69</f>
        <v>0</v>
      </c>
      <c r="AF68" s="160"/>
      <c r="AG68" s="160"/>
      <c r="AH68" s="168">
        <f>'66 SYANA PRAROOP-20'!J69</f>
        <v>2</v>
      </c>
      <c r="AI68" s="159">
        <f t="shared" si="2"/>
        <v>620</v>
      </c>
      <c r="AJ68" s="150">
        <f t="shared" si="0"/>
        <v>-2</v>
      </c>
    </row>
    <row r="69" spans="1:36" ht="51">
      <c r="A69" s="151">
        <v>66</v>
      </c>
      <c r="B69" s="155">
        <v>63</v>
      </c>
      <c r="C69" s="156" t="s">
        <v>763</v>
      </c>
      <c r="D69" s="155">
        <v>684</v>
      </c>
      <c r="E69" s="151">
        <v>260</v>
      </c>
      <c r="F69" s="151">
        <v>205</v>
      </c>
      <c r="G69" s="151">
        <v>0</v>
      </c>
      <c r="H69" s="151">
        <f t="shared" si="1"/>
        <v>465</v>
      </c>
      <c r="I69" s="155">
        <v>111</v>
      </c>
      <c r="J69" s="151">
        <v>0</v>
      </c>
      <c r="K69" s="160"/>
      <c r="L69" s="160"/>
      <c r="M69" s="168">
        <f>'66 SYANA PRAROOP-20'!C70</f>
        <v>119</v>
      </c>
      <c r="N69" s="160"/>
      <c r="O69" s="160"/>
      <c r="P69" s="158">
        <f>'66 SYANA PRAROOP-20'!D70</f>
        <v>279</v>
      </c>
      <c r="Q69" s="160"/>
      <c r="R69" s="160"/>
      <c r="S69" s="158">
        <f>'66 SYANA PRAROOP-20'!E70</f>
        <v>5</v>
      </c>
      <c r="T69" s="160"/>
      <c r="U69" s="160"/>
      <c r="V69" s="159">
        <f>'66 SYANA PRAROOP-20'!F70</f>
        <v>45</v>
      </c>
      <c r="W69" s="160"/>
      <c r="X69" s="160"/>
      <c r="Y69" s="159">
        <f>'66 SYANA PRAROOP-20'!G70</f>
        <v>2</v>
      </c>
      <c r="Z69" s="160"/>
      <c r="AA69" s="160"/>
      <c r="AB69" s="168">
        <f>'66 SYANA PRAROOP-20'!H70</f>
        <v>6</v>
      </c>
      <c r="AC69" s="160"/>
      <c r="AD69" s="160"/>
      <c r="AE69" s="168">
        <f>'66 SYANA PRAROOP-20'!I70</f>
        <v>2</v>
      </c>
      <c r="AF69" s="160"/>
      <c r="AG69" s="160"/>
      <c r="AH69" s="168">
        <f>'66 SYANA PRAROOP-20'!J70</f>
        <v>4</v>
      </c>
      <c r="AI69" s="159">
        <f t="shared" si="2"/>
        <v>462</v>
      </c>
      <c r="AJ69" s="150">
        <f t="shared" si="0"/>
        <v>-3</v>
      </c>
    </row>
    <row r="70" spans="1:36" ht="51">
      <c r="A70" s="151">
        <v>66</v>
      </c>
      <c r="B70" s="155">
        <v>64</v>
      </c>
      <c r="C70" s="156" t="s">
        <v>764</v>
      </c>
      <c r="D70" s="155">
        <v>824</v>
      </c>
      <c r="E70" s="151">
        <v>288</v>
      </c>
      <c r="F70" s="151">
        <v>287</v>
      </c>
      <c r="G70" s="151">
        <v>0</v>
      </c>
      <c r="H70" s="151">
        <f t="shared" si="1"/>
        <v>575</v>
      </c>
      <c r="I70" s="155">
        <v>142</v>
      </c>
      <c r="J70" s="151">
        <v>0</v>
      </c>
      <c r="K70" s="160"/>
      <c r="L70" s="160"/>
      <c r="M70" s="168">
        <f>'66 SYANA PRAROOP-20'!C71</f>
        <v>87</v>
      </c>
      <c r="N70" s="160"/>
      <c r="O70" s="160"/>
      <c r="P70" s="158">
        <f>'66 SYANA PRAROOP-20'!D71</f>
        <v>284</v>
      </c>
      <c r="Q70" s="160"/>
      <c r="R70" s="160"/>
      <c r="S70" s="158">
        <f>'66 SYANA PRAROOP-20'!E71</f>
        <v>3</v>
      </c>
      <c r="T70" s="160"/>
      <c r="U70" s="160"/>
      <c r="V70" s="159">
        <f>'66 SYANA PRAROOP-20'!F71</f>
        <v>189</v>
      </c>
      <c r="W70" s="160"/>
      <c r="X70" s="160"/>
      <c r="Y70" s="159">
        <f>'66 SYANA PRAROOP-20'!G71</f>
        <v>2</v>
      </c>
      <c r="Z70" s="160"/>
      <c r="AA70" s="160"/>
      <c r="AB70" s="168">
        <f>'66 SYANA PRAROOP-20'!H71</f>
        <v>3</v>
      </c>
      <c r="AC70" s="160"/>
      <c r="AD70" s="160"/>
      <c r="AE70" s="168">
        <f>'66 SYANA PRAROOP-20'!I71</f>
        <v>2</v>
      </c>
      <c r="AF70" s="160"/>
      <c r="AG70" s="160"/>
      <c r="AH70" s="168">
        <f>'66 SYANA PRAROOP-20'!J71</f>
        <v>1</v>
      </c>
      <c r="AI70" s="159">
        <f t="shared" si="2"/>
        <v>571</v>
      </c>
      <c r="AJ70" s="150">
        <f t="shared" si="0"/>
        <v>-4</v>
      </c>
    </row>
    <row r="71" spans="1:36" ht="51">
      <c r="A71" s="151">
        <v>66</v>
      </c>
      <c r="B71" s="155">
        <v>65</v>
      </c>
      <c r="C71" s="156" t="s">
        <v>765</v>
      </c>
      <c r="D71" s="155">
        <v>991</v>
      </c>
      <c r="E71" s="151">
        <v>362</v>
      </c>
      <c r="F71" s="151">
        <v>292</v>
      </c>
      <c r="G71" s="151">
        <v>0</v>
      </c>
      <c r="H71" s="151">
        <f t="shared" si="1"/>
        <v>654</v>
      </c>
      <c r="I71" s="155">
        <v>554</v>
      </c>
      <c r="J71" s="151">
        <v>0</v>
      </c>
      <c r="K71" s="160"/>
      <c r="L71" s="160"/>
      <c r="M71" s="168">
        <f>'66 SYANA PRAROOP-20'!C72</f>
        <v>209</v>
      </c>
      <c r="N71" s="160"/>
      <c r="O71" s="160"/>
      <c r="P71" s="158">
        <f>'66 SYANA PRAROOP-20'!D72</f>
        <v>418</v>
      </c>
      <c r="Q71" s="160"/>
      <c r="R71" s="160"/>
      <c r="S71" s="158">
        <f>'66 SYANA PRAROOP-20'!E72</f>
        <v>8</v>
      </c>
      <c r="T71" s="160"/>
      <c r="U71" s="160"/>
      <c r="V71" s="159">
        <f>'66 SYANA PRAROOP-20'!F72</f>
        <v>14</v>
      </c>
      <c r="W71" s="160"/>
      <c r="X71" s="160"/>
      <c r="Y71" s="159">
        <f>'66 SYANA PRAROOP-20'!G72</f>
        <v>0</v>
      </c>
      <c r="Z71" s="160"/>
      <c r="AA71" s="160"/>
      <c r="AB71" s="168">
        <f>'66 SYANA PRAROOP-20'!H72</f>
        <v>0</v>
      </c>
      <c r="AC71" s="160"/>
      <c r="AD71" s="160"/>
      <c r="AE71" s="168">
        <f>'66 SYANA PRAROOP-20'!I72</f>
        <v>1</v>
      </c>
      <c r="AF71" s="160"/>
      <c r="AG71" s="160"/>
      <c r="AH71" s="168">
        <f>'66 SYANA PRAROOP-20'!J72</f>
        <v>0</v>
      </c>
      <c r="AI71" s="159">
        <f t="shared" si="2"/>
        <v>650</v>
      </c>
      <c r="AJ71" s="150">
        <f t="shared" ref="AJ71:AJ134" si="3">AI71-H71</f>
        <v>-4</v>
      </c>
    </row>
    <row r="72" spans="1:36" ht="51">
      <c r="A72" s="151">
        <v>66</v>
      </c>
      <c r="B72" s="155">
        <v>66</v>
      </c>
      <c r="C72" s="156" t="s">
        <v>766</v>
      </c>
      <c r="D72" s="155">
        <v>991</v>
      </c>
      <c r="E72" s="151">
        <v>285</v>
      </c>
      <c r="F72" s="151">
        <v>241</v>
      </c>
      <c r="G72" s="151">
        <v>0</v>
      </c>
      <c r="H72" s="151">
        <f t="shared" ref="H72:H135" si="4">SUM(E72:G72)</f>
        <v>526</v>
      </c>
      <c r="I72" s="155">
        <v>77</v>
      </c>
      <c r="J72" s="151">
        <v>0</v>
      </c>
      <c r="K72" s="160"/>
      <c r="L72" s="160"/>
      <c r="M72" s="168">
        <f>'66 SYANA PRAROOP-20'!C73</f>
        <v>144</v>
      </c>
      <c r="N72" s="160"/>
      <c r="O72" s="160"/>
      <c r="P72" s="158">
        <f>'66 SYANA PRAROOP-20'!D73</f>
        <v>221</v>
      </c>
      <c r="Q72" s="160"/>
      <c r="R72" s="160"/>
      <c r="S72" s="158">
        <f>'66 SYANA PRAROOP-20'!E73</f>
        <v>12</v>
      </c>
      <c r="T72" s="160"/>
      <c r="U72" s="160"/>
      <c r="V72" s="159">
        <f>'66 SYANA PRAROOP-20'!F73</f>
        <v>138</v>
      </c>
      <c r="W72" s="160"/>
      <c r="X72" s="160"/>
      <c r="Y72" s="159">
        <f>'66 SYANA PRAROOP-20'!G73</f>
        <v>1</v>
      </c>
      <c r="Z72" s="160"/>
      <c r="AA72" s="160"/>
      <c r="AB72" s="168">
        <f>'66 SYANA PRAROOP-20'!H73</f>
        <v>4</v>
      </c>
      <c r="AC72" s="160"/>
      <c r="AD72" s="160"/>
      <c r="AE72" s="168">
        <f>'66 SYANA PRAROOP-20'!I73</f>
        <v>3</v>
      </c>
      <c r="AF72" s="160"/>
      <c r="AG72" s="160"/>
      <c r="AH72" s="168">
        <f>'66 SYANA PRAROOP-20'!J73</f>
        <v>2</v>
      </c>
      <c r="AI72" s="159">
        <f t="shared" ref="AI72:AI135" si="5">M72+P72+S72+V72+Y72+AB72+AE72+AH72</f>
        <v>525</v>
      </c>
      <c r="AJ72" s="150">
        <f t="shared" si="3"/>
        <v>-1</v>
      </c>
    </row>
    <row r="73" spans="1:36" ht="51">
      <c r="A73" s="151">
        <v>66</v>
      </c>
      <c r="B73" s="155">
        <v>67</v>
      </c>
      <c r="C73" s="156" t="s">
        <v>767</v>
      </c>
      <c r="D73" s="155">
        <v>855</v>
      </c>
      <c r="E73" s="151">
        <v>267</v>
      </c>
      <c r="F73" s="151">
        <v>242</v>
      </c>
      <c r="G73" s="151">
        <v>0</v>
      </c>
      <c r="H73" s="151">
        <f t="shared" si="4"/>
        <v>509</v>
      </c>
      <c r="I73" s="155">
        <v>100</v>
      </c>
      <c r="J73" s="151">
        <v>0</v>
      </c>
      <c r="K73" s="160"/>
      <c r="L73" s="160"/>
      <c r="M73" s="168">
        <f>'66 SYANA PRAROOP-20'!C74</f>
        <v>22</v>
      </c>
      <c r="N73" s="160"/>
      <c r="O73" s="160"/>
      <c r="P73" s="158">
        <f>'66 SYANA PRAROOP-20'!D74</f>
        <v>73</v>
      </c>
      <c r="Q73" s="160"/>
      <c r="R73" s="160"/>
      <c r="S73" s="158">
        <f>'66 SYANA PRAROOP-20'!E74</f>
        <v>2</v>
      </c>
      <c r="T73" s="160"/>
      <c r="U73" s="160"/>
      <c r="V73" s="159">
        <f>'66 SYANA PRAROOP-20'!F74</f>
        <v>399</v>
      </c>
      <c r="W73" s="160"/>
      <c r="X73" s="160"/>
      <c r="Y73" s="159">
        <f>'66 SYANA PRAROOP-20'!G74</f>
        <v>5</v>
      </c>
      <c r="Z73" s="160"/>
      <c r="AA73" s="160"/>
      <c r="AB73" s="168">
        <f>'66 SYANA PRAROOP-20'!H74</f>
        <v>6</v>
      </c>
      <c r="AC73" s="160"/>
      <c r="AD73" s="160"/>
      <c r="AE73" s="168">
        <f>'66 SYANA PRAROOP-20'!I74</f>
        <v>1</v>
      </c>
      <c r="AF73" s="160"/>
      <c r="AG73" s="160"/>
      <c r="AH73" s="168">
        <f>'66 SYANA PRAROOP-20'!J74</f>
        <v>1</v>
      </c>
      <c r="AI73" s="159">
        <f t="shared" si="5"/>
        <v>509</v>
      </c>
      <c r="AJ73" s="150">
        <f t="shared" si="3"/>
        <v>0</v>
      </c>
    </row>
    <row r="74" spans="1:36" ht="63.75">
      <c r="A74" s="151">
        <v>66</v>
      </c>
      <c r="B74" s="155">
        <v>68</v>
      </c>
      <c r="C74" s="156" t="s">
        <v>1081</v>
      </c>
      <c r="D74" s="155">
        <v>868</v>
      </c>
      <c r="E74" s="151">
        <v>259</v>
      </c>
      <c r="F74" s="151">
        <v>242</v>
      </c>
      <c r="G74" s="151">
        <v>0</v>
      </c>
      <c r="H74" s="151">
        <f t="shared" si="4"/>
        <v>501</v>
      </c>
      <c r="I74" s="155">
        <v>43</v>
      </c>
      <c r="J74" s="151">
        <v>0</v>
      </c>
      <c r="K74" s="160"/>
      <c r="L74" s="160"/>
      <c r="M74" s="168">
        <f>'66 SYANA PRAROOP-20'!C75</f>
        <v>75</v>
      </c>
      <c r="N74" s="160"/>
      <c r="O74" s="160"/>
      <c r="P74" s="158">
        <f>'66 SYANA PRAROOP-20'!D75</f>
        <v>206</v>
      </c>
      <c r="Q74" s="160"/>
      <c r="R74" s="160"/>
      <c r="S74" s="158">
        <f>'66 SYANA PRAROOP-20'!E75</f>
        <v>11</v>
      </c>
      <c r="T74" s="160"/>
      <c r="U74" s="160"/>
      <c r="V74" s="159">
        <f>'66 SYANA PRAROOP-20'!F75</f>
        <v>197</v>
      </c>
      <c r="W74" s="160"/>
      <c r="X74" s="160"/>
      <c r="Y74" s="159">
        <f>'66 SYANA PRAROOP-20'!G75</f>
        <v>4</v>
      </c>
      <c r="Z74" s="160"/>
      <c r="AA74" s="160"/>
      <c r="AB74" s="168">
        <f>'66 SYANA PRAROOP-20'!H75</f>
        <v>0</v>
      </c>
      <c r="AC74" s="160"/>
      <c r="AD74" s="160"/>
      <c r="AE74" s="168">
        <f>'66 SYANA PRAROOP-20'!I75</f>
        <v>4</v>
      </c>
      <c r="AF74" s="160"/>
      <c r="AG74" s="160"/>
      <c r="AH74" s="168">
        <f>'66 SYANA PRAROOP-20'!J75</f>
        <v>2</v>
      </c>
      <c r="AI74" s="159">
        <f t="shared" si="5"/>
        <v>499</v>
      </c>
      <c r="AJ74" s="150">
        <f t="shared" si="3"/>
        <v>-2</v>
      </c>
    </row>
    <row r="75" spans="1:36" ht="63.75">
      <c r="A75" s="151">
        <v>66</v>
      </c>
      <c r="B75" s="155">
        <v>69</v>
      </c>
      <c r="C75" s="156" t="s">
        <v>1082</v>
      </c>
      <c r="D75" s="155">
        <v>843</v>
      </c>
      <c r="E75" s="151">
        <v>289</v>
      </c>
      <c r="F75" s="151">
        <v>275</v>
      </c>
      <c r="G75" s="151">
        <v>0</v>
      </c>
      <c r="H75" s="151">
        <f t="shared" si="4"/>
        <v>564</v>
      </c>
      <c r="I75" s="155">
        <v>32</v>
      </c>
      <c r="J75" s="151">
        <v>0</v>
      </c>
      <c r="K75" s="160"/>
      <c r="L75" s="160"/>
      <c r="M75" s="168">
        <f>'66 SYANA PRAROOP-20'!C76</f>
        <v>34</v>
      </c>
      <c r="N75" s="160"/>
      <c r="O75" s="160"/>
      <c r="P75" s="158">
        <f>'66 SYANA PRAROOP-20'!D76</f>
        <v>463</v>
      </c>
      <c r="Q75" s="160"/>
      <c r="R75" s="160"/>
      <c r="S75" s="158">
        <f>'66 SYANA PRAROOP-20'!E76</f>
        <v>9</v>
      </c>
      <c r="T75" s="160"/>
      <c r="U75" s="160"/>
      <c r="V75" s="159">
        <f>'66 SYANA PRAROOP-20'!F76</f>
        <v>49</v>
      </c>
      <c r="W75" s="160"/>
      <c r="X75" s="160"/>
      <c r="Y75" s="159">
        <f>'66 SYANA PRAROOP-20'!G76</f>
        <v>1</v>
      </c>
      <c r="Z75" s="160"/>
      <c r="AA75" s="160"/>
      <c r="AB75" s="168">
        <f>'66 SYANA PRAROOP-20'!H76</f>
        <v>2</v>
      </c>
      <c r="AC75" s="160"/>
      <c r="AD75" s="160"/>
      <c r="AE75" s="168">
        <f>'66 SYANA PRAROOP-20'!I76</f>
        <v>1</v>
      </c>
      <c r="AF75" s="160"/>
      <c r="AG75" s="160"/>
      <c r="AH75" s="168">
        <f>'66 SYANA PRAROOP-20'!J76</f>
        <v>2</v>
      </c>
      <c r="AI75" s="159">
        <f t="shared" si="5"/>
        <v>561</v>
      </c>
      <c r="AJ75" s="150">
        <f t="shared" si="3"/>
        <v>-3</v>
      </c>
    </row>
    <row r="76" spans="1:36" ht="63.75">
      <c r="A76" s="151">
        <v>66</v>
      </c>
      <c r="B76" s="155">
        <v>70</v>
      </c>
      <c r="C76" s="156" t="s">
        <v>1083</v>
      </c>
      <c r="D76" s="155">
        <v>800</v>
      </c>
      <c r="E76" s="151">
        <v>291</v>
      </c>
      <c r="F76" s="151">
        <v>291</v>
      </c>
      <c r="G76" s="151">
        <v>0</v>
      </c>
      <c r="H76" s="151">
        <f t="shared" si="4"/>
        <v>582</v>
      </c>
      <c r="I76" s="155">
        <v>39</v>
      </c>
      <c r="J76" s="151">
        <v>0</v>
      </c>
      <c r="K76" s="160"/>
      <c r="L76" s="160"/>
      <c r="M76" s="168">
        <f>'66 SYANA PRAROOP-20'!C77</f>
        <v>15</v>
      </c>
      <c r="N76" s="160"/>
      <c r="O76" s="160"/>
      <c r="P76" s="158">
        <f>'66 SYANA PRAROOP-20'!D77</f>
        <v>540</v>
      </c>
      <c r="Q76" s="160"/>
      <c r="R76" s="160"/>
      <c r="S76" s="158">
        <f>'66 SYANA PRAROOP-20'!E77</f>
        <v>6</v>
      </c>
      <c r="T76" s="160"/>
      <c r="U76" s="160"/>
      <c r="V76" s="159">
        <f>'66 SYANA PRAROOP-20'!F77</f>
        <v>6</v>
      </c>
      <c r="W76" s="160"/>
      <c r="X76" s="160"/>
      <c r="Y76" s="159">
        <f>'66 SYANA PRAROOP-20'!G77</f>
        <v>0</v>
      </c>
      <c r="Z76" s="160"/>
      <c r="AA76" s="160"/>
      <c r="AB76" s="168">
        <f>'66 SYANA PRAROOP-20'!H77</f>
        <v>1</v>
      </c>
      <c r="AC76" s="160"/>
      <c r="AD76" s="160"/>
      <c r="AE76" s="168">
        <f>'66 SYANA PRAROOP-20'!I77</f>
        <v>3</v>
      </c>
      <c r="AF76" s="160"/>
      <c r="AG76" s="160"/>
      <c r="AH76" s="168">
        <f>'66 SYANA PRAROOP-20'!J77</f>
        <v>9</v>
      </c>
      <c r="AI76" s="159">
        <f t="shared" si="5"/>
        <v>580</v>
      </c>
      <c r="AJ76" s="150">
        <f t="shared" si="3"/>
        <v>-2</v>
      </c>
    </row>
    <row r="77" spans="1:36" ht="63.75">
      <c r="A77" s="151">
        <v>66</v>
      </c>
      <c r="B77" s="155">
        <v>71</v>
      </c>
      <c r="C77" s="156" t="s">
        <v>1084</v>
      </c>
      <c r="D77" s="155">
        <v>866</v>
      </c>
      <c r="E77" s="151">
        <v>302</v>
      </c>
      <c r="F77" s="151">
        <v>259</v>
      </c>
      <c r="G77" s="151">
        <v>0</v>
      </c>
      <c r="H77" s="151">
        <f t="shared" si="4"/>
        <v>561</v>
      </c>
      <c r="I77" s="155">
        <v>53</v>
      </c>
      <c r="J77" s="151">
        <v>0</v>
      </c>
      <c r="K77" s="160"/>
      <c r="L77" s="160"/>
      <c r="M77" s="168">
        <f>'66 SYANA PRAROOP-20'!C78</f>
        <v>149</v>
      </c>
      <c r="N77" s="160"/>
      <c r="O77" s="160"/>
      <c r="P77" s="158">
        <f>'66 SYANA PRAROOP-20'!D78</f>
        <v>376</v>
      </c>
      <c r="Q77" s="160"/>
      <c r="R77" s="160"/>
      <c r="S77" s="158">
        <f>'66 SYANA PRAROOP-20'!E78</f>
        <v>16</v>
      </c>
      <c r="T77" s="160"/>
      <c r="U77" s="160"/>
      <c r="V77" s="159">
        <f>'66 SYANA PRAROOP-20'!F78</f>
        <v>4</v>
      </c>
      <c r="W77" s="160"/>
      <c r="X77" s="160"/>
      <c r="Y77" s="159">
        <f>'66 SYANA PRAROOP-20'!G78</f>
        <v>0</v>
      </c>
      <c r="Z77" s="160"/>
      <c r="AA77" s="160"/>
      <c r="AB77" s="168">
        <f>'66 SYANA PRAROOP-20'!H78</f>
        <v>9</v>
      </c>
      <c r="AC77" s="160"/>
      <c r="AD77" s="160"/>
      <c r="AE77" s="168">
        <f>'66 SYANA PRAROOP-20'!I78</f>
        <v>5</v>
      </c>
      <c r="AF77" s="160"/>
      <c r="AG77" s="160"/>
      <c r="AH77" s="168">
        <f>'66 SYANA PRAROOP-20'!J78</f>
        <v>2</v>
      </c>
      <c r="AI77" s="159">
        <f t="shared" si="5"/>
        <v>561</v>
      </c>
      <c r="AJ77" s="150">
        <f t="shared" si="3"/>
        <v>0</v>
      </c>
    </row>
    <row r="78" spans="1:36" ht="63.75">
      <c r="A78" s="151">
        <v>66</v>
      </c>
      <c r="B78" s="155">
        <v>72</v>
      </c>
      <c r="C78" s="156" t="s">
        <v>1085</v>
      </c>
      <c r="D78" s="155">
        <v>834</v>
      </c>
      <c r="E78" s="151">
        <v>305</v>
      </c>
      <c r="F78" s="151">
        <v>272</v>
      </c>
      <c r="G78" s="151">
        <v>0</v>
      </c>
      <c r="H78" s="151">
        <f t="shared" si="4"/>
        <v>577</v>
      </c>
      <c r="I78" s="155">
        <v>42</v>
      </c>
      <c r="J78" s="151">
        <v>0</v>
      </c>
      <c r="K78" s="160"/>
      <c r="L78" s="160"/>
      <c r="M78" s="168">
        <f>'66 SYANA PRAROOP-20'!C79</f>
        <v>170</v>
      </c>
      <c r="N78" s="160"/>
      <c r="O78" s="160"/>
      <c r="P78" s="158">
        <f>'66 SYANA PRAROOP-20'!D79</f>
        <v>387</v>
      </c>
      <c r="Q78" s="160"/>
      <c r="R78" s="160"/>
      <c r="S78" s="158">
        <f>'66 SYANA PRAROOP-20'!E79</f>
        <v>8</v>
      </c>
      <c r="T78" s="160"/>
      <c r="U78" s="160"/>
      <c r="V78" s="159">
        <f>'66 SYANA PRAROOP-20'!F79</f>
        <v>4</v>
      </c>
      <c r="W78" s="160"/>
      <c r="X78" s="160"/>
      <c r="Y78" s="159">
        <f>'66 SYANA PRAROOP-20'!G79</f>
        <v>2</v>
      </c>
      <c r="Z78" s="160"/>
      <c r="AA78" s="160"/>
      <c r="AB78" s="168">
        <f>'66 SYANA PRAROOP-20'!H79</f>
        <v>2</v>
      </c>
      <c r="AC78" s="160"/>
      <c r="AD78" s="160"/>
      <c r="AE78" s="168">
        <f>'66 SYANA PRAROOP-20'!I79</f>
        <v>3</v>
      </c>
      <c r="AF78" s="160"/>
      <c r="AG78" s="160"/>
      <c r="AH78" s="168">
        <f>'66 SYANA PRAROOP-20'!J79</f>
        <v>1</v>
      </c>
      <c r="AI78" s="159">
        <f t="shared" si="5"/>
        <v>577</v>
      </c>
      <c r="AJ78" s="150">
        <f t="shared" si="3"/>
        <v>0</v>
      </c>
    </row>
    <row r="79" spans="1:36" ht="51">
      <c r="A79" s="151">
        <v>66</v>
      </c>
      <c r="B79" s="155">
        <v>73</v>
      </c>
      <c r="C79" s="156" t="s">
        <v>1086</v>
      </c>
      <c r="D79" s="155">
        <v>946</v>
      </c>
      <c r="E79" s="151">
        <v>329</v>
      </c>
      <c r="F79" s="151">
        <v>290</v>
      </c>
      <c r="G79" s="151">
        <v>0</v>
      </c>
      <c r="H79" s="151">
        <f t="shared" si="4"/>
        <v>619</v>
      </c>
      <c r="I79" s="155">
        <v>47</v>
      </c>
      <c r="J79" s="151">
        <v>0</v>
      </c>
      <c r="K79" s="160"/>
      <c r="L79" s="160"/>
      <c r="M79" s="168">
        <f>'66 SYANA PRAROOP-20'!C80</f>
        <v>171</v>
      </c>
      <c r="N79" s="160"/>
      <c r="O79" s="160"/>
      <c r="P79" s="158">
        <f>'66 SYANA PRAROOP-20'!D80</f>
        <v>318</v>
      </c>
      <c r="Q79" s="160"/>
      <c r="R79" s="160"/>
      <c r="S79" s="158">
        <f>'66 SYANA PRAROOP-20'!E80</f>
        <v>3</v>
      </c>
      <c r="T79" s="160"/>
      <c r="U79" s="160"/>
      <c r="V79" s="159">
        <f>'66 SYANA PRAROOP-20'!F80</f>
        <v>109</v>
      </c>
      <c r="W79" s="160"/>
      <c r="X79" s="160"/>
      <c r="Y79" s="159">
        <f>'66 SYANA PRAROOP-20'!G80</f>
        <v>2</v>
      </c>
      <c r="Z79" s="160"/>
      <c r="AA79" s="160"/>
      <c r="AB79" s="168">
        <f>'66 SYANA PRAROOP-20'!H80</f>
        <v>7</v>
      </c>
      <c r="AC79" s="160"/>
      <c r="AD79" s="160"/>
      <c r="AE79" s="168">
        <f>'66 SYANA PRAROOP-20'!I80</f>
        <v>1</v>
      </c>
      <c r="AF79" s="160"/>
      <c r="AG79" s="160"/>
      <c r="AH79" s="168">
        <f>'66 SYANA PRAROOP-20'!J80</f>
        <v>6</v>
      </c>
      <c r="AI79" s="159">
        <f t="shared" si="5"/>
        <v>617</v>
      </c>
      <c r="AJ79" s="150">
        <f t="shared" si="3"/>
        <v>-2</v>
      </c>
    </row>
    <row r="80" spans="1:36" ht="51">
      <c r="A80" s="151">
        <v>66</v>
      </c>
      <c r="B80" s="155">
        <v>74</v>
      </c>
      <c r="C80" s="156" t="s">
        <v>768</v>
      </c>
      <c r="D80" s="155">
        <v>956</v>
      </c>
      <c r="E80" s="151">
        <v>319</v>
      </c>
      <c r="F80" s="151">
        <v>292</v>
      </c>
      <c r="G80" s="151">
        <v>0</v>
      </c>
      <c r="H80" s="151">
        <f t="shared" si="4"/>
        <v>611</v>
      </c>
      <c r="I80" s="155">
        <v>67</v>
      </c>
      <c r="J80" s="151">
        <v>0</v>
      </c>
      <c r="K80" s="160"/>
      <c r="L80" s="160"/>
      <c r="M80" s="168">
        <f>'66 SYANA PRAROOP-20'!C81</f>
        <v>113</v>
      </c>
      <c r="N80" s="160"/>
      <c r="O80" s="160"/>
      <c r="P80" s="158">
        <f>'66 SYANA PRAROOP-20'!D81</f>
        <v>201</v>
      </c>
      <c r="Q80" s="160"/>
      <c r="R80" s="160"/>
      <c r="S80" s="158">
        <f>'66 SYANA PRAROOP-20'!E81</f>
        <v>1</v>
      </c>
      <c r="T80" s="160"/>
      <c r="U80" s="160"/>
      <c r="V80" s="159">
        <f>'66 SYANA PRAROOP-20'!F81</f>
        <v>279</v>
      </c>
      <c r="W80" s="160"/>
      <c r="X80" s="160"/>
      <c r="Y80" s="159">
        <f>'66 SYANA PRAROOP-20'!G81</f>
        <v>3</v>
      </c>
      <c r="Z80" s="160"/>
      <c r="AA80" s="160"/>
      <c r="AB80" s="168">
        <f>'66 SYANA PRAROOP-20'!H81</f>
        <v>7</v>
      </c>
      <c r="AC80" s="160"/>
      <c r="AD80" s="160"/>
      <c r="AE80" s="168">
        <f>'66 SYANA PRAROOP-20'!I81</f>
        <v>3</v>
      </c>
      <c r="AF80" s="160"/>
      <c r="AG80" s="160"/>
      <c r="AH80" s="168">
        <f>'66 SYANA PRAROOP-20'!J81</f>
        <v>0</v>
      </c>
      <c r="AI80" s="159">
        <f t="shared" si="5"/>
        <v>607</v>
      </c>
      <c r="AJ80" s="150">
        <f t="shared" si="3"/>
        <v>-4</v>
      </c>
    </row>
    <row r="81" spans="1:36" ht="51">
      <c r="A81" s="151">
        <v>66</v>
      </c>
      <c r="B81" s="155">
        <v>75</v>
      </c>
      <c r="C81" s="156" t="s">
        <v>769</v>
      </c>
      <c r="D81" s="155">
        <v>998</v>
      </c>
      <c r="E81" s="151">
        <v>378</v>
      </c>
      <c r="F81" s="151">
        <v>357</v>
      </c>
      <c r="G81" s="151">
        <v>0</v>
      </c>
      <c r="H81" s="151">
        <f t="shared" si="4"/>
        <v>735</v>
      </c>
      <c r="I81" s="155">
        <v>31</v>
      </c>
      <c r="J81" s="151">
        <v>0</v>
      </c>
      <c r="K81" s="160"/>
      <c r="L81" s="160"/>
      <c r="M81" s="168">
        <f>'66 SYANA PRAROOP-20'!C82</f>
        <v>34</v>
      </c>
      <c r="N81" s="160"/>
      <c r="O81" s="160"/>
      <c r="P81" s="158">
        <f>'66 SYANA PRAROOP-20'!D82</f>
        <v>659</v>
      </c>
      <c r="Q81" s="160"/>
      <c r="R81" s="160"/>
      <c r="S81" s="158">
        <f>'66 SYANA PRAROOP-20'!E82</f>
        <v>8</v>
      </c>
      <c r="T81" s="160"/>
      <c r="U81" s="160"/>
      <c r="V81" s="159">
        <f>'66 SYANA PRAROOP-20'!F82</f>
        <v>14</v>
      </c>
      <c r="W81" s="160"/>
      <c r="X81" s="160"/>
      <c r="Y81" s="159">
        <f>'66 SYANA PRAROOP-20'!G82</f>
        <v>2</v>
      </c>
      <c r="Z81" s="160"/>
      <c r="AA81" s="160"/>
      <c r="AB81" s="168">
        <f>'66 SYANA PRAROOP-20'!H82</f>
        <v>3</v>
      </c>
      <c r="AC81" s="160"/>
      <c r="AD81" s="160"/>
      <c r="AE81" s="168">
        <f>'66 SYANA PRAROOP-20'!I82</f>
        <v>5</v>
      </c>
      <c r="AF81" s="160"/>
      <c r="AG81" s="160"/>
      <c r="AH81" s="168">
        <f>'66 SYANA PRAROOP-20'!J82</f>
        <v>5</v>
      </c>
      <c r="AI81" s="159">
        <f t="shared" si="5"/>
        <v>730</v>
      </c>
      <c r="AJ81" s="150">
        <f t="shared" si="3"/>
        <v>-5</v>
      </c>
    </row>
    <row r="82" spans="1:36" ht="51">
      <c r="A82" s="151">
        <v>66</v>
      </c>
      <c r="B82" s="155">
        <v>76</v>
      </c>
      <c r="C82" s="156" t="s">
        <v>770</v>
      </c>
      <c r="D82" s="155">
        <v>1019</v>
      </c>
      <c r="E82" s="151">
        <v>371</v>
      </c>
      <c r="F82" s="151">
        <v>348</v>
      </c>
      <c r="G82" s="151">
        <v>0</v>
      </c>
      <c r="H82" s="151">
        <f t="shared" si="4"/>
        <v>719</v>
      </c>
      <c r="I82" s="155">
        <v>78</v>
      </c>
      <c r="J82" s="151">
        <v>0</v>
      </c>
      <c r="K82" s="160"/>
      <c r="L82" s="160"/>
      <c r="M82" s="168">
        <f>'66 SYANA PRAROOP-20'!C83</f>
        <v>41</v>
      </c>
      <c r="N82" s="160"/>
      <c r="O82" s="160"/>
      <c r="P82" s="158">
        <f>'66 SYANA PRAROOP-20'!D83</f>
        <v>661</v>
      </c>
      <c r="Q82" s="160"/>
      <c r="R82" s="160"/>
      <c r="S82" s="158">
        <f>'66 SYANA PRAROOP-20'!E83</f>
        <v>1</v>
      </c>
      <c r="T82" s="160"/>
      <c r="U82" s="160"/>
      <c r="V82" s="159">
        <f>'66 SYANA PRAROOP-20'!F83</f>
        <v>4</v>
      </c>
      <c r="W82" s="160"/>
      <c r="X82" s="160"/>
      <c r="Y82" s="159">
        <f>'66 SYANA PRAROOP-20'!G83</f>
        <v>1</v>
      </c>
      <c r="Z82" s="160"/>
      <c r="AA82" s="160"/>
      <c r="AB82" s="168">
        <f>'66 SYANA PRAROOP-20'!H83</f>
        <v>6</v>
      </c>
      <c r="AC82" s="160"/>
      <c r="AD82" s="160"/>
      <c r="AE82" s="168">
        <f>'66 SYANA PRAROOP-20'!I83</f>
        <v>3</v>
      </c>
      <c r="AF82" s="160"/>
      <c r="AG82" s="160"/>
      <c r="AH82" s="168">
        <f>'66 SYANA PRAROOP-20'!J83</f>
        <v>0</v>
      </c>
      <c r="AI82" s="159">
        <f t="shared" si="5"/>
        <v>717</v>
      </c>
      <c r="AJ82" s="150">
        <f t="shared" si="3"/>
        <v>-2</v>
      </c>
    </row>
    <row r="83" spans="1:36" ht="38.25">
      <c r="A83" s="151">
        <v>66</v>
      </c>
      <c r="B83" s="155">
        <v>77</v>
      </c>
      <c r="C83" s="156" t="s">
        <v>771</v>
      </c>
      <c r="D83" s="155">
        <v>844</v>
      </c>
      <c r="E83" s="151">
        <v>311</v>
      </c>
      <c r="F83" s="151">
        <v>314</v>
      </c>
      <c r="G83" s="151">
        <v>0</v>
      </c>
      <c r="H83" s="151">
        <f t="shared" si="4"/>
        <v>625</v>
      </c>
      <c r="I83" s="155">
        <v>47</v>
      </c>
      <c r="J83" s="151">
        <v>0</v>
      </c>
      <c r="K83" s="160"/>
      <c r="L83" s="160"/>
      <c r="M83" s="168">
        <f>'66 SYANA PRAROOP-20'!C84</f>
        <v>177</v>
      </c>
      <c r="N83" s="160"/>
      <c r="O83" s="160"/>
      <c r="P83" s="158">
        <f>'66 SYANA PRAROOP-20'!D84</f>
        <v>184</v>
      </c>
      <c r="Q83" s="160"/>
      <c r="R83" s="160"/>
      <c r="S83" s="158">
        <f>'66 SYANA PRAROOP-20'!E84</f>
        <v>8</v>
      </c>
      <c r="T83" s="160"/>
      <c r="U83" s="160"/>
      <c r="V83" s="159">
        <f>'66 SYANA PRAROOP-20'!F84</f>
        <v>243</v>
      </c>
      <c r="W83" s="160"/>
      <c r="X83" s="160"/>
      <c r="Y83" s="159">
        <f>'66 SYANA PRAROOP-20'!G84</f>
        <v>3</v>
      </c>
      <c r="Z83" s="160"/>
      <c r="AA83" s="160"/>
      <c r="AB83" s="168">
        <f>'66 SYANA PRAROOP-20'!H84</f>
        <v>4</v>
      </c>
      <c r="AC83" s="160"/>
      <c r="AD83" s="160"/>
      <c r="AE83" s="168">
        <f>'66 SYANA PRAROOP-20'!I84</f>
        <v>2</v>
      </c>
      <c r="AF83" s="160"/>
      <c r="AG83" s="160"/>
      <c r="AH83" s="168">
        <f>'66 SYANA PRAROOP-20'!J84</f>
        <v>2</v>
      </c>
      <c r="AI83" s="159">
        <f t="shared" si="5"/>
        <v>623</v>
      </c>
      <c r="AJ83" s="150">
        <f t="shared" si="3"/>
        <v>-2</v>
      </c>
    </row>
    <row r="84" spans="1:36" ht="38.25">
      <c r="A84" s="151">
        <v>66</v>
      </c>
      <c r="B84" s="155">
        <v>78</v>
      </c>
      <c r="C84" s="156" t="s">
        <v>772</v>
      </c>
      <c r="D84" s="155">
        <v>795</v>
      </c>
      <c r="E84" s="151">
        <v>258</v>
      </c>
      <c r="F84" s="151">
        <v>215</v>
      </c>
      <c r="G84" s="151">
        <v>0</v>
      </c>
      <c r="H84" s="151">
        <f t="shared" si="4"/>
        <v>473</v>
      </c>
      <c r="I84" s="155">
        <v>270</v>
      </c>
      <c r="J84" s="151">
        <v>0</v>
      </c>
      <c r="K84" s="160"/>
      <c r="L84" s="160"/>
      <c r="M84" s="168">
        <f>'66 SYANA PRAROOP-20'!C85</f>
        <v>99</v>
      </c>
      <c r="N84" s="160"/>
      <c r="O84" s="160"/>
      <c r="P84" s="158">
        <f>'66 SYANA PRAROOP-20'!D85</f>
        <v>278</v>
      </c>
      <c r="Q84" s="160"/>
      <c r="R84" s="160"/>
      <c r="S84" s="158">
        <f>'66 SYANA PRAROOP-20'!E85</f>
        <v>14</v>
      </c>
      <c r="T84" s="160"/>
      <c r="U84" s="160"/>
      <c r="V84" s="159">
        <f>'66 SYANA PRAROOP-20'!F85</f>
        <v>73</v>
      </c>
      <c r="W84" s="160"/>
      <c r="X84" s="160"/>
      <c r="Y84" s="159">
        <f>'66 SYANA PRAROOP-20'!G85</f>
        <v>2</v>
      </c>
      <c r="Z84" s="160"/>
      <c r="AA84" s="160"/>
      <c r="AB84" s="168">
        <f>'66 SYANA PRAROOP-20'!H85</f>
        <v>2</v>
      </c>
      <c r="AC84" s="160"/>
      <c r="AD84" s="160"/>
      <c r="AE84" s="168">
        <f>'66 SYANA PRAROOP-20'!I85</f>
        <v>3</v>
      </c>
      <c r="AF84" s="160"/>
      <c r="AG84" s="160"/>
      <c r="AH84" s="168">
        <f>'66 SYANA PRAROOP-20'!J85</f>
        <v>1</v>
      </c>
      <c r="AI84" s="159">
        <f t="shared" si="5"/>
        <v>472</v>
      </c>
      <c r="AJ84" s="150">
        <f t="shared" si="3"/>
        <v>-1</v>
      </c>
    </row>
    <row r="85" spans="1:36" ht="51">
      <c r="A85" s="151">
        <v>66</v>
      </c>
      <c r="B85" s="155">
        <v>79</v>
      </c>
      <c r="C85" s="156" t="s">
        <v>773</v>
      </c>
      <c r="D85" s="155">
        <v>705</v>
      </c>
      <c r="E85" s="151">
        <v>243</v>
      </c>
      <c r="F85" s="151">
        <v>208</v>
      </c>
      <c r="G85" s="151">
        <v>0</v>
      </c>
      <c r="H85" s="151">
        <f t="shared" si="4"/>
        <v>451</v>
      </c>
      <c r="I85" s="155">
        <v>47</v>
      </c>
      <c r="J85" s="151">
        <v>0</v>
      </c>
      <c r="K85" s="160"/>
      <c r="L85" s="160"/>
      <c r="M85" s="168">
        <f>'66 SYANA PRAROOP-20'!C86</f>
        <v>89</v>
      </c>
      <c r="N85" s="160"/>
      <c r="O85" s="160"/>
      <c r="P85" s="158">
        <f>'66 SYANA PRAROOP-20'!D86</f>
        <v>157</v>
      </c>
      <c r="Q85" s="160"/>
      <c r="R85" s="160"/>
      <c r="S85" s="158">
        <f>'66 SYANA PRAROOP-20'!E86</f>
        <v>19</v>
      </c>
      <c r="T85" s="160"/>
      <c r="U85" s="160"/>
      <c r="V85" s="159">
        <f>'66 SYANA PRAROOP-20'!F86</f>
        <v>174</v>
      </c>
      <c r="W85" s="160"/>
      <c r="X85" s="160"/>
      <c r="Y85" s="159">
        <f>'66 SYANA PRAROOP-20'!G86</f>
        <v>2</v>
      </c>
      <c r="Z85" s="160"/>
      <c r="AA85" s="160"/>
      <c r="AB85" s="168">
        <f>'66 SYANA PRAROOP-20'!H86</f>
        <v>2</v>
      </c>
      <c r="AC85" s="160"/>
      <c r="AD85" s="160"/>
      <c r="AE85" s="168">
        <f>'66 SYANA PRAROOP-20'!I86</f>
        <v>7</v>
      </c>
      <c r="AF85" s="160"/>
      <c r="AG85" s="160"/>
      <c r="AH85" s="168">
        <f>'66 SYANA PRAROOP-20'!J86</f>
        <v>1</v>
      </c>
      <c r="AI85" s="159">
        <f t="shared" si="5"/>
        <v>451</v>
      </c>
      <c r="AJ85" s="150">
        <f t="shared" si="3"/>
        <v>0</v>
      </c>
    </row>
    <row r="86" spans="1:36" ht="51">
      <c r="A86" s="151">
        <v>66</v>
      </c>
      <c r="B86" s="155">
        <v>80</v>
      </c>
      <c r="C86" s="156" t="s">
        <v>774</v>
      </c>
      <c r="D86" s="155">
        <v>713</v>
      </c>
      <c r="E86" s="151">
        <v>272</v>
      </c>
      <c r="F86" s="151">
        <v>221</v>
      </c>
      <c r="G86" s="151">
        <v>0</v>
      </c>
      <c r="H86" s="151">
        <f t="shared" si="4"/>
        <v>493</v>
      </c>
      <c r="I86" s="155">
        <v>232</v>
      </c>
      <c r="J86" s="151">
        <v>0</v>
      </c>
      <c r="K86" s="160"/>
      <c r="L86" s="160"/>
      <c r="M86" s="168">
        <f>'66 SYANA PRAROOP-20'!C87</f>
        <v>161</v>
      </c>
      <c r="N86" s="160"/>
      <c r="O86" s="160"/>
      <c r="P86" s="158">
        <f>'66 SYANA PRAROOP-20'!D87</f>
        <v>288</v>
      </c>
      <c r="Q86" s="160"/>
      <c r="R86" s="160"/>
      <c r="S86" s="158">
        <f>'66 SYANA PRAROOP-20'!E87</f>
        <v>16</v>
      </c>
      <c r="T86" s="160"/>
      <c r="U86" s="160"/>
      <c r="V86" s="159">
        <f>'66 SYANA PRAROOP-20'!F87</f>
        <v>25</v>
      </c>
      <c r="W86" s="160"/>
      <c r="X86" s="160"/>
      <c r="Y86" s="159">
        <f>'66 SYANA PRAROOP-20'!G87</f>
        <v>0</v>
      </c>
      <c r="Z86" s="160"/>
      <c r="AA86" s="160"/>
      <c r="AB86" s="168">
        <f>'66 SYANA PRAROOP-20'!H87</f>
        <v>2</v>
      </c>
      <c r="AC86" s="160"/>
      <c r="AD86" s="160"/>
      <c r="AE86" s="168">
        <f>'66 SYANA PRAROOP-20'!I87</f>
        <v>0</v>
      </c>
      <c r="AF86" s="160"/>
      <c r="AG86" s="160"/>
      <c r="AH86" s="168">
        <f>'66 SYANA PRAROOP-20'!J87</f>
        <v>1</v>
      </c>
      <c r="AI86" s="159">
        <f t="shared" si="5"/>
        <v>493</v>
      </c>
      <c r="AJ86" s="150">
        <f t="shared" si="3"/>
        <v>0</v>
      </c>
    </row>
    <row r="87" spans="1:36" ht="63.75">
      <c r="A87" s="151">
        <v>66</v>
      </c>
      <c r="B87" s="155">
        <v>81</v>
      </c>
      <c r="C87" s="156" t="s">
        <v>1087</v>
      </c>
      <c r="D87" s="155">
        <v>790</v>
      </c>
      <c r="E87" s="151">
        <v>262</v>
      </c>
      <c r="F87" s="151">
        <v>212</v>
      </c>
      <c r="G87" s="151">
        <v>0</v>
      </c>
      <c r="H87" s="151">
        <f t="shared" si="4"/>
        <v>474</v>
      </c>
      <c r="I87" s="155">
        <v>28</v>
      </c>
      <c r="J87" s="151">
        <v>0</v>
      </c>
      <c r="K87" s="160"/>
      <c r="L87" s="160"/>
      <c r="M87" s="168">
        <f>'66 SYANA PRAROOP-20'!C88</f>
        <v>97</v>
      </c>
      <c r="N87" s="160"/>
      <c r="O87" s="160"/>
      <c r="P87" s="158">
        <f>'66 SYANA PRAROOP-20'!D88</f>
        <v>180</v>
      </c>
      <c r="Q87" s="160"/>
      <c r="R87" s="160"/>
      <c r="S87" s="158">
        <f>'66 SYANA PRAROOP-20'!E88</f>
        <v>5</v>
      </c>
      <c r="T87" s="160"/>
      <c r="U87" s="160"/>
      <c r="V87" s="159">
        <f>'66 SYANA PRAROOP-20'!F88</f>
        <v>186</v>
      </c>
      <c r="W87" s="160"/>
      <c r="X87" s="160"/>
      <c r="Y87" s="159">
        <f>'66 SYANA PRAROOP-20'!G88</f>
        <v>2</v>
      </c>
      <c r="Z87" s="160"/>
      <c r="AA87" s="160"/>
      <c r="AB87" s="168">
        <f>'66 SYANA PRAROOP-20'!H88</f>
        <v>1</v>
      </c>
      <c r="AC87" s="160"/>
      <c r="AD87" s="160"/>
      <c r="AE87" s="168">
        <f>'66 SYANA PRAROOP-20'!I88</f>
        <v>0</v>
      </c>
      <c r="AF87" s="160"/>
      <c r="AG87" s="160"/>
      <c r="AH87" s="168">
        <f>'66 SYANA PRAROOP-20'!J88</f>
        <v>1</v>
      </c>
      <c r="AI87" s="159">
        <f t="shared" si="5"/>
        <v>472</v>
      </c>
      <c r="AJ87" s="150">
        <f t="shared" si="3"/>
        <v>-2</v>
      </c>
    </row>
    <row r="88" spans="1:36" ht="63.75">
      <c r="A88" s="151">
        <v>66</v>
      </c>
      <c r="B88" s="155">
        <v>82</v>
      </c>
      <c r="C88" s="156" t="s">
        <v>1088</v>
      </c>
      <c r="D88" s="155">
        <v>1064</v>
      </c>
      <c r="E88" s="151">
        <v>327</v>
      </c>
      <c r="F88" s="151">
        <v>314</v>
      </c>
      <c r="G88" s="151">
        <v>0</v>
      </c>
      <c r="H88" s="151">
        <f t="shared" si="4"/>
        <v>641</v>
      </c>
      <c r="I88" s="155">
        <v>80</v>
      </c>
      <c r="J88" s="151">
        <v>0</v>
      </c>
      <c r="K88" s="160"/>
      <c r="L88" s="160"/>
      <c r="M88" s="168">
        <f>'66 SYANA PRAROOP-20'!C89</f>
        <v>14</v>
      </c>
      <c r="N88" s="160"/>
      <c r="O88" s="160"/>
      <c r="P88" s="158">
        <f>'66 SYANA PRAROOP-20'!D89</f>
        <v>549</v>
      </c>
      <c r="Q88" s="160"/>
      <c r="R88" s="160"/>
      <c r="S88" s="158">
        <f>'66 SYANA PRAROOP-20'!E89</f>
        <v>19</v>
      </c>
      <c r="T88" s="160"/>
      <c r="U88" s="160"/>
      <c r="V88" s="159">
        <f>'66 SYANA PRAROOP-20'!F89</f>
        <v>44</v>
      </c>
      <c r="W88" s="160"/>
      <c r="X88" s="160"/>
      <c r="Y88" s="159">
        <f>'66 SYANA PRAROOP-20'!G89</f>
        <v>2</v>
      </c>
      <c r="Z88" s="160"/>
      <c r="AA88" s="160"/>
      <c r="AB88" s="168">
        <f>'66 SYANA PRAROOP-20'!H89</f>
        <v>1</v>
      </c>
      <c r="AC88" s="160"/>
      <c r="AD88" s="160"/>
      <c r="AE88" s="168">
        <f>'66 SYANA PRAROOP-20'!I89</f>
        <v>5</v>
      </c>
      <c r="AF88" s="160"/>
      <c r="AG88" s="160"/>
      <c r="AH88" s="168">
        <f>'66 SYANA PRAROOP-20'!J89</f>
        <v>1</v>
      </c>
      <c r="AI88" s="159">
        <f t="shared" si="5"/>
        <v>635</v>
      </c>
      <c r="AJ88" s="150">
        <f t="shared" si="3"/>
        <v>-6</v>
      </c>
    </row>
    <row r="89" spans="1:36" ht="63.75">
      <c r="A89" s="151">
        <v>66</v>
      </c>
      <c r="B89" s="155">
        <v>83</v>
      </c>
      <c r="C89" s="156" t="s">
        <v>775</v>
      </c>
      <c r="D89" s="155">
        <v>1117</v>
      </c>
      <c r="E89" s="151">
        <v>370</v>
      </c>
      <c r="F89" s="151">
        <v>343</v>
      </c>
      <c r="G89" s="151">
        <v>0</v>
      </c>
      <c r="H89" s="151">
        <f t="shared" si="4"/>
        <v>713</v>
      </c>
      <c r="I89" s="155">
        <v>50</v>
      </c>
      <c r="J89" s="151">
        <v>0</v>
      </c>
      <c r="K89" s="160"/>
      <c r="L89" s="160"/>
      <c r="M89" s="168">
        <f>'66 SYANA PRAROOP-20'!C90</f>
        <v>178</v>
      </c>
      <c r="N89" s="160"/>
      <c r="O89" s="160"/>
      <c r="P89" s="158">
        <f>'66 SYANA PRAROOP-20'!D90</f>
        <v>460</v>
      </c>
      <c r="Q89" s="160"/>
      <c r="R89" s="160"/>
      <c r="S89" s="158">
        <f>'66 SYANA PRAROOP-20'!E90</f>
        <v>23</v>
      </c>
      <c r="T89" s="160"/>
      <c r="U89" s="160"/>
      <c r="V89" s="159">
        <f>'66 SYANA PRAROOP-20'!F90</f>
        <v>46</v>
      </c>
      <c r="W89" s="160"/>
      <c r="X89" s="160"/>
      <c r="Y89" s="159">
        <f>'66 SYANA PRAROOP-20'!G90</f>
        <v>1</v>
      </c>
      <c r="Z89" s="160"/>
      <c r="AA89" s="160"/>
      <c r="AB89" s="168">
        <f>'66 SYANA PRAROOP-20'!H90</f>
        <v>4</v>
      </c>
      <c r="AC89" s="160"/>
      <c r="AD89" s="160"/>
      <c r="AE89" s="168">
        <f>'66 SYANA PRAROOP-20'!I90</f>
        <v>0</v>
      </c>
      <c r="AF89" s="160"/>
      <c r="AG89" s="160"/>
      <c r="AH89" s="168">
        <f>'66 SYANA PRAROOP-20'!J90</f>
        <v>1</v>
      </c>
      <c r="AI89" s="159">
        <f t="shared" si="5"/>
        <v>713</v>
      </c>
      <c r="AJ89" s="150">
        <f t="shared" si="3"/>
        <v>0</v>
      </c>
    </row>
    <row r="90" spans="1:36" ht="51">
      <c r="A90" s="151">
        <v>66</v>
      </c>
      <c r="B90" s="155">
        <v>84</v>
      </c>
      <c r="C90" s="156" t="s">
        <v>776</v>
      </c>
      <c r="D90" s="155">
        <v>998</v>
      </c>
      <c r="E90" s="151">
        <v>394</v>
      </c>
      <c r="F90" s="151">
        <v>340</v>
      </c>
      <c r="G90" s="151">
        <v>0</v>
      </c>
      <c r="H90" s="151">
        <f t="shared" si="4"/>
        <v>734</v>
      </c>
      <c r="I90" s="155">
        <v>400</v>
      </c>
      <c r="J90" s="151">
        <v>0</v>
      </c>
      <c r="K90" s="160"/>
      <c r="L90" s="160"/>
      <c r="M90" s="168">
        <f>'66 SYANA PRAROOP-20'!C91</f>
        <v>18</v>
      </c>
      <c r="N90" s="160"/>
      <c r="O90" s="160"/>
      <c r="P90" s="158">
        <f>'66 SYANA PRAROOP-20'!D91</f>
        <v>239</v>
      </c>
      <c r="Q90" s="160"/>
      <c r="R90" s="160"/>
      <c r="S90" s="158">
        <f>'66 SYANA PRAROOP-20'!E91</f>
        <v>3</v>
      </c>
      <c r="T90" s="160"/>
      <c r="U90" s="160"/>
      <c r="V90" s="159">
        <f>'66 SYANA PRAROOP-20'!F91</f>
        <v>455</v>
      </c>
      <c r="W90" s="160"/>
      <c r="X90" s="160"/>
      <c r="Y90" s="159">
        <f>'66 SYANA PRAROOP-20'!G91</f>
        <v>4</v>
      </c>
      <c r="Z90" s="160"/>
      <c r="AA90" s="160"/>
      <c r="AB90" s="168">
        <f>'66 SYANA PRAROOP-20'!H91</f>
        <v>1</v>
      </c>
      <c r="AC90" s="160"/>
      <c r="AD90" s="160"/>
      <c r="AE90" s="168">
        <f>'66 SYANA PRAROOP-20'!I91</f>
        <v>10</v>
      </c>
      <c r="AF90" s="160"/>
      <c r="AG90" s="160"/>
      <c r="AH90" s="168">
        <f>'66 SYANA PRAROOP-20'!J91</f>
        <v>3</v>
      </c>
      <c r="AI90" s="159">
        <f t="shared" si="5"/>
        <v>733</v>
      </c>
      <c r="AJ90" s="150">
        <f t="shared" si="3"/>
        <v>-1</v>
      </c>
    </row>
    <row r="91" spans="1:36" ht="51">
      <c r="A91" s="151">
        <v>66</v>
      </c>
      <c r="B91" s="155">
        <v>85</v>
      </c>
      <c r="C91" s="156" t="s">
        <v>777</v>
      </c>
      <c r="D91" s="155">
        <v>740</v>
      </c>
      <c r="E91" s="151">
        <v>242</v>
      </c>
      <c r="F91" s="151">
        <v>215</v>
      </c>
      <c r="G91" s="151">
        <v>0</v>
      </c>
      <c r="H91" s="151">
        <f t="shared" si="4"/>
        <v>457</v>
      </c>
      <c r="I91" s="155">
        <v>43</v>
      </c>
      <c r="J91" s="151">
        <v>0</v>
      </c>
      <c r="K91" s="160"/>
      <c r="L91" s="160"/>
      <c r="M91" s="168">
        <f>'66 SYANA PRAROOP-20'!C92</f>
        <v>90</v>
      </c>
      <c r="N91" s="160"/>
      <c r="O91" s="160"/>
      <c r="P91" s="158">
        <f>'66 SYANA PRAROOP-20'!D92</f>
        <v>273</v>
      </c>
      <c r="Q91" s="160"/>
      <c r="R91" s="160"/>
      <c r="S91" s="158">
        <f>'66 SYANA PRAROOP-20'!E92</f>
        <v>7</v>
      </c>
      <c r="T91" s="160"/>
      <c r="U91" s="160"/>
      <c r="V91" s="159">
        <f>'66 SYANA PRAROOP-20'!F92</f>
        <v>74</v>
      </c>
      <c r="W91" s="160"/>
      <c r="X91" s="160"/>
      <c r="Y91" s="159">
        <f>'66 SYANA PRAROOP-20'!G92</f>
        <v>1</v>
      </c>
      <c r="Z91" s="160"/>
      <c r="AA91" s="160"/>
      <c r="AB91" s="168">
        <f>'66 SYANA PRAROOP-20'!H92</f>
        <v>1</v>
      </c>
      <c r="AC91" s="160"/>
      <c r="AD91" s="160"/>
      <c r="AE91" s="168">
        <f>'66 SYANA PRAROOP-20'!I92</f>
        <v>2</v>
      </c>
      <c r="AF91" s="160"/>
      <c r="AG91" s="160"/>
      <c r="AH91" s="168">
        <f>'66 SYANA PRAROOP-20'!J92</f>
        <v>5</v>
      </c>
      <c r="AI91" s="159">
        <f t="shared" si="5"/>
        <v>453</v>
      </c>
      <c r="AJ91" s="150">
        <f t="shared" si="3"/>
        <v>-4</v>
      </c>
    </row>
    <row r="92" spans="1:36" ht="51">
      <c r="A92" s="151">
        <v>66</v>
      </c>
      <c r="B92" s="155">
        <v>86</v>
      </c>
      <c r="C92" s="156" t="s">
        <v>778</v>
      </c>
      <c r="D92" s="155">
        <v>690</v>
      </c>
      <c r="E92" s="151">
        <v>243</v>
      </c>
      <c r="F92" s="151">
        <v>216</v>
      </c>
      <c r="G92" s="151">
        <v>0</v>
      </c>
      <c r="H92" s="151">
        <f t="shared" si="4"/>
        <v>459</v>
      </c>
      <c r="I92" s="155">
        <v>35</v>
      </c>
      <c r="J92" s="151">
        <v>0</v>
      </c>
      <c r="K92" s="160"/>
      <c r="L92" s="160"/>
      <c r="M92" s="168">
        <f>'66 SYANA PRAROOP-20'!C93</f>
        <v>44</v>
      </c>
      <c r="N92" s="160"/>
      <c r="O92" s="160"/>
      <c r="P92" s="158">
        <f>'66 SYANA PRAROOP-20'!D93</f>
        <v>249</v>
      </c>
      <c r="Q92" s="160"/>
      <c r="R92" s="160"/>
      <c r="S92" s="158">
        <f>'66 SYANA PRAROOP-20'!E93</f>
        <v>7</v>
      </c>
      <c r="T92" s="160"/>
      <c r="U92" s="160"/>
      <c r="V92" s="159">
        <f>'66 SYANA PRAROOP-20'!F93</f>
        <v>154</v>
      </c>
      <c r="W92" s="160"/>
      <c r="X92" s="160"/>
      <c r="Y92" s="159">
        <f>'66 SYANA PRAROOP-20'!G93</f>
        <v>0</v>
      </c>
      <c r="Z92" s="160"/>
      <c r="AA92" s="160"/>
      <c r="AB92" s="168">
        <f>'66 SYANA PRAROOP-20'!H93</f>
        <v>2</v>
      </c>
      <c r="AC92" s="160"/>
      <c r="AD92" s="160"/>
      <c r="AE92" s="168">
        <f>'66 SYANA PRAROOP-20'!I93</f>
        <v>3</v>
      </c>
      <c r="AF92" s="160"/>
      <c r="AG92" s="160"/>
      <c r="AH92" s="168">
        <f>'66 SYANA PRAROOP-20'!J93</f>
        <v>0</v>
      </c>
      <c r="AI92" s="159">
        <f t="shared" si="5"/>
        <v>459</v>
      </c>
      <c r="AJ92" s="150">
        <f t="shared" si="3"/>
        <v>0</v>
      </c>
    </row>
    <row r="93" spans="1:36" ht="51">
      <c r="A93" s="151">
        <v>66</v>
      </c>
      <c r="B93" s="155">
        <v>87</v>
      </c>
      <c r="C93" s="156" t="s">
        <v>779</v>
      </c>
      <c r="D93" s="155">
        <v>982</v>
      </c>
      <c r="E93" s="151">
        <v>300</v>
      </c>
      <c r="F93" s="151">
        <v>233</v>
      </c>
      <c r="G93" s="151">
        <v>0</v>
      </c>
      <c r="H93" s="151">
        <f t="shared" si="4"/>
        <v>533</v>
      </c>
      <c r="I93" s="155">
        <v>52</v>
      </c>
      <c r="J93" s="151">
        <v>0</v>
      </c>
      <c r="K93" s="160"/>
      <c r="L93" s="160"/>
      <c r="M93" s="168">
        <f>'66 SYANA PRAROOP-20'!C94</f>
        <v>96</v>
      </c>
      <c r="N93" s="160"/>
      <c r="O93" s="160"/>
      <c r="P93" s="158">
        <f>'66 SYANA PRAROOP-20'!D94</f>
        <v>417</v>
      </c>
      <c r="Q93" s="160"/>
      <c r="R93" s="160"/>
      <c r="S93" s="158">
        <f>'66 SYANA PRAROOP-20'!E94</f>
        <v>7</v>
      </c>
      <c r="T93" s="160"/>
      <c r="U93" s="160"/>
      <c r="V93" s="159">
        <f>'66 SYANA PRAROOP-20'!F94</f>
        <v>5</v>
      </c>
      <c r="W93" s="160"/>
      <c r="X93" s="160"/>
      <c r="Y93" s="159">
        <f>'66 SYANA PRAROOP-20'!G94</f>
        <v>0</v>
      </c>
      <c r="Z93" s="160"/>
      <c r="AA93" s="160"/>
      <c r="AB93" s="168">
        <f>'66 SYANA PRAROOP-20'!H94</f>
        <v>1</v>
      </c>
      <c r="AC93" s="160"/>
      <c r="AD93" s="160"/>
      <c r="AE93" s="168">
        <f>'66 SYANA PRAROOP-20'!I94</f>
        <v>0</v>
      </c>
      <c r="AF93" s="160"/>
      <c r="AG93" s="160"/>
      <c r="AH93" s="168">
        <f>'66 SYANA PRAROOP-20'!J94</f>
        <v>1</v>
      </c>
      <c r="AI93" s="159">
        <f t="shared" si="5"/>
        <v>527</v>
      </c>
      <c r="AJ93" s="150">
        <f t="shared" si="3"/>
        <v>-6</v>
      </c>
    </row>
    <row r="94" spans="1:36" ht="51">
      <c r="A94" s="151">
        <v>66</v>
      </c>
      <c r="B94" s="155">
        <v>88</v>
      </c>
      <c r="C94" s="156" t="s">
        <v>780</v>
      </c>
      <c r="D94" s="155">
        <v>952</v>
      </c>
      <c r="E94" s="151">
        <v>303</v>
      </c>
      <c r="F94" s="151">
        <v>260</v>
      </c>
      <c r="G94" s="151">
        <v>0</v>
      </c>
      <c r="H94" s="151">
        <f t="shared" si="4"/>
        <v>563</v>
      </c>
      <c r="I94" s="155">
        <v>43</v>
      </c>
      <c r="J94" s="151">
        <v>0</v>
      </c>
      <c r="K94" s="160"/>
      <c r="L94" s="160"/>
      <c r="M94" s="168">
        <f>'66 SYANA PRAROOP-20'!C95</f>
        <v>63</v>
      </c>
      <c r="N94" s="160"/>
      <c r="O94" s="160"/>
      <c r="P94" s="158">
        <f>'66 SYANA PRAROOP-20'!D95</f>
        <v>250</v>
      </c>
      <c r="Q94" s="160"/>
      <c r="R94" s="160"/>
      <c r="S94" s="158">
        <f>'66 SYANA PRAROOP-20'!E95</f>
        <v>4</v>
      </c>
      <c r="T94" s="160"/>
      <c r="U94" s="160"/>
      <c r="V94" s="159">
        <f>'66 SYANA PRAROOP-20'!F95</f>
        <v>228</v>
      </c>
      <c r="W94" s="160"/>
      <c r="X94" s="160"/>
      <c r="Y94" s="159">
        <f>'66 SYANA PRAROOP-20'!G95</f>
        <v>3</v>
      </c>
      <c r="Z94" s="160"/>
      <c r="AA94" s="160"/>
      <c r="AB94" s="168">
        <f>'66 SYANA PRAROOP-20'!H95</f>
        <v>4</v>
      </c>
      <c r="AC94" s="160"/>
      <c r="AD94" s="160"/>
      <c r="AE94" s="168">
        <f>'66 SYANA PRAROOP-20'!I95</f>
        <v>5</v>
      </c>
      <c r="AF94" s="160"/>
      <c r="AG94" s="160"/>
      <c r="AH94" s="168">
        <f>'66 SYANA PRAROOP-20'!J95</f>
        <v>2</v>
      </c>
      <c r="AI94" s="159">
        <f t="shared" si="5"/>
        <v>559</v>
      </c>
      <c r="AJ94" s="150">
        <f t="shared" si="3"/>
        <v>-4</v>
      </c>
    </row>
    <row r="95" spans="1:36" ht="51">
      <c r="A95" s="151">
        <v>66</v>
      </c>
      <c r="B95" s="155">
        <v>89</v>
      </c>
      <c r="C95" s="156" t="s">
        <v>781</v>
      </c>
      <c r="D95" s="155">
        <v>864</v>
      </c>
      <c r="E95" s="151">
        <v>322</v>
      </c>
      <c r="F95" s="151">
        <v>280</v>
      </c>
      <c r="G95" s="151">
        <v>0</v>
      </c>
      <c r="H95" s="151">
        <f t="shared" si="4"/>
        <v>602</v>
      </c>
      <c r="I95" s="155">
        <v>70</v>
      </c>
      <c r="J95" s="151">
        <v>0</v>
      </c>
      <c r="K95" s="160"/>
      <c r="L95" s="160"/>
      <c r="M95" s="168">
        <f>'66 SYANA PRAROOP-20'!C96</f>
        <v>107</v>
      </c>
      <c r="N95" s="160"/>
      <c r="O95" s="160"/>
      <c r="P95" s="158">
        <f>'66 SYANA PRAROOP-20'!D96</f>
        <v>440</v>
      </c>
      <c r="Q95" s="160"/>
      <c r="R95" s="160"/>
      <c r="S95" s="158">
        <f>'66 SYANA PRAROOP-20'!E96</f>
        <v>14</v>
      </c>
      <c r="T95" s="160"/>
      <c r="U95" s="160"/>
      <c r="V95" s="159">
        <f>'66 SYANA PRAROOP-20'!F96</f>
        <v>30</v>
      </c>
      <c r="W95" s="160"/>
      <c r="X95" s="160"/>
      <c r="Y95" s="159">
        <f>'66 SYANA PRAROOP-20'!G96</f>
        <v>1</v>
      </c>
      <c r="Z95" s="160"/>
      <c r="AA95" s="160"/>
      <c r="AB95" s="168">
        <f>'66 SYANA PRAROOP-20'!H96</f>
        <v>0</v>
      </c>
      <c r="AC95" s="160"/>
      <c r="AD95" s="160"/>
      <c r="AE95" s="168">
        <f>'66 SYANA PRAROOP-20'!I96</f>
        <v>2</v>
      </c>
      <c r="AF95" s="160"/>
      <c r="AG95" s="160"/>
      <c r="AH95" s="168">
        <f>'66 SYANA PRAROOP-20'!J96</f>
        <v>6</v>
      </c>
      <c r="AI95" s="159">
        <f t="shared" si="5"/>
        <v>600</v>
      </c>
      <c r="AJ95" s="150">
        <f t="shared" si="3"/>
        <v>-2</v>
      </c>
    </row>
    <row r="96" spans="1:36" ht="51">
      <c r="A96" s="151">
        <v>66</v>
      </c>
      <c r="B96" s="155">
        <v>90</v>
      </c>
      <c r="C96" s="156" t="s">
        <v>782</v>
      </c>
      <c r="D96" s="155">
        <v>743</v>
      </c>
      <c r="E96" s="151">
        <v>238</v>
      </c>
      <c r="F96" s="151">
        <v>233</v>
      </c>
      <c r="G96" s="151">
        <v>0</v>
      </c>
      <c r="H96" s="151">
        <f t="shared" si="4"/>
        <v>471</v>
      </c>
      <c r="I96" s="155">
        <v>41</v>
      </c>
      <c r="J96" s="151">
        <v>0</v>
      </c>
      <c r="K96" s="160"/>
      <c r="L96" s="160"/>
      <c r="M96" s="168">
        <f>'66 SYANA PRAROOP-20'!C97</f>
        <v>66</v>
      </c>
      <c r="N96" s="160"/>
      <c r="O96" s="160"/>
      <c r="P96" s="158">
        <f>'66 SYANA PRAROOP-20'!D97</f>
        <v>184</v>
      </c>
      <c r="Q96" s="160"/>
      <c r="R96" s="160"/>
      <c r="S96" s="158">
        <f>'66 SYANA PRAROOP-20'!E97</f>
        <v>4</v>
      </c>
      <c r="T96" s="160"/>
      <c r="U96" s="160"/>
      <c r="V96" s="159">
        <f>'66 SYANA PRAROOP-20'!F97</f>
        <v>194</v>
      </c>
      <c r="W96" s="160"/>
      <c r="X96" s="160"/>
      <c r="Y96" s="159">
        <f>'66 SYANA PRAROOP-20'!G97</f>
        <v>5</v>
      </c>
      <c r="Z96" s="160"/>
      <c r="AA96" s="160"/>
      <c r="AB96" s="168">
        <f>'66 SYANA PRAROOP-20'!H97</f>
        <v>7</v>
      </c>
      <c r="AC96" s="160"/>
      <c r="AD96" s="160"/>
      <c r="AE96" s="168">
        <f>'66 SYANA PRAROOP-20'!I97</f>
        <v>4</v>
      </c>
      <c r="AF96" s="160"/>
      <c r="AG96" s="160"/>
      <c r="AH96" s="168">
        <f>'66 SYANA PRAROOP-20'!J97</f>
        <v>4</v>
      </c>
      <c r="AI96" s="159">
        <f t="shared" si="5"/>
        <v>468</v>
      </c>
      <c r="AJ96" s="150">
        <f t="shared" si="3"/>
        <v>-3</v>
      </c>
    </row>
    <row r="97" spans="1:36" ht="51">
      <c r="A97" s="151">
        <v>66</v>
      </c>
      <c r="B97" s="155">
        <v>91</v>
      </c>
      <c r="C97" s="156" t="s">
        <v>1089</v>
      </c>
      <c r="D97" s="155">
        <v>746</v>
      </c>
      <c r="E97" s="151">
        <v>259</v>
      </c>
      <c r="F97" s="151">
        <v>257</v>
      </c>
      <c r="G97" s="151">
        <v>0</v>
      </c>
      <c r="H97" s="151">
        <f t="shared" si="4"/>
        <v>516</v>
      </c>
      <c r="I97" s="155">
        <v>31</v>
      </c>
      <c r="J97" s="151">
        <v>0</v>
      </c>
      <c r="K97" s="160"/>
      <c r="L97" s="160"/>
      <c r="M97" s="168">
        <f>'66 SYANA PRAROOP-20'!C98</f>
        <v>36</v>
      </c>
      <c r="N97" s="160"/>
      <c r="O97" s="160"/>
      <c r="P97" s="158">
        <f>'66 SYANA PRAROOP-20'!D98</f>
        <v>443</v>
      </c>
      <c r="Q97" s="160"/>
      <c r="R97" s="160"/>
      <c r="S97" s="158">
        <f>'66 SYANA PRAROOP-20'!E98</f>
        <v>2</v>
      </c>
      <c r="T97" s="160"/>
      <c r="U97" s="160"/>
      <c r="V97" s="159">
        <f>'66 SYANA PRAROOP-20'!F98</f>
        <v>25</v>
      </c>
      <c r="W97" s="160"/>
      <c r="X97" s="160"/>
      <c r="Y97" s="159">
        <f>'66 SYANA PRAROOP-20'!G98</f>
        <v>1</v>
      </c>
      <c r="Z97" s="160"/>
      <c r="AA97" s="160"/>
      <c r="AB97" s="168">
        <f>'66 SYANA PRAROOP-20'!H98</f>
        <v>2</v>
      </c>
      <c r="AC97" s="160"/>
      <c r="AD97" s="160"/>
      <c r="AE97" s="168">
        <f>'66 SYANA PRAROOP-20'!I98</f>
        <v>1</v>
      </c>
      <c r="AF97" s="160"/>
      <c r="AG97" s="160"/>
      <c r="AH97" s="168">
        <f>'66 SYANA PRAROOP-20'!J98</f>
        <v>4</v>
      </c>
      <c r="AI97" s="159">
        <f t="shared" si="5"/>
        <v>514</v>
      </c>
      <c r="AJ97" s="150">
        <f t="shared" si="3"/>
        <v>-2</v>
      </c>
    </row>
    <row r="98" spans="1:36" ht="76.5">
      <c r="A98" s="151">
        <v>66</v>
      </c>
      <c r="B98" s="155">
        <v>92</v>
      </c>
      <c r="C98" s="156" t="s">
        <v>783</v>
      </c>
      <c r="D98" s="155">
        <v>1005</v>
      </c>
      <c r="E98" s="151">
        <v>308</v>
      </c>
      <c r="F98" s="151">
        <v>285</v>
      </c>
      <c r="G98" s="151">
        <v>0</v>
      </c>
      <c r="H98" s="151">
        <f t="shared" si="4"/>
        <v>593</v>
      </c>
      <c r="I98" s="155">
        <v>57</v>
      </c>
      <c r="J98" s="151">
        <v>0</v>
      </c>
      <c r="K98" s="160"/>
      <c r="L98" s="160"/>
      <c r="M98" s="168">
        <f>'66 SYANA PRAROOP-20'!C99</f>
        <v>113</v>
      </c>
      <c r="N98" s="160"/>
      <c r="O98" s="160"/>
      <c r="P98" s="158">
        <f>'66 SYANA PRAROOP-20'!D99</f>
        <v>466</v>
      </c>
      <c r="Q98" s="160"/>
      <c r="R98" s="160"/>
      <c r="S98" s="158">
        <f>'66 SYANA PRAROOP-20'!E99</f>
        <v>4</v>
      </c>
      <c r="T98" s="160"/>
      <c r="U98" s="160"/>
      <c r="V98" s="159">
        <f>'66 SYANA PRAROOP-20'!F99</f>
        <v>1</v>
      </c>
      <c r="W98" s="160"/>
      <c r="X98" s="160"/>
      <c r="Y98" s="159">
        <f>'66 SYANA PRAROOP-20'!G99</f>
        <v>3</v>
      </c>
      <c r="Z98" s="160"/>
      <c r="AA98" s="160"/>
      <c r="AB98" s="168">
        <f>'66 SYANA PRAROOP-20'!H99</f>
        <v>2</v>
      </c>
      <c r="AC98" s="160"/>
      <c r="AD98" s="160"/>
      <c r="AE98" s="168">
        <f>'66 SYANA PRAROOP-20'!I99</f>
        <v>0</v>
      </c>
      <c r="AF98" s="160"/>
      <c r="AG98" s="160"/>
      <c r="AH98" s="168">
        <f>'66 SYANA PRAROOP-20'!J99</f>
        <v>3</v>
      </c>
      <c r="AI98" s="159">
        <f t="shared" si="5"/>
        <v>592</v>
      </c>
      <c r="AJ98" s="150">
        <f t="shared" si="3"/>
        <v>-1</v>
      </c>
    </row>
    <row r="99" spans="1:36" ht="76.5">
      <c r="A99" s="151">
        <v>66</v>
      </c>
      <c r="B99" s="155">
        <v>93</v>
      </c>
      <c r="C99" s="156" t="s">
        <v>784</v>
      </c>
      <c r="D99" s="155">
        <v>941</v>
      </c>
      <c r="E99" s="151">
        <v>329</v>
      </c>
      <c r="F99" s="151">
        <v>329</v>
      </c>
      <c r="G99" s="151">
        <v>0</v>
      </c>
      <c r="H99" s="151">
        <f t="shared" si="4"/>
        <v>658</v>
      </c>
      <c r="I99" s="155">
        <v>88</v>
      </c>
      <c r="J99" s="151">
        <v>0</v>
      </c>
      <c r="K99" s="160"/>
      <c r="L99" s="160"/>
      <c r="M99" s="168">
        <f>'66 SYANA PRAROOP-20'!C100</f>
        <v>333</v>
      </c>
      <c r="N99" s="160"/>
      <c r="O99" s="160"/>
      <c r="P99" s="158">
        <f>'66 SYANA PRAROOP-20'!D100</f>
        <v>312</v>
      </c>
      <c r="Q99" s="160"/>
      <c r="R99" s="160"/>
      <c r="S99" s="158">
        <f>'66 SYANA PRAROOP-20'!E100</f>
        <v>2</v>
      </c>
      <c r="T99" s="160"/>
      <c r="U99" s="160"/>
      <c r="V99" s="159">
        <f>'66 SYANA PRAROOP-20'!F100</f>
        <v>3</v>
      </c>
      <c r="W99" s="160"/>
      <c r="X99" s="160"/>
      <c r="Y99" s="159">
        <f>'66 SYANA PRAROOP-20'!G100</f>
        <v>0</v>
      </c>
      <c r="Z99" s="160"/>
      <c r="AA99" s="160"/>
      <c r="AB99" s="168">
        <f>'66 SYANA PRAROOP-20'!H100</f>
        <v>1</v>
      </c>
      <c r="AC99" s="160"/>
      <c r="AD99" s="160"/>
      <c r="AE99" s="168">
        <f>'66 SYANA PRAROOP-20'!I100</f>
        <v>0</v>
      </c>
      <c r="AF99" s="160"/>
      <c r="AG99" s="160"/>
      <c r="AH99" s="168">
        <f>'66 SYANA PRAROOP-20'!J100</f>
        <v>0</v>
      </c>
      <c r="AI99" s="159">
        <f t="shared" si="5"/>
        <v>651</v>
      </c>
      <c r="AJ99" s="150">
        <f t="shared" si="3"/>
        <v>-7</v>
      </c>
    </row>
    <row r="100" spans="1:36" ht="76.5">
      <c r="A100" s="151">
        <v>66</v>
      </c>
      <c r="B100" s="155">
        <v>94</v>
      </c>
      <c r="C100" s="156" t="s">
        <v>785</v>
      </c>
      <c r="D100" s="155">
        <v>1024</v>
      </c>
      <c r="E100" s="151">
        <v>316</v>
      </c>
      <c r="F100" s="151">
        <v>266</v>
      </c>
      <c r="G100" s="151">
        <v>0</v>
      </c>
      <c r="H100" s="151">
        <f t="shared" si="4"/>
        <v>582</v>
      </c>
      <c r="I100" s="155">
        <v>257</v>
      </c>
      <c r="J100" s="151">
        <v>0</v>
      </c>
      <c r="K100" s="160"/>
      <c r="L100" s="160"/>
      <c r="M100" s="168">
        <f>'66 SYANA PRAROOP-20'!C101</f>
        <v>181</v>
      </c>
      <c r="N100" s="160"/>
      <c r="O100" s="160"/>
      <c r="P100" s="158">
        <f>'66 SYANA PRAROOP-20'!D101</f>
        <v>360</v>
      </c>
      <c r="Q100" s="160"/>
      <c r="R100" s="160"/>
      <c r="S100" s="158">
        <f>'66 SYANA PRAROOP-20'!E101</f>
        <v>25</v>
      </c>
      <c r="T100" s="160"/>
      <c r="U100" s="160"/>
      <c r="V100" s="159">
        <f>'66 SYANA PRAROOP-20'!F101</f>
        <v>4</v>
      </c>
      <c r="W100" s="160"/>
      <c r="X100" s="160"/>
      <c r="Y100" s="159">
        <f>'66 SYANA PRAROOP-20'!G101</f>
        <v>1</v>
      </c>
      <c r="Z100" s="160"/>
      <c r="AA100" s="160"/>
      <c r="AB100" s="168">
        <f>'66 SYANA PRAROOP-20'!H101</f>
        <v>3</v>
      </c>
      <c r="AC100" s="160"/>
      <c r="AD100" s="160"/>
      <c r="AE100" s="168">
        <f>'66 SYANA PRAROOP-20'!I101</f>
        <v>2</v>
      </c>
      <c r="AF100" s="160"/>
      <c r="AG100" s="160"/>
      <c r="AH100" s="168">
        <f>'66 SYANA PRAROOP-20'!J101</f>
        <v>2</v>
      </c>
      <c r="AI100" s="159">
        <f t="shared" si="5"/>
        <v>578</v>
      </c>
      <c r="AJ100" s="150">
        <f t="shared" si="3"/>
        <v>-4</v>
      </c>
    </row>
    <row r="101" spans="1:36" ht="63.75">
      <c r="A101" s="151">
        <v>66</v>
      </c>
      <c r="B101" s="155">
        <v>95</v>
      </c>
      <c r="C101" s="156" t="s">
        <v>786</v>
      </c>
      <c r="D101" s="155">
        <v>909</v>
      </c>
      <c r="E101" s="151">
        <v>361</v>
      </c>
      <c r="F101" s="151">
        <v>334</v>
      </c>
      <c r="G101" s="151">
        <v>0</v>
      </c>
      <c r="H101" s="151">
        <f t="shared" si="4"/>
        <v>695</v>
      </c>
      <c r="I101" s="155">
        <v>49</v>
      </c>
      <c r="J101" s="151">
        <v>0</v>
      </c>
      <c r="K101" s="160"/>
      <c r="L101" s="160"/>
      <c r="M101" s="168">
        <f>'66 SYANA PRAROOP-20'!C102</f>
        <v>35</v>
      </c>
      <c r="N101" s="160"/>
      <c r="O101" s="160"/>
      <c r="P101" s="158">
        <f>'66 SYANA PRAROOP-20'!D102</f>
        <v>474</v>
      </c>
      <c r="Q101" s="160"/>
      <c r="R101" s="160"/>
      <c r="S101" s="158">
        <f>'66 SYANA PRAROOP-20'!E102</f>
        <v>5</v>
      </c>
      <c r="T101" s="160"/>
      <c r="U101" s="160"/>
      <c r="V101" s="159">
        <f>'66 SYANA PRAROOP-20'!F102</f>
        <v>164</v>
      </c>
      <c r="W101" s="160"/>
      <c r="X101" s="160"/>
      <c r="Y101" s="159">
        <f>'66 SYANA PRAROOP-20'!G102</f>
        <v>3</v>
      </c>
      <c r="Z101" s="160"/>
      <c r="AA101" s="160"/>
      <c r="AB101" s="168">
        <f>'66 SYANA PRAROOP-20'!H102</f>
        <v>3</v>
      </c>
      <c r="AC101" s="160"/>
      <c r="AD101" s="160"/>
      <c r="AE101" s="168">
        <f>'66 SYANA PRAROOP-20'!I102</f>
        <v>4</v>
      </c>
      <c r="AF101" s="160"/>
      <c r="AG101" s="160"/>
      <c r="AH101" s="168">
        <f>'66 SYANA PRAROOP-20'!J102</f>
        <v>5</v>
      </c>
      <c r="AI101" s="159">
        <f t="shared" si="5"/>
        <v>693</v>
      </c>
      <c r="AJ101" s="150">
        <f t="shared" si="3"/>
        <v>-2</v>
      </c>
    </row>
    <row r="102" spans="1:36" ht="63.75">
      <c r="A102" s="151">
        <v>66</v>
      </c>
      <c r="B102" s="155">
        <v>96</v>
      </c>
      <c r="C102" s="156" t="s">
        <v>787</v>
      </c>
      <c r="D102" s="155">
        <v>912</v>
      </c>
      <c r="E102" s="151">
        <v>351</v>
      </c>
      <c r="F102" s="151">
        <v>323</v>
      </c>
      <c r="G102" s="151">
        <v>0</v>
      </c>
      <c r="H102" s="151">
        <f t="shared" si="4"/>
        <v>674</v>
      </c>
      <c r="I102" s="155">
        <v>423</v>
      </c>
      <c r="J102" s="151">
        <v>0</v>
      </c>
      <c r="K102" s="160"/>
      <c r="L102" s="160"/>
      <c r="M102" s="168">
        <f>'66 SYANA PRAROOP-20'!C103</f>
        <v>6</v>
      </c>
      <c r="N102" s="160"/>
      <c r="O102" s="160"/>
      <c r="P102" s="158">
        <f>'66 SYANA PRAROOP-20'!D103</f>
        <v>526</v>
      </c>
      <c r="Q102" s="160"/>
      <c r="R102" s="160"/>
      <c r="S102" s="158">
        <f>'66 SYANA PRAROOP-20'!E103</f>
        <v>6</v>
      </c>
      <c r="T102" s="160"/>
      <c r="U102" s="160"/>
      <c r="V102" s="159">
        <f>'66 SYANA PRAROOP-20'!F103</f>
        <v>118</v>
      </c>
      <c r="W102" s="160"/>
      <c r="X102" s="160"/>
      <c r="Y102" s="159">
        <f>'66 SYANA PRAROOP-20'!G103</f>
        <v>0</v>
      </c>
      <c r="Z102" s="160"/>
      <c r="AA102" s="160"/>
      <c r="AB102" s="168">
        <f>'66 SYANA PRAROOP-20'!H103</f>
        <v>2</v>
      </c>
      <c r="AC102" s="160"/>
      <c r="AD102" s="160"/>
      <c r="AE102" s="168">
        <f>'66 SYANA PRAROOP-20'!I103</f>
        <v>5</v>
      </c>
      <c r="AF102" s="160"/>
      <c r="AG102" s="160"/>
      <c r="AH102" s="168">
        <f>'66 SYANA PRAROOP-20'!J103</f>
        <v>6</v>
      </c>
      <c r="AI102" s="159">
        <f t="shared" si="5"/>
        <v>669</v>
      </c>
      <c r="AJ102" s="150">
        <f t="shared" si="3"/>
        <v>-5</v>
      </c>
    </row>
    <row r="103" spans="1:36" ht="63.75">
      <c r="A103" s="151">
        <v>66</v>
      </c>
      <c r="B103" s="155">
        <v>97</v>
      </c>
      <c r="C103" s="156" t="s">
        <v>788</v>
      </c>
      <c r="D103" s="155">
        <v>474</v>
      </c>
      <c r="E103" s="151">
        <v>166</v>
      </c>
      <c r="F103" s="151">
        <v>157</v>
      </c>
      <c r="G103" s="151">
        <v>0</v>
      </c>
      <c r="H103" s="151">
        <f t="shared" si="4"/>
        <v>323</v>
      </c>
      <c r="I103" s="155">
        <v>52</v>
      </c>
      <c r="J103" s="151">
        <v>0</v>
      </c>
      <c r="K103" s="160"/>
      <c r="L103" s="160"/>
      <c r="M103" s="168">
        <f>'66 SYANA PRAROOP-20'!C104</f>
        <v>116</v>
      </c>
      <c r="N103" s="160"/>
      <c r="O103" s="160"/>
      <c r="P103" s="158">
        <f>'66 SYANA PRAROOP-20'!D104</f>
        <v>186</v>
      </c>
      <c r="Q103" s="160"/>
      <c r="R103" s="160"/>
      <c r="S103" s="158">
        <f>'66 SYANA PRAROOP-20'!E104</f>
        <v>3</v>
      </c>
      <c r="T103" s="160"/>
      <c r="U103" s="160"/>
      <c r="V103" s="159">
        <f>'66 SYANA PRAROOP-20'!F104</f>
        <v>12</v>
      </c>
      <c r="W103" s="160"/>
      <c r="X103" s="160"/>
      <c r="Y103" s="159">
        <f>'66 SYANA PRAROOP-20'!G104</f>
        <v>0</v>
      </c>
      <c r="Z103" s="160"/>
      <c r="AA103" s="160"/>
      <c r="AB103" s="168">
        <f>'66 SYANA PRAROOP-20'!H104</f>
        <v>0</v>
      </c>
      <c r="AC103" s="160"/>
      <c r="AD103" s="160"/>
      <c r="AE103" s="168">
        <f>'66 SYANA PRAROOP-20'!I104</f>
        <v>1</v>
      </c>
      <c r="AF103" s="160"/>
      <c r="AG103" s="160"/>
      <c r="AH103" s="168">
        <f>'66 SYANA PRAROOP-20'!J104</f>
        <v>4</v>
      </c>
      <c r="AI103" s="159">
        <f t="shared" si="5"/>
        <v>322</v>
      </c>
      <c r="AJ103" s="150">
        <f t="shared" si="3"/>
        <v>-1</v>
      </c>
    </row>
    <row r="104" spans="1:36" ht="51">
      <c r="A104" s="151">
        <v>66</v>
      </c>
      <c r="B104" s="155">
        <v>98</v>
      </c>
      <c r="C104" s="156" t="s">
        <v>1090</v>
      </c>
      <c r="D104" s="155">
        <v>1089</v>
      </c>
      <c r="E104" s="151">
        <v>376</v>
      </c>
      <c r="F104" s="151">
        <v>338</v>
      </c>
      <c r="G104" s="151">
        <v>0</v>
      </c>
      <c r="H104" s="151">
        <f t="shared" si="4"/>
        <v>714</v>
      </c>
      <c r="I104" s="155">
        <v>27</v>
      </c>
      <c r="J104" s="151">
        <v>0</v>
      </c>
      <c r="K104" s="160"/>
      <c r="L104" s="160"/>
      <c r="M104" s="168">
        <f>'66 SYANA PRAROOP-20'!C105</f>
        <v>141</v>
      </c>
      <c r="N104" s="160"/>
      <c r="O104" s="160"/>
      <c r="P104" s="158">
        <f>'66 SYANA PRAROOP-20'!D105</f>
        <v>532</v>
      </c>
      <c r="Q104" s="160"/>
      <c r="R104" s="160"/>
      <c r="S104" s="158">
        <f>'66 SYANA PRAROOP-20'!E105</f>
        <v>11</v>
      </c>
      <c r="T104" s="160"/>
      <c r="U104" s="160"/>
      <c r="V104" s="159">
        <f>'66 SYANA PRAROOP-20'!F105</f>
        <v>25</v>
      </c>
      <c r="W104" s="160"/>
      <c r="X104" s="160"/>
      <c r="Y104" s="159">
        <f>'66 SYANA PRAROOP-20'!G105</f>
        <v>2</v>
      </c>
      <c r="Z104" s="160"/>
      <c r="AA104" s="160"/>
      <c r="AB104" s="168">
        <f>'66 SYANA PRAROOP-20'!H105</f>
        <v>1</v>
      </c>
      <c r="AC104" s="160"/>
      <c r="AD104" s="160"/>
      <c r="AE104" s="168">
        <f>'66 SYANA PRAROOP-20'!I105</f>
        <v>0</v>
      </c>
      <c r="AF104" s="160"/>
      <c r="AG104" s="160"/>
      <c r="AH104" s="168">
        <f>'66 SYANA PRAROOP-20'!J105</f>
        <v>0</v>
      </c>
      <c r="AI104" s="159">
        <f t="shared" si="5"/>
        <v>712</v>
      </c>
      <c r="AJ104" s="150">
        <f t="shared" si="3"/>
        <v>-2</v>
      </c>
    </row>
    <row r="105" spans="1:36" ht="51">
      <c r="A105" s="151">
        <v>66</v>
      </c>
      <c r="B105" s="155">
        <v>99</v>
      </c>
      <c r="C105" s="156" t="s">
        <v>1091</v>
      </c>
      <c r="D105" s="155">
        <v>713</v>
      </c>
      <c r="E105" s="151">
        <v>257</v>
      </c>
      <c r="F105" s="151">
        <v>189</v>
      </c>
      <c r="G105" s="151">
        <v>0</v>
      </c>
      <c r="H105" s="151">
        <f t="shared" si="4"/>
        <v>446</v>
      </c>
      <c r="I105" s="155">
        <v>33</v>
      </c>
      <c r="J105" s="151">
        <v>0</v>
      </c>
      <c r="K105" s="160"/>
      <c r="L105" s="160"/>
      <c r="M105" s="168">
        <f>'66 SYANA PRAROOP-20'!C106</f>
        <v>105</v>
      </c>
      <c r="N105" s="160"/>
      <c r="O105" s="160"/>
      <c r="P105" s="158">
        <f>'66 SYANA PRAROOP-20'!D106</f>
        <v>229</v>
      </c>
      <c r="Q105" s="160"/>
      <c r="R105" s="160"/>
      <c r="S105" s="158">
        <f>'66 SYANA PRAROOP-20'!E106</f>
        <v>5</v>
      </c>
      <c r="T105" s="160"/>
      <c r="U105" s="160"/>
      <c r="V105" s="159">
        <f>'66 SYANA PRAROOP-20'!F106</f>
        <v>104</v>
      </c>
      <c r="W105" s="160"/>
      <c r="X105" s="160"/>
      <c r="Y105" s="159">
        <f>'66 SYANA PRAROOP-20'!G106</f>
        <v>1</v>
      </c>
      <c r="Z105" s="160"/>
      <c r="AA105" s="160"/>
      <c r="AB105" s="168">
        <f>'66 SYANA PRAROOP-20'!H106</f>
        <v>1</v>
      </c>
      <c r="AC105" s="160"/>
      <c r="AD105" s="160"/>
      <c r="AE105" s="168">
        <f>'66 SYANA PRAROOP-20'!I106</f>
        <v>1</v>
      </c>
      <c r="AF105" s="160"/>
      <c r="AG105" s="160"/>
      <c r="AH105" s="168">
        <f>'66 SYANA PRAROOP-20'!J106</f>
        <v>0</v>
      </c>
      <c r="AI105" s="159">
        <f t="shared" si="5"/>
        <v>446</v>
      </c>
      <c r="AJ105" s="150">
        <f t="shared" si="3"/>
        <v>0</v>
      </c>
    </row>
    <row r="106" spans="1:36" ht="63.75">
      <c r="A106" s="151">
        <v>66</v>
      </c>
      <c r="B106" s="155">
        <v>100</v>
      </c>
      <c r="C106" s="156" t="s">
        <v>1092</v>
      </c>
      <c r="D106" s="155">
        <v>1027</v>
      </c>
      <c r="E106" s="151">
        <v>453</v>
      </c>
      <c r="F106" s="151">
        <v>408</v>
      </c>
      <c r="G106" s="151">
        <v>0</v>
      </c>
      <c r="H106" s="151">
        <f t="shared" si="4"/>
        <v>861</v>
      </c>
      <c r="I106" s="155">
        <v>31</v>
      </c>
      <c r="J106" s="151">
        <v>0</v>
      </c>
      <c r="K106" s="160"/>
      <c r="L106" s="160"/>
      <c r="M106" s="168">
        <f>'66 SYANA PRAROOP-20'!C107</f>
        <v>46</v>
      </c>
      <c r="N106" s="160"/>
      <c r="O106" s="160"/>
      <c r="P106" s="158">
        <f>'66 SYANA PRAROOP-20'!D107</f>
        <v>766</v>
      </c>
      <c r="Q106" s="160"/>
      <c r="R106" s="160"/>
      <c r="S106" s="158">
        <f>'66 SYANA PRAROOP-20'!E107</f>
        <v>5</v>
      </c>
      <c r="T106" s="160"/>
      <c r="U106" s="160"/>
      <c r="V106" s="159">
        <f>'66 SYANA PRAROOP-20'!F107</f>
        <v>27</v>
      </c>
      <c r="W106" s="160"/>
      <c r="X106" s="160"/>
      <c r="Y106" s="159">
        <f>'66 SYANA PRAROOP-20'!G107</f>
        <v>0</v>
      </c>
      <c r="Z106" s="160"/>
      <c r="AA106" s="160"/>
      <c r="AB106" s="168">
        <f>'66 SYANA PRAROOP-20'!H107</f>
        <v>3</v>
      </c>
      <c r="AC106" s="160"/>
      <c r="AD106" s="160"/>
      <c r="AE106" s="168">
        <f>'66 SYANA PRAROOP-20'!I107</f>
        <v>3</v>
      </c>
      <c r="AF106" s="160"/>
      <c r="AG106" s="160"/>
      <c r="AH106" s="168">
        <f>'66 SYANA PRAROOP-20'!J107</f>
        <v>10</v>
      </c>
      <c r="AI106" s="159">
        <f t="shared" si="5"/>
        <v>860</v>
      </c>
      <c r="AJ106" s="150">
        <f t="shared" si="3"/>
        <v>-1</v>
      </c>
    </row>
    <row r="107" spans="1:36" ht="63.75">
      <c r="A107" s="151">
        <v>66</v>
      </c>
      <c r="B107" s="155">
        <v>101</v>
      </c>
      <c r="C107" s="156" t="s">
        <v>1093</v>
      </c>
      <c r="D107" s="155">
        <v>1051</v>
      </c>
      <c r="E107" s="151">
        <v>400</v>
      </c>
      <c r="F107" s="151">
        <v>378</v>
      </c>
      <c r="G107" s="151">
        <v>0</v>
      </c>
      <c r="H107" s="151">
        <f t="shared" si="4"/>
        <v>778</v>
      </c>
      <c r="I107" s="155">
        <v>6</v>
      </c>
      <c r="J107" s="151">
        <v>0</v>
      </c>
      <c r="K107" s="160"/>
      <c r="L107" s="160"/>
      <c r="M107" s="168">
        <f>'66 SYANA PRAROOP-20'!C108</f>
        <v>148</v>
      </c>
      <c r="N107" s="160"/>
      <c r="O107" s="160"/>
      <c r="P107" s="158">
        <f>'66 SYANA PRAROOP-20'!D108</f>
        <v>451</v>
      </c>
      <c r="Q107" s="160"/>
      <c r="R107" s="160"/>
      <c r="S107" s="158">
        <f>'66 SYANA PRAROOP-20'!E108</f>
        <v>6</v>
      </c>
      <c r="T107" s="160"/>
      <c r="U107" s="160"/>
      <c r="V107" s="159">
        <f>'66 SYANA PRAROOP-20'!F108</f>
        <v>148</v>
      </c>
      <c r="W107" s="160"/>
      <c r="X107" s="160"/>
      <c r="Y107" s="159">
        <f>'66 SYANA PRAROOP-20'!G108</f>
        <v>3</v>
      </c>
      <c r="Z107" s="160"/>
      <c r="AA107" s="160"/>
      <c r="AB107" s="168">
        <f>'66 SYANA PRAROOP-20'!H108</f>
        <v>5</v>
      </c>
      <c r="AC107" s="160"/>
      <c r="AD107" s="160"/>
      <c r="AE107" s="168">
        <f>'66 SYANA PRAROOP-20'!I108</f>
        <v>2</v>
      </c>
      <c r="AF107" s="160"/>
      <c r="AG107" s="160"/>
      <c r="AH107" s="168">
        <f>'66 SYANA PRAROOP-20'!J108</f>
        <v>4</v>
      </c>
      <c r="AI107" s="159">
        <f t="shared" si="5"/>
        <v>767</v>
      </c>
      <c r="AJ107" s="150">
        <f t="shared" si="3"/>
        <v>-11</v>
      </c>
    </row>
    <row r="108" spans="1:36" ht="76.5">
      <c r="A108" s="151">
        <v>66</v>
      </c>
      <c r="B108" s="155">
        <v>102</v>
      </c>
      <c r="C108" s="156" t="s">
        <v>789</v>
      </c>
      <c r="D108" s="155">
        <v>963</v>
      </c>
      <c r="E108" s="151">
        <v>377</v>
      </c>
      <c r="F108" s="151">
        <v>349</v>
      </c>
      <c r="G108" s="151">
        <v>0</v>
      </c>
      <c r="H108" s="151">
        <f t="shared" si="4"/>
        <v>726</v>
      </c>
      <c r="I108" s="155">
        <v>72</v>
      </c>
      <c r="J108" s="151">
        <v>0</v>
      </c>
      <c r="K108" s="160"/>
      <c r="L108" s="160"/>
      <c r="M108" s="168">
        <f>'66 SYANA PRAROOP-20'!C109</f>
        <v>16</v>
      </c>
      <c r="N108" s="160"/>
      <c r="O108" s="160"/>
      <c r="P108" s="158">
        <f>'66 SYANA PRAROOP-20'!D109</f>
        <v>472</v>
      </c>
      <c r="Q108" s="160"/>
      <c r="R108" s="160"/>
      <c r="S108" s="158">
        <f>'66 SYANA PRAROOP-20'!E109</f>
        <v>2</v>
      </c>
      <c r="T108" s="160"/>
      <c r="U108" s="160"/>
      <c r="V108" s="159">
        <f>'66 SYANA PRAROOP-20'!F109</f>
        <v>229</v>
      </c>
      <c r="W108" s="160"/>
      <c r="X108" s="160"/>
      <c r="Y108" s="159">
        <f>'66 SYANA PRAROOP-20'!G109</f>
        <v>1</v>
      </c>
      <c r="Z108" s="160"/>
      <c r="AA108" s="160"/>
      <c r="AB108" s="168">
        <f>'66 SYANA PRAROOP-20'!H109</f>
        <v>1</v>
      </c>
      <c r="AC108" s="160"/>
      <c r="AD108" s="160"/>
      <c r="AE108" s="168">
        <f>'66 SYANA PRAROOP-20'!I109</f>
        <v>1</v>
      </c>
      <c r="AF108" s="160"/>
      <c r="AG108" s="160"/>
      <c r="AH108" s="168">
        <f>'66 SYANA PRAROOP-20'!J109</f>
        <v>2</v>
      </c>
      <c r="AI108" s="159">
        <f t="shared" si="5"/>
        <v>724</v>
      </c>
      <c r="AJ108" s="150">
        <f t="shared" si="3"/>
        <v>-2</v>
      </c>
    </row>
    <row r="109" spans="1:36" ht="76.5">
      <c r="A109" s="151">
        <v>66</v>
      </c>
      <c r="B109" s="155">
        <v>103</v>
      </c>
      <c r="C109" s="156" t="s">
        <v>790</v>
      </c>
      <c r="D109" s="155">
        <v>988</v>
      </c>
      <c r="E109" s="151">
        <v>362</v>
      </c>
      <c r="F109" s="151">
        <v>369</v>
      </c>
      <c r="G109" s="151">
        <v>0</v>
      </c>
      <c r="H109" s="151">
        <f t="shared" si="4"/>
        <v>731</v>
      </c>
      <c r="I109" s="155">
        <v>731</v>
      </c>
      <c r="J109" s="151">
        <v>0</v>
      </c>
      <c r="K109" s="160"/>
      <c r="L109" s="160"/>
      <c r="M109" s="168">
        <f>'66 SYANA PRAROOP-20'!C110</f>
        <v>245</v>
      </c>
      <c r="N109" s="160"/>
      <c r="O109" s="160"/>
      <c r="P109" s="158">
        <f>'66 SYANA PRAROOP-20'!D110</f>
        <v>426</v>
      </c>
      <c r="Q109" s="160"/>
      <c r="R109" s="160"/>
      <c r="S109" s="158">
        <f>'66 SYANA PRAROOP-20'!E110</f>
        <v>7</v>
      </c>
      <c r="T109" s="160"/>
      <c r="U109" s="160"/>
      <c r="V109" s="159">
        <f>'66 SYANA PRAROOP-20'!F110</f>
        <v>44</v>
      </c>
      <c r="W109" s="160"/>
      <c r="X109" s="160"/>
      <c r="Y109" s="159">
        <f>'66 SYANA PRAROOP-20'!G110</f>
        <v>0</v>
      </c>
      <c r="Z109" s="160"/>
      <c r="AA109" s="160"/>
      <c r="AB109" s="168">
        <f>'66 SYANA PRAROOP-20'!H110</f>
        <v>2</v>
      </c>
      <c r="AC109" s="160"/>
      <c r="AD109" s="160"/>
      <c r="AE109" s="168">
        <f>'66 SYANA PRAROOP-20'!I110</f>
        <v>1</v>
      </c>
      <c r="AF109" s="160"/>
      <c r="AG109" s="160"/>
      <c r="AH109" s="168">
        <f>'66 SYANA PRAROOP-20'!J110</f>
        <v>1</v>
      </c>
      <c r="AI109" s="159">
        <f t="shared" si="5"/>
        <v>726</v>
      </c>
      <c r="AJ109" s="150">
        <f t="shared" si="3"/>
        <v>-5</v>
      </c>
    </row>
    <row r="110" spans="1:36" ht="76.5">
      <c r="A110" s="151">
        <v>66</v>
      </c>
      <c r="B110" s="155">
        <v>104</v>
      </c>
      <c r="C110" s="156" t="s">
        <v>791</v>
      </c>
      <c r="D110" s="155">
        <v>1029</v>
      </c>
      <c r="E110" s="151">
        <v>378</v>
      </c>
      <c r="F110" s="151">
        <v>391</v>
      </c>
      <c r="G110" s="151">
        <v>0</v>
      </c>
      <c r="H110" s="151">
        <f t="shared" si="4"/>
        <v>769</v>
      </c>
      <c r="I110" s="155">
        <v>78</v>
      </c>
      <c r="J110" s="151">
        <v>0</v>
      </c>
      <c r="K110" s="160"/>
      <c r="L110" s="160"/>
      <c r="M110" s="168">
        <f>'66 SYANA PRAROOP-20'!C111</f>
        <v>136</v>
      </c>
      <c r="N110" s="160"/>
      <c r="O110" s="160"/>
      <c r="P110" s="158">
        <f>'66 SYANA PRAROOP-20'!D111</f>
        <v>568</v>
      </c>
      <c r="Q110" s="160"/>
      <c r="R110" s="160"/>
      <c r="S110" s="158">
        <f>'66 SYANA PRAROOP-20'!E111</f>
        <v>6</v>
      </c>
      <c r="T110" s="160"/>
      <c r="U110" s="160"/>
      <c r="V110" s="159">
        <f>'66 SYANA PRAROOP-20'!F111</f>
        <v>50</v>
      </c>
      <c r="W110" s="160"/>
      <c r="X110" s="160"/>
      <c r="Y110" s="159">
        <f>'66 SYANA PRAROOP-20'!G111</f>
        <v>1</v>
      </c>
      <c r="Z110" s="160"/>
      <c r="AA110" s="160"/>
      <c r="AB110" s="168">
        <f>'66 SYANA PRAROOP-20'!H111</f>
        <v>3</v>
      </c>
      <c r="AC110" s="160"/>
      <c r="AD110" s="160"/>
      <c r="AE110" s="168">
        <f>'66 SYANA PRAROOP-20'!I111</f>
        <v>1</v>
      </c>
      <c r="AF110" s="160"/>
      <c r="AG110" s="160"/>
      <c r="AH110" s="168">
        <f>'66 SYANA PRAROOP-20'!J111</f>
        <v>2</v>
      </c>
      <c r="AI110" s="159">
        <f t="shared" si="5"/>
        <v>767</v>
      </c>
      <c r="AJ110" s="150">
        <f t="shared" si="3"/>
        <v>-2</v>
      </c>
    </row>
    <row r="111" spans="1:36" ht="38.25">
      <c r="A111" s="151">
        <v>66</v>
      </c>
      <c r="B111" s="155">
        <v>105</v>
      </c>
      <c r="C111" s="156" t="s">
        <v>792</v>
      </c>
      <c r="D111" s="155">
        <v>1087</v>
      </c>
      <c r="E111" s="151">
        <v>333</v>
      </c>
      <c r="F111" s="151">
        <v>305</v>
      </c>
      <c r="G111" s="151">
        <v>0</v>
      </c>
      <c r="H111" s="151">
        <f t="shared" si="4"/>
        <v>638</v>
      </c>
      <c r="I111" s="155">
        <v>84</v>
      </c>
      <c r="J111" s="151">
        <v>0</v>
      </c>
      <c r="K111" s="160"/>
      <c r="L111" s="160"/>
      <c r="M111" s="168">
        <f>'66 SYANA PRAROOP-20'!C112</f>
        <v>74</v>
      </c>
      <c r="N111" s="160"/>
      <c r="O111" s="160"/>
      <c r="P111" s="158">
        <f>'66 SYANA PRAROOP-20'!D112</f>
        <v>528</v>
      </c>
      <c r="Q111" s="160"/>
      <c r="R111" s="160"/>
      <c r="S111" s="158">
        <f>'66 SYANA PRAROOP-20'!E112</f>
        <v>1</v>
      </c>
      <c r="T111" s="160"/>
      <c r="U111" s="160"/>
      <c r="V111" s="159">
        <f>'66 SYANA PRAROOP-20'!F112</f>
        <v>30</v>
      </c>
      <c r="W111" s="160"/>
      <c r="X111" s="160"/>
      <c r="Y111" s="159">
        <f>'66 SYANA PRAROOP-20'!G112</f>
        <v>0</v>
      </c>
      <c r="Z111" s="160"/>
      <c r="AA111" s="160"/>
      <c r="AB111" s="168">
        <f>'66 SYANA PRAROOP-20'!H112</f>
        <v>5</v>
      </c>
      <c r="AC111" s="160"/>
      <c r="AD111" s="160"/>
      <c r="AE111" s="168">
        <f>'66 SYANA PRAROOP-20'!I112</f>
        <v>0</v>
      </c>
      <c r="AF111" s="160"/>
      <c r="AG111" s="160"/>
      <c r="AH111" s="168">
        <f>'66 SYANA PRAROOP-20'!J112</f>
        <v>0</v>
      </c>
      <c r="AI111" s="159">
        <f t="shared" si="5"/>
        <v>638</v>
      </c>
      <c r="AJ111" s="150">
        <f t="shared" si="3"/>
        <v>0</v>
      </c>
    </row>
    <row r="112" spans="1:36" ht="63.75">
      <c r="A112" s="151">
        <v>66</v>
      </c>
      <c r="B112" s="155">
        <v>106</v>
      </c>
      <c r="C112" s="156" t="s">
        <v>793</v>
      </c>
      <c r="D112" s="155">
        <v>871</v>
      </c>
      <c r="E112" s="151">
        <v>295</v>
      </c>
      <c r="F112" s="151">
        <v>263</v>
      </c>
      <c r="G112" s="151">
        <v>0</v>
      </c>
      <c r="H112" s="151">
        <f t="shared" si="4"/>
        <v>558</v>
      </c>
      <c r="I112" s="155">
        <v>59</v>
      </c>
      <c r="J112" s="151">
        <v>0</v>
      </c>
      <c r="K112" s="160"/>
      <c r="L112" s="160"/>
      <c r="M112" s="168">
        <f>'66 SYANA PRAROOP-20'!C113</f>
        <v>65</v>
      </c>
      <c r="N112" s="160"/>
      <c r="O112" s="160"/>
      <c r="P112" s="158">
        <f>'66 SYANA PRAROOP-20'!D113</f>
        <v>326</v>
      </c>
      <c r="Q112" s="160"/>
      <c r="R112" s="160"/>
      <c r="S112" s="158">
        <f>'66 SYANA PRAROOP-20'!E113</f>
        <v>3</v>
      </c>
      <c r="T112" s="160"/>
      <c r="U112" s="160"/>
      <c r="V112" s="159">
        <f>'66 SYANA PRAROOP-20'!F113</f>
        <v>157</v>
      </c>
      <c r="W112" s="160"/>
      <c r="X112" s="160"/>
      <c r="Y112" s="159">
        <f>'66 SYANA PRAROOP-20'!G113</f>
        <v>4</v>
      </c>
      <c r="Z112" s="160"/>
      <c r="AA112" s="160"/>
      <c r="AB112" s="168">
        <f>'66 SYANA PRAROOP-20'!H113</f>
        <v>2</v>
      </c>
      <c r="AC112" s="160"/>
      <c r="AD112" s="160"/>
      <c r="AE112" s="168">
        <f>'66 SYANA PRAROOP-20'!I113</f>
        <v>0</v>
      </c>
      <c r="AF112" s="160"/>
      <c r="AG112" s="160"/>
      <c r="AH112" s="168">
        <f>'66 SYANA PRAROOP-20'!J113</f>
        <v>0</v>
      </c>
      <c r="AI112" s="159">
        <f t="shared" si="5"/>
        <v>557</v>
      </c>
      <c r="AJ112" s="150">
        <f t="shared" si="3"/>
        <v>-1</v>
      </c>
    </row>
    <row r="113" spans="1:36" ht="63.75">
      <c r="A113" s="151">
        <v>66</v>
      </c>
      <c r="B113" s="155">
        <v>107</v>
      </c>
      <c r="C113" s="156" t="s">
        <v>794</v>
      </c>
      <c r="D113" s="155">
        <v>901</v>
      </c>
      <c r="E113" s="151">
        <v>284</v>
      </c>
      <c r="F113" s="151">
        <v>278</v>
      </c>
      <c r="G113" s="151">
        <v>0</v>
      </c>
      <c r="H113" s="151">
        <f t="shared" si="4"/>
        <v>562</v>
      </c>
      <c r="I113" s="155">
        <v>49</v>
      </c>
      <c r="J113" s="151">
        <v>0</v>
      </c>
      <c r="K113" s="160"/>
      <c r="L113" s="160"/>
      <c r="M113" s="168">
        <f>'66 SYANA PRAROOP-20'!C114</f>
        <v>75</v>
      </c>
      <c r="N113" s="160"/>
      <c r="O113" s="160"/>
      <c r="P113" s="158">
        <f>'66 SYANA PRAROOP-20'!D114</f>
        <v>301</v>
      </c>
      <c r="Q113" s="160"/>
      <c r="R113" s="160"/>
      <c r="S113" s="158">
        <f>'66 SYANA PRAROOP-20'!E114</f>
        <v>9</v>
      </c>
      <c r="T113" s="160"/>
      <c r="U113" s="160"/>
      <c r="V113" s="159">
        <f>'66 SYANA PRAROOP-20'!F114</f>
        <v>168</v>
      </c>
      <c r="W113" s="160"/>
      <c r="X113" s="160"/>
      <c r="Y113" s="159">
        <f>'66 SYANA PRAROOP-20'!G114</f>
        <v>2</v>
      </c>
      <c r="Z113" s="160"/>
      <c r="AA113" s="160"/>
      <c r="AB113" s="168">
        <f>'66 SYANA PRAROOP-20'!H114</f>
        <v>5</v>
      </c>
      <c r="AC113" s="160"/>
      <c r="AD113" s="160"/>
      <c r="AE113" s="168">
        <f>'66 SYANA PRAROOP-20'!I114</f>
        <v>1</v>
      </c>
      <c r="AF113" s="160"/>
      <c r="AG113" s="160"/>
      <c r="AH113" s="168">
        <f>'66 SYANA PRAROOP-20'!J114</f>
        <v>0</v>
      </c>
      <c r="AI113" s="159">
        <f t="shared" si="5"/>
        <v>561</v>
      </c>
      <c r="AJ113" s="150">
        <f t="shared" si="3"/>
        <v>-1</v>
      </c>
    </row>
    <row r="114" spans="1:36" ht="63.75">
      <c r="A114" s="151">
        <v>66</v>
      </c>
      <c r="B114" s="155">
        <v>108</v>
      </c>
      <c r="C114" s="156" t="s">
        <v>795</v>
      </c>
      <c r="D114" s="155">
        <v>717</v>
      </c>
      <c r="E114" s="151">
        <v>224</v>
      </c>
      <c r="F114" s="151">
        <v>195</v>
      </c>
      <c r="G114" s="151">
        <v>0</v>
      </c>
      <c r="H114" s="151">
        <f t="shared" si="4"/>
        <v>419</v>
      </c>
      <c r="I114" s="155">
        <v>23</v>
      </c>
      <c r="J114" s="151">
        <v>0</v>
      </c>
      <c r="K114" s="160"/>
      <c r="L114" s="160"/>
      <c r="M114" s="168">
        <f>'66 SYANA PRAROOP-20'!C115</f>
        <v>79</v>
      </c>
      <c r="N114" s="160"/>
      <c r="O114" s="160"/>
      <c r="P114" s="158">
        <f>'66 SYANA PRAROOP-20'!D115</f>
        <v>166</v>
      </c>
      <c r="Q114" s="160"/>
      <c r="R114" s="160"/>
      <c r="S114" s="158">
        <f>'66 SYANA PRAROOP-20'!E115</f>
        <v>4</v>
      </c>
      <c r="T114" s="160"/>
      <c r="U114" s="160"/>
      <c r="V114" s="159">
        <f>'66 SYANA PRAROOP-20'!F115</f>
        <v>160</v>
      </c>
      <c r="W114" s="160"/>
      <c r="X114" s="160"/>
      <c r="Y114" s="159">
        <f>'66 SYANA PRAROOP-20'!G115</f>
        <v>0</v>
      </c>
      <c r="Z114" s="160"/>
      <c r="AA114" s="160"/>
      <c r="AB114" s="168">
        <f>'66 SYANA PRAROOP-20'!H115</f>
        <v>0</v>
      </c>
      <c r="AC114" s="160"/>
      <c r="AD114" s="160"/>
      <c r="AE114" s="168">
        <f>'66 SYANA PRAROOP-20'!I115</f>
        <v>7</v>
      </c>
      <c r="AF114" s="160"/>
      <c r="AG114" s="160"/>
      <c r="AH114" s="168">
        <f>'66 SYANA PRAROOP-20'!J115</f>
        <v>1</v>
      </c>
      <c r="AI114" s="159">
        <f t="shared" si="5"/>
        <v>417</v>
      </c>
      <c r="AJ114" s="150">
        <f t="shared" si="3"/>
        <v>-2</v>
      </c>
    </row>
    <row r="115" spans="1:36" ht="51">
      <c r="A115" s="151">
        <v>66</v>
      </c>
      <c r="B115" s="155">
        <v>109</v>
      </c>
      <c r="C115" s="156" t="s">
        <v>796</v>
      </c>
      <c r="D115" s="155">
        <v>1143</v>
      </c>
      <c r="E115" s="151">
        <v>331</v>
      </c>
      <c r="F115" s="151">
        <v>273</v>
      </c>
      <c r="G115" s="151">
        <v>0</v>
      </c>
      <c r="H115" s="151">
        <f t="shared" si="4"/>
        <v>604</v>
      </c>
      <c r="I115" s="155">
        <v>100</v>
      </c>
      <c r="J115" s="151">
        <v>0</v>
      </c>
      <c r="K115" s="160"/>
      <c r="L115" s="160"/>
      <c r="M115" s="168">
        <f>'66 SYANA PRAROOP-20'!C116</f>
        <v>55</v>
      </c>
      <c r="N115" s="160"/>
      <c r="O115" s="160"/>
      <c r="P115" s="158">
        <f>'66 SYANA PRAROOP-20'!D116</f>
        <v>356</v>
      </c>
      <c r="Q115" s="160"/>
      <c r="R115" s="160"/>
      <c r="S115" s="158">
        <f>'66 SYANA PRAROOP-20'!E116</f>
        <v>7</v>
      </c>
      <c r="T115" s="160"/>
      <c r="U115" s="160"/>
      <c r="V115" s="159">
        <f>'66 SYANA PRAROOP-20'!F116</f>
        <v>174</v>
      </c>
      <c r="W115" s="160"/>
      <c r="X115" s="160"/>
      <c r="Y115" s="159">
        <f>'66 SYANA PRAROOP-20'!G116</f>
        <v>3</v>
      </c>
      <c r="Z115" s="160"/>
      <c r="AA115" s="160"/>
      <c r="AB115" s="168">
        <f>'66 SYANA PRAROOP-20'!H116</f>
        <v>3</v>
      </c>
      <c r="AC115" s="160"/>
      <c r="AD115" s="160"/>
      <c r="AE115" s="168">
        <f>'66 SYANA PRAROOP-20'!I116</f>
        <v>4</v>
      </c>
      <c r="AF115" s="160"/>
      <c r="AG115" s="160"/>
      <c r="AH115" s="168">
        <f>'66 SYANA PRAROOP-20'!J116</f>
        <v>1</v>
      </c>
      <c r="AI115" s="159">
        <f t="shared" si="5"/>
        <v>603</v>
      </c>
      <c r="AJ115" s="150">
        <f t="shared" si="3"/>
        <v>-1</v>
      </c>
    </row>
    <row r="116" spans="1:36" ht="51">
      <c r="A116" s="151">
        <v>66</v>
      </c>
      <c r="B116" s="155">
        <v>110</v>
      </c>
      <c r="C116" s="156" t="s">
        <v>797</v>
      </c>
      <c r="D116" s="155">
        <v>1120</v>
      </c>
      <c r="E116" s="151">
        <v>373</v>
      </c>
      <c r="F116" s="151">
        <v>348</v>
      </c>
      <c r="G116" s="151">
        <v>0</v>
      </c>
      <c r="H116" s="151">
        <f t="shared" si="4"/>
        <v>721</v>
      </c>
      <c r="I116" s="155">
        <v>102</v>
      </c>
      <c r="J116" s="151">
        <v>0</v>
      </c>
      <c r="K116" s="160"/>
      <c r="L116" s="160"/>
      <c r="M116" s="168">
        <f>'66 SYANA PRAROOP-20'!C117</f>
        <v>260</v>
      </c>
      <c r="N116" s="160"/>
      <c r="O116" s="160"/>
      <c r="P116" s="158">
        <f>'66 SYANA PRAROOP-20'!D117</f>
        <v>380</v>
      </c>
      <c r="Q116" s="160"/>
      <c r="R116" s="160"/>
      <c r="S116" s="158">
        <f>'66 SYANA PRAROOP-20'!E117</f>
        <v>10</v>
      </c>
      <c r="T116" s="160"/>
      <c r="U116" s="160"/>
      <c r="V116" s="159">
        <f>'66 SYANA PRAROOP-20'!F117</f>
        <v>63</v>
      </c>
      <c r="W116" s="160"/>
      <c r="X116" s="160"/>
      <c r="Y116" s="159">
        <f>'66 SYANA PRAROOP-20'!G117</f>
        <v>1</v>
      </c>
      <c r="Z116" s="160"/>
      <c r="AA116" s="160"/>
      <c r="AB116" s="168">
        <f>'66 SYANA PRAROOP-20'!H117</f>
        <v>1</v>
      </c>
      <c r="AC116" s="160"/>
      <c r="AD116" s="160"/>
      <c r="AE116" s="168">
        <f>'66 SYANA PRAROOP-20'!I117</f>
        <v>3</v>
      </c>
      <c r="AF116" s="160"/>
      <c r="AG116" s="160"/>
      <c r="AH116" s="168">
        <f>'66 SYANA PRAROOP-20'!J117</f>
        <v>3</v>
      </c>
      <c r="AI116" s="159">
        <f t="shared" si="5"/>
        <v>721</v>
      </c>
      <c r="AJ116" s="150">
        <f t="shared" si="3"/>
        <v>0</v>
      </c>
    </row>
    <row r="117" spans="1:36" ht="63.75">
      <c r="A117" s="151">
        <v>66</v>
      </c>
      <c r="B117" s="155">
        <v>111</v>
      </c>
      <c r="C117" s="156" t="s">
        <v>1094</v>
      </c>
      <c r="D117" s="155">
        <v>888</v>
      </c>
      <c r="E117" s="151">
        <v>345</v>
      </c>
      <c r="F117" s="151">
        <v>315</v>
      </c>
      <c r="G117" s="151">
        <v>0</v>
      </c>
      <c r="H117" s="151">
        <f t="shared" si="4"/>
        <v>660</v>
      </c>
      <c r="I117" s="155">
        <v>60</v>
      </c>
      <c r="J117" s="151">
        <v>0</v>
      </c>
      <c r="K117" s="160"/>
      <c r="L117" s="160"/>
      <c r="M117" s="168">
        <f>'66 SYANA PRAROOP-20'!C118</f>
        <v>19</v>
      </c>
      <c r="N117" s="160"/>
      <c r="O117" s="160"/>
      <c r="P117" s="158">
        <f>'66 SYANA PRAROOP-20'!D118</f>
        <v>426</v>
      </c>
      <c r="Q117" s="160"/>
      <c r="R117" s="160"/>
      <c r="S117" s="158">
        <f>'66 SYANA PRAROOP-20'!E118</f>
        <v>0</v>
      </c>
      <c r="T117" s="160"/>
      <c r="U117" s="160"/>
      <c r="V117" s="159">
        <f>'66 SYANA PRAROOP-20'!F118</f>
        <v>207</v>
      </c>
      <c r="W117" s="160"/>
      <c r="X117" s="160"/>
      <c r="Y117" s="159">
        <f>'66 SYANA PRAROOP-20'!G118</f>
        <v>2</v>
      </c>
      <c r="Z117" s="160"/>
      <c r="AA117" s="160"/>
      <c r="AB117" s="168">
        <f>'66 SYANA PRAROOP-20'!H118</f>
        <v>3</v>
      </c>
      <c r="AC117" s="160"/>
      <c r="AD117" s="160"/>
      <c r="AE117" s="168">
        <f>'66 SYANA PRAROOP-20'!I118</f>
        <v>0</v>
      </c>
      <c r="AF117" s="160"/>
      <c r="AG117" s="160"/>
      <c r="AH117" s="168">
        <f>'66 SYANA PRAROOP-20'!J118</f>
        <v>3</v>
      </c>
      <c r="AI117" s="159">
        <f t="shared" si="5"/>
        <v>660</v>
      </c>
      <c r="AJ117" s="150">
        <f t="shared" si="3"/>
        <v>0</v>
      </c>
    </row>
    <row r="118" spans="1:36" ht="63.75">
      <c r="A118" s="151">
        <v>66</v>
      </c>
      <c r="B118" s="155">
        <v>112</v>
      </c>
      <c r="C118" s="156" t="s">
        <v>1095</v>
      </c>
      <c r="D118" s="155">
        <v>906</v>
      </c>
      <c r="E118" s="151">
        <v>272</v>
      </c>
      <c r="F118" s="151">
        <v>248</v>
      </c>
      <c r="G118" s="151">
        <v>0</v>
      </c>
      <c r="H118" s="151">
        <f t="shared" si="4"/>
        <v>520</v>
      </c>
      <c r="I118" s="155">
        <v>68</v>
      </c>
      <c r="J118" s="151">
        <v>0</v>
      </c>
      <c r="K118" s="160"/>
      <c r="L118" s="160"/>
      <c r="M118" s="168">
        <f>'66 SYANA PRAROOP-20'!C119</f>
        <v>57</v>
      </c>
      <c r="N118" s="160"/>
      <c r="O118" s="160"/>
      <c r="P118" s="158">
        <f>'66 SYANA PRAROOP-20'!D119</f>
        <v>300</v>
      </c>
      <c r="Q118" s="160"/>
      <c r="R118" s="160"/>
      <c r="S118" s="158">
        <f>'66 SYANA PRAROOP-20'!E119</f>
        <v>8</v>
      </c>
      <c r="T118" s="160"/>
      <c r="U118" s="160"/>
      <c r="V118" s="159">
        <f>'66 SYANA PRAROOP-20'!F119</f>
        <v>138</v>
      </c>
      <c r="W118" s="160"/>
      <c r="X118" s="160"/>
      <c r="Y118" s="159">
        <f>'66 SYANA PRAROOP-20'!G119</f>
        <v>6</v>
      </c>
      <c r="Z118" s="160"/>
      <c r="AA118" s="160"/>
      <c r="AB118" s="168">
        <f>'66 SYANA PRAROOP-20'!H119</f>
        <v>4</v>
      </c>
      <c r="AC118" s="160"/>
      <c r="AD118" s="160"/>
      <c r="AE118" s="168">
        <f>'66 SYANA PRAROOP-20'!I119</f>
        <v>3</v>
      </c>
      <c r="AF118" s="160"/>
      <c r="AG118" s="160"/>
      <c r="AH118" s="168">
        <f>'66 SYANA PRAROOP-20'!J119</f>
        <v>2</v>
      </c>
      <c r="AI118" s="159">
        <f t="shared" si="5"/>
        <v>518</v>
      </c>
      <c r="AJ118" s="150">
        <f t="shared" si="3"/>
        <v>-2</v>
      </c>
    </row>
    <row r="119" spans="1:36" ht="63.75">
      <c r="A119" s="151">
        <v>66</v>
      </c>
      <c r="B119" s="155">
        <v>113</v>
      </c>
      <c r="C119" s="156" t="s">
        <v>1096</v>
      </c>
      <c r="D119" s="155">
        <v>842</v>
      </c>
      <c r="E119" s="151">
        <v>307</v>
      </c>
      <c r="F119" s="151">
        <v>263</v>
      </c>
      <c r="G119" s="151">
        <v>0</v>
      </c>
      <c r="H119" s="151">
        <f t="shared" si="4"/>
        <v>570</v>
      </c>
      <c r="I119" s="155">
        <v>70</v>
      </c>
      <c r="J119" s="151">
        <v>0</v>
      </c>
      <c r="K119" s="160"/>
      <c r="L119" s="160"/>
      <c r="M119" s="168">
        <f>'66 SYANA PRAROOP-20'!C120</f>
        <v>78</v>
      </c>
      <c r="N119" s="160"/>
      <c r="O119" s="160"/>
      <c r="P119" s="158">
        <f>'66 SYANA PRAROOP-20'!D120</f>
        <v>280</v>
      </c>
      <c r="Q119" s="160"/>
      <c r="R119" s="160"/>
      <c r="S119" s="158">
        <f>'66 SYANA PRAROOP-20'!E120</f>
        <v>3</v>
      </c>
      <c r="T119" s="160"/>
      <c r="U119" s="160"/>
      <c r="V119" s="159">
        <f>'66 SYANA PRAROOP-20'!F120</f>
        <v>200</v>
      </c>
      <c r="W119" s="160"/>
      <c r="X119" s="160"/>
      <c r="Y119" s="159">
        <f>'66 SYANA PRAROOP-20'!G120</f>
        <v>2</v>
      </c>
      <c r="Z119" s="160"/>
      <c r="AA119" s="160"/>
      <c r="AB119" s="168">
        <f>'66 SYANA PRAROOP-20'!H120</f>
        <v>2</v>
      </c>
      <c r="AC119" s="160"/>
      <c r="AD119" s="160"/>
      <c r="AE119" s="168">
        <f>'66 SYANA PRAROOP-20'!I120</f>
        <v>1</v>
      </c>
      <c r="AF119" s="160"/>
      <c r="AG119" s="160"/>
      <c r="AH119" s="168">
        <f>'66 SYANA PRAROOP-20'!J120</f>
        <v>0</v>
      </c>
      <c r="AI119" s="159">
        <f t="shared" si="5"/>
        <v>566</v>
      </c>
      <c r="AJ119" s="150">
        <f t="shared" si="3"/>
        <v>-4</v>
      </c>
    </row>
    <row r="120" spans="1:36" ht="63.75">
      <c r="A120" s="151">
        <v>66</v>
      </c>
      <c r="B120" s="155">
        <v>114</v>
      </c>
      <c r="C120" s="156" t="s">
        <v>1097</v>
      </c>
      <c r="D120" s="155">
        <v>778</v>
      </c>
      <c r="E120" s="151">
        <v>259</v>
      </c>
      <c r="F120" s="151">
        <v>231</v>
      </c>
      <c r="G120" s="151">
        <v>0</v>
      </c>
      <c r="H120" s="151">
        <f t="shared" si="4"/>
        <v>490</v>
      </c>
      <c r="I120" s="155">
        <v>34</v>
      </c>
      <c r="J120" s="151">
        <v>0</v>
      </c>
      <c r="K120" s="160"/>
      <c r="L120" s="160"/>
      <c r="M120" s="168">
        <f>'66 SYANA PRAROOP-20'!C121</f>
        <v>231</v>
      </c>
      <c r="N120" s="160"/>
      <c r="O120" s="160"/>
      <c r="P120" s="158">
        <f>'66 SYANA PRAROOP-20'!D121</f>
        <v>199</v>
      </c>
      <c r="Q120" s="160"/>
      <c r="R120" s="160"/>
      <c r="S120" s="158">
        <f>'66 SYANA PRAROOP-20'!E121</f>
        <v>2</v>
      </c>
      <c r="T120" s="160"/>
      <c r="U120" s="160"/>
      <c r="V120" s="159">
        <f>'66 SYANA PRAROOP-20'!F121</f>
        <v>46</v>
      </c>
      <c r="W120" s="160"/>
      <c r="X120" s="160"/>
      <c r="Y120" s="159">
        <f>'66 SYANA PRAROOP-20'!G121</f>
        <v>3</v>
      </c>
      <c r="Z120" s="160"/>
      <c r="AA120" s="160"/>
      <c r="AB120" s="168">
        <f>'66 SYANA PRAROOP-20'!H121</f>
        <v>2</v>
      </c>
      <c r="AC120" s="160"/>
      <c r="AD120" s="160"/>
      <c r="AE120" s="168">
        <f>'66 SYANA PRAROOP-20'!I121</f>
        <v>0</v>
      </c>
      <c r="AF120" s="160"/>
      <c r="AG120" s="160"/>
      <c r="AH120" s="168">
        <f>'66 SYANA PRAROOP-20'!J121</f>
        <v>1</v>
      </c>
      <c r="AI120" s="159">
        <f t="shared" si="5"/>
        <v>484</v>
      </c>
      <c r="AJ120" s="150">
        <f t="shared" si="3"/>
        <v>-6</v>
      </c>
    </row>
    <row r="121" spans="1:36" ht="63.75">
      <c r="A121" s="151">
        <v>66</v>
      </c>
      <c r="B121" s="155">
        <v>115</v>
      </c>
      <c r="C121" s="156" t="s">
        <v>1098</v>
      </c>
      <c r="D121" s="155">
        <v>713</v>
      </c>
      <c r="E121" s="151">
        <v>266</v>
      </c>
      <c r="F121" s="151">
        <v>227</v>
      </c>
      <c r="G121" s="151">
        <v>0</v>
      </c>
      <c r="H121" s="151">
        <f t="shared" si="4"/>
        <v>493</v>
      </c>
      <c r="I121" s="155">
        <v>76</v>
      </c>
      <c r="J121" s="151">
        <v>0</v>
      </c>
      <c r="K121" s="160"/>
      <c r="L121" s="160"/>
      <c r="M121" s="168">
        <f>'66 SYANA PRAROOP-20'!C122</f>
        <v>77</v>
      </c>
      <c r="N121" s="160"/>
      <c r="O121" s="160"/>
      <c r="P121" s="158">
        <f>'66 SYANA PRAROOP-20'!D122</f>
        <v>203</v>
      </c>
      <c r="Q121" s="160"/>
      <c r="R121" s="160"/>
      <c r="S121" s="158">
        <f>'66 SYANA PRAROOP-20'!E122</f>
        <v>6</v>
      </c>
      <c r="T121" s="160"/>
      <c r="U121" s="160"/>
      <c r="V121" s="159">
        <f>'66 SYANA PRAROOP-20'!F122</f>
        <v>196</v>
      </c>
      <c r="W121" s="160"/>
      <c r="X121" s="160"/>
      <c r="Y121" s="159">
        <f>'66 SYANA PRAROOP-20'!G122</f>
        <v>1</v>
      </c>
      <c r="Z121" s="160"/>
      <c r="AA121" s="160"/>
      <c r="AB121" s="168">
        <f>'66 SYANA PRAROOP-20'!H122</f>
        <v>1</v>
      </c>
      <c r="AC121" s="160"/>
      <c r="AD121" s="160"/>
      <c r="AE121" s="168">
        <f>'66 SYANA PRAROOP-20'!I122</f>
        <v>5</v>
      </c>
      <c r="AF121" s="160"/>
      <c r="AG121" s="160"/>
      <c r="AH121" s="168">
        <f>'66 SYANA PRAROOP-20'!J122</f>
        <v>2</v>
      </c>
      <c r="AI121" s="159">
        <f t="shared" si="5"/>
        <v>491</v>
      </c>
      <c r="AJ121" s="150">
        <f t="shared" si="3"/>
        <v>-2</v>
      </c>
    </row>
    <row r="122" spans="1:36" ht="63.75">
      <c r="A122" s="151">
        <v>66</v>
      </c>
      <c r="B122" s="155">
        <v>116</v>
      </c>
      <c r="C122" s="156" t="s">
        <v>1099</v>
      </c>
      <c r="D122" s="155">
        <v>795</v>
      </c>
      <c r="E122" s="151">
        <v>230</v>
      </c>
      <c r="F122" s="151">
        <v>202</v>
      </c>
      <c r="G122" s="151">
        <v>0</v>
      </c>
      <c r="H122" s="151">
        <f t="shared" si="4"/>
        <v>432</v>
      </c>
      <c r="I122" s="155">
        <v>44</v>
      </c>
      <c r="J122" s="151">
        <v>0</v>
      </c>
      <c r="K122" s="160"/>
      <c r="L122" s="160"/>
      <c r="M122" s="168">
        <f>'66 SYANA PRAROOP-20'!C123</f>
        <v>41</v>
      </c>
      <c r="N122" s="160"/>
      <c r="O122" s="160"/>
      <c r="P122" s="158">
        <f>'66 SYANA PRAROOP-20'!D123</f>
        <v>261</v>
      </c>
      <c r="Q122" s="160"/>
      <c r="R122" s="160"/>
      <c r="S122" s="158">
        <f>'66 SYANA PRAROOP-20'!E123</f>
        <v>3</v>
      </c>
      <c r="T122" s="160"/>
      <c r="U122" s="160"/>
      <c r="V122" s="159">
        <f>'66 SYANA PRAROOP-20'!F123</f>
        <v>114</v>
      </c>
      <c r="W122" s="160"/>
      <c r="X122" s="160"/>
      <c r="Y122" s="159">
        <f>'66 SYANA PRAROOP-20'!G123</f>
        <v>7</v>
      </c>
      <c r="Z122" s="160"/>
      <c r="AA122" s="160"/>
      <c r="AB122" s="168">
        <f>'66 SYANA PRAROOP-20'!H123</f>
        <v>1</v>
      </c>
      <c r="AC122" s="160"/>
      <c r="AD122" s="160"/>
      <c r="AE122" s="168">
        <f>'66 SYANA PRAROOP-20'!I123</f>
        <v>1</v>
      </c>
      <c r="AF122" s="160"/>
      <c r="AG122" s="160"/>
      <c r="AH122" s="168">
        <f>'66 SYANA PRAROOP-20'!J123</f>
        <v>2</v>
      </c>
      <c r="AI122" s="159">
        <f t="shared" si="5"/>
        <v>430</v>
      </c>
      <c r="AJ122" s="150">
        <f t="shared" si="3"/>
        <v>-2</v>
      </c>
    </row>
    <row r="123" spans="1:36" ht="63.75">
      <c r="A123" s="151">
        <v>66</v>
      </c>
      <c r="B123" s="155">
        <v>117</v>
      </c>
      <c r="C123" s="156" t="s">
        <v>1100</v>
      </c>
      <c r="D123" s="155">
        <v>939</v>
      </c>
      <c r="E123" s="151">
        <v>396</v>
      </c>
      <c r="F123" s="151">
        <v>369</v>
      </c>
      <c r="G123" s="151">
        <v>0</v>
      </c>
      <c r="H123" s="151">
        <f t="shared" si="4"/>
        <v>765</v>
      </c>
      <c r="I123" s="155">
        <v>42</v>
      </c>
      <c r="J123" s="151">
        <v>0</v>
      </c>
      <c r="K123" s="160"/>
      <c r="L123" s="160"/>
      <c r="M123" s="168">
        <f>'66 SYANA PRAROOP-20'!C124</f>
        <v>11</v>
      </c>
      <c r="N123" s="160"/>
      <c r="O123" s="160"/>
      <c r="P123" s="158">
        <f>'66 SYANA PRAROOP-20'!D124</f>
        <v>724</v>
      </c>
      <c r="Q123" s="160"/>
      <c r="R123" s="160"/>
      <c r="S123" s="158">
        <f>'66 SYANA PRAROOP-20'!E124</f>
        <v>7</v>
      </c>
      <c r="T123" s="160"/>
      <c r="U123" s="160"/>
      <c r="V123" s="159">
        <f>'66 SYANA PRAROOP-20'!F124</f>
        <v>9</v>
      </c>
      <c r="W123" s="160"/>
      <c r="X123" s="160"/>
      <c r="Y123" s="159">
        <f>'66 SYANA PRAROOP-20'!G124</f>
        <v>1</v>
      </c>
      <c r="Z123" s="160"/>
      <c r="AA123" s="160"/>
      <c r="AB123" s="168">
        <f>'66 SYANA PRAROOP-20'!H124</f>
        <v>1</v>
      </c>
      <c r="AC123" s="160"/>
      <c r="AD123" s="160"/>
      <c r="AE123" s="168">
        <f>'66 SYANA PRAROOP-20'!I124</f>
        <v>3</v>
      </c>
      <c r="AF123" s="160"/>
      <c r="AG123" s="160"/>
      <c r="AH123" s="168">
        <f>'66 SYANA PRAROOP-20'!J124</f>
        <v>7</v>
      </c>
      <c r="AI123" s="159">
        <f t="shared" si="5"/>
        <v>763</v>
      </c>
      <c r="AJ123" s="150">
        <f t="shared" si="3"/>
        <v>-2</v>
      </c>
    </row>
    <row r="124" spans="1:36" ht="38.25">
      <c r="A124" s="151">
        <v>66</v>
      </c>
      <c r="B124" s="155">
        <v>118</v>
      </c>
      <c r="C124" s="156" t="s">
        <v>798</v>
      </c>
      <c r="D124" s="155">
        <v>924</v>
      </c>
      <c r="E124" s="151">
        <v>365</v>
      </c>
      <c r="F124" s="151">
        <v>359</v>
      </c>
      <c r="G124" s="151">
        <v>0</v>
      </c>
      <c r="H124" s="151">
        <f t="shared" si="4"/>
        <v>724</v>
      </c>
      <c r="I124" s="155">
        <v>46</v>
      </c>
      <c r="J124" s="151">
        <v>0</v>
      </c>
      <c r="K124" s="160"/>
      <c r="L124" s="160"/>
      <c r="M124" s="168">
        <f>'66 SYANA PRAROOP-20'!C125</f>
        <v>15</v>
      </c>
      <c r="N124" s="160"/>
      <c r="O124" s="160"/>
      <c r="P124" s="158">
        <f>'66 SYANA PRAROOP-20'!D125</f>
        <v>405</v>
      </c>
      <c r="Q124" s="160"/>
      <c r="R124" s="160"/>
      <c r="S124" s="158">
        <f>'66 SYANA PRAROOP-20'!E125</f>
        <v>4</v>
      </c>
      <c r="T124" s="160"/>
      <c r="U124" s="160"/>
      <c r="V124" s="159">
        <f>'66 SYANA PRAROOP-20'!F125</f>
        <v>279</v>
      </c>
      <c r="W124" s="160"/>
      <c r="X124" s="160"/>
      <c r="Y124" s="159">
        <f>'66 SYANA PRAROOP-20'!G125</f>
        <v>1</v>
      </c>
      <c r="Z124" s="160"/>
      <c r="AA124" s="160"/>
      <c r="AB124" s="168">
        <f>'66 SYANA PRAROOP-20'!H125</f>
        <v>5</v>
      </c>
      <c r="AC124" s="160"/>
      <c r="AD124" s="160"/>
      <c r="AE124" s="168">
        <f>'66 SYANA PRAROOP-20'!I125</f>
        <v>5</v>
      </c>
      <c r="AF124" s="160"/>
      <c r="AG124" s="160"/>
      <c r="AH124" s="168">
        <f>'66 SYANA PRAROOP-20'!J125</f>
        <v>6</v>
      </c>
      <c r="AI124" s="159">
        <f t="shared" si="5"/>
        <v>720</v>
      </c>
      <c r="AJ124" s="150">
        <f t="shared" si="3"/>
        <v>-4</v>
      </c>
    </row>
    <row r="125" spans="1:36" ht="51">
      <c r="A125" s="151">
        <v>66</v>
      </c>
      <c r="B125" s="155">
        <v>119</v>
      </c>
      <c r="C125" s="156" t="s">
        <v>799</v>
      </c>
      <c r="D125" s="155">
        <v>909</v>
      </c>
      <c r="E125" s="151">
        <v>341</v>
      </c>
      <c r="F125" s="151">
        <v>334</v>
      </c>
      <c r="G125" s="151">
        <v>0</v>
      </c>
      <c r="H125" s="151">
        <f t="shared" si="4"/>
        <v>675</v>
      </c>
      <c r="I125" s="155">
        <v>59</v>
      </c>
      <c r="J125" s="151">
        <v>0</v>
      </c>
      <c r="K125" s="160"/>
      <c r="L125" s="160"/>
      <c r="M125" s="168">
        <f>'66 SYANA PRAROOP-20'!C126</f>
        <v>54</v>
      </c>
      <c r="N125" s="160"/>
      <c r="O125" s="160"/>
      <c r="P125" s="158">
        <f>'66 SYANA PRAROOP-20'!D126</f>
        <v>553</v>
      </c>
      <c r="Q125" s="160"/>
      <c r="R125" s="160"/>
      <c r="S125" s="158">
        <f>'66 SYANA PRAROOP-20'!E126</f>
        <v>11</v>
      </c>
      <c r="T125" s="160"/>
      <c r="U125" s="160"/>
      <c r="V125" s="159">
        <f>'66 SYANA PRAROOP-20'!F126</f>
        <v>47</v>
      </c>
      <c r="W125" s="160"/>
      <c r="X125" s="160"/>
      <c r="Y125" s="159">
        <f>'66 SYANA PRAROOP-20'!G126</f>
        <v>2</v>
      </c>
      <c r="Z125" s="160"/>
      <c r="AA125" s="160"/>
      <c r="AB125" s="168">
        <f>'66 SYANA PRAROOP-20'!H126</f>
        <v>0</v>
      </c>
      <c r="AC125" s="160"/>
      <c r="AD125" s="160"/>
      <c r="AE125" s="168">
        <f>'66 SYANA PRAROOP-20'!I126</f>
        <v>3</v>
      </c>
      <c r="AF125" s="160"/>
      <c r="AG125" s="160"/>
      <c r="AH125" s="168">
        <f>'66 SYANA PRAROOP-20'!J126</f>
        <v>3</v>
      </c>
      <c r="AI125" s="159">
        <f t="shared" si="5"/>
        <v>673</v>
      </c>
      <c r="AJ125" s="150">
        <f t="shared" si="3"/>
        <v>-2</v>
      </c>
    </row>
    <row r="126" spans="1:36" ht="51">
      <c r="A126" s="151">
        <v>66</v>
      </c>
      <c r="B126" s="155">
        <v>120</v>
      </c>
      <c r="C126" s="156" t="s">
        <v>800</v>
      </c>
      <c r="D126" s="155">
        <v>808</v>
      </c>
      <c r="E126" s="151">
        <v>270</v>
      </c>
      <c r="F126" s="151">
        <v>244</v>
      </c>
      <c r="G126" s="151">
        <v>0</v>
      </c>
      <c r="H126" s="151">
        <f t="shared" si="4"/>
        <v>514</v>
      </c>
      <c r="I126" s="155">
        <v>55</v>
      </c>
      <c r="J126" s="151">
        <v>0</v>
      </c>
      <c r="K126" s="160"/>
      <c r="L126" s="160"/>
      <c r="M126" s="168">
        <f>'66 SYANA PRAROOP-20'!C127</f>
        <v>81</v>
      </c>
      <c r="N126" s="160"/>
      <c r="O126" s="160"/>
      <c r="P126" s="158">
        <f>'66 SYANA PRAROOP-20'!D127</f>
        <v>247</v>
      </c>
      <c r="Q126" s="160"/>
      <c r="R126" s="160"/>
      <c r="S126" s="158">
        <f>'66 SYANA PRAROOP-20'!E127</f>
        <v>5</v>
      </c>
      <c r="T126" s="160"/>
      <c r="U126" s="160"/>
      <c r="V126" s="159">
        <f>'66 SYANA PRAROOP-20'!F127</f>
        <v>173</v>
      </c>
      <c r="W126" s="160"/>
      <c r="X126" s="160"/>
      <c r="Y126" s="159">
        <f>'66 SYANA PRAROOP-20'!G127</f>
        <v>1</v>
      </c>
      <c r="Z126" s="160"/>
      <c r="AA126" s="160"/>
      <c r="AB126" s="168">
        <f>'66 SYANA PRAROOP-20'!H127</f>
        <v>1</v>
      </c>
      <c r="AC126" s="160"/>
      <c r="AD126" s="160"/>
      <c r="AE126" s="168">
        <f>'66 SYANA PRAROOP-20'!I127</f>
        <v>0</v>
      </c>
      <c r="AF126" s="160"/>
      <c r="AG126" s="160"/>
      <c r="AH126" s="168">
        <f>'66 SYANA PRAROOP-20'!J127</f>
        <v>1</v>
      </c>
      <c r="AI126" s="159">
        <f t="shared" si="5"/>
        <v>509</v>
      </c>
      <c r="AJ126" s="150">
        <f t="shared" si="3"/>
        <v>-5</v>
      </c>
    </row>
    <row r="127" spans="1:36" ht="51">
      <c r="A127" s="151">
        <v>66</v>
      </c>
      <c r="B127" s="155">
        <v>121</v>
      </c>
      <c r="C127" s="156" t="s">
        <v>801</v>
      </c>
      <c r="D127" s="155">
        <v>905</v>
      </c>
      <c r="E127" s="151">
        <v>334</v>
      </c>
      <c r="F127" s="151">
        <v>298</v>
      </c>
      <c r="G127" s="151">
        <v>0</v>
      </c>
      <c r="H127" s="151">
        <f t="shared" si="4"/>
        <v>632</v>
      </c>
      <c r="I127" s="155">
        <v>80</v>
      </c>
      <c r="J127" s="151">
        <v>0</v>
      </c>
      <c r="K127" s="160"/>
      <c r="L127" s="160"/>
      <c r="M127" s="168">
        <f>'66 SYANA PRAROOP-20'!C128</f>
        <v>260</v>
      </c>
      <c r="N127" s="160"/>
      <c r="O127" s="160"/>
      <c r="P127" s="158">
        <f>'66 SYANA PRAROOP-20'!D128</f>
        <v>217</v>
      </c>
      <c r="Q127" s="160"/>
      <c r="R127" s="160"/>
      <c r="S127" s="158">
        <f>'66 SYANA PRAROOP-20'!E128</f>
        <v>12</v>
      </c>
      <c r="T127" s="160"/>
      <c r="U127" s="160"/>
      <c r="V127" s="159">
        <f>'66 SYANA PRAROOP-20'!F128</f>
        <v>138</v>
      </c>
      <c r="W127" s="160"/>
      <c r="X127" s="160"/>
      <c r="Y127" s="159">
        <f>'66 SYANA PRAROOP-20'!G128</f>
        <v>2</v>
      </c>
      <c r="Z127" s="160"/>
      <c r="AA127" s="160"/>
      <c r="AB127" s="168">
        <f>'66 SYANA PRAROOP-20'!H128</f>
        <v>0</v>
      </c>
      <c r="AC127" s="160"/>
      <c r="AD127" s="160"/>
      <c r="AE127" s="168">
        <f>'66 SYANA PRAROOP-20'!I128</f>
        <v>1</v>
      </c>
      <c r="AF127" s="160"/>
      <c r="AG127" s="160"/>
      <c r="AH127" s="168">
        <f>'66 SYANA PRAROOP-20'!J128</f>
        <v>0</v>
      </c>
      <c r="AI127" s="159">
        <f t="shared" si="5"/>
        <v>630</v>
      </c>
      <c r="AJ127" s="150">
        <f t="shared" si="3"/>
        <v>-2</v>
      </c>
    </row>
    <row r="128" spans="1:36" ht="51">
      <c r="A128" s="151">
        <v>66</v>
      </c>
      <c r="B128" s="155">
        <v>122</v>
      </c>
      <c r="C128" s="156" t="s">
        <v>802</v>
      </c>
      <c r="D128" s="155">
        <v>977</v>
      </c>
      <c r="E128" s="151">
        <v>377</v>
      </c>
      <c r="F128" s="151">
        <v>335</v>
      </c>
      <c r="G128" s="151">
        <v>0</v>
      </c>
      <c r="H128" s="151">
        <f t="shared" si="4"/>
        <v>712</v>
      </c>
      <c r="I128" s="155">
        <v>512</v>
      </c>
      <c r="J128" s="151">
        <v>0</v>
      </c>
      <c r="K128" s="160"/>
      <c r="L128" s="160"/>
      <c r="M128" s="168">
        <f>'66 SYANA PRAROOP-20'!C129</f>
        <v>503</v>
      </c>
      <c r="N128" s="160"/>
      <c r="O128" s="160"/>
      <c r="P128" s="158">
        <f>'66 SYANA PRAROOP-20'!D129</f>
        <v>84</v>
      </c>
      <c r="Q128" s="160"/>
      <c r="R128" s="160"/>
      <c r="S128" s="158">
        <f>'66 SYANA PRAROOP-20'!E129</f>
        <v>4</v>
      </c>
      <c r="T128" s="160"/>
      <c r="U128" s="160"/>
      <c r="V128" s="159">
        <f>'66 SYANA PRAROOP-20'!F129</f>
        <v>113</v>
      </c>
      <c r="W128" s="160"/>
      <c r="X128" s="160"/>
      <c r="Y128" s="159">
        <f>'66 SYANA PRAROOP-20'!G129</f>
        <v>0</v>
      </c>
      <c r="Z128" s="160"/>
      <c r="AA128" s="160"/>
      <c r="AB128" s="168">
        <f>'66 SYANA PRAROOP-20'!H129</f>
        <v>1</v>
      </c>
      <c r="AC128" s="160"/>
      <c r="AD128" s="160"/>
      <c r="AE128" s="168">
        <f>'66 SYANA PRAROOP-20'!I129</f>
        <v>1</v>
      </c>
      <c r="AF128" s="160"/>
      <c r="AG128" s="160"/>
      <c r="AH128" s="168">
        <f>'66 SYANA PRAROOP-20'!J129</f>
        <v>2</v>
      </c>
      <c r="AI128" s="159">
        <f t="shared" si="5"/>
        <v>708</v>
      </c>
      <c r="AJ128" s="150">
        <f t="shared" si="3"/>
        <v>-4</v>
      </c>
    </row>
    <row r="129" spans="1:36" ht="51">
      <c r="A129" s="151">
        <v>66</v>
      </c>
      <c r="B129" s="155">
        <v>123</v>
      </c>
      <c r="C129" s="156" t="s">
        <v>803</v>
      </c>
      <c r="D129" s="155">
        <v>1030</v>
      </c>
      <c r="E129" s="151">
        <v>401</v>
      </c>
      <c r="F129" s="151">
        <v>348</v>
      </c>
      <c r="G129" s="151">
        <v>0</v>
      </c>
      <c r="H129" s="151">
        <f t="shared" si="4"/>
        <v>749</v>
      </c>
      <c r="I129" s="155">
        <v>56</v>
      </c>
      <c r="J129" s="151">
        <v>0</v>
      </c>
      <c r="K129" s="160"/>
      <c r="L129" s="160"/>
      <c r="M129" s="168">
        <f>'66 SYANA PRAROOP-20'!C130</f>
        <v>702</v>
      </c>
      <c r="N129" s="160"/>
      <c r="O129" s="160"/>
      <c r="P129" s="158">
        <f>'66 SYANA PRAROOP-20'!D130</f>
        <v>14</v>
      </c>
      <c r="Q129" s="160"/>
      <c r="R129" s="160"/>
      <c r="S129" s="158">
        <f>'66 SYANA PRAROOP-20'!E130</f>
        <v>1</v>
      </c>
      <c r="T129" s="160"/>
      <c r="U129" s="160"/>
      <c r="V129" s="159">
        <f>'66 SYANA PRAROOP-20'!F130</f>
        <v>22</v>
      </c>
      <c r="W129" s="160"/>
      <c r="X129" s="160"/>
      <c r="Y129" s="159">
        <f>'66 SYANA PRAROOP-20'!G130</f>
        <v>2</v>
      </c>
      <c r="Z129" s="160"/>
      <c r="AA129" s="160"/>
      <c r="AB129" s="168">
        <f>'66 SYANA PRAROOP-20'!H130</f>
        <v>2</v>
      </c>
      <c r="AC129" s="160"/>
      <c r="AD129" s="160"/>
      <c r="AE129" s="168">
        <f>'66 SYANA PRAROOP-20'!I130</f>
        <v>0</v>
      </c>
      <c r="AF129" s="160"/>
      <c r="AG129" s="160"/>
      <c r="AH129" s="168">
        <f>'66 SYANA PRAROOP-20'!J130</f>
        <v>0</v>
      </c>
      <c r="AI129" s="159">
        <f t="shared" si="5"/>
        <v>743</v>
      </c>
      <c r="AJ129" s="150">
        <f t="shared" si="3"/>
        <v>-6</v>
      </c>
    </row>
    <row r="130" spans="1:36" ht="51">
      <c r="A130" s="151">
        <v>66</v>
      </c>
      <c r="B130" s="155">
        <v>124</v>
      </c>
      <c r="C130" s="156" t="s">
        <v>804</v>
      </c>
      <c r="D130" s="155">
        <v>958</v>
      </c>
      <c r="E130" s="151">
        <v>326</v>
      </c>
      <c r="F130" s="151">
        <v>264</v>
      </c>
      <c r="G130" s="151">
        <v>0</v>
      </c>
      <c r="H130" s="151">
        <f t="shared" si="4"/>
        <v>590</v>
      </c>
      <c r="I130" s="155">
        <v>47</v>
      </c>
      <c r="J130" s="151">
        <v>0</v>
      </c>
      <c r="K130" s="160"/>
      <c r="L130" s="160"/>
      <c r="M130" s="168">
        <f>'66 SYANA PRAROOP-20'!C131</f>
        <v>376</v>
      </c>
      <c r="N130" s="160"/>
      <c r="O130" s="160"/>
      <c r="P130" s="158">
        <f>'66 SYANA PRAROOP-20'!D131</f>
        <v>172</v>
      </c>
      <c r="Q130" s="160"/>
      <c r="R130" s="160"/>
      <c r="S130" s="158">
        <f>'66 SYANA PRAROOP-20'!E131</f>
        <v>7</v>
      </c>
      <c r="T130" s="160"/>
      <c r="U130" s="160"/>
      <c r="V130" s="159">
        <f>'66 SYANA PRAROOP-20'!F131</f>
        <v>31</v>
      </c>
      <c r="W130" s="160"/>
      <c r="X130" s="160"/>
      <c r="Y130" s="159">
        <f>'66 SYANA PRAROOP-20'!G131</f>
        <v>2</v>
      </c>
      <c r="Z130" s="160"/>
      <c r="AA130" s="160"/>
      <c r="AB130" s="168">
        <f>'66 SYANA PRAROOP-20'!H131</f>
        <v>0</v>
      </c>
      <c r="AC130" s="160"/>
      <c r="AD130" s="160"/>
      <c r="AE130" s="168">
        <f>'66 SYANA PRAROOP-20'!I131</f>
        <v>0</v>
      </c>
      <c r="AF130" s="160"/>
      <c r="AG130" s="160"/>
      <c r="AH130" s="168">
        <f>'66 SYANA PRAROOP-20'!J131</f>
        <v>1</v>
      </c>
      <c r="AI130" s="159">
        <f t="shared" si="5"/>
        <v>589</v>
      </c>
      <c r="AJ130" s="150">
        <f t="shared" si="3"/>
        <v>-1</v>
      </c>
    </row>
    <row r="131" spans="1:36" ht="51">
      <c r="A131" s="151">
        <v>66</v>
      </c>
      <c r="B131" s="155">
        <v>125</v>
      </c>
      <c r="C131" s="156" t="s">
        <v>805</v>
      </c>
      <c r="D131" s="155">
        <v>1034</v>
      </c>
      <c r="E131" s="151">
        <v>398</v>
      </c>
      <c r="F131" s="151">
        <v>324</v>
      </c>
      <c r="G131" s="151">
        <v>0</v>
      </c>
      <c r="H131" s="151">
        <f t="shared" si="4"/>
        <v>722</v>
      </c>
      <c r="I131" s="155">
        <v>722</v>
      </c>
      <c r="J131" s="151">
        <v>0</v>
      </c>
      <c r="K131" s="160"/>
      <c r="L131" s="160"/>
      <c r="M131" s="168">
        <f>'66 SYANA PRAROOP-20'!C132</f>
        <v>310</v>
      </c>
      <c r="N131" s="160"/>
      <c r="O131" s="160"/>
      <c r="P131" s="158">
        <f>'66 SYANA PRAROOP-20'!D132</f>
        <v>208</v>
      </c>
      <c r="Q131" s="160"/>
      <c r="R131" s="160"/>
      <c r="S131" s="158">
        <f>'66 SYANA PRAROOP-20'!E132</f>
        <v>6</v>
      </c>
      <c r="T131" s="160"/>
      <c r="U131" s="160"/>
      <c r="V131" s="159">
        <f>'66 SYANA PRAROOP-20'!F132</f>
        <v>186</v>
      </c>
      <c r="W131" s="160"/>
      <c r="X131" s="160"/>
      <c r="Y131" s="159">
        <f>'66 SYANA PRAROOP-20'!G132</f>
        <v>2</v>
      </c>
      <c r="Z131" s="160"/>
      <c r="AA131" s="160"/>
      <c r="AB131" s="168">
        <f>'66 SYANA PRAROOP-20'!H132</f>
        <v>3</v>
      </c>
      <c r="AC131" s="160"/>
      <c r="AD131" s="160"/>
      <c r="AE131" s="168">
        <f>'66 SYANA PRAROOP-20'!I132</f>
        <v>4</v>
      </c>
      <c r="AF131" s="160"/>
      <c r="AG131" s="160"/>
      <c r="AH131" s="168">
        <f>'66 SYANA PRAROOP-20'!J132</f>
        <v>1</v>
      </c>
      <c r="AI131" s="159">
        <f t="shared" si="5"/>
        <v>720</v>
      </c>
      <c r="AJ131" s="150">
        <f t="shared" si="3"/>
        <v>-2</v>
      </c>
    </row>
    <row r="132" spans="1:36" ht="51">
      <c r="A132" s="151">
        <v>66</v>
      </c>
      <c r="B132" s="155">
        <v>126</v>
      </c>
      <c r="C132" s="156" t="s">
        <v>806</v>
      </c>
      <c r="D132" s="155">
        <v>1151</v>
      </c>
      <c r="E132" s="151">
        <v>449</v>
      </c>
      <c r="F132" s="151">
        <v>352</v>
      </c>
      <c r="G132" s="151">
        <v>0</v>
      </c>
      <c r="H132" s="151">
        <f t="shared" si="4"/>
        <v>801</v>
      </c>
      <c r="I132" s="155">
        <v>0</v>
      </c>
      <c r="J132" s="151">
        <v>0</v>
      </c>
      <c r="K132" s="160"/>
      <c r="L132" s="160"/>
      <c r="M132" s="168">
        <f>'66 SYANA PRAROOP-20'!C133</f>
        <v>663</v>
      </c>
      <c r="N132" s="160"/>
      <c r="O132" s="160"/>
      <c r="P132" s="158">
        <f>'66 SYANA PRAROOP-20'!D133</f>
        <v>69</v>
      </c>
      <c r="Q132" s="160"/>
      <c r="R132" s="160"/>
      <c r="S132" s="158">
        <f>'66 SYANA PRAROOP-20'!E133</f>
        <v>6</v>
      </c>
      <c r="T132" s="160"/>
      <c r="U132" s="160"/>
      <c r="V132" s="159">
        <f>'66 SYANA PRAROOP-20'!F133</f>
        <v>56</v>
      </c>
      <c r="W132" s="160"/>
      <c r="X132" s="160"/>
      <c r="Y132" s="159">
        <f>'66 SYANA PRAROOP-20'!G133</f>
        <v>1</v>
      </c>
      <c r="Z132" s="160"/>
      <c r="AA132" s="160"/>
      <c r="AB132" s="168">
        <f>'66 SYANA PRAROOP-20'!H133</f>
        <v>1</v>
      </c>
      <c r="AC132" s="160"/>
      <c r="AD132" s="160"/>
      <c r="AE132" s="168">
        <f>'66 SYANA PRAROOP-20'!I133</f>
        <v>0</v>
      </c>
      <c r="AF132" s="160"/>
      <c r="AG132" s="160"/>
      <c r="AH132" s="168">
        <f>'66 SYANA PRAROOP-20'!J133</f>
        <v>0</v>
      </c>
      <c r="AI132" s="159">
        <f t="shared" si="5"/>
        <v>796</v>
      </c>
      <c r="AJ132" s="150">
        <f t="shared" si="3"/>
        <v>-5</v>
      </c>
    </row>
    <row r="133" spans="1:36" ht="51">
      <c r="A133" s="151">
        <v>66</v>
      </c>
      <c r="B133" s="155">
        <v>127</v>
      </c>
      <c r="C133" s="156" t="s">
        <v>807</v>
      </c>
      <c r="D133" s="155">
        <v>1084</v>
      </c>
      <c r="E133" s="151">
        <v>330</v>
      </c>
      <c r="F133" s="151">
        <v>283</v>
      </c>
      <c r="G133" s="151">
        <v>0</v>
      </c>
      <c r="H133" s="151">
        <f t="shared" si="4"/>
        <v>613</v>
      </c>
      <c r="I133" s="155">
        <v>0</v>
      </c>
      <c r="J133" s="151">
        <v>0</v>
      </c>
      <c r="K133" s="160"/>
      <c r="L133" s="160"/>
      <c r="M133" s="168">
        <f>'66 SYANA PRAROOP-20'!C134</f>
        <v>268</v>
      </c>
      <c r="N133" s="160"/>
      <c r="O133" s="160"/>
      <c r="P133" s="158">
        <f>'66 SYANA PRAROOP-20'!D134</f>
        <v>211</v>
      </c>
      <c r="Q133" s="160"/>
      <c r="R133" s="160"/>
      <c r="S133" s="158">
        <f>'66 SYANA PRAROOP-20'!E134</f>
        <v>9</v>
      </c>
      <c r="T133" s="160"/>
      <c r="U133" s="160"/>
      <c r="V133" s="159">
        <f>'66 SYANA PRAROOP-20'!F134</f>
        <v>113</v>
      </c>
      <c r="W133" s="160"/>
      <c r="X133" s="160"/>
      <c r="Y133" s="159">
        <f>'66 SYANA PRAROOP-20'!G134</f>
        <v>2</v>
      </c>
      <c r="Z133" s="160"/>
      <c r="AA133" s="160"/>
      <c r="AB133" s="168">
        <f>'66 SYANA PRAROOP-20'!H134</f>
        <v>3</v>
      </c>
      <c r="AC133" s="160"/>
      <c r="AD133" s="160"/>
      <c r="AE133" s="168">
        <f>'66 SYANA PRAROOP-20'!I134</f>
        <v>0</v>
      </c>
      <c r="AF133" s="160"/>
      <c r="AG133" s="160"/>
      <c r="AH133" s="168">
        <f>'66 SYANA PRAROOP-20'!J134</f>
        <v>2</v>
      </c>
      <c r="AI133" s="159">
        <f t="shared" si="5"/>
        <v>608</v>
      </c>
      <c r="AJ133" s="150">
        <f t="shared" si="3"/>
        <v>-5</v>
      </c>
    </row>
    <row r="134" spans="1:36" ht="38.25">
      <c r="A134" s="151">
        <v>66</v>
      </c>
      <c r="B134" s="155">
        <v>128</v>
      </c>
      <c r="C134" s="156" t="s">
        <v>808</v>
      </c>
      <c r="D134" s="155">
        <v>1149</v>
      </c>
      <c r="E134" s="151">
        <v>412</v>
      </c>
      <c r="F134" s="151">
        <v>392</v>
      </c>
      <c r="G134" s="151">
        <v>0</v>
      </c>
      <c r="H134" s="151">
        <f t="shared" si="4"/>
        <v>804</v>
      </c>
      <c r="I134" s="155">
        <v>82</v>
      </c>
      <c r="J134" s="151">
        <v>0</v>
      </c>
      <c r="K134" s="160"/>
      <c r="L134" s="160"/>
      <c r="M134" s="168">
        <f>'66 SYANA PRAROOP-20'!C135</f>
        <v>556</v>
      </c>
      <c r="N134" s="160"/>
      <c r="O134" s="160"/>
      <c r="P134" s="158">
        <f>'66 SYANA PRAROOP-20'!D135</f>
        <v>155</v>
      </c>
      <c r="Q134" s="160"/>
      <c r="R134" s="160"/>
      <c r="S134" s="158">
        <f>'66 SYANA PRAROOP-20'!E135</f>
        <v>2</v>
      </c>
      <c r="T134" s="160"/>
      <c r="U134" s="160"/>
      <c r="V134" s="159">
        <f>'66 SYANA PRAROOP-20'!F135</f>
        <v>24</v>
      </c>
      <c r="W134" s="160"/>
      <c r="X134" s="160"/>
      <c r="Y134" s="159">
        <f>'66 SYANA PRAROOP-20'!G135</f>
        <v>2</v>
      </c>
      <c r="Z134" s="160"/>
      <c r="AA134" s="160"/>
      <c r="AB134" s="168">
        <f>'66 SYANA PRAROOP-20'!H135</f>
        <v>1</v>
      </c>
      <c r="AC134" s="160"/>
      <c r="AD134" s="160"/>
      <c r="AE134" s="168">
        <f>'66 SYANA PRAROOP-20'!I135</f>
        <v>2</v>
      </c>
      <c r="AF134" s="160"/>
      <c r="AG134" s="160"/>
      <c r="AH134" s="168">
        <f>'66 SYANA PRAROOP-20'!J135</f>
        <v>1</v>
      </c>
      <c r="AI134" s="159">
        <f t="shared" si="5"/>
        <v>743</v>
      </c>
      <c r="AJ134" s="150">
        <f t="shared" si="3"/>
        <v>-61</v>
      </c>
    </row>
    <row r="135" spans="1:36" ht="38.25">
      <c r="A135" s="151">
        <v>66</v>
      </c>
      <c r="B135" s="155">
        <v>129</v>
      </c>
      <c r="C135" s="156" t="s">
        <v>809</v>
      </c>
      <c r="D135" s="155">
        <v>1078</v>
      </c>
      <c r="E135" s="151">
        <v>382</v>
      </c>
      <c r="F135" s="151">
        <v>375</v>
      </c>
      <c r="G135" s="151">
        <v>0</v>
      </c>
      <c r="H135" s="151">
        <f t="shared" si="4"/>
        <v>757</v>
      </c>
      <c r="I135" s="155">
        <v>757</v>
      </c>
      <c r="J135" s="151">
        <v>0</v>
      </c>
      <c r="K135" s="160"/>
      <c r="L135" s="160"/>
      <c r="M135" s="168">
        <f>'66 SYANA PRAROOP-20'!C136</f>
        <v>543</v>
      </c>
      <c r="N135" s="160"/>
      <c r="O135" s="160"/>
      <c r="P135" s="158">
        <f>'66 SYANA PRAROOP-20'!D136</f>
        <v>174</v>
      </c>
      <c r="Q135" s="160"/>
      <c r="R135" s="160"/>
      <c r="S135" s="158">
        <f>'66 SYANA PRAROOP-20'!E136</f>
        <v>3</v>
      </c>
      <c r="T135" s="160"/>
      <c r="U135" s="160"/>
      <c r="V135" s="159">
        <f>'66 SYANA PRAROOP-20'!F136</f>
        <v>29</v>
      </c>
      <c r="W135" s="160"/>
      <c r="X135" s="160"/>
      <c r="Y135" s="159">
        <f>'66 SYANA PRAROOP-20'!G136</f>
        <v>2</v>
      </c>
      <c r="Z135" s="160"/>
      <c r="AA135" s="160"/>
      <c r="AB135" s="168">
        <f>'66 SYANA PRAROOP-20'!H136</f>
        <v>2</v>
      </c>
      <c r="AC135" s="160"/>
      <c r="AD135" s="160"/>
      <c r="AE135" s="168">
        <f>'66 SYANA PRAROOP-20'!I136</f>
        <v>1</v>
      </c>
      <c r="AF135" s="160"/>
      <c r="AG135" s="160"/>
      <c r="AH135" s="168">
        <f>'66 SYANA PRAROOP-20'!J136</f>
        <v>1</v>
      </c>
      <c r="AI135" s="159">
        <f t="shared" si="5"/>
        <v>755</v>
      </c>
      <c r="AJ135" s="150">
        <f t="shared" ref="AJ135:AJ198" si="6">AI135-H135</f>
        <v>-2</v>
      </c>
    </row>
    <row r="136" spans="1:36" ht="38.25">
      <c r="A136" s="151">
        <v>66</v>
      </c>
      <c r="B136" s="155">
        <v>130</v>
      </c>
      <c r="C136" s="156" t="s">
        <v>810</v>
      </c>
      <c r="D136" s="155">
        <v>1126</v>
      </c>
      <c r="E136" s="151">
        <v>333</v>
      </c>
      <c r="F136" s="151">
        <v>259</v>
      </c>
      <c r="G136" s="151">
        <v>0</v>
      </c>
      <c r="H136" s="151">
        <f t="shared" ref="H136:H199" si="7">SUM(E136:G136)</f>
        <v>592</v>
      </c>
      <c r="I136" s="155">
        <v>154</v>
      </c>
      <c r="J136" s="151">
        <v>0</v>
      </c>
      <c r="K136" s="160"/>
      <c r="L136" s="160"/>
      <c r="M136" s="168">
        <f>'66 SYANA PRAROOP-20'!C137</f>
        <v>284</v>
      </c>
      <c r="N136" s="160"/>
      <c r="O136" s="160"/>
      <c r="P136" s="158">
        <f>'66 SYANA PRAROOP-20'!D137</f>
        <v>295</v>
      </c>
      <c r="Q136" s="160"/>
      <c r="R136" s="160"/>
      <c r="S136" s="158">
        <f>'66 SYANA PRAROOP-20'!E137</f>
        <v>3</v>
      </c>
      <c r="T136" s="160"/>
      <c r="U136" s="160"/>
      <c r="V136" s="159">
        <f>'66 SYANA PRAROOP-20'!F137</f>
        <v>4</v>
      </c>
      <c r="W136" s="160"/>
      <c r="X136" s="160"/>
      <c r="Y136" s="159">
        <f>'66 SYANA PRAROOP-20'!G137</f>
        <v>2</v>
      </c>
      <c r="Z136" s="160"/>
      <c r="AA136" s="160"/>
      <c r="AB136" s="168">
        <f>'66 SYANA PRAROOP-20'!H137</f>
        <v>1</v>
      </c>
      <c r="AC136" s="160"/>
      <c r="AD136" s="160"/>
      <c r="AE136" s="168">
        <f>'66 SYANA PRAROOP-20'!I137</f>
        <v>0</v>
      </c>
      <c r="AF136" s="160"/>
      <c r="AG136" s="160"/>
      <c r="AH136" s="168">
        <f>'66 SYANA PRAROOP-20'!J137</f>
        <v>0</v>
      </c>
      <c r="AI136" s="159">
        <f t="shared" ref="AI136:AI199" si="8">M136+P136+S136+V136+Y136+AB136+AE136+AH136</f>
        <v>589</v>
      </c>
      <c r="AJ136" s="150">
        <f t="shared" si="6"/>
        <v>-3</v>
      </c>
    </row>
    <row r="137" spans="1:36" ht="38.25">
      <c r="A137" s="151">
        <v>66</v>
      </c>
      <c r="B137" s="155">
        <v>131</v>
      </c>
      <c r="C137" s="156" t="s">
        <v>811</v>
      </c>
      <c r="D137" s="155">
        <v>1123</v>
      </c>
      <c r="E137" s="151">
        <v>349</v>
      </c>
      <c r="F137" s="151">
        <v>281</v>
      </c>
      <c r="G137" s="151">
        <v>0</v>
      </c>
      <c r="H137" s="151">
        <f t="shared" si="7"/>
        <v>630</v>
      </c>
      <c r="I137" s="155">
        <v>87</v>
      </c>
      <c r="J137" s="151">
        <v>0</v>
      </c>
      <c r="K137" s="160"/>
      <c r="L137" s="160"/>
      <c r="M137" s="168">
        <f>'66 SYANA PRAROOP-20'!C138</f>
        <v>318</v>
      </c>
      <c r="N137" s="160"/>
      <c r="O137" s="160"/>
      <c r="P137" s="158">
        <f>'66 SYANA PRAROOP-20'!D138</f>
        <v>286</v>
      </c>
      <c r="Q137" s="160"/>
      <c r="R137" s="160"/>
      <c r="S137" s="158">
        <f>'66 SYANA PRAROOP-20'!E138</f>
        <v>13</v>
      </c>
      <c r="T137" s="160"/>
      <c r="U137" s="160"/>
      <c r="V137" s="159">
        <f>'66 SYANA PRAROOP-20'!F138</f>
        <v>7</v>
      </c>
      <c r="W137" s="160"/>
      <c r="X137" s="160"/>
      <c r="Y137" s="159">
        <f>'66 SYANA PRAROOP-20'!G138</f>
        <v>1</v>
      </c>
      <c r="Z137" s="160"/>
      <c r="AA137" s="160"/>
      <c r="AB137" s="168">
        <f>'66 SYANA PRAROOP-20'!H138</f>
        <v>1</v>
      </c>
      <c r="AC137" s="160"/>
      <c r="AD137" s="160"/>
      <c r="AE137" s="168">
        <f>'66 SYANA PRAROOP-20'!I138</f>
        <v>0</v>
      </c>
      <c r="AF137" s="160"/>
      <c r="AG137" s="160"/>
      <c r="AH137" s="168">
        <f>'66 SYANA PRAROOP-20'!J138</f>
        <v>0</v>
      </c>
      <c r="AI137" s="159">
        <f t="shared" si="8"/>
        <v>626</v>
      </c>
      <c r="AJ137" s="150">
        <f t="shared" si="6"/>
        <v>-4</v>
      </c>
    </row>
    <row r="138" spans="1:36" ht="38.25">
      <c r="A138" s="151">
        <v>66</v>
      </c>
      <c r="B138" s="155">
        <v>132</v>
      </c>
      <c r="C138" s="156" t="s">
        <v>812</v>
      </c>
      <c r="D138" s="155">
        <v>915</v>
      </c>
      <c r="E138" s="151">
        <v>325</v>
      </c>
      <c r="F138" s="151">
        <v>268</v>
      </c>
      <c r="G138" s="151">
        <v>0</v>
      </c>
      <c r="H138" s="151">
        <f t="shared" si="7"/>
        <v>593</v>
      </c>
      <c r="I138" s="155">
        <v>58</v>
      </c>
      <c r="J138" s="151">
        <v>0</v>
      </c>
      <c r="K138" s="160"/>
      <c r="L138" s="160"/>
      <c r="M138" s="168">
        <f>'66 SYANA PRAROOP-20'!C139</f>
        <v>225</v>
      </c>
      <c r="N138" s="160"/>
      <c r="O138" s="160"/>
      <c r="P138" s="158">
        <f>'66 SYANA PRAROOP-20'!D139</f>
        <v>349</v>
      </c>
      <c r="Q138" s="160"/>
      <c r="R138" s="160"/>
      <c r="S138" s="158">
        <f>'66 SYANA PRAROOP-20'!E139</f>
        <v>7</v>
      </c>
      <c r="T138" s="160"/>
      <c r="U138" s="160"/>
      <c r="V138" s="159">
        <f>'66 SYANA PRAROOP-20'!F139</f>
        <v>7</v>
      </c>
      <c r="W138" s="160"/>
      <c r="X138" s="160"/>
      <c r="Y138" s="159">
        <f>'66 SYANA PRAROOP-20'!G139</f>
        <v>2</v>
      </c>
      <c r="Z138" s="160"/>
      <c r="AA138" s="160"/>
      <c r="AB138" s="168">
        <f>'66 SYANA PRAROOP-20'!H139</f>
        <v>2</v>
      </c>
      <c r="AC138" s="160"/>
      <c r="AD138" s="160"/>
      <c r="AE138" s="168">
        <f>'66 SYANA PRAROOP-20'!I139</f>
        <v>1</v>
      </c>
      <c r="AF138" s="160"/>
      <c r="AG138" s="160"/>
      <c r="AH138" s="168">
        <f>'66 SYANA PRAROOP-20'!J139</f>
        <v>0</v>
      </c>
      <c r="AI138" s="159">
        <f t="shared" si="8"/>
        <v>593</v>
      </c>
      <c r="AJ138" s="150">
        <f t="shared" si="6"/>
        <v>0</v>
      </c>
    </row>
    <row r="139" spans="1:36" ht="51">
      <c r="A139" s="151">
        <v>66</v>
      </c>
      <c r="B139" s="155">
        <v>133</v>
      </c>
      <c r="C139" s="156" t="s">
        <v>813</v>
      </c>
      <c r="D139" s="155">
        <v>1087</v>
      </c>
      <c r="E139" s="151">
        <v>406</v>
      </c>
      <c r="F139" s="151">
        <v>362</v>
      </c>
      <c r="G139" s="151">
        <v>0</v>
      </c>
      <c r="H139" s="151">
        <f t="shared" si="7"/>
        <v>768</v>
      </c>
      <c r="I139" s="155">
        <v>114</v>
      </c>
      <c r="J139" s="151">
        <v>0</v>
      </c>
      <c r="K139" s="160"/>
      <c r="L139" s="160"/>
      <c r="M139" s="168">
        <f>'66 SYANA PRAROOP-20'!C140</f>
        <v>236</v>
      </c>
      <c r="N139" s="160"/>
      <c r="O139" s="160"/>
      <c r="P139" s="158">
        <f>'66 SYANA PRAROOP-20'!D140</f>
        <v>172</v>
      </c>
      <c r="Q139" s="160"/>
      <c r="R139" s="160"/>
      <c r="S139" s="158">
        <f>'66 SYANA PRAROOP-20'!E140</f>
        <v>4</v>
      </c>
      <c r="T139" s="160"/>
      <c r="U139" s="160"/>
      <c r="V139" s="159">
        <f>'66 SYANA PRAROOP-20'!F140</f>
        <v>347</v>
      </c>
      <c r="W139" s="160"/>
      <c r="X139" s="160"/>
      <c r="Y139" s="159">
        <f>'66 SYANA PRAROOP-20'!G140</f>
        <v>0</v>
      </c>
      <c r="Z139" s="160"/>
      <c r="AA139" s="160"/>
      <c r="AB139" s="168">
        <f>'66 SYANA PRAROOP-20'!H140</f>
        <v>2</v>
      </c>
      <c r="AC139" s="160"/>
      <c r="AD139" s="160"/>
      <c r="AE139" s="168">
        <f>'66 SYANA PRAROOP-20'!I140</f>
        <v>6</v>
      </c>
      <c r="AF139" s="160"/>
      <c r="AG139" s="160"/>
      <c r="AH139" s="168">
        <f>'66 SYANA PRAROOP-20'!J140</f>
        <v>1</v>
      </c>
      <c r="AI139" s="159">
        <f t="shared" si="8"/>
        <v>768</v>
      </c>
      <c r="AJ139" s="150">
        <f t="shared" si="6"/>
        <v>0</v>
      </c>
    </row>
    <row r="140" spans="1:36" ht="51">
      <c r="A140" s="151">
        <v>66</v>
      </c>
      <c r="B140" s="155">
        <v>134</v>
      </c>
      <c r="C140" s="156" t="s">
        <v>814</v>
      </c>
      <c r="D140" s="155">
        <v>1064</v>
      </c>
      <c r="E140" s="151">
        <v>326</v>
      </c>
      <c r="F140" s="151">
        <v>339</v>
      </c>
      <c r="G140" s="151">
        <v>0</v>
      </c>
      <c r="H140" s="151">
        <f t="shared" si="7"/>
        <v>665</v>
      </c>
      <c r="I140" s="155">
        <v>90</v>
      </c>
      <c r="J140" s="151">
        <v>0</v>
      </c>
      <c r="K140" s="160"/>
      <c r="L140" s="160"/>
      <c r="M140" s="168">
        <f>'66 SYANA PRAROOP-20'!C141</f>
        <v>606</v>
      </c>
      <c r="N140" s="160"/>
      <c r="O140" s="160"/>
      <c r="P140" s="158">
        <f>'66 SYANA PRAROOP-20'!D141</f>
        <v>34</v>
      </c>
      <c r="Q140" s="160"/>
      <c r="R140" s="160"/>
      <c r="S140" s="158">
        <f>'66 SYANA PRAROOP-20'!E141</f>
        <v>7</v>
      </c>
      <c r="T140" s="160"/>
      <c r="U140" s="160"/>
      <c r="V140" s="159">
        <f>'66 SYANA PRAROOP-20'!F141</f>
        <v>11</v>
      </c>
      <c r="W140" s="160"/>
      <c r="X140" s="160"/>
      <c r="Y140" s="159">
        <f>'66 SYANA PRAROOP-20'!G141</f>
        <v>0</v>
      </c>
      <c r="Z140" s="160"/>
      <c r="AA140" s="160"/>
      <c r="AB140" s="168">
        <f>'66 SYANA PRAROOP-20'!H141</f>
        <v>2</v>
      </c>
      <c r="AC140" s="160"/>
      <c r="AD140" s="160"/>
      <c r="AE140" s="168">
        <f>'66 SYANA PRAROOP-20'!I141</f>
        <v>0</v>
      </c>
      <c r="AF140" s="160"/>
      <c r="AG140" s="160"/>
      <c r="AH140" s="168">
        <f>'66 SYANA PRAROOP-20'!J141</f>
        <v>1</v>
      </c>
      <c r="AI140" s="159">
        <f t="shared" si="8"/>
        <v>661</v>
      </c>
      <c r="AJ140" s="150">
        <f t="shared" si="6"/>
        <v>-4</v>
      </c>
    </row>
    <row r="141" spans="1:36" ht="51">
      <c r="A141" s="151">
        <v>66</v>
      </c>
      <c r="B141" s="155">
        <v>135</v>
      </c>
      <c r="C141" s="156" t="s">
        <v>815</v>
      </c>
      <c r="D141" s="155">
        <v>1053</v>
      </c>
      <c r="E141" s="151">
        <v>372</v>
      </c>
      <c r="F141" s="151">
        <v>365</v>
      </c>
      <c r="G141" s="151">
        <v>0</v>
      </c>
      <c r="H141" s="151">
        <f t="shared" si="7"/>
        <v>737</v>
      </c>
      <c r="I141" s="155">
        <v>472</v>
      </c>
      <c r="J141" s="151">
        <v>0</v>
      </c>
      <c r="K141" s="160"/>
      <c r="L141" s="160"/>
      <c r="M141" s="168">
        <f>'66 SYANA PRAROOP-20'!C142</f>
        <v>538</v>
      </c>
      <c r="N141" s="160"/>
      <c r="O141" s="160"/>
      <c r="P141" s="158">
        <f>'66 SYANA PRAROOP-20'!D142</f>
        <v>75</v>
      </c>
      <c r="Q141" s="160"/>
      <c r="R141" s="160"/>
      <c r="S141" s="158">
        <f>'66 SYANA PRAROOP-20'!E142</f>
        <v>14</v>
      </c>
      <c r="T141" s="160"/>
      <c r="U141" s="160"/>
      <c r="V141" s="159">
        <f>'66 SYANA PRAROOP-20'!F142</f>
        <v>106</v>
      </c>
      <c r="W141" s="160"/>
      <c r="X141" s="160"/>
      <c r="Y141" s="159">
        <f>'66 SYANA PRAROOP-20'!G142</f>
        <v>0</v>
      </c>
      <c r="Z141" s="160"/>
      <c r="AA141" s="160"/>
      <c r="AB141" s="168">
        <f>'66 SYANA PRAROOP-20'!H142</f>
        <v>0</v>
      </c>
      <c r="AC141" s="160"/>
      <c r="AD141" s="160"/>
      <c r="AE141" s="168">
        <f>'66 SYANA PRAROOP-20'!I142</f>
        <v>3</v>
      </c>
      <c r="AF141" s="160"/>
      <c r="AG141" s="160"/>
      <c r="AH141" s="168">
        <f>'66 SYANA PRAROOP-20'!J142</f>
        <v>0</v>
      </c>
      <c r="AI141" s="159">
        <f t="shared" si="8"/>
        <v>736</v>
      </c>
      <c r="AJ141" s="150">
        <f t="shared" si="6"/>
        <v>-1</v>
      </c>
    </row>
    <row r="142" spans="1:36" ht="63.75">
      <c r="A142" s="151">
        <v>66</v>
      </c>
      <c r="B142" s="155">
        <v>136</v>
      </c>
      <c r="C142" s="156" t="s">
        <v>816</v>
      </c>
      <c r="D142" s="155">
        <v>1130</v>
      </c>
      <c r="E142" s="151">
        <v>384</v>
      </c>
      <c r="F142" s="151">
        <v>336</v>
      </c>
      <c r="G142" s="151">
        <v>0</v>
      </c>
      <c r="H142" s="151">
        <f t="shared" si="7"/>
        <v>720</v>
      </c>
      <c r="I142" s="155">
        <v>184</v>
      </c>
      <c r="J142" s="151">
        <v>0</v>
      </c>
      <c r="K142" s="160"/>
      <c r="L142" s="160"/>
      <c r="M142" s="168">
        <f>'66 SYANA PRAROOP-20'!C143</f>
        <v>347</v>
      </c>
      <c r="N142" s="160"/>
      <c r="O142" s="160"/>
      <c r="P142" s="158">
        <f>'66 SYANA PRAROOP-20'!D143</f>
        <v>295</v>
      </c>
      <c r="Q142" s="160"/>
      <c r="R142" s="160"/>
      <c r="S142" s="158">
        <f>'66 SYANA PRAROOP-20'!E143</f>
        <v>28</v>
      </c>
      <c r="T142" s="160"/>
      <c r="U142" s="160"/>
      <c r="V142" s="159">
        <f>'66 SYANA PRAROOP-20'!F143</f>
        <v>37</v>
      </c>
      <c r="W142" s="160"/>
      <c r="X142" s="160"/>
      <c r="Y142" s="159">
        <f>'66 SYANA PRAROOP-20'!G143</f>
        <v>2</v>
      </c>
      <c r="Z142" s="160"/>
      <c r="AA142" s="160"/>
      <c r="AB142" s="168">
        <f>'66 SYANA PRAROOP-20'!H143</f>
        <v>0</v>
      </c>
      <c r="AC142" s="160"/>
      <c r="AD142" s="160"/>
      <c r="AE142" s="168">
        <f>'66 SYANA PRAROOP-20'!I143</f>
        <v>2</v>
      </c>
      <c r="AF142" s="160"/>
      <c r="AG142" s="160"/>
      <c r="AH142" s="168">
        <f>'66 SYANA PRAROOP-20'!J143</f>
        <v>2</v>
      </c>
      <c r="AI142" s="159">
        <f t="shared" si="8"/>
        <v>713</v>
      </c>
      <c r="AJ142" s="150">
        <f t="shared" si="6"/>
        <v>-7</v>
      </c>
    </row>
    <row r="143" spans="1:36" ht="63.75">
      <c r="A143" s="151">
        <v>66</v>
      </c>
      <c r="B143" s="155">
        <v>137</v>
      </c>
      <c r="C143" s="156" t="s">
        <v>817</v>
      </c>
      <c r="D143" s="155">
        <v>1084</v>
      </c>
      <c r="E143" s="151">
        <v>407</v>
      </c>
      <c r="F143" s="151">
        <v>374</v>
      </c>
      <c r="G143" s="151">
        <v>0</v>
      </c>
      <c r="H143" s="151">
        <f t="shared" si="7"/>
        <v>781</v>
      </c>
      <c r="I143" s="155">
        <v>91</v>
      </c>
      <c r="J143" s="151">
        <v>0</v>
      </c>
      <c r="K143" s="160"/>
      <c r="L143" s="160"/>
      <c r="M143" s="168">
        <f>'66 SYANA PRAROOP-20'!C144</f>
        <v>737</v>
      </c>
      <c r="N143" s="160"/>
      <c r="O143" s="160"/>
      <c r="P143" s="158">
        <f>'66 SYANA PRAROOP-20'!D144</f>
        <v>6</v>
      </c>
      <c r="Q143" s="160"/>
      <c r="R143" s="160"/>
      <c r="S143" s="158">
        <f>'66 SYANA PRAROOP-20'!E144</f>
        <v>6</v>
      </c>
      <c r="T143" s="160"/>
      <c r="U143" s="160"/>
      <c r="V143" s="159">
        <f>'66 SYANA PRAROOP-20'!F144</f>
        <v>29</v>
      </c>
      <c r="W143" s="160"/>
      <c r="X143" s="160"/>
      <c r="Y143" s="159">
        <f>'66 SYANA PRAROOP-20'!G144</f>
        <v>0</v>
      </c>
      <c r="Z143" s="160"/>
      <c r="AA143" s="160"/>
      <c r="AB143" s="168">
        <f>'66 SYANA PRAROOP-20'!H144</f>
        <v>0</v>
      </c>
      <c r="AC143" s="160"/>
      <c r="AD143" s="160"/>
      <c r="AE143" s="168">
        <f>'66 SYANA PRAROOP-20'!I144</f>
        <v>1</v>
      </c>
      <c r="AF143" s="160"/>
      <c r="AG143" s="160"/>
      <c r="AH143" s="168">
        <f>'66 SYANA PRAROOP-20'!J144</f>
        <v>0</v>
      </c>
      <c r="AI143" s="159">
        <f t="shared" si="8"/>
        <v>779</v>
      </c>
      <c r="AJ143" s="150">
        <f t="shared" si="6"/>
        <v>-2</v>
      </c>
    </row>
    <row r="144" spans="1:36" ht="63.75">
      <c r="A144" s="151">
        <v>66</v>
      </c>
      <c r="B144" s="155">
        <v>138</v>
      </c>
      <c r="C144" s="156" t="s">
        <v>818</v>
      </c>
      <c r="D144" s="155">
        <v>1087</v>
      </c>
      <c r="E144" s="151">
        <v>396</v>
      </c>
      <c r="F144" s="151">
        <v>350</v>
      </c>
      <c r="G144" s="151">
        <v>0</v>
      </c>
      <c r="H144" s="151">
        <f t="shared" si="7"/>
        <v>746</v>
      </c>
      <c r="I144" s="155">
        <v>496</v>
      </c>
      <c r="J144" s="151">
        <v>0</v>
      </c>
      <c r="K144" s="160"/>
      <c r="L144" s="160"/>
      <c r="M144" s="168">
        <f>'66 SYANA PRAROOP-20'!C145</f>
        <v>572</v>
      </c>
      <c r="N144" s="160"/>
      <c r="O144" s="160"/>
      <c r="P144" s="158">
        <f>'66 SYANA PRAROOP-20'!D145</f>
        <v>158</v>
      </c>
      <c r="Q144" s="160"/>
      <c r="R144" s="160"/>
      <c r="S144" s="158">
        <f>'66 SYANA PRAROOP-20'!E145</f>
        <v>3</v>
      </c>
      <c r="T144" s="160"/>
      <c r="U144" s="160"/>
      <c r="V144" s="159">
        <f>'66 SYANA PRAROOP-20'!F145</f>
        <v>5</v>
      </c>
      <c r="W144" s="160"/>
      <c r="X144" s="160"/>
      <c r="Y144" s="159">
        <f>'66 SYANA PRAROOP-20'!G145</f>
        <v>1</v>
      </c>
      <c r="Z144" s="160"/>
      <c r="AA144" s="160"/>
      <c r="AB144" s="168">
        <f>'66 SYANA PRAROOP-20'!H145</f>
        <v>0</v>
      </c>
      <c r="AC144" s="160"/>
      <c r="AD144" s="160"/>
      <c r="AE144" s="168">
        <f>'66 SYANA PRAROOP-20'!I145</f>
        <v>1</v>
      </c>
      <c r="AF144" s="160"/>
      <c r="AG144" s="160"/>
      <c r="AH144" s="168">
        <f>'66 SYANA PRAROOP-20'!J145</f>
        <v>1</v>
      </c>
      <c r="AI144" s="159">
        <f t="shared" si="8"/>
        <v>741</v>
      </c>
      <c r="AJ144" s="150">
        <f t="shared" si="6"/>
        <v>-5</v>
      </c>
    </row>
    <row r="145" spans="1:36" ht="89.25">
      <c r="A145" s="151">
        <v>66</v>
      </c>
      <c r="B145" s="155">
        <v>139</v>
      </c>
      <c r="C145" s="156" t="s">
        <v>1101</v>
      </c>
      <c r="D145" s="155">
        <v>848</v>
      </c>
      <c r="E145" s="151">
        <v>330</v>
      </c>
      <c r="F145" s="151">
        <v>283</v>
      </c>
      <c r="G145" s="151">
        <v>0</v>
      </c>
      <c r="H145" s="151">
        <f t="shared" si="7"/>
        <v>613</v>
      </c>
      <c r="I145" s="155">
        <v>107</v>
      </c>
      <c r="J145" s="151">
        <v>0</v>
      </c>
      <c r="K145" s="160"/>
      <c r="L145" s="160"/>
      <c r="M145" s="168">
        <f>'66 SYANA PRAROOP-20'!C146</f>
        <v>102</v>
      </c>
      <c r="N145" s="160"/>
      <c r="O145" s="160"/>
      <c r="P145" s="158">
        <f>'66 SYANA PRAROOP-20'!D146</f>
        <v>495</v>
      </c>
      <c r="Q145" s="160"/>
      <c r="R145" s="160"/>
      <c r="S145" s="158">
        <f>'66 SYANA PRAROOP-20'!E146</f>
        <v>7</v>
      </c>
      <c r="T145" s="160"/>
      <c r="U145" s="160"/>
      <c r="V145" s="159">
        <f>'66 SYANA PRAROOP-20'!F146</f>
        <v>2</v>
      </c>
      <c r="W145" s="160"/>
      <c r="X145" s="160"/>
      <c r="Y145" s="159">
        <f>'66 SYANA PRAROOP-20'!G146</f>
        <v>2</v>
      </c>
      <c r="Z145" s="160"/>
      <c r="AA145" s="160"/>
      <c r="AB145" s="168">
        <f>'66 SYANA PRAROOP-20'!H146</f>
        <v>1</v>
      </c>
      <c r="AC145" s="160"/>
      <c r="AD145" s="160"/>
      <c r="AE145" s="168">
        <f>'66 SYANA PRAROOP-20'!I146</f>
        <v>3</v>
      </c>
      <c r="AF145" s="160"/>
      <c r="AG145" s="160"/>
      <c r="AH145" s="168">
        <f>'66 SYANA PRAROOP-20'!J146</f>
        <v>0</v>
      </c>
      <c r="AI145" s="159">
        <f t="shared" si="8"/>
        <v>612</v>
      </c>
      <c r="AJ145" s="150">
        <f t="shared" si="6"/>
        <v>-1</v>
      </c>
    </row>
    <row r="146" spans="1:36" ht="89.25">
      <c r="A146" s="151">
        <v>66</v>
      </c>
      <c r="B146" s="155">
        <v>140</v>
      </c>
      <c r="C146" s="156" t="s">
        <v>1102</v>
      </c>
      <c r="D146" s="155">
        <v>889</v>
      </c>
      <c r="E146" s="151">
        <v>272</v>
      </c>
      <c r="F146" s="151">
        <v>257</v>
      </c>
      <c r="G146" s="151">
        <v>0</v>
      </c>
      <c r="H146" s="151">
        <f t="shared" si="7"/>
        <v>529</v>
      </c>
      <c r="I146" s="155">
        <v>58</v>
      </c>
      <c r="J146" s="151">
        <v>0</v>
      </c>
      <c r="K146" s="160"/>
      <c r="L146" s="160"/>
      <c r="M146" s="168">
        <f>'66 SYANA PRAROOP-20'!C147</f>
        <v>82</v>
      </c>
      <c r="N146" s="160"/>
      <c r="O146" s="160"/>
      <c r="P146" s="158">
        <f>'66 SYANA PRAROOP-20'!D147</f>
        <v>294</v>
      </c>
      <c r="Q146" s="160"/>
      <c r="R146" s="160"/>
      <c r="S146" s="158">
        <f>'66 SYANA PRAROOP-20'!E147</f>
        <v>7</v>
      </c>
      <c r="T146" s="160"/>
      <c r="U146" s="160"/>
      <c r="V146" s="159">
        <f>'66 SYANA PRAROOP-20'!F147</f>
        <v>139</v>
      </c>
      <c r="W146" s="160"/>
      <c r="X146" s="160"/>
      <c r="Y146" s="159">
        <f>'66 SYANA PRAROOP-20'!G147</f>
        <v>0</v>
      </c>
      <c r="Z146" s="160"/>
      <c r="AA146" s="160"/>
      <c r="AB146" s="168">
        <f>'66 SYANA PRAROOP-20'!H147</f>
        <v>3</v>
      </c>
      <c r="AC146" s="160"/>
      <c r="AD146" s="160"/>
      <c r="AE146" s="168">
        <f>'66 SYANA PRAROOP-20'!I147</f>
        <v>1</v>
      </c>
      <c r="AF146" s="160"/>
      <c r="AG146" s="160"/>
      <c r="AH146" s="168">
        <f>'66 SYANA PRAROOP-20'!J147</f>
        <v>0</v>
      </c>
      <c r="AI146" s="159">
        <f t="shared" si="8"/>
        <v>526</v>
      </c>
      <c r="AJ146" s="150">
        <f t="shared" si="6"/>
        <v>-3</v>
      </c>
    </row>
    <row r="147" spans="1:36" ht="89.25">
      <c r="A147" s="151">
        <v>66</v>
      </c>
      <c r="B147" s="155">
        <v>141</v>
      </c>
      <c r="C147" s="156" t="s">
        <v>1103</v>
      </c>
      <c r="D147" s="155">
        <v>916</v>
      </c>
      <c r="E147" s="151">
        <v>324</v>
      </c>
      <c r="F147" s="151">
        <v>247</v>
      </c>
      <c r="G147" s="151">
        <v>0</v>
      </c>
      <c r="H147" s="151">
        <f t="shared" si="7"/>
        <v>571</v>
      </c>
      <c r="I147" s="155">
        <v>103</v>
      </c>
      <c r="J147" s="151">
        <v>0</v>
      </c>
      <c r="K147" s="160"/>
      <c r="L147" s="160"/>
      <c r="M147" s="168">
        <f>'66 SYANA PRAROOP-20'!C148</f>
        <v>84</v>
      </c>
      <c r="N147" s="160"/>
      <c r="O147" s="160"/>
      <c r="P147" s="158">
        <f>'66 SYANA PRAROOP-20'!D148</f>
        <v>429</v>
      </c>
      <c r="Q147" s="160"/>
      <c r="R147" s="160"/>
      <c r="S147" s="158">
        <f>'66 SYANA PRAROOP-20'!E148</f>
        <v>5</v>
      </c>
      <c r="T147" s="160"/>
      <c r="U147" s="160"/>
      <c r="V147" s="159">
        <f>'66 SYANA PRAROOP-20'!F148</f>
        <v>45</v>
      </c>
      <c r="W147" s="160"/>
      <c r="X147" s="160"/>
      <c r="Y147" s="159">
        <f>'66 SYANA PRAROOP-20'!G148</f>
        <v>0</v>
      </c>
      <c r="Z147" s="160"/>
      <c r="AA147" s="160"/>
      <c r="AB147" s="168">
        <f>'66 SYANA PRAROOP-20'!H148</f>
        <v>3</v>
      </c>
      <c r="AC147" s="160"/>
      <c r="AD147" s="160"/>
      <c r="AE147" s="168">
        <f>'66 SYANA PRAROOP-20'!I148</f>
        <v>3</v>
      </c>
      <c r="AF147" s="160"/>
      <c r="AG147" s="160"/>
      <c r="AH147" s="168">
        <f>'66 SYANA PRAROOP-20'!J148</f>
        <v>0</v>
      </c>
      <c r="AI147" s="159">
        <f t="shared" si="8"/>
        <v>569</v>
      </c>
      <c r="AJ147" s="150">
        <f t="shared" si="6"/>
        <v>-2</v>
      </c>
    </row>
    <row r="148" spans="1:36" ht="89.25">
      <c r="A148" s="151">
        <v>66</v>
      </c>
      <c r="B148" s="155">
        <v>142</v>
      </c>
      <c r="C148" s="156" t="s">
        <v>1104</v>
      </c>
      <c r="D148" s="155">
        <v>729</v>
      </c>
      <c r="E148" s="151">
        <v>219</v>
      </c>
      <c r="F148" s="151">
        <v>201</v>
      </c>
      <c r="G148" s="151">
        <v>0</v>
      </c>
      <c r="H148" s="151">
        <f t="shared" si="7"/>
        <v>420</v>
      </c>
      <c r="I148" s="155">
        <v>117</v>
      </c>
      <c r="J148" s="151">
        <v>0</v>
      </c>
      <c r="K148" s="160"/>
      <c r="L148" s="160"/>
      <c r="M148" s="168">
        <f>'66 SYANA PRAROOP-20'!C149</f>
        <v>38</v>
      </c>
      <c r="N148" s="160"/>
      <c r="O148" s="160"/>
      <c r="P148" s="158">
        <f>'66 SYANA PRAROOP-20'!D149</f>
        <v>363</v>
      </c>
      <c r="Q148" s="160"/>
      <c r="R148" s="160"/>
      <c r="S148" s="158">
        <f>'66 SYANA PRAROOP-20'!E149</f>
        <v>4</v>
      </c>
      <c r="T148" s="160"/>
      <c r="U148" s="160"/>
      <c r="V148" s="159">
        <f>'66 SYANA PRAROOP-20'!F149</f>
        <v>11</v>
      </c>
      <c r="W148" s="160"/>
      <c r="X148" s="160"/>
      <c r="Y148" s="159">
        <f>'66 SYANA PRAROOP-20'!G149</f>
        <v>2</v>
      </c>
      <c r="Z148" s="160"/>
      <c r="AA148" s="160"/>
      <c r="AB148" s="168">
        <f>'66 SYANA PRAROOP-20'!H149</f>
        <v>1</v>
      </c>
      <c r="AC148" s="160"/>
      <c r="AD148" s="160"/>
      <c r="AE148" s="168">
        <f>'66 SYANA PRAROOP-20'!I149</f>
        <v>1</v>
      </c>
      <c r="AF148" s="160"/>
      <c r="AG148" s="160"/>
      <c r="AH148" s="168">
        <f>'66 SYANA PRAROOP-20'!J149</f>
        <v>0</v>
      </c>
      <c r="AI148" s="159">
        <f t="shared" si="8"/>
        <v>420</v>
      </c>
      <c r="AJ148" s="150">
        <f t="shared" si="6"/>
        <v>0</v>
      </c>
    </row>
    <row r="149" spans="1:36" ht="89.25">
      <c r="A149" s="151">
        <v>66</v>
      </c>
      <c r="B149" s="155">
        <v>143</v>
      </c>
      <c r="C149" s="156" t="s">
        <v>1105</v>
      </c>
      <c r="D149" s="155">
        <v>999</v>
      </c>
      <c r="E149" s="151">
        <v>329</v>
      </c>
      <c r="F149" s="151">
        <v>272</v>
      </c>
      <c r="G149" s="151">
        <v>0</v>
      </c>
      <c r="H149" s="151">
        <f t="shared" si="7"/>
        <v>601</v>
      </c>
      <c r="I149" s="155">
        <v>500</v>
      </c>
      <c r="J149" s="151">
        <v>0</v>
      </c>
      <c r="K149" s="160"/>
      <c r="L149" s="160"/>
      <c r="M149" s="168">
        <f>'66 SYANA PRAROOP-20'!C150</f>
        <v>200</v>
      </c>
      <c r="N149" s="160"/>
      <c r="O149" s="160"/>
      <c r="P149" s="158">
        <f>'66 SYANA PRAROOP-20'!D150</f>
        <v>312</v>
      </c>
      <c r="Q149" s="160"/>
      <c r="R149" s="160"/>
      <c r="S149" s="158">
        <f>'66 SYANA PRAROOP-20'!E150</f>
        <v>4</v>
      </c>
      <c r="T149" s="160"/>
      <c r="U149" s="160"/>
      <c r="V149" s="159">
        <f>'66 SYANA PRAROOP-20'!F150</f>
        <v>75</v>
      </c>
      <c r="W149" s="160"/>
      <c r="X149" s="160"/>
      <c r="Y149" s="159">
        <f>'66 SYANA PRAROOP-20'!G150</f>
        <v>2</v>
      </c>
      <c r="Z149" s="160"/>
      <c r="AA149" s="160"/>
      <c r="AB149" s="168">
        <f>'66 SYANA PRAROOP-20'!H150</f>
        <v>1</v>
      </c>
      <c r="AC149" s="160"/>
      <c r="AD149" s="160"/>
      <c r="AE149" s="168">
        <f>'66 SYANA PRAROOP-20'!I150</f>
        <v>2</v>
      </c>
      <c r="AF149" s="160"/>
      <c r="AG149" s="160"/>
      <c r="AH149" s="168">
        <f>'66 SYANA PRAROOP-20'!J150</f>
        <v>1</v>
      </c>
      <c r="AI149" s="159">
        <f t="shared" si="8"/>
        <v>597</v>
      </c>
      <c r="AJ149" s="150">
        <f t="shared" si="6"/>
        <v>-4</v>
      </c>
    </row>
    <row r="150" spans="1:36" ht="89.25">
      <c r="A150" s="151">
        <v>66</v>
      </c>
      <c r="B150" s="155">
        <v>144</v>
      </c>
      <c r="C150" s="156" t="s">
        <v>1106</v>
      </c>
      <c r="D150" s="155">
        <v>893</v>
      </c>
      <c r="E150" s="151">
        <v>260</v>
      </c>
      <c r="F150" s="151">
        <v>302</v>
      </c>
      <c r="G150" s="151">
        <v>0</v>
      </c>
      <c r="H150" s="151">
        <f t="shared" si="7"/>
        <v>562</v>
      </c>
      <c r="I150" s="155">
        <v>360</v>
      </c>
      <c r="J150" s="151">
        <v>0</v>
      </c>
      <c r="K150" s="160"/>
      <c r="L150" s="160"/>
      <c r="M150" s="168">
        <f>'66 SYANA PRAROOP-20'!C151</f>
        <v>257</v>
      </c>
      <c r="N150" s="160"/>
      <c r="O150" s="160"/>
      <c r="P150" s="158">
        <f>'66 SYANA PRAROOP-20'!D151</f>
        <v>255</v>
      </c>
      <c r="Q150" s="160"/>
      <c r="R150" s="160"/>
      <c r="S150" s="158">
        <f>'66 SYANA PRAROOP-20'!E151</f>
        <v>11</v>
      </c>
      <c r="T150" s="160"/>
      <c r="U150" s="160"/>
      <c r="V150" s="159">
        <f>'66 SYANA PRAROOP-20'!F151</f>
        <v>32</v>
      </c>
      <c r="W150" s="160"/>
      <c r="X150" s="160"/>
      <c r="Y150" s="159">
        <f>'66 SYANA PRAROOP-20'!G151</f>
        <v>2</v>
      </c>
      <c r="Z150" s="160"/>
      <c r="AA150" s="160"/>
      <c r="AB150" s="168">
        <f>'66 SYANA PRAROOP-20'!H151</f>
        <v>1</v>
      </c>
      <c r="AC150" s="160"/>
      <c r="AD150" s="160"/>
      <c r="AE150" s="168">
        <f>'66 SYANA PRAROOP-20'!I151</f>
        <v>4</v>
      </c>
      <c r="AF150" s="160"/>
      <c r="AG150" s="160"/>
      <c r="AH150" s="168">
        <f>'66 SYANA PRAROOP-20'!J151</f>
        <v>0</v>
      </c>
      <c r="AI150" s="159">
        <f t="shared" si="8"/>
        <v>562</v>
      </c>
      <c r="AJ150" s="150">
        <f t="shared" si="6"/>
        <v>0</v>
      </c>
    </row>
    <row r="151" spans="1:36" ht="89.25">
      <c r="A151" s="151">
        <v>66</v>
      </c>
      <c r="B151" s="155">
        <v>145</v>
      </c>
      <c r="C151" s="156" t="s">
        <v>1107</v>
      </c>
      <c r="D151" s="155">
        <v>1015</v>
      </c>
      <c r="E151" s="151">
        <v>353</v>
      </c>
      <c r="F151" s="151">
        <v>307</v>
      </c>
      <c r="G151" s="151">
        <v>0</v>
      </c>
      <c r="H151" s="151">
        <f t="shared" si="7"/>
        <v>660</v>
      </c>
      <c r="I151" s="155">
        <v>102</v>
      </c>
      <c r="J151" s="151">
        <v>0</v>
      </c>
      <c r="K151" s="160"/>
      <c r="L151" s="160"/>
      <c r="M151" s="168">
        <f>'66 SYANA PRAROOP-20'!C152</f>
        <v>256</v>
      </c>
      <c r="N151" s="160"/>
      <c r="O151" s="160"/>
      <c r="P151" s="158">
        <f>'66 SYANA PRAROOP-20'!D152</f>
        <v>342</v>
      </c>
      <c r="Q151" s="160"/>
      <c r="R151" s="160"/>
      <c r="S151" s="158">
        <f>'66 SYANA PRAROOP-20'!E152</f>
        <v>10</v>
      </c>
      <c r="T151" s="160"/>
      <c r="U151" s="160"/>
      <c r="V151" s="159">
        <f>'66 SYANA PRAROOP-20'!F152</f>
        <v>41</v>
      </c>
      <c r="W151" s="160"/>
      <c r="X151" s="160"/>
      <c r="Y151" s="159">
        <f>'66 SYANA PRAROOP-20'!G152</f>
        <v>6</v>
      </c>
      <c r="Z151" s="160"/>
      <c r="AA151" s="160"/>
      <c r="AB151" s="168">
        <f>'66 SYANA PRAROOP-20'!H152</f>
        <v>2</v>
      </c>
      <c r="AC151" s="160"/>
      <c r="AD151" s="160"/>
      <c r="AE151" s="168">
        <f>'66 SYANA PRAROOP-20'!I152</f>
        <v>1</v>
      </c>
      <c r="AF151" s="160"/>
      <c r="AG151" s="160"/>
      <c r="AH151" s="168">
        <f>'66 SYANA PRAROOP-20'!J152</f>
        <v>1</v>
      </c>
      <c r="AI151" s="159">
        <f t="shared" si="8"/>
        <v>659</v>
      </c>
      <c r="AJ151" s="150">
        <f t="shared" si="6"/>
        <v>-1</v>
      </c>
    </row>
    <row r="152" spans="1:36" ht="89.25">
      <c r="A152" s="151">
        <v>66</v>
      </c>
      <c r="B152" s="155">
        <v>146</v>
      </c>
      <c r="C152" s="156" t="s">
        <v>1108</v>
      </c>
      <c r="D152" s="155">
        <v>998</v>
      </c>
      <c r="E152" s="151">
        <v>318</v>
      </c>
      <c r="F152" s="151">
        <v>252</v>
      </c>
      <c r="G152" s="151">
        <v>0</v>
      </c>
      <c r="H152" s="151">
        <f t="shared" si="7"/>
        <v>570</v>
      </c>
      <c r="I152" s="155">
        <v>80</v>
      </c>
      <c r="J152" s="151">
        <v>0</v>
      </c>
      <c r="K152" s="160"/>
      <c r="L152" s="160"/>
      <c r="M152" s="168">
        <f>'66 SYANA PRAROOP-20'!C153</f>
        <v>222</v>
      </c>
      <c r="N152" s="160"/>
      <c r="O152" s="160"/>
      <c r="P152" s="158">
        <f>'66 SYANA PRAROOP-20'!D153</f>
        <v>303</v>
      </c>
      <c r="Q152" s="160"/>
      <c r="R152" s="160"/>
      <c r="S152" s="158">
        <f>'66 SYANA PRAROOP-20'!E153</f>
        <v>4</v>
      </c>
      <c r="T152" s="160"/>
      <c r="U152" s="160"/>
      <c r="V152" s="159">
        <f>'66 SYANA PRAROOP-20'!F153</f>
        <v>25</v>
      </c>
      <c r="W152" s="160"/>
      <c r="X152" s="160"/>
      <c r="Y152" s="159">
        <f>'66 SYANA PRAROOP-20'!G153</f>
        <v>7</v>
      </c>
      <c r="Z152" s="160"/>
      <c r="AA152" s="160"/>
      <c r="AB152" s="168">
        <f>'66 SYANA PRAROOP-20'!H153</f>
        <v>5</v>
      </c>
      <c r="AC152" s="160"/>
      <c r="AD152" s="160"/>
      <c r="AE152" s="168">
        <f>'66 SYANA PRAROOP-20'!I153</f>
        <v>0</v>
      </c>
      <c r="AF152" s="160"/>
      <c r="AG152" s="160"/>
      <c r="AH152" s="168">
        <f>'66 SYANA PRAROOP-20'!J153</f>
        <v>1</v>
      </c>
      <c r="AI152" s="159">
        <f t="shared" si="8"/>
        <v>567</v>
      </c>
      <c r="AJ152" s="150">
        <f t="shared" si="6"/>
        <v>-3</v>
      </c>
    </row>
    <row r="153" spans="1:36" ht="89.25">
      <c r="A153" s="151">
        <v>66</v>
      </c>
      <c r="B153" s="155">
        <v>147</v>
      </c>
      <c r="C153" s="156" t="s">
        <v>1109</v>
      </c>
      <c r="D153" s="155">
        <v>954</v>
      </c>
      <c r="E153" s="151">
        <v>313</v>
      </c>
      <c r="F153" s="151">
        <v>271</v>
      </c>
      <c r="G153" s="151">
        <v>0</v>
      </c>
      <c r="H153" s="151">
        <f t="shared" si="7"/>
        <v>584</v>
      </c>
      <c r="I153" s="155">
        <v>413</v>
      </c>
      <c r="J153" s="151">
        <v>0</v>
      </c>
      <c r="K153" s="160"/>
      <c r="L153" s="160"/>
      <c r="M153" s="168">
        <f>'66 SYANA PRAROOP-20'!C154</f>
        <v>108</v>
      </c>
      <c r="N153" s="160"/>
      <c r="O153" s="160"/>
      <c r="P153" s="158">
        <f>'66 SYANA PRAROOP-20'!D154</f>
        <v>436</v>
      </c>
      <c r="Q153" s="160"/>
      <c r="R153" s="160"/>
      <c r="S153" s="158">
        <f>'66 SYANA PRAROOP-20'!E154</f>
        <v>3</v>
      </c>
      <c r="T153" s="160"/>
      <c r="U153" s="160"/>
      <c r="V153" s="159">
        <f>'66 SYANA PRAROOP-20'!F154</f>
        <v>31</v>
      </c>
      <c r="W153" s="160"/>
      <c r="X153" s="160"/>
      <c r="Y153" s="159">
        <f>'66 SYANA PRAROOP-20'!G154</f>
        <v>0</v>
      </c>
      <c r="Z153" s="160"/>
      <c r="AA153" s="160"/>
      <c r="AB153" s="168">
        <f>'66 SYANA PRAROOP-20'!H154</f>
        <v>0</v>
      </c>
      <c r="AC153" s="160"/>
      <c r="AD153" s="160"/>
      <c r="AE153" s="168">
        <f>'66 SYANA PRAROOP-20'!I154</f>
        <v>1</v>
      </c>
      <c r="AF153" s="160"/>
      <c r="AG153" s="160"/>
      <c r="AH153" s="168">
        <f>'66 SYANA PRAROOP-20'!J154</f>
        <v>1</v>
      </c>
      <c r="AI153" s="159">
        <f t="shared" si="8"/>
        <v>580</v>
      </c>
      <c r="AJ153" s="150">
        <f t="shared" si="6"/>
        <v>-4</v>
      </c>
    </row>
    <row r="154" spans="1:36" ht="51">
      <c r="A154" s="151">
        <v>66</v>
      </c>
      <c r="B154" s="155">
        <v>148</v>
      </c>
      <c r="C154" s="156" t="s">
        <v>819</v>
      </c>
      <c r="D154" s="155">
        <v>1045</v>
      </c>
      <c r="E154" s="151">
        <v>414</v>
      </c>
      <c r="F154" s="151">
        <v>335</v>
      </c>
      <c r="G154" s="151">
        <v>0</v>
      </c>
      <c r="H154" s="151">
        <f t="shared" si="7"/>
        <v>749</v>
      </c>
      <c r="I154" s="155">
        <v>504</v>
      </c>
      <c r="J154" s="151">
        <v>0</v>
      </c>
      <c r="K154" s="160"/>
      <c r="L154" s="160"/>
      <c r="M154" s="168">
        <f>'66 SYANA PRAROOP-20'!C155</f>
        <v>182</v>
      </c>
      <c r="N154" s="160"/>
      <c r="O154" s="160"/>
      <c r="P154" s="158">
        <f>'66 SYANA PRAROOP-20'!D155</f>
        <v>354</v>
      </c>
      <c r="Q154" s="160"/>
      <c r="R154" s="160"/>
      <c r="S154" s="158">
        <f>'66 SYANA PRAROOP-20'!E155</f>
        <v>9</v>
      </c>
      <c r="T154" s="160"/>
      <c r="U154" s="160"/>
      <c r="V154" s="159">
        <f>'66 SYANA PRAROOP-20'!F155</f>
        <v>185</v>
      </c>
      <c r="W154" s="160"/>
      <c r="X154" s="160"/>
      <c r="Y154" s="159">
        <f>'66 SYANA PRAROOP-20'!G155</f>
        <v>3</v>
      </c>
      <c r="Z154" s="160"/>
      <c r="AA154" s="160"/>
      <c r="AB154" s="168">
        <f>'66 SYANA PRAROOP-20'!H155</f>
        <v>3</v>
      </c>
      <c r="AC154" s="160"/>
      <c r="AD154" s="160"/>
      <c r="AE154" s="168">
        <f>'66 SYANA PRAROOP-20'!I155</f>
        <v>7</v>
      </c>
      <c r="AF154" s="160"/>
      <c r="AG154" s="160"/>
      <c r="AH154" s="168">
        <f>'66 SYANA PRAROOP-20'!J155</f>
        <v>1</v>
      </c>
      <c r="AI154" s="159">
        <f t="shared" si="8"/>
        <v>744</v>
      </c>
      <c r="AJ154" s="150">
        <f t="shared" si="6"/>
        <v>-5</v>
      </c>
    </row>
    <row r="155" spans="1:36" ht="51">
      <c r="A155" s="151">
        <v>66</v>
      </c>
      <c r="B155" s="155">
        <v>149</v>
      </c>
      <c r="C155" s="156" t="s">
        <v>820</v>
      </c>
      <c r="D155" s="155">
        <v>633</v>
      </c>
      <c r="E155" s="151">
        <v>236</v>
      </c>
      <c r="F155" s="151">
        <v>201</v>
      </c>
      <c r="G155" s="151">
        <v>0</v>
      </c>
      <c r="H155" s="151">
        <f t="shared" si="7"/>
        <v>437</v>
      </c>
      <c r="I155" s="155">
        <v>336</v>
      </c>
      <c r="J155" s="151">
        <v>0</v>
      </c>
      <c r="K155" s="160"/>
      <c r="L155" s="160"/>
      <c r="M155" s="168">
        <f>'66 SYANA PRAROOP-20'!C156</f>
        <v>52</v>
      </c>
      <c r="N155" s="160"/>
      <c r="O155" s="160"/>
      <c r="P155" s="158">
        <f>'66 SYANA PRAROOP-20'!D156</f>
        <v>236</v>
      </c>
      <c r="Q155" s="160"/>
      <c r="R155" s="160"/>
      <c r="S155" s="158">
        <f>'66 SYANA PRAROOP-20'!E156</f>
        <v>7</v>
      </c>
      <c r="T155" s="160"/>
      <c r="U155" s="160"/>
      <c r="V155" s="159">
        <f>'66 SYANA PRAROOP-20'!F156</f>
        <v>135</v>
      </c>
      <c r="W155" s="160"/>
      <c r="X155" s="160"/>
      <c r="Y155" s="159">
        <f>'66 SYANA PRAROOP-20'!G156</f>
        <v>0</v>
      </c>
      <c r="Z155" s="160"/>
      <c r="AA155" s="160"/>
      <c r="AB155" s="168">
        <f>'66 SYANA PRAROOP-20'!H156</f>
        <v>1</v>
      </c>
      <c r="AC155" s="160"/>
      <c r="AD155" s="160"/>
      <c r="AE155" s="168">
        <f>'66 SYANA PRAROOP-20'!I156</f>
        <v>2</v>
      </c>
      <c r="AF155" s="160"/>
      <c r="AG155" s="160"/>
      <c r="AH155" s="168">
        <f>'66 SYANA PRAROOP-20'!J156</f>
        <v>1</v>
      </c>
      <c r="AI155" s="159">
        <f t="shared" si="8"/>
        <v>434</v>
      </c>
      <c r="AJ155" s="150">
        <f t="shared" si="6"/>
        <v>-3</v>
      </c>
    </row>
    <row r="156" spans="1:36" ht="51">
      <c r="A156" s="151">
        <v>66</v>
      </c>
      <c r="B156" s="155">
        <v>150</v>
      </c>
      <c r="C156" s="156" t="s">
        <v>821</v>
      </c>
      <c r="D156" s="155">
        <v>944</v>
      </c>
      <c r="E156" s="151">
        <v>297</v>
      </c>
      <c r="F156" s="151">
        <v>271</v>
      </c>
      <c r="G156" s="151">
        <v>0</v>
      </c>
      <c r="H156" s="151">
        <f t="shared" si="7"/>
        <v>568</v>
      </c>
      <c r="I156" s="155">
        <v>45</v>
      </c>
      <c r="J156" s="151">
        <v>0</v>
      </c>
      <c r="K156" s="160"/>
      <c r="L156" s="160"/>
      <c r="M156" s="168">
        <f>'66 SYANA PRAROOP-20'!C157</f>
        <v>95</v>
      </c>
      <c r="N156" s="160"/>
      <c r="O156" s="160"/>
      <c r="P156" s="158">
        <f>'66 SYANA PRAROOP-20'!D157</f>
        <v>393</v>
      </c>
      <c r="Q156" s="160"/>
      <c r="R156" s="160"/>
      <c r="S156" s="158">
        <f>'66 SYANA PRAROOP-20'!E157</f>
        <v>3</v>
      </c>
      <c r="T156" s="160"/>
      <c r="U156" s="160"/>
      <c r="V156" s="159">
        <f>'66 SYANA PRAROOP-20'!F157</f>
        <v>57</v>
      </c>
      <c r="W156" s="160"/>
      <c r="X156" s="160"/>
      <c r="Y156" s="159">
        <f>'66 SYANA PRAROOP-20'!G157</f>
        <v>2</v>
      </c>
      <c r="Z156" s="160"/>
      <c r="AA156" s="160"/>
      <c r="AB156" s="168">
        <f>'66 SYANA PRAROOP-20'!H157</f>
        <v>3</v>
      </c>
      <c r="AC156" s="160"/>
      <c r="AD156" s="160"/>
      <c r="AE156" s="168">
        <f>'66 SYANA PRAROOP-20'!I157</f>
        <v>7</v>
      </c>
      <c r="AF156" s="160"/>
      <c r="AG156" s="160"/>
      <c r="AH156" s="168">
        <f>'66 SYANA PRAROOP-20'!J157</f>
        <v>2</v>
      </c>
      <c r="AI156" s="159">
        <f t="shared" si="8"/>
        <v>562</v>
      </c>
      <c r="AJ156" s="150">
        <f t="shared" si="6"/>
        <v>-6</v>
      </c>
    </row>
    <row r="157" spans="1:36" ht="51">
      <c r="A157" s="151">
        <v>66</v>
      </c>
      <c r="B157" s="155">
        <v>151</v>
      </c>
      <c r="C157" s="156" t="s">
        <v>822</v>
      </c>
      <c r="D157" s="155">
        <v>625</v>
      </c>
      <c r="E157" s="151">
        <v>202</v>
      </c>
      <c r="F157" s="151">
        <v>211</v>
      </c>
      <c r="G157" s="151">
        <v>0</v>
      </c>
      <c r="H157" s="151">
        <f t="shared" si="7"/>
        <v>413</v>
      </c>
      <c r="I157" s="155">
        <v>102</v>
      </c>
      <c r="J157" s="151">
        <v>0</v>
      </c>
      <c r="K157" s="160"/>
      <c r="L157" s="160"/>
      <c r="M157" s="168">
        <f>'66 SYANA PRAROOP-20'!C158</f>
        <v>20</v>
      </c>
      <c r="N157" s="160"/>
      <c r="O157" s="160"/>
      <c r="P157" s="158">
        <f>'66 SYANA PRAROOP-20'!D158</f>
        <v>308</v>
      </c>
      <c r="Q157" s="160"/>
      <c r="R157" s="160"/>
      <c r="S157" s="158">
        <f>'66 SYANA PRAROOP-20'!E158</f>
        <v>2</v>
      </c>
      <c r="T157" s="160"/>
      <c r="U157" s="160"/>
      <c r="V157" s="159">
        <f>'66 SYANA PRAROOP-20'!F158</f>
        <v>74</v>
      </c>
      <c r="W157" s="160"/>
      <c r="X157" s="160"/>
      <c r="Y157" s="159">
        <f>'66 SYANA PRAROOP-20'!G158</f>
        <v>1</v>
      </c>
      <c r="Z157" s="160"/>
      <c r="AA157" s="160"/>
      <c r="AB157" s="168">
        <f>'66 SYANA PRAROOP-20'!H158</f>
        <v>3</v>
      </c>
      <c r="AC157" s="160"/>
      <c r="AD157" s="160"/>
      <c r="AE157" s="168">
        <f>'66 SYANA PRAROOP-20'!I158</f>
        <v>0</v>
      </c>
      <c r="AF157" s="160"/>
      <c r="AG157" s="160"/>
      <c r="AH157" s="168">
        <f>'66 SYANA PRAROOP-20'!J158</f>
        <v>4</v>
      </c>
      <c r="AI157" s="159">
        <f t="shared" si="8"/>
        <v>412</v>
      </c>
      <c r="AJ157" s="150">
        <f t="shared" si="6"/>
        <v>-1</v>
      </c>
    </row>
    <row r="158" spans="1:36" ht="76.5">
      <c r="A158" s="151">
        <v>66</v>
      </c>
      <c r="B158" s="155">
        <v>152</v>
      </c>
      <c r="C158" s="156" t="s">
        <v>823</v>
      </c>
      <c r="D158" s="155">
        <v>937</v>
      </c>
      <c r="E158" s="151">
        <v>332</v>
      </c>
      <c r="F158" s="151">
        <v>278</v>
      </c>
      <c r="G158" s="151">
        <v>0</v>
      </c>
      <c r="H158" s="151">
        <f t="shared" si="7"/>
        <v>610</v>
      </c>
      <c r="I158" s="155">
        <v>430</v>
      </c>
      <c r="J158" s="151">
        <v>0</v>
      </c>
      <c r="K158" s="160"/>
      <c r="L158" s="160"/>
      <c r="M158" s="168">
        <f>'66 SYANA PRAROOP-20'!C159</f>
        <v>193</v>
      </c>
      <c r="N158" s="160"/>
      <c r="O158" s="160"/>
      <c r="P158" s="158">
        <f>'66 SYANA PRAROOP-20'!D159</f>
        <v>129</v>
      </c>
      <c r="Q158" s="160"/>
      <c r="R158" s="160"/>
      <c r="S158" s="158">
        <f>'66 SYANA PRAROOP-20'!E159</f>
        <v>3</v>
      </c>
      <c r="T158" s="160"/>
      <c r="U158" s="160"/>
      <c r="V158" s="159">
        <f>'66 SYANA PRAROOP-20'!F159</f>
        <v>282</v>
      </c>
      <c r="W158" s="160"/>
      <c r="X158" s="160"/>
      <c r="Y158" s="159">
        <f>'66 SYANA PRAROOP-20'!G159</f>
        <v>3</v>
      </c>
      <c r="Z158" s="160"/>
      <c r="AA158" s="160"/>
      <c r="AB158" s="168">
        <f>'66 SYANA PRAROOP-20'!H159</f>
        <v>0</v>
      </c>
      <c r="AC158" s="160"/>
      <c r="AD158" s="160"/>
      <c r="AE158" s="168">
        <f>'66 SYANA PRAROOP-20'!I159</f>
        <v>0</v>
      </c>
      <c r="AF158" s="160"/>
      <c r="AG158" s="160"/>
      <c r="AH158" s="168">
        <f>'66 SYANA PRAROOP-20'!J159</f>
        <v>0</v>
      </c>
      <c r="AI158" s="159">
        <f t="shared" si="8"/>
        <v>610</v>
      </c>
      <c r="AJ158" s="150">
        <f t="shared" si="6"/>
        <v>0</v>
      </c>
    </row>
    <row r="159" spans="1:36" ht="76.5">
      <c r="A159" s="151">
        <v>66</v>
      </c>
      <c r="B159" s="155">
        <v>153</v>
      </c>
      <c r="C159" s="156" t="s">
        <v>824</v>
      </c>
      <c r="D159" s="155">
        <v>1120</v>
      </c>
      <c r="E159" s="151">
        <v>415</v>
      </c>
      <c r="F159" s="151">
        <v>406</v>
      </c>
      <c r="G159" s="151">
        <v>0</v>
      </c>
      <c r="H159" s="151">
        <f t="shared" si="7"/>
        <v>821</v>
      </c>
      <c r="I159" s="155">
        <v>72</v>
      </c>
      <c r="J159" s="151">
        <v>0</v>
      </c>
      <c r="K159" s="160"/>
      <c r="L159" s="160"/>
      <c r="M159" s="168">
        <f>'66 SYANA PRAROOP-20'!C160</f>
        <v>114</v>
      </c>
      <c r="N159" s="160"/>
      <c r="O159" s="160"/>
      <c r="P159" s="158">
        <f>'66 SYANA PRAROOP-20'!D160</f>
        <v>666</v>
      </c>
      <c r="Q159" s="160"/>
      <c r="R159" s="160"/>
      <c r="S159" s="158">
        <f>'66 SYANA PRAROOP-20'!E160</f>
        <v>7</v>
      </c>
      <c r="T159" s="160"/>
      <c r="U159" s="160"/>
      <c r="V159" s="159">
        <f>'66 SYANA PRAROOP-20'!F160</f>
        <v>14</v>
      </c>
      <c r="W159" s="160"/>
      <c r="X159" s="160"/>
      <c r="Y159" s="159">
        <f>'66 SYANA PRAROOP-20'!G160</f>
        <v>1</v>
      </c>
      <c r="Z159" s="160"/>
      <c r="AA159" s="160"/>
      <c r="AB159" s="168">
        <f>'66 SYANA PRAROOP-20'!H160</f>
        <v>5</v>
      </c>
      <c r="AC159" s="160"/>
      <c r="AD159" s="160"/>
      <c r="AE159" s="168">
        <f>'66 SYANA PRAROOP-20'!I160</f>
        <v>1</v>
      </c>
      <c r="AF159" s="160"/>
      <c r="AG159" s="160"/>
      <c r="AH159" s="168">
        <f>'66 SYANA PRAROOP-20'!J160</f>
        <v>8</v>
      </c>
      <c r="AI159" s="159">
        <f t="shared" si="8"/>
        <v>816</v>
      </c>
      <c r="AJ159" s="150">
        <f t="shared" si="6"/>
        <v>-5</v>
      </c>
    </row>
    <row r="160" spans="1:36" ht="63.75">
      <c r="A160" s="151">
        <v>66</v>
      </c>
      <c r="B160" s="155">
        <v>154</v>
      </c>
      <c r="C160" s="156" t="s">
        <v>1110</v>
      </c>
      <c r="D160" s="155">
        <v>614</v>
      </c>
      <c r="E160" s="151">
        <v>225</v>
      </c>
      <c r="F160" s="151">
        <v>204</v>
      </c>
      <c r="G160" s="151">
        <v>0</v>
      </c>
      <c r="H160" s="151">
        <f t="shared" si="7"/>
        <v>429</v>
      </c>
      <c r="I160" s="155">
        <v>429</v>
      </c>
      <c r="J160" s="151">
        <v>0</v>
      </c>
      <c r="K160" s="160"/>
      <c r="L160" s="160"/>
      <c r="M160" s="168">
        <f>'66 SYANA PRAROOP-20'!C161</f>
        <v>40</v>
      </c>
      <c r="N160" s="160"/>
      <c r="O160" s="160"/>
      <c r="P160" s="158">
        <f>'66 SYANA PRAROOP-20'!D161</f>
        <v>367</v>
      </c>
      <c r="Q160" s="160"/>
      <c r="R160" s="160"/>
      <c r="S160" s="158">
        <f>'66 SYANA PRAROOP-20'!E161</f>
        <v>4</v>
      </c>
      <c r="T160" s="160"/>
      <c r="U160" s="160"/>
      <c r="V160" s="159">
        <f>'66 SYANA PRAROOP-20'!F161</f>
        <v>13</v>
      </c>
      <c r="W160" s="160"/>
      <c r="X160" s="160"/>
      <c r="Y160" s="159">
        <f>'66 SYANA PRAROOP-20'!G161</f>
        <v>0</v>
      </c>
      <c r="Z160" s="160"/>
      <c r="AA160" s="160"/>
      <c r="AB160" s="168">
        <f>'66 SYANA PRAROOP-20'!H161</f>
        <v>2</v>
      </c>
      <c r="AC160" s="160"/>
      <c r="AD160" s="160"/>
      <c r="AE160" s="168">
        <f>'66 SYANA PRAROOP-20'!I161</f>
        <v>1</v>
      </c>
      <c r="AF160" s="160"/>
      <c r="AG160" s="160"/>
      <c r="AH160" s="168">
        <f>'66 SYANA PRAROOP-20'!J161</f>
        <v>1</v>
      </c>
      <c r="AI160" s="159">
        <f t="shared" si="8"/>
        <v>428</v>
      </c>
      <c r="AJ160" s="150">
        <f t="shared" si="6"/>
        <v>-1</v>
      </c>
    </row>
    <row r="161" spans="1:36" ht="63.75">
      <c r="A161" s="151">
        <v>66</v>
      </c>
      <c r="B161" s="155">
        <v>155</v>
      </c>
      <c r="C161" s="156" t="s">
        <v>1111</v>
      </c>
      <c r="D161" s="155">
        <v>601</v>
      </c>
      <c r="E161" s="151">
        <v>179</v>
      </c>
      <c r="F161" s="151">
        <v>196</v>
      </c>
      <c r="G161" s="151">
        <v>0</v>
      </c>
      <c r="H161" s="151">
        <f t="shared" si="7"/>
        <v>375</v>
      </c>
      <c r="I161" s="155">
        <v>330</v>
      </c>
      <c r="J161" s="151">
        <v>0</v>
      </c>
      <c r="K161" s="160"/>
      <c r="L161" s="160"/>
      <c r="M161" s="168">
        <f>'66 SYANA PRAROOP-20'!C162</f>
        <v>70</v>
      </c>
      <c r="N161" s="160"/>
      <c r="O161" s="160"/>
      <c r="P161" s="158">
        <f>'66 SYANA PRAROOP-20'!D162</f>
        <v>300</v>
      </c>
      <c r="Q161" s="160"/>
      <c r="R161" s="160"/>
      <c r="S161" s="158">
        <f>'66 SYANA PRAROOP-20'!E162</f>
        <v>1</v>
      </c>
      <c r="T161" s="160"/>
      <c r="U161" s="160"/>
      <c r="V161" s="159">
        <f>'66 SYANA PRAROOP-20'!F162</f>
        <v>2</v>
      </c>
      <c r="W161" s="160"/>
      <c r="X161" s="160"/>
      <c r="Y161" s="159">
        <f>'66 SYANA PRAROOP-20'!G162</f>
        <v>0</v>
      </c>
      <c r="Z161" s="160"/>
      <c r="AA161" s="160"/>
      <c r="AB161" s="168">
        <f>'66 SYANA PRAROOP-20'!H162</f>
        <v>0</v>
      </c>
      <c r="AC161" s="160"/>
      <c r="AD161" s="160"/>
      <c r="AE161" s="168">
        <f>'66 SYANA PRAROOP-20'!I162</f>
        <v>1</v>
      </c>
      <c r="AF161" s="160"/>
      <c r="AG161" s="160"/>
      <c r="AH161" s="168">
        <f>'66 SYANA PRAROOP-20'!J162</f>
        <v>0</v>
      </c>
      <c r="AI161" s="159">
        <f t="shared" si="8"/>
        <v>374</v>
      </c>
      <c r="AJ161" s="150">
        <f t="shared" si="6"/>
        <v>-1</v>
      </c>
    </row>
    <row r="162" spans="1:36" ht="51">
      <c r="A162" s="151">
        <v>66</v>
      </c>
      <c r="B162" s="155">
        <v>156</v>
      </c>
      <c r="C162" s="156" t="s">
        <v>1112</v>
      </c>
      <c r="D162" s="155">
        <v>873</v>
      </c>
      <c r="E162" s="151">
        <v>293</v>
      </c>
      <c r="F162" s="151">
        <v>244</v>
      </c>
      <c r="G162" s="151">
        <v>0</v>
      </c>
      <c r="H162" s="151">
        <f t="shared" si="7"/>
        <v>537</v>
      </c>
      <c r="I162" s="155">
        <v>333</v>
      </c>
      <c r="J162" s="151">
        <v>0</v>
      </c>
      <c r="K162" s="160"/>
      <c r="L162" s="160"/>
      <c r="M162" s="168">
        <f>'66 SYANA PRAROOP-20'!C163</f>
        <v>10</v>
      </c>
      <c r="N162" s="160"/>
      <c r="O162" s="160"/>
      <c r="P162" s="158">
        <f>'66 SYANA PRAROOP-20'!D163</f>
        <v>471</v>
      </c>
      <c r="Q162" s="160"/>
      <c r="R162" s="160"/>
      <c r="S162" s="158">
        <f>'66 SYANA PRAROOP-20'!E163</f>
        <v>4</v>
      </c>
      <c r="T162" s="160"/>
      <c r="U162" s="160"/>
      <c r="V162" s="159">
        <f>'66 SYANA PRAROOP-20'!F163</f>
        <v>35</v>
      </c>
      <c r="W162" s="160"/>
      <c r="X162" s="160"/>
      <c r="Y162" s="159">
        <f>'66 SYANA PRAROOP-20'!G163</f>
        <v>0</v>
      </c>
      <c r="Z162" s="160"/>
      <c r="AA162" s="160"/>
      <c r="AB162" s="168">
        <f>'66 SYANA PRAROOP-20'!H163</f>
        <v>11</v>
      </c>
      <c r="AC162" s="160"/>
      <c r="AD162" s="160"/>
      <c r="AE162" s="168">
        <f>'66 SYANA PRAROOP-20'!I163</f>
        <v>4</v>
      </c>
      <c r="AF162" s="160"/>
      <c r="AG162" s="160"/>
      <c r="AH162" s="168">
        <f>'66 SYANA PRAROOP-20'!J163</f>
        <v>0</v>
      </c>
      <c r="AI162" s="159">
        <f t="shared" si="8"/>
        <v>535</v>
      </c>
      <c r="AJ162" s="150">
        <f t="shared" si="6"/>
        <v>-2</v>
      </c>
    </row>
    <row r="163" spans="1:36" ht="51">
      <c r="A163" s="151">
        <v>66</v>
      </c>
      <c r="B163" s="155">
        <v>157</v>
      </c>
      <c r="C163" s="156" t="s">
        <v>1113</v>
      </c>
      <c r="D163" s="155">
        <v>863</v>
      </c>
      <c r="E163" s="151">
        <v>319</v>
      </c>
      <c r="F163" s="151">
        <v>285</v>
      </c>
      <c r="G163" s="151">
        <v>0</v>
      </c>
      <c r="H163" s="151">
        <f t="shared" si="7"/>
        <v>604</v>
      </c>
      <c r="I163" s="155">
        <v>79</v>
      </c>
      <c r="J163" s="151">
        <v>0</v>
      </c>
      <c r="K163" s="160"/>
      <c r="L163" s="160"/>
      <c r="M163" s="168">
        <f>'66 SYANA PRAROOP-20'!C164</f>
        <v>29</v>
      </c>
      <c r="N163" s="160"/>
      <c r="O163" s="160"/>
      <c r="P163" s="158">
        <f>'66 SYANA PRAROOP-20'!D164</f>
        <v>272</v>
      </c>
      <c r="Q163" s="160"/>
      <c r="R163" s="160"/>
      <c r="S163" s="158">
        <f>'66 SYANA PRAROOP-20'!E164</f>
        <v>7</v>
      </c>
      <c r="T163" s="160"/>
      <c r="U163" s="160"/>
      <c r="V163" s="159">
        <f>'66 SYANA PRAROOP-20'!F164</f>
        <v>282</v>
      </c>
      <c r="W163" s="160"/>
      <c r="X163" s="160"/>
      <c r="Y163" s="159">
        <f>'66 SYANA PRAROOP-20'!G164</f>
        <v>5</v>
      </c>
      <c r="Z163" s="160"/>
      <c r="AA163" s="160"/>
      <c r="AB163" s="168">
        <f>'66 SYANA PRAROOP-20'!H164</f>
        <v>8</v>
      </c>
      <c r="AC163" s="160"/>
      <c r="AD163" s="160"/>
      <c r="AE163" s="168">
        <f>'66 SYANA PRAROOP-20'!I164</f>
        <v>0</v>
      </c>
      <c r="AF163" s="160"/>
      <c r="AG163" s="160"/>
      <c r="AH163" s="168">
        <f>'66 SYANA PRAROOP-20'!J164</f>
        <v>0</v>
      </c>
      <c r="AI163" s="159">
        <f t="shared" si="8"/>
        <v>603</v>
      </c>
      <c r="AJ163" s="150">
        <f t="shared" si="6"/>
        <v>-1</v>
      </c>
    </row>
    <row r="164" spans="1:36" ht="51">
      <c r="A164" s="151">
        <v>66</v>
      </c>
      <c r="B164" s="155">
        <v>158</v>
      </c>
      <c r="C164" s="156" t="s">
        <v>1114</v>
      </c>
      <c r="D164" s="155">
        <v>822</v>
      </c>
      <c r="E164" s="151">
        <v>243</v>
      </c>
      <c r="F164" s="151">
        <v>218</v>
      </c>
      <c r="G164" s="151">
        <v>0</v>
      </c>
      <c r="H164" s="151">
        <f t="shared" si="7"/>
        <v>461</v>
      </c>
      <c r="I164" s="155">
        <v>61</v>
      </c>
      <c r="J164" s="151">
        <v>0</v>
      </c>
      <c r="K164" s="160"/>
      <c r="L164" s="160"/>
      <c r="M164" s="168">
        <f>'66 SYANA PRAROOP-20'!C165</f>
        <v>29</v>
      </c>
      <c r="N164" s="160"/>
      <c r="O164" s="160"/>
      <c r="P164" s="158">
        <f>'66 SYANA PRAROOP-20'!D165</f>
        <v>245</v>
      </c>
      <c r="Q164" s="160"/>
      <c r="R164" s="160"/>
      <c r="S164" s="158">
        <f>'66 SYANA PRAROOP-20'!E165</f>
        <v>21</v>
      </c>
      <c r="T164" s="160"/>
      <c r="U164" s="160"/>
      <c r="V164" s="159">
        <f>'66 SYANA PRAROOP-20'!F165</f>
        <v>145</v>
      </c>
      <c r="W164" s="160"/>
      <c r="X164" s="160"/>
      <c r="Y164" s="159">
        <f>'66 SYANA PRAROOP-20'!G165</f>
        <v>2</v>
      </c>
      <c r="Z164" s="160"/>
      <c r="AA164" s="160"/>
      <c r="AB164" s="168">
        <f>'66 SYANA PRAROOP-20'!H165</f>
        <v>10</v>
      </c>
      <c r="AC164" s="160"/>
      <c r="AD164" s="160"/>
      <c r="AE164" s="168">
        <f>'66 SYANA PRAROOP-20'!I165</f>
        <v>7</v>
      </c>
      <c r="AF164" s="160"/>
      <c r="AG164" s="160"/>
      <c r="AH164" s="168">
        <f>'66 SYANA PRAROOP-20'!J165</f>
        <v>0</v>
      </c>
      <c r="AI164" s="159">
        <f t="shared" si="8"/>
        <v>459</v>
      </c>
      <c r="AJ164" s="150">
        <f t="shared" si="6"/>
        <v>-2</v>
      </c>
    </row>
    <row r="165" spans="1:36" ht="51">
      <c r="A165" s="151">
        <v>66</v>
      </c>
      <c r="B165" s="155">
        <v>159</v>
      </c>
      <c r="C165" s="156" t="s">
        <v>825</v>
      </c>
      <c r="D165" s="155">
        <v>725</v>
      </c>
      <c r="E165" s="151">
        <v>311</v>
      </c>
      <c r="F165" s="151">
        <v>296</v>
      </c>
      <c r="G165" s="151">
        <v>0</v>
      </c>
      <c r="H165" s="151">
        <f t="shared" si="7"/>
        <v>607</v>
      </c>
      <c r="I165" s="155">
        <v>39</v>
      </c>
      <c r="J165" s="151">
        <v>0</v>
      </c>
      <c r="K165" s="160"/>
      <c r="L165" s="160"/>
      <c r="M165" s="168">
        <f>'66 SYANA PRAROOP-20'!C166</f>
        <v>13</v>
      </c>
      <c r="N165" s="160"/>
      <c r="O165" s="160"/>
      <c r="P165" s="158">
        <f>'66 SYANA PRAROOP-20'!D166</f>
        <v>574</v>
      </c>
      <c r="Q165" s="160"/>
      <c r="R165" s="160"/>
      <c r="S165" s="158">
        <f>'66 SYANA PRAROOP-20'!E166</f>
        <v>2</v>
      </c>
      <c r="T165" s="160"/>
      <c r="U165" s="160"/>
      <c r="V165" s="159">
        <f>'66 SYANA PRAROOP-20'!F166</f>
        <v>7</v>
      </c>
      <c r="W165" s="160"/>
      <c r="X165" s="160"/>
      <c r="Y165" s="159">
        <f>'66 SYANA PRAROOP-20'!G166</f>
        <v>2</v>
      </c>
      <c r="Z165" s="160"/>
      <c r="AA165" s="160"/>
      <c r="AB165" s="168">
        <f>'66 SYANA PRAROOP-20'!H166</f>
        <v>3</v>
      </c>
      <c r="AC165" s="160"/>
      <c r="AD165" s="160"/>
      <c r="AE165" s="168">
        <f>'66 SYANA PRAROOP-20'!I166</f>
        <v>4</v>
      </c>
      <c r="AF165" s="160"/>
      <c r="AG165" s="160"/>
      <c r="AH165" s="168">
        <f>'66 SYANA PRAROOP-20'!J166</f>
        <v>1</v>
      </c>
      <c r="AI165" s="159">
        <f t="shared" si="8"/>
        <v>606</v>
      </c>
      <c r="AJ165" s="150">
        <f t="shared" si="6"/>
        <v>-1</v>
      </c>
    </row>
    <row r="166" spans="1:36" ht="51">
      <c r="A166" s="151">
        <v>66</v>
      </c>
      <c r="B166" s="155">
        <v>160</v>
      </c>
      <c r="C166" s="156" t="s">
        <v>826</v>
      </c>
      <c r="D166" s="155">
        <v>718</v>
      </c>
      <c r="E166" s="151">
        <v>267</v>
      </c>
      <c r="F166" s="151">
        <v>291</v>
      </c>
      <c r="G166" s="151">
        <v>0</v>
      </c>
      <c r="H166" s="151">
        <f t="shared" si="7"/>
        <v>558</v>
      </c>
      <c r="I166" s="155">
        <v>38</v>
      </c>
      <c r="J166" s="151">
        <v>0</v>
      </c>
      <c r="K166" s="160"/>
      <c r="L166" s="160"/>
      <c r="M166" s="168">
        <f>'66 SYANA PRAROOP-20'!C167</f>
        <v>16</v>
      </c>
      <c r="N166" s="160"/>
      <c r="O166" s="160"/>
      <c r="P166" s="158">
        <f>'66 SYANA PRAROOP-20'!D167</f>
        <v>520</v>
      </c>
      <c r="Q166" s="160"/>
      <c r="R166" s="160"/>
      <c r="S166" s="158">
        <f>'66 SYANA PRAROOP-20'!E167</f>
        <v>2</v>
      </c>
      <c r="T166" s="160"/>
      <c r="U166" s="160"/>
      <c r="V166" s="159">
        <f>'66 SYANA PRAROOP-20'!F167</f>
        <v>12</v>
      </c>
      <c r="W166" s="160"/>
      <c r="X166" s="160"/>
      <c r="Y166" s="159">
        <f>'66 SYANA PRAROOP-20'!G167</f>
        <v>0</v>
      </c>
      <c r="Z166" s="160"/>
      <c r="AA166" s="160"/>
      <c r="AB166" s="168">
        <f>'66 SYANA PRAROOP-20'!H167</f>
        <v>3</v>
      </c>
      <c r="AC166" s="160"/>
      <c r="AD166" s="160"/>
      <c r="AE166" s="168">
        <f>'66 SYANA PRAROOP-20'!I167</f>
        <v>4</v>
      </c>
      <c r="AF166" s="160"/>
      <c r="AG166" s="160"/>
      <c r="AH166" s="168">
        <f>'66 SYANA PRAROOP-20'!J167</f>
        <v>1</v>
      </c>
      <c r="AI166" s="159">
        <f t="shared" si="8"/>
        <v>558</v>
      </c>
      <c r="AJ166" s="150">
        <f t="shared" si="6"/>
        <v>0</v>
      </c>
    </row>
    <row r="167" spans="1:36" ht="51">
      <c r="A167" s="151">
        <v>66</v>
      </c>
      <c r="B167" s="155">
        <v>161</v>
      </c>
      <c r="C167" s="156" t="s">
        <v>1115</v>
      </c>
      <c r="D167" s="155">
        <v>794</v>
      </c>
      <c r="E167" s="151">
        <v>231</v>
      </c>
      <c r="F167" s="151">
        <v>213</v>
      </c>
      <c r="G167" s="151">
        <v>0</v>
      </c>
      <c r="H167" s="151">
        <f t="shared" si="7"/>
        <v>444</v>
      </c>
      <c r="I167" s="155">
        <v>38</v>
      </c>
      <c r="J167" s="151">
        <v>0</v>
      </c>
      <c r="K167" s="160"/>
      <c r="L167" s="160"/>
      <c r="M167" s="168">
        <f>'66 SYANA PRAROOP-20'!C168</f>
        <v>100</v>
      </c>
      <c r="N167" s="160"/>
      <c r="O167" s="160"/>
      <c r="P167" s="158">
        <f>'66 SYANA PRAROOP-20'!D168</f>
        <v>211</v>
      </c>
      <c r="Q167" s="160"/>
      <c r="R167" s="160"/>
      <c r="S167" s="158">
        <f>'66 SYANA PRAROOP-20'!E168</f>
        <v>8</v>
      </c>
      <c r="T167" s="160"/>
      <c r="U167" s="160"/>
      <c r="V167" s="159">
        <f>'66 SYANA PRAROOP-20'!F168</f>
        <v>81</v>
      </c>
      <c r="W167" s="160"/>
      <c r="X167" s="160"/>
      <c r="Y167" s="159">
        <f>'66 SYANA PRAROOP-20'!G168</f>
        <v>41</v>
      </c>
      <c r="Z167" s="160"/>
      <c r="AA167" s="160"/>
      <c r="AB167" s="168">
        <f>'66 SYANA PRAROOP-20'!H168</f>
        <v>1</v>
      </c>
      <c r="AC167" s="160"/>
      <c r="AD167" s="160"/>
      <c r="AE167" s="168">
        <f>'66 SYANA PRAROOP-20'!I168</f>
        <v>1</v>
      </c>
      <c r="AF167" s="160"/>
      <c r="AG167" s="160"/>
      <c r="AH167" s="168">
        <f>'66 SYANA PRAROOP-20'!J168</f>
        <v>1</v>
      </c>
      <c r="AI167" s="159">
        <f t="shared" si="8"/>
        <v>444</v>
      </c>
      <c r="AJ167" s="150">
        <f t="shared" si="6"/>
        <v>0</v>
      </c>
    </row>
    <row r="168" spans="1:36" ht="51">
      <c r="A168" s="151">
        <v>66</v>
      </c>
      <c r="B168" s="155">
        <v>162</v>
      </c>
      <c r="C168" s="156" t="s">
        <v>1116</v>
      </c>
      <c r="D168" s="155">
        <v>843</v>
      </c>
      <c r="E168" s="151">
        <v>228</v>
      </c>
      <c r="F168" s="151">
        <v>181</v>
      </c>
      <c r="G168" s="151">
        <v>0</v>
      </c>
      <c r="H168" s="151">
        <f t="shared" si="7"/>
        <v>409</v>
      </c>
      <c r="I168" s="155">
        <v>381</v>
      </c>
      <c r="J168" s="151">
        <v>0</v>
      </c>
      <c r="K168" s="160"/>
      <c r="L168" s="160"/>
      <c r="M168" s="168">
        <f>'66 SYANA PRAROOP-20'!C169</f>
        <v>53</v>
      </c>
      <c r="N168" s="160"/>
      <c r="O168" s="160"/>
      <c r="P168" s="158">
        <f>'66 SYANA PRAROOP-20'!D169</f>
        <v>329</v>
      </c>
      <c r="Q168" s="160"/>
      <c r="R168" s="160"/>
      <c r="S168" s="158">
        <f>'66 SYANA PRAROOP-20'!E169</f>
        <v>15</v>
      </c>
      <c r="T168" s="160"/>
      <c r="U168" s="160"/>
      <c r="V168" s="159">
        <f>'66 SYANA PRAROOP-20'!F169</f>
        <v>2</v>
      </c>
      <c r="W168" s="160"/>
      <c r="X168" s="160"/>
      <c r="Y168" s="159">
        <f>'66 SYANA PRAROOP-20'!G169</f>
        <v>5</v>
      </c>
      <c r="Z168" s="160"/>
      <c r="AA168" s="160"/>
      <c r="AB168" s="168">
        <f>'66 SYANA PRAROOP-20'!H169</f>
        <v>2</v>
      </c>
      <c r="AC168" s="160"/>
      <c r="AD168" s="160"/>
      <c r="AE168" s="168">
        <f>'66 SYANA PRAROOP-20'!I169</f>
        <v>1</v>
      </c>
      <c r="AF168" s="160"/>
      <c r="AG168" s="160"/>
      <c r="AH168" s="168">
        <f>'66 SYANA PRAROOP-20'!J169</f>
        <v>1</v>
      </c>
      <c r="AI168" s="159">
        <f t="shared" si="8"/>
        <v>408</v>
      </c>
      <c r="AJ168" s="150">
        <f t="shared" si="6"/>
        <v>-1</v>
      </c>
    </row>
    <row r="169" spans="1:36" ht="38.25">
      <c r="A169" s="151">
        <v>66</v>
      </c>
      <c r="B169" s="155">
        <v>163</v>
      </c>
      <c r="C169" s="156" t="s">
        <v>827</v>
      </c>
      <c r="D169" s="155">
        <v>1129</v>
      </c>
      <c r="E169" s="151">
        <v>384</v>
      </c>
      <c r="F169" s="151">
        <v>360</v>
      </c>
      <c r="G169" s="151">
        <v>0</v>
      </c>
      <c r="H169" s="151">
        <f t="shared" si="7"/>
        <v>744</v>
      </c>
      <c r="I169" s="155">
        <v>46</v>
      </c>
      <c r="J169" s="151">
        <v>0</v>
      </c>
      <c r="K169" s="160"/>
      <c r="L169" s="160"/>
      <c r="M169" s="168">
        <f>'66 SYANA PRAROOP-20'!C170</f>
        <v>85</v>
      </c>
      <c r="N169" s="160"/>
      <c r="O169" s="160"/>
      <c r="P169" s="158">
        <f>'66 SYANA PRAROOP-20'!D170</f>
        <v>631</v>
      </c>
      <c r="Q169" s="160"/>
      <c r="R169" s="160"/>
      <c r="S169" s="158">
        <f>'66 SYANA PRAROOP-20'!E170</f>
        <v>1</v>
      </c>
      <c r="T169" s="160"/>
      <c r="U169" s="160"/>
      <c r="V169" s="159">
        <f>'66 SYANA PRAROOP-20'!F170</f>
        <v>7</v>
      </c>
      <c r="W169" s="160"/>
      <c r="X169" s="160"/>
      <c r="Y169" s="159">
        <f>'66 SYANA PRAROOP-20'!G170</f>
        <v>0</v>
      </c>
      <c r="Z169" s="160"/>
      <c r="AA169" s="160"/>
      <c r="AB169" s="168">
        <f>'66 SYANA PRAROOP-20'!H170</f>
        <v>14</v>
      </c>
      <c r="AC169" s="160"/>
      <c r="AD169" s="160"/>
      <c r="AE169" s="168">
        <f>'66 SYANA PRAROOP-20'!I170</f>
        <v>3</v>
      </c>
      <c r="AF169" s="160"/>
      <c r="AG169" s="160"/>
      <c r="AH169" s="168">
        <f>'66 SYANA PRAROOP-20'!J170</f>
        <v>2</v>
      </c>
      <c r="AI169" s="159">
        <f t="shared" si="8"/>
        <v>743</v>
      </c>
      <c r="AJ169" s="150">
        <f t="shared" si="6"/>
        <v>-1</v>
      </c>
    </row>
    <row r="170" spans="1:36" ht="51">
      <c r="A170" s="151">
        <v>66</v>
      </c>
      <c r="B170" s="155">
        <v>164</v>
      </c>
      <c r="C170" s="156" t="s">
        <v>828</v>
      </c>
      <c r="D170" s="155">
        <v>866</v>
      </c>
      <c r="E170" s="151">
        <v>292</v>
      </c>
      <c r="F170" s="151">
        <v>241</v>
      </c>
      <c r="G170" s="151">
        <v>0</v>
      </c>
      <c r="H170" s="151">
        <f t="shared" si="7"/>
        <v>533</v>
      </c>
      <c r="I170" s="155">
        <v>256</v>
      </c>
      <c r="J170" s="151">
        <v>0</v>
      </c>
      <c r="K170" s="160"/>
      <c r="L170" s="160"/>
      <c r="M170" s="168">
        <f>'66 SYANA PRAROOP-20'!C171</f>
        <v>75</v>
      </c>
      <c r="N170" s="160"/>
      <c r="O170" s="160"/>
      <c r="P170" s="158">
        <f>'66 SYANA PRAROOP-20'!D171</f>
        <v>202</v>
      </c>
      <c r="Q170" s="160"/>
      <c r="R170" s="160"/>
      <c r="S170" s="158">
        <f>'66 SYANA PRAROOP-20'!E171</f>
        <v>5</v>
      </c>
      <c r="T170" s="160"/>
      <c r="U170" s="160"/>
      <c r="V170" s="159">
        <f>'66 SYANA PRAROOP-20'!F171</f>
        <v>233</v>
      </c>
      <c r="W170" s="160"/>
      <c r="X170" s="160"/>
      <c r="Y170" s="159">
        <f>'66 SYANA PRAROOP-20'!G171</f>
        <v>8</v>
      </c>
      <c r="Z170" s="160"/>
      <c r="AA170" s="160"/>
      <c r="AB170" s="168">
        <f>'66 SYANA PRAROOP-20'!H171</f>
        <v>4</v>
      </c>
      <c r="AC170" s="160"/>
      <c r="AD170" s="160"/>
      <c r="AE170" s="168">
        <f>'66 SYANA PRAROOP-20'!I171</f>
        <v>3</v>
      </c>
      <c r="AF170" s="160"/>
      <c r="AG170" s="160"/>
      <c r="AH170" s="168">
        <f>'66 SYANA PRAROOP-20'!J171</f>
        <v>0</v>
      </c>
      <c r="AI170" s="159">
        <f t="shared" si="8"/>
        <v>530</v>
      </c>
      <c r="AJ170" s="150">
        <f t="shared" si="6"/>
        <v>-3</v>
      </c>
    </row>
    <row r="171" spans="1:36" ht="51">
      <c r="A171" s="151">
        <v>66</v>
      </c>
      <c r="B171" s="155">
        <v>165</v>
      </c>
      <c r="C171" s="156" t="s">
        <v>829</v>
      </c>
      <c r="D171" s="155">
        <v>880</v>
      </c>
      <c r="E171" s="151">
        <v>276</v>
      </c>
      <c r="F171" s="151">
        <v>269</v>
      </c>
      <c r="G171" s="151">
        <v>0</v>
      </c>
      <c r="H171" s="151">
        <f t="shared" si="7"/>
        <v>545</v>
      </c>
      <c r="I171" s="155">
        <v>34</v>
      </c>
      <c r="J171" s="151">
        <v>0</v>
      </c>
      <c r="K171" s="160"/>
      <c r="L171" s="160"/>
      <c r="M171" s="168">
        <f>'66 SYANA PRAROOP-20'!C172</f>
        <v>24</v>
      </c>
      <c r="N171" s="160"/>
      <c r="O171" s="160"/>
      <c r="P171" s="158">
        <f>'66 SYANA PRAROOP-20'!D172</f>
        <v>503</v>
      </c>
      <c r="Q171" s="160"/>
      <c r="R171" s="160"/>
      <c r="S171" s="158">
        <f>'66 SYANA PRAROOP-20'!E172</f>
        <v>5</v>
      </c>
      <c r="T171" s="160"/>
      <c r="U171" s="160"/>
      <c r="V171" s="159">
        <f>'66 SYANA PRAROOP-20'!F172</f>
        <v>3</v>
      </c>
      <c r="W171" s="160"/>
      <c r="X171" s="160"/>
      <c r="Y171" s="159">
        <f>'66 SYANA PRAROOP-20'!G172</f>
        <v>0</v>
      </c>
      <c r="Z171" s="160"/>
      <c r="AA171" s="160"/>
      <c r="AB171" s="168">
        <f>'66 SYANA PRAROOP-20'!H172</f>
        <v>3</v>
      </c>
      <c r="AC171" s="160"/>
      <c r="AD171" s="160"/>
      <c r="AE171" s="168">
        <f>'66 SYANA PRAROOP-20'!I172</f>
        <v>0</v>
      </c>
      <c r="AF171" s="160"/>
      <c r="AG171" s="160"/>
      <c r="AH171" s="168">
        <f>'66 SYANA PRAROOP-20'!J172</f>
        <v>5</v>
      </c>
      <c r="AI171" s="159">
        <f t="shared" si="8"/>
        <v>543</v>
      </c>
      <c r="AJ171" s="150">
        <f t="shared" si="6"/>
        <v>-2</v>
      </c>
    </row>
    <row r="172" spans="1:36" ht="51">
      <c r="A172" s="151">
        <v>66</v>
      </c>
      <c r="B172" s="155">
        <v>166</v>
      </c>
      <c r="C172" s="156" t="s">
        <v>830</v>
      </c>
      <c r="D172" s="155">
        <v>875</v>
      </c>
      <c r="E172" s="151">
        <v>327</v>
      </c>
      <c r="F172" s="151">
        <v>291</v>
      </c>
      <c r="G172" s="151">
        <v>0</v>
      </c>
      <c r="H172" s="151">
        <f t="shared" si="7"/>
        <v>618</v>
      </c>
      <c r="I172" s="155">
        <v>100</v>
      </c>
      <c r="J172" s="151">
        <v>0</v>
      </c>
      <c r="K172" s="160"/>
      <c r="L172" s="160"/>
      <c r="M172" s="168">
        <f>'66 SYANA PRAROOP-20'!C173</f>
        <v>9</v>
      </c>
      <c r="N172" s="160"/>
      <c r="O172" s="160"/>
      <c r="P172" s="158">
        <f>'66 SYANA PRAROOP-20'!D173</f>
        <v>599</v>
      </c>
      <c r="Q172" s="160"/>
      <c r="R172" s="160"/>
      <c r="S172" s="158">
        <f>'66 SYANA PRAROOP-20'!E173</f>
        <v>1</v>
      </c>
      <c r="T172" s="160"/>
      <c r="U172" s="160"/>
      <c r="V172" s="159">
        <f>'66 SYANA PRAROOP-20'!F173</f>
        <v>2</v>
      </c>
      <c r="W172" s="160"/>
      <c r="X172" s="160"/>
      <c r="Y172" s="159">
        <f>'66 SYANA PRAROOP-20'!G173</f>
        <v>0</v>
      </c>
      <c r="Z172" s="160"/>
      <c r="AA172" s="160"/>
      <c r="AB172" s="168">
        <f>'66 SYANA PRAROOP-20'!H173</f>
        <v>1</v>
      </c>
      <c r="AC172" s="160"/>
      <c r="AD172" s="160"/>
      <c r="AE172" s="168">
        <f>'66 SYANA PRAROOP-20'!I173</f>
        <v>1</v>
      </c>
      <c r="AF172" s="160"/>
      <c r="AG172" s="160"/>
      <c r="AH172" s="168">
        <f>'66 SYANA PRAROOP-20'!J173</f>
        <v>5</v>
      </c>
      <c r="AI172" s="159">
        <f t="shared" si="8"/>
        <v>618</v>
      </c>
      <c r="AJ172" s="150">
        <f t="shared" si="6"/>
        <v>0</v>
      </c>
    </row>
    <row r="173" spans="1:36" ht="63.75">
      <c r="A173" s="151">
        <v>66</v>
      </c>
      <c r="B173" s="155">
        <v>167</v>
      </c>
      <c r="C173" s="156" t="s">
        <v>831</v>
      </c>
      <c r="D173" s="155">
        <v>773</v>
      </c>
      <c r="E173" s="151">
        <v>245</v>
      </c>
      <c r="F173" s="151">
        <v>242</v>
      </c>
      <c r="G173" s="151">
        <v>0</v>
      </c>
      <c r="H173" s="151">
        <f t="shared" si="7"/>
        <v>487</v>
      </c>
      <c r="I173" s="155">
        <v>187</v>
      </c>
      <c r="J173" s="151">
        <v>0</v>
      </c>
      <c r="K173" s="160"/>
      <c r="L173" s="160"/>
      <c r="M173" s="168">
        <f>'66 SYANA PRAROOP-20'!C174</f>
        <v>288</v>
      </c>
      <c r="N173" s="160"/>
      <c r="O173" s="160"/>
      <c r="P173" s="158">
        <f>'66 SYANA PRAROOP-20'!D174</f>
        <v>187</v>
      </c>
      <c r="Q173" s="160"/>
      <c r="R173" s="160"/>
      <c r="S173" s="158">
        <f>'66 SYANA PRAROOP-20'!E174</f>
        <v>2</v>
      </c>
      <c r="T173" s="160"/>
      <c r="U173" s="160"/>
      <c r="V173" s="159">
        <f>'66 SYANA PRAROOP-20'!F174</f>
        <v>1</v>
      </c>
      <c r="W173" s="160"/>
      <c r="X173" s="160"/>
      <c r="Y173" s="159">
        <f>'66 SYANA PRAROOP-20'!G174</f>
        <v>1</v>
      </c>
      <c r="Z173" s="160"/>
      <c r="AA173" s="160"/>
      <c r="AB173" s="168">
        <f>'66 SYANA PRAROOP-20'!H174</f>
        <v>1</v>
      </c>
      <c r="AC173" s="160"/>
      <c r="AD173" s="160"/>
      <c r="AE173" s="168">
        <f>'66 SYANA PRAROOP-20'!I174</f>
        <v>2</v>
      </c>
      <c r="AF173" s="160"/>
      <c r="AG173" s="160"/>
      <c r="AH173" s="168">
        <f>'66 SYANA PRAROOP-20'!J174</f>
        <v>2</v>
      </c>
      <c r="AI173" s="159">
        <f t="shared" si="8"/>
        <v>484</v>
      </c>
      <c r="AJ173" s="150">
        <f t="shared" si="6"/>
        <v>-3</v>
      </c>
    </row>
    <row r="174" spans="1:36" ht="63.75">
      <c r="A174" s="151">
        <v>66</v>
      </c>
      <c r="B174" s="155">
        <v>168</v>
      </c>
      <c r="C174" s="156" t="s">
        <v>832</v>
      </c>
      <c r="D174" s="155">
        <v>846</v>
      </c>
      <c r="E174" s="151">
        <v>247</v>
      </c>
      <c r="F174" s="151">
        <v>218</v>
      </c>
      <c r="G174" s="151">
        <v>0</v>
      </c>
      <c r="H174" s="151">
        <f t="shared" si="7"/>
        <v>465</v>
      </c>
      <c r="I174" s="155">
        <v>85</v>
      </c>
      <c r="J174" s="151">
        <v>0</v>
      </c>
      <c r="K174" s="160"/>
      <c r="L174" s="160"/>
      <c r="M174" s="168">
        <f>'66 SYANA PRAROOP-20'!C175</f>
        <v>363</v>
      </c>
      <c r="N174" s="160"/>
      <c r="O174" s="160"/>
      <c r="P174" s="158">
        <f>'66 SYANA PRAROOP-20'!D175</f>
        <v>93</v>
      </c>
      <c r="Q174" s="160"/>
      <c r="R174" s="160"/>
      <c r="S174" s="158">
        <f>'66 SYANA PRAROOP-20'!E175</f>
        <v>0</v>
      </c>
      <c r="T174" s="160"/>
      <c r="U174" s="160"/>
      <c r="V174" s="159">
        <f>'66 SYANA PRAROOP-20'!F175</f>
        <v>3</v>
      </c>
      <c r="W174" s="160"/>
      <c r="X174" s="160"/>
      <c r="Y174" s="159">
        <f>'66 SYANA PRAROOP-20'!G175</f>
        <v>0</v>
      </c>
      <c r="Z174" s="160"/>
      <c r="AA174" s="160"/>
      <c r="AB174" s="168">
        <f>'66 SYANA PRAROOP-20'!H175</f>
        <v>1</v>
      </c>
      <c r="AC174" s="160"/>
      <c r="AD174" s="160"/>
      <c r="AE174" s="168">
        <f>'66 SYANA PRAROOP-20'!I175</f>
        <v>0</v>
      </c>
      <c r="AF174" s="160"/>
      <c r="AG174" s="160"/>
      <c r="AH174" s="168">
        <f>'66 SYANA PRAROOP-20'!J175</f>
        <v>0</v>
      </c>
      <c r="AI174" s="159">
        <f t="shared" si="8"/>
        <v>460</v>
      </c>
      <c r="AJ174" s="150">
        <f t="shared" si="6"/>
        <v>-5</v>
      </c>
    </row>
    <row r="175" spans="1:36" ht="63.75">
      <c r="A175" s="151">
        <v>66</v>
      </c>
      <c r="B175" s="155">
        <v>169</v>
      </c>
      <c r="C175" s="156" t="s">
        <v>833</v>
      </c>
      <c r="D175" s="155">
        <v>818</v>
      </c>
      <c r="E175" s="151">
        <v>284</v>
      </c>
      <c r="F175" s="151">
        <v>238</v>
      </c>
      <c r="G175" s="151">
        <v>0</v>
      </c>
      <c r="H175" s="151">
        <f t="shared" si="7"/>
        <v>522</v>
      </c>
      <c r="I175" s="155">
        <v>62</v>
      </c>
      <c r="J175" s="151">
        <v>0</v>
      </c>
      <c r="K175" s="160"/>
      <c r="L175" s="160"/>
      <c r="M175" s="168">
        <f>'66 SYANA PRAROOP-20'!C176</f>
        <v>194</v>
      </c>
      <c r="N175" s="160"/>
      <c r="O175" s="160"/>
      <c r="P175" s="158">
        <f>'66 SYANA PRAROOP-20'!D176</f>
        <v>304</v>
      </c>
      <c r="Q175" s="160"/>
      <c r="R175" s="160"/>
      <c r="S175" s="158">
        <f>'66 SYANA PRAROOP-20'!E176</f>
        <v>2</v>
      </c>
      <c r="T175" s="160"/>
      <c r="U175" s="160"/>
      <c r="V175" s="159">
        <f>'66 SYANA PRAROOP-20'!F176</f>
        <v>5</v>
      </c>
      <c r="W175" s="160"/>
      <c r="X175" s="160"/>
      <c r="Y175" s="159">
        <f>'66 SYANA PRAROOP-20'!G176</f>
        <v>1</v>
      </c>
      <c r="Z175" s="160"/>
      <c r="AA175" s="160"/>
      <c r="AB175" s="168">
        <f>'66 SYANA PRAROOP-20'!H176</f>
        <v>13</v>
      </c>
      <c r="AC175" s="160"/>
      <c r="AD175" s="160"/>
      <c r="AE175" s="168">
        <f>'66 SYANA PRAROOP-20'!I176</f>
        <v>2</v>
      </c>
      <c r="AF175" s="160"/>
      <c r="AG175" s="160"/>
      <c r="AH175" s="168">
        <f>'66 SYANA PRAROOP-20'!J176</f>
        <v>0</v>
      </c>
      <c r="AI175" s="159">
        <f t="shared" si="8"/>
        <v>521</v>
      </c>
      <c r="AJ175" s="150">
        <f t="shared" si="6"/>
        <v>-1</v>
      </c>
    </row>
    <row r="176" spans="1:36" ht="63.75">
      <c r="A176" s="151">
        <v>66</v>
      </c>
      <c r="B176" s="155">
        <v>170</v>
      </c>
      <c r="C176" s="156" t="s">
        <v>834</v>
      </c>
      <c r="D176" s="155">
        <v>847</v>
      </c>
      <c r="E176" s="151">
        <v>276</v>
      </c>
      <c r="F176" s="151">
        <v>227</v>
      </c>
      <c r="G176" s="151">
        <v>0</v>
      </c>
      <c r="H176" s="151">
        <f t="shared" si="7"/>
        <v>503</v>
      </c>
      <c r="I176" s="155">
        <v>85</v>
      </c>
      <c r="J176" s="151">
        <v>0</v>
      </c>
      <c r="K176" s="160"/>
      <c r="L176" s="160"/>
      <c r="M176" s="168">
        <f>'66 SYANA PRAROOP-20'!C177</f>
        <v>189</v>
      </c>
      <c r="N176" s="160"/>
      <c r="O176" s="160"/>
      <c r="P176" s="158">
        <f>'66 SYANA PRAROOP-20'!D177</f>
        <v>101</v>
      </c>
      <c r="Q176" s="160"/>
      <c r="R176" s="160"/>
      <c r="S176" s="158">
        <f>'66 SYANA PRAROOP-20'!E177</f>
        <v>1</v>
      </c>
      <c r="T176" s="160"/>
      <c r="U176" s="160"/>
      <c r="V176" s="159">
        <f>'66 SYANA PRAROOP-20'!F177</f>
        <v>207</v>
      </c>
      <c r="W176" s="160"/>
      <c r="X176" s="160"/>
      <c r="Y176" s="159">
        <f>'66 SYANA PRAROOP-20'!G177</f>
        <v>0</v>
      </c>
      <c r="Z176" s="160"/>
      <c r="AA176" s="160"/>
      <c r="AB176" s="168">
        <f>'66 SYANA PRAROOP-20'!H177</f>
        <v>1</v>
      </c>
      <c r="AC176" s="160"/>
      <c r="AD176" s="160"/>
      <c r="AE176" s="168">
        <f>'66 SYANA PRAROOP-20'!I177</f>
        <v>0</v>
      </c>
      <c r="AF176" s="160"/>
      <c r="AG176" s="160"/>
      <c r="AH176" s="168">
        <f>'66 SYANA PRAROOP-20'!J177</f>
        <v>1</v>
      </c>
      <c r="AI176" s="159">
        <f t="shared" si="8"/>
        <v>500</v>
      </c>
      <c r="AJ176" s="150">
        <f t="shared" si="6"/>
        <v>-3</v>
      </c>
    </row>
    <row r="177" spans="1:36" ht="63.75">
      <c r="A177" s="151">
        <v>66</v>
      </c>
      <c r="B177" s="155">
        <v>171</v>
      </c>
      <c r="C177" s="156" t="s">
        <v>835</v>
      </c>
      <c r="D177" s="155">
        <v>1114</v>
      </c>
      <c r="E177" s="151">
        <v>382</v>
      </c>
      <c r="F177" s="151">
        <v>325</v>
      </c>
      <c r="G177" s="151">
        <v>0</v>
      </c>
      <c r="H177" s="151">
        <f t="shared" si="7"/>
        <v>707</v>
      </c>
      <c r="I177" s="155">
        <v>89</v>
      </c>
      <c r="J177" s="151">
        <v>0</v>
      </c>
      <c r="K177" s="160"/>
      <c r="L177" s="160"/>
      <c r="M177" s="168">
        <f>'66 SYANA PRAROOP-20'!C178</f>
        <v>28</v>
      </c>
      <c r="N177" s="160"/>
      <c r="O177" s="160"/>
      <c r="P177" s="158">
        <f>'66 SYANA PRAROOP-20'!D178</f>
        <v>107</v>
      </c>
      <c r="Q177" s="160"/>
      <c r="R177" s="160"/>
      <c r="S177" s="158">
        <f>'66 SYANA PRAROOP-20'!E178</f>
        <v>4</v>
      </c>
      <c r="T177" s="160"/>
      <c r="U177" s="160"/>
      <c r="V177" s="159">
        <f>'66 SYANA PRAROOP-20'!F178</f>
        <v>553</v>
      </c>
      <c r="W177" s="160"/>
      <c r="X177" s="160"/>
      <c r="Y177" s="159">
        <f>'66 SYANA PRAROOP-20'!G178</f>
        <v>0</v>
      </c>
      <c r="Z177" s="160"/>
      <c r="AA177" s="160"/>
      <c r="AB177" s="168">
        <f>'66 SYANA PRAROOP-20'!H178</f>
        <v>10</v>
      </c>
      <c r="AC177" s="160"/>
      <c r="AD177" s="160"/>
      <c r="AE177" s="168">
        <f>'66 SYANA PRAROOP-20'!I178</f>
        <v>1</v>
      </c>
      <c r="AF177" s="160"/>
      <c r="AG177" s="160"/>
      <c r="AH177" s="168">
        <f>'66 SYANA PRAROOP-20'!J178</f>
        <v>1</v>
      </c>
      <c r="AI177" s="159">
        <f t="shared" si="8"/>
        <v>704</v>
      </c>
      <c r="AJ177" s="150">
        <f t="shared" si="6"/>
        <v>-3</v>
      </c>
    </row>
    <row r="178" spans="1:36" ht="51">
      <c r="A178" s="151">
        <v>66</v>
      </c>
      <c r="B178" s="155">
        <v>172</v>
      </c>
      <c r="C178" s="156" t="s">
        <v>1117</v>
      </c>
      <c r="D178" s="155">
        <v>833</v>
      </c>
      <c r="E178" s="151">
        <v>281</v>
      </c>
      <c r="F178" s="151">
        <v>231</v>
      </c>
      <c r="G178" s="151">
        <v>0</v>
      </c>
      <c r="H178" s="151">
        <f t="shared" si="7"/>
        <v>512</v>
      </c>
      <c r="I178" s="155">
        <v>259</v>
      </c>
      <c r="J178" s="151">
        <v>0</v>
      </c>
      <c r="K178" s="160"/>
      <c r="L178" s="160"/>
      <c r="M178" s="168">
        <f>'66 SYANA PRAROOP-20'!C179</f>
        <v>7</v>
      </c>
      <c r="N178" s="160"/>
      <c r="O178" s="160"/>
      <c r="P178" s="158">
        <f>'66 SYANA PRAROOP-20'!D179</f>
        <v>371</v>
      </c>
      <c r="Q178" s="160"/>
      <c r="R178" s="160"/>
      <c r="S178" s="158">
        <f>'66 SYANA PRAROOP-20'!E179</f>
        <v>3</v>
      </c>
      <c r="T178" s="160"/>
      <c r="U178" s="160"/>
      <c r="V178" s="159">
        <f>'66 SYANA PRAROOP-20'!F179</f>
        <v>124</v>
      </c>
      <c r="W178" s="160"/>
      <c r="X178" s="160"/>
      <c r="Y178" s="159">
        <f>'66 SYANA PRAROOP-20'!G179</f>
        <v>1</v>
      </c>
      <c r="Z178" s="160"/>
      <c r="AA178" s="160"/>
      <c r="AB178" s="168">
        <f>'66 SYANA PRAROOP-20'!H179</f>
        <v>3</v>
      </c>
      <c r="AC178" s="160"/>
      <c r="AD178" s="160"/>
      <c r="AE178" s="168">
        <f>'66 SYANA PRAROOP-20'!I179</f>
        <v>1</v>
      </c>
      <c r="AF178" s="160"/>
      <c r="AG178" s="160"/>
      <c r="AH178" s="168">
        <f>'66 SYANA PRAROOP-20'!J179</f>
        <v>1</v>
      </c>
      <c r="AI178" s="159">
        <f t="shared" si="8"/>
        <v>511</v>
      </c>
      <c r="AJ178" s="150">
        <f t="shared" si="6"/>
        <v>-1</v>
      </c>
    </row>
    <row r="179" spans="1:36" ht="51">
      <c r="A179" s="151">
        <v>66</v>
      </c>
      <c r="B179" s="155">
        <v>173</v>
      </c>
      <c r="C179" s="156" t="s">
        <v>1118</v>
      </c>
      <c r="D179" s="155">
        <v>788</v>
      </c>
      <c r="E179" s="151">
        <v>258</v>
      </c>
      <c r="F179" s="151">
        <v>226</v>
      </c>
      <c r="G179" s="151">
        <v>0</v>
      </c>
      <c r="H179" s="151">
        <f t="shared" si="7"/>
        <v>484</v>
      </c>
      <c r="I179" s="155">
        <v>68</v>
      </c>
      <c r="J179" s="151">
        <v>0</v>
      </c>
      <c r="K179" s="160"/>
      <c r="L179" s="160"/>
      <c r="M179" s="168">
        <f>'66 SYANA PRAROOP-20'!C180</f>
        <v>11</v>
      </c>
      <c r="N179" s="160"/>
      <c r="O179" s="160"/>
      <c r="P179" s="158">
        <f>'66 SYANA PRAROOP-20'!D180</f>
        <v>458</v>
      </c>
      <c r="Q179" s="160"/>
      <c r="R179" s="160"/>
      <c r="S179" s="158">
        <f>'66 SYANA PRAROOP-20'!E180</f>
        <v>2</v>
      </c>
      <c r="T179" s="160"/>
      <c r="U179" s="160"/>
      <c r="V179" s="159">
        <f>'66 SYANA PRAROOP-20'!F180</f>
        <v>6</v>
      </c>
      <c r="W179" s="160"/>
      <c r="X179" s="160"/>
      <c r="Y179" s="159">
        <f>'66 SYANA PRAROOP-20'!G180</f>
        <v>1</v>
      </c>
      <c r="Z179" s="160"/>
      <c r="AA179" s="160"/>
      <c r="AB179" s="168">
        <f>'66 SYANA PRAROOP-20'!H180</f>
        <v>2</v>
      </c>
      <c r="AC179" s="160"/>
      <c r="AD179" s="160"/>
      <c r="AE179" s="168">
        <f>'66 SYANA PRAROOP-20'!I180</f>
        <v>0</v>
      </c>
      <c r="AF179" s="160"/>
      <c r="AG179" s="160"/>
      <c r="AH179" s="168">
        <f>'66 SYANA PRAROOP-20'!J180</f>
        <v>1</v>
      </c>
      <c r="AI179" s="159">
        <f t="shared" si="8"/>
        <v>481</v>
      </c>
      <c r="AJ179" s="150">
        <f t="shared" si="6"/>
        <v>-3</v>
      </c>
    </row>
    <row r="180" spans="1:36" ht="89.25">
      <c r="A180" s="151">
        <v>66</v>
      </c>
      <c r="B180" s="155">
        <v>174</v>
      </c>
      <c r="C180" s="156" t="s">
        <v>1119</v>
      </c>
      <c r="D180" s="155">
        <v>638</v>
      </c>
      <c r="E180" s="151">
        <v>234</v>
      </c>
      <c r="F180" s="151">
        <v>194</v>
      </c>
      <c r="G180" s="151">
        <v>0</v>
      </c>
      <c r="H180" s="151">
        <f t="shared" si="7"/>
        <v>428</v>
      </c>
      <c r="I180" s="155">
        <v>51</v>
      </c>
      <c r="J180" s="151">
        <v>0</v>
      </c>
      <c r="K180" s="160"/>
      <c r="L180" s="160"/>
      <c r="M180" s="168">
        <f>'66 SYANA PRAROOP-20'!C181</f>
        <v>26</v>
      </c>
      <c r="N180" s="160"/>
      <c r="O180" s="160"/>
      <c r="P180" s="158">
        <f>'66 SYANA PRAROOP-20'!D181</f>
        <v>287</v>
      </c>
      <c r="Q180" s="160"/>
      <c r="R180" s="160"/>
      <c r="S180" s="158">
        <f>'66 SYANA PRAROOP-20'!E181</f>
        <v>10</v>
      </c>
      <c r="T180" s="160"/>
      <c r="U180" s="160"/>
      <c r="V180" s="159">
        <f>'66 SYANA PRAROOP-20'!F181</f>
        <v>101</v>
      </c>
      <c r="W180" s="160"/>
      <c r="X180" s="160"/>
      <c r="Y180" s="159">
        <f>'66 SYANA PRAROOP-20'!G181</f>
        <v>1</v>
      </c>
      <c r="Z180" s="160"/>
      <c r="AA180" s="160"/>
      <c r="AB180" s="168">
        <f>'66 SYANA PRAROOP-20'!H181</f>
        <v>1</v>
      </c>
      <c r="AC180" s="160"/>
      <c r="AD180" s="160"/>
      <c r="AE180" s="168">
        <f>'66 SYANA PRAROOP-20'!I181</f>
        <v>0</v>
      </c>
      <c r="AF180" s="160"/>
      <c r="AG180" s="160"/>
      <c r="AH180" s="168">
        <f>'66 SYANA PRAROOP-20'!J181</f>
        <v>1</v>
      </c>
      <c r="AI180" s="159">
        <f t="shared" si="8"/>
        <v>427</v>
      </c>
      <c r="AJ180" s="150">
        <f t="shared" si="6"/>
        <v>-1</v>
      </c>
    </row>
    <row r="181" spans="1:36" ht="89.25">
      <c r="A181" s="151">
        <v>66</v>
      </c>
      <c r="B181" s="155">
        <v>175</v>
      </c>
      <c r="C181" s="156" t="s">
        <v>1120</v>
      </c>
      <c r="D181" s="155">
        <v>648</v>
      </c>
      <c r="E181" s="151">
        <v>229</v>
      </c>
      <c r="F181" s="151">
        <v>197</v>
      </c>
      <c r="G181" s="151">
        <v>0</v>
      </c>
      <c r="H181" s="151">
        <f t="shared" si="7"/>
        <v>426</v>
      </c>
      <c r="I181" s="155">
        <v>33</v>
      </c>
      <c r="J181" s="151">
        <v>0</v>
      </c>
      <c r="K181" s="160"/>
      <c r="L181" s="160"/>
      <c r="M181" s="168">
        <f>'66 SYANA PRAROOP-20'!C182</f>
        <v>76</v>
      </c>
      <c r="N181" s="160"/>
      <c r="O181" s="160"/>
      <c r="P181" s="158">
        <f>'66 SYANA PRAROOP-20'!D182</f>
        <v>291</v>
      </c>
      <c r="Q181" s="160"/>
      <c r="R181" s="160"/>
      <c r="S181" s="158">
        <f>'66 SYANA PRAROOP-20'!E182</f>
        <v>22</v>
      </c>
      <c r="T181" s="160"/>
      <c r="U181" s="160"/>
      <c r="V181" s="159">
        <f>'66 SYANA PRAROOP-20'!F182</f>
        <v>25</v>
      </c>
      <c r="W181" s="160"/>
      <c r="X181" s="160"/>
      <c r="Y181" s="159">
        <f>'66 SYANA PRAROOP-20'!G182</f>
        <v>0</v>
      </c>
      <c r="Z181" s="160"/>
      <c r="AA181" s="160"/>
      <c r="AB181" s="168">
        <f>'66 SYANA PRAROOP-20'!H182</f>
        <v>10</v>
      </c>
      <c r="AC181" s="160"/>
      <c r="AD181" s="160"/>
      <c r="AE181" s="168">
        <f>'66 SYANA PRAROOP-20'!I182</f>
        <v>0</v>
      </c>
      <c r="AF181" s="160"/>
      <c r="AG181" s="160"/>
      <c r="AH181" s="168">
        <f>'66 SYANA PRAROOP-20'!J182</f>
        <v>2</v>
      </c>
      <c r="AI181" s="159">
        <f t="shared" si="8"/>
        <v>426</v>
      </c>
      <c r="AJ181" s="150">
        <f t="shared" si="6"/>
        <v>0</v>
      </c>
    </row>
    <row r="182" spans="1:36" ht="63.75">
      <c r="A182" s="151">
        <v>66</v>
      </c>
      <c r="B182" s="155">
        <v>176</v>
      </c>
      <c r="C182" s="156" t="s">
        <v>836</v>
      </c>
      <c r="D182" s="155">
        <v>670</v>
      </c>
      <c r="E182" s="151">
        <v>242</v>
      </c>
      <c r="F182" s="151">
        <v>246</v>
      </c>
      <c r="G182" s="151">
        <v>0</v>
      </c>
      <c r="H182" s="151">
        <f t="shared" si="7"/>
        <v>488</v>
      </c>
      <c r="I182" s="155">
        <v>43</v>
      </c>
      <c r="J182" s="151">
        <v>0</v>
      </c>
      <c r="K182" s="160"/>
      <c r="L182" s="160"/>
      <c r="M182" s="168">
        <f>'66 SYANA PRAROOP-20'!C183</f>
        <v>21</v>
      </c>
      <c r="N182" s="160"/>
      <c r="O182" s="160"/>
      <c r="P182" s="158">
        <f>'66 SYANA PRAROOP-20'!D183</f>
        <v>380</v>
      </c>
      <c r="Q182" s="160"/>
      <c r="R182" s="160"/>
      <c r="S182" s="158">
        <f>'66 SYANA PRAROOP-20'!E183</f>
        <v>7</v>
      </c>
      <c r="T182" s="160"/>
      <c r="U182" s="160"/>
      <c r="V182" s="159">
        <f>'66 SYANA PRAROOP-20'!F183</f>
        <v>14</v>
      </c>
      <c r="W182" s="160"/>
      <c r="X182" s="160"/>
      <c r="Y182" s="159">
        <f>'66 SYANA PRAROOP-20'!G183</f>
        <v>0</v>
      </c>
      <c r="Z182" s="160"/>
      <c r="AA182" s="160"/>
      <c r="AB182" s="168">
        <f>'66 SYANA PRAROOP-20'!H183</f>
        <v>54</v>
      </c>
      <c r="AC182" s="160"/>
      <c r="AD182" s="160"/>
      <c r="AE182" s="168">
        <f>'66 SYANA PRAROOP-20'!I183</f>
        <v>7</v>
      </c>
      <c r="AF182" s="160"/>
      <c r="AG182" s="160"/>
      <c r="AH182" s="168">
        <f>'66 SYANA PRAROOP-20'!J183</f>
        <v>3</v>
      </c>
      <c r="AI182" s="159">
        <f t="shared" si="8"/>
        <v>486</v>
      </c>
      <c r="AJ182" s="150">
        <f t="shared" si="6"/>
        <v>-2</v>
      </c>
    </row>
    <row r="183" spans="1:36" ht="63.75">
      <c r="A183" s="151">
        <v>66</v>
      </c>
      <c r="B183" s="155">
        <v>177</v>
      </c>
      <c r="C183" s="156" t="s">
        <v>837</v>
      </c>
      <c r="D183" s="155">
        <v>618</v>
      </c>
      <c r="E183" s="151">
        <v>242</v>
      </c>
      <c r="F183" s="151">
        <v>229</v>
      </c>
      <c r="G183" s="151">
        <v>0</v>
      </c>
      <c r="H183" s="151">
        <f t="shared" si="7"/>
        <v>471</v>
      </c>
      <c r="I183" s="155">
        <v>342</v>
      </c>
      <c r="J183" s="151">
        <v>0</v>
      </c>
      <c r="K183" s="160"/>
      <c r="L183" s="160"/>
      <c r="M183" s="168">
        <f>'66 SYANA PRAROOP-20'!C184</f>
        <v>39</v>
      </c>
      <c r="N183" s="160"/>
      <c r="O183" s="160"/>
      <c r="P183" s="158">
        <f>'66 SYANA PRAROOP-20'!D184</f>
        <v>403</v>
      </c>
      <c r="Q183" s="160"/>
      <c r="R183" s="160"/>
      <c r="S183" s="158">
        <f>'66 SYANA PRAROOP-20'!E184</f>
        <v>1</v>
      </c>
      <c r="T183" s="160"/>
      <c r="U183" s="160"/>
      <c r="V183" s="159">
        <f>'66 SYANA PRAROOP-20'!F184</f>
        <v>9</v>
      </c>
      <c r="W183" s="160"/>
      <c r="X183" s="160"/>
      <c r="Y183" s="159">
        <f>'66 SYANA PRAROOP-20'!G184</f>
        <v>1</v>
      </c>
      <c r="Z183" s="160"/>
      <c r="AA183" s="160"/>
      <c r="AB183" s="168">
        <f>'66 SYANA PRAROOP-20'!H184</f>
        <v>8</v>
      </c>
      <c r="AC183" s="160"/>
      <c r="AD183" s="160"/>
      <c r="AE183" s="168">
        <f>'66 SYANA PRAROOP-20'!I184</f>
        <v>4</v>
      </c>
      <c r="AF183" s="160"/>
      <c r="AG183" s="160"/>
      <c r="AH183" s="168">
        <f>'66 SYANA PRAROOP-20'!J184</f>
        <v>2</v>
      </c>
      <c r="AI183" s="159">
        <f t="shared" si="8"/>
        <v>467</v>
      </c>
      <c r="AJ183" s="150">
        <f t="shared" si="6"/>
        <v>-4</v>
      </c>
    </row>
    <row r="184" spans="1:36" ht="102">
      <c r="A184" s="151">
        <v>66</v>
      </c>
      <c r="B184" s="155">
        <v>178</v>
      </c>
      <c r="C184" s="156" t="s">
        <v>1121</v>
      </c>
      <c r="D184" s="155">
        <v>646</v>
      </c>
      <c r="E184" s="151">
        <v>260</v>
      </c>
      <c r="F184" s="151">
        <v>216</v>
      </c>
      <c r="G184" s="151">
        <v>0</v>
      </c>
      <c r="H184" s="151">
        <f t="shared" si="7"/>
        <v>476</v>
      </c>
      <c r="I184" s="155">
        <v>360</v>
      </c>
      <c r="J184" s="151">
        <v>0</v>
      </c>
      <c r="K184" s="160"/>
      <c r="L184" s="160"/>
      <c r="M184" s="168">
        <f>'66 SYANA PRAROOP-20'!C185</f>
        <v>77</v>
      </c>
      <c r="N184" s="160"/>
      <c r="O184" s="160"/>
      <c r="P184" s="158">
        <f>'66 SYANA PRAROOP-20'!D185</f>
        <v>356</v>
      </c>
      <c r="Q184" s="160"/>
      <c r="R184" s="160"/>
      <c r="S184" s="158">
        <f>'66 SYANA PRAROOP-20'!E185</f>
        <v>2</v>
      </c>
      <c r="T184" s="160"/>
      <c r="U184" s="160"/>
      <c r="V184" s="159">
        <f>'66 SYANA PRAROOP-20'!F185</f>
        <v>32</v>
      </c>
      <c r="W184" s="160"/>
      <c r="X184" s="160"/>
      <c r="Y184" s="159">
        <f>'66 SYANA PRAROOP-20'!G185</f>
        <v>0</v>
      </c>
      <c r="Z184" s="160"/>
      <c r="AA184" s="160"/>
      <c r="AB184" s="168">
        <f>'66 SYANA PRAROOP-20'!H185</f>
        <v>3</v>
      </c>
      <c r="AC184" s="160"/>
      <c r="AD184" s="160"/>
      <c r="AE184" s="168">
        <f>'66 SYANA PRAROOP-20'!I185</f>
        <v>1</v>
      </c>
      <c r="AF184" s="160"/>
      <c r="AG184" s="160"/>
      <c r="AH184" s="168">
        <f>'66 SYANA PRAROOP-20'!J185</f>
        <v>2</v>
      </c>
      <c r="AI184" s="159">
        <f t="shared" si="8"/>
        <v>473</v>
      </c>
      <c r="AJ184" s="150">
        <f t="shared" si="6"/>
        <v>-3</v>
      </c>
    </row>
    <row r="185" spans="1:36" ht="102">
      <c r="A185" s="151">
        <v>66</v>
      </c>
      <c r="B185" s="155">
        <v>179</v>
      </c>
      <c r="C185" s="156" t="s">
        <v>1122</v>
      </c>
      <c r="D185" s="155">
        <v>679</v>
      </c>
      <c r="E185" s="151">
        <v>219</v>
      </c>
      <c r="F185" s="151">
        <v>190</v>
      </c>
      <c r="G185" s="151"/>
      <c r="H185" s="151">
        <f t="shared" si="7"/>
        <v>409</v>
      </c>
      <c r="I185" s="155">
        <v>44</v>
      </c>
      <c r="J185" s="151">
        <v>0</v>
      </c>
      <c r="K185" s="160"/>
      <c r="L185" s="160"/>
      <c r="M185" s="168">
        <f>'66 SYANA PRAROOP-20'!C186</f>
        <v>178</v>
      </c>
      <c r="N185" s="160"/>
      <c r="O185" s="160"/>
      <c r="P185" s="158">
        <f>'66 SYANA PRAROOP-20'!D186</f>
        <v>84</v>
      </c>
      <c r="Q185" s="160"/>
      <c r="R185" s="160"/>
      <c r="S185" s="158">
        <f>'66 SYANA PRAROOP-20'!E186</f>
        <v>3</v>
      </c>
      <c r="T185" s="160"/>
      <c r="U185" s="160"/>
      <c r="V185" s="159">
        <f>'66 SYANA PRAROOP-20'!F186</f>
        <v>123</v>
      </c>
      <c r="W185" s="160"/>
      <c r="X185" s="160"/>
      <c r="Y185" s="159">
        <f>'66 SYANA PRAROOP-20'!G186</f>
        <v>2</v>
      </c>
      <c r="Z185" s="160"/>
      <c r="AA185" s="160"/>
      <c r="AB185" s="168">
        <f>'66 SYANA PRAROOP-20'!H186</f>
        <v>10</v>
      </c>
      <c r="AC185" s="160"/>
      <c r="AD185" s="160"/>
      <c r="AE185" s="168">
        <f>'66 SYANA PRAROOP-20'!I186</f>
        <v>3</v>
      </c>
      <c r="AF185" s="160"/>
      <c r="AG185" s="160"/>
      <c r="AH185" s="168">
        <f>'66 SYANA PRAROOP-20'!J186</f>
        <v>4</v>
      </c>
      <c r="AI185" s="159">
        <f t="shared" si="8"/>
        <v>407</v>
      </c>
      <c r="AJ185" s="150">
        <f t="shared" si="6"/>
        <v>-2</v>
      </c>
    </row>
    <row r="186" spans="1:36" ht="63.75">
      <c r="A186" s="151">
        <v>66</v>
      </c>
      <c r="B186" s="155">
        <v>180</v>
      </c>
      <c r="C186" s="156" t="s">
        <v>838</v>
      </c>
      <c r="D186" s="155">
        <v>833</v>
      </c>
      <c r="E186" s="151">
        <v>323</v>
      </c>
      <c r="F186" s="151">
        <v>276</v>
      </c>
      <c r="G186" s="151">
        <v>0</v>
      </c>
      <c r="H186" s="151">
        <f t="shared" si="7"/>
        <v>599</v>
      </c>
      <c r="I186" s="155">
        <v>423</v>
      </c>
      <c r="J186" s="151">
        <v>0</v>
      </c>
      <c r="K186" s="160"/>
      <c r="L186" s="160"/>
      <c r="M186" s="168">
        <f>'66 SYANA PRAROOP-20'!C187</f>
        <v>21</v>
      </c>
      <c r="N186" s="160"/>
      <c r="O186" s="160"/>
      <c r="P186" s="158">
        <f>'66 SYANA PRAROOP-20'!D187</f>
        <v>324</v>
      </c>
      <c r="Q186" s="160"/>
      <c r="R186" s="160"/>
      <c r="S186" s="158">
        <f>'66 SYANA PRAROOP-20'!E187</f>
        <v>9</v>
      </c>
      <c r="T186" s="160"/>
      <c r="U186" s="160"/>
      <c r="V186" s="159">
        <f>'66 SYANA PRAROOP-20'!F187</f>
        <v>229</v>
      </c>
      <c r="W186" s="160"/>
      <c r="X186" s="160"/>
      <c r="Y186" s="159">
        <f>'66 SYANA PRAROOP-20'!G187</f>
        <v>2</v>
      </c>
      <c r="Z186" s="160"/>
      <c r="AA186" s="160"/>
      <c r="AB186" s="168">
        <f>'66 SYANA PRAROOP-20'!H187</f>
        <v>10</v>
      </c>
      <c r="AC186" s="160"/>
      <c r="AD186" s="160"/>
      <c r="AE186" s="168">
        <f>'66 SYANA PRAROOP-20'!I187</f>
        <v>0</v>
      </c>
      <c r="AF186" s="160"/>
      <c r="AG186" s="160"/>
      <c r="AH186" s="168">
        <f>'66 SYANA PRAROOP-20'!J187</f>
        <v>2</v>
      </c>
      <c r="AI186" s="159">
        <f t="shared" si="8"/>
        <v>597</v>
      </c>
      <c r="AJ186" s="150">
        <f t="shared" si="6"/>
        <v>-2</v>
      </c>
    </row>
    <row r="187" spans="1:36" ht="63.75">
      <c r="A187" s="151">
        <v>66</v>
      </c>
      <c r="B187" s="155">
        <v>181</v>
      </c>
      <c r="C187" s="156" t="s">
        <v>839</v>
      </c>
      <c r="D187" s="155">
        <v>949</v>
      </c>
      <c r="E187" s="151">
        <v>329</v>
      </c>
      <c r="F187" s="151">
        <v>339</v>
      </c>
      <c r="G187" s="151">
        <v>0</v>
      </c>
      <c r="H187" s="151">
        <f t="shared" si="7"/>
        <v>668</v>
      </c>
      <c r="I187" s="155">
        <v>76</v>
      </c>
      <c r="J187" s="151">
        <v>0</v>
      </c>
      <c r="K187" s="160"/>
      <c r="L187" s="160"/>
      <c r="M187" s="168">
        <f>'66 SYANA PRAROOP-20'!C188</f>
        <v>13</v>
      </c>
      <c r="N187" s="160"/>
      <c r="O187" s="160"/>
      <c r="P187" s="158">
        <f>'66 SYANA PRAROOP-20'!D188</f>
        <v>591</v>
      </c>
      <c r="Q187" s="160"/>
      <c r="R187" s="160"/>
      <c r="S187" s="158">
        <f>'66 SYANA PRAROOP-20'!E188</f>
        <v>9</v>
      </c>
      <c r="T187" s="160"/>
      <c r="U187" s="160"/>
      <c r="V187" s="159">
        <f>'66 SYANA PRAROOP-20'!F188</f>
        <v>34</v>
      </c>
      <c r="W187" s="160"/>
      <c r="X187" s="160"/>
      <c r="Y187" s="159">
        <f>'66 SYANA PRAROOP-20'!G188</f>
        <v>1</v>
      </c>
      <c r="Z187" s="160"/>
      <c r="AA187" s="160"/>
      <c r="AB187" s="168">
        <f>'66 SYANA PRAROOP-20'!H188</f>
        <v>13</v>
      </c>
      <c r="AC187" s="160"/>
      <c r="AD187" s="160"/>
      <c r="AE187" s="168">
        <f>'66 SYANA PRAROOP-20'!I188</f>
        <v>0</v>
      </c>
      <c r="AF187" s="160"/>
      <c r="AG187" s="160"/>
      <c r="AH187" s="168">
        <f>'66 SYANA PRAROOP-20'!J188</f>
        <v>4</v>
      </c>
      <c r="AI187" s="159">
        <f t="shared" si="8"/>
        <v>665</v>
      </c>
      <c r="AJ187" s="150">
        <f t="shared" si="6"/>
        <v>-3</v>
      </c>
    </row>
    <row r="188" spans="1:36" ht="63.75">
      <c r="A188" s="151">
        <v>66</v>
      </c>
      <c r="B188" s="155">
        <v>182</v>
      </c>
      <c r="C188" s="156" t="s">
        <v>840</v>
      </c>
      <c r="D188" s="155">
        <v>819</v>
      </c>
      <c r="E188" s="151">
        <v>261</v>
      </c>
      <c r="F188" s="151">
        <v>241</v>
      </c>
      <c r="G188" s="151">
        <v>0</v>
      </c>
      <c r="H188" s="151">
        <f t="shared" si="7"/>
        <v>502</v>
      </c>
      <c r="I188" s="155">
        <v>61</v>
      </c>
      <c r="J188" s="151">
        <v>0</v>
      </c>
      <c r="K188" s="160"/>
      <c r="L188" s="160"/>
      <c r="M188" s="168">
        <f>'66 SYANA PRAROOP-20'!C189</f>
        <v>248</v>
      </c>
      <c r="N188" s="160"/>
      <c r="O188" s="160"/>
      <c r="P188" s="158">
        <f>'66 SYANA PRAROOP-20'!D189</f>
        <v>241</v>
      </c>
      <c r="Q188" s="160"/>
      <c r="R188" s="160"/>
      <c r="S188" s="158">
        <f>'66 SYANA PRAROOP-20'!E189</f>
        <v>1</v>
      </c>
      <c r="T188" s="160"/>
      <c r="U188" s="160"/>
      <c r="V188" s="159">
        <f>'66 SYANA PRAROOP-20'!F189</f>
        <v>3</v>
      </c>
      <c r="W188" s="160"/>
      <c r="X188" s="160"/>
      <c r="Y188" s="159">
        <f>'66 SYANA PRAROOP-20'!G189</f>
        <v>0</v>
      </c>
      <c r="Z188" s="160"/>
      <c r="AA188" s="160"/>
      <c r="AB188" s="168">
        <f>'66 SYANA PRAROOP-20'!H189</f>
        <v>4</v>
      </c>
      <c r="AC188" s="160"/>
      <c r="AD188" s="160"/>
      <c r="AE188" s="168">
        <f>'66 SYANA PRAROOP-20'!I189</f>
        <v>0</v>
      </c>
      <c r="AF188" s="160"/>
      <c r="AG188" s="160"/>
      <c r="AH188" s="168">
        <f>'66 SYANA PRAROOP-20'!J189</f>
        <v>1</v>
      </c>
      <c r="AI188" s="159">
        <f t="shared" si="8"/>
        <v>498</v>
      </c>
      <c r="AJ188" s="150">
        <f t="shared" si="6"/>
        <v>-4</v>
      </c>
    </row>
    <row r="189" spans="1:36" ht="63.75">
      <c r="A189" s="151">
        <v>66</v>
      </c>
      <c r="B189" s="155">
        <v>183</v>
      </c>
      <c r="C189" s="156" t="s">
        <v>841</v>
      </c>
      <c r="D189" s="155">
        <v>771</v>
      </c>
      <c r="E189" s="151">
        <v>207</v>
      </c>
      <c r="F189" s="151">
        <v>197</v>
      </c>
      <c r="G189" s="151">
        <v>0</v>
      </c>
      <c r="H189" s="151">
        <f t="shared" si="7"/>
        <v>404</v>
      </c>
      <c r="I189" s="155">
        <v>307</v>
      </c>
      <c r="J189" s="151">
        <v>0</v>
      </c>
      <c r="K189" s="160"/>
      <c r="L189" s="160"/>
      <c r="M189" s="168">
        <f>'66 SYANA PRAROOP-20'!C190</f>
        <v>27</v>
      </c>
      <c r="N189" s="160"/>
      <c r="O189" s="160"/>
      <c r="P189" s="158">
        <f>'66 SYANA PRAROOP-20'!D190</f>
        <v>371</v>
      </c>
      <c r="Q189" s="160"/>
      <c r="R189" s="160"/>
      <c r="S189" s="158">
        <f>'66 SYANA PRAROOP-20'!E190</f>
        <v>2</v>
      </c>
      <c r="T189" s="160"/>
      <c r="U189" s="160"/>
      <c r="V189" s="159">
        <f>'66 SYANA PRAROOP-20'!F190</f>
        <v>0</v>
      </c>
      <c r="W189" s="160"/>
      <c r="X189" s="160"/>
      <c r="Y189" s="159">
        <f>'66 SYANA PRAROOP-20'!G190</f>
        <v>0</v>
      </c>
      <c r="Z189" s="160"/>
      <c r="AA189" s="160"/>
      <c r="AB189" s="168">
        <f>'66 SYANA PRAROOP-20'!H190</f>
        <v>4</v>
      </c>
      <c r="AC189" s="160"/>
      <c r="AD189" s="160"/>
      <c r="AE189" s="168">
        <f>'66 SYANA PRAROOP-20'!I190</f>
        <v>0</v>
      </c>
      <c r="AF189" s="160"/>
      <c r="AG189" s="160"/>
      <c r="AH189" s="168">
        <f>'66 SYANA PRAROOP-20'!J190</f>
        <v>0</v>
      </c>
      <c r="AI189" s="159">
        <f t="shared" si="8"/>
        <v>404</v>
      </c>
      <c r="AJ189" s="150">
        <f t="shared" si="6"/>
        <v>0</v>
      </c>
    </row>
    <row r="190" spans="1:36" ht="51">
      <c r="A190" s="151">
        <v>66</v>
      </c>
      <c r="B190" s="155">
        <v>184</v>
      </c>
      <c r="C190" s="156" t="s">
        <v>842</v>
      </c>
      <c r="D190" s="155">
        <v>1004</v>
      </c>
      <c r="E190" s="151">
        <v>328</v>
      </c>
      <c r="F190" s="151">
        <v>312</v>
      </c>
      <c r="G190" s="151">
        <v>0</v>
      </c>
      <c r="H190" s="151">
        <f t="shared" si="7"/>
        <v>640</v>
      </c>
      <c r="I190" s="155">
        <v>65</v>
      </c>
      <c r="J190" s="151">
        <v>0</v>
      </c>
      <c r="K190" s="160"/>
      <c r="L190" s="160"/>
      <c r="M190" s="168">
        <f>'66 SYANA PRAROOP-20'!C191</f>
        <v>68</v>
      </c>
      <c r="N190" s="160"/>
      <c r="O190" s="160"/>
      <c r="P190" s="158">
        <f>'66 SYANA PRAROOP-20'!D191</f>
        <v>432</v>
      </c>
      <c r="Q190" s="160"/>
      <c r="R190" s="160"/>
      <c r="S190" s="158">
        <f>'66 SYANA PRAROOP-20'!E191</f>
        <v>3</v>
      </c>
      <c r="T190" s="160"/>
      <c r="U190" s="160"/>
      <c r="V190" s="159">
        <f>'66 SYANA PRAROOP-20'!F191</f>
        <v>125</v>
      </c>
      <c r="W190" s="160"/>
      <c r="X190" s="160"/>
      <c r="Y190" s="159">
        <f>'66 SYANA PRAROOP-20'!G191</f>
        <v>4</v>
      </c>
      <c r="Z190" s="160"/>
      <c r="AA190" s="160"/>
      <c r="AB190" s="168">
        <f>'66 SYANA PRAROOP-20'!H191</f>
        <v>1</v>
      </c>
      <c r="AC190" s="160"/>
      <c r="AD190" s="160"/>
      <c r="AE190" s="168">
        <f>'66 SYANA PRAROOP-20'!I191</f>
        <v>3</v>
      </c>
      <c r="AF190" s="160"/>
      <c r="AG190" s="160"/>
      <c r="AH190" s="168">
        <f>'66 SYANA PRAROOP-20'!J191</f>
        <v>0</v>
      </c>
      <c r="AI190" s="159">
        <f t="shared" si="8"/>
        <v>636</v>
      </c>
      <c r="AJ190" s="150">
        <f t="shared" si="6"/>
        <v>-4</v>
      </c>
    </row>
    <row r="191" spans="1:36" ht="51">
      <c r="A191" s="151">
        <v>66</v>
      </c>
      <c r="B191" s="155">
        <v>185</v>
      </c>
      <c r="C191" s="156" t="s">
        <v>843</v>
      </c>
      <c r="D191" s="155">
        <v>1026</v>
      </c>
      <c r="E191" s="151">
        <v>337</v>
      </c>
      <c r="F191" s="151">
        <v>292</v>
      </c>
      <c r="G191" s="151">
        <v>0</v>
      </c>
      <c r="H191" s="151">
        <f t="shared" si="7"/>
        <v>629</v>
      </c>
      <c r="I191" s="155">
        <v>37</v>
      </c>
      <c r="J191" s="151">
        <v>0</v>
      </c>
      <c r="K191" s="160"/>
      <c r="L191" s="160"/>
      <c r="M191" s="168">
        <f>'66 SYANA PRAROOP-20'!C192</f>
        <v>115</v>
      </c>
      <c r="N191" s="160"/>
      <c r="O191" s="160"/>
      <c r="P191" s="158">
        <f>'66 SYANA PRAROOP-20'!D192</f>
        <v>462</v>
      </c>
      <c r="Q191" s="160"/>
      <c r="R191" s="160"/>
      <c r="S191" s="158">
        <f>'66 SYANA PRAROOP-20'!E192</f>
        <v>6</v>
      </c>
      <c r="T191" s="160"/>
      <c r="U191" s="160"/>
      <c r="V191" s="159">
        <f>'66 SYANA PRAROOP-20'!F192</f>
        <v>41</v>
      </c>
      <c r="W191" s="160"/>
      <c r="X191" s="160"/>
      <c r="Y191" s="159">
        <f>'66 SYANA PRAROOP-20'!G192</f>
        <v>0</v>
      </c>
      <c r="Z191" s="160"/>
      <c r="AA191" s="160"/>
      <c r="AB191" s="168">
        <f>'66 SYANA PRAROOP-20'!H192</f>
        <v>1</v>
      </c>
      <c r="AC191" s="160"/>
      <c r="AD191" s="160"/>
      <c r="AE191" s="168">
        <f>'66 SYANA PRAROOP-20'!I192</f>
        <v>1</v>
      </c>
      <c r="AF191" s="160"/>
      <c r="AG191" s="160"/>
      <c r="AH191" s="168">
        <f>'66 SYANA PRAROOP-20'!J192</f>
        <v>1</v>
      </c>
      <c r="AI191" s="159">
        <f t="shared" si="8"/>
        <v>627</v>
      </c>
      <c r="AJ191" s="150">
        <f t="shared" si="6"/>
        <v>-2</v>
      </c>
    </row>
    <row r="192" spans="1:36" ht="51">
      <c r="A192" s="151">
        <v>66</v>
      </c>
      <c r="B192" s="155">
        <v>186</v>
      </c>
      <c r="C192" s="156" t="s">
        <v>844</v>
      </c>
      <c r="D192" s="155">
        <v>1011</v>
      </c>
      <c r="E192" s="151">
        <v>277</v>
      </c>
      <c r="F192" s="151">
        <v>251</v>
      </c>
      <c r="G192" s="151">
        <v>0</v>
      </c>
      <c r="H192" s="151">
        <f t="shared" si="7"/>
        <v>528</v>
      </c>
      <c r="I192" s="155">
        <v>377</v>
      </c>
      <c r="J192" s="151">
        <v>0</v>
      </c>
      <c r="K192" s="160"/>
      <c r="L192" s="160"/>
      <c r="M192" s="168">
        <f>'66 SYANA PRAROOP-20'!C193</f>
        <v>22</v>
      </c>
      <c r="N192" s="160"/>
      <c r="O192" s="160"/>
      <c r="P192" s="158">
        <f>'66 SYANA PRAROOP-20'!D193</f>
        <v>406</v>
      </c>
      <c r="Q192" s="160"/>
      <c r="R192" s="160"/>
      <c r="S192" s="158">
        <f>'66 SYANA PRAROOP-20'!E193</f>
        <v>19</v>
      </c>
      <c r="T192" s="160"/>
      <c r="U192" s="160"/>
      <c r="V192" s="159">
        <f>'66 SYANA PRAROOP-20'!F193</f>
        <v>78</v>
      </c>
      <c r="W192" s="160"/>
      <c r="X192" s="160"/>
      <c r="Y192" s="159">
        <f>'66 SYANA PRAROOP-20'!G193</f>
        <v>1</v>
      </c>
      <c r="Z192" s="160"/>
      <c r="AA192" s="160"/>
      <c r="AB192" s="168">
        <f>'66 SYANA PRAROOP-20'!H193</f>
        <v>0</v>
      </c>
      <c r="AC192" s="160"/>
      <c r="AD192" s="160"/>
      <c r="AE192" s="168">
        <f>'66 SYANA PRAROOP-20'!I193</f>
        <v>1</v>
      </c>
      <c r="AF192" s="160"/>
      <c r="AG192" s="160"/>
      <c r="AH192" s="168">
        <f>'66 SYANA PRAROOP-20'!J193</f>
        <v>0</v>
      </c>
      <c r="AI192" s="159">
        <f t="shared" si="8"/>
        <v>527</v>
      </c>
      <c r="AJ192" s="150">
        <f t="shared" si="6"/>
        <v>-1</v>
      </c>
    </row>
    <row r="193" spans="1:36" ht="63.75">
      <c r="A193" s="151">
        <v>66</v>
      </c>
      <c r="B193" s="155">
        <v>187</v>
      </c>
      <c r="C193" s="156" t="s">
        <v>845</v>
      </c>
      <c r="D193" s="155">
        <v>839</v>
      </c>
      <c r="E193" s="151">
        <v>301</v>
      </c>
      <c r="F193" s="151">
        <v>294</v>
      </c>
      <c r="G193" s="151">
        <v>0</v>
      </c>
      <c r="H193" s="151">
        <f t="shared" si="7"/>
        <v>595</v>
      </c>
      <c r="I193" s="155">
        <v>40</v>
      </c>
      <c r="J193" s="151">
        <v>0</v>
      </c>
      <c r="K193" s="160"/>
      <c r="L193" s="160"/>
      <c r="M193" s="168">
        <f>'66 SYANA PRAROOP-20'!C194</f>
        <v>102</v>
      </c>
      <c r="N193" s="160"/>
      <c r="O193" s="160"/>
      <c r="P193" s="158">
        <f>'66 SYANA PRAROOP-20'!D194</f>
        <v>157</v>
      </c>
      <c r="Q193" s="160"/>
      <c r="R193" s="160"/>
      <c r="S193" s="158">
        <f>'66 SYANA PRAROOP-20'!E194</f>
        <v>8</v>
      </c>
      <c r="T193" s="160"/>
      <c r="U193" s="160"/>
      <c r="V193" s="159">
        <f>'66 SYANA PRAROOP-20'!F194</f>
        <v>303</v>
      </c>
      <c r="W193" s="160"/>
      <c r="X193" s="160"/>
      <c r="Y193" s="159">
        <f>'66 SYANA PRAROOP-20'!G194</f>
        <v>2</v>
      </c>
      <c r="Z193" s="160"/>
      <c r="AA193" s="160"/>
      <c r="AB193" s="168">
        <f>'66 SYANA PRAROOP-20'!H194</f>
        <v>5</v>
      </c>
      <c r="AC193" s="160"/>
      <c r="AD193" s="160"/>
      <c r="AE193" s="168">
        <f>'66 SYANA PRAROOP-20'!I194</f>
        <v>8</v>
      </c>
      <c r="AF193" s="160"/>
      <c r="AG193" s="160"/>
      <c r="AH193" s="168">
        <f>'66 SYANA PRAROOP-20'!J194</f>
        <v>3</v>
      </c>
      <c r="AI193" s="159">
        <f t="shared" si="8"/>
        <v>588</v>
      </c>
      <c r="AJ193" s="150">
        <f t="shared" si="6"/>
        <v>-7</v>
      </c>
    </row>
    <row r="194" spans="1:36" ht="63.75">
      <c r="A194" s="151">
        <v>66</v>
      </c>
      <c r="B194" s="155">
        <v>188</v>
      </c>
      <c r="C194" s="156" t="s">
        <v>846</v>
      </c>
      <c r="D194" s="155">
        <v>819</v>
      </c>
      <c r="E194" s="151">
        <v>311</v>
      </c>
      <c r="F194" s="151">
        <v>281</v>
      </c>
      <c r="G194" s="151">
        <v>0</v>
      </c>
      <c r="H194" s="151">
        <f t="shared" si="7"/>
        <v>592</v>
      </c>
      <c r="I194" s="155">
        <v>11</v>
      </c>
      <c r="J194" s="151">
        <v>0</v>
      </c>
      <c r="K194" s="160"/>
      <c r="L194" s="160"/>
      <c r="M194" s="168">
        <f>'66 SYANA PRAROOP-20'!C195</f>
        <v>215</v>
      </c>
      <c r="N194" s="160"/>
      <c r="O194" s="160"/>
      <c r="P194" s="158">
        <f>'66 SYANA PRAROOP-20'!D195</f>
        <v>195</v>
      </c>
      <c r="Q194" s="160"/>
      <c r="R194" s="160"/>
      <c r="S194" s="158">
        <f>'66 SYANA PRAROOP-20'!E195</f>
        <v>2</v>
      </c>
      <c r="T194" s="160"/>
      <c r="U194" s="160"/>
      <c r="V194" s="159">
        <f>'66 SYANA PRAROOP-20'!F195</f>
        <v>164</v>
      </c>
      <c r="W194" s="160"/>
      <c r="X194" s="160"/>
      <c r="Y194" s="159">
        <f>'66 SYANA PRAROOP-20'!G195</f>
        <v>2</v>
      </c>
      <c r="Z194" s="160"/>
      <c r="AA194" s="160"/>
      <c r="AB194" s="168">
        <f>'66 SYANA PRAROOP-20'!H195</f>
        <v>5</v>
      </c>
      <c r="AC194" s="160"/>
      <c r="AD194" s="160"/>
      <c r="AE194" s="168">
        <f>'66 SYANA PRAROOP-20'!I195</f>
        <v>3</v>
      </c>
      <c r="AF194" s="160"/>
      <c r="AG194" s="160"/>
      <c r="AH194" s="168">
        <f>'66 SYANA PRAROOP-20'!J195</f>
        <v>4</v>
      </c>
      <c r="AI194" s="159">
        <f t="shared" si="8"/>
        <v>590</v>
      </c>
      <c r="AJ194" s="150">
        <f t="shared" si="6"/>
        <v>-2</v>
      </c>
    </row>
    <row r="195" spans="1:36" ht="63.75">
      <c r="A195" s="151">
        <v>66</v>
      </c>
      <c r="B195" s="155">
        <v>189</v>
      </c>
      <c r="C195" s="156" t="s">
        <v>847</v>
      </c>
      <c r="D195" s="155">
        <v>763</v>
      </c>
      <c r="E195" s="151">
        <v>304</v>
      </c>
      <c r="F195" s="151">
        <v>287</v>
      </c>
      <c r="G195" s="151">
        <v>0</v>
      </c>
      <c r="H195" s="151">
        <f t="shared" si="7"/>
        <v>591</v>
      </c>
      <c r="I195" s="155">
        <v>253</v>
      </c>
      <c r="J195" s="151">
        <v>0</v>
      </c>
      <c r="K195" s="160"/>
      <c r="L195" s="160"/>
      <c r="M195" s="168">
        <f>'66 SYANA PRAROOP-20'!C196</f>
        <v>194</v>
      </c>
      <c r="N195" s="160"/>
      <c r="O195" s="160"/>
      <c r="P195" s="158">
        <f>'66 SYANA PRAROOP-20'!D196</f>
        <v>366</v>
      </c>
      <c r="Q195" s="160"/>
      <c r="R195" s="160"/>
      <c r="S195" s="158">
        <f>'66 SYANA PRAROOP-20'!E196</f>
        <v>6</v>
      </c>
      <c r="T195" s="160"/>
      <c r="U195" s="160"/>
      <c r="V195" s="159">
        <f>'66 SYANA PRAROOP-20'!F196</f>
        <v>12</v>
      </c>
      <c r="W195" s="160"/>
      <c r="X195" s="160"/>
      <c r="Y195" s="159">
        <f>'66 SYANA PRAROOP-20'!G196</f>
        <v>0</v>
      </c>
      <c r="Z195" s="160"/>
      <c r="AA195" s="160"/>
      <c r="AB195" s="168">
        <f>'66 SYANA PRAROOP-20'!H196</f>
        <v>3</v>
      </c>
      <c r="AC195" s="160"/>
      <c r="AD195" s="160"/>
      <c r="AE195" s="168">
        <f>'66 SYANA PRAROOP-20'!I196</f>
        <v>3</v>
      </c>
      <c r="AF195" s="160"/>
      <c r="AG195" s="160"/>
      <c r="AH195" s="168">
        <f>'66 SYANA PRAROOP-20'!J196</f>
        <v>4</v>
      </c>
      <c r="AI195" s="159">
        <f t="shared" si="8"/>
        <v>588</v>
      </c>
      <c r="AJ195" s="150">
        <f t="shared" si="6"/>
        <v>-3</v>
      </c>
    </row>
    <row r="196" spans="1:36" ht="63.75">
      <c r="A196" s="151">
        <v>66</v>
      </c>
      <c r="B196" s="155">
        <v>190</v>
      </c>
      <c r="C196" s="156" t="s">
        <v>1123</v>
      </c>
      <c r="D196" s="155">
        <v>470</v>
      </c>
      <c r="E196" s="151">
        <v>191</v>
      </c>
      <c r="F196" s="151">
        <v>165</v>
      </c>
      <c r="G196" s="151">
        <v>0</v>
      </c>
      <c r="H196" s="151">
        <f t="shared" si="7"/>
        <v>356</v>
      </c>
      <c r="I196" s="155">
        <v>91</v>
      </c>
      <c r="J196" s="151">
        <v>0</v>
      </c>
      <c r="K196" s="160"/>
      <c r="L196" s="160"/>
      <c r="M196" s="168">
        <f>'66 SYANA PRAROOP-20'!C197</f>
        <v>166</v>
      </c>
      <c r="N196" s="160"/>
      <c r="O196" s="160"/>
      <c r="P196" s="158">
        <f>'66 SYANA PRAROOP-20'!D197</f>
        <v>170</v>
      </c>
      <c r="Q196" s="160"/>
      <c r="R196" s="160"/>
      <c r="S196" s="158">
        <f>'66 SYANA PRAROOP-20'!E197</f>
        <v>2</v>
      </c>
      <c r="T196" s="160"/>
      <c r="U196" s="160"/>
      <c r="V196" s="159">
        <f>'66 SYANA PRAROOP-20'!F197</f>
        <v>11</v>
      </c>
      <c r="W196" s="160"/>
      <c r="X196" s="160"/>
      <c r="Y196" s="159">
        <f>'66 SYANA PRAROOP-20'!G197</f>
        <v>1</v>
      </c>
      <c r="Z196" s="160"/>
      <c r="AA196" s="160"/>
      <c r="AB196" s="168">
        <f>'66 SYANA PRAROOP-20'!H197</f>
        <v>0</v>
      </c>
      <c r="AC196" s="160"/>
      <c r="AD196" s="160"/>
      <c r="AE196" s="168">
        <f>'66 SYANA PRAROOP-20'!I197</f>
        <v>2</v>
      </c>
      <c r="AF196" s="160"/>
      <c r="AG196" s="160"/>
      <c r="AH196" s="168">
        <f>'66 SYANA PRAROOP-20'!J197</f>
        <v>1</v>
      </c>
      <c r="AI196" s="159">
        <f t="shared" si="8"/>
        <v>353</v>
      </c>
      <c r="AJ196" s="150">
        <f t="shared" si="6"/>
        <v>-3</v>
      </c>
    </row>
    <row r="197" spans="1:36" ht="63.75">
      <c r="A197" s="151">
        <v>66</v>
      </c>
      <c r="B197" s="155">
        <v>191</v>
      </c>
      <c r="C197" s="156" t="s">
        <v>848</v>
      </c>
      <c r="D197" s="155">
        <v>1027</v>
      </c>
      <c r="E197" s="151">
        <v>381</v>
      </c>
      <c r="F197" s="151">
        <v>293</v>
      </c>
      <c r="G197" s="151">
        <v>0</v>
      </c>
      <c r="H197" s="151">
        <f t="shared" si="7"/>
        <v>674</v>
      </c>
      <c r="I197" s="155">
        <v>139</v>
      </c>
      <c r="J197" s="151">
        <v>0</v>
      </c>
      <c r="K197" s="160"/>
      <c r="L197" s="160"/>
      <c r="M197" s="168">
        <f>'66 SYANA PRAROOP-20'!C198</f>
        <v>465</v>
      </c>
      <c r="N197" s="160"/>
      <c r="O197" s="160"/>
      <c r="P197" s="158">
        <f>'66 SYANA PRAROOP-20'!D198</f>
        <v>184</v>
      </c>
      <c r="Q197" s="160"/>
      <c r="R197" s="160"/>
      <c r="S197" s="158">
        <f>'66 SYANA PRAROOP-20'!E198</f>
        <v>2</v>
      </c>
      <c r="T197" s="160"/>
      <c r="U197" s="160"/>
      <c r="V197" s="159">
        <f>'66 SYANA PRAROOP-20'!F198</f>
        <v>14</v>
      </c>
      <c r="W197" s="160"/>
      <c r="X197" s="160"/>
      <c r="Y197" s="159">
        <f>'66 SYANA PRAROOP-20'!G198</f>
        <v>4</v>
      </c>
      <c r="Z197" s="160"/>
      <c r="AA197" s="160"/>
      <c r="AB197" s="168">
        <f>'66 SYANA PRAROOP-20'!H198</f>
        <v>0</v>
      </c>
      <c r="AC197" s="160"/>
      <c r="AD197" s="160"/>
      <c r="AE197" s="168">
        <f>'66 SYANA PRAROOP-20'!I198</f>
        <v>0</v>
      </c>
      <c r="AF197" s="160"/>
      <c r="AG197" s="160"/>
      <c r="AH197" s="168">
        <f>'66 SYANA PRAROOP-20'!J198</f>
        <v>2</v>
      </c>
      <c r="AI197" s="159">
        <f t="shared" si="8"/>
        <v>671</v>
      </c>
      <c r="AJ197" s="150">
        <f t="shared" si="6"/>
        <v>-3</v>
      </c>
    </row>
    <row r="198" spans="1:36" ht="63.75">
      <c r="A198" s="151">
        <v>66</v>
      </c>
      <c r="B198" s="155">
        <v>192</v>
      </c>
      <c r="C198" s="156" t="s">
        <v>849</v>
      </c>
      <c r="D198" s="155">
        <v>1095</v>
      </c>
      <c r="E198" s="151">
        <v>345</v>
      </c>
      <c r="F198" s="151">
        <v>288</v>
      </c>
      <c r="G198" s="151">
        <v>0</v>
      </c>
      <c r="H198" s="151">
        <f t="shared" si="7"/>
        <v>633</v>
      </c>
      <c r="I198" s="155">
        <v>445</v>
      </c>
      <c r="J198" s="151">
        <v>0</v>
      </c>
      <c r="K198" s="160"/>
      <c r="L198" s="160"/>
      <c r="M198" s="168">
        <f>'66 SYANA PRAROOP-20'!C199</f>
        <v>543</v>
      </c>
      <c r="N198" s="160"/>
      <c r="O198" s="160"/>
      <c r="P198" s="158">
        <f>'66 SYANA PRAROOP-20'!D199</f>
        <v>35</v>
      </c>
      <c r="Q198" s="160"/>
      <c r="R198" s="160"/>
      <c r="S198" s="158">
        <f>'66 SYANA PRAROOP-20'!E199</f>
        <v>10</v>
      </c>
      <c r="T198" s="160"/>
      <c r="U198" s="160"/>
      <c r="V198" s="159">
        <f>'66 SYANA PRAROOP-20'!F199</f>
        <v>38</v>
      </c>
      <c r="W198" s="160"/>
      <c r="X198" s="160"/>
      <c r="Y198" s="159">
        <f>'66 SYANA PRAROOP-20'!G199</f>
        <v>1</v>
      </c>
      <c r="Z198" s="160"/>
      <c r="AA198" s="160"/>
      <c r="AB198" s="168">
        <f>'66 SYANA PRAROOP-20'!H199</f>
        <v>1</v>
      </c>
      <c r="AC198" s="160"/>
      <c r="AD198" s="160"/>
      <c r="AE198" s="168">
        <f>'66 SYANA PRAROOP-20'!I199</f>
        <v>1</v>
      </c>
      <c r="AF198" s="160"/>
      <c r="AG198" s="160"/>
      <c r="AH198" s="168">
        <f>'66 SYANA PRAROOP-20'!J199</f>
        <v>1</v>
      </c>
      <c r="AI198" s="159">
        <f t="shared" si="8"/>
        <v>630</v>
      </c>
      <c r="AJ198" s="150">
        <f t="shared" si="6"/>
        <v>-3</v>
      </c>
    </row>
    <row r="199" spans="1:36" ht="63.75">
      <c r="A199" s="151">
        <v>66</v>
      </c>
      <c r="B199" s="155">
        <v>193</v>
      </c>
      <c r="C199" s="156" t="s">
        <v>850</v>
      </c>
      <c r="D199" s="155">
        <v>1045</v>
      </c>
      <c r="E199" s="151">
        <v>358</v>
      </c>
      <c r="F199" s="151">
        <v>306</v>
      </c>
      <c r="G199" s="151">
        <v>0</v>
      </c>
      <c r="H199" s="151">
        <f t="shared" si="7"/>
        <v>664</v>
      </c>
      <c r="I199" s="155">
        <v>112</v>
      </c>
      <c r="J199" s="151">
        <v>0</v>
      </c>
      <c r="K199" s="160"/>
      <c r="L199" s="160"/>
      <c r="M199" s="168">
        <f>'66 SYANA PRAROOP-20'!C200</f>
        <v>484</v>
      </c>
      <c r="N199" s="160"/>
      <c r="O199" s="160"/>
      <c r="P199" s="158">
        <f>'66 SYANA PRAROOP-20'!D200</f>
        <v>153</v>
      </c>
      <c r="Q199" s="160"/>
      <c r="R199" s="160"/>
      <c r="S199" s="158">
        <f>'66 SYANA PRAROOP-20'!E200</f>
        <v>2</v>
      </c>
      <c r="T199" s="160"/>
      <c r="U199" s="160"/>
      <c r="V199" s="159">
        <f>'66 SYANA PRAROOP-20'!F200</f>
        <v>12</v>
      </c>
      <c r="W199" s="160"/>
      <c r="X199" s="160"/>
      <c r="Y199" s="159">
        <f>'66 SYANA PRAROOP-20'!G200</f>
        <v>3</v>
      </c>
      <c r="Z199" s="160"/>
      <c r="AA199" s="160"/>
      <c r="AB199" s="168">
        <f>'66 SYANA PRAROOP-20'!H200</f>
        <v>1</v>
      </c>
      <c r="AC199" s="160"/>
      <c r="AD199" s="160"/>
      <c r="AE199" s="168">
        <f>'66 SYANA PRAROOP-20'!I200</f>
        <v>1</v>
      </c>
      <c r="AF199" s="160"/>
      <c r="AG199" s="160"/>
      <c r="AH199" s="168">
        <f>'66 SYANA PRAROOP-20'!J200</f>
        <v>2</v>
      </c>
      <c r="AI199" s="159">
        <f t="shared" si="8"/>
        <v>658</v>
      </c>
      <c r="AJ199" s="150">
        <f t="shared" ref="AJ199:AJ262" si="9">AI199-H199</f>
        <v>-6</v>
      </c>
    </row>
    <row r="200" spans="1:36" ht="63.75">
      <c r="A200" s="151">
        <v>66</v>
      </c>
      <c r="B200" s="155">
        <v>194</v>
      </c>
      <c r="C200" s="156" t="s">
        <v>851</v>
      </c>
      <c r="D200" s="155">
        <v>938</v>
      </c>
      <c r="E200" s="151">
        <v>368</v>
      </c>
      <c r="F200" s="151">
        <v>321</v>
      </c>
      <c r="G200" s="151">
        <v>0</v>
      </c>
      <c r="H200" s="151">
        <f t="shared" ref="H200:H263" si="10">SUM(E200:G200)</f>
        <v>689</v>
      </c>
      <c r="I200" s="155">
        <v>89</v>
      </c>
      <c r="J200" s="151">
        <v>0</v>
      </c>
      <c r="K200" s="160"/>
      <c r="L200" s="160"/>
      <c r="M200" s="168">
        <f>'66 SYANA PRAROOP-20'!C201</f>
        <v>543</v>
      </c>
      <c r="N200" s="160"/>
      <c r="O200" s="160"/>
      <c r="P200" s="158">
        <f>'66 SYANA PRAROOP-20'!D201</f>
        <v>116</v>
      </c>
      <c r="Q200" s="160"/>
      <c r="R200" s="160"/>
      <c r="S200" s="158">
        <f>'66 SYANA PRAROOP-20'!E201</f>
        <v>5</v>
      </c>
      <c r="T200" s="160"/>
      <c r="U200" s="160"/>
      <c r="V200" s="159">
        <f>'66 SYANA PRAROOP-20'!F201</f>
        <v>13</v>
      </c>
      <c r="W200" s="160"/>
      <c r="X200" s="160"/>
      <c r="Y200" s="159">
        <f>'66 SYANA PRAROOP-20'!G201</f>
        <v>0</v>
      </c>
      <c r="Z200" s="160"/>
      <c r="AA200" s="160"/>
      <c r="AB200" s="168">
        <f>'66 SYANA PRAROOP-20'!H201</f>
        <v>2</v>
      </c>
      <c r="AC200" s="160"/>
      <c r="AD200" s="160"/>
      <c r="AE200" s="168">
        <f>'66 SYANA PRAROOP-20'!I201</f>
        <v>1</v>
      </c>
      <c r="AF200" s="160"/>
      <c r="AG200" s="160"/>
      <c r="AH200" s="168">
        <f>'66 SYANA PRAROOP-20'!J201</f>
        <v>5</v>
      </c>
      <c r="AI200" s="159">
        <f t="shared" ref="AI200:AI263" si="11">M200+P200+S200+V200+Y200+AB200+AE200+AH200</f>
        <v>685</v>
      </c>
      <c r="AJ200" s="150">
        <f t="shared" si="9"/>
        <v>-4</v>
      </c>
    </row>
    <row r="201" spans="1:36" ht="51">
      <c r="A201" s="151">
        <v>66</v>
      </c>
      <c r="B201" s="155">
        <v>195</v>
      </c>
      <c r="C201" s="156" t="s">
        <v>852</v>
      </c>
      <c r="D201" s="155">
        <v>881</v>
      </c>
      <c r="E201" s="151">
        <v>302</v>
      </c>
      <c r="F201" s="151">
        <v>268</v>
      </c>
      <c r="G201" s="151">
        <v>0</v>
      </c>
      <c r="H201" s="151">
        <f t="shared" si="10"/>
        <v>570</v>
      </c>
      <c r="I201" s="155">
        <v>47</v>
      </c>
      <c r="J201" s="151">
        <v>0</v>
      </c>
      <c r="K201" s="160"/>
      <c r="L201" s="160"/>
      <c r="M201" s="168">
        <f>'66 SYANA PRAROOP-20'!C202</f>
        <v>17</v>
      </c>
      <c r="N201" s="160"/>
      <c r="O201" s="160"/>
      <c r="P201" s="158">
        <f>'66 SYANA PRAROOP-20'!D202</f>
        <v>36</v>
      </c>
      <c r="Q201" s="160"/>
      <c r="R201" s="160"/>
      <c r="S201" s="158">
        <f>'66 SYANA PRAROOP-20'!E202</f>
        <v>2</v>
      </c>
      <c r="T201" s="160"/>
      <c r="U201" s="160"/>
      <c r="V201" s="159">
        <f>'66 SYANA PRAROOP-20'!F202</f>
        <v>507</v>
      </c>
      <c r="W201" s="160"/>
      <c r="X201" s="160"/>
      <c r="Y201" s="159">
        <f>'66 SYANA PRAROOP-20'!G202</f>
        <v>4</v>
      </c>
      <c r="Z201" s="160"/>
      <c r="AA201" s="160"/>
      <c r="AB201" s="168">
        <f>'66 SYANA PRAROOP-20'!H202</f>
        <v>2</v>
      </c>
      <c r="AC201" s="160"/>
      <c r="AD201" s="160"/>
      <c r="AE201" s="168">
        <f>'66 SYANA PRAROOP-20'!I202</f>
        <v>0</v>
      </c>
      <c r="AF201" s="160"/>
      <c r="AG201" s="160"/>
      <c r="AH201" s="168">
        <f>'66 SYANA PRAROOP-20'!J202</f>
        <v>2</v>
      </c>
      <c r="AI201" s="159">
        <f t="shared" si="11"/>
        <v>570</v>
      </c>
      <c r="AJ201" s="150">
        <f t="shared" si="9"/>
        <v>0</v>
      </c>
    </row>
    <row r="202" spans="1:36" ht="51">
      <c r="A202" s="151">
        <v>66</v>
      </c>
      <c r="B202" s="155">
        <v>196</v>
      </c>
      <c r="C202" s="156" t="s">
        <v>853</v>
      </c>
      <c r="D202" s="155">
        <v>1051</v>
      </c>
      <c r="E202" s="151">
        <v>490</v>
      </c>
      <c r="F202" s="151">
        <v>419</v>
      </c>
      <c r="G202" s="151">
        <v>0</v>
      </c>
      <c r="H202" s="151">
        <f t="shared" si="10"/>
        <v>909</v>
      </c>
      <c r="I202" s="155">
        <v>590</v>
      </c>
      <c r="J202" s="151">
        <v>0</v>
      </c>
      <c r="K202" s="160"/>
      <c r="L202" s="160"/>
      <c r="M202" s="168">
        <f>'66 SYANA PRAROOP-20'!C203</f>
        <v>190</v>
      </c>
      <c r="N202" s="160"/>
      <c r="O202" s="160"/>
      <c r="P202" s="158">
        <f>'66 SYANA PRAROOP-20'!D203</f>
        <v>691</v>
      </c>
      <c r="Q202" s="160"/>
      <c r="R202" s="160"/>
      <c r="S202" s="158">
        <f>'66 SYANA PRAROOP-20'!E203</f>
        <v>4</v>
      </c>
      <c r="T202" s="160"/>
      <c r="U202" s="160"/>
      <c r="V202" s="159">
        <f>'66 SYANA PRAROOP-20'!F203</f>
        <v>7</v>
      </c>
      <c r="W202" s="160"/>
      <c r="X202" s="160"/>
      <c r="Y202" s="159">
        <f>'66 SYANA PRAROOP-20'!G203</f>
        <v>3</v>
      </c>
      <c r="Z202" s="160"/>
      <c r="AA202" s="160"/>
      <c r="AB202" s="168">
        <f>'66 SYANA PRAROOP-20'!H203</f>
        <v>1</v>
      </c>
      <c r="AC202" s="160"/>
      <c r="AD202" s="160"/>
      <c r="AE202" s="168">
        <f>'66 SYANA PRAROOP-20'!I203</f>
        <v>3</v>
      </c>
      <c r="AF202" s="160"/>
      <c r="AG202" s="160"/>
      <c r="AH202" s="168">
        <f>'66 SYANA PRAROOP-20'!J203</f>
        <v>8</v>
      </c>
      <c r="AI202" s="159">
        <f t="shared" si="11"/>
        <v>907</v>
      </c>
      <c r="AJ202" s="150">
        <f t="shared" si="9"/>
        <v>-2</v>
      </c>
    </row>
    <row r="203" spans="1:36" ht="63.75">
      <c r="A203" s="151">
        <v>66</v>
      </c>
      <c r="B203" s="155">
        <v>197</v>
      </c>
      <c r="C203" s="156" t="s">
        <v>854</v>
      </c>
      <c r="D203" s="155">
        <v>973</v>
      </c>
      <c r="E203" s="151">
        <v>337</v>
      </c>
      <c r="F203" s="151">
        <v>268</v>
      </c>
      <c r="G203" s="151">
        <v>0</v>
      </c>
      <c r="H203" s="151">
        <f t="shared" si="10"/>
        <v>605</v>
      </c>
      <c r="I203" s="155">
        <v>250</v>
      </c>
      <c r="J203" s="151">
        <v>0</v>
      </c>
      <c r="K203" s="160"/>
      <c r="L203" s="160"/>
      <c r="M203" s="168">
        <f>'66 SYANA PRAROOP-20'!C204</f>
        <v>561</v>
      </c>
      <c r="N203" s="160"/>
      <c r="O203" s="160"/>
      <c r="P203" s="158">
        <f>'66 SYANA PRAROOP-20'!D204</f>
        <v>11</v>
      </c>
      <c r="Q203" s="160"/>
      <c r="R203" s="160"/>
      <c r="S203" s="158">
        <f>'66 SYANA PRAROOP-20'!E204</f>
        <v>4</v>
      </c>
      <c r="T203" s="160"/>
      <c r="U203" s="160"/>
      <c r="V203" s="159">
        <f>'66 SYANA PRAROOP-20'!F204</f>
        <v>28</v>
      </c>
      <c r="W203" s="160"/>
      <c r="X203" s="160"/>
      <c r="Y203" s="159">
        <f>'66 SYANA PRAROOP-20'!G204</f>
        <v>0</v>
      </c>
      <c r="Z203" s="160"/>
      <c r="AA203" s="160"/>
      <c r="AB203" s="168">
        <f>'66 SYANA PRAROOP-20'!H204</f>
        <v>0</v>
      </c>
      <c r="AC203" s="160"/>
      <c r="AD203" s="160"/>
      <c r="AE203" s="168">
        <f>'66 SYANA PRAROOP-20'!I204</f>
        <v>0</v>
      </c>
      <c r="AF203" s="160"/>
      <c r="AG203" s="160"/>
      <c r="AH203" s="168">
        <f>'66 SYANA PRAROOP-20'!J204</f>
        <v>0</v>
      </c>
      <c r="AI203" s="159">
        <f t="shared" si="11"/>
        <v>604</v>
      </c>
      <c r="AJ203" s="150">
        <f t="shared" si="9"/>
        <v>-1</v>
      </c>
    </row>
    <row r="204" spans="1:36" ht="63.75">
      <c r="A204" s="151">
        <v>66</v>
      </c>
      <c r="B204" s="155">
        <v>198</v>
      </c>
      <c r="C204" s="156" t="s">
        <v>855</v>
      </c>
      <c r="D204" s="155">
        <v>869</v>
      </c>
      <c r="E204" s="151">
        <v>335</v>
      </c>
      <c r="F204" s="151">
        <v>253</v>
      </c>
      <c r="G204" s="151">
        <v>0</v>
      </c>
      <c r="H204" s="151">
        <f t="shared" si="10"/>
        <v>588</v>
      </c>
      <c r="I204" s="155">
        <v>127</v>
      </c>
      <c r="J204" s="151">
        <v>0</v>
      </c>
      <c r="K204" s="160"/>
      <c r="L204" s="160"/>
      <c r="M204" s="168">
        <f>'66 SYANA PRAROOP-20'!C205</f>
        <v>499</v>
      </c>
      <c r="N204" s="160"/>
      <c r="O204" s="160"/>
      <c r="P204" s="158">
        <f>'66 SYANA PRAROOP-20'!D205</f>
        <v>52</v>
      </c>
      <c r="Q204" s="160"/>
      <c r="R204" s="160"/>
      <c r="S204" s="158">
        <f>'66 SYANA PRAROOP-20'!E205</f>
        <v>4</v>
      </c>
      <c r="T204" s="160"/>
      <c r="U204" s="160"/>
      <c r="V204" s="159">
        <f>'66 SYANA PRAROOP-20'!F205</f>
        <v>24</v>
      </c>
      <c r="W204" s="160"/>
      <c r="X204" s="160"/>
      <c r="Y204" s="159">
        <f>'66 SYANA PRAROOP-20'!G205</f>
        <v>0</v>
      </c>
      <c r="Z204" s="160"/>
      <c r="AA204" s="160"/>
      <c r="AB204" s="168">
        <f>'66 SYANA PRAROOP-20'!H205</f>
        <v>1</v>
      </c>
      <c r="AC204" s="160"/>
      <c r="AD204" s="160"/>
      <c r="AE204" s="168">
        <f>'66 SYANA PRAROOP-20'!I205</f>
        <v>2</v>
      </c>
      <c r="AF204" s="160"/>
      <c r="AG204" s="160"/>
      <c r="AH204" s="168">
        <f>'66 SYANA PRAROOP-20'!J205</f>
        <v>3</v>
      </c>
      <c r="AI204" s="159">
        <f t="shared" si="11"/>
        <v>585</v>
      </c>
      <c r="AJ204" s="150">
        <f t="shared" si="9"/>
        <v>-3</v>
      </c>
    </row>
    <row r="205" spans="1:36" ht="51">
      <c r="A205" s="151">
        <v>66</v>
      </c>
      <c r="B205" s="155">
        <v>199</v>
      </c>
      <c r="C205" s="156" t="s">
        <v>856</v>
      </c>
      <c r="D205" s="155">
        <v>873</v>
      </c>
      <c r="E205" s="151">
        <v>338</v>
      </c>
      <c r="F205" s="151">
        <v>317</v>
      </c>
      <c r="G205" s="151">
        <v>0</v>
      </c>
      <c r="H205" s="151">
        <f t="shared" si="10"/>
        <v>655</v>
      </c>
      <c r="I205" s="155">
        <v>155</v>
      </c>
      <c r="J205" s="151">
        <v>0</v>
      </c>
      <c r="K205" s="160"/>
      <c r="L205" s="160"/>
      <c r="M205" s="168">
        <f>'66 SYANA PRAROOP-20'!C206</f>
        <v>11</v>
      </c>
      <c r="N205" s="160"/>
      <c r="O205" s="160"/>
      <c r="P205" s="158">
        <f>'66 SYANA PRAROOP-20'!D206</f>
        <v>83</v>
      </c>
      <c r="Q205" s="160"/>
      <c r="R205" s="160"/>
      <c r="S205" s="158">
        <f>'66 SYANA PRAROOP-20'!E206</f>
        <v>5</v>
      </c>
      <c r="T205" s="160"/>
      <c r="U205" s="160"/>
      <c r="V205" s="159">
        <f>'66 SYANA PRAROOP-20'!F206</f>
        <v>543</v>
      </c>
      <c r="W205" s="160"/>
      <c r="X205" s="160"/>
      <c r="Y205" s="159">
        <f>'66 SYANA PRAROOP-20'!G206</f>
        <v>3</v>
      </c>
      <c r="Z205" s="160"/>
      <c r="AA205" s="160"/>
      <c r="AB205" s="168">
        <f>'66 SYANA PRAROOP-20'!H206</f>
        <v>7</v>
      </c>
      <c r="AC205" s="160"/>
      <c r="AD205" s="160"/>
      <c r="AE205" s="168">
        <f>'66 SYANA PRAROOP-20'!I206</f>
        <v>3</v>
      </c>
      <c r="AF205" s="160"/>
      <c r="AG205" s="160"/>
      <c r="AH205" s="168">
        <f>'66 SYANA PRAROOP-20'!J206</f>
        <v>0</v>
      </c>
      <c r="AI205" s="159">
        <f t="shared" si="11"/>
        <v>655</v>
      </c>
      <c r="AJ205" s="150">
        <f t="shared" si="9"/>
        <v>0</v>
      </c>
    </row>
    <row r="206" spans="1:36" ht="51">
      <c r="A206" s="151">
        <v>66</v>
      </c>
      <c r="B206" s="155">
        <v>200</v>
      </c>
      <c r="C206" s="156" t="s">
        <v>857</v>
      </c>
      <c r="D206" s="155">
        <v>948</v>
      </c>
      <c r="E206" s="151">
        <v>427</v>
      </c>
      <c r="F206" s="151">
        <v>379</v>
      </c>
      <c r="G206" s="151">
        <v>0</v>
      </c>
      <c r="H206" s="151">
        <f t="shared" si="10"/>
        <v>806</v>
      </c>
      <c r="I206" s="155">
        <v>72</v>
      </c>
      <c r="J206" s="151">
        <v>0</v>
      </c>
      <c r="K206" s="160"/>
      <c r="L206" s="160"/>
      <c r="M206" s="168">
        <f>'66 SYANA PRAROOP-20'!C207</f>
        <v>28</v>
      </c>
      <c r="N206" s="160"/>
      <c r="O206" s="160"/>
      <c r="P206" s="158">
        <f>'66 SYANA PRAROOP-20'!D207</f>
        <v>753</v>
      </c>
      <c r="Q206" s="160"/>
      <c r="R206" s="160"/>
      <c r="S206" s="158">
        <f>'66 SYANA PRAROOP-20'!E207</f>
        <v>6</v>
      </c>
      <c r="T206" s="160"/>
      <c r="U206" s="160"/>
      <c r="V206" s="159">
        <f>'66 SYANA PRAROOP-20'!F207</f>
        <v>7</v>
      </c>
      <c r="W206" s="160"/>
      <c r="X206" s="160"/>
      <c r="Y206" s="159">
        <f>'66 SYANA PRAROOP-20'!G207</f>
        <v>0</v>
      </c>
      <c r="Z206" s="160"/>
      <c r="AA206" s="160"/>
      <c r="AB206" s="168">
        <f>'66 SYANA PRAROOP-20'!H207</f>
        <v>3</v>
      </c>
      <c r="AC206" s="160"/>
      <c r="AD206" s="160"/>
      <c r="AE206" s="168">
        <f>'66 SYANA PRAROOP-20'!I207</f>
        <v>0</v>
      </c>
      <c r="AF206" s="160"/>
      <c r="AG206" s="160"/>
      <c r="AH206" s="168">
        <f>'66 SYANA PRAROOP-20'!J207</f>
        <v>6</v>
      </c>
      <c r="AI206" s="159">
        <f t="shared" si="11"/>
        <v>803</v>
      </c>
      <c r="AJ206" s="150">
        <f t="shared" si="9"/>
        <v>-3</v>
      </c>
    </row>
    <row r="207" spans="1:36" ht="51">
      <c r="A207" s="151">
        <v>66</v>
      </c>
      <c r="B207" s="155">
        <v>201</v>
      </c>
      <c r="C207" s="156" t="s">
        <v>858</v>
      </c>
      <c r="D207" s="155">
        <v>712</v>
      </c>
      <c r="E207" s="151">
        <v>240</v>
      </c>
      <c r="F207" s="151">
        <v>220</v>
      </c>
      <c r="G207" s="151">
        <v>0</v>
      </c>
      <c r="H207" s="151">
        <f t="shared" si="10"/>
        <v>460</v>
      </c>
      <c r="I207" s="155">
        <v>92</v>
      </c>
      <c r="J207" s="151">
        <v>0</v>
      </c>
      <c r="K207" s="160"/>
      <c r="L207" s="160"/>
      <c r="M207" s="168">
        <f>'66 SYANA PRAROOP-20'!C208</f>
        <v>77</v>
      </c>
      <c r="N207" s="160"/>
      <c r="O207" s="160"/>
      <c r="P207" s="158">
        <f>'66 SYANA PRAROOP-20'!D208</f>
        <v>321</v>
      </c>
      <c r="Q207" s="160"/>
      <c r="R207" s="160"/>
      <c r="S207" s="158">
        <f>'66 SYANA PRAROOP-20'!E208</f>
        <v>3</v>
      </c>
      <c r="T207" s="160"/>
      <c r="U207" s="160"/>
      <c r="V207" s="159">
        <f>'66 SYANA PRAROOP-20'!F208</f>
        <v>49</v>
      </c>
      <c r="W207" s="160"/>
      <c r="X207" s="160"/>
      <c r="Y207" s="159">
        <f>'66 SYANA PRAROOP-20'!G208</f>
        <v>0</v>
      </c>
      <c r="Z207" s="160"/>
      <c r="AA207" s="160"/>
      <c r="AB207" s="168">
        <f>'66 SYANA PRAROOP-20'!H208</f>
        <v>4</v>
      </c>
      <c r="AC207" s="160"/>
      <c r="AD207" s="160"/>
      <c r="AE207" s="168">
        <f>'66 SYANA PRAROOP-20'!I208</f>
        <v>0</v>
      </c>
      <c r="AF207" s="160"/>
      <c r="AG207" s="160"/>
      <c r="AH207" s="168">
        <f>'66 SYANA PRAROOP-20'!J208</f>
        <v>6</v>
      </c>
      <c r="AI207" s="159">
        <f t="shared" si="11"/>
        <v>460</v>
      </c>
      <c r="AJ207" s="150">
        <f t="shared" si="9"/>
        <v>0</v>
      </c>
    </row>
    <row r="208" spans="1:36" ht="51">
      <c r="A208" s="151">
        <v>66</v>
      </c>
      <c r="B208" s="155">
        <v>202</v>
      </c>
      <c r="C208" s="156" t="s">
        <v>859</v>
      </c>
      <c r="D208" s="155">
        <v>904</v>
      </c>
      <c r="E208" s="151">
        <v>325</v>
      </c>
      <c r="F208" s="151">
        <v>297</v>
      </c>
      <c r="G208" s="151">
        <v>0</v>
      </c>
      <c r="H208" s="151">
        <f t="shared" si="10"/>
        <v>622</v>
      </c>
      <c r="I208" s="155">
        <v>115</v>
      </c>
      <c r="J208" s="151">
        <v>0</v>
      </c>
      <c r="K208" s="160"/>
      <c r="L208" s="160"/>
      <c r="M208" s="168">
        <f>'66 SYANA PRAROOP-20'!C209</f>
        <v>113</v>
      </c>
      <c r="N208" s="160"/>
      <c r="O208" s="160"/>
      <c r="P208" s="158">
        <f>'66 SYANA PRAROOP-20'!D209</f>
        <v>301</v>
      </c>
      <c r="Q208" s="160"/>
      <c r="R208" s="160"/>
      <c r="S208" s="158">
        <f>'66 SYANA PRAROOP-20'!E209</f>
        <v>7</v>
      </c>
      <c r="T208" s="160"/>
      <c r="U208" s="160"/>
      <c r="V208" s="159">
        <f>'66 SYANA PRAROOP-20'!F209</f>
        <v>182</v>
      </c>
      <c r="W208" s="160"/>
      <c r="X208" s="160"/>
      <c r="Y208" s="159">
        <f>'66 SYANA PRAROOP-20'!G209</f>
        <v>1</v>
      </c>
      <c r="Z208" s="160"/>
      <c r="AA208" s="160"/>
      <c r="AB208" s="168">
        <f>'66 SYANA PRAROOP-20'!H209</f>
        <v>4</v>
      </c>
      <c r="AC208" s="160"/>
      <c r="AD208" s="160"/>
      <c r="AE208" s="168">
        <f>'66 SYANA PRAROOP-20'!I209</f>
        <v>5</v>
      </c>
      <c r="AF208" s="160"/>
      <c r="AG208" s="160"/>
      <c r="AH208" s="168">
        <f>'66 SYANA PRAROOP-20'!J209</f>
        <v>4</v>
      </c>
      <c r="AI208" s="159">
        <f t="shared" si="11"/>
        <v>617</v>
      </c>
      <c r="AJ208" s="150">
        <f t="shared" si="9"/>
        <v>-5</v>
      </c>
    </row>
    <row r="209" spans="1:36" ht="51">
      <c r="A209" s="151">
        <v>66</v>
      </c>
      <c r="B209" s="155">
        <v>203</v>
      </c>
      <c r="C209" s="156" t="s">
        <v>860</v>
      </c>
      <c r="D209" s="155">
        <v>1073</v>
      </c>
      <c r="E209" s="151">
        <v>358</v>
      </c>
      <c r="F209" s="151">
        <v>266</v>
      </c>
      <c r="G209" s="151">
        <v>0</v>
      </c>
      <c r="H209" s="151">
        <f t="shared" si="10"/>
        <v>624</v>
      </c>
      <c r="I209" s="155">
        <v>138</v>
      </c>
      <c r="J209" s="151">
        <v>0</v>
      </c>
      <c r="K209" s="160"/>
      <c r="L209" s="160"/>
      <c r="M209" s="168">
        <f>'66 SYANA PRAROOP-20'!C210</f>
        <v>108</v>
      </c>
      <c r="N209" s="160"/>
      <c r="O209" s="160"/>
      <c r="P209" s="158">
        <f>'66 SYANA PRAROOP-20'!D210</f>
        <v>475</v>
      </c>
      <c r="Q209" s="160"/>
      <c r="R209" s="160"/>
      <c r="S209" s="158">
        <f>'66 SYANA PRAROOP-20'!E210</f>
        <v>11</v>
      </c>
      <c r="T209" s="160"/>
      <c r="U209" s="160"/>
      <c r="V209" s="159">
        <f>'66 SYANA PRAROOP-20'!F210</f>
        <v>7</v>
      </c>
      <c r="W209" s="160"/>
      <c r="X209" s="160"/>
      <c r="Y209" s="159">
        <f>'66 SYANA PRAROOP-20'!G210</f>
        <v>2</v>
      </c>
      <c r="Z209" s="160"/>
      <c r="AA209" s="160"/>
      <c r="AB209" s="168">
        <f>'66 SYANA PRAROOP-20'!H210</f>
        <v>5</v>
      </c>
      <c r="AC209" s="160"/>
      <c r="AD209" s="160"/>
      <c r="AE209" s="168">
        <f>'66 SYANA PRAROOP-20'!I210</f>
        <v>3</v>
      </c>
      <c r="AF209" s="160"/>
      <c r="AG209" s="160"/>
      <c r="AH209" s="168">
        <f>'66 SYANA PRAROOP-20'!J210</f>
        <v>7</v>
      </c>
      <c r="AI209" s="159">
        <f t="shared" si="11"/>
        <v>618</v>
      </c>
      <c r="AJ209" s="150">
        <f t="shared" si="9"/>
        <v>-6</v>
      </c>
    </row>
    <row r="210" spans="1:36" ht="63.75">
      <c r="A210" s="151">
        <v>66</v>
      </c>
      <c r="B210" s="155">
        <v>204</v>
      </c>
      <c r="C210" s="156" t="s">
        <v>861</v>
      </c>
      <c r="D210" s="155">
        <v>1017</v>
      </c>
      <c r="E210" s="151">
        <v>358</v>
      </c>
      <c r="F210" s="151">
        <v>317</v>
      </c>
      <c r="G210" s="151">
        <v>0</v>
      </c>
      <c r="H210" s="151">
        <f t="shared" si="10"/>
        <v>675</v>
      </c>
      <c r="I210" s="155">
        <v>458</v>
      </c>
      <c r="J210" s="151">
        <v>0</v>
      </c>
      <c r="K210" s="160"/>
      <c r="L210" s="160"/>
      <c r="M210" s="168">
        <f>'66 SYANA PRAROOP-20'!C211</f>
        <v>70</v>
      </c>
      <c r="N210" s="160"/>
      <c r="O210" s="160"/>
      <c r="P210" s="158">
        <f>'66 SYANA PRAROOP-20'!D211</f>
        <v>514</v>
      </c>
      <c r="Q210" s="160"/>
      <c r="R210" s="160"/>
      <c r="S210" s="158">
        <f>'66 SYANA PRAROOP-20'!E211</f>
        <v>18</v>
      </c>
      <c r="T210" s="160"/>
      <c r="U210" s="160"/>
      <c r="V210" s="159">
        <f>'66 SYANA PRAROOP-20'!F211</f>
        <v>54</v>
      </c>
      <c r="W210" s="160"/>
      <c r="X210" s="160"/>
      <c r="Y210" s="159">
        <f>'66 SYANA PRAROOP-20'!G211</f>
        <v>2</v>
      </c>
      <c r="Z210" s="160"/>
      <c r="AA210" s="160"/>
      <c r="AB210" s="168">
        <f>'66 SYANA PRAROOP-20'!H211</f>
        <v>3</v>
      </c>
      <c r="AC210" s="160"/>
      <c r="AD210" s="160"/>
      <c r="AE210" s="168">
        <f>'66 SYANA PRAROOP-20'!I211</f>
        <v>4</v>
      </c>
      <c r="AF210" s="160"/>
      <c r="AG210" s="160"/>
      <c r="AH210" s="168">
        <f>'66 SYANA PRAROOP-20'!J211</f>
        <v>5</v>
      </c>
      <c r="AI210" s="159">
        <f t="shared" si="11"/>
        <v>670</v>
      </c>
      <c r="AJ210" s="150">
        <f t="shared" si="9"/>
        <v>-5</v>
      </c>
    </row>
    <row r="211" spans="1:36" ht="51">
      <c r="A211" s="151">
        <v>66</v>
      </c>
      <c r="B211" s="155">
        <v>205</v>
      </c>
      <c r="C211" s="156" t="s">
        <v>862</v>
      </c>
      <c r="D211" s="155">
        <v>718</v>
      </c>
      <c r="E211" s="151">
        <v>222</v>
      </c>
      <c r="F211" s="151">
        <v>223</v>
      </c>
      <c r="G211" s="151">
        <v>0</v>
      </c>
      <c r="H211" s="151">
        <f t="shared" si="10"/>
        <v>445</v>
      </c>
      <c r="I211" s="155">
        <v>46</v>
      </c>
      <c r="J211" s="151">
        <v>0</v>
      </c>
      <c r="K211" s="160"/>
      <c r="L211" s="160"/>
      <c r="M211" s="168">
        <f>'66 SYANA PRAROOP-20'!C212</f>
        <v>148</v>
      </c>
      <c r="N211" s="160"/>
      <c r="O211" s="160"/>
      <c r="P211" s="158">
        <f>'66 SYANA PRAROOP-20'!D212</f>
        <v>156</v>
      </c>
      <c r="Q211" s="160"/>
      <c r="R211" s="160"/>
      <c r="S211" s="158">
        <f>'66 SYANA PRAROOP-20'!E212</f>
        <v>8</v>
      </c>
      <c r="T211" s="160"/>
      <c r="U211" s="160"/>
      <c r="V211" s="159">
        <f>'66 SYANA PRAROOP-20'!F212</f>
        <v>128</v>
      </c>
      <c r="W211" s="160"/>
      <c r="X211" s="160"/>
      <c r="Y211" s="159">
        <f>'66 SYANA PRAROOP-20'!G212</f>
        <v>2</v>
      </c>
      <c r="Z211" s="160"/>
      <c r="AA211" s="160"/>
      <c r="AB211" s="168">
        <f>'66 SYANA PRAROOP-20'!H212</f>
        <v>0</v>
      </c>
      <c r="AC211" s="160"/>
      <c r="AD211" s="160"/>
      <c r="AE211" s="168">
        <f>'66 SYANA PRAROOP-20'!I212</f>
        <v>1</v>
      </c>
      <c r="AF211" s="160"/>
      <c r="AG211" s="160"/>
      <c r="AH211" s="168">
        <f>'66 SYANA PRAROOP-20'!J212</f>
        <v>1</v>
      </c>
      <c r="AI211" s="159">
        <f t="shared" si="11"/>
        <v>444</v>
      </c>
      <c r="AJ211" s="150">
        <f t="shared" si="9"/>
        <v>-1</v>
      </c>
    </row>
    <row r="212" spans="1:36" ht="51">
      <c r="A212" s="151">
        <v>66</v>
      </c>
      <c r="B212" s="155">
        <v>206</v>
      </c>
      <c r="C212" s="156" t="s">
        <v>863</v>
      </c>
      <c r="D212" s="155">
        <v>1111</v>
      </c>
      <c r="E212" s="151">
        <v>398</v>
      </c>
      <c r="F212" s="151">
        <v>331</v>
      </c>
      <c r="G212" s="151">
        <v>0</v>
      </c>
      <c r="H212" s="151">
        <f t="shared" si="10"/>
        <v>729</v>
      </c>
      <c r="I212" s="155">
        <v>22</v>
      </c>
      <c r="J212" s="151">
        <v>0</v>
      </c>
      <c r="K212" s="160"/>
      <c r="L212" s="160"/>
      <c r="M212" s="168">
        <f>'66 SYANA PRAROOP-20'!C213</f>
        <v>318</v>
      </c>
      <c r="N212" s="160"/>
      <c r="O212" s="160"/>
      <c r="P212" s="158">
        <f>'66 SYANA PRAROOP-20'!D213</f>
        <v>335</v>
      </c>
      <c r="Q212" s="160"/>
      <c r="R212" s="160"/>
      <c r="S212" s="158">
        <f>'66 SYANA PRAROOP-20'!E213</f>
        <v>9</v>
      </c>
      <c r="T212" s="160"/>
      <c r="U212" s="160"/>
      <c r="V212" s="159">
        <f>'66 SYANA PRAROOP-20'!F213</f>
        <v>54</v>
      </c>
      <c r="W212" s="160"/>
      <c r="X212" s="160"/>
      <c r="Y212" s="159">
        <f>'66 SYANA PRAROOP-20'!G213</f>
        <v>3</v>
      </c>
      <c r="Z212" s="160"/>
      <c r="AA212" s="160"/>
      <c r="AB212" s="168">
        <f>'66 SYANA PRAROOP-20'!H213</f>
        <v>1</v>
      </c>
      <c r="AC212" s="160"/>
      <c r="AD212" s="160"/>
      <c r="AE212" s="168">
        <f>'66 SYANA PRAROOP-20'!I213</f>
        <v>3</v>
      </c>
      <c r="AF212" s="160"/>
      <c r="AG212" s="160"/>
      <c r="AH212" s="168">
        <f>'66 SYANA PRAROOP-20'!J213</f>
        <v>1</v>
      </c>
      <c r="AI212" s="159">
        <f t="shared" si="11"/>
        <v>724</v>
      </c>
      <c r="AJ212" s="150">
        <f t="shared" si="9"/>
        <v>-5</v>
      </c>
    </row>
    <row r="213" spans="1:36" ht="51">
      <c r="A213" s="151">
        <v>66</v>
      </c>
      <c r="B213" s="155">
        <v>207</v>
      </c>
      <c r="C213" s="156" t="s">
        <v>864</v>
      </c>
      <c r="D213" s="155">
        <v>824</v>
      </c>
      <c r="E213" s="151">
        <v>300</v>
      </c>
      <c r="F213" s="151">
        <v>294</v>
      </c>
      <c r="G213" s="151">
        <v>0</v>
      </c>
      <c r="H213" s="151">
        <f t="shared" si="10"/>
        <v>594</v>
      </c>
      <c r="I213" s="155">
        <v>34</v>
      </c>
      <c r="J213" s="151">
        <v>0</v>
      </c>
      <c r="K213" s="160"/>
      <c r="L213" s="160"/>
      <c r="M213" s="168">
        <f>'66 SYANA PRAROOP-20'!C214</f>
        <v>143</v>
      </c>
      <c r="N213" s="160"/>
      <c r="O213" s="160"/>
      <c r="P213" s="158">
        <f>'66 SYANA PRAROOP-20'!D214</f>
        <v>310</v>
      </c>
      <c r="Q213" s="160"/>
      <c r="R213" s="160"/>
      <c r="S213" s="158">
        <f>'66 SYANA PRAROOP-20'!E214</f>
        <v>6</v>
      </c>
      <c r="T213" s="160"/>
      <c r="U213" s="160"/>
      <c r="V213" s="159">
        <f>'66 SYANA PRAROOP-20'!F214</f>
        <v>121</v>
      </c>
      <c r="W213" s="160"/>
      <c r="X213" s="160"/>
      <c r="Y213" s="159">
        <f>'66 SYANA PRAROOP-20'!G214</f>
        <v>2</v>
      </c>
      <c r="Z213" s="160"/>
      <c r="AA213" s="160"/>
      <c r="AB213" s="168">
        <f>'66 SYANA PRAROOP-20'!H214</f>
        <v>5</v>
      </c>
      <c r="AC213" s="160"/>
      <c r="AD213" s="160"/>
      <c r="AE213" s="168">
        <f>'66 SYANA PRAROOP-20'!I214</f>
        <v>0</v>
      </c>
      <c r="AF213" s="160"/>
      <c r="AG213" s="160"/>
      <c r="AH213" s="168">
        <f>'66 SYANA PRAROOP-20'!J214</f>
        <v>4</v>
      </c>
      <c r="AI213" s="159">
        <f t="shared" si="11"/>
        <v>591</v>
      </c>
      <c r="AJ213" s="150">
        <f t="shared" si="9"/>
        <v>-3</v>
      </c>
    </row>
    <row r="214" spans="1:36" ht="51">
      <c r="A214" s="151">
        <v>66</v>
      </c>
      <c r="B214" s="155">
        <v>208</v>
      </c>
      <c r="C214" s="156" t="s">
        <v>865</v>
      </c>
      <c r="D214" s="155">
        <v>816</v>
      </c>
      <c r="E214" s="151">
        <v>281</v>
      </c>
      <c r="F214" s="151">
        <v>272</v>
      </c>
      <c r="G214" s="151">
        <v>0</v>
      </c>
      <c r="H214" s="151">
        <f t="shared" si="10"/>
        <v>553</v>
      </c>
      <c r="I214" s="155">
        <v>46</v>
      </c>
      <c r="J214" s="151">
        <v>0</v>
      </c>
      <c r="K214" s="160"/>
      <c r="L214" s="160"/>
      <c r="M214" s="168">
        <f>'66 SYANA PRAROOP-20'!C215</f>
        <v>64</v>
      </c>
      <c r="N214" s="160"/>
      <c r="O214" s="160"/>
      <c r="P214" s="158">
        <f>'66 SYANA PRAROOP-20'!D215</f>
        <v>454</v>
      </c>
      <c r="Q214" s="160"/>
      <c r="R214" s="160"/>
      <c r="S214" s="158">
        <f>'66 SYANA PRAROOP-20'!E215</f>
        <v>4</v>
      </c>
      <c r="T214" s="160"/>
      <c r="U214" s="160"/>
      <c r="V214" s="159">
        <f>'66 SYANA PRAROOP-20'!F215</f>
        <v>18</v>
      </c>
      <c r="W214" s="160"/>
      <c r="X214" s="160"/>
      <c r="Y214" s="159">
        <f>'66 SYANA PRAROOP-20'!G215</f>
        <v>0</v>
      </c>
      <c r="Z214" s="160"/>
      <c r="AA214" s="160"/>
      <c r="AB214" s="168">
        <f>'66 SYANA PRAROOP-20'!H215</f>
        <v>1</v>
      </c>
      <c r="AC214" s="160"/>
      <c r="AD214" s="160"/>
      <c r="AE214" s="168">
        <f>'66 SYANA PRAROOP-20'!I215</f>
        <v>6</v>
      </c>
      <c r="AF214" s="160"/>
      <c r="AG214" s="160"/>
      <c r="AH214" s="168">
        <f>'66 SYANA PRAROOP-20'!J215</f>
        <v>5</v>
      </c>
      <c r="AI214" s="159">
        <f t="shared" si="11"/>
        <v>552</v>
      </c>
      <c r="AJ214" s="150">
        <f t="shared" si="9"/>
        <v>-1</v>
      </c>
    </row>
    <row r="215" spans="1:36" ht="51">
      <c r="A215" s="151">
        <v>66</v>
      </c>
      <c r="B215" s="155">
        <v>209</v>
      </c>
      <c r="C215" s="156" t="s">
        <v>866</v>
      </c>
      <c r="D215" s="155">
        <v>855</v>
      </c>
      <c r="E215" s="151">
        <v>363</v>
      </c>
      <c r="F215" s="151">
        <v>309</v>
      </c>
      <c r="G215" s="151">
        <v>0</v>
      </c>
      <c r="H215" s="151">
        <f t="shared" si="10"/>
        <v>672</v>
      </c>
      <c r="I215" s="155">
        <v>46</v>
      </c>
      <c r="J215" s="151">
        <v>0</v>
      </c>
      <c r="K215" s="160"/>
      <c r="L215" s="160"/>
      <c r="M215" s="168">
        <f>'66 SYANA PRAROOP-20'!C216</f>
        <v>51</v>
      </c>
      <c r="N215" s="160"/>
      <c r="O215" s="160"/>
      <c r="P215" s="158">
        <f>'66 SYANA PRAROOP-20'!D216</f>
        <v>592</v>
      </c>
      <c r="Q215" s="160"/>
      <c r="R215" s="160"/>
      <c r="S215" s="158">
        <f>'66 SYANA PRAROOP-20'!E216</f>
        <v>10</v>
      </c>
      <c r="T215" s="160"/>
      <c r="U215" s="160"/>
      <c r="V215" s="159">
        <f>'66 SYANA PRAROOP-20'!F216</f>
        <v>0</v>
      </c>
      <c r="W215" s="160"/>
      <c r="X215" s="160"/>
      <c r="Y215" s="159">
        <f>'66 SYANA PRAROOP-20'!G216</f>
        <v>0</v>
      </c>
      <c r="Z215" s="160"/>
      <c r="AA215" s="160"/>
      <c r="AB215" s="168">
        <f>'66 SYANA PRAROOP-20'!H216</f>
        <v>4</v>
      </c>
      <c r="AC215" s="160"/>
      <c r="AD215" s="160"/>
      <c r="AE215" s="168">
        <f>'66 SYANA PRAROOP-20'!I216</f>
        <v>5</v>
      </c>
      <c r="AF215" s="160"/>
      <c r="AG215" s="160"/>
      <c r="AH215" s="168">
        <f>'66 SYANA PRAROOP-20'!J216</f>
        <v>8</v>
      </c>
      <c r="AI215" s="159">
        <f t="shared" si="11"/>
        <v>670</v>
      </c>
      <c r="AJ215" s="150">
        <f t="shared" si="9"/>
        <v>-2</v>
      </c>
    </row>
    <row r="216" spans="1:36" ht="51">
      <c r="A216" s="151">
        <v>66</v>
      </c>
      <c r="B216" s="155">
        <v>210</v>
      </c>
      <c r="C216" s="156" t="s">
        <v>867</v>
      </c>
      <c r="D216" s="155">
        <v>854</v>
      </c>
      <c r="E216" s="151">
        <v>329</v>
      </c>
      <c r="F216" s="151">
        <v>323</v>
      </c>
      <c r="G216" s="151">
        <v>0</v>
      </c>
      <c r="H216" s="151">
        <f t="shared" si="10"/>
        <v>652</v>
      </c>
      <c r="I216" s="155">
        <v>429</v>
      </c>
      <c r="J216" s="151">
        <v>0</v>
      </c>
      <c r="K216" s="160"/>
      <c r="L216" s="160"/>
      <c r="M216" s="168">
        <f>'66 SYANA PRAROOP-20'!C217</f>
        <v>3</v>
      </c>
      <c r="N216" s="160"/>
      <c r="O216" s="160"/>
      <c r="P216" s="158">
        <f>'66 SYANA PRAROOP-20'!D217</f>
        <v>480</v>
      </c>
      <c r="Q216" s="160"/>
      <c r="R216" s="160"/>
      <c r="S216" s="158">
        <f>'66 SYANA PRAROOP-20'!E217</f>
        <v>15</v>
      </c>
      <c r="T216" s="160"/>
      <c r="U216" s="160"/>
      <c r="V216" s="159">
        <f>'66 SYANA PRAROOP-20'!F217</f>
        <v>150</v>
      </c>
      <c r="W216" s="160"/>
      <c r="X216" s="160"/>
      <c r="Y216" s="159">
        <f>'66 SYANA PRAROOP-20'!G217</f>
        <v>0</v>
      </c>
      <c r="Z216" s="160"/>
      <c r="AA216" s="160"/>
      <c r="AB216" s="168">
        <f>'66 SYANA PRAROOP-20'!H217</f>
        <v>1</v>
      </c>
      <c r="AC216" s="160"/>
      <c r="AD216" s="160"/>
      <c r="AE216" s="168">
        <f>'66 SYANA PRAROOP-20'!I217</f>
        <v>1</v>
      </c>
      <c r="AF216" s="160"/>
      <c r="AG216" s="160"/>
      <c r="AH216" s="168">
        <f>'66 SYANA PRAROOP-20'!J217</f>
        <v>2</v>
      </c>
      <c r="AI216" s="159">
        <f t="shared" si="11"/>
        <v>652</v>
      </c>
      <c r="AJ216" s="150">
        <f t="shared" si="9"/>
        <v>0</v>
      </c>
    </row>
    <row r="217" spans="1:36" ht="51">
      <c r="A217" s="151">
        <v>66</v>
      </c>
      <c r="B217" s="155">
        <v>211</v>
      </c>
      <c r="C217" s="156" t="s">
        <v>868</v>
      </c>
      <c r="D217" s="155">
        <v>850</v>
      </c>
      <c r="E217" s="151">
        <v>343</v>
      </c>
      <c r="F217" s="151">
        <v>341</v>
      </c>
      <c r="G217" s="151">
        <v>0</v>
      </c>
      <c r="H217" s="151">
        <f t="shared" si="10"/>
        <v>684</v>
      </c>
      <c r="I217" s="155">
        <v>484</v>
      </c>
      <c r="J217" s="151">
        <v>0</v>
      </c>
      <c r="K217" s="160"/>
      <c r="L217" s="160"/>
      <c r="M217" s="168">
        <f>'66 SYANA PRAROOP-20'!C218</f>
        <v>9</v>
      </c>
      <c r="N217" s="160"/>
      <c r="O217" s="160"/>
      <c r="P217" s="158">
        <f>'66 SYANA PRAROOP-20'!D218</f>
        <v>495</v>
      </c>
      <c r="Q217" s="160"/>
      <c r="R217" s="160"/>
      <c r="S217" s="158">
        <f>'66 SYANA PRAROOP-20'!E218</f>
        <v>4</v>
      </c>
      <c r="T217" s="160"/>
      <c r="U217" s="160"/>
      <c r="V217" s="159">
        <f>'66 SYANA PRAROOP-20'!F218</f>
        <v>167</v>
      </c>
      <c r="W217" s="160"/>
      <c r="X217" s="160"/>
      <c r="Y217" s="159">
        <f>'66 SYANA PRAROOP-20'!G218</f>
        <v>2</v>
      </c>
      <c r="Z217" s="160"/>
      <c r="AA217" s="160"/>
      <c r="AB217" s="168">
        <f>'66 SYANA PRAROOP-20'!H218</f>
        <v>3</v>
      </c>
      <c r="AC217" s="160"/>
      <c r="AD217" s="160"/>
      <c r="AE217" s="168">
        <f>'66 SYANA PRAROOP-20'!I218</f>
        <v>0</v>
      </c>
      <c r="AF217" s="160"/>
      <c r="AG217" s="160"/>
      <c r="AH217" s="168">
        <f>'66 SYANA PRAROOP-20'!J218</f>
        <v>2</v>
      </c>
      <c r="AI217" s="159">
        <f t="shared" si="11"/>
        <v>682</v>
      </c>
      <c r="AJ217" s="150">
        <f t="shared" si="9"/>
        <v>-2</v>
      </c>
    </row>
    <row r="218" spans="1:36" ht="51">
      <c r="A218" s="151">
        <v>66</v>
      </c>
      <c r="B218" s="155">
        <v>212</v>
      </c>
      <c r="C218" s="156" t="s">
        <v>1124</v>
      </c>
      <c r="D218" s="155">
        <v>859</v>
      </c>
      <c r="E218" s="151">
        <v>342</v>
      </c>
      <c r="F218" s="151">
        <v>316</v>
      </c>
      <c r="G218" s="151">
        <v>0</v>
      </c>
      <c r="H218" s="151">
        <f t="shared" si="10"/>
        <v>658</v>
      </c>
      <c r="I218" s="155">
        <v>59</v>
      </c>
      <c r="J218" s="151">
        <v>0</v>
      </c>
      <c r="K218" s="160"/>
      <c r="L218" s="160"/>
      <c r="M218" s="168">
        <f>'66 SYANA PRAROOP-20'!C219</f>
        <v>33</v>
      </c>
      <c r="N218" s="160"/>
      <c r="O218" s="160"/>
      <c r="P218" s="158">
        <f>'66 SYANA PRAROOP-20'!D219</f>
        <v>583</v>
      </c>
      <c r="Q218" s="160"/>
      <c r="R218" s="160"/>
      <c r="S218" s="158">
        <f>'66 SYANA PRAROOP-20'!E219</f>
        <v>6</v>
      </c>
      <c r="T218" s="160"/>
      <c r="U218" s="160"/>
      <c r="V218" s="159">
        <f>'66 SYANA PRAROOP-20'!F219</f>
        <v>28</v>
      </c>
      <c r="W218" s="160"/>
      <c r="X218" s="160"/>
      <c r="Y218" s="159">
        <f>'66 SYANA PRAROOP-20'!G219</f>
        <v>1</v>
      </c>
      <c r="Z218" s="160"/>
      <c r="AA218" s="160"/>
      <c r="AB218" s="168">
        <f>'66 SYANA PRAROOP-20'!H219</f>
        <v>0</v>
      </c>
      <c r="AC218" s="160"/>
      <c r="AD218" s="160"/>
      <c r="AE218" s="168">
        <f>'66 SYANA PRAROOP-20'!I219</f>
        <v>3</v>
      </c>
      <c r="AF218" s="160"/>
      <c r="AG218" s="160"/>
      <c r="AH218" s="168">
        <f>'66 SYANA PRAROOP-20'!J219</f>
        <v>0</v>
      </c>
      <c r="AI218" s="159">
        <f t="shared" si="11"/>
        <v>654</v>
      </c>
      <c r="AJ218" s="150">
        <f t="shared" si="9"/>
        <v>-4</v>
      </c>
    </row>
    <row r="219" spans="1:36" ht="63.75">
      <c r="A219" s="151">
        <v>66</v>
      </c>
      <c r="B219" s="155">
        <v>213</v>
      </c>
      <c r="C219" s="156" t="s">
        <v>869</v>
      </c>
      <c r="D219" s="155">
        <v>1009</v>
      </c>
      <c r="E219" s="151">
        <v>363</v>
      </c>
      <c r="F219" s="151">
        <v>417</v>
      </c>
      <c r="G219" s="151">
        <v>0</v>
      </c>
      <c r="H219" s="151">
        <f t="shared" si="10"/>
        <v>780</v>
      </c>
      <c r="I219" s="155">
        <v>74</v>
      </c>
      <c r="J219" s="151">
        <v>0</v>
      </c>
      <c r="K219" s="160"/>
      <c r="L219" s="160"/>
      <c r="M219" s="168">
        <f>'66 SYANA PRAROOP-20'!C220</f>
        <v>37</v>
      </c>
      <c r="N219" s="160"/>
      <c r="O219" s="160"/>
      <c r="P219" s="158">
        <f>'66 SYANA PRAROOP-20'!D220</f>
        <v>523</v>
      </c>
      <c r="Q219" s="160"/>
      <c r="R219" s="160"/>
      <c r="S219" s="158">
        <f>'66 SYANA PRAROOP-20'!E220</f>
        <v>8</v>
      </c>
      <c r="T219" s="160"/>
      <c r="U219" s="160"/>
      <c r="V219" s="159">
        <f>'66 SYANA PRAROOP-20'!F220</f>
        <v>174</v>
      </c>
      <c r="W219" s="160"/>
      <c r="X219" s="160"/>
      <c r="Y219" s="159">
        <f>'66 SYANA PRAROOP-20'!G220</f>
        <v>2</v>
      </c>
      <c r="Z219" s="160"/>
      <c r="AA219" s="160"/>
      <c r="AB219" s="168">
        <f>'66 SYANA PRAROOP-20'!H220</f>
        <v>7</v>
      </c>
      <c r="AC219" s="160"/>
      <c r="AD219" s="160"/>
      <c r="AE219" s="168">
        <f>'66 SYANA PRAROOP-20'!I220</f>
        <v>17</v>
      </c>
      <c r="AF219" s="160"/>
      <c r="AG219" s="160"/>
      <c r="AH219" s="168">
        <f>'66 SYANA PRAROOP-20'!J220</f>
        <v>6</v>
      </c>
      <c r="AI219" s="159">
        <f t="shared" si="11"/>
        <v>774</v>
      </c>
      <c r="AJ219" s="150">
        <f t="shared" si="9"/>
        <v>-6</v>
      </c>
    </row>
    <row r="220" spans="1:36" ht="63.75">
      <c r="A220" s="151">
        <v>66</v>
      </c>
      <c r="B220" s="155">
        <v>214</v>
      </c>
      <c r="C220" s="156" t="s">
        <v>1125</v>
      </c>
      <c r="D220" s="155">
        <v>1028</v>
      </c>
      <c r="E220" s="151">
        <v>359</v>
      </c>
      <c r="F220" s="151">
        <v>337</v>
      </c>
      <c r="G220" s="151">
        <v>0</v>
      </c>
      <c r="H220" s="151">
        <f t="shared" si="10"/>
        <v>696</v>
      </c>
      <c r="I220" s="155">
        <v>128</v>
      </c>
      <c r="J220" s="151">
        <v>0</v>
      </c>
      <c r="K220" s="160"/>
      <c r="L220" s="160"/>
      <c r="M220" s="168">
        <f>'66 SYANA PRAROOP-20'!C221</f>
        <v>36</v>
      </c>
      <c r="N220" s="160"/>
      <c r="O220" s="160"/>
      <c r="P220" s="158">
        <f>'66 SYANA PRAROOP-20'!D221</f>
        <v>483</v>
      </c>
      <c r="Q220" s="160"/>
      <c r="R220" s="160"/>
      <c r="S220" s="158">
        <f>'66 SYANA PRAROOP-20'!E221</f>
        <v>11</v>
      </c>
      <c r="T220" s="160"/>
      <c r="U220" s="160"/>
      <c r="V220" s="159">
        <f>'66 SYANA PRAROOP-20'!F221</f>
        <v>118</v>
      </c>
      <c r="W220" s="160"/>
      <c r="X220" s="160"/>
      <c r="Y220" s="159">
        <f>'66 SYANA PRAROOP-20'!G221</f>
        <v>3</v>
      </c>
      <c r="Z220" s="160"/>
      <c r="AA220" s="160"/>
      <c r="AB220" s="168">
        <f>'66 SYANA PRAROOP-20'!H221</f>
        <v>7</v>
      </c>
      <c r="AC220" s="160"/>
      <c r="AD220" s="160"/>
      <c r="AE220" s="168">
        <f>'66 SYANA PRAROOP-20'!I221</f>
        <v>20</v>
      </c>
      <c r="AF220" s="160"/>
      <c r="AG220" s="160"/>
      <c r="AH220" s="168">
        <f>'66 SYANA PRAROOP-20'!J221</f>
        <v>11</v>
      </c>
      <c r="AI220" s="159">
        <f t="shared" si="11"/>
        <v>689</v>
      </c>
      <c r="AJ220" s="150">
        <f t="shared" si="9"/>
        <v>-7</v>
      </c>
    </row>
    <row r="221" spans="1:36" ht="63.75">
      <c r="A221" s="151">
        <v>66</v>
      </c>
      <c r="B221" s="155">
        <v>215</v>
      </c>
      <c r="C221" s="156" t="s">
        <v>870</v>
      </c>
      <c r="D221" s="155">
        <v>1099</v>
      </c>
      <c r="E221" s="151">
        <v>429</v>
      </c>
      <c r="F221" s="151">
        <v>400</v>
      </c>
      <c r="G221" s="151">
        <v>0</v>
      </c>
      <c r="H221" s="151">
        <f t="shared" si="10"/>
        <v>829</v>
      </c>
      <c r="I221" s="155">
        <v>229</v>
      </c>
      <c r="J221" s="151">
        <v>0</v>
      </c>
      <c r="K221" s="160"/>
      <c r="L221" s="160"/>
      <c r="M221" s="168">
        <f>'66 SYANA PRAROOP-20'!C222</f>
        <v>62</v>
      </c>
      <c r="N221" s="160"/>
      <c r="O221" s="160"/>
      <c r="P221" s="158">
        <f>'66 SYANA PRAROOP-20'!D222</f>
        <v>734</v>
      </c>
      <c r="Q221" s="160"/>
      <c r="R221" s="160"/>
      <c r="S221" s="158">
        <f>'66 SYANA PRAROOP-20'!E222</f>
        <v>1</v>
      </c>
      <c r="T221" s="160"/>
      <c r="U221" s="160"/>
      <c r="V221" s="159">
        <f>'66 SYANA PRAROOP-20'!F222</f>
        <v>9</v>
      </c>
      <c r="W221" s="160"/>
      <c r="X221" s="160"/>
      <c r="Y221" s="159">
        <f>'66 SYANA PRAROOP-20'!G222</f>
        <v>1</v>
      </c>
      <c r="Z221" s="160"/>
      <c r="AA221" s="160"/>
      <c r="AB221" s="168">
        <f>'66 SYANA PRAROOP-20'!H222</f>
        <v>3</v>
      </c>
      <c r="AC221" s="160"/>
      <c r="AD221" s="160"/>
      <c r="AE221" s="168">
        <f>'66 SYANA PRAROOP-20'!I222</f>
        <v>7</v>
      </c>
      <c r="AF221" s="160"/>
      <c r="AG221" s="160"/>
      <c r="AH221" s="168">
        <f>'66 SYANA PRAROOP-20'!J222</f>
        <v>2</v>
      </c>
      <c r="AI221" s="159">
        <f t="shared" si="11"/>
        <v>819</v>
      </c>
      <c r="AJ221" s="150">
        <f t="shared" si="9"/>
        <v>-10</v>
      </c>
    </row>
    <row r="222" spans="1:36" ht="63.75">
      <c r="A222" s="151">
        <v>66</v>
      </c>
      <c r="B222" s="155">
        <v>216</v>
      </c>
      <c r="C222" s="156" t="s">
        <v>1126</v>
      </c>
      <c r="D222" s="155">
        <v>1150</v>
      </c>
      <c r="E222" s="151">
        <v>350</v>
      </c>
      <c r="F222" s="151">
        <v>322</v>
      </c>
      <c r="G222" s="151">
        <v>0</v>
      </c>
      <c r="H222" s="151">
        <f t="shared" si="10"/>
        <v>672</v>
      </c>
      <c r="I222" s="155">
        <v>44</v>
      </c>
      <c r="J222" s="151">
        <v>0</v>
      </c>
      <c r="K222" s="160"/>
      <c r="L222" s="160"/>
      <c r="M222" s="168">
        <f>'66 SYANA PRAROOP-20'!C223</f>
        <v>26</v>
      </c>
      <c r="N222" s="160"/>
      <c r="O222" s="160"/>
      <c r="P222" s="158">
        <f>'66 SYANA PRAROOP-20'!D223</f>
        <v>543</v>
      </c>
      <c r="Q222" s="160"/>
      <c r="R222" s="160"/>
      <c r="S222" s="158">
        <f>'66 SYANA PRAROOP-20'!E223</f>
        <v>16</v>
      </c>
      <c r="T222" s="160"/>
      <c r="U222" s="160"/>
      <c r="V222" s="159">
        <f>'66 SYANA PRAROOP-20'!F223</f>
        <v>67</v>
      </c>
      <c r="W222" s="160"/>
      <c r="X222" s="160"/>
      <c r="Y222" s="159">
        <f>'66 SYANA PRAROOP-20'!G223</f>
        <v>5</v>
      </c>
      <c r="Z222" s="160"/>
      <c r="AA222" s="160"/>
      <c r="AB222" s="168">
        <f>'66 SYANA PRAROOP-20'!H223</f>
        <v>3</v>
      </c>
      <c r="AC222" s="160"/>
      <c r="AD222" s="160"/>
      <c r="AE222" s="168">
        <f>'66 SYANA PRAROOP-20'!I223</f>
        <v>6</v>
      </c>
      <c r="AF222" s="160"/>
      <c r="AG222" s="160"/>
      <c r="AH222" s="168">
        <f>'66 SYANA PRAROOP-20'!J223</f>
        <v>2</v>
      </c>
      <c r="AI222" s="159">
        <f t="shared" si="11"/>
        <v>668</v>
      </c>
      <c r="AJ222" s="150">
        <f t="shared" si="9"/>
        <v>-4</v>
      </c>
    </row>
    <row r="223" spans="1:36" ht="63.75">
      <c r="A223" s="151">
        <v>66</v>
      </c>
      <c r="B223" s="155">
        <v>217</v>
      </c>
      <c r="C223" s="156" t="s">
        <v>1127</v>
      </c>
      <c r="D223" s="155">
        <v>1138</v>
      </c>
      <c r="E223" s="151">
        <v>422</v>
      </c>
      <c r="F223" s="151">
        <v>423</v>
      </c>
      <c r="G223" s="151">
        <v>0</v>
      </c>
      <c r="H223" s="151">
        <f t="shared" si="10"/>
        <v>845</v>
      </c>
      <c r="I223" s="155">
        <v>72</v>
      </c>
      <c r="J223" s="151">
        <v>0</v>
      </c>
      <c r="K223" s="160"/>
      <c r="L223" s="160"/>
      <c r="M223" s="168">
        <f>'66 SYANA PRAROOP-20'!C224</f>
        <v>90</v>
      </c>
      <c r="N223" s="160"/>
      <c r="O223" s="160"/>
      <c r="P223" s="158">
        <f>'66 SYANA PRAROOP-20'!D224</f>
        <v>637</v>
      </c>
      <c r="Q223" s="160"/>
      <c r="R223" s="160"/>
      <c r="S223" s="158">
        <f>'66 SYANA PRAROOP-20'!E224</f>
        <v>5</v>
      </c>
      <c r="T223" s="160"/>
      <c r="U223" s="160"/>
      <c r="V223" s="159">
        <f>'66 SYANA PRAROOP-20'!F224</f>
        <v>103</v>
      </c>
      <c r="W223" s="160"/>
      <c r="X223" s="160"/>
      <c r="Y223" s="159">
        <f>'66 SYANA PRAROOP-20'!G224</f>
        <v>0</v>
      </c>
      <c r="Z223" s="160"/>
      <c r="AA223" s="160"/>
      <c r="AB223" s="168">
        <f>'66 SYANA PRAROOP-20'!H224</f>
        <v>1</v>
      </c>
      <c r="AC223" s="160"/>
      <c r="AD223" s="160"/>
      <c r="AE223" s="168">
        <f>'66 SYANA PRAROOP-20'!I224</f>
        <v>5</v>
      </c>
      <c r="AF223" s="160"/>
      <c r="AG223" s="160"/>
      <c r="AH223" s="168">
        <f>'66 SYANA PRAROOP-20'!J224</f>
        <v>2</v>
      </c>
      <c r="AI223" s="159">
        <f t="shared" si="11"/>
        <v>843</v>
      </c>
      <c r="AJ223" s="150">
        <f t="shared" si="9"/>
        <v>-2</v>
      </c>
    </row>
    <row r="224" spans="1:36" ht="51">
      <c r="A224" s="151">
        <v>66</v>
      </c>
      <c r="B224" s="155">
        <v>218</v>
      </c>
      <c r="C224" s="156" t="s">
        <v>871</v>
      </c>
      <c r="D224" s="155">
        <v>666</v>
      </c>
      <c r="E224" s="151">
        <v>203</v>
      </c>
      <c r="F224" s="151">
        <v>180</v>
      </c>
      <c r="G224" s="151">
        <v>0</v>
      </c>
      <c r="H224" s="151">
        <f t="shared" si="10"/>
        <v>383</v>
      </c>
      <c r="I224" s="155">
        <v>13</v>
      </c>
      <c r="J224" s="151">
        <v>0</v>
      </c>
      <c r="K224" s="160"/>
      <c r="L224" s="160"/>
      <c r="M224" s="168">
        <f>'66 SYANA PRAROOP-20'!C225</f>
        <v>45</v>
      </c>
      <c r="N224" s="160"/>
      <c r="O224" s="160"/>
      <c r="P224" s="158">
        <f>'66 SYANA PRAROOP-20'!D225</f>
        <v>288</v>
      </c>
      <c r="Q224" s="160"/>
      <c r="R224" s="160"/>
      <c r="S224" s="158">
        <f>'66 SYANA PRAROOP-20'!E225</f>
        <v>25</v>
      </c>
      <c r="T224" s="160"/>
      <c r="U224" s="160"/>
      <c r="V224" s="159">
        <f>'66 SYANA PRAROOP-20'!F225</f>
        <v>9</v>
      </c>
      <c r="W224" s="160"/>
      <c r="X224" s="160"/>
      <c r="Y224" s="159">
        <f>'66 SYANA PRAROOP-20'!G225</f>
        <v>3</v>
      </c>
      <c r="Z224" s="160"/>
      <c r="AA224" s="160"/>
      <c r="AB224" s="168">
        <f>'66 SYANA PRAROOP-20'!H225</f>
        <v>1</v>
      </c>
      <c r="AC224" s="160"/>
      <c r="AD224" s="160"/>
      <c r="AE224" s="168">
        <f>'66 SYANA PRAROOP-20'!I225</f>
        <v>5</v>
      </c>
      <c r="AF224" s="160"/>
      <c r="AG224" s="160"/>
      <c r="AH224" s="168">
        <f>'66 SYANA PRAROOP-20'!J225</f>
        <v>2</v>
      </c>
      <c r="AI224" s="159">
        <f t="shared" si="11"/>
        <v>378</v>
      </c>
      <c r="AJ224" s="150">
        <f t="shared" si="9"/>
        <v>-5</v>
      </c>
    </row>
    <row r="225" spans="1:36" ht="51">
      <c r="A225" s="151">
        <v>66</v>
      </c>
      <c r="B225" s="155">
        <v>219</v>
      </c>
      <c r="C225" s="156" t="s">
        <v>872</v>
      </c>
      <c r="D225" s="155">
        <v>624</v>
      </c>
      <c r="E225" s="151">
        <v>203</v>
      </c>
      <c r="F225" s="151">
        <v>180</v>
      </c>
      <c r="G225" s="151">
        <v>0</v>
      </c>
      <c r="H225" s="151">
        <f t="shared" si="10"/>
        <v>383</v>
      </c>
      <c r="I225" s="155">
        <v>54</v>
      </c>
      <c r="J225" s="151">
        <v>0</v>
      </c>
      <c r="K225" s="160"/>
      <c r="L225" s="160"/>
      <c r="M225" s="168">
        <f>'66 SYANA PRAROOP-20'!C226</f>
        <v>18</v>
      </c>
      <c r="N225" s="160"/>
      <c r="O225" s="160"/>
      <c r="P225" s="158">
        <f>'66 SYANA PRAROOP-20'!D226</f>
        <v>117</v>
      </c>
      <c r="Q225" s="160"/>
      <c r="R225" s="160"/>
      <c r="S225" s="158">
        <f>'66 SYANA PRAROOP-20'!E226</f>
        <v>16</v>
      </c>
      <c r="T225" s="160"/>
      <c r="U225" s="160"/>
      <c r="V225" s="159">
        <f>'66 SYANA PRAROOP-20'!F226</f>
        <v>224</v>
      </c>
      <c r="W225" s="160"/>
      <c r="X225" s="160"/>
      <c r="Y225" s="159">
        <f>'66 SYANA PRAROOP-20'!G226</f>
        <v>1</v>
      </c>
      <c r="Z225" s="160"/>
      <c r="AA225" s="160"/>
      <c r="AB225" s="168">
        <f>'66 SYANA PRAROOP-20'!H226</f>
        <v>5</v>
      </c>
      <c r="AC225" s="160"/>
      <c r="AD225" s="160"/>
      <c r="AE225" s="168">
        <f>'66 SYANA PRAROOP-20'!I226</f>
        <v>2</v>
      </c>
      <c r="AF225" s="160"/>
      <c r="AG225" s="160"/>
      <c r="AH225" s="168">
        <f>'66 SYANA PRAROOP-20'!J226</f>
        <v>0</v>
      </c>
      <c r="AI225" s="159">
        <f t="shared" si="11"/>
        <v>383</v>
      </c>
      <c r="AJ225" s="150">
        <f t="shared" si="9"/>
        <v>0</v>
      </c>
    </row>
    <row r="226" spans="1:36" ht="63.75">
      <c r="A226" s="151">
        <v>66</v>
      </c>
      <c r="B226" s="155">
        <v>220</v>
      </c>
      <c r="C226" s="156" t="s">
        <v>873</v>
      </c>
      <c r="D226" s="155">
        <v>986</v>
      </c>
      <c r="E226" s="151">
        <v>369</v>
      </c>
      <c r="F226" s="151">
        <v>326</v>
      </c>
      <c r="G226" s="151">
        <v>0</v>
      </c>
      <c r="H226" s="151">
        <f t="shared" si="10"/>
        <v>695</v>
      </c>
      <c r="I226" s="155">
        <v>469</v>
      </c>
      <c r="J226" s="151">
        <v>0</v>
      </c>
      <c r="K226" s="160"/>
      <c r="L226" s="160"/>
      <c r="M226" s="168">
        <f>'66 SYANA PRAROOP-20'!C227</f>
        <v>82</v>
      </c>
      <c r="N226" s="160"/>
      <c r="O226" s="160"/>
      <c r="P226" s="158">
        <f>'66 SYANA PRAROOP-20'!D227</f>
        <v>322</v>
      </c>
      <c r="Q226" s="160"/>
      <c r="R226" s="160"/>
      <c r="S226" s="158">
        <f>'66 SYANA PRAROOP-20'!E227</f>
        <v>14</v>
      </c>
      <c r="T226" s="160"/>
      <c r="U226" s="160"/>
      <c r="V226" s="159">
        <f>'66 SYANA PRAROOP-20'!F227</f>
        <v>254</v>
      </c>
      <c r="W226" s="160"/>
      <c r="X226" s="160"/>
      <c r="Y226" s="159">
        <f>'66 SYANA PRAROOP-20'!G227</f>
        <v>3</v>
      </c>
      <c r="Z226" s="160"/>
      <c r="AA226" s="160"/>
      <c r="AB226" s="168">
        <f>'66 SYANA PRAROOP-20'!H227</f>
        <v>5</v>
      </c>
      <c r="AC226" s="160"/>
      <c r="AD226" s="160"/>
      <c r="AE226" s="168">
        <f>'66 SYANA PRAROOP-20'!I227</f>
        <v>6</v>
      </c>
      <c r="AF226" s="160"/>
      <c r="AG226" s="160"/>
      <c r="AH226" s="168">
        <f>'66 SYANA PRAROOP-20'!J227</f>
        <v>5</v>
      </c>
      <c r="AI226" s="159">
        <f t="shared" si="11"/>
        <v>691</v>
      </c>
      <c r="AJ226" s="150">
        <f t="shared" si="9"/>
        <v>-4</v>
      </c>
    </row>
    <row r="227" spans="1:36" ht="63.75">
      <c r="A227" s="151">
        <v>66</v>
      </c>
      <c r="B227" s="155">
        <v>221</v>
      </c>
      <c r="C227" s="156" t="s">
        <v>874</v>
      </c>
      <c r="D227" s="155">
        <v>918</v>
      </c>
      <c r="E227" s="151">
        <v>326</v>
      </c>
      <c r="F227" s="151">
        <v>286</v>
      </c>
      <c r="G227" s="151">
        <v>0</v>
      </c>
      <c r="H227" s="151">
        <f t="shared" si="10"/>
        <v>612</v>
      </c>
      <c r="I227" s="155">
        <v>30</v>
      </c>
      <c r="J227" s="151">
        <v>0</v>
      </c>
      <c r="K227" s="160"/>
      <c r="L227" s="160"/>
      <c r="M227" s="168">
        <f>'66 SYANA PRAROOP-20'!C228</f>
        <v>24</v>
      </c>
      <c r="N227" s="160"/>
      <c r="O227" s="160"/>
      <c r="P227" s="158">
        <f>'66 SYANA PRAROOP-20'!D228</f>
        <v>547</v>
      </c>
      <c r="Q227" s="160"/>
      <c r="R227" s="160"/>
      <c r="S227" s="158">
        <f>'66 SYANA PRAROOP-20'!E228</f>
        <v>6</v>
      </c>
      <c r="T227" s="160"/>
      <c r="U227" s="160"/>
      <c r="V227" s="159">
        <f>'66 SYANA PRAROOP-20'!F228</f>
        <v>22</v>
      </c>
      <c r="W227" s="160"/>
      <c r="X227" s="160"/>
      <c r="Y227" s="159">
        <f>'66 SYANA PRAROOP-20'!G228</f>
        <v>1</v>
      </c>
      <c r="Z227" s="160"/>
      <c r="AA227" s="160"/>
      <c r="AB227" s="168">
        <f>'66 SYANA PRAROOP-20'!H228</f>
        <v>5</v>
      </c>
      <c r="AC227" s="160"/>
      <c r="AD227" s="160"/>
      <c r="AE227" s="168">
        <f>'66 SYANA PRAROOP-20'!I228</f>
        <v>3</v>
      </c>
      <c r="AF227" s="160"/>
      <c r="AG227" s="160"/>
      <c r="AH227" s="168">
        <f>'66 SYANA PRAROOP-20'!J228</f>
        <v>1</v>
      </c>
      <c r="AI227" s="159">
        <f t="shared" si="11"/>
        <v>609</v>
      </c>
      <c r="AJ227" s="150">
        <f t="shared" si="9"/>
        <v>-3</v>
      </c>
    </row>
    <row r="228" spans="1:36" ht="51">
      <c r="A228" s="151">
        <v>66</v>
      </c>
      <c r="B228" s="155">
        <v>222</v>
      </c>
      <c r="C228" s="156" t="s">
        <v>875</v>
      </c>
      <c r="D228" s="155">
        <v>1107</v>
      </c>
      <c r="E228" s="151">
        <v>309</v>
      </c>
      <c r="F228" s="151">
        <v>290</v>
      </c>
      <c r="G228" s="151">
        <v>0</v>
      </c>
      <c r="H228" s="151">
        <f t="shared" si="10"/>
        <v>599</v>
      </c>
      <c r="I228" s="155">
        <v>39</v>
      </c>
      <c r="J228" s="151">
        <v>0</v>
      </c>
      <c r="K228" s="160"/>
      <c r="L228" s="160"/>
      <c r="M228" s="168">
        <f>'66 SYANA PRAROOP-20'!C229</f>
        <v>66</v>
      </c>
      <c r="N228" s="160"/>
      <c r="O228" s="160"/>
      <c r="P228" s="158">
        <f>'66 SYANA PRAROOP-20'!D229</f>
        <v>367</v>
      </c>
      <c r="Q228" s="160"/>
      <c r="R228" s="160"/>
      <c r="S228" s="158">
        <f>'66 SYANA PRAROOP-20'!E229</f>
        <v>13</v>
      </c>
      <c r="T228" s="160"/>
      <c r="U228" s="160"/>
      <c r="V228" s="159">
        <f>'66 SYANA PRAROOP-20'!F229</f>
        <v>137</v>
      </c>
      <c r="W228" s="160"/>
      <c r="X228" s="160"/>
      <c r="Y228" s="159">
        <f>'66 SYANA PRAROOP-20'!G229</f>
        <v>3</v>
      </c>
      <c r="Z228" s="160"/>
      <c r="AA228" s="160"/>
      <c r="AB228" s="168">
        <f>'66 SYANA PRAROOP-20'!H229</f>
        <v>4</v>
      </c>
      <c r="AC228" s="160"/>
      <c r="AD228" s="160"/>
      <c r="AE228" s="168">
        <f>'66 SYANA PRAROOP-20'!I229</f>
        <v>1</v>
      </c>
      <c r="AF228" s="160"/>
      <c r="AG228" s="160"/>
      <c r="AH228" s="168">
        <f>'66 SYANA PRAROOP-20'!J229</f>
        <v>3</v>
      </c>
      <c r="AI228" s="159">
        <f t="shared" si="11"/>
        <v>594</v>
      </c>
      <c r="AJ228" s="150">
        <f t="shared" si="9"/>
        <v>-5</v>
      </c>
    </row>
    <row r="229" spans="1:36" ht="51">
      <c r="A229" s="151">
        <v>66</v>
      </c>
      <c r="B229" s="155">
        <v>223</v>
      </c>
      <c r="C229" s="156" t="s">
        <v>876</v>
      </c>
      <c r="D229" s="155">
        <v>1145</v>
      </c>
      <c r="E229" s="151">
        <v>323</v>
      </c>
      <c r="F229" s="151">
        <v>298</v>
      </c>
      <c r="G229" s="151">
        <v>0</v>
      </c>
      <c r="H229" s="151">
        <f t="shared" si="10"/>
        <v>621</v>
      </c>
      <c r="I229" s="155">
        <v>423</v>
      </c>
      <c r="J229" s="151">
        <v>0</v>
      </c>
      <c r="K229" s="160"/>
      <c r="L229" s="160"/>
      <c r="M229" s="168">
        <f>'66 SYANA PRAROOP-20'!C230</f>
        <v>52</v>
      </c>
      <c r="N229" s="160"/>
      <c r="O229" s="160"/>
      <c r="P229" s="158">
        <f>'66 SYANA PRAROOP-20'!D230</f>
        <v>450</v>
      </c>
      <c r="Q229" s="160"/>
      <c r="R229" s="160"/>
      <c r="S229" s="158">
        <f>'66 SYANA PRAROOP-20'!E230</f>
        <v>29</v>
      </c>
      <c r="T229" s="160"/>
      <c r="U229" s="160"/>
      <c r="V229" s="159">
        <f>'66 SYANA PRAROOP-20'!F230</f>
        <v>62</v>
      </c>
      <c r="W229" s="160"/>
      <c r="X229" s="160"/>
      <c r="Y229" s="159">
        <f>'66 SYANA PRAROOP-20'!G230</f>
        <v>1</v>
      </c>
      <c r="Z229" s="160"/>
      <c r="AA229" s="160"/>
      <c r="AB229" s="168">
        <f>'66 SYANA PRAROOP-20'!H230</f>
        <v>3</v>
      </c>
      <c r="AC229" s="160"/>
      <c r="AD229" s="160"/>
      <c r="AE229" s="168">
        <f>'66 SYANA PRAROOP-20'!I230</f>
        <v>8</v>
      </c>
      <c r="AF229" s="160"/>
      <c r="AG229" s="160"/>
      <c r="AH229" s="168">
        <f>'66 SYANA PRAROOP-20'!J230</f>
        <v>8</v>
      </c>
      <c r="AI229" s="159">
        <f t="shared" si="11"/>
        <v>613</v>
      </c>
      <c r="AJ229" s="150">
        <f t="shared" si="9"/>
        <v>-8</v>
      </c>
    </row>
    <row r="230" spans="1:36" ht="63.75">
      <c r="A230" s="151">
        <v>66</v>
      </c>
      <c r="B230" s="155">
        <v>224</v>
      </c>
      <c r="C230" s="156" t="s">
        <v>877</v>
      </c>
      <c r="D230" s="155">
        <v>807</v>
      </c>
      <c r="E230" s="151">
        <v>366</v>
      </c>
      <c r="F230" s="151">
        <v>344</v>
      </c>
      <c r="G230" s="151">
        <v>0</v>
      </c>
      <c r="H230" s="151">
        <f t="shared" si="10"/>
        <v>710</v>
      </c>
      <c r="I230" s="155">
        <v>466</v>
      </c>
      <c r="J230" s="151">
        <v>0</v>
      </c>
      <c r="K230" s="160"/>
      <c r="L230" s="160"/>
      <c r="M230" s="168">
        <f>'66 SYANA PRAROOP-20'!C231</f>
        <v>3</v>
      </c>
      <c r="N230" s="160"/>
      <c r="O230" s="160"/>
      <c r="P230" s="158">
        <f>'66 SYANA PRAROOP-20'!D231</f>
        <v>696</v>
      </c>
      <c r="Q230" s="160"/>
      <c r="R230" s="160"/>
      <c r="S230" s="158">
        <f>'66 SYANA PRAROOP-20'!E231</f>
        <v>2</v>
      </c>
      <c r="T230" s="160"/>
      <c r="U230" s="160"/>
      <c r="V230" s="159">
        <f>'66 SYANA PRAROOP-20'!F231</f>
        <v>1</v>
      </c>
      <c r="W230" s="160"/>
      <c r="X230" s="160"/>
      <c r="Y230" s="159">
        <f>'66 SYANA PRAROOP-20'!G231</f>
        <v>0</v>
      </c>
      <c r="Z230" s="160"/>
      <c r="AA230" s="160"/>
      <c r="AB230" s="168">
        <f>'66 SYANA PRAROOP-20'!H231</f>
        <v>1</v>
      </c>
      <c r="AC230" s="160"/>
      <c r="AD230" s="160"/>
      <c r="AE230" s="168">
        <f>'66 SYANA PRAROOP-20'!I231</f>
        <v>2</v>
      </c>
      <c r="AF230" s="160"/>
      <c r="AG230" s="160"/>
      <c r="AH230" s="168">
        <f>'66 SYANA PRAROOP-20'!J231</f>
        <v>5</v>
      </c>
      <c r="AI230" s="159">
        <f t="shared" si="11"/>
        <v>710</v>
      </c>
      <c r="AJ230" s="150">
        <f t="shared" si="9"/>
        <v>0</v>
      </c>
    </row>
    <row r="231" spans="1:36" ht="76.5">
      <c r="A231" s="151">
        <v>66</v>
      </c>
      <c r="B231" s="155">
        <v>225</v>
      </c>
      <c r="C231" s="156" t="s">
        <v>878</v>
      </c>
      <c r="D231" s="155">
        <v>1083</v>
      </c>
      <c r="E231" s="151">
        <v>334</v>
      </c>
      <c r="F231" s="151">
        <v>290</v>
      </c>
      <c r="G231" s="151">
        <v>0</v>
      </c>
      <c r="H231" s="151">
        <f t="shared" si="10"/>
        <v>624</v>
      </c>
      <c r="I231" s="155">
        <v>42</v>
      </c>
      <c r="J231" s="151">
        <v>0</v>
      </c>
      <c r="K231" s="160"/>
      <c r="L231" s="160"/>
      <c r="M231" s="168">
        <f>'66 SYANA PRAROOP-20'!C232</f>
        <v>76</v>
      </c>
      <c r="N231" s="160"/>
      <c r="O231" s="160"/>
      <c r="P231" s="158">
        <f>'66 SYANA PRAROOP-20'!D232</f>
        <v>495</v>
      </c>
      <c r="Q231" s="160"/>
      <c r="R231" s="160"/>
      <c r="S231" s="158">
        <f>'66 SYANA PRAROOP-20'!E232</f>
        <v>1</v>
      </c>
      <c r="T231" s="160"/>
      <c r="U231" s="160"/>
      <c r="V231" s="159">
        <f>'66 SYANA PRAROOP-20'!F232</f>
        <v>42</v>
      </c>
      <c r="W231" s="160"/>
      <c r="X231" s="160"/>
      <c r="Y231" s="159">
        <f>'66 SYANA PRAROOP-20'!G232</f>
        <v>2</v>
      </c>
      <c r="Z231" s="160"/>
      <c r="AA231" s="160"/>
      <c r="AB231" s="168">
        <f>'66 SYANA PRAROOP-20'!H232</f>
        <v>1</v>
      </c>
      <c r="AC231" s="160"/>
      <c r="AD231" s="160"/>
      <c r="AE231" s="168">
        <f>'66 SYANA PRAROOP-20'!I232</f>
        <v>1</v>
      </c>
      <c r="AF231" s="160"/>
      <c r="AG231" s="160"/>
      <c r="AH231" s="168">
        <f>'66 SYANA PRAROOP-20'!J232</f>
        <v>3</v>
      </c>
      <c r="AI231" s="159">
        <f t="shared" si="11"/>
        <v>621</v>
      </c>
      <c r="AJ231" s="150">
        <f t="shared" si="9"/>
        <v>-3</v>
      </c>
    </row>
    <row r="232" spans="1:36" ht="76.5">
      <c r="A232" s="151">
        <v>66</v>
      </c>
      <c r="B232" s="155">
        <v>226</v>
      </c>
      <c r="C232" s="156" t="s">
        <v>879</v>
      </c>
      <c r="D232" s="155">
        <v>643</v>
      </c>
      <c r="E232" s="151">
        <v>236</v>
      </c>
      <c r="F232" s="151">
        <v>212</v>
      </c>
      <c r="G232" s="151">
        <v>0</v>
      </c>
      <c r="H232" s="151">
        <f t="shared" si="10"/>
        <v>448</v>
      </c>
      <c r="I232" s="155">
        <v>15</v>
      </c>
      <c r="J232" s="151">
        <v>0</v>
      </c>
      <c r="K232" s="160"/>
      <c r="L232" s="160"/>
      <c r="M232" s="168">
        <f>'66 SYANA PRAROOP-20'!C233</f>
        <v>87</v>
      </c>
      <c r="N232" s="160"/>
      <c r="O232" s="160"/>
      <c r="P232" s="158">
        <f>'66 SYANA PRAROOP-20'!D233</f>
        <v>208</v>
      </c>
      <c r="Q232" s="160"/>
      <c r="R232" s="160"/>
      <c r="S232" s="158">
        <f>'66 SYANA PRAROOP-20'!E233</f>
        <v>5</v>
      </c>
      <c r="T232" s="160"/>
      <c r="U232" s="160"/>
      <c r="V232" s="159">
        <f>'66 SYANA PRAROOP-20'!F233</f>
        <v>142</v>
      </c>
      <c r="W232" s="160"/>
      <c r="X232" s="160"/>
      <c r="Y232" s="159">
        <f>'66 SYANA PRAROOP-20'!G233</f>
        <v>2</v>
      </c>
      <c r="Z232" s="160"/>
      <c r="AA232" s="160"/>
      <c r="AB232" s="168">
        <f>'66 SYANA PRAROOP-20'!H233</f>
        <v>2</v>
      </c>
      <c r="AC232" s="160"/>
      <c r="AD232" s="160"/>
      <c r="AE232" s="168">
        <f>'66 SYANA PRAROOP-20'!I233</f>
        <v>0</v>
      </c>
      <c r="AF232" s="160"/>
      <c r="AG232" s="160"/>
      <c r="AH232" s="168">
        <f>'66 SYANA PRAROOP-20'!J233</f>
        <v>1</v>
      </c>
      <c r="AI232" s="159">
        <f t="shared" si="11"/>
        <v>447</v>
      </c>
      <c r="AJ232" s="150">
        <f t="shared" si="9"/>
        <v>-1</v>
      </c>
    </row>
    <row r="233" spans="1:36" ht="63.75">
      <c r="A233" s="151">
        <v>66</v>
      </c>
      <c r="B233" s="155">
        <v>227</v>
      </c>
      <c r="C233" s="156" t="s">
        <v>1128</v>
      </c>
      <c r="D233" s="155">
        <v>662</v>
      </c>
      <c r="E233" s="151">
        <v>196</v>
      </c>
      <c r="F233" s="151">
        <v>186</v>
      </c>
      <c r="G233" s="151">
        <v>0</v>
      </c>
      <c r="H233" s="151">
        <f t="shared" si="10"/>
        <v>382</v>
      </c>
      <c r="I233" s="155">
        <v>34</v>
      </c>
      <c r="J233" s="151">
        <v>0</v>
      </c>
      <c r="K233" s="160"/>
      <c r="L233" s="160"/>
      <c r="M233" s="168">
        <f>'66 SYANA PRAROOP-20'!C234</f>
        <v>260</v>
      </c>
      <c r="N233" s="160"/>
      <c r="O233" s="160"/>
      <c r="P233" s="158">
        <f>'66 SYANA PRAROOP-20'!D234</f>
        <v>65</v>
      </c>
      <c r="Q233" s="160"/>
      <c r="R233" s="160"/>
      <c r="S233" s="158">
        <f>'66 SYANA PRAROOP-20'!E234</f>
        <v>2</v>
      </c>
      <c r="T233" s="160"/>
      <c r="U233" s="160"/>
      <c r="V233" s="159">
        <f>'66 SYANA PRAROOP-20'!F234</f>
        <v>48</v>
      </c>
      <c r="W233" s="160"/>
      <c r="X233" s="160"/>
      <c r="Y233" s="159">
        <f>'66 SYANA PRAROOP-20'!G234</f>
        <v>0</v>
      </c>
      <c r="Z233" s="160"/>
      <c r="AA233" s="160"/>
      <c r="AB233" s="168">
        <f>'66 SYANA PRAROOP-20'!H234</f>
        <v>0</v>
      </c>
      <c r="AC233" s="160"/>
      <c r="AD233" s="160"/>
      <c r="AE233" s="168">
        <f>'66 SYANA PRAROOP-20'!I234</f>
        <v>0</v>
      </c>
      <c r="AF233" s="160"/>
      <c r="AG233" s="160"/>
      <c r="AH233" s="168">
        <f>'66 SYANA PRAROOP-20'!J234</f>
        <v>1</v>
      </c>
      <c r="AI233" s="159">
        <f t="shared" si="11"/>
        <v>376</v>
      </c>
      <c r="AJ233" s="150">
        <f t="shared" si="9"/>
        <v>-6</v>
      </c>
    </row>
    <row r="234" spans="1:36" ht="63.75">
      <c r="A234" s="151">
        <v>66</v>
      </c>
      <c r="B234" s="155">
        <v>228</v>
      </c>
      <c r="C234" s="156" t="s">
        <v>1129</v>
      </c>
      <c r="D234" s="155">
        <v>807</v>
      </c>
      <c r="E234" s="151">
        <v>228</v>
      </c>
      <c r="F234" s="151">
        <v>198</v>
      </c>
      <c r="G234" s="151">
        <v>0</v>
      </c>
      <c r="H234" s="151">
        <f t="shared" si="10"/>
        <v>426</v>
      </c>
      <c r="I234" s="155">
        <v>128</v>
      </c>
      <c r="J234" s="151">
        <v>0</v>
      </c>
      <c r="K234" s="160"/>
      <c r="L234" s="160"/>
      <c r="M234" s="168">
        <f>'66 SYANA PRAROOP-20'!C235</f>
        <v>351</v>
      </c>
      <c r="N234" s="160"/>
      <c r="O234" s="160"/>
      <c r="P234" s="158">
        <f>'66 SYANA PRAROOP-20'!D235</f>
        <v>57</v>
      </c>
      <c r="Q234" s="160"/>
      <c r="R234" s="160"/>
      <c r="S234" s="158">
        <f>'66 SYANA PRAROOP-20'!E235</f>
        <v>3</v>
      </c>
      <c r="T234" s="160"/>
      <c r="U234" s="160"/>
      <c r="V234" s="159">
        <f>'66 SYANA PRAROOP-20'!F235</f>
        <v>10</v>
      </c>
      <c r="W234" s="160"/>
      <c r="X234" s="160"/>
      <c r="Y234" s="159">
        <f>'66 SYANA PRAROOP-20'!G235</f>
        <v>1</v>
      </c>
      <c r="Z234" s="160"/>
      <c r="AA234" s="160"/>
      <c r="AB234" s="168">
        <f>'66 SYANA PRAROOP-20'!H235</f>
        <v>0</v>
      </c>
      <c r="AC234" s="160"/>
      <c r="AD234" s="160"/>
      <c r="AE234" s="168">
        <f>'66 SYANA PRAROOP-20'!I235</f>
        <v>1</v>
      </c>
      <c r="AF234" s="160"/>
      <c r="AG234" s="160"/>
      <c r="AH234" s="168">
        <f>'66 SYANA PRAROOP-20'!J235</f>
        <v>0</v>
      </c>
      <c r="AI234" s="159">
        <f t="shared" si="11"/>
        <v>423</v>
      </c>
      <c r="AJ234" s="150">
        <f t="shared" si="9"/>
        <v>-3</v>
      </c>
    </row>
    <row r="235" spans="1:36" ht="63.75">
      <c r="A235" s="151">
        <v>66</v>
      </c>
      <c r="B235" s="155">
        <v>229</v>
      </c>
      <c r="C235" s="156" t="s">
        <v>1130</v>
      </c>
      <c r="D235" s="155">
        <v>668</v>
      </c>
      <c r="E235" s="151">
        <v>190</v>
      </c>
      <c r="F235" s="151">
        <v>200</v>
      </c>
      <c r="G235" s="151">
        <v>0</v>
      </c>
      <c r="H235" s="151">
        <f t="shared" si="10"/>
        <v>390</v>
      </c>
      <c r="I235" s="155">
        <v>290</v>
      </c>
      <c r="J235" s="151">
        <v>0</v>
      </c>
      <c r="K235" s="160"/>
      <c r="L235" s="160"/>
      <c r="M235" s="168">
        <f>'66 SYANA PRAROOP-20'!C236</f>
        <v>335</v>
      </c>
      <c r="N235" s="160"/>
      <c r="O235" s="160"/>
      <c r="P235" s="158">
        <f>'66 SYANA PRAROOP-20'!D236</f>
        <v>18</v>
      </c>
      <c r="Q235" s="160"/>
      <c r="R235" s="160"/>
      <c r="S235" s="158">
        <f>'66 SYANA PRAROOP-20'!E236</f>
        <v>0</v>
      </c>
      <c r="T235" s="160"/>
      <c r="U235" s="160"/>
      <c r="V235" s="159">
        <f>'66 SYANA PRAROOP-20'!F236</f>
        <v>36</v>
      </c>
      <c r="W235" s="160"/>
      <c r="X235" s="160"/>
      <c r="Y235" s="159">
        <f>'66 SYANA PRAROOP-20'!G236</f>
        <v>1</v>
      </c>
      <c r="Z235" s="160"/>
      <c r="AA235" s="160"/>
      <c r="AB235" s="168">
        <f>'66 SYANA PRAROOP-20'!H236</f>
        <v>0</v>
      </c>
      <c r="AC235" s="160"/>
      <c r="AD235" s="160"/>
      <c r="AE235" s="168">
        <f>'66 SYANA PRAROOP-20'!I236</f>
        <v>0</v>
      </c>
      <c r="AF235" s="160"/>
      <c r="AG235" s="160"/>
      <c r="AH235" s="168">
        <f>'66 SYANA PRAROOP-20'!J236</f>
        <v>0</v>
      </c>
      <c r="AI235" s="159">
        <f t="shared" si="11"/>
        <v>390</v>
      </c>
      <c r="AJ235" s="150">
        <f t="shared" si="9"/>
        <v>0</v>
      </c>
    </row>
    <row r="236" spans="1:36" ht="89.25">
      <c r="A236" s="151">
        <v>66</v>
      </c>
      <c r="B236" s="155">
        <v>230</v>
      </c>
      <c r="C236" s="156" t="s">
        <v>880</v>
      </c>
      <c r="D236" s="155">
        <v>672</v>
      </c>
      <c r="E236" s="151">
        <v>239</v>
      </c>
      <c r="F236" s="151">
        <v>246</v>
      </c>
      <c r="G236" s="151">
        <v>0</v>
      </c>
      <c r="H236" s="151">
        <f t="shared" si="10"/>
        <v>485</v>
      </c>
      <c r="I236" s="155">
        <v>339</v>
      </c>
      <c r="J236" s="151">
        <v>0</v>
      </c>
      <c r="K236" s="160"/>
      <c r="L236" s="160"/>
      <c r="M236" s="168">
        <f>'66 SYANA PRAROOP-20'!C237</f>
        <v>11</v>
      </c>
      <c r="N236" s="160"/>
      <c r="O236" s="160"/>
      <c r="P236" s="158">
        <f>'66 SYANA PRAROOP-20'!D237</f>
        <v>463</v>
      </c>
      <c r="Q236" s="160"/>
      <c r="R236" s="160"/>
      <c r="S236" s="158">
        <f>'66 SYANA PRAROOP-20'!E237</f>
        <v>4</v>
      </c>
      <c r="T236" s="160"/>
      <c r="U236" s="160"/>
      <c r="V236" s="159">
        <f>'66 SYANA PRAROOP-20'!F237</f>
        <v>2</v>
      </c>
      <c r="W236" s="160"/>
      <c r="X236" s="160"/>
      <c r="Y236" s="159">
        <f>'66 SYANA PRAROOP-20'!G237</f>
        <v>0</v>
      </c>
      <c r="Z236" s="160"/>
      <c r="AA236" s="160"/>
      <c r="AB236" s="168">
        <f>'66 SYANA PRAROOP-20'!H237</f>
        <v>1</v>
      </c>
      <c r="AC236" s="160"/>
      <c r="AD236" s="160"/>
      <c r="AE236" s="168">
        <f>'66 SYANA PRAROOP-20'!I237</f>
        <v>2</v>
      </c>
      <c r="AF236" s="160"/>
      <c r="AG236" s="160"/>
      <c r="AH236" s="168">
        <f>'66 SYANA PRAROOP-20'!J237</f>
        <v>1</v>
      </c>
      <c r="AI236" s="159">
        <f t="shared" si="11"/>
        <v>484</v>
      </c>
      <c r="AJ236" s="150">
        <f t="shared" si="9"/>
        <v>-1</v>
      </c>
    </row>
    <row r="237" spans="1:36" ht="89.25">
      <c r="A237" s="151">
        <v>66</v>
      </c>
      <c r="B237" s="155">
        <v>231</v>
      </c>
      <c r="C237" s="156" t="s">
        <v>881</v>
      </c>
      <c r="D237" s="155">
        <v>707</v>
      </c>
      <c r="E237" s="151">
        <v>260</v>
      </c>
      <c r="F237" s="151">
        <v>297</v>
      </c>
      <c r="G237" s="151">
        <v>0</v>
      </c>
      <c r="H237" s="151">
        <f t="shared" si="10"/>
        <v>557</v>
      </c>
      <c r="I237" s="155">
        <v>360</v>
      </c>
      <c r="J237" s="151">
        <v>0</v>
      </c>
      <c r="K237" s="160"/>
      <c r="L237" s="160"/>
      <c r="M237" s="168">
        <f>'66 SYANA PRAROOP-20'!C238</f>
        <v>4</v>
      </c>
      <c r="N237" s="160"/>
      <c r="O237" s="160"/>
      <c r="P237" s="158">
        <f>'66 SYANA PRAROOP-20'!D238</f>
        <v>537</v>
      </c>
      <c r="Q237" s="160"/>
      <c r="R237" s="160"/>
      <c r="S237" s="158">
        <f>'66 SYANA PRAROOP-20'!E238</f>
        <v>2</v>
      </c>
      <c r="T237" s="160"/>
      <c r="U237" s="160"/>
      <c r="V237" s="159">
        <f>'66 SYANA PRAROOP-20'!F238</f>
        <v>9</v>
      </c>
      <c r="W237" s="160"/>
      <c r="X237" s="160"/>
      <c r="Y237" s="159">
        <f>'66 SYANA PRAROOP-20'!G238</f>
        <v>0</v>
      </c>
      <c r="Z237" s="160"/>
      <c r="AA237" s="160"/>
      <c r="AB237" s="168">
        <f>'66 SYANA PRAROOP-20'!H238</f>
        <v>0</v>
      </c>
      <c r="AC237" s="160"/>
      <c r="AD237" s="160"/>
      <c r="AE237" s="168">
        <f>'66 SYANA PRAROOP-20'!I238</f>
        <v>1</v>
      </c>
      <c r="AF237" s="160"/>
      <c r="AG237" s="160"/>
      <c r="AH237" s="168">
        <f>'66 SYANA PRAROOP-20'!J238</f>
        <v>2</v>
      </c>
      <c r="AI237" s="159">
        <f t="shared" si="11"/>
        <v>555</v>
      </c>
      <c r="AJ237" s="150">
        <f t="shared" si="9"/>
        <v>-2</v>
      </c>
    </row>
    <row r="238" spans="1:36" ht="51">
      <c r="A238" s="151">
        <v>66</v>
      </c>
      <c r="B238" s="155">
        <v>232</v>
      </c>
      <c r="C238" s="156" t="s">
        <v>882</v>
      </c>
      <c r="D238" s="155">
        <v>905</v>
      </c>
      <c r="E238" s="151">
        <v>325</v>
      </c>
      <c r="F238" s="151">
        <v>272</v>
      </c>
      <c r="G238" s="151">
        <v>0</v>
      </c>
      <c r="H238" s="151">
        <f t="shared" si="10"/>
        <v>597</v>
      </c>
      <c r="I238" s="155">
        <v>102</v>
      </c>
      <c r="J238" s="151">
        <v>0</v>
      </c>
      <c r="K238" s="160"/>
      <c r="L238" s="160"/>
      <c r="M238" s="168">
        <f>'66 SYANA PRAROOP-20'!C239</f>
        <v>64</v>
      </c>
      <c r="N238" s="160"/>
      <c r="O238" s="160"/>
      <c r="P238" s="158">
        <f>'66 SYANA PRAROOP-20'!D239</f>
        <v>435</v>
      </c>
      <c r="Q238" s="160"/>
      <c r="R238" s="160"/>
      <c r="S238" s="158">
        <f>'66 SYANA PRAROOP-20'!E239</f>
        <v>6</v>
      </c>
      <c r="T238" s="160"/>
      <c r="U238" s="160"/>
      <c r="V238" s="159">
        <f>'66 SYANA PRAROOP-20'!F239</f>
        <v>81</v>
      </c>
      <c r="W238" s="160"/>
      <c r="X238" s="160"/>
      <c r="Y238" s="159">
        <f>'66 SYANA PRAROOP-20'!G239</f>
        <v>0</v>
      </c>
      <c r="Z238" s="160"/>
      <c r="AA238" s="160"/>
      <c r="AB238" s="168">
        <f>'66 SYANA PRAROOP-20'!H239</f>
        <v>1</v>
      </c>
      <c r="AC238" s="160"/>
      <c r="AD238" s="160"/>
      <c r="AE238" s="168">
        <f>'66 SYANA PRAROOP-20'!I239</f>
        <v>6</v>
      </c>
      <c r="AF238" s="160"/>
      <c r="AG238" s="160"/>
      <c r="AH238" s="168">
        <f>'66 SYANA PRAROOP-20'!J239</f>
        <v>3</v>
      </c>
      <c r="AI238" s="159">
        <f t="shared" si="11"/>
        <v>596</v>
      </c>
      <c r="AJ238" s="150">
        <f t="shared" si="9"/>
        <v>-1</v>
      </c>
    </row>
    <row r="239" spans="1:36" ht="51">
      <c r="A239" s="151">
        <v>66</v>
      </c>
      <c r="B239" s="155">
        <v>233</v>
      </c>
      <c r="C239" s="156" t="s">
        <v>883</v>
      </c>
      <c r="D239" s="155">
        <v>1025</v>
      </c>
      <c r="E239" s="151">
        <v>323</v>
      </c>
      <c r="F239" s="151">
        <v>281</v>
      </c>
      <c r="G239" s="151">
        <v>0</v>
      </c>
      <c r="H239" s="151">
        <f t="shared" si="10"/>
        <v>604</v>
      </c>
      <c r="I239" s="155">
        <v>89</v>
      </c>
      <c r="J239" s="151">
        <v>0</v>
      </c>
      <c r="K239" s="160"/>
      <c r="L239" s="160"/>
      <c r="M239" s="168">
        <f>'66 SYANA PRAROOP-20'!C240</f>
        <v>50</v>
      </c>
      <c r="N239" s="160"/>
      <c r="O239" s="160"/>
      <c r="P239" s="158">
        <f>'66 SYANA PRAROOP-20'!D240</f>
        <v>324</v>
      </c>
      <c r="Q239" s="160"/>
      <c r="R239" s="160"/>
      <c r="S239" s="158">
        <f>'66 SYANA PRAROOP-20'!E240</f>
        <v>9</v>
      </c>
      <c r="T239" s="160"/>
      <c r="U239" s="160"/>
      <c r="V239" s="159">
        <f>'66 SYANA PRAROOP-20'!F240</f>
        <v>210</v>
      </c>
      <c r="W239" s="160"/>
      <c r="X239" s="160"/>
      <c r="Y239" s="159">
        <f>'66 SYANA PRAROOP-20'!G240</f>
        <v>4</v>
      </c>
      <c r="Z239" s="160"/>
      <c r="AA239" s="160"/>
      <c r="AB239" s="168">
        <f>'66 SYANA PRAROOP-20'!H240</f>
        <v>2</v>
      </c>
      <c r="AC239" s="160"/>
      <c r="AD239" s="160"/>
      <c r="AE239" s="168">
        <f>'66 SYANA PRAROOP-20'!I240</f>
        <v>1</v>
      </c>
      <c r="AF239" s="160"/>
      <c r="AG239" s="160"/>
      <c r="AH239" s="168">
        <f>'66 SYANA PRAROOP-20'!J240</f>
        <v>2</v>
      </c>
      <c r="AI239" s="159">
        <f t="shared" si="11"/>
        <v>602</v>
      </c>
      <c r="AJ239" s="150">
        <f t="shared" si="9"/>
        <v>-2</v>
      </c>
    </row>
    <row r="240" spans="1:36" ht="51">
      <c r="A240" s="151">
        <v>66</v>
      </c>
      <c r="B240" s="155">
        <v>234</v>
      </c>
      <c r="C240" s="156" t="s">
        <v>884</v>
      </c>
      <c r="D240" s="155">
        <v>790</v>
      </c>
      <c r="E240" s="151">
        <v>268</v>
      </c>
      <c r="F240" s="151">
        <v>259</v>
      </c>
      <c r="G240" s="151">
        <v>0</v>
      </c>
      <c r="H240" s="151">
        <f t="shared" si="10"/>
        <v>527</v>
      </c>
      <c r="I240" s="155">
        <v>49</v>
      </c>
      <c r="J240" s="151">
        <v>0</v>
      </c>
      <c r="K240" s="160"/>
      <c r="L240" s="160"/>
      <c r="M240" s="168">
        <f>'66 SYANA PRAROOP-20'!C241</f>
        <v>83</v>
      </c>
      <c r="N240" s="160"/>
      <c r="O240" s="160"/>
      <c r="P240" s="158">
        <f>'66 SYANA PRAROOP-20'!D241</f>
        <v>298</v>
      </c>
      <c r="Q240" s="160"/>
      <c r="R240" s="160"/>
      <c r="S240" s="158">
        <f>'66 SYANA PRAROOP-20'!E241</f>
        <v>7</v>
      </c>
      <c r="T240" s="160"/>
      <c r="U240" s="160"/>
      <c r="V240" s="159">
        <f>'66 SYANA PRAROOP-20'!F241</f>
        <v>123</v>
      </c>
      <c r="W240" s="160"/>
      <c r="X240" s="160"/>
      <c r="Y240" s="159">
        <f>'66 SYANA PRAROOP-20'!G241</f>
        <v>2</v>
      </c>
      <c r="Z240" s="160"/>
      <c r="AA240" s="160"/>
      <c r="AB240" s="168">
        <f>'66 SYANA PRAROOP-20'!H241</f>
        <v>1</v>
      </c>
      <c r="AC240" s="160"/>
      <c r="AD240" s="160"/>
      <c r="AE240" s="168">
        <f>'66 SYANA PRAROOP-20'!I241</f>
        <v>8</v>
      </c>
      <c r="AF240" s="160"/>
      <c r="AG240" s="160"/>
      <c r="AH240" s="168">
        <f>'66 SYANA PRAROOP-20'!J241</f>
        <v>4</v>
      </c>
      <c r="AI240" s="159">
        <f t="shared" si="11"/>
        <v>526</v>
      </c>
      <c r="AJ240" s="150">
        <f t="shared" si="9"/>
        <v>-1</v>
      </c>
    </row>
    <row r="241" spans="1:36" ht="51">
      <c r="A241" s="151">
        <v>66</v>
      </c>
      <c r="B241" s="155">
        <v>235</v>
      </c>
      <c r="C241" s="156" t="s">
        <v>885</v>
      </c>
      <c r="D241" s="162">
        <v>804</v>
      </c>
      <c r="E241" s="151">
        <v>289</v>
      </c>
      <c r="F241" s="151">
        <v>290</v>
      </c>
      <c r="G241" s="151">
        <v>0</v>
      </c>
      <c r="H241" s="151">
        <f t="shared" si="10"/>
        <v>579</v>
      </c>
      <c r="I241" s="162">
        <v>389</v>
      </c>
      <c r="J241" s="151">
        <v>0</v>
      </c>
      <c r="K241" s="160"/>
      <c r="L241" s="160"/>
      <c r="M241" s="168">
        <f>'66 SYANA PRAROOP-20'!C242</f>
        <v>26</v>
      </c>
      <c r="N241" s="160"/>
      <c r="O241" s="160"/>
      <c r="P241" s="158">
        <f>'66 SYANA PRAROOP-20'!D242</f>
        <v>481</v>
      </c>
      <c r="Q241" s="160"/>
      <c r="R241" s="160"/>
      <c r="S241" s="158">
        <f>'66 SYANA PRAROOP-20'!E242</f>
        <v>4</v>
      </c>
      <c r="T241" s="160"/>
      <c r="U241" s="160"/>
      <c r="V241" s="159">
        <f>'66 SYANA PRAROOP-20'!F242</f>
        <v>53</v>
      </c>
      <c r="W241" s="160"/>
      <c r="X241" s="160"/>
      <c r="Y241" s="159">
        <f>'66 SYANA PRAROOP-20'!G242</f>
        <v>1</v>
      </c>
      <c r="Z241" s="160"/>
      <c r="AA241" s="160"/>
      <c r="AB241" s="168">
        <f>'66 SYANA PRAROOP-20'!H242</f>
        <v>1</v>
      </c>
      <c r="AC241" s="160"/>
      <c r="AD241" s="160"/>
      <c r="AE241" s="168">
        <f>'66 SYANA PRAROOP-20'!I242</f>
        <v>1</v>
      </c>
      <c r="AF241" s="160"/>
      <c r="AG241" s="160"/>
      <c r="AH241" s="168">
        <f>'66 SYANA PRAROOP-20'!J242</f>
        <v>6</v>
      </c>
      <c r="AI241" s="159">
        <f t="shared" si="11"/>
        <v>573</v>
      </c>
      <c r="AJ241" s="150">
        <f t="shared" si="9"/>
        <v>-6</v>
      </c>
    </row>
    <row r="242" spans="1:36" ht="51">
      <c r="A242" s="151">
        <v>66</v>
      </c>
      <c r="B242" s="155">
        <v>236</v>
      </c>
      <c r="C242" s="156" t="s">
        <v>1131</v>
      </c>
      <c r="D242" s="162">
        <v>729</v>
      </c>
      <c r="E242" s="151">
        <v>256</v>
      </c>
      <c r="F242" s="151">
        <v>257</v>
      </c>
      <c r="G242" s="151">
        <v>0</v>
      </c>
      <c r="H242" s="151">
        <f t="shared" si="10"/>
        <v>513</v>
      </c>
      <c r="I242" s="162">
        <v>356</v>
      </c>
      <c r="J242" s="151">
        <v>0</v>
      </c>
      <c r="K242" s="160"/>
      <c r="L242" s="160"/>
      <c r="M242" s="168">
        <f>'66 SYANA PRAROOP-20'!C243</f>
        <v>7</v>
      </c>
      <c r="N242" s="160"/>
      <c r="O242" s="160"/>
      <c r="P242" s="158">
        <f>'66 SYANA PRAROOP-20'!D243</f>
        <v>476</v>
      </c>
      <c r="Q242" s="160"/>
      <c r="R242" s="160"/>
      <c r="S242" s="158">
        <f>'66 SYANA PRAROOP-20'!E243</f>
        <v>8</v>
      </c>
      <c r="T242" s="160"/>
      <c r="U242" s="160"/>
      <c r="V242" s="159">
        <f>'66 SYANA PRAROOP-20'!F243</f>
        <v>1</v>
      </c>
      <c r="W242" s="160"/>
      <c r="X242" s="160"/>
      <c r="Y242" s="159">
        <f>'66 SYANA PRAROOP-20'!G243</f>
        <v>1</v>
      </c>
      <c r="Z242" s="160"/>
      <c r="AA242" s="160"/>
      <c r="AB242" s="168">
        <f>'66 SYANA PRAROOP-20'!H243</f>
        <v>1</v>
      </c>
      <c r="AC242" s="160"/>
      <c r="AD242" s="160"/>
      <c r="AE242" s="168">
        <f>'66 SYANA PRAROOP-20'!I243</f>
        <v>8</v>
      </c>
      <c r="AF242" s="160"/>
      <c r="AG242" s="160"/>
      <c r="AH242" s="168">
        <f>'66 SYANA PRAROOP-20'!J243</f>
        <v>9</v>
      </c>
      <c r="AI242" s="159">
        <f t="shared" si="11"/>
        <v>511</v>
      </c>
      <c r="AJ242" s="150">
        <f t="shared" si="9"/>
        <v>-2</v>
      </c>
    </row>
    <row r="243" spans="1:36" ht="51">
      <c r="A243" s="151">
        <v>66</v>
      </c>
      <c r="B243" s="155">
        <v>237</v>
      </c>
      <c r="C243" s="156" t="s">
        <v>886</v>
      </c>
      <c r="D243" s="162">
        <v>1059</v>
      </c>
      <c r="E243" s="151">
        <v>352</v>
      </c>
      <c r="F243" s="151">
        <v>307</v>
      </c>
      <c r="G243" s="151">
        <v>0</v>
      </c>
      <c r="H243" s="151">
        <f t="shared" si="10"/>
        <v>659</v>
      </c>
      <c r="I243" s="162">
        <v>117</v>
      </c>
      <c r="J243" s="151">
        <v>0</v>
      </c>
      <c r="K243" s="160"/>
      <c r="L243" s="160"/>
      <c r="M243" s="168">
        <f>'66 SYANA PRAROOP-20'!C244</f>
        <v>612</v>
      </c>
      <c r="N243" s="160"/>
      <c r="O243" s="160"/>
      <c r="P243" s="158">
        <f>'66 SYANA PRAROOP-20'!D244</f>
        <v>30</v>
      </c>
      <c r="Q243" s="160"/>
      <c r="R243" s="160"/>
      <c r="S243" s="158">
        <f>'66 SYANA PRAROOP-20'!E244</f>
        <v>1</v>
      </c>
      <c r="T243" s="160"/>
      <c r="U243" s="160"/>
      <c r="V243" s="159">
        <f>'66 SYANA PRAROOP-20'!F244</f>
        <v>7</v>
      </c>
      <c r="W243" s="160"/>
      <c r="X243" s="160"/>
      <c r="Y243" s="159">
        <f>'66 SYANA PRAROOP-20'!G244</f>
        <v>0</v>
      </c>
      <c r="Z243" s="160"/>
      <c r="AA243" s="160"/>
      <c r="AB243" s="168">
        <f>'66 SYANA PRAROOP-20'!H244</f>
        <v>1</v>
      </c>
      <c r="AC243" s="160"/>
      <c r="AD243" s="160"/>
      <c r="AE243" s="168">
        <f>'66 SYANA PRAROOP-20'!I244</f>
        <v>1</v>
      </c>
      <c r="AF243" s="160"/>
      <c r="AG243" s="160"/>
      <c r="AH243" s="168">
        <f>'66 SYANA PRAROOP-20'!J244</f>
        <v>0</v>
      </c>
      <c r="AI243" s="159">
        <f t="shared" si="11"/>
        <v>652</v>
      </c>
      <c r="AJ243" s="150">
        <f t="shared" si="9"/>
        <v>-7</v>
      </c>
    </row>
    <row r="244" spans="1:36" ht="51">
      <c r="A244" s="151">
        <v>66</v>
      </c>
      <c r="B244" s="155">
        <v>238</v>
      </c>
      <c r="C244" s="156" t="s">
        <v>887</v>
      </c>
      <c r="D244" s="162">
        <v>1089</v>
      </c>
      <c r="E244" s="151">
        <v>374</v>
      </c>
      <c r="F244" s="151">
        <v>370</v>
      </c>
      <c r="G244" s="151">
        <v>0</v>
      </c>
      <c r="H244" s="151">
        <f t="shared" si="10"/>
        <v>744</v>
      </c>
      <c r="I244" s="162">
        <v>474</v>
      </c>
      <c r="J244" s="151">
        <v>0</v>
      </c>
      <c r="K244" s="160"/>
      <c r="L244" s="160"/>
      <c r="M244" s="168">
        <f>'66 SYANA PRAROOP-20'!C245</f>
        <v>422</v>
      </c>
      <c r="N244" s="160"/>
      <c r="O244" s="160"/>
      <c r="P244" s="158">
        <f>'66 SYANA PRAROOP-20'!D245</f>
        <v>307</v>
      </c>
      <c r="Q244" s="160"/>
      <c r="R244" s="160"/>
      <c r="S244" s="158">
        <f>'66 SYANA PRAROOP-20'!E245</f>
        <v>2</v>
      </c>
      <c r="T244" s="160"/>
      <c r="U244" s="160"/>
      <c r="V244" s="159">
        <f>'66 SYANA PRAROOP-20'!F245</f>
        <v>7</v>
      </c>
      <c r="W244" s="160"/>
      <c r="X244" s="160"/>
      <c r="Y244" s="159">
        <f>'66 SYANA PRAROOP-20'!G245</f>
        <v>0</v>
      </c>
      <c r="Z244" s="160"/>
      <c r="AA244" s="160"/>
      <c r="AB244" s="168">
        <f>'66 SYANA PRAROOP-20'!H245</f>
        <v>0</v>
      </c>
      <c r="AC244" s="160"/>
      <c r="AD244" s="160"/>
      <c r="AE244" s="168">
        <f>'66 SYANA PRAROOP-20'!I245</f>
        <v>3</v>
      </c>
      <c r="AF244" s="160"/>
      <c r="AG244" s="160"/>
      <c r="AH244" s="168">
        <f>'66 SYANA PRAROOP-20'!J245</f>
        <v>2</v>
      </c>
      <c r="AI244" s="159">
        <f t="shared" si="11"/>
        <v>743</v>
      </c>
      <c r="AJ244" s="150">
        <f t="shared" si="9"/>
        <v>-1</v>
      </c>
    </row>
    <row r="245" spans="1:36" ht="51">
      <c r="A245" s="151">
        <v>66</v>
      </c>
      <c r="B245" s="155">
        <v>239</v>
      </c>
      <c r="C245" s="156" t="s">
        <v>888</v>
      </c>
      <c r="D245" s="162">
        <v>794</v>
      </c>
      <c r="E245" s="151">
        <v>284</v>
      </c>
      <c r="F245" s="151">
        <v>256</v>
      </c>
      <c r="G245" s="151">
        <v>0</v>
      </c>
      <c r="H245" s="151">
        <f t="shared" si="10"/>
        <v>540</v>
      </c>
      <c r="I245" s="162">
        <v>384</v>
      </c>
      <c r="J245" s="151">
        <v>0</v>
      </c>
      <c r="K245" s="160"/>
      <c r="L245" s="160"/>
      <c r="M245" s="168">
        <f>'66 SYANA PRAROOP-20'!C246</f>
        <v>149</v>
      </c>
      <c r="N245" s="160"/>
      <c r="O245" s="160"/>
      <c r="P245" s="158">
        <f>'66 SYANA PRAROOP-20'!D246</f>
        <v>369</v>
      </c>
      <c r="Q245" s="160"/>
      <c r="R245" s="160"/>
      <c r="S245" s="158">
        <f>'66 SYANA PRAROOP-20'!E246</f>
        <v>1</v>
      </c>
      <c r="T245" s="160"/>
      <c r="U245" s="160"/>
      <c r="V245" s="159">
        <f>'66 SYANA PRAROOP-20'!F246</f>
        <v>8</v>
      </c>
      <c r="W245" s="160"/>
      <c r="X245" s="160"/>
      <c r="Y245" s="159">
        <f>'66 SYANA PRAROOP-20'!G246</f>
        <v>0</v>
      </c>
      <c r="Z245" s="160"/>
      <c r="AA245" s="160"/>
      <c r="AB245" s="168">
        <f>'66 SYANA PRAROOP-20'!H246</f>
        <v>2</v>
      </c>
      <c r="AC245" s="160"/>
      <c r="AD245" s="160"/>
      <c r="AE245" s="168">
        <f>'66 SYANA PRAROOP-20'!I246</f>
        <v>2</v>
      </c>
      <c r="AF245" s="160"/>
      <c r="AG245" s="160"/>
      <c r="AH245" s="168">
        <f>'66 SYANA PRAROOP-20'!J246</f>
        <v>6</v>
      </c>
      <c r="AI245" s="159">
        <f t="shared" si="11"/>
        <v>537</v>
      </c>
      <c r="AJ245" s="150">
        <f t="shared" si="9"/>
        <v>-3</v>
      </c>
    </row>
    <row r="246" spans="1:36" ht="51">
      <c r="A246" s="151">
        <v>66</v>
      </c>
      <c r="B246" s="155">
        <v>240</v>
      </c>
      <c r="C246" s="156" t="s">
        <v>889</v>
      </c>
      <c r="D246" s="162">
        <v>723</v>
      </c>
      <c r="E246" s="151">
        <v>243</v>
      </c>
      <c r="F246" s="151">
        <v>204</v>
      </c>
      <c r="G246" s="151">
        <v>0</v>
      </c>
      <c r="H246" s="151">
        <f t="shared" si="10"/>
        <v>447</v>
      </c>
      <c r="I246" s="162">
        <v>94</v>
      </c>
      <c r="J246" s="151">
        <v>0</v>
      </c>
      <c r="K246" s="160"/>
      <c r="L246" s="160"/>
      <c r="M246" s="168">
        <f>'66 SYANA PRAROOP-20'!C247</f>
        <v>353</v>
      </c>
      <c r="N246" s="160"/>
      <c r="O246" s="160"/>
      <c r="P246" s="158">
        <f>'66 SYANA PRAROOP-20'!D247</f>
        <v>76</v>
      </c>
      <c r="Q246" s="160"/>
      <c r="R246" s="160"/>
      <c r="S246" s="158">
        <f>'66 SYANA PRAROOP-20'!E247</f>
        <v>1</v>
      </c>
      <c r="T246" s="160"/>
      <c r="U246" s="160"/>
      <c r="V246" s="159">
        <f>'66 SYANA PRAROOP-20'!F247</f>
        <v>9</v>
      </c>
      <c r="W246" s="160"/>
      <c r="X246" s="160"/>
      <c r="Y246" s="159">
        <f>'66 SYANA PRAROOP-20'!G247</f>
        <v>0</v>
      </c>
      <c r="Z246" s="160"/>
      <c r="AA246" s="160"/>
      <c r="AB246" s="168">
        <f>'66 SYANA PRAROOP-20'!H247</f>
        <v>0</v>
      </c>
      <c r="AC246" s="160"/>
      <c r="AD246" s="160"/>
      <c r="AE246" s="168">
        <f>'66 SYANA PRAROOP-20'!I247</f>
        <v>1</v>
      </c>
      <c r="AF246" s="160"/>
      <c r="AG246" s="160"/>
      <c r="AH246" s="168">
        <f>'66 SYANA PRAROOP-20'!J247</f>
        <v>2</v>
      </c>
      <c r="AI246" s="159">
        <f t="shared" si="11"/>
        <v>442</v>
      </c>
      <c r="AJ246" s="150">
        <f t="shared" si="9"/>
        <v>-5</v>
      </c>
    </row>
    <row r="247" spans="1:36" ht="51">
      <c r="A247" s="151">
        <v>66</v>
      </c>
      <c r="B247" s="155">
        <v>241</v>
      </c>
      <c r="C247" s="156" t="s">
        <v>890</v>
      </c>
      <c r="D247" s="162">
        <v>1030</v>
      </c>
      <c r="E247" s="151">
        <v>393</v>
      </c>
      <c r="F247" s="151">
        <v>361</v>
      </c>
      <c r="G247" s="151">
        <v>0</v>
      </c>
      <c r="H247" s="151">
        <f t="shared" si="10"/>
        <v>754</v>
      </c>
      <c r="I247" s="162">
        <v>493</v>
      </c>
      <c r="J247" s="151">
        <v>0</v>
      </c>
      <c r="K247" s="160"/>
      <c r="L247" s="160"/>
      <c r="M247" s="168">
        <f>'66 SYANA PRAROOP-20'!C248</f>
        <v>99</v>
      </c>
      <c r="N247" s="160"/>
      <c r="O247" s="160"/>
      <c r="P247" s="158">
        <f>'66 SYANA PRAROOP-20'!D248</f>
        <v>134</v>
      </c>
      <c r="Q247" s="160"/>
      <c r="R247" s="160"/>
      <c r="S247" s="158">
        <f>'66 SYANA PRAROOP-20'!E248</f>
        <v>4</v>
      </c>
      <c r="T247" s="160"/>
      <c r="U247" s="160"/>
      <c r="V247" s="159">
        <f>'66 SYANA PRAROOP-20'!F248</f>
        <v>495</v>
      </c>
      <c r="W247" s="160"/>
      <c r="X247" s="160"/>
      <c r="Y247" s="159">
        <f>'66 SYANA PRAROOP-20'!G248</f>
        <v>3</v>
      </c>
      <c r="Z247" s="160"/>
      <c r="AA247" s="160"/>
      <c r="AB247" s="168">
        <f>'66 SYANA PRAROOP-20'!H248</f>
        <v>3</v>
      </c>
      <c r="AC247" s="160"/>
      <c r="AD247" s="160"/>
      <c r="AE247" s="168">
        <f>'66 SYANA PRAROOP-20'!I248</f>
        <v>6</v>
      </c>
      <c r="AF247" s="160"/>
      <c r="AG247" s="160"/>
      <c r="AH247" s="168">
        <f>'66 SYANA PRAROOP-20'!J248</f>
        <v>2</v>
      </c>
      <c r="AI247" s="159">
        <f t="shared" si="11"/>
        <v>746</v>
      </c>
      <c r="AJ247" s="150">
        <f t="shared" si="9"/>
        <v>-8</v>
      </c>
    </row>
    <row r="248" spans="1:36" ht="63.75">
      <c r="A248" s="151">
        <v>66</v>
      </c>
      <c r="B248" s="155">
        <v>242</v>
      </c>
      <c r="C248" s="156" t="s">
        <v>891</v>
      </c>
      <c r="D248" s="162">
        <v>1030</v>
      </c>
      <c r="E248" s="151">
        <v>396</v>
      </c>
      <c r="F248" s="151">
        <v>352</v>
      </c>
      <c r="G248" s="151">
        <v>0</v>
      </c>
      <c r="H248" s="151">
        <f t="shared" si="10"/>
        <v>748</v>
      </c>
      <c r="I248" s="162">
        <v>15</v>
      </c>
      <c r="J248" s="151">
        <v>0</v>
      </c>
      <c r="K248" s="160"/>
      <c r="L248" s="160"/>
      <c r="M248" s="168">
        <f>'66 SYANA PRAROOP-20'!C249</f>
        <v>174</v>
      </c>
      <c r="N248" s="160"/>
      <c r="O248" s="160"/>
      <c r="P248" s="158">
        <f>'66 SYANA PRAROOP-20'!D249</f>
        <v>550</v>
      </c>
      <c r="Q248" s="160"/>
      <c r="R248" s="160"/>
      <c r="S248" s="158">
        <f>'66 SYANA PRAROOP-20'!E249</f>
        <v>10</v>
      </c>
      <c r="T248" s="160"/>
      <c r="U248" s="160"/>
      <c r="V248" s="159">
        <f>'66 SYANA PRAROOP-20'!F249</f>
        <v>2</v>
      </c>
      <c r="W248" s="160"/>
      <c r="X248" s="160"/>
      <c r="Y248" s="159">
        <f>'66 SYANA PRAROOP-20'!G249</f>
        <v>1</v>
      </c>
      <c r="Z248" s="160"/>
      <c r="AA248" s="160"/>
      <c r="AB248" s="168">
        <f>'66 SYANA PRAROOP-20'!H249</f>
        <v>0</v>
      </c>
      <c r="AC248" s="160"/>
      <c r="AD248" s="160"/>
      <c r="AE248" s="168">
        <f>'66 SYANA PRAROOP-20'!I249</f>
        <v>3</v>
      </c>
      <c r="AF248" s="160"/>
      <c r="AG248" s="160"/>
      <c r="AH248" s="168">
        <f>'66 SYANA PRAROOP-20'!J249</f>
        <v>3</v>
      </c>
      <c r="AI248" s="159">
        <f t="shared" si="11"/>
        <v>743</v>
      </c>
      <c r="AJ248" s="150">
        <f t="shared" si="9"/>
        <v>-5</v>
      </c>
    </row>
    <row r="249" spans="1:36" ht="63.75">
      <c r="A249" s="151">
        <v>66</v>
      </c>
      <c r="B249" s="155">
        <v>243</v>
      </c>
      <c r="C249" s="156" t="s">
        <v>1132</v>
      </c>
      <c r="D249" s="162">
        <v>980</v>
      </c>
      <c r="E249" s="151">
        <v>351</v>
      </c>
      <c r="F249" s="151">
        <v>311</v>
      </c>
      <c r="G249" s="151">
        <v>0</v>
      </c>
      <c r="H249" s="151">
        <f t="shared" si="10"/>
        <v>662</v>
      </c>
      <c r="I249" s="162">
        <v>43</v>
      </c>
      <c r="J249" s="151">
        <v>0</v>
      </c>
      <c r="K249" s="160"/>
      <c r="L249" s="160"/>
      <c r="M249" s="168">
        <f>'66 SYANA PRAROOP-20'!C250</f>
        <v>283</v>
      </c>
      <c r="N249" s="160"/>
      <c r="O249" s="160"/>
      <c r="P249" s="158">
        <f>'66 SYANA PRAROOP-20'!D250</f>
        <v>361</v>
      </c>
      <c r="Q249" s="160"/>
      <c r="R249" s="160"/>
      <c r="S249" s="158">
        <f>'66 SYANA PRAROOP-20'!E250</f>
        <v>6</v>
      </c>
      <c r="T249" s="160"/>
      <c r="U249" s="160"/>
      <c r="V249" s="159">
        <f>'66 SYANA PRAROOP-20'!F250</f>
        <v>1</v>
      </c>
      <c r="W249" s="160"/>
      <c r="X249" s="160"/>
      <c r="Y249" s="159">
        <f>'66 SYANA PRAROOP-20'!G250</f>
        <v>1</v>
      </c>
      <c r="Z249" s="160"/>
      <c r="AA249" s="160"/>
      <c r="AB249" s="168">
        <f>'66 SYANA PRAROOP-20'!H250</f>
        <v>0</v>
      </c>
      <c r="AC249" s="160"/>
      <c r="AD249" s="160"/>
      <c r="AE249" s="168">
        <f>'66 SYANA PRAROOP-20'!I250</f>
        <v>0</v>
      </c>
      <c r="AF249" s="160"/>
      <c r="AG249" s="160"/>
      <c r="AH249" s="168">
        <f>'66 SYANA PRAROOP-20'!J250</f>
        <v>1</v>
      </c>
      <c r="AI249" s="159">
        <f t="shared" si="11"/>
        <v>653</v>
      </c>
      <c r="AJ249" s="150">
        <f t="shared" si="9"/>
        <v>-9</v>
      </c>
    </row>
    <row r="250" spans="1:36" ht="63.75">
      <c r="A250" s="151">
        <v>66</v>
      </c>
      <c r="B250" s="155">
        <v>244</v>
      </c>
      <c r="C250" s="156" t="s">
        <v>1133</v>
      </c>
      <c r="D250" s="162">
        <v>893</v>
      </c>
      <c r="E250" s="151">
        <v>362</v>
      </c>
      <c r="F250" s="151">
        <v>291</v>
      </c>
      <c r="G250" s="151">
        <v>0</v>
      </c>
      <c r="H250" s="151">
        <f t="shared" si="10"/>
        <v>653</v>
      </c>
      <c r="I250" s="162">
        <v>45</v>
      </c>
      <c r="J250" s="151">
        <v>0</v>
      </c>
      <c r="K250" s="160"/>
      <c r="L250" s="160"/>
      <c r="M250" s="168">
        <f>'66 SYANA PRAROOP-20'!C251</f>
        <v>258</v>
      </c>
      <c r="N250" s="160"/>
      <c r="O250" s="160"/>
      <c r="P250" s="158">
        <f>'66 SYANA PRAROOP-20'!D251</f>
        <v>377</v>
      </c>
      <c r="Q250" s="160"/>
      <c r="R250" s="160"/>
      <c r="S250" s="158">
        <f>'66 SYANA PRAROOP-20'!E251</f>
        <v>3</v>
      </c>
      <c r="T250" s="160"/>
      <c r="U250" s="160"/>
      <c r="V250" s="159">
        <f>'66 SYANA PRAROOP-20'!F251</f>
        <v>3</v>
      </c>
      <c r="W250" s="160"/>
      <c r="X250" s="160"/>
      <c r="Y250" s="159">
        <f>'66 SYANA PRAROOP-20'!G251</f>
        <v>2</v>
      </c>
      <c r="Z250" s="160"/>
      <c r="AA250" s="160"/>
      <c r="AB250" s="168">
        <f>'66 SYANA PRAROOP-20'!H251</f>
        <v>0</v>
      </c>
      <c r="AC250" s="160"/>
      <c r="AD250" s="160"/>
      <c r="AE250" s="168">
        <f>'66 SYANA PRAROOP-20'!I251</f>
        <v>3</v>
      </c>
      <c r="AF250" s="160"/>
      <c r="AG250" s="160"/>
      <c r="AH250" s="168">
        <f>'66 SYANA PRAROOP-20'!J251</f>
        <v>1</v>
      </c>
      <c r="AI250" s="159">
        <f t="shared" si="11"/>
        <v>647</v>
      </c>
      <c r="AJ250" s="150">
        <f t="shared" si="9"/>
        <v>-6</v>
      </c>
    </row>
    <row r="251" spans="1:36" ht="63.75">
      <c r="A251" s="151">
        <v>66</v>
      </c>
      <c r="B251" s="155">
        <v>245</v>
      </c>
      <c r="C251" s="156" t="s">
        <v>892</v>
      </c>
      <c r="D251" s="162">
        <v>921</v>
      </c>
      <c r="E251" s="151">
        <v>357</v>
      </c>
      <c r="F251" s="151">
        <v>292</v>
      </c>
      <c r="G251" s="151">
        <v>0</v>
      </c>
      <c r="H251" s="151">
        <f t="shared" si="10"/>
        <v>649</v>
      </c>
      <c r="I251" s="162">
        <v>107</v>
      </c>
      <c r="J251" s="151">
        <v>0</v>
      </c>
      <c r="K251" s="160"/>
      <c r="L251" s="160"/>
      <c r="M251" s="168">
        <f>'66 SYANA PRAROOP-20'!C252</f>
        <v>98</v>
      </c>
      <c r="N251" s="160"/>
      <c r="O251" s="160"/>
      <c r="P251" s="158">
        <f>'66 SYANA PRAROOP-20'!D252</f>
        <v>533</v>
      </c>
      <c r="Q251" s="160"/>
      <c r="R251" s="160"/>
      <c r="S251" s="158">
        <f>'66 SYANA PRAROOP-20'!E252</f>
        <v>2</v>
      </c>
      <c r="T251" s="160"/>
      <c r="U251" s="160"/>
      <c r="V251" s="159">
        <f>'66 SYANA PRAROOP-20'!F252</f>
        <v>10</v>
      </c>
      <c r="W251" s="160"/>
      <c r="X251" s="160"/>
      <c r="Y251" s="159">
        <f>'66 SYANA PRAROOP-20'!G252</f>
        <v>0</v>
      </c>
      <c r="Z251" s="160"/>
      <c r="AA251" s="160"/>
      <c r="AB251" s="168">
        <f>'66 SYANA PRAROOP-20'!H252</f>
        <v>0</v>
      </c>
      <c r="AC251" s="160"/>
      <c r="AD251" s="160"/>
      <c r="AE251" s="168">
        <f>'66 SYANA PRAROOP-20'!I252</f>
        <v>3</v>
      </c>
      <c r="AF251" s="160"/>
      <c r="AG251" s="160"/>
      <c r="AH251" s="168">
        <f>'66 SYANA PRAROOP-20'!J252</f>
        <v>0</v>
      </c>
      <c r="AI251" s="159">
        <f t="shared" si="11"/>
        <v>646</v>
      </c>
      <c r="AJ251" s="150">
        <f t="shared" si="9"/>
        <v>-3</v>
      </c>
    </row>
    <row r="252" spans="1:36" ht="63.75">
      <c r="A252" s="151">
        <v>66</v>
      </c>
      <c r="B252" s="155">
        <v>246</v>
      </c>
      <c r="C252" s="156" t="s">
        <v>893</v>
      </c>
      <c r="D252" s="162">
        <v>606</v>
      </c>
      <c r="E252" s="151">
        <v>228</v>
      </c>
      <c r="F252" s="151">
        <v>225</v>
      </c>
      <c r="G252" s="151">
        <v>0</v>
      </c>
      <c r="H252" s="151">
        <f t="shared" si="10"/>
        <v>453</v>
      </c>
      <c r="I252" s="162">
        <v>41</v>
      </c>
      <c r="J252" s="151">
        <v>0</v>
      </c>
      <c r="K252" s="160"/>
      <c r="L252" s="160"/>
      <c r="M252" s="168">
        <f>'66 SYANA PRAROOP-20'!C253</f>
        <v>238</v>
      </c>
      <c r="N252" s="160"/>
      <c r="O252" s="160"/>
      <c r="P252" s="158">
        <f>'66 SYANA PRAROOP-20'!D253</f>
        <v>205</v>
      </c>
      <c r="Q252" s="160"/>
      <c r="R252" s="160"/>
      <c r="S252" s="158">
        <f>'66 SYANA PRAROOP-20'!E253</f>
        <v>3</v>
      </c>
      <c r="T252" s="160"/>
      <c r="U252" s="160"/>
      <c r="V252" s="159">
        <f>'66 SYANA PRAROOP-20'!F253</f>
        <v>0</v>
      </c>
      <c r="W252" s="160"/>
      <c r="X252" s="160"/>
      <c r="Y252" s="159">
        <f>'66 SYANA PRAROOP-20'!G253</f>
        <v>0</v>
      </c>
      <c r="Z252" s="160"/>
      <c r="AA252" s="160"/>
      <c r="AB252" s="168">
        <f>'66 SYANA PRAROOP-20'!H253</f>
        <v>2</v>
      </c>
      <c r="AC252" s="160"/>
      <c r="AD252" s="160"/>
      <c r="AE252" s="168">
        <f>'66 SYANA PRAROOP-20'!I253</f>
        <v>2</v>
      </c>
      <c r="AF252" s="160"/>
      <c r="AG252" s="160"/>
      <c r="AH252" s="168">
        <f>'66 SYANA PRAROOP-20'!J253</f>
        <v>0</v>
      </c>
      <c r="AI252" s="159">
        <f t="shared" si="11"/>
        <v>450</v>
      </c>
      <c r="AJ252" s="150">
        <f t="shared" si="9"/>
        <v>-3</v>
      </c>
    </row>
    <row r="253" spans="1:36" ht="63.75">
      <c r="A253" s="151">
        <v>66</v>
      </c>
      <c r="B253" s="155">
        <v>247</v>
      </c>
      <c r="C253" s="156" t="s">
        <v>894</v>
      </c>
      <c r="D253" s="155">
        <v>988</v>
      </c>
      <c r="E253" s="151">
        <v>331</v>
      </c>
      <c r="F253" s="151">
        <v>332</v>
      </c>
      <c r="G253" s="151">
        <v>0</v>
      </c>
      <c r="H253" s="151">
        <f t="shared" si="10"/>
        <v>663</v>
      </c>
      <c r="I253" s="155">
        <v>511</v>
      </c>
      <c r="J253" s="151">
        <v>0</v>
      </c>
      <c r="K253" s="160"/>
      <c r="L253" s="160"/>
      <c r="M253" s="168">
        <f>'66 SYANA PRAROOP-20'!C254</f>
        <v>640</v>
      </c>
      <c r="N253" s="160"/>
      <c r="O253" s="160"/>
      <c r="P253" s="158">
        <f>'66 SYANA PRAROOP-20'!D254</f>
        <v>11</v>
      </c>
      <c r="Q253" s="160"/>
      <c r="R253" s="160"/>
      <c r="S253" s="158">
        <f>'66 SYANA PRAROOP-20'!E254</f>
        <v>1</v>
      </c>
      <c r="T253" s="160"/>
      <c r="U253" s="160"/>
      <c r="V253" s="159">
        <f>'66 SYANA PRAROOP-20'!F254</f>
        <v>6</v>
      </c>
      <c r="W253" s="160"/>
      <c r="X253" s="160"/>
      <c r="Y253" s="159">
        <f>'66 SYANA PRAROOP-20'!G254</f>
        <v>1</v>
      </c>
      <c r="Z253" s="160"/>
      <c r="AA253" s="160"/>
      <c r="AB253" s="168">
        <f>'66 SYANA PRAROOP-20'!H254</f>
        <v>0</v>
      </c>
      <c r="AC253" s="160"/>
      <c r="AD253" s="160"/>
      <c r="AE253" s="168">
        <f>'66 SYANA PRAROOP-20'!I254</f>
        <v>0</v>
      </c>
      <c r="AF253" s="160"/>
      <c r="AG253" s="160"/>
      <c r="AH253" s="168">
        <f>'66 SYANA PRAROOP-20'!J254</f>
        <v>2</v>
      </c>
      <c r="AI253" s="159">
        <f t="shared" si="11"/>
        <v>661</v>
      </c>
      <c r="AJ253" s="150">
        <f t="shared" si="9"/>
        <v>-2</v>
      </c>
    </row>
    <row r="254" spans="1:36" ht="38.25">
      <c r="A254" s="151">
        <v>66</v>
      </c>
      <c r="B254" s="155">
        <v>248</v>
      </c>
      <c r="C254" s="156" t="s">
        <v>895</v>
      </c>
      <c r="D254" s="155">
        <v>1099</v>
      </c>
      <c r="E254" s="151">
        <v>355</v>
      </c>
      <c r="F254" s="151">
        <v>336</v>
      </c>
      <c r="G254" s="151">
        <v>0</v>
      </c>
      <c r="H254" s="151">
        <f t="shared" si="10"/>
        <v>691</v>
      </c>
      <c r="I254" s="155">
        <v>455</v>
      </c>
      <c r="J254" s="151">
        <v>0</v>
      </c>
      <c r="K254" s="160"/>
      <c r="L254" s="160"/>
      <c r="M254" s="168">
        <f>'66 SYANA PRAROOP-20'!C255</f>
        <v>531</v>
      </c>
      <c r="N254" s="160"/>
      <c r="O254" s="160"/>
      <c r="P254" s="158">
        <f>'66 SYANA PRAROOP-20'!D255</f>
        <v>153</v>
      </c>
      <c r="Q254" s="160"/>
      <c r="R254" s="160"/>
      <c r="S254" s="158">
        <f>'66 SYANA PRAROOP-20'!E255</f>
        <v>1</v>
      </c>
      <c r="T254" s="160"/>
      <c r="U254" s="160"/>
      <c r="V254" s="159">
        <f>'66 SYANA PRAROOP-20'!F255</f>
        <v>0</v>
      </c>
      <c r="W254" s="160"/>
      <c r="X254" s="160"/>
      <c r="Y254" s="159">
        <f>'66 SYANA PRAROOP-20'!G255</f>
        <v>2</v>
      </c>
      <c r="Z254" s="160"/>
      <c r="AA254" s="160"/>
      <c r="AB254" s="168">
        <f>'66 SYANA PRAROOP-20'!H255</f>
        <v>0</v>
      </c>
      <c r="AC254" s="160"/>
      <c r="AD254" s="160"/>
      <c r="AE254" s="168">
        <f>'66 SYANA PRAROOP-20'!I255</f>
        <v>1</v>
      </c>
      <c r="AF254" s="160"/>
      <c r="AG254" s="160"/>
      <c r="AH254" s="168">
        <f>'66 SYANA PRAROOP-20'!J255</f>
        <v>1</v>
      </c>
      <c r="AI254" s="159">
        <f t="shared" si="11"/>
        <v>689</v>
      </c>
      <c r="AJ254" s="150">
        <f t="shared" si="9"/>
        <v>-2</v>
      </c>
    </row>
    <row r="255" spans="1:36" ht="38.25">
      <c r="A255" s="151">
        <v>66</v>
      </c>
      <c r="B255" s="155">
        <v>249</v>
      </c>
      <c r="C255" s="156" t="s">
        <v>896</v>
      </c>
      <c r="D255" s="155">
        <v>999</v>
      </c>
      <c r="E255" s="151">
        <v>396</v>
      </c>
      <c r="F255" s="151">
        <v>389</v>
      </c>
      <c r="G255" s="151">
        <v>0</v>
      </c>
      <c r="H255" s="151">
        <f t="shared" si="10"/>
        <v>785</v>
      </c>
      <c r="I255" s="155">
        <v>170</v>
      </c>
      <c r="J255" s="151">
        <v>0</v>
      </c>
      <c r="K255" s="160"/>
      <c r="L255" s="160"/>
      <c r="M255" s="168">
        <f>'66 SYANA PRAROOP-20'!C256</f>
        <v>744</v>
      </c>
      <c r="N255" s="160"/>
      <c r="O255" s="160"/>
      <c r="P255" s="158">
        <f>'66 SYANA PRAROOP-20'!D256</f>
        <v>23</v>
      </c>
      <c r="Q255" s="160"/>
      <c r="R255" s="160"/>
      <c r="S255" s="158">
        <f>'66 SYANA PRAROOP-20'!E256</f>
        <v>1</v>
      </c>
      <c r="T255" s="160"/>
      <c r="U255" s="160"/>
      <c r="V255" s="159">
        <f>'66 SYANA PRAROOP-20'!F256</f>
        <v>5</v>
      </c>
      <c r="W255" s="160"/>
      <c r="X255" s="160"/>
      <c r="Y255" s="159">
        <f>'66 SYANA PRAROOP-20'!G256</f>
        <v>5</v>
      </c>
      <c r="Z255" s="160"/>
      <c r="AA255" s="160"/>
      <c r="AB255" s="168">
        <f>'66 SYANA PRAROOP-20'!H256</f>
        <v>0</v>
      </c>
      <c r="AC255" s="160"/>
      <c r="AD255" s="160"/>
      <c r="AE255" s="168">
        <f>'66 SYANA PRAROOP-20'!I256</f>
        <v>1</v>
      </c>
      <c r="AF255" s="160"/>
      <c r="AG255" s="160"/>
      <c r="AH255" s="168">
        <f>'66 SYANA PRAROOP-20'!J256</f>
        <v>0</v>
      </c>
      <c r="AI255" s="159">
        <f t="shared" si="11"/>
        <v>779</v>
      </c>
      <c r="AJ255" s="150">
        <f t="shared" si="9"/>
        <v>-6</v>
      </c>
    </row>
    <row r="256" spans="1:36" ht="51">
      <c r="A256" s="151">
        <v>66</v>
      </c>
      <c r="B256" s="155">
        <v>250</v>
      </c>
      <c r="C256" s="156" t="s">
        <v>897</v>
      </c>
      <c r="D256" s="155">
        <v>709</v>
      </c>
      <c r="E256" s="151">
        <v>259</v>
      </c>
      <c r="F256" s="151">
        <v>239</v>
      </c>
      <c r="G256" s="151">
        <v>0</v>
      </c>
      <c r="H256" s="151">
        <f t="shared" si="10"/>
        <v>498</v>
      </c>
      <c r="I256" s="155">
        <v>40</v>
      </c>
      <c r="J256" s="151">
        <v>0</v>
      </c>
      <c r="K256" s="160"/>
      <c r="L256" s="160"/>
      <c r="M256" s="168">
        <f>'66 SYANA PRAROOP-20'!C257</f>
        <v>56</v>
      </c>
      <c r="N256" s="160"/>
      <c r="O256" s="160"/>
      <c r="P256" s="158">
        <f>'66 SYANA PRAROOP-20'!D257</f>
        <v>333</v>
      </c>
      <c r="Q256" s="160"/>
      <c r="R256" s="160"/>
      <c r="S256" s="158">
        <f>'66 SYANA PRAROOP-20'!E257</f>
        <v>2</v>
      </c>
      <c r="T256" s="160"/>
      <c r="U256" s="160"/>
      <c r="V256" s="159">
        <f>'66 SYANA PRAROOP-20'!F257</f>
        <v>99</v>
      </c>
      <c r="W256" s="160"/>
      <c r="X256" s="160"/>
      <c r="Y256" s="159">
        <f>'66 SYANA PRAROOP-20'!G257</f>
        <v>2</v>
      </c>
      <c r="Z256" s="160"/>
      <c r="AA256" s="160"/>
      <c r="AB256" s="168">
        <f>'66 SYANA PRAROOP-20'!H257</f>
        <v>1</v>
      </c>
      <c r="AC256" s="160"/>
      <c r="AD256" s="160"/>
      <c r="AE256" s="168">
        <f>'66 SYANA PRAROOP-20'!I257</f>
        <v>3</v>
      </c>
      <c r="AF256" s="160"/>
      <c r="AG256" s="160"/>
      <c r="AH256" s="168">
        <f>'66 SYANA PRAROOP-20'!J257</f>
        <v>1</v>
      </c>
      <c r="AI256" s="159">
        <f t="shared" si="11"/>
        <v>497</v>
      </c>
      <c r="AJ256" s="150">
        <f t="shared" si="9"/>
        <v>-1</v>
      </c>
    </row>
    <row r="257" spans="1:36" ht="51">
      <c r="A257" s="151">
        <v>66</v>
      </c>
      <c r="B257" s="155">
        <v>251</v>
      </c>
      <c r="C257" s="156" t="s">
        <v>898</v>
      </c>
      <c r="D257" s="155">
        <v>620</v>
      </c>
      <c r="E257" s="151">
        <v>203</v>
      </c>
      <c r="F257" s="151">
        <v>183</v>
      </c>
      <c r="G257" s="151">
        <v>0</v>
      </c>
      <c r="H257" s="151">
        <f t="shared" si="10"/>
        <v>386</v>
      </c>
      <c r="I257" s="155">
        <v>25</v>
      </c>
      <c r="J257" s="151">
        <v>0</v>
      </c>
      <c r="K257" s="160"/>
      <c r="L257" s="160"/>
      <c r="M257" s="168">
        <f>'66 SYANA PRAROOP-20'!C258</f>
        <v>28</v>
      </c>
      <c r="N257" s="160"/>
      <c r="O257" s="160"/>
      <c r="P257" s="158">
        <f>'66 SYANA PRAROOP-20'!D258</f>
        <v>200</v>
      </c>
      <c r="Q257" s="160"/>
      <c r="R257" s="160"/>
      <c r="S257" s="158">
        <f>'66 SYANA PRAROOP-20'!E258</f>
        <v>1</v>
      </c>
      <c r="T257" s="160"/>
      <c r="U257" s="160"/>
      <c r="V257" s="159">
        <f>'66 SYANA PRAROOP-20'!F258</f>
        <v>149</v>
      </c>
      <c r="W257" s="160"/>
      <c r="X257" s="160"/>
      <c r="Y257" s="159">
        <f>'66 SYANA PRAROOP-20'!G258</f>
        <v>3</v>
      </c>
      <c r="Z257" s="160"/>
      <c r="AA257" s="160"/>
      <c r="AB257" s="168">
        <f>'66 SYANA PRAROOP-20'!H258</f>
        <v>1</v>
      </c>
      <c r="AC257" s="160"/>
      <c r="AD257" s="160"/>
      <c r="AE257" s="168">
        <f>'66 SYANA PRAROOP-20'!I258</f>
        <v>3</v>
      </c>
      <c r="AF257" s="160"/>
      <c r="AG257" s="160"/>
      <c r="AH257" s="168">
        <f>'66 SYANA PRAROOP-20'!J258</f>
        <v>1</v>
      </c>
      <c r="AI257" s="159">
        <f t="shared" si="11"/>
        <v>386</v>
      </c>
      <c r="AJ257" s="150">
        <f t="shared" si="9"/>
        <v>0</v>
      </c>
    </row>
    <row r="258" spans="1:36" ht="38.25">
      <c r="A258" s="151">
        <v>66</v>
      </c>
      <c r="B258" s="155">
        <v>252</v>
      </c>
      <c r="C258" s="156" t="s">
        <v>899</v>
      </c>
      <c r="D258" s="155">
        <v>988</v>
      </c>
      <c r="E258" s="151">
        <v>417</v>
      </c>
      <c r="F258" s="151">
        <v>384</v>
      </c>
      <c r="G258" s="151">
        <v>0</v>
      </c>
      <c r="H258" s="151">
        <f t="shared" si="10"/>
        <v>801</v>
      </c>
      <c r="I258" s="155">
        <v>138</v>
      </c>
      <c r="J258" s="151">
        <v>0</v>
      </c>
      <c r="K258" s="160"/>
      <c r="L258" s="160"/>
      <c r="M258" s="168">
        <f>'66 SYANA PRAROOP-20'!C259</f>
        <v>16</v>
      </c>
      <c r="N258" s="160"/>
      <c r="O258" s="160"/>
      <c r="P258" s="158">
        <f>'66 SYANA PRAROOP-20'!D259</f>
        <v>739</v>
      </c>
      <c r="Q258" s="160"/>
      <c r="R258" s="160"/>
      <c r="S258" s="158">
        <f>'66 SYANA PRAROOP-20'!E259</f>
        <v>6</v>
      </c>
      <c r="T258" s="160"/>
      <c r="U258" s="160"/>
      <c r="V258" s="159">
        <f>'66 SYANA PRAROOP-20'!F259</f>
        <v>15</v>
      </c>
      <c r="W258" s="160"/>
      <c r="X258" s="160"/>
      <c r="Y258" s="159">
        <f>'66 SYANA PRAROOP-20'!G259</f>
        <v>1</v>
      </c>
      <c r="Z258" s="160"/>
      <c r="AA258" s="160"/>
      <c r="AB258" s="168">
        <f>'66 SYANA PRAROOP-20'!H259</f>
        <v>3</v>
      </c>
      <c r="AC258" s="160"/>
      <c r="AD258" s="160"/>
      <c r="AE258" s="168">
        <f>'66 SYANA PRAROOP-20'!I259</f>
        <v>9</v>
      </c>
      <c r="AF258" s="160"/>
      <c r="AG258" s="160"/>
      <c r="AH258" s="168">
        <f>'66 SYANA PRAROOP-20'!J259</f>
        <v>6</v>
      </c>
      <c r="AI258" s="159">
        <f t="shared" si="11"/>
        <v>795</v>
      </c>
      <c r="AJ258" s="150">
        <f t="shared" si="9"/>
        <v>-6</v>
      </c>
    </row>
    <row r="259" spans="1:36" ht="51">
      <c r="A259" s="151">
        <v>66</v>
      </c>
      <c r="B259" s="155">
        <v>253</v>
      </c>
      <c r="C259" s="156" t="s">
        <v>900</v>
      </c>
      <c r="D259" s="155">
        <v>912</v>
      </c>
      <c r="E259" s="151">
        <v>358</v>
      </c>
      <c r="F259" s="151">
        <v>352</v>
      </c>
      <c r="G259" s="151">
        <v>0</v>
      </c>
      <c r="H259" s="151">
        <f t="shared" si="10"/>
        <v>710</v>
      </c>
      <c r="I259" s="155">
        <v>40</v>
      </c>
      <c r="J259" s="151">
        <v>0</v>
      </c>
      <c r="K259" s="160"/>
      <c r="L259" s="160"/>
      <c r="M259" s="168">
        <f>'66 SYANA PRAROOP-20'!C260</f>
        <v>24</v>
      </c>
      <c r="N259" s="160"/>
      <c r="O259" s="160"/>
      <c r="P259" s="158">
        <f>'66 SYANA PRAROOP-20'!D260</f>
        <v>656</v>
      </c>
      <c r="Q259" s="160"/>
      <c r="R259" s="160"/>
      <c r="S259" s="158">
        <f>'66 SYANA PRAROOP-20'!E260</f>
        <v>2</v>
      </c>
      <c r="T259" s="160"/>
      <c r="U259" s="160"/>
      <c r="V259" s="159">
        <f>'66 SYANA PRAROOP-20'!F260</f>
        <v>1</v>
      </c>
      <c r="W259" s="160"/>
      <c r="X259" s="160"/>
      <c r="Y259" s="159">
        <f>'66 SYANA PRAROOP-20'!G260</f>
        <v>3</v>
      </c>
      <c r="Z259" s="160"/>
      <c r="AA259" s="160"/>
      <c r="AB259" s="168">
        <f>'66 SYANA PRAROOP-20'!H260</f>
        <v>5</v>
      </c>
      <c r="AC259" s="160"/>
      <c r="AD259" s="160"/>
      <c r="AE259" s="168">
        <f>'66 SYANA PRAROOP-20'!I260</f>
        <v>7</v>
      </c>
      <c r="AF259" s="160"/>
      <c r="AG259" s="160"/>
      <c r="AH259" s="168">
        <f>'66 SYANA PRAROOP-20'!J260</f>
        <v>7</v>
      </c>
      <c r="AI259" s="159">
        <f t="shared" si="11"/>
        <v>705</v>
      </c>
      <c r="AJ259" s="150">
        <f t="shared" si="9"/>
        <v>-5</v>
      </c>
    </row>
    <row r="260" spans="1:36" ht="51">
      <c r="A260" s="151">
        <v>66</v>
      </c>
      <c r="B260" s="155">
        <v>254</v>
      </c>
      <c r="C260" s="156" t="s">
        <v>901</v>
      </c>
      <c r="D260" s="155">
        <v>887</v>
      </c>
      <c r="E260" s="151">
        <v>335</v>
      </c>
      <c r="F260" s="151">
        <v>325</v>
      </c>
      <c r="G260" s="151">
        <v>0</v>
      </c>
      <c r="H260" s="151">
        <f t="shared" si="10"/>
        <v>660</v>
      </c>
      <c r="I260" s="155">
        <v>41</v>
      </c>
      <c r="J260" s="151">
        <v>0</v>
      </c>
      <c r="K260" s="160"/>
      <c r="L260" s="160"/>
      <c r="M260" s="168">
        <f>'66 SYANA PRAROOP-20'!C261</f>
        <v>19</v>
      </c>
      <c r="N260" s="160"/>
      <c r="O260" s="160"/>
      <c r="P260" s="158">
        <f>'66 SYANA PRAROOP-20'!D261</f>
        <v>616</v>
      </c>
      <c r="Q260" s="160"/>
      <c r="R260" s="160"/>
      <c r="S260" s="158">
        <f>'66 SYANA PRAROOP-20'!E261</f>
        <v>8</v>
      </c>
      <c r="T260" s="160"/>
      <c r="U260" s="160"/>
      <c r="V260" s="159">
        <f>'66 SYANA PRAROOP-20'!F261</f>
        <v>4</v>
      </c>
      <c r="W260" s="160"/>
      <c r="X260" s="160"/>
      <c r="Y260" s="159">
        <f>'66 SYANA PRAROOP-20'!G261</f>
        <v>1</v>
      </c>
      <c r="Z260" s="160"/>
      <c r="AA260" s="160"/>
      <c r="AB260" s="168">
        <f>'66 SYANA PRAROOP-20'!H261</f>
        <v>0</v>
      </c>
      <c r="AC260" s="160"/>
      <c r="AD260" s="160"/>
      <c r="AE260" s="168">
        <f>'66 SYANA PRAROOP-20'!I261</f>
        <v>5</v>
      </c>
      <c r="AF260" s="160"/>
      <c r="AG260" s="160"/>
      <c r="AH260" s="168">
        <f>'66 SYANA PRAROOP-20'!J261</f>
        <v>5</v>
      </c>
      <c r="AI260" s="159">
        <f t="shared" si="11"/>
        <v>658</v>
      </c>
      <c r="AJ260" s="150">
        <f t="shared" si="9"/>
        <v>-2</v>
      </c>
    </row>
    <row r="261" spans="1:36" ht="51">
      <c r="A261" s="151">
        <v>66</v>
      </c>
      <c r="B261" s="155">
        <v>255</v>
      </c>
      <c r="C261" s="156" t="s">
        <v>902</v>
      </c>
      <c r="D261" s="155">
        <v>884</v>
      </c>
      <c r="E261" s="151">
        <v>289</v>
      </c>
      <c r="F261" s="151">
        <v>260</v>
      </c>
      <c r="G261" s="151">
        <v>0</v>
      </c>
      <c r="H261" s="151">
        <f t="shared" si="10"/>
        <v>549</v>
      </c>
      <c r="I261" s="155">
        <v>32</v>
      </c>
      <c r="J261" s="151">
        <v>0</v>
      </c>
      <c r="K261" s="160"/>
      <c r="L261" s="160"/>
      <c r="M261" s="168">
        <f>'66 SYANA PRAROOP-20'!C262</f>
        <v>29</v>
      </c>
      <c r="N261" s="160"/>
      <c r="O261" s="160"/>
      <c r="P261" s="158">
        <f>'66 SYANA PRAROOP-20'!D262</f>
        <v>454</v>
      </c>
      <c r="Q261" s="160"/>
      <c r="R261" s="160"/>
      <c r="S261" s="158">
        <f>'66 SYANA PRAROOP-20'!E262</f>
        <v>6</v>
      </c>
      <c r="T261" s="160"/>
      <c r="U261" s="160"/>
      <c r="V261" s="159">
        <f>'66 SYANA PRAROOP-20'!F262</f>
        <v>44</v>
      </c>
      <c r="W261" s="160"/>
      <c r="X261" s="160"/>
      <c r="Y261" s="159">
        <f>'66 SYANA PRAROOP-20'!G262</f>
        <v>2</v>
      </c>
      <c r="Z261" s="160"/>
      <c r="AA261" s="160"/>
      <c r="AB261" s="168">
        <f>'66 SYANA PRAROOP-20'!H262</f>
        <v>2</v>
      </c>
      <c r="AC261" s="160"/>
      <c r="AD261" s="160"/>
      <c r="AE261" s="168">
        <f>'66 SYANA PRAROOP-20'!I262</f>
        <v>6</v>
      </c>
      <c r="AF261" s="160"/>
      <c r="AG261" s="160"/>
      <c r="AH261" s="168">
        <f>'66 SYANA PRAROOP-20'!J262</f>
        <v>3</v>
      </c>
      <c r="AI261" s="159">
        <f t="shared" si="11"/>
        <v>546</v>
      </c>
      <c r="AJ261" s="150">
        <f t="shared" si="9"/>
        <v>-3</v>
      </c>
    </row>
    <row r="262" spans="1:36" ht="38.25">
      <c r="A262" s="151">
        <v>66</v>
      </c>
      <c r="B262" s="155">
        <v>256</v>
      </c>
      <c r="C262" s="156" t="s">
        <v>903</v>
      </c>
      <c r="D262" s="155">
        <v>1032</v>
      </c>
      <c r="E262" s="151">
        <v>391</v>
      </c>
      <c r="F262" s="151">
        <v>378</v>
      </c>
      <c r="G262" s="151">
        <v>0</v>
      </c>
      <c r="H262" s="151">
        <f t="shared" si="10"/>
        <v>769</v>
      </c>
      <c r="I262" s="155">
        <v>52</v>
      </c>
      <c r="J262" s="151">
        <v>0</v>
      </c>
      <c r="K262" s="160"/>
      <c r="L262" s="160"/>
      <c r="M262" s="168">
        <f>'66 SYANA PRAROOP-20'!C263</f>
        <v>13</v>
      </c>
      <c r="N262" s="160"/>
      <c r="O262" s="160"/>
      <c r="P262" s="158">
        <f>'66 SYANA PRAROOP-20'!D263</f>
        <v>729</v>
      </c>
      <c r="Q262" s="160"/>
      <c r="R262" s="160"/>
      <c r="S262" s="158">
        <f>'66 SYANA PRAROOP-20'!E263</f>
        <v>4</v>
      </c>
      <c r="T262" s="160"/>
      <c r="U262" s="160"/>
      <c r="V262" s="159">
        <f>'66 SYANA PRAROOP-20'!F263</f>
        <v>9</v>
      </c>
      <c r="W262" s="160"/>
      <c r="X262" s="160"/>
      <c r="Y262" s="159">
        <f>'66 SYANA PRAROOP-20'!G263</f>
        <v>0</v>
      </c>
      <c r="Z262" s="160"/>
      <c r="AA262" s="160"/>
      <c r="AB262" s="168">
        <f>'66 SYANA PRAROOP-20'!H263</f>
        <v>2</v>
      </c>
      <c r="AC262" s="160"/>
      <c r="AD262" s="160"/>
      <c r="AE262" s="168">
        <f>'66 SYANA PRAROOP-20'!I263</f>
        <v>2</v>
      </c>
      <c r="AF262" s="160"/>
      <c r="AG262" s="160"/>
      <c r="AH262" s="168">
        <f>'66 SYANA PRAROOP-20'!J263</f>
        <v>7</v>
      </c>
      <c r="AI262" s="159">
        <f t="shared" si="11"/>
        <v>766</v>
      </c>
      <c r="AJ262" s="150">
        <f t="shared" si="9"/>
        <v>-3</v>
      </c>
    </row>
    <row r="263" spans="1:36" ht="63.75">
      <c r="A263" s="151">
        <v>66</v>
      </c>
      <c r="B263" s="155">
        <v>257</v>
      </c>
      <c r="C263" s="156" t="s">
        <v>904</v>
      </c>
      <c r="D263" s="155">
        <v>732</v>
      </c>
      <c r="E263" s="151">
        <v>274</v>
      </c>
      <c r="F263" s="151">
        <v>251</v>
      </c>
      <c r="G263" s="151">
        <v>0</v>
      </c>
      <c r="H263" s="151">
        <f t="shared" si="10"/>
        <v>525</v>
      </c>
      <c r="I263" s="155">
        <v>18</v>
      </c>
      <c r="J263" s="151">
        <v>0</v>
      </c>
      <c r="K263" s="160"/>
      <c r="L263" s="160"/>
      <c r="M263" s="168">
        <f>'66 SYANA PRAROOP-20'!C264</f>
        <v>35</v>
      </c>
      <c r="N263" s="160"/>
      <c r="O263" s="160"/>
      <c r="P263" s="158">
        <f>'66 SYANA PRAROOP-20'!D264</f>
        <v>478</v>
      </c>
      <c r="Q263" s="160"/>
      <c r="R263" s="160"/>
      <c r="S263" s="158">
        <f>'66 SYANA PRAROOP-20'!E264</f>
        <v>0</v>
      </c>
      <c r="T263" s="160"/>
      <c r="U263" s="160"/>
      <c r="V263" s="159">
        <f>'66 SYANA PRAROOP-20'!F264</f>
        <v>1</v>
      </c>
      <c r="W263" s="160"/>
      <c r="X263" s="160"/>
      <c r="Y263" s="159">
        <f>'66 SYANA PRAROOP-20'!G264</f>
        <v>1</v>
      </c>
      <c r="Z263" s="160"/>
      <c r="AA263" s="160"/>
      <c r="AB263" s="168">
        <f>'66 SYANA PRAROOP-20'!H264</f>
        <v>0</v>
      </c>
      <c r="AC263" s="160"/>
      <c r="AD263" s="160"/>
      <c r="AE263" s="168">
        <f>'66 SYANA PRAROOP-20'!I264</f>
        <v>3</v>
      </c>
      <c r="AF263" s="160"/>
      <c r="AG263" s="160"/>
      <c r="AH263" s="168">
        <f>'66 SYANA PRAROOP-20'!J264</f>
        <v>2</v>
      </c>
      <c r="AI263" s="159">
        <f t="shared" si="11"/>
        <v>520</v>
      </c>
      <c r="AJ263" s="150">
        <f t="shared" ref="AJ263:AJ326" si="12">AI263-H263</f>
        <v>-5</v>
      </c>
    </row>
    <row r="264" spans="1:36" ht="63.75">
      <c r="A264" s="151">
        <v>66</v>
      </c>
      <c r="B264" s="155">
        <v>258</v>
      </c>
      <c r="C264" s="156" t="s">
        <v>905</v>
      </c>
      <c r="D264" s="155">
        <v>754</v>
      </c>
      <c r="E264" s="151">
        <v>279</v>
      </c>
      <c r="F264" s="151">
        <v>254</v>
      </c>
      <c r="G264" s="151">
        <v>0</v>
      </c>
      <c r="H264" s="151">
        <f t="shared" ref="H264:H327" si="13">SUM(E264:G264)</f>
        <v>533</v>
      </c>
      <c r="I264" s="155">
        <v>200</v>
      </c>
      <c r="J264" s="151">
        <v>0</v>
      </c>
      <c r="K264" s="160"/>
      <c r="L264" s="160"/>
      <c r="M264" s="168">
        <f>'66 SYANA PRAROOP-20'!C265</f>
        <v>28</v>
      </c>
      <c r="N264" s="160"/>
      <c r="O264" s="160"/>
      <c r="P264" s="158">
        <f>'66 SYANA PRAROOP-20'!D265</f>
        <v>457</v>
      </c>
      <c r="Q264" s="160"/>
      <c r="R264" s="160"/>
      <c r="S264" s="158">
        <f>'66 SYANA PRAROOP-20'!E265</f>
        <v>3</v>
      </c>
      <c r="T264" s="160"/>
      <c r="U264" s="160"/>
      <c r="V264" s="159">
        <f>'66 SYANA PRAROOP-20'!F265</f>
        <v>23</v>
      </c>
      <c r="W264" s="160"/>
      <c r="X264" s="160"/>
      <c r="Y264" s="159">
        <f>'66 SYANA PRAROOP-20'!G265</f>
        <v>1</v>
      </c>
      <c r="Z264" s="160"/>
      <c r="AA264" s="160"/>
      <c r="AB264" s="168">
        <f>'66 SYANA PRAROOP-20'!H265</f>
        <v>0</v>
      </c>
      <c r="AC264" s="160"/>
      <c r="AD264" s="160"/>
      <c r="AE264" s="168">
        <f>'66 SYANA PRAROOP-20'!I265</f>
        <v>13</v>
      </c>
      <c r="AF264" s="160"/>
      <c r="AG264" s="160"/>
      <c r="AH264" s="168">
        <f>'66 SYANA PRAROOP-20'!J265</f>
        <v>3</v>
      </c>
      <c r="AI264" s="159">
        <f t="shared" ref="AI264:AI327" si="14">M264+P264+S264+V264+Y264+AB264+AE264+AH264</f>
        <v>528</v>
      </c>
      <c r="AJ264" s="150">
        <f t="shared" si="12"/>
        <v>-5</v>
      </c>
    </row>
    <row r="265" spans="1:36" ht="51">
      <c r="A265" s="151">
        <v>66</v>
      </c>
      <c r="B265" s="155">
        <v>259</v>
      </c>
      <c r="C265" s="156" t="s">
        <v>906</v>
      </c>
      <c r="D265" s="155">
        <v>732</v>
      </c>
      <c r="E265" s="151">
        <v>251</v>
      </c>
      <c r="F265" s="151">
        <v>288</v>
      </c>
      <c r="G265" s="151">
        <v>0</v>
      </c>
      <c r="H265" s="151">
        <f t="shared" si="13"/>
        <v>539</v>
      </c>
      <c r="I265" s="155">
        <v>44</v>
      </c>
      <c r="J265" s="151">
        <v>0</v>
      </c>
      <c r="K265" s="160"/>
      <c r="L265" s="160"/>
      <c r="M265" s="168">
        <f>'66 SYANA PRAROOP-20'!C266</f>
        <v>43</v>
      </c>
      <c r="N265" s="160"/>
      <c r="O265" s="160"/>
      <c r="P265" s="158">
        <f>'66 SYANA PRAROOP-20'!D266</f>
        <v>419</v>
      </c>
      <c r="Q265" s="160"/>
      <c r="R265" s="160"/>
      <c r="S265" s="158">
        <f>'66 SYANA PRAROOP-20'!E266</f>
        <v>8</v>
      </c>
      <c r="T265" s="160"/>
      <c r="U265" s="160"/>
      <c r="V265" s="159">
        <f>'66 SYANA PRAROOP-20'!F266</f>
        <v>55</v>
      </c>
      <c r="W265" s="160"/>
      <c r="X265" s="160"/>
      <c r="Y265" s="159">
        <f>'66 SYANA PRAROOP-20'!G266</f>
        <v>0</v>
      </c>
      <c r="Z265" s="160"/>
      <c r="AA265" s="160"/>
      <c r="AB265" s="168">
        <f>'66 SYANA PRAROOP-20'!H266</f>
        <v>1</v>
      </c>
      <c r="AC265" s="160"/>
      <c r="AD265" s="160"/>
      <c r="AE265" s="168">
        <f>'66 SYANA PRAROOP-20'!I266</f>
        <v>2</v>
      </c>
      <c r="AF265" s="160"/>
      <c r="AG265" s="160"/>
      <c r="AH265" s="168">
        <f>'66 SYANA PRAROOP-20'!J266</f>
        <v>2</v>
      </c>
      <c r="AI265" s="159">
        <f t="shared" si="14"/>
        <v>530</v>
      </c>
      <c r="AJ265" s="150">
        <f t="shared" si="12"/>
        <v>-9</v>
      </c>
    </row>
    <row r="266" spans="1:36" ht="51">
      <c r="A266" s="151">
        <v>66</v>
      </c>
      <c r="B266" s="155">
        <v>260</v>
      </c>
      <c r="C266" s="156" t="s">
        <v>907</v>
      </c>
      <c r="D266" s="155">
        <v>703</v>
      </c>
      <c r="E266" s="151">
        <v>251</v>
      </c>
      <c r="F266" s="151">
        <v>270</v>
      </c>
      <c r="G266" s="151">
        <v>0</v>
      </c>
      <c r="H266" s="151">
        <f t="shared" si="13"/>
        <v>521</v>
      </c>
      <c r="I266" s="155">
        <v>351</v>
      </c>
      <c r="J266" s="151">
        <v>0</v>
      </c>
      <c r="K266" s="160"/>
      <c r="L266" s="160"/>
      <c r="M266" s="168">
        <f>'66 SYANA PRAROOP-20'!C267</f>
        <v>13</v>
      </c>
      <c r="N266" s="160"/>
      <c r="O266" s="160"/>
      <c r="P266" s="158">
        <f>'66 SYANA PRAROOP-20'!D267</f>
        <v>477</v>
      </c>
      <c r="Q266" s="160"/>
      <c r="R266" s="160"/>
      <c r="S266" s="158">
        <f>'66 SYANA PRAROOP-20'!E267</f>
        <v>4</v>
      </c>
      <c r="T266" s="160"/>
      <c r="U266" s="160"/>
      <c r="V266" s="159">
        <f>'66 SYANA PRAROOP-20'!F267</f>
        <v>6</v>
      </c>
      <c r="W266" s="160"/>
      <c r="X266" s="160"/>
      <c r="Y266" s="159">
        <f>'66 SYANA PRAROOP-20'!G267</f>
        <v>1</v>
      </c>
      <c r="Z266" s="160"/>
      <c r="AA266" s="160"/>
      <c r="AB266" s="168">
        <f>'66 SYANA PRAROOP-20'!H267</f>
        <v>6</v>
      </c>
      <c r="AC266" s="160"/>
      <c r="AD266" s="160"/>
      <c r="AE266" s="168">
        <f>'66 SYANA PRAROOP-20'!I267</f>
        <v>3</v>
      </c>
      <c r="AF266" s="160"/>
      <c r="AG266" s="160"/>
      <c r="AH266" s="168">
        <f>'66 SYANA PRAROOP-20'!J267</f>
        <v>5</v>
      </c>
      <c r="AI266" s="159">
        <f t="shared" si="14"/>
        <v>515</v>
      </c>
      <c r="AJ266" s="150">
        <f t="shared" si="12"/>
        <v>-6</v>
      </c>
    </row>
    <row r="267" spans="1:36" ht="38.25">
      <c r="A267" s="151">
        <v>66</v>
      </c>
      <c r="B267" s="155">
        <v>261</v>
      </c>
      <c r="C267" s="156" t="s">
        <v>908</v>
      </c>
      <c r="D267" s="155">
        <v>674</v>
      </c>
      <c r="E267" s="151">
        <v>163</v>
      </c>
      <c r="F267" s="151">
        <v>197</v>
      </c>
      <c r="G267" s="151">
        <v>0</v>
      </c>
      <c r="H267" s="151">
        <f t="shared" si="13"/>
        <v>360</v>
      </c>
      <c r="I267" s="155">
        <v>53</v>
      </c>
      <c r="J267" s="151">
        <v>0</v>
      </c>
      <c r="K267" s="160"/>
      <c r="L267" s="160"/>
      <c r="M267" s="168">
        <f>'66 SYANA PRAROOP-20'!C268</f>
        <v>66</v>
      </c>
      <c r="N267" s="160"/>
      <c r="O267" s="160"/>
      <c r="P267" s="158">
        <f>'66 SYANA PRAROOP-20'!D268</f>
        <v>163</v>
      </c>
      <c r="Q267" s="160"/>
      <c r="R267" s="160"/>
      <c r="S267" s="158">
        <f>'66 SYANA PRAROOP-20'!E268</f>
        <v>7</v>
      </c>
      <c r="T267" s="160"/>
      <c r="U267" s="160"/>
      <c r="V267" s="159">
        <f>'66 SYANA PRAROOP-20'!F268</f>
        <v>109</v>
      </c>
      <c r="W267" s="160"/>
      <c r="X267" s="160"/>
      <c r="Y267" s="159">
        <f>'66 SYANA PRAROOP-20'!G268</f>
        <v>2</v>
      </c>
      <c r="Z267" s="160"/>
      <c r="AA267" s="160"/>
      <c r="AB267" s="168">
        <f>'66 SYANA PRAROOP-20'!H268</f>
        <v>3</v>
      </c>
      <c r="AC267" s="160"/>
      <c r="AD267" s="160"/>
      <c r="AE267" s="168">
        <f>'66 SYANA PRAROOP-20'!I268</f>
        <v>3</v>
      </c>
      <c r="AF267" s="160"/>
      <c r="AG267" s="160"/>
      <c r="AH267" s="168">
        <f>'66 SYANA PRAROOP-20'!J268</f>
        <v>3</v>
      </c>
      <c r="AI267" s="159">
        <f t="shared" si="14"/>
        <v>356</v>
      </c>
      <c r="AJ267" s="150">
        <f t="shared" si="12"/>
        <v>-4</v>
      </c>
    </row>
    <row r="268" spans="1:36" ht="38.25">
      <c r="A268" s="151">
        <v>66</v>
      </c>
      <c r="B268" s="155">
        <v>262</v>
      </c>
      <c r="C268" s="156" t="s">
        <v>909</v>
      </c>
      <c r="D268" s="155">
        <v>926</v>
      </c>
      <c r="E268" s="151">
        <v>295</v>
      </c>
      <c r="F268" s="151">
        <v>297</v>
      </c>
      <c r="G268" s="151">
        <v>0</v>
      </c>
      <c r="H268" s="151">
        <f t="shared" si="13"/>
        <v>592</v>
      </c>
      <c r="I268" s="155">
        <v>395</v>
      </c>
      <c r="J268" s="151">
        <v>0</v>
      </c>
      <c r="K268" s="160"/>
      <c r="L268" s="160"/>
      <c r="M268" s="168">
        <f>'66 SYANA PRAROOP-20'!C269</f>
        <v>96</v>
      </c>
      <c r="N268" s="160"/>
      <c r="O268" s="160"/>
      <c r="P268" s="158">
        <f>'66 SYANA PRAROOP-20'!D269</f>
        <v>477</v>
      </c>
      <c r="Q268" s="160"/>
      <c r="R268" s="160"/>
      <c r="S268" s="158">
        <f>'66 SYANA PRAROOP-20'!E269</f>
        <v>5</v>
      </c>
      <c r="T268" s="160"/>
      <c r="U268" s="160"/>
      <c r="V268" s="159">
        <f>'66 SYANA PRAROOP-20'!F269</f>
        <v>1</v>
      </c>
      <c r="W268" s="160"/>
      <c r="X268" s="160"/>
      <c r="Y268" s="159">
        <f>'66 SYANA PRAROOP-20'!G269</f>
        <v>0</v>
      </c>
      <c r="Z268" s="160"/>
      <c r="AA268" s="160"/>
      <c r="AB268" s="168">
        <f>'66 SYANA PRAROOP-20'!H269</f>
        <v>3</v>
      </c>
      <c r="AC268" s="160"/>
      <c r="AD268" s="160"/>
      <c r="AE268" s="168">
        <f>'66 SYANA PRAROOP-20'!I269</f>
        <v>3</v>
      </c>
      <c r="AF268" s="160"/>
      <c r="AG268" s="160"/>
      <c r="AH268" s="168">
        <f>'66 SYANA PRAROOP-20'!J269</f>
        <v>5</v>
      </c>
      <c r="AI268" s="159">
        <f t="shared" si="14"/>
        <v>590</v>
      </c>
      <c r="AJ268" s="150">
        <f t="shared" si="12"/>
        <v>-2</v>
      </c>
    </row>
    <row r="269" spans="1:36" ht="51">
      <c r="A269" s="151">
        <v>66</v>
      </c>
      <c r="B269" s="155">
        <v>263</v>
      </c>
      <c r="C269" s="156" t="s">
        <v>910</v>
      </c>
      <c r="D269" s="155">
        <v>1010</v>
      </c>
      <c r="E269" s="151">
        <v>378</v>
      </c>
      <c r="F269" s="151">
        <v>346</v>
      </c>
      <c r="G269" s="151">
        <v>0</v>
      </c>
      <c r="H269" s="151">
        <f t="shared" si="13"/>
        <v>724</v>
      </c>
      <c r="I269" s="155">
        <v>33</v>
      </c>
      <c r="J269" s="151">
        <v>0</v>
      </c>
      <c r="K269" s="160"/>
      <c r="L269" s="160"/>
      <c r="M269" s="168">
        <f>'66 SYANA PRAROOP-20'!C270</f>
        <v>27</v>
      </c>
      <c r="N269" s="160"/>
      <c r="O269" s="160"/>
      <c r="P269" s="158">
        <f>'66 SYANA PRAROOP-20'!D270</f>
        <v>509</v>
      </c>
      <c r="Q269" s="160"/>
      <c r="R269" s="160"/>
      <c r="S269" s="158">
        <f>'66 SYANA PRAROOP-20'!E270</f>
        <v>6</v>
      </c>
      <c r="T269" s="160"/>
      <c r="U269" s="160"/>
      <c r="V269" s="159">
        <f>'66 SYANA PRAROOP-20'!F270</f>
        <v>174</v>
      </c>
      <c r="W269" s="160"/>
      <c r="X269" s="160"/>
      <c r="Y269" s="159">
        <f>'66 SYANA PRAROOP-20'!G270</f>
        <v>1</v>
      </c>
      <c r="Z269" s="160"/>
      <c r="AA269" s="160"/>
      <c r="AB269" s="168">
        <f>'66 SYANA PRAROOP-20'!H270</f>
        <v>1</v>
      </c>
      <c r="AC269" s="160"/>
      <c r="AD269" s="160"/>
      <c r="AE269" s="168">
        <f>'66 SYANA PRAROOP-20'!I270</f>
        <v>0</v>
      </c>
      <c r="AF269" s="160"/>
      <c r="AG269" s="160"/>
      <c r="AH269" s="168">
        <f>'66 SYANA PRAROOP-20'!J270</f>
        <v>3</v>
      </c>
      <c r="AI269" s="159">
        <f t="shared" si="14"/>
        <v>721</v>
      </c>
      <c r="AJ269" s="150">
        <f t="shared" si="12"/>
        <v>-3</v>
      </c>
    </row>
    <row r="270" spans="1:36" ht="51">
      <c r="A270" s="151">
        <v>66</v>
      </c>
      <c r="B270" s="155">
        <v>264</v>
      </c>
      <c r="C270" s="156" t="s">
        <v>911</v>
      </c>
      <c r="D270" s="155">
        <v>1128</v>
      </c>
      <c r="E270" s="151">
        <v>351</v>
      </c>
      <c r="F270" s="151">
        <v>338</v>
      </c>
      <c r="G270" s="151">
        <v>0</v>
      </c>
      <c r="H270" s="151">
        <f t="shared" si="13"/>
        <v>689</v>
      </c>
      <c r="I270" s="155">
        <v>51</v>
      </c>
      <c r="J270" s="151">
        <v>0</v>
      </c>
      <c r="K270" s="160"/>
      <c r="L270" s="160"/>
      <c r="M270" s="168">
        <f>'66 SYANA PRAROOP-20'!C271</f>
        <v>358</v>
      </c>
      <c r="N270" s="160"/>
      <c r="O270" s="160"/>
      <c r="P270" s="158">
        <f>'66 SYANA PRAROOP-20'!D271</f>
        <v>202</v>
      </c>
      <c r="Q270" s="160"/>
      <c r="R270" s="160"/>
      <c r="S270" s="158">
        <f>'66 SYANA PRAROOP-20'!E271</f>
        <v>18</v>
      </c>
      <c r="T270" s="160"/>
      <c r="U270" s="160"/>
      <c r="V270" s="159">
        <f>'66 SYANA PRAROOP-20'!F271</f>
        <v>97</v>
      </c>
      <c r="W270" s="160"/>
      <c r="X270" s="160"/>
      <c r="Y270" s="159">
        <f>'66 SYANA PRAROOP-20'!G271</f>
        <v>2</v>
      </c>
      <c r="Z270" s="160"/>
      <c r="AA270" s="160"/>
      <c r="AB270" s="168">
        <f>'66 SYANA PRAROOP-20'!H271</f>
        <v>3</v>
      </c>
      <c r="AC270" s="160"/>
      <c r="AD270" s="160"/>
      <c r="AE270" s="168">
        <f>'66 SYANA PRAROOP-20'!I271</f>
        <v>4</v>
      </c>
      <c r="AF270" s="160"/>
      <c r="AG270" s="160"/>
      <c r="AH270" s="168">
        <f>'66 SYANA PRAROOP-20'!J271</f>
        <v>2</v>
      </c>
      <c r="AI270" s="159">
        <f t="shared" si="14"/>
        <v>686</v>
      </c>
      <c r="AJ270" s="150">
        <f t="shared" si="12"/>
        <v>-3</v>
      </c>
    </row>
    <row r="271" spans="1:36" ht="51">
      <c r="A271" s="151">
        <v>66</v>
      </c>
      <c r="B271" s="155">
        <v>265</v>
      </c>
      <c r="C271" s="156" t="s">
        <v>912</v>
      </c>
      <c r="D271" s="155">
        <v>708</v>
      </c>
      <c r="E271" s="151">
        <v>245</v>
      </c>
      <c r="F271" s="151">
        <v>230</v>
      </c>
      <c r="G271" s="151">
        <v>0</v>
      </c>
      <c r="H271" s="151">
        <f t="shared" si="13"/>
        <v>475</v>
      </c>
      <c r="I271" s="155">
        <v>50</v>
      </c>
      <c r="J271" s="151">
        <v>0</v>
      </c>
      <c r="K271" s="160"/>
      <c r="L271" s="160"/>
      <c r="M271" s="168">
        <f>'66 SYANA PRAROOP-20'!C272</f>
        <v>271</v>
      </c>
      <c r="N271" s="160"/>
      <c r="O271" s="160"/>
      <c r="P271" s="158">
        <f>'66 SYANA PRAROOP-20'!D272</f>
        <v>194</v>
      </c>
      <c r="Q271" s="160"/>
      <c r="R271" s="160"/>
      <c r="S271" s="158">
        <f>'66 SYANA PRAROOP-20'!E272</f>
        <v>0</v>
      </c>
      <c r="T271" s="160"/>
      <c r="U271" s="160"/>
      <c r="V271" s="159">
        <f>'66 SYANA PRAROOP-20'!F272</f>
        <v>6</v>
      </c>
      <c r="W271" s="160"/>
      <c r="X271" s="160"/>
      <c r="Y271" s="159">
        <f>'66 SYANA PRAROOP-20'!G272</f>
        <v>1</v>
      </c>
      <c r="Z271" s="160"/>
      <c r="AA271" s="160"/>
      <c r="AB271" s="168">
        <f>'66 SYANA PRAROOP-20'!H272</f>
        <v>0</v>
      </c>
      <c r="AC271" s="160"/>
      <c r="AD271" s="160"/>
      <c r="AE271" s="168">
        <f>'66 SYANA PRAROOP-20'!I272</f>
        <v>1</v>
      </c>
      <c r="AF271" s="160"/>
      <c r="AG271" s="160"/>
      <c r="AH271" s="168">
        <f>'66 SYANA PRAROOP-20'!J272</f>
        <v>1</v>
      </c>
      <c r="AI271" s="159">
        <f t="shared" si="14"/>
        <v>474</v>
      </c>
      <c r="AJ271" s="150">
        <f t="shared" si="12"/>
        <v>-1</v>
      </c>
    </row>
    <row r="272" spans="1:36" ht="38.25">
      <c r="A272" s="151">
        <v>66</v>
      </c>
      <c r="B272" s="155">
        <v>266</v>
      </c>
      <c r="C272" s="156" t="s">
        <v>913</v>
      </c>
      <c r="D272" s="155">
        <v>875</v>
      </c>
      <c r="E272" s="151">
        <v>291</v>
      </c>
      <c r="F272" s="151">
        <v>310</v>
      </c>
      <c r="G272" s="151">
        <v>0</v>
      </c>
      <c r="H272" s="151">
        <f t="shared" si="13"/>
        <v>601</v>
      </c>
      <c r="I272" s="155">
        <v>40</v>
      </c>
      <c r="J272" s="151">
        <v>0</v>
      </c>
      <c r="K272" s="160"/>
      <c r="L272" s="160"/>
      <c r="M272" s="168">
        <f>'66 SYANA PRAROOP-20'!C273</f>
        <v>25</v>
      </c>
      <c r="N272" s="160"/>
      <c r="O272" s="160"/>
      <c r="P272" s="158">
        <f>'66 SYANA PRAROOP-20'!D273</f>
        <v>539</v>
      </c>
      <c r="Q272" s="160"/>
      <c r="R272" s="160"/>
      <c r="S272" s="158">
        <f>'66 SYANA PRAROOP-20'!E273</f>
        <v>12</v>
      </c>
      <c r="T272" s="160"/>
      <c r="U272" s="160"/>
      <c r="V272" s="159">
        <f>'66 SYANA PRAROOP-20'!F273</f>
        <v>5</v>
      </c>
      <c r="W272" s="160"/>
      <c r="X272" s="160"/>
      <c r="Y272" s="159">
        <f>'66 SYANA PRAROOP-20'!G273</f>
        <v>4</v>
      </c>
      <c r="Z272" s="160"/>
      <c r="AA272" s="160"/>
      <c r="AB272" s="168">
        <f>'66 SYANA PRAROOP-20'!H273</f>
        <v>1</v>
      </c>
      <c r="AC272" s="160"/>
      <c r="AD272" s="160"/>
      <c r="AE272" s="168">
        <f>'66 SYANA PRAROOP-20'!I273</f>
        <v>4</v>
      </c>
      <c r="AF272" s="160"/>
      <c r="AG272" s="160"/>
      <c r="AH272" s="168">
        <f>'66 SYANA PRAROOP-20'!J273</f>
        <v>8</v>
      </c>
      <c r="AI272" s="159">
        <f t="shared" si="14"/>
        <v>598</v>
      </c>
      <c r="AJ272" s="150">
        <f t="shared" si="12"/>
        <v>-3</v>
      </c>
    </row>
    <row r="273" spans="1:36" ht="38.25">
      <c r="A273" s="151">
        <v>66</v>
      </c>
      <c r="B273" s="155">
        <v>267</v>
      </c>
      <c r="C273" s="156" t="s">
        <v>914</v>
      </c>
      <c r="D273" s="155">
        <v>541</v>
      </c>
      <c r="E273" s="151">
        <v>160</v>
      </c>
      <c r="F273" s="151">
        <v>154</v>
      </c>
      <c r="G273" s="151">
        <v>0</v>
      </c>
      <c r="H273" s="151">
        <f t="shared" si="13"/>
        <v>314</v>
      </c>
      <c r="I273" s="155">
        <v>16</v>
      </c>
      <c r="J273" s="151">
        <v>0</v>
      </c>
      <c r="K273" s="160"/>
      <c r="L273" s="160"/>
      <c r="M273" s="168">
        <f>'66 SYANA PRAROOP-20'!C274</f>
        <v>9</v>
      </c>
      <c r="N273" s="160"/>
      <c r="O273" s="160"/>
      <c r="P273" s="158">
        <f>'66 SYANA PRAROOP-20'!D274</f>
        <v>296</v>
      </c>
      <c r="Q273" s="160"/>
      <c r="R273" s="160"/>
      <c r="S273" s="158">
        <f>'66 SYANA PRAROOP-20'!E274</f>
        <v>0</v>
      </c>
      <c r="T273" s="160"/>
      <c r="U273" s="160"/>
      <c r="V273" s="159">
        <f>'66 SYANA PRAROOP-20'!F274</f>
        <v>2</v>
      </c>
      <c r="W273" s="160"/>
      <c r="X273" s="160"/>
      <c r="Y273" s="159">
        <f>'66 SYANA PRAROOP-20'!G274</f>
        <v>0</v>
      </c>
      <c r="Z273" s="160"/>
      <c r="AA273" s="160"/>
      <c r="AB273" s="168">
        <f>'66 SYANA PRAROOP-20'!H274</f>
        <v>2</v>
      </c>
      <c r="AC273" s="160"/>
      <c r="AD273" s="160"/>
      <c r="AE273" s="168">
        <f>'66 SYANA PRAROOP-20'!I274</f>
        <v>2</v>
      </c>
      <c r="AF273" s="160"/>
      <c r="AG273" s="160"/>
      <c r="AH273" s="168">
        <f>'66 SYANA PRAROOP-20'!J274</f>
        <v>1</v>
      </c>
      <c r="AI273" s="159">
        <f t="shared" si="14"/>
        <v>312</v>
      </c>
      <c r="AJ273" s="150">
        <f t="shared" si="12"/>
        <v>-2</v>
      </c>
    </row>
    <row r="274" spans="1:36" ht="38.25">
      <c r="A274" s="151">
        <v>66</v>
      </c>
      <c r="B274" s="155">
        <v>268</v>
      </c>
      <c r="C274" s="156" t="s">
        <v>1134</v>
      </c>
      <c r="D274" s="155">
        <v>682</v>
      </c>
      <c r="E274" s="151">
        <v>231</v>
      </c>
      <c r="F274" s="151">
        <v>224</v>
      </c>
      <c r="G274" s="151">
        <v>0</v>
      </c>
      <c r="H274" s="151">
        <f t="shared" si="13"/>
        <v>455</v>
      </c>
      <c r="I274" s="155">
        <v>27</v>
      </c>
      <c r="J274" s="151">
        <v>0</v>
      </c>
      <c r="K274" s="160"/>
      <c r="L274" s="160"/>
      <c r="M274" s="168">
        <f>'66 SYANA PRAROOP-20'!C275</f>
        <v>23</v>
      </c>
      <c r="N274" s="160"/>
      <c r="O274" s="160"/>
      <c r="P274" s="158">
        <f>'66 SYANA PRAROOP-20'!D275</f>
        <v>334</v>
      </c>
      <c r="Q274" s="160"/>
      <c r="R274" s="160"/>
      <c r="S274" s="158">
        <f>'66 SYANA PRAROOP-20'!E275</f>
        <v>6</v>
      </c>
      <c r="T274" s="160"/>
      <c r="U274" s="160"/>
      <c r="V274" s="159">
        <f>'66 SYANA PRAROOP-20'!F275</f>
        <v>86</v>
      </c>
      <c r="W274" s="160"/>
      <c r="X274" s="160"/>
      <c r="Y274" s="159">
        <f>'66 SYANA PRAROOP-20'!G275</f>
        <v>1</v>
      </c>
      <c r="Z274" s="160"/>
      <c r="AA274" s="160"/>
      <c r="AB274" s="168">
        <f>'66 SYANA PRAROOP-20'!H275</f>
        <v>1</v>
      </c>
      <c r="AC274" s="160"/>
      <c r="AD274" s="160"/>
      <c r="AE274" s="168">
        <f>'66 SYANA PRAROOP-20'!I275</f>
        <v>1</v>
      </c>
      <c r="AF274" s="160"/>
      <c r="AG274" s="160"/>
      <c r="AH274" s="168">
        <f>'66 SYANA PRAROOP-20'!J275</f>
        <v>0</v>
      </c>
      <c r="AI274" s="159">
        <f t="shared" si="14"/>
        <v>452</v>
      </c>
      <c r="AJ274" s="150">
        <f t="shared" si="12"/>
        <v>-3</v>
      </c>
    </row>
    <row r="275" spans="1:36" ht="63.75">
      <c r="A275" s="151">
        <v>66</v>
      </c>
      <c r="B275" s="155">
        <v>269</v>
      </c>
      <c r="C275" s="156" t="s">
        <v>915</v>
      </c>
      <c r="D275" s="155">
        <v>749</v>
      </c>
      <c r="E275" s="151">
        <v>327</v>
      </c>
      <c r="F275" s="151">
        <v>311</v>
      </c>
      <c r="G275" s="151">
        <v>0</v>
      </c>
      <c r="H275" s="151">
        <f t="shared" si="13"/>
        <v>638</v>
      </c>
      <c r="I275" s="155">
        <v>427</v>
      </c>
      <c r="J275" s="151">
        <v>0</v>
      </c>
      <c r="K275" s="160"/>
      <c r="L275" s="160"/>
      <c r="M275" s="168">
        <f>'66 SYANA PRAROOP-20'!C276</f>
        <v>87</v>
      </c>
      <c r="N275" s="160"/>
      <c r="O275" s="160"/>
      <c r="P275" s="158">
        <f>'66 SYANA PRAROOP-20'!D276</f>
        <v>529</v>
      </c>
      <c r="Q275" s="160"/>
      <c r="R275" s="160"/>
      <c r="S275" s="158">
        <f>'66 SYANA PRAROOP-20'!E276</f>
        <v>6</v>
      </c>
      <c r="T275" s="160"/>
      <c r="U275" s="160"/>
      <c r="V275" s="159">
        <f>'66 SYANA PRAROOP-20'!F276</f>
        <v>1</v>
      </c>
      <c r="W275" s="160"/>
      <c r="X275" s="160"/>
      <c r="Y275" s="159">
        <f>'66 SYANA PRAROOP-20'!G276</f>
        <v>1</v>
      </c>
      <c r="Z275" s="160"/>
      <c r="AA275" s="160"/>
      <c r="AB275" s="168">
        <f>'66 SYANA PRAROOP-20'!H276</f>
        <v>3</v>
      </c>
      <c r="AC275" s="160"/>
      <c r="AD275" s="160"/>
      <c r="AE275" s="168">
        <f>'66 SYANA PRAROOP-20'!I276</f>
        <v>6</v>
      </c>
      <c r="AF275" s="160"/>
      <c r="AG275" s="160"/>
      <c r="AH275" s="168">
        <f>'66 SYANA PRAROOP-20'!J276</f>
        <v>1</v>
      </c>
      <c r="AI275" s="159">
        <f t="shared" si="14"/>
        <v>634</v>
      </c>
      <c r="AJ275" s="150">
        <f t="shared" si="12"/>
        <v>-4</v>
      </c>
    </row>
    <row r="276" spans="1:36" ht="63.75">
      <c r="A276" s="151">
        <v>66</v>
      </c>
      <c r="B276" s="155">
        <v>270</v>
      </c>
      <c r="C276" s="156" t="s">
        <v>916</v>
      </c>
      <c r="D276" s="155">
        <v>770</v>
      </c>
      <c r="E276" s="151">
        <v>306</v>
      </c>
      <c r="F276" s="151">
        <v>304</v>
      </c>
      <c r="G276" s="151">
        <v>0</v>
      </c>
      <c r="H276" s="151">
        <f t="shared" si="13"/>
        <v>610</v>
      </c>
      <c r="I276" s="155">
        <v>67</v>
      </c>
      <c r="J276" s="151">
        <v>0</v>
      </c>
      <c r="K276" s="160"/>
      <c r="L276" s="160"/>
      <c r="M276" s="168">
        <f>'66 SYANA PRAROOP-20'!C277</f>
        <v>16</v>
      </c>
      <c r="N276" s="160"/>
      <c r="O276" s="160"/>
      <c r="P276" s="158">
        <f>'66 SYANA PRAROOP-20'!D277</f>
        <v>575</v>
      </c>
      <c r="Q276" s="160"/>
      <c r="R276" s="160"/>
      <c r="S276" s="158">
        <f>'66 SYANA PRAROOP-20'!E277</f>
        <v>2</v>
      </c>
      <c r="T276" s="160"/>
      <c r="U276" s="160"/>
      <c r="V276" s="159">
        <f>'66 SYANA PRAROOP-20'!F277</f>
        <v>3</v>
      </c>
      <c r="W276" s="160"/>
      <c r="X276" s="160"/>
      <c r="Y276" s="159">
        <f>'66 SYANA PRAROOP-20'!G277</f>
        <v>0</v>
      </c>
      <c r="Z276" s="160"/>
      <c r="AA276" s="160"/>
      <c r="AB276" s="168">
        <f>'66 SYANA PRAROOP-20'!H277</f>
        <v>4</v>
      </c>
      <c r="AC276" s="160"/>
      <c r="AD276" s="160"/>
      <c r="AE276" s="168">
        <f>'66 SYANA PRAROOP-20'!I277</f>
        <v>7</v>
      </c>
      <c r="AF276" s="160"/>
      <c r="AG276" s="160"/>
      <c r="AH276" s="168">
        <f>'66 SYANA PRAROOP-20'!J277</f>
        <v>3</v>
      </c>
      <c r="AI276" s="159">
        <f t="shared" si="14"/>
        <v>610</v>
      </c>
      <c r="AJ276" s="150">
        <f t="shared" si="12"/>
        <v>0</v>
      </c>
    </row>
    <row r="277" spans="1:36" ht="63.75">
      <c r="A277" s="151">
        <v>66</v>
      </c>
      <c r="B277" s="155">
        <v>271</v>
      </c>
      <c r="C277" s="156" t="s">
        <v>917</v>
      </c>
      <c r="D277" s="155">
        <v>911</v>
      </c>
      <c r="E277" s="151">
        <v>366</v>
      </c>
      <c r="F277" s="151">
        <v>332</v>
      </c>
      <c r="G277" s="151">
        <v>0</v>
      </c>
      <c r="H277" s="151">
        <f t="shared" si="13"/>
        <v>698</v>
      </c>
      <c r="I277" s="155">
        <v>466</v>
      </c>
      <c r="J277" s="151">
        <v>0</v>
      </c>
      <c r="K277" s="160"/>
      <c r="L277" s="160"/>
      <c r="M277" s="168">
        <f>'66 SYANA PRAROOP-20'!C278</f>
        <v>33</v>
      </c>
      <c r="N277" s="160"/>
      <c r="O277" s="160"/>
      <c r="P277" s="158">
        <f>'66 SYANA PRAROOP-20'!D278</f>
        <v>636</v>
      </c>
      <c r="Q277" s="160"/>
      <c r="R277" s="160"/>
      <c r="S277" s="158">
        <f>'66 SYANA PRAROOP-20'!E278</f>
        <v>6</v>
      </c>
      <c r="T277" s="160"/>
      <c r="U277" s="160"/>
      <c r="V277" s="159">
        <f>'66 SYANA PRAROOP-20'!F278</f>
        <v>2</v>
      </c>
      <c r="W277" s="160"/>
      <c r="X277" s="160"/>
      <c r="Y277" s="159">
        <f>'66 SYANA PRAROOP-20'!G278</f>
        <v>1</v>
      </c>
      <c r="Z277" s="160"/>
      <c r="AA277" s="160"/>
      <c r="AB277" s="168">
        <f>'66 SYANA PRAROOP-20'!H278</f>
        <v>3</v>
      </c>
      <c r="AC277" s="160"/>
      <c r="AD277" s="160"/>
      <c r="AE277" s="168">
        <f>'66 SYANA PRAROOP-20'!I278</f>
        <v>1</v>
      </c>
      <c r="AF277" s="160"/>
      <c r="AG277" s="160"/>
      <c r="AH277" s="168">
        <f>'66 SYANA PRAROOP-20'!J278</f>
        <v>8</v>
      </c>
      <c r="AI277" s="159">
        <f t="shared" si="14"/>
        <v>690</v>
      </c>
      <c r="AJ277" s="150">
        <f t="shared" si="12"/>
        <v>-8</v>
      </c>
    </row>
    <row r="278" spans="1:36" ht="63.75">
      <c r="A278" s="151">
        <v>66</v>
      </c>
      <c r="B278" s="155">
        <v>272</v>
      </c>
      <c r="C278" s="156" t="s">
        <v>918</v>
      </c>
      <c r="D278" s="155">
        <v>914</v>
      </c>
      <c r="E278" s="151">
        <v>351</v>
      </c>
      <c r="F278" s="151">
        <v>338</v>
      </c>
      <c r="G278" s="151">
        <v>0</v>
      </c>
      <c r="H278" s="151">
        <f t="shared" si="13"/>
        <v>689</v>
      </c>
      <c r="I278" s="155">
        <v>66</v>
      </c>
      <c r="J278" s="151">
        <v>0</v>
      </c>
      <c r="K278" s="160"/>
      <c r="L278" s="160"/>
      <c r="M278" s="168">
        <f>'66 SYANA PRAROOP-20'!C279</f>
        <v>79</v>
      </c>
      <c r="N278" s="160"/>
      <c r="O278" s="160"/>
      <c r="P278" s="158">
        <f>'66 SYANA PRAROOP-20'!D279</f>
        <v>505</v>
      </c>
      <c r="Q278" s="160"/>
      <c r="R278" s="160"/>
      <c r="S278" s="158">
        <f>'66 SYANA PRAROOP-20'!E279</f>
        <v>6</v>
      </c>
      <c r="T278" s="160"/>
      <c r="U278" s="160"/>
      <c r="V278" s="159">
        <f>'66 SYANA PRAROOP-20'!F279</f>
        <v>85</v>
      </c>
      <c r="W278" s="160"/>
      <c r="X278" s="160"/>
      <c r="Y278" s="159">
        <f>'66 SYANA PRAROOP-20'!G279</f>
        <v>0</v>
      </c>
      <c r="Z278" s="160"/>
      <c r="AA278" s="160"/>
      <c r="AB278" s="168">
        <f>'66 SYANA PRAROOP-20'!H279</f>
        <v>1</v>
      </c>
      <c r="AC278" s="160"/>
      <c r="AD278" s="160"/>
      <c r="AE278" s="168">
        <f>'66 SYANA PRAROOP-20'!I279</f>
        <v>3</v>
      </c>
      <c r="AF278" s="160"/>
      <c r="AG278" s="160"/>
      <c r="AH278" s="168">
        <f>'66 SYANA PRAROOP-20'!J279</f>
        <v>5</v>
      </c>
      <c r="AI278" s="159">
        <f t="shared" si="14"/>
        <v>684</v>
      </c>
      <c r="AJ278" s="150">
        <f t="shared" si="12"/>
        <v>-5</v>
      </c>
    </row>
    <row r="279" spans="1:36" ht="63.75">
      <c r="A279" s="151">
        <v>66</v>
      </c>
      <c r="B279" s="155">
        <v>273</v>
      </c>
      <c r="C279" s="156" t="s">
        <v>919</v>
      </c>
      <c r="D279" s="155">
        <v>929</v>
      </c>
      <c r="E279" s="151">
        <v>342</v>
      </c>
      <c r="F279" s="151">
        <v>306</v>
      </c>
      <c r="G279" s="151">
        <v>0</v>
      </c>
      <c r="H279" s="151">
        <f t="shared" si="13"/>
        <v>648</v>
      </c>
      <c r="I279" s="155">
        <v>60</v>
      </c>
      <c r="J279" s="151">
        <v>0</v>
      </c>
      <c r="K279" s="160"/>
      <c r="L279" s="160"/>
      <c r="M279" s="168">
        <f>'66 SYANA PRAROOP-20'!C280</f>
        <v>167</v>
      </c>
      <c r="N279" s="160"/>
      <c r="O279" s="160"/>
      <c r="P279" s="158">
        <f>'66 SYANA PRAROOP-20'!D280</f>
        <v>211</v>
      </c>
      <c r="Q279" s="160"/>
      <c r="R279" s="160"/>
      <c r="S279" s="158">
        <f>'66 SYANA PRAROOP-20'!E280</f>
        <v>2</v>
      </c>
      <c r="T279" s="160"/>
      <c r="U279" s="160"/>
      <c r="V279" s="159">
        <f>'66 SYANA PRAROOP-20'!F280</f>
        <v>253</v>
      </c>
      <c r="W279" s="160"/>
      <c r="X279" s="160"/>
      <c r="Y279" s="159">
        <f>'66 SYANA PRAROOP-20'!G280</f>
        <v>4</v>
      </c>
      <c r="Z279" s="160"/>
      <c r="AA279" s="160"/>
      <c r="AB279" s="168">
        <f>'66 SYANA PRAROOP-20'!H280</f>
        <v>4</v>
      </c>
      <c r="AC279" s="160"/>
      <c r="AD279" s="160"/>
      <c r="AE279" s="168">
        <f>'66 SYANA PRAROOP-20'!I280</f>
        <v>4</v>
      </c>
      <c r="AF279" s="160"/>
      <c r="AG279" s="160"/>
      <c r="AH279" s="168">
        <f>'66 SYANA PRAROOP-20'!J280</f>
        <v>1</v>
      </c>
      <c r="AI279" s="159">
        <f t="shared" si="14"/>
        <v>646</v>
      </c>
      <c r="AJ279" s="150">
        <f t="shared" si="12"/>
        <v>-2</v>
      </c>
    </row>
    <row r="280" spans="1:36" ht="63.75">
      <c r="A280" s="151">
        <v>66</v>
      </c>
      <c r="B280" s="155">
        <v>274</v>
      </c>
      <c r="C280" s="156" t="s">
        <v>920</v>
      </c>
      <c r="D280" s="155">
        <v>1010</v>
      </c>
      <c r="E280" s="151">
        <v>366</v>
      </c>
      <c r="F280" s="151">
        <v>351</v>
      </c>
      <c r="G280" s="151">
        <v>0</v>
      </c>
      <c r="H280" s="151">
        <f t="shared" si="13"/>
        <v>717</v>
      </c>
      <c r="I280" s="155">
        <v>35</v>
      </c>
      <c r="J280" s="151">
        <v>0</v>
      </c>
      <c r="K280" s="160"/>
      <c r="L280" s="160"/>
      <c r="M280" s="168">
        <f>'66 SYANA PRAROOP-20'!C281</f>
        <v>78</v>
      </c>
      <c r="N280" s="160"/>
      <c r="O280" s="160"/>
      <c r="P280" s="158">
        <f>'66 SYANA PRAROOP-20'!D281</f>
        <v>471</v>
      </c>
      <c r="Q280" s="160"/>
      <c r="R280" s="160"/>
      <c r="S280" s="158">
        <f>'66 SYANA PRAROOP-20'!E281</f>
        <v>6</v>
      </c>
      <c r="T280" s="160"/>
      <c r="U280" s="160"/>
      <c r="V280" s="159">
        <f>'66 SYANA PRAROOP-20'!F281</f>
        <v>151</v>
      </c>
      <c r="W280" s="160"/>
      <c r="X280" s="160"/>
      <c r="Y280" s="159">
        <f>'66 SYANA PRAROOP-20'!G281</f>
        <v>1</v>
      </c>
      <c r="Z280" s="160"/>
      <c r="AA280" s="160"/>
      <c r="AB280" s="168">
        <f>'66 SYANA PRAROOP-20'!H281</f>
        <v>2</v>
      </c>
      <c r="AC280" s="160"/>
      <c r="AD280" s="160"/>
      <c r="AE280" s="168">
        <f>'66 SYANA PRAROOP-20'!I281</f>
        <v>3</v>
      </c>
      <c r="AF280" s="160"/>
      <c r="AG280" s="160"/>
      <c r="AH280" s="168">
        <f>'66 SYANA PRAROOP-20'!J281</f>
        <v>2</v>
      </c>
      <c r="AI280" s="159">
        <f t="shared" si="14"/>
        <v>714</v>
      </c>
      <c r="AJ280" s="150">
        <f t="shared" si="12"/>
        <v>-3</v>
      </c>
    </row>
    <row r="281" spans="1:36" ht="63.75">
      <c r="A281" s="151">
        <v>66</v>
      </c>
      <c r="B281" s="155">
        <v>275</v>
      </c>
      <c r="C281" s="156" t="s">
        <v>921</v>
      </c>
      <c r="D281" s="155">
        <v>1041</v>
      </c>
      <c r="E281" s="151">
        <v>370</v>
      </c>
      <c r="F281" s="151">
        <v>334</v>
      </c>
      <c r="G281" s="151">
        <v>0</v>
      </c>
      <c r="H281" s="151">
        <f t="shared" si="13"/>
        <v>704</v>
      </c>
      <c r="I281" s="155">
        <v>84</v>
      </c>
      <c r="J281" s="151">
        <v>0</v>
      </c>
      <c r="K281" s="160"/>
      <c r="L281" s="160"/>
      <c r="M281" s="168">
        <f>'66 SYANA PRAROOP-20'!C282</f>
        <v>325</v>
      </c>
      <c r="N281" s="160"/>
      <c r="O281" s="160"/>
      <c r="P281" s="158">
        <f>'66 SYANA PRAROOP-20'!D282</f>
        <v>353</v>
      </c>
      <c r="Q281" s="160"/>
      <c r="R281" s="160"/>
      <c r="S281" s="158">
        <f>'66 SYANA PRAROOP-20'!E282</f>
        <v>10</v>
      </c>
      <c r="T281" s="160"/>
      <c r="U281" s="160"/>
      <c r="V281" s="159">
        <f>'66 SYANA PRAROOP-20'!F282</f>
        <v>7</v>
      </c>
      <c r="W281" s="160"/>
      <c r="X281" s="160"/>
      <c r="Y281" s="159">
        <f>'66 SYANA PRAROOP-20'!G282</f>
        <v>0</v>
      </c>
      <c r="Z281" s="160"/>
      <c r="AA281" s="160"/>
      <c r="AB281" s="168">
        <f>'66 SYANA PRAROOP-20'!H282</f>
        <v>1</v>
      </c>
      <c r="AC281" s="160"/>
      <c r="AD281" s="160"/>
      <c r="AE281" s="168">
        <f>'66 SYANA PRAROOP-20'!I282</f>
        <v>2</v>
      </c>
      <c r="AF281" s="160"/>
      <c r="AG281" s="160"/>
      <c r="AH281" s="168">
        <f>'66 SYANA PRAROOP-20'!J282</f>
        <v>3</v>
      </c>
      <c r="AI281" s="159">
        <f t="shared" si="14"/>
        <v>701</v>
      </c>
      <c r="AJ281" s="150">
        <f t="shared" si="12"/>
        <v>-3</v>
      </c>
    </row>
    <row r="282" spans="1:36" ht="76.5">
      <c r="A282" s="151">
        <v>66</v>
      </c>
      <c r="B282" s="155">
        <v>276</v>
      </c>
      <c r="C282" s="156" t="s">
        <v>922</v>
      </c>
      <c r="D282" s="155">
        <v>903</v>
      </c>
      <c r="E282" s="151">
        <v>329</v>
      </c>
      <c r="F282" s="151">
        <v>317</v>
      </c>
      <c r="G282" s="151">
        <v>0</v>
      </c>
      <c r="H282" s="151">
        <f t="shared" si="13"/>
        <v>646</v>
      </c>
      <c r="I282" s="155">
        <v>60</v>
      </c>
      <c r="J282" s="151">
        <v>0</v>
      </c>
      <c r="K282" s="160"/>
      <c r="L282" s="160"/>
      <c r="M282" s="168">
        <f>'66 SYANA PRAROOP-20'!C283</f>
        <v>82</v>
      </c>
      <c r="N282" s="160"/>
      <c r="O282" s="160"/>
      <c r="P282" s="158">
        <f>'66 SYANA PRAROOP-20'!D283</f>
        <v>474</v>
      </c>
      <c r="Q282" s="160"/>
      <c r="R282" s="160"/>
      <c r="S282" s="158">
        <f>'66 SYANA PRAROOP-20'!E283</f>
        <v>7</v>
      </c>
      <c r="T282" s="160"/>
      <c r="U282" s="160"/>
      <c r="V282" s="159">
        <f>'66 SYANA PRAROOP-20'!F283</f>
        <v>67</v>
      </c>
      <c r="W282" s="160"/>
      <c r="X282" s="160"/>
      <c r="Y282" s="159">
        <f>'66 SYANA PRAROOP-20'!G283</f>
        <v>2</v>
      </c>
      <c r="Z282" s="160"/>
      <c r="AA282" s="160"/>
      <c r="AB282" s="168">
        <f>'66 SYANA PRAROOP-20'!H283</f>
        <v>0</v>
      </c>
      <c r="AC282" s="160"/>
      <c r="AD282" s="160"/>
      <c r="AE282" s="168">
        <f>'66 SYANA PRAROOP-20'!I283</f>
        <v>8</v>
      </c>
      <c r="AF282" s="160"/>
      <c r="AG282" s="160"/>
      <c r="AH282" s="168">
        <f>'66 SYANA PRAROOP-20'!J283</f>
        <v>3</v>
      </c>
      <c r="AI282" s="159">
        <f t="shared" si="14"/>
        <v>643</v>
      </c>
      <c r="AJ282" s="150">
        <f t="shared" si="12"/>
        <v>-3</v>
      </c>
    </row>
    <row r="283" spans="1:36" ht="38.25">
      <c r="A283" s="151">
        <v>66</v>
      </c>
      <c r="B283" s="155">
        <v>277</v>
      </c>
      <c r="C283" s="156" t="s">
        <v>923</v>
      </c>
      <c r="D283" s="155">
        <v>1016</v>
      </c>
      <c r="E283" s="151">
        <v>323</v>
      </c>
      <c r="F283" s="151">
        <v>307</v>
      </c>
      <c r="G283" s="151">
        <v>0</v>
      </c>
      <c r="H283" s="151">
        <f t="shared" si="13"/>
        <v>630</v>
      </c>
      <c r="I283" s="155">
        <v>91</v>
      </c>
      <c r="J283" s="151">
        <v>0</v>
      </c>
      <c r="K283" s="160"/>
      <c r="L283" s="160"/>
      <c r="M283" s="168">
        <f>'66 SYANA PRAROOP-20'!C284</f>
        <v>101</v>
      </c>
      <c r="N283" s="160"/>
      <c r="O283" s="160"/>
      <c r="P283" s="158">
        <f>'66 SYANA PRAROOP-20'!D284</f>
        <v>427</v>
      </c>
      <c r="Q283" s="160"/>
      <c r="R283" s="160"/>
      <c r="S283" s="158">
        <f>'66 SYANA PRAROOP-20'!E284</f>
        <v>2</v>
      </c>
      <c r="T283" s="160"/>
      <c r="U283" s="160"/>
      <c r="V283" s="159">
        <f>'66 SYANA PRAROOP-20'!F284</f>
        <v>87</v>
      </c>
      <c r="W283" s="160"/>
      <c r="X283" s="160"/>
      <c r="Y283" s="159">
        <f>'66 SYANA PRAROOP-20'!G284</f>
        <v>1</v>
      </c>
      <c r="Z283" s="160"/>
      <c r="AA283" s="160"/>
      <c r="AB283" s="168">
        <f>'66 SYANA PRAROOP-20'!H284</f>
        <v>2</v>
      </c>
      <c r="AC283" s="160"/>
      <c r="AD283" s="160"/>
      <c r="AE283" s="168">
        <f>'66 SYANA PRAROOP-20'!I284</f>
        <v>0</v>
      </c>
      <c r="AF283" s="160"/>
      <c r="AG283" s="160"/>
      <c r="AH283" s="168">
        <f>'66 SYANA PRAROOP-20'!J284</f>
        <v>2</v>
      </c>
      <c r="AI283" s="159">
        <f t="shared" si="14"/>
        <v>622</v>
      </c>
      <c r="AJ283" s="150">
        <f t="shared" si="12"/>
        <v>-8</v>
      </c>
    </row>
    <row r="284" spans="1:36" ht="38.25">
      <c r="A284" s="151">
        <v>66</v>
      </c>
      <c r="B284" s="155">
        <v>278</v>
      </c>
      <c r="C284" s="156" t="s">
        <v>924</v>
      </c>
      <c r="D284" s="155">
        <v>679</v>
      </c>
      <c r="E284" s="151">
        <v>193</v>
      </c>
      <c r="F284" s="151">
        <v>179</v>
      </c>
      <c r="G284" s="151">
        <v>0</v>
      </c>
      <c r="H284" s="151">
        <f t="shared" si="13"/>
        <v>372</v>
      </c>
      <c r="I284" s="155">
        <v>47</v>
      </c>
      <c r="J284" s="151">
        <v>0</v>
      </c>
      <c r="K284" s="160"/>
      <c r="L284" s="160"/>
      <c r="M284" s="168">
        <f>'66 SYANA PRAROOP-20'!C285</f>
        <v>33</v>
      </c>
      <c r="N284" s="160"/>
      <c r="O284" s="160"/>
      <c r="P284" s="158">
        <f>'66 SYANA PRAROOP-20'!D285</f>
        <v>232</v>
      </c>
      <c r="Q284" s="160"/>
      <c r="R284" s="160"/>
      <c r="S284" s="158">
        <f>'66 SYANA PRAROOP-20'!E285</f>
        <v>10</v>
      </c>
      <c r="T284" s="160"/>
      <c r="U284" s="160"/>
      <c r="V284" s="159">
        <f>'66 SYANA PRAROOP-20'!F285</f>
        <v>83</v>
      </c>
      <c r="W284" s="160"/>
      <c r="X284" s="160"/>
      <c r="Y284" s="159">
        <f>'66 SYANA PRAROOP-20'!G285</f>
        <v>1</v>
      </c>
      <c r="Z284" s="160"/>
      <c r="AA284" s="160"/>
      <c r="AB284" s="168">
        <f>'66 SYANA PRAROOP-20'!H285</f>
        <v>3</v>
      </c>
      <c r="AC284" s="160"/>
      <c r="AD284" s="160"/>
      <c r="AE284" s="168">
        <f>'66 SYANA PRAROOP-20'!I285</f>
        <v>3</v>
      </c>
      <c r="AF284" s="160"/>
      <c r="AG284" s="160"/>
      <c r="AH284" s="168">
        <f>'66 SYANA PRAROOP-20'!J285</f>
        <v>5</v>
      </c>
      <c r="AI284" s="159">
        <f t="shared" si="14"/>
        <v>370</v>
      </c>
      <c r="AJ284" s="150">
        <f t="shared" si="12"/>
        <v>-2</v>
      </c>
    </row>
    <row r="285" spans="1:36" ht="38.25">
      <c r="A285" s="151">
        <v>66</v>
      </c>
      <c r="B285" s="155">
        <v>279</v>
      </c>
      <c r="C285" s="156" t="s">
        <v>925</v>
      </c>
      <c r="D285" s="155">
        <v>918</v>
      </c>
      <c r="E285" s="151">
        <v>273</v>
      </c>
      <c r="F285" s="151">
        <v>254</v>
      </c>
      <c r="G285" s="151">
        <v>0</v>
      </c>
      <c r="H285" s="151">
        <f t="shared" si="13"/>
        <v>527</v>
      </c>
      <c r="I285" s="155">
        <v>50</v>
      </c>
      <c r="J285" s="151">
        <v>0</v>
      </c>
      <c r="K285" s="160"/>
      <c r="L285" s="160"/>
      <c r="M285" s="168">
        <f>'66 SYANA PRAROOP-20'!C286</f>
        <v>35</v>
      </c>
      <c r="N285" s="160"/>
      <c r="O285" s="160"/>
      <c r="P285" s="158">
        <f>'66 SYANA PRAROOP-20'!D286</f>
        <v>386</v>
      </c>
      <c r="Q285" s="160"/>
      <c r="R285" s="160"/>
      <c r="S285" s="158">
        <f>'66 SYANA PRAROOP-20'!E286</f>
        <v>24</v>
      </c>
      <c r="T285" s="160"/>
      <c r="U285" s="160"/>
      <c r="V285" s="159">
        <f>'66 SYANA PRAROOP-20'!F286</f>
        <v>66</v>
      </c>
      <c r="W285" s="160"/>
      <c r="X285" s="160"/>
      <c r="Y285" s="159">
        <f>'66 SYANA PRAROOP-20'!G286</f>
        <v>5</v>
      </c>
      <c r="Z285" s="160"/>
      <c r="AA285" s="160"/>
      <c r="AB285" s="168">
        <f>'66 SYANA PRAROOP-20'!H286</f>
        <v>3</v>
      </c>
      <c r="AC285" s="160"/>
      <c r="AD285" s="160"/>
      <c r="AE285" s="168">
        <f>'66 SYANA PRAROOP-20'!I286</f>
        <v>2</v>
      </c>
      <c r="AF285" s="160"/>
      <c r="AG285" s="160"/>
      <c r="AH285" s="168">
        <f>'66 SYANA PRAROOP-20'!J286</f>
        <v>5</v>
      </c>
      <c r="AI285" s="159">
        <f t="shared" si="14"/>
        <v>526</v>
      </c>
      <c r="AJ285" s="150">
        <f t="shared" si="12"/>
        <v>-1</v>
      </c>
    </row>
    <row r="286" spans="1:36" ht="63.75">
      <c r="A286" s="151">
        <v>66</v>
      </c>
      <c r="B286" s="155">
        <v>280</v>
      </c>
      <c r="C286" s="156" t="s">
        <v>926</v>
      </c>
      <c r="D286" s="155">
        <v>1208</v>
      </c>
      <c r="E286" s="151">
        <v>421</v>
      </c>
      <c r="F286" s="151">
        <v>385</v>
      </c>
      <c r="G286" s="151">
        <v>0</v>
      </c>
      <c r="H286" s="151">
        <f t="shared" si="13"/>
        <v>806</v>
      </c>
      <c r="I286" s="155">
        <v>102</v>
      </c>
      <c r="J286" s="151">
        <v>0</v>
      </c>
      <c r="K286" s="160"/>
      <c r="L286" s="160"/>
      <c r="M286" s="168">
        <f>'66 SYANA PRAROOP-20'!C287</f>
        <v>214</v>
      </c>
      <c r="N286" s="160"/>
      <c r="O286" s="160"/>
      <c r="P286" s="158">
        <f>'66 SYANA PRAROOP-20'!D287</f>
        <v>532</v>
      </c>
      <c r="Q286" s="160"/>
      <c r="R286" s="160"/>
      <c r="S286" s="158">
        <f>'66 SYANA PRAROOP-20'!E287</f>
        <v>5</v>
      </c>
      <c r="T286" s="160"/>
      <c r="U286" s="160"/>
      <c r="V286" s="159">
        <f>'66 SYANA PRAROOP-20'!F287</f>
        <v>44</v>
      </c>
      <c r="W286" s="160"/>
      <c r="X286" s="160"/>
      <c r="Y286" s="159">
        <f>'66 SYANA PRAROOP-20'!G287</f>
        <v>0</v>
      </c>
      <c r="Z286" s="160"/>
      <c r="AA286" s="160"/>
      <c r="AB286" s="168">
        <f>'66 SYANA PRAROOP-20'!H287</f>
        <v>3</v>
      </c>
      <c r="AC286" s="160"/>
      <c r="AD286" s="160"/>
      <c r="AE286" s="168">
        <f>'66 SYANA PRAROOP-20'!I287</f>
        <v>1</v>
      </c>
      <c r="AF286" s="160"/>
      <c r="AG286" s="160"/>
      <c r="AH286" s="168">
        <f>'66 SYANA PRAROOP-20'!J287</f>
        <v>4</v>
      </c>
      <c r="AI286" s="159">
        <f t="shared" si="14"/>
        <v>803</v>
      </c>
      <c r="AJ286" s="150">
        <f t="shared" si="12"/>
        <v>-3</v>
      </c>
    </row>
    <row r="287" spans="1:36" ht="63.75">
      <c r="A287" s="151">
        <v>66</v>
      </c>
      <c r="B287" s="155">
        <v>281</v>
      </c>
      <c r="C287" s="156" t="s">
        <v>927</v>
      </c>
      <c r="D287" s="155">
        <v>715</v>
      </c>
      <c r="E287" s="151">
        <v>277</v>
      </c>
      <c r="F287" s="151">
        <v>244</v>
      </c>
      <c r="G287" s="151">
        <v>0</v>
      </c>
      <c r="H287" s="151">
        <f t="shared" si="13"/>
        <v>521</v>
      </c>
      <c r="I287" s="155">
        <v>55</v>
      </c>
      <c r="J287" s="151">
        <v>0</v>
      </c>
      <c r="K287" s="160"/>
      <c r="L287" s="160"/>
      <c r="M287" s="168">
        <f>'66 SYANA PRAROOP-20'!C288</f>
        <v>95</v>
      </c>
      <c r="N287" s="160"/>
      <c r="O287" s="160"/>
      <c r="P287" s="158">
        <f>'66 SYANA PRAROOP-20'!D288</f>
        <v>267</v>
      </c>
      <c r="Q287" s="160"/>
      <c r="R287" s="160"/>
      <c r="S287" s="158">
        <f>'66 SYANA PRAROOP-20'!E288</f>
        <v>2</v>
      </c>
      <c r="T287" s="160"/>
      <c r="U287" s="160"/>
      <c r="V287" s="159">
        <f>'66 SYANA PRAROOP-20'!F288</f>
        <v>134</v>
      </c>
      <c r="W287" s="160"/>
      <c r="X287" s="160"/>
      <c r="Y287" s="159">
        <f>'66 SYANA PRAROOP-20'!G288</f>
        <v>1</v>
      </c>
      <c r="Z287" s="160"/>
      <c r="AA287" s="160"/>
      <c r="AB287" s="168">
        <f>'66 SYANA PRAROOP-20'!H288</f>
        <v>1</v>
      </c>
      <c r="AC287" s="160"/>
      <c r="AD287" s="160"/>
      <c r="AE287" s="168">
        <f>'66 SYANA PRAROOP-20'!I288</f>
        <v>6</v>
      </c>
      <c r="AF287" s="160"/>
      <c r="AG287" s="160"/>
      <c r="AH287" s="168">
        <f>'66 SYANA PRAROOP-20'!J288</f>
        <v>6</v>
      </c>
      <c r="AI287" s="159">
        <f t="shared" si="14"/>
        <v>512</v>
      </c>
      <c r="AJ287" s="150">
        <f t="shared" si="12"/>
        <v>-9</v>
      </c>
    </row>
    <row r="288" spans="1:36" ht="38.25">
      <c r="A288" s="151">
        <v>66</v>
      </c>
      <c r="B288" s="155">
        <v>282</v>
      </c>
      <c r="C288" s="156" t="s">
        <v>928</v>
      </c>
      <c r="D288" s="155">
        <v>470</v>
      </c>
      <c r="E288" s="151">
        <v>203</v>
      </c>
      <c r="F288" s="151">
        <v>174</v>
      </c>
      <c r="G288" s="151">
        <v>0</v>
      </c>
      <c r="H288" s="151">
        <f t="shared" si="13"/>
        <v>377</v>
      </c>
      <c r="I288" s="155">
        <v>48</v>
      </c>
      <c r="J288" s="151">
        <v>0</v>
      </c>
      <c r="K288" s="160"/>
      <c r="L288" s="160"/>
      <c r="M288" s="168">
        <f>'66 SYANA PRAROOP-20'!C289</f>
        <v>66</v>
      </c>
      <c r="N288" s="160"/>
      <c r="O288" s="160"/>
      <c r="P288" s="158">
        <f>'66 SYANA PRAROOP-20'!D289</f>
        <v>299</v>
      </c>
      <c r="Q288" s="160"/>
      <c r="R288" s="160"/>
      <c r="S288" s="158">
        <f>'66 SYANA PRAROOP-20'!E289</f>
        <v>2</v>
      </c>
      <c r="T288" s="160"/>
      <c r="U288" s="160"/>
      <c r="V288" s="159">
        <f>'66 SYANA PRAROOP-20'!F289</f>
        <v>4</v>
      </c>
      <c r="W288" s="160"/>
      <c r="X288" s="160"/>
      <c r="Y288" s="159">
        <f>'66 SYANA PRAROOP-20'!G289</f>
        <v>0</v>
      </c>
      <c r="Z288" s="160"/>
      <c r="AA288" s="160"/>
      <c r="AB288" s="168">
        <f>'66 SYANA PRAROOP-20'!H289</f>
        <v>0</v>
      </c>
      <c r="AC288" s="160"/>
      <c r="AD288" s="160"/>
      <c r="AE288" s="168">
        <f>'66 SYANA PRAROOP-20'!I289</f>
        <v>1</v>
      </c>
      <c r="AF288" s="160"/>
      <c r="AG288" s="160"/>
      <c r="AH288" s="168">
        <f>'66 SYANA PRAROOP-20'!J289</f>
        <v>2</v>
      </c>
      <c r="AI288" s="159">
        <f t="shared" si="14"/>
        <v>374</v>
      </c>
      <c r="AJ288" s="150">
        <f t="shared" si="12"/>
        <v>-3</v>
      </c>
    </row>
    <row r="289" spans="1:36" ht="63.75">
      <c r="A289" s="151">
        <v>66</v>
      </c>
      <c r="B289" s="155">
        <v>283</v>
      </c>
      <c r="C289" s="156" t="s">
        <v>929</v>
      </c>
      <c r="D289" s="155">
        <v>736</v>
      </c>
      <c r="E289" s="151">
        <v>305</v>
      </c>
      <c r="F289" s="151">
        <v>291</v>
      </c>
      <c r="G289" s="151">
        <v>0</v>
      </c>
      <c r="H289" s="151">
        <f t="shared" si="13"/>
        <v>596</v>
      </c>
      <c r="I289" s="155">
        <v>355</v>
      </c>
      <c r="J289" s="151">
        <v>0</v>
      </c>
      <c r="K289" s="160"/>
      <c r="L289" s="160"/>
      <c r="M289" s="168">
        <f>'66 SYANA PRAROOP-20'!C290</f>
        <v>26</v>
      </c>
      <c r="N289" s="160"/>
      <c r="O289" s="160"/>
      <c r="P289" s="158">
        <f>'66 SYANA PRAROOP-20'!D290</f>
        <v>543</v>
      </c>
      <c r="Q289" s="160"/>
      <c r="R289" s="160"/>
      <c r="S289" s="158">
        <f>'66 SYANA PRAROOP-20'!E290</f>
        <v>4</v>
      </c>
      <c r="T289" s="160"/>
      <c r="U289" s="160"/>
      <c r="V289" s="159">
        <f>'66 SYANA PRAROOP-20'!F290</f>
        <v>4</v>
      </c>
      <c r="W289" s="160"/>
      <c r="X289" s="160"/>
      <c r="Y289" s="159">
        <f>'66 SYANA PRAROOP-20'!G290</f>
        <v>1</v>
      </c>
      <c r="Z289" s="160"/>
      <c r="AA289" s="160"/>
      <c r="AB289" s="168">
        <f>'66 SYANA PRAROOP-20'!H290</f>
        <v>2</v>
      </c>
      <c r="AC289" s="160"/>
      <c r="AD289" s="160"/>
      <c r="AE289" s="168">
        <f>'66 SYANA PRAROOP-20'!I290</f>
        <v>6</v>
      </c>
      <c r="AF289" s="160"/>
      <c r="AG289" s="160"/>
      <c r="AH289" s="168">
        <f>'66 SYANA PRAROOP-20'!J290</f>
        <v>5</v>
      </c>
      <c r="AI289" s="159">
        <f t="shared" si="14"/>
        <v>591</v>
      </c>
      <c r="AJ289" s="150">
        <f t="shared" si="12"/>
        <v>-5</v>
      </c>
    </row>
    <row r="290" spans="1:36" ht="63.75">
      <c r="A290" s="151">
        <v>66</v>
      </c>
      <c r="B290" s="155">
        <v>284</v>
      </c>
      <c r="C290" s="156" t="s">
        <v>930</v>
      </c>
      <c r="D290" s="155">
        <v>768</v>
      </c>
      <c r="E290" s="151">
        <v>327</v>
      </c>
      <c r="F290" s="151">
        <v>296</v>
      </c>
      <c r="G290" s="151">
        <v>0</v>
      </c>
      <c r="H290" s="151">
        <f t="shared" si="13"/>
        <v>623</v>
      </c>
      <c r="I290" s="155">
        <v>186</v>
      </c>
      <c r="J290" s="151">
        <v>0</v>
      </c>
      <c r="K290" s="160"/>
      <c r="L290" s="160"/>
      <c r="M290" s="168">
        <f>'66 SYANA PRAROOP-20'!C291</f>
        <v>43</v>
      </c>
      <c r="N290" s="160"/>
      <c r="O290" s="160"/>
      <c r="P290" s="158">
        <f>'66 SYANA PRAROOP-20'!D291</f>
        <v>393</v>
      </c>
      <c r="Q290" s="160"/>
      <c r="R290" s="160"/>
      <c r="S290" s="158">
        <f>'66 SYANA PRAROOP-20'!E291</f>
        <v>7</v>
      </c>
      <c r="T290" s="160"/>
      <c r="U290" s="160"/>
      <c r="V290" s="159">
        <f>'66 SYANA PRAROOP-20'!F291</f>
        <v>162</v>
      </c>
      <c r="W290" s="160"/>
      <c r="X290" s="160"/>
      <c r="Y290" s="159">
        <f>'66 SYANA PRAROOP-20'!G291</f>
        <v>0</v>
      </c>
      <c r="Z290" s="160"/>
      <c r="AA290" s="160"/>
      <c r="AB290" s="168">
        <f>'66 SYANA PRAROOP-20'!H291</f>
        <v>8</v>
      </c>
      <c r="AC290" s="160"/>
      <c r="AD290" s="160"/>
      <c r="AE290" s="168">
        <f>'66 SYANA PRAROOP-20'!I291</f>
        <v>2</v>
      </c>
      <c r="AF290" s="160"/>
      <c r="AG290" s="160"/>
      <c r="AH290" s="168">
        <f>'66 SYANA PRAROOP-20'!J291</f>
        <v>6</v>
      </c>
      <c r="AI290" s="159">
        <f t="shared" si="14"/>
        <v>621</v>
      </c>
      <c r="AJ290" s="150">
        <f t="shared" si="12"/>
        <v>-2</v>
      </c>
    </row>
    <row r="291" spans="1:36" ht="63.75">
      <c r="A291" s="151">
        <v>66</v>
      </c>
      <c r="B291" s="155">
        <v>285</v>
      </c>
      <c r="C291" s="156" t="s">
        <v>931</v>
      </c>
      <c r="D291" s="155">
        <v>707</v>
      </c>
      <c r="E291" s="151">
        <v>314</v>
      </c>
      <c r="F291" s="151">
        <v>280</v>
      </c>
      <c r="G291" s="151">
        <v>0</v>
      </c>
      <c r="H291" s="151">
        <f t="shared" si="13"/>
        <v>594</v>
      </c>
      <c r="I291" s="155">
        <v>54</v>
      </c>
      <c r="J291" s="151">
        <v>0</v>
      </c>
      <c r="K291" s="160"/>
      <c r="L291" s="160"/>
      <c r="M291" s="168">
        <f>'66 SYANA PRAROOP-20'!C292</f>
        <v>36</v>
      </c>
      <c r="N291" s="160"/>
      <c r="O291" s="160"/>
      <c r="P291" s="158">
        <f>'66 SYANA PRAROOP-20'!D292</f>
        <v>540</v>
      </c>
      <c r="Q291" s="160"/>
      <c r="R291" s="160"/>
      <c r="S291" s="158">
        <f>'66 SYANA PRAROOP-20'!E292</f>
        <v>6</v>
      </c>
      <c r="T291" s="160"/>
      <c r="U291" s="160"/>
      <c r="V291" s="159">
        <f>'66 SYANA PRAROOP-20'!F292</f>
        <v>7</v>
      </c>
      <c r="W291" s="160"/>
      <c r="X291" s="160"/>
      <c r="Y291" s="159">
        <f>'66 SYANA PRAROOP-20'!G292</f>
        <v>0</v>
      </c>
      <c r="Z291" s="160"/>
      <c r="AA291" s="160"/>
      <c r="AB291" s="168">
        <f>'66 SYANA PRAROOP-20'!H292</f>
        <v>0</v>
      </c>
      <c r="AC291" s="160"/>
      <c r="AD291" s="160"/>
      <c r="AE291" s="168">
        <f>'66 SYANA PRAROOP-20'!I292</f>
        <v>0</v>
      </c>
      <c r="AF291" s="160"/>
      <c r="AG291" s="160"/>
      <c r="AH291" s="168">
        <f>'66 SYANA PRAROOP-20'!J292</f>
        <v>3</v>
      </c>
      <c r="AI291" s="159">
        <f t="shared" si="14"/>
        <v>592</v>
      </c>
      <c r="AJ291" s="150">
        <f t="shared" si="12"/>
        <v>-2</v>
      </c>
    </row>
    <row r="292" spans="1:36" ht="63.75">
      <c r="A292" s="151">
        <v>66</v>
      </c>
      <c r="B292" s="155">
        <v>286</v>
      </c>
      <c r="C292" s="156" t="s">
        <v>932</v>
      </c>
      <c r="D292" s="155">
        <v>709</v>
      </c>
      <c r="E292" s="151">
        <v>336</v>
      </c>
      <c r="F292" s="151">
        <v>300</v>
      </c>
      <c r="G292" s="151">
        <v>0</v>
      </c>
      <c r="H292" s="151">
        <f t="shared" si="13"/>
        <v>636</v>
      </c>
      <c r="I292" s="155">
        <v>25</v>
      </c>
      <c r="J292" s="151">
        <v>0</v>
      </c>
      <c r="K292" s="160"/>
      <c r="L292" s="160"/>
      <c r="M292" s="168">
        <f>'66 SYANA PRAROOP-20'!C293</f>
        <v>3</v>
      </c>
      <c r="N292" s="160"/>
      <c r="O292" s="160"/>
      <c r="P292" s="158">
        <f>'66 SYANA PRAROOP-20'!D293</f>
        <v>596</v>
      </c>
      <c r="Q292" s="160"/>
      <c r="R292" s="160"/>
      <c r="S292" s="158">
        <f>'66 SYANA PRAROOP-20'!E293</f>
        <v>11</v>
      </c>
      <c r="T292" s="160"/>
      <c r="U292" s="160"/>
      <c r="V292" s="159">
        <f>'66 SYANA PRAROOP-20'!F293</f>
        <v>3</v>
      </c>
      <c r="W292" s="160"/>
      <c r="X292" s="160"/>
      <c r="Y292" s="159">
        <f>'66 SYANA PRAROOP-20'!G293</f>
        <v>0</v>
      </c>
      <c r="Z292" s="160"/>
      <c r="AA292" s="160"/>
      <c r="AB292" s="168">
        <f>'66 SYANA PRAROOP-20'!H293</f>
        <v>2</v>
      </c>
      <c r="AC292" s="160"/>
      <c r="AD292" s="160"/>
      <c r="AE292" s="168">
        <f>'66 SYANA PRAROOP-20'!I293</f>
        <v>6</v>
      </c>
      <c r="AF292" s="160"/>
      <c r="AG292" s="160"/>
      <c r="AH292" s="168">
        <f>'66 SYANA PRAROOP-20'!J293</f>
        <v>9</v>
      </c>
      <c r="AI292" s="159">
        <f t="shared" si="14"/>
        <v>630</v>
      </c>
      <c r="AJ292" s="150">
        <f t="shared" si="12"/>
        <v>-6</v>
      </c>
    </row>
    <row r="293" spans="1:36" ht="51">
      <c r="A293" s="151">
        <v>66</v>
      </c>
      <c r="B293" s="155">
        <v>287</v>
      </c>
      <c r="C293" s="156" t="s">
        <v>933</v>
      </c>
      <c r="D293" s="155">
        <v>1038</v>
      </c>
      <c r="E293" s="151">
        <v>322</v>
      </c>
      <c r="F293" s="151">
        <v>257</v>
      </c>
      <c r="G293" s="151">
        <v>0</v>
      </c>
      <c r="H293" s="151">
        <f t="shared" si="13"/>
        <v>579</v>
      </c>
      <c r="I293" s="155">
        <v>400</v>
      </c>
      <c r="J293" s="151">
        <v>0</v>
      </c>
      <c r="K293" s="160"/>
      <c r="L293" s="160"/>
      <c r="M293" s="168">
        <f>'66 SYANA PRAROOP-20'!C294</f>
        <v>49</v>
      </c>
      <c r="N293" s="160"/>
      <c r="O293" s="160"/>
      <c r="P293" s="158">
        <f>'66 SYANA PRAROOP-20'!D294</f>
        <v>449</v>
      </c>
      <c r="Q293" s="160"/>
      <c r="R293" s="160"/>
      <c r="S293" s="158">
        <f>'66 SYANA PRAROOP-20'!E294</f>
        <v>19</v>
      </c>
      <c r="T293" s="160"/>
      <c r="U293" s="160"/>
      <c r="V293" s="159">
        <f>'66 SYANA PRAROOP-20'!F294</f>
        <v>52</v>
      </c>
      <c r="W293" s="160"/>
      <c r="X293" s="160"/>
      <c r="Y293" s="159">
        <f>'66 SYANA PRAROOP-20'!G294</f>
        <v>1</v>
      </c>
      <c r="Z293" s="160"/>
      <c r="AA293" s="160"/>
      <c r="AB293" s="168">
        <f>'66 SYANA PRAROOP-20'!H294</f>
        <v>4</v>
      </c>
      <c r="AC293" s="160"/>
      <c r="AD293" s="160"/>
      <c r="AE293" s="168">
        <f>'66 SYANA PRAROOP-20'!I294</f>
        <v>2</v>
      </c>
      <c r="AF293" s="160"/>
      <c r="AG293" s="160"/>
      <c r="AH293" s="168">
        <f>'66 SYANA PRAROOP-20'!J294</f>
        <v>1</v>
      </c>
      <c r="AI293" s="159">
        <f t="shared" si="14"/>
        <v>577</v>
      </c>
      <c r="AJ293" s="150">
        <f t="shared" si="12"/>
        <v>-2</v>
      </c>
    </row>
    <row r="294" spans="1:36" ht="51">
      <c r="A294" s="151">
        <v>66</v>
      </c>
      <c r="B294" s="155">
        <v>288</v>
      </c>
      <c r="C294" s="156" t="s">
        <v>934</v>
      </c>
      <c r="D294" s="155">
        <v>857</v>
      </c>
      <c r="E294" s="151">
        <v>353</v>
      </c>
      <c r="F294" s="151">
        <v>327</v>
      </c>
      <c r="G294" s="151">
        <v>0</v>
      </c>
      <c r="H294" s="151">
        <f t="shared" si="13"/>
        <v>680</v>
      </c>
      <c r="I294" s="155">
        <v>20</v>
      </c>
      <c r="J294" s="151">
        <v>0</v>
      </c>
      <c r="K294" s="160"/>
      <c r="L294" s="160"/>
      <c r="M294" s="168">
        <f>'66 SYANA PRAROOP-20'!C295</f>
        <v>31</v>
      </c>
      <c r="N294" s="160"/>
      <c r="O294" s="160"/>
      <c r="P294" s="158">
        <f>'66 SYANA PRAROOP-20'!D295</f>
        <v>632</v>
      </c>
      <c r="Q294" s="160"/>
      <c r="R294" s="160"/>
      <c r="S294" s="158">
        <f>'66 SYANA PRAROOP-20'!E295</f>
        <v>5</v>
      </c>
      <c r="T294" s="160"/>
      <c r="U294" s="160"/>
      <c r="V294" s="159">
        <f>'66 SYANA PRAROOP-20'!F295</f>
        <v>3</v>
      </c>
      <c r="W294" s="160"/>
      <c r="X294" s="160"/>
      <c r="Y294" s="159">
        <f>'66 SYANA PRAROOP-20'!G295</f>
        <v>0</v>
      </c>
      <c r="Z294" s="160"/>
      <c r="AA294" s="160"/>
      <c r="AB294" s="168">
        <f>'66 SYANA PRAROOP-20'!H295</f>
        <v>1</v>
      </c>
      <c r="AC294" s="160"/>
      <c r="AD294" s="160"/>
      <c r="AE294" s="168">
        <f>'66 SYANA PRAROOP-20'!I295</f>
        <v>3</v>
      </c>
      <c r="AF294" s="160"/>
      <c r="AG294" s="160"/>
      <c r="AH294" s="168">
        <f>'66 SYANA PRAROOP-20'!J295</f>
        <v>0</v>
      </c>
      <c r="AI294" s="159">
        <f t="shared" si="14"/>
        <v>675</v>
      </c>
      <c r="AJ294" s="150">
        <f t="shared" si="12"/>
        <v>-5</v>
      </c>
    </row>
    <row r="295" spans="1:36" ht="51">
      <c r="A295" s="151">
        <v>66</v>
      </c>
      <c r="B295" s="155">
        <v>289</v>
      </c>
      <c r="C295" s="156" t="s">
        <v>935</v>
      </c>
      <c r="D295" s="155">
        <v>732</v>
      </c>
      <c r="E295" s="151">
        <v>326</v>
      </c>
      <c r="F295" s="151">
        <v>295</v>
      </c>
      <c r="G295" s="151">
        <v>0</v>
      </c>
      <c r="H295" s="151">
        <f t="shared" si="13"/>
        <v>621</v>
      </c>
      <c r="I295" s="155">
        <v>206</v>
      </c>
      <c r="J295" s="151">
        <v>0</v>
      </c>
      <c r="K295" s="160"/>
      <c r="L295" s="160"/>
      <c r="M295" s="168">
        <f>'66 SYANA PRAROOP-20'!C296</f>
        <v>102</v>
      </c>
      <c r="N295" s="160"/>
      <c r="O295" s="160"/>
      <c r="P295" s="158">
        <f>'66 SYANA PRAROOP-20'!D296</f>
        <v>500</v>
      </c>
      <c r="Q295" s="160"/>
      <c r="R295" s="160"/>
      <c r="S295" s="158">
        <f>'66 SYANA PRAROOP-20'!E296</f>
        <v>12</v>
      </c>
      <c r="T295" s="160"/>
      <c r="U295" s="160"/>
      <c r="V295" s="159">
        <f>'66 SYANA PRAROOP-20'!F296</f>
        <v>4</v>
      </c>
      <c r="W295" s="160"/>
      <c r="X295" s="160"/>
      <c r="Y295" s="159">
        <f>'66 SYANA PRAROOP-20'!G296</f>
        <v>0</v>
      </c>
      <c r="Z295" s="160"/>
      <c r="AA295" s="160"/>
      <c r="AB295" s="168">
        <f>'66 SYANA PRAROOP-20'!H296</f>
        <v>0</v>
      </c>
      <c r="AC295" s="160"/>
      <c r="AD295" s="160"/>
      <c r="AE295" s="168">
        <f>'66 SYANA PRAROOP-20'!I296</f>
        <v>2</v>
      </c>
      <c r="AF295" s="160"/>
      <c r="AG295" s="160"/>
      <c r="AH295" s="168">
        <f>'66 SYANA PRAROOP-20'!J296</f>
        <v>1</v>
      </c>
      <c r="AI295" s="159">
        <f t="shared" si="14"/>
        <v>621</v>
      </c>
      <c r="AJ295" s="150">
        <f t="shared" si="12"/>
        <v>0</v>
      </c>
    </row>
    <row r="296" spans="1:36" ht="51">
      <c r="A296" s="151">
        <v>66</v>
      </c>
      <c r="B296" s="155">
        <v>290</v>
      </c>
      <c r="C296" s="156" t="s">
        <v>936</v>
      </c>
      <c r="D296" s="155">
        <v>923</v>
      </c>
      <c r="E296" s="151">
        <v>360</v>
      </c>
      <c r="F296" s="151">
        <v>336</v>
      </c>
      <c r="G296" s="151">
        <v>0</v>
      </c>
      <c r="H296" s="151">
        <f t="shared" si="13"/>
        <v>696</v>
      </c>
      <c r="I296" s="155">
        <v>51</v>
      </c>
      <c r="J296" s="151">
        <v>0</v>
      </c>
      <c r="K296" s="160"/>
      <c r="L296" s="160"/>
      <c r="M296" s="168">
        <f>'66 SYANA PRAROOP-20'!C297</f>
        <v>115</v>
      </c>
      <c r="N296" s="160"/>
      <c r="O296" s="160"/>
      <c r="P296" s="158">
        <f>'66 SYANA PRAROOP-20'!D297</f>
        <v>427</v>
      </c>
      <c r="Q296" s="160"/>
      <c r="R296" s="160"/>
      <c r="S296" s="158">
        <f>'66 SYANA PRAROOP-20'!E297</f>
        <v>5</v>
      </c>
      <c r="T296" s="160"/>
      <c r="U296" s="160"/>
      <c r="V296" s="159">
        <f>'66 SYANA PRAROOP-20'!F297</f>
        <v>123</v>
      </c>
      <c r="W296" s="160"/>
      <c r="X296" s="160"/>
      <c r="Y296" s="159">
        <f>'66 SYANA PRAROOP-20'!G297</f>
        <v>3</v>
      </c>
      <c r="Z296" s="160"/>
      <c r="AA296" s="160"/>
      <c r="AB296" s="168">
        <f>'66 SYANA PRAROOP-20'!H297</f>
        <v>1</v>
      </c>
      <c r="AC296" s="160"/>
      <c r="AD296" s="160"/>
      <c r="AE296" s="168">
        <f>'66 SYANA PRAROOP-20'!I297</f>
        <v>9</v>
      </c>
      <c r="AF296" s="160"/>
      <c r="AG296" s="160"/>
      <c r="AH296" s="168">
        <f>'66 SYANA PRAROOP-20'!J297</f>
        <v>5</v>
      </c>
      <c r="AI296" s="159">
        <f t="shared" si="14"/>
        <v>688</v>
      </c>
      <c r="AJ296" s="150">
        <f t="shared" si="12"/>
        <v>-8</v>
      </c>
    </row>
    <row r="297" spans="1:36" ht="51">
      <c r="A297" s="151">
        <v>66</v>
      </c>
      <c r="B297" s="155">
        <v>291</v>
      </c>
      <c r="C297" s="156" t="s">
        <v>937</v>
      </c>
      <c r="D297" s="155">
        <v>999</v>
      </c>
      <c r="E297" s="151">
        <v>421</v>
      </c>
      <c r="F297" s="151">
        <v>411</v>
      </c>
      <c r="G297" s="151">
        <v>0</v>
      </c>
      <c r="H297" s="151">
        <f t="shared" si="13"/>
        <v>832</v>
      </c>
      <c r="I297" s="155">
        <v>83</v>
      </c>
      <c r="J297" s="151">
        <v>0</v>
      </c>
      <c r="K297" s="160"/>
      <c r="L297" s="160"/>
      <c r="M297" s="168">
        <f>'66 SYANA PRAROOP-20'!C298</f>
        <v>25</v>
      </c>
      <c r="N297" s="160"/>
      <c r="O297" s="160"/>
      <c r="P297" s="158">
        <f>'66 SYANA PRAROOP-20'!D298</f>
        <v>669</v>
      </c>
      <c r="Q297" s="160"/>
      <c r="R297" s="160"/>
      <c r="S297" s="158">
        <f>'66 SYANA PRAROOP-20'!E298</f>
        <v>9</v>
      </c>
      <c r="T297" s="160"/>
      <c r="U297" s="160"/>
      <c r="V297" s="159">
        <f>'66 SYANA PRAROOP-20'!F298</f>
        <v>103</v>
      </c>
      <c r="W297" s="160"/>
      <c r="X297" s="160"/>
      <c r="Y297" s="159">
        <f>'66 SYANA PRAROOP-20'!G298</f>
        <v>4</v>
      </c>
      <c r="Z297" s="160"/>
      <c r="AA297" s="160"/>
      <c r="AB297" s="168">
        <f>'66 SYANA PRAROOP-20'!H298</f>
        <v>3</v>
      </c>
      <c r="AC297" s="160"/>
      <c r="AD297" s="160"/>
      <c r="AE297" s="168">
        <f>'66 SYANA PRAROOP-20'!I298</f>
        <v>7</v>
      </c>
      <c r="AF297" s="160"/>
      <c r="AG297" s="160"/>
      <c r="AH297" s="168">
        <f>'66 SYANA PRAROOP-20'!J298</f>
        <v>7</v>
      </c>
      <c r="AI297" s="159">
        <f t="shared" si="14"/>
        <v>827</v>
      </c>
      <c r="AJ297" s="150">
        <f t="shared" si="12"/>
        <v>-5</v>
      </c>
    </row>
    <row r="298" spans="1:36" ht="38.25">
      <c r="A298" s="151">
        <v>66</v>
      </c>
      <c r="B298" s="155">
        <v>292</v>
      </c>
      <c r="C298" s="156" t="s">
        <v>938</v>
      </c>
      <c r="D298" s="155">
        <v>493</v>
      </c>
      <c r="E298" s="151">
        <v>130</v>
      </c>
      <c r="F298" s="151">
        <v>132</v>
      </c>
      <c r="G298" s="151">
        <v>0</v>
      </c>
      <c r="H298" s="151">
        <f t="shared" si="13"/>
        <v>262</v>
      </c>
      <c r="I298" s="155">
        <v>17</v>
      </c>
      <c r="J298" s="151">
        <v>0</v>
      </c>
      <c r="K298" s="160"/>
      <c r="L298" s="160"/>
      <c r="M298" s="168">
        <f>'66 SYANA PRAROOP-20'!C299</f>
        <v>23</v>
      </c>
      <c r="N298" s="160"/>
      <c r="O298" s="160"/>
      <c r="P298" s="158">
        <f>'66 SYANA PRAROOP-20'!D299</f>
        <v>196</v>
      </c>
      <c r="Q298" s="160"/>
      <c r="R298" s="160"/>
      <c r="S298" s="158">
        <f>'66 SYANA PRAROOP-20'!E299</f>
        <v>15</v>
      </c>
      <c r="T298" s="160"/>
      <c r="U298" s="160"/>
      <c r="V298" s="159">
        <f>'66 SYANA PRAROOP-20'!F299</f>
        <v>24</v>
      </c>
      <c r="W298" s="160"/>
      <c r="X298" s="160"/>
      <c r="Y298" s="159">
        <f>'66 SYANA PRAROOP-20'!G299</f>
        <v>0</v>
      </c>
      <c r="Z298" s="160"/>
      <c r="AA298" s="160"/>
      <c r="AB298" s="168">
        <f>'66 SYANA PRAROOP-20'!H299</f>
        <v>0</v>
      </c>
      <c r="AC298" s="160"/>
      <c r="AD298" s="160"/>
      <c r="AE298" s="168">
        <f>'66 SYANA PRAROOP-20'!I299</f>
        <v>2</v>
      </c>
      <c r="AF298" s="160"/>
      <c r="AG298" s="160"/>
      <c r="AH298" s="168">
        <f>'66 SYANA PRAROOP-20'!J299</f>
        <v>1</v>
      </c>
      <c r="AI298" s="159">
        <f t="shared" si="14"/>
        <v>261</v>
      </c>
      <c r="AJ298" s="150">
        <f t="shared" si="12"/>
        <v>-1</v>
      </c>
    </row>
    <row r="299" spans="1:36" ht="51">
      <c r="A299" s="151">
        <v>66</v>
      </c>
      <c r="B299" s="155">
        <v>293</v>
      </c>
      <c r="C299" s="156" t="s">
        <v>939</v>
      </c>
      <c r="D299" s="155">
        <v>501</v>
      </c>
      <c r="E299" s="151">
        <v>156</v>
      </c>
      <c r="F299" s="151">
        <v>155</v>
      </c>
      <c r="G299" s="151">
        <v>0</v>
      </c>
      <c r="H299" s="151">
        <f t="shared" si="13"/>
        <v>311</v>
      </c>
      <c r="I299" s="155">
        <v>56</v>
      </c>
      <c r="J299" s="151">
        <v>0</v>
      </c>
      <c r="K299" s="160"/>
      <c r="L299" s="160"/>
      <c r="M299" s="168">
        <f>'66 SYANA PRAROOP-20'!C300</f>
        <v>38</v>
      </c>
      <c r="N299" s="160"/>
      <c r="O299" s="160"/>
      <c r="P299" s="158">
        <f>'66 SYANA PRAROOP-20'!D300</f>
        <v>94</v>
      </c>
      <c r="Q299" s="160"/>
      <c r="R299" s="160"/>
      <c r="S299" s="158">
        <f>'66 SYANA PRAROOP-20'!E300</f>
        <v>70</v>
      </c>
      <c r="T299" s="160"/>
      <c r="U299" s="160"/>
      <c r="V299" s="159">
        <f>'66 SYANA PRAROOP-20'!F300</f>
        <v>104</v>
      </c>
      <c r="W299" s="160"/>
      <c r="X299" s="160"/>
      <c r="Y299" s="159">
        <f>'66 SYANA PRAROOP-20'!G300</f>
        <v>1</v>
      </c>
      <c r="Z299" s="160"/>
      <c r="AA299" s="160"/>
      <c r="AB299" s="168">
        <f>'66 SYANA PRAROOP-20'!H300</f>
        <v>1</v>
      </c>
      <c r="AC299" s="160"/>
      <c r="AD299" s="160"/>
      <c r="AE299" s="168">
        <f>'66 SYANA PRAROOP-20'!I300</f>
        <v>1</v>
      </c>
      <c r="AF299" s="160"/>
      <c r="AG299" s="160"/>
      <c r="AH299" s="168">
        <f>'66 SYANA PRAROOP-20'!J300</f>
        <v>0</v>
      </c>
      <c r="AI299" s="159">
        <f t="shared" si="14"/>
        <v>309</v>
      </c>
      <c r="AJ299" s="150">
        <f t="shared" si="12"/>
        <v>-2</v>
      </c>
    </row>
    <row r="300" spans="1:36" ht="51">
      <c r="A300" s="151">
        <v>66</v>
      </c>
      <c r="B300" s="155">
        <v>294</v>
      </c>
      <c r="C300" s="156" t="s">
        <v>940</v>
      </c>
      <c r="D300" s="155">
        <v>951</v>
      </c>
      <c r="E300" s="151">
        <v>311</v>
      </c>
      <c r="F300" s="151">
        <v>301</v>
      </c>
      <c r="G300" s="151">
        <v>0</v>
      </c>
      <c r="H300" s="151">
        <f t="shared" si="13"/>
        <v>612</v>
      </c>
      <c r="I300" s="155">
        <v>34</v>
      </c>
      <c r="J300" s="151">
        <v>0</v>
      </c>
      <c r="K300" s="160"/>
      <c r="L300" s="160"/>
      <c r="M300" s="168">
        <f>'66 SYANA PRAROOP-20'!C301</f>
        <v>179</v>
      </c>
      <c r="N300" s="160"/>
      <c r="O300" s="160"/>
      <c r="P300" s="158">
        <f>'66 SYANA PRAROOP-20'!D301</f>
        <v>300</v>
      </c>
      <c r="Q300" s="160"/>
      <c r="R300" s="160"/>
      <c r="S300" s="158">
        <f>'66 SYANA PRAROOP-20'!E301</f>
        <v>11</v>
      </c>
      <c r="T300" s="160"/>
      <c r="U300" s="160"/>
      <c r="V300" s="159">
        <f>'66 SYANA PRAROOP-20'!F301</f>
        <v>115</v>
      </c>
      <c r="W300" s="160"/>
      <c r="X300" s="160"/>
      <c r="Y300" s="159">
        <f>'66 SYANA PRAROOP-20'!G301</f>
        <v>2</v>
      </c>
      <c r="Z300" s="160"/>
      <c r="AA300" s="160"/>
      <c r="AB300" s="168">
        <f>'66 SYANA PRAROOP-20'!H301</f>
        <v>1</v>
      </c>
      <c r="AC300" s="160"/>
      <c r="AD300" s="160"/>
      <c r="AE300" s="168">
        <f>'66 SYANA PRAROOP-20'!I301</f>
        <v>1</v>
      </c>
      <c r="AF300" s="160"/>
      <c r="AG300" s="160"/>
      <c r="AH300" s="168">
        <f>'66 SYANA PRAROOP-20'!J301</f>
        <v>1</v>
      </c>
      <c r="AI300" s="159">
        <f t="shared" si="14"/>
        <v>610</v>
      </c>
      <c r="AJ300" s="150">
        <f t="shared" si="12"/>
        <v>-2</v>
      </c>
    </row>
    <row r="301" spans="1:36" ht="51">
      <c r="A301" s="151">
        <v>66</v>
      </c>
      <c r="B301" s="155">
        <v>295</v>
      </c>
      <c r="C301" s="156" t="s">
        <v>941</v>
      </c>
      <c r="D301" s="155">
        <v>660</v>
      </c>
      <c r="E301" s="151">
        <v>192</v>
      </c>
      <c r="F301" s="151">
        <v>162</v>
      </c>
      <c r="G301" s="151">
        <v>0</v>
      </c>
      <c r="H301" s="151">
        <f t="shared" si="13"/>
        <v>354</v>
      </c>
      <c r="I301" s="155">
        <v>40</v>
      </c>
      <c r="J301" s="151">
        <v>0</v>
      </c>
      <c r="K301" s="160"/>
      <c r="L301" s="160"/>
      <c r="M301" s="168">
        <f>'66 SYANA PRAROOP-20'!C302</f>
        <v>54</v>
      </c>
      <c r="N301" s="160"/>
      <c r="O301" s="160"/>
      <c r="P301" s="158">
        <f>'66 SYANA PRAROOP-20'!D302</f>
        <v>107</v>
      </c>
      <c r="Q301" s="160"/>
      <c r="R301" s="160"/>
      <c r="S301" s="158">
        <f>'66 SYANA PRAROOP-20'!E302</f>
        <v>1</v>
      </c>
      <c r="T301" s="160"/>
      <c r="U301" s="160"/>
      <c r="V301" s="159">
        <f>'66 SYANA PRAROOP-20'!F302</f>
        <v>189</v>
      </c>
      <c r="W301" s="160"/>
      <c r="X301" s="160"/>
      <c r="Y301" s="159">
        <f>'66 SYANA PRAROOP-20'!G302</f>
        <v>0</v>
      </c>
      <c r="Z301" s="160"/>
      <c r="AA301" s="160"/>
      <c r="AB301" s="168">
        <f>'66 SYANA PRAROOP-20'!H302</f>
        <v>1</v>
      </c>
      <c r="AC301" s="160"/>
      <c r="AD301" s="160"/>
      <c r="AE301" s="168">
        <f>'66 SYANA PRAROOP-20'!I302</f>
        <v>1</v>
      </c>
      <c r="AF301" s="160"/>
      <c r="AG301" s="160"/>
      <c r="AH301" s="168">
        <f>'66 SYANA PRAROOP-20'!J302</f>
        <v>0</v>
      </c>
      <c r="AI301" s="159">
        <f t="shared" si="14"/>
        <v>353</v>
      </c>
      <c r="AJ301" s="150">
        <f t="shared" si="12"/>
        <v>-1</v>
      </c>
    </row>
    <row r="302" spans="1:36" ht="51">
      <c r="A302" s="151">
        <v>66</v>
      </c>
      <c r="B302" s="155">
        <v>296</v>
      </c>
      <c r="C302" s="156" t="s">
        <v>942</v>
      </c>
      <c r="D302" s="155">
        <v>1153</v>
      </c>
      <c r="E302" s="151">
        <v>287</v>
      </c>
      <c r="F302" s="151">
        <v>336</v>
      </c>
      <c r="G302" s="151">
        <v>0</v>
      </c>
      <c r="H302" s="151">
        <f t="shared" si="13"/>
        <v>623</v>
      </c>
      <c r="I302" s="155">
        <v>387</v>
      </c>
      <c r="J302" s="151">
        <v>0</v>
      </c>
      <c r="K302" s="160"/>
      <c r="L302" s="160"/>
      <c r="M302" s="168">
        <f>'66 SYANA PRAROOP-20'!C303</f>
        <v>348</v>
      </c>
      <c r="N302" s="160"/>
      <c r="O302" s="160"/>
      <c r="P302" s="158">
        <f>'66 SYANA PRAROOP-20'!D303</f>
        <v>256</v>
      </c>
      <c r="Q302" s="160"/>
      <c r="R302" s="160"/>
      <c r="S302" s="158">
        <f>'66 SYANA PRAROOP-20'!E303</f>
        <v>5</v>
      </c>
      <c r="T302" s="160"/>
      <c r="U302" s="160"/>
      <c r="V302" s="159">
        <f>'66 SYANA PRAROOP-20'!F303</f>
        <v>8</v>
      </c>
      <c r="W302" s="160"/>
      <c r="X302" s="160"/>
      <c r="Y302" s="159">
        <f>'66 SYANA PRAROOP-20'!G303</f>
        <v>2</v>
      </c>
      <c r="Z302" s="160"/>
      <c r="AA302" s="160"/>
      <c r="AB302" s="168">
        <f>'66 SYANA PRAROOP-20'!H303</f>
        <v>3</v>
      </c>
      <c r="AC302" s="160"/>
      <c r="AD302" s="160"/>
      <c r="AE302" s="168">
        <f>'66 SYANA PRAROOP-20'!I303</f>
        <v>0</v>
      </c>
      <c r="AF302" s="160"/>
      <c r="AG302" s="160"/>
      <c r="AH302" s="168">
        <f>'66 SYANA PRAROOP-20'!J303</f>
        <v>0</v>
      </c>
      <c r="AI302" s="159">
        <f t="shared" si="14"/>
        <v>622</v>
      </c>
      <c r="AJ302" s="150">
        <f t="shared" si="12"/>
        <v>-1</v>
      </c>
    </row>
    <row r="303" spans="1:36" ht="51">
      <c r="A303" s="151">
        <v>66</v>
      </c>
      <c r="B303" s="155">
        <v>297</v>
      </c>
      <c r="C303" s="156" t="s">
        <v>943</v>
      </c>
      <c r="D303" s="155">
        <v>816</v>
      </c>
      <c r="E303" s="151">
        <v>258</v>
      </c>
      <c r="F303" s="151">
        <v>250</v>
      </c>
      <c r="G303" s="151">
        <v>0</v>
      </c>
      <c r="H303" s="151">
        <f t="shared" si="13"/>
        <v>508</v>
      </c>
      <c r="I303" s="155">
        <v>56</v>
      </c>
      <c r="J303" s="151">
        <v>0</v>
      </c>
      <c r="K303" s="160"/>
      <c r="L303" s="160"/>
      <c r="M303" s="168">
        <f>'66 SYANA PRAROOP-20'!C304</f>
        <v>119</v>
      </c>
      <c r="N303" s="160"/>
      <c r="O303" s="160"/>
      <c r="P303" s="158">
        <f>'66 SYANA PRAROOP-20'!D304</f>
        <v>94</v>
      </c>
      <c r="Q303" s="160"/>
      <c r="R303" s="160"/>
      <c r="S303" s="158">
        <f>'66 SYANA PRAROOP-20'!E304</f>
        <v>4</v>
      </c>
      <c r="T303" s="160"/>
      <c r="U303" s="160"/>
      <c r="V303" s="159">
        <f>'66 SYANA PRAROOP-20'!F304</f>
        <v>287</v>
      </c>
      <c r="W303" s="160"/>
      <c r="X303" s="160"/>
      <c r="Y303" s="159">
        <f>'66 SYANA PRAROOP-20'!G304</f>
        <v>1</v>
      </c>
      <c r="Z303" s="160"/>
      <c r="AA303" s="160"/>
      <c r="AB303" s="168">
        <f>'66 SYANA PRAROOP-20'!H304</f>
        <v>1</v>
      </c>
      <c r="AC303" s="160"/>
      <c r="AD303" s="160"/>
      <c r="AE303" s="168">
        <f>'66 SYANA PRAROOP-20'!I304</f>
        <v>2</v>
      </c>
      <c r="AF303" s="160"/>
      <c r="AG303" s="160"/>
      <c r="AH303" s="168">
        <f>'66 SYANA PRAROOP-20'!J304</f>
        <v>0</v>
      </c>
      <c r="AI303" s="159">
        <f t="shared" si="14"/>
        <v>508</v>
      </c>
      <c r="AJ303" s="150">
        <f t="shared" si="12"/>
        <v>0</v>
      </c>
    </row>
    <row r="304" spans="1:36" ht="51">
      <c r="A304" s="151">
        <v>66</v>
      </c>
      <c r="B304" s="155">
        <v>298</v>
      </c>
      <c r="C304" s="156" t="s">
        <v>944</v>
      </c>
      <c r="D304" s="155">
        <v>792</v>
      </c>
      <c r="E304" s="151">
        <v>207</v>
      </c>
      <c r="F304" s="151">
        <v>180</v>
      </c>
      <c r="G304" s="151">
        <v>0</v>
      </c>
      <c r="H304" s="151">
        <f t="shared" si="13"/>
        <v>387</v>
      </c>
      <c r="I304" s="155">
        <v>307</v>
      </c>
      <c r="J304" s="151">
        <v>0</v>
      </c>
      <c r="K304" s="160"/>
      <c r="L304" s="160"/>
      <c r="M304" s="168">
        <f>'66 SYANA PRAROOP-20'!C305</f>
        <v>94</v>
      </c>
      <c r="N304" s="160"/>
      <c r="O304" s="160"/>
      <c r="P304" s="158">
        <f>'66 SYANA PRAROOP-20'!D305</f>
        <v>169</v>
      </c>
      <c r="Q304" s="160"/>
      <c r="R304" s="160"/>
      <c r="S304" s="158">
        <f>'66 SYANA PRAROOP-20'!E305</f>
        <v>5</v>
      </c>
      <c r="T304" s="160"/>
      <c r="U304" s="160"/>
      <c r="V304" s="159">
        <f>'66 SYANA PRAROOP-20'!F305</f>
        <v>111</v>
      </c>
      <c r="W304" s="160"/>
      <c r="X304" s="160"/>
      <c r="Y304" s="159">
        <f>'66 SYANA PRAROOP-20'!G305</f>
        <v>2</v>
      </c>
      <c r="Z304" s="160"/>
      <c r="AA304" s="160"/>
      <c r="AB304" s="168">
        <f>'66 SYANA PRAROOP-20'!H305</f>
        <v>2</v>
      </c>
      <c r="AC304" s="160"/>
      <c r="AD304" s="160"/>
      <c r="AE304" s="168">
        <f>'66 SYANA PRAROOP-20'!I305</f>
        <v>2</v>
      </c>
      <c r="AF304" s="160"/>
      <c r="AG304" s="160"/>
      <c r="AH304" s="168">
        <f>'66 SYANA PRAROOP-20'!J305</f>
        <v>1</v>
      </c>
      <c r="AI304" s="159">
        <f t="shared" si="14"/>
        <v>386</v>
      </c>
      <c r="AJ304" s="150">
        <f t="shared" si="12"/>
        <v>-1</v>
      </c>
    </row>
    <row r="305" spans="1:36" ht="51">
      <c r="A305" s="151">
        <v>66</v>
      </c>
      <c r="B305" s="155">
        <v>299</v>
      </c>
      <c r="C305" s="156" t="s">
        <v>945</v>
      </c>
      <c r="D305" s="155">
        <v>781</v>
      </c>
      <c r="E305" s="151">
        <v>336</v>
      </c>
      <c r="F305" s="151">
        <v>322</v>
      </c>
      <c r="G305" s="151">
        <v>0</v>
      </c>
      <c r="H305" s="151">
        <f t="shared" si="13"/>
        <v>658</v>
      </c>
      <c r="I305" s="155">
        <v>208</v>
      </c>
      <c r="J305" s="151">
        <v>0</v>
      </c>
      <c r="K305" s="160"/>
      <c r="L305" s="160"/>
      <c r="M305" s="168">
        <f>'66 SYANA PRAROOP-20'!C306</f>
        <v>15</v>
      </c>
      <c r="N305" s="160"/>
      <c r="O305" s="160"/>
      <c r="P305" s="158">
        <f>'66 SYANA PRAROOP-20'!D306</f>
        <v>514</v>
      </c>
      <c r="Q305" s="160"/>
      <c r="R305" s="160"/>
      <c r="S305" s="158">
        <f>'66 SYANA PRAROOP-20'!E306</f>
        <v>3</v>
      </c>
      <c r="T305" s="160"/>
      <c r="U305" s="160"/>
      <c r="V305" s="159">
        <f>'66 SYANA PRAROOP-20'!F306</f>
        <v>110</v>
      </c>
      <c r="W305" s="160"/>
      <c r="X305" s="160"/>
      <c r="Y305" s="159">
        <f>'66 SYANA PRAROOP-20'!G306</f>
        <v>0</v>
      </c>
      <c r="Z305" s="160"/>
      <c r="AA305" s="160"/>
      <c r="AB305" s="168">
        <f>'66 SYANA PRAROOP-20'!H306</f>
        <v>3</v>
      </c>
      <c r="AC305" s="160"/>
      <c r="AD305" s="160"/>
      <c r="AE305" s="168">
        <f>'66 SYANA PRAROOP-20'!I306</f>
        <v>6</v>
      </c>
      <c r="AF305" s="160"/>
      <c r="AG305" s="160"/>
      <c r="AH305" s="168">
        <f>'66 SYANA PRAROOP-20'!J306</f>
        <v>4</v>
      </c>
      <c r="AI305" s="159">
        <f t="shared" si="14"/>
        <v>655</v>
      </c>
      <c r="AJ305" s="150">
        <f t="shared" si="12"/>
        <v>-3</v>
      </c>
    </row>
    <row r="306" spans="1:36" ht="51">
      <c r="A306" s="151">
        <v>66</v>
      </c>
      <c r="B306" s="155">
        <v>300</v>
      </c>
      <c r="C306" s="156" t="s">
        <v>946</v>
      </c>
      <c r="D306" s="155">
        <v>698</v>
      </c>
      <c r="E306" s="151">
        <v>188</v>
      </c>
      <c r="F306" s="151">
        <v>191</v>
      </c>
      <c r="G306" s="151">
        <v>0</v>
      </c>
      <c r="H306" s="151">
        <f t="shared" si="13"/>
        <v>379</v>
      </c>
      <c r="I306" s="155">
        <v>340</v>
      </c>
      <c r="J306" s="151">
        <v>0</v>
      </c>
      <c r="K306" s="160"/>
      <c r="L306" s="160"/>
      <c r="M306" s="168">
        <f>'66 SYANA PRAROOP-20'!C307</f>
        <v>90</v>
      </c>
      <c r="N306" s="160"/>
      <c r="O306" s="160"/>
      <c r="P306" s="158">
        <f>'66 SYANA PRAROOP-20'!D307</f>
        <v>217</v>
      </c>
      <c r="Q306" s="160"/>
      <c r="R306" s="160"/>
      <c r="S306" s="158">
        <f>'66 SYANA PRAROOP-20'!E307</f>
        <v>27</v>
      </c>
      <c r="T306" s="160"/>
      <c r="U306" s="160"/>
      <c r="V306" s="159">
        <f>'66 SYANA PRAROOP-20'!F307</f>
        <v>42</v>
      </c>
      <c r="W306" s="160"/>
      <c r="X306" s="160"/>
      <c r="Y306" s="159">
        <f>'66 SYANA PRAROOP-20'!G307</f>
        <v>2</v>
      </c>
      <c r="Z306" s="160"/>
      <c r="AA306" s="160"/>
      <c r="AB306" s="168">
        <f>'66 SYANA PRAROOP-20'!H307</f>
        <v>1</v>
      </c>
      <c r="AC306" s="160"/>
      <c r="AD306" s="160"/>
      <c r="AE306" s="168">
        <f>'66 SYANA PRAROOP-20'!I307</f>
        <v>0</v>
      </c>
      <c r="AF306" s="160"/>
      <c r="AG306" s="160"/>
      <c r="AH306" s="168">
        <f>'66 SYANA PRAROOP-20'!J307</f>
        <v>0</v>
      </c>
      <c r="AI306" s="159">
        <f t="shared" si="14"/>
        <v>379</v>
      </c>
      <c r="AJ306" s="150">
        <f t="shared" si="12"/>
        <v>0</v>
      </c>
    </row>
    <row r="307" spans="1:36" ht="51">
      <c r="A307" s="151">
        <v>66</v>
      </c>
      <c r="B307" s="155">
        <v>301</v>
      </c>
      <c r="C307" s="156" t="s">
        <v>947</v>
      </c>
      <c r="D307" s="155">
        <v>739</v>
      </c>
      <c r="E307" s="151">
        <v>235</v>
      </c>
      <c r="F307" s="151">
        <v>189</v>
      </c>
      <c r="G307" s="151">
        <v>0</v>
      </c>
      <c r="H307" s="151">
        <f t="shared" si="13"/>
        <v>424</v>
      </c>
      <c r="I307" s="155">
        <v>43</v>
      </c>
      <c r="J307" s="151">
        <v>0</v>
      </c>
      <c r="K307" s="160"/>
      <c r="L307" s="160"/>
      <c r="M307" s="168">
        <f>'66 SYANA PRAROOP-20'!C308</f>
        <v>103</v>
      </c>
      <c r="N307" s="160"/>
      <c r="O307" s="160"/>
      <c r="P307" s="158">
        <f>'66 SYANA PRAROOP-20'!D308</f>
        <v>78</v>
      </c>
      <c r="Q307" s="160"/>
      <c r="R307" s="160"/>
      <c r="S307" s="158">
        <f>'66 SYANA PRAROOP-20'!E308</f>
        <v>5</v>
      </c>
      <c r="T307" s="160"/>
      <c r="U307" s="160"/>
      <c r="V307" s="159">
        <f>'66 SYANA PRAROOP-20'!F308</f>
        <v>231</v>
      </c>
      <c r="W307" s="160"/>
      <c r="X307" s="160"/>
      <c r="Y307" s="159">
        <f>'66 SYANA PRAROOP-20'!G308</f>
        <v>1</v>
      </c>
      <c r="Z307" s="160"/>
      <c r="AA307" s="160"/>
      <c r="AB307" s="168">
        <f>'66 SYANA PRAROOP-20'!H308</f>
        <v>3</v>
      </c>
      <c r="AC307" s="160"/>
      <c r="AD307" s="160"/>
      <c r="AE307" s="168">
        <f>'66 SYANA PRAROOP-20'!I308</f>
        <v>1</v>
      </c>
      <c r="AF307" s="160"/>
      <c r="AG307" s="160"/>
      <c r="AH307" s="168">
        <f>'66 SYANA PRAROOP-20'!J308</f>
        <v>0</v>
      </c>
      <c r="AI307" s="159">
        <f t="shared" si="14"/>
        <v>422</v>
      </c>
      <c r="AJ307" s="150">
        <f t="shared" si="12"/>
        <v>-2</v>
      </c>
    </row>
    <row r="308" spans="1:36" ht="38.25">
      <c r="A308" s="151">
        <v>66</v>
      </c>
      <c r="B308" s="155">
        <v>302</v>
      </c>
      <c r="C308" s="156" t="s">
        <v>948</v>
      </c>
      <c r="D308" s="155">
        <v>679</v>
      </c>
      <c r="E308" s="151">
        <v>230</v>
      </c>
      <c r="F308" s="151">
        <v>215</v>
      </c>
      <c r="G308" s="151">
        <v>0</v>
      </c>
      <c r="H308" s="151">
        <f t="shared" si="13"/>
        <v>445</v>
      </c>
      <c r="I308" s="155">
        <v>330</v>
      </c>
      <c r="J308" s="151">
        <v>0</v>
      </c>
      <c r="K308" s="160"/>
      <c r="L308" s="160"/>
      <c r="M308" s="168">
        <f>'66 SYANA PRAROOP-20'!C309</f>
        <v>11</v>
      </c>
      <c r="N308" s="160"/>
      <c r="O308" s="160"/>
      <c r="P308" s="158">
        <f>'66 SYANA PRAROOP-20'!D309</f>
        <v>277</v>
      </c>
      <c r="Q308" s="160"/>
      <c r="R308" s="160"/>
      <c r="S308" s="158">
        <f>'66 SYANA PRAROOP-20'!E309</f>
        <v>15</v>
      </c>
      <c r="T308" s="160"/>
      <c r="U308" s="160"/>
      <c r="V308" s="159">
        <f>'66 SYANA PRAROOP-20'!F309</f>
        <v>136</v>
      </c>
      <c r="W308" s="160"/>
      <c r="X308" s="160"/>
      <c r="Y308" s="159">
        <f>'66 SYANA PRAROOP-20'!G309</f>
        <v>1</v>
      </c>
      <c r="Z308" s="160"/>
      <c r="AA308" s="160"/>
      <c r="AB308" s="168">
        <f>'66 SYANA PRAROOP-20'!H309</f>
        <v>3</v>
      </c>
      <c r="AC308" s="160"/>
      <c r="AD308" s="160"/>
      <c r="AE308" s="168">
        <f>'66 SYANA PRAROOP-20'!I309</f>
        <v>1</v>
      </c>
      <c r="AF308" s="160"/>
      <c r="AG308" s="160"/>
      <c r="AH308" s="168">
        <f>'66 SYANA PRAROOP-20'!J309</f>
        <v>1</v>
      </c>
      <c r="AI308" s="159">
        <f t="shared" si="14"/>
        <v>445</v>
      </c>
      <c r="AJ308" s="150">
        <f t="shared" si="12"/>
        <v>0</v>
      </c>
    </row>
    <row r="309" spans="1:36" ht="51">
      <c r="A309" s="151">
        <v>66</v>
      </c>
      <c r="B309" s="155">
        <v>303</v>
      </c>
      <c r="C309" s="156" t="s">
        <v>949</v>
      </c>
      <c r="D309" s="155">
        <v>678</v>
      </c>
      <c r="E309" s="151">
        <v>233</v>
      </c>
      <c r="F309" s="151">
        <v>236</v>
      </c>
      <c r="G309" s="151">
        <v>0</v>
      </c>
      <c r="H309" s="151">
        <f t="shared" si="13"/>
        <v>469</v>
      </c>
      <c r="I309" s="155">
        <v>23</v>
      </c>
      <c r="J309" s="151">
        <v>0</v>
      </c>
      <c r="K309" s="160"/>
      <c r="L309" s="160"/>
      <c r="M309" s="168">
        <f>'66 SYANA PRAROOP-20'!C310</f>
        <v>21</v>
      </c>
      <c r="N309" s="160"/>
      <c r="O309" s="160"/>
      <c r="P309" s="158">
        <f>'66 SYANA PRAROOP-20'!D310</f>
        <v>414</v>
      </c>
      <c r="Q309" s="160"/>
      <c r="R309" s="160"/>
      <c r="S309" s="158">
        <f>'66 SYANA PRAROOP-20'!E310</f>
        <v>22</v>
      </c>
      <c r="T309" s="160"/>
      <c r="U309" s="160"/>
      <c r="V309" s="159">
        <f>'66 SYANA PRAROOP-20'!F310</f>
        <v>4</v>
      </c>
      <c r="W309" s="160"/>
      <c r="X309" s="160"/>
      <c r="Y309" s="159">
        <f>'66 SYANA PRAROOP-20'!G310</f>
        <v>0</v>
      </c>
      <c r="Z309" s="160"/>
      <c r="AA309" s="160"/>
      <c r="AB309" s="168">
        <f>'66 SYANA PRAROOP-20'!H310</f>
        <v>0</v>
      </c>
      <c r="AC309" s="160"/>
      <c r="AD309" s="160"/>
      <c r="AE309" s="168">
        <f>'66 SYANA PRAROOP-20'!I310</f>
        <v>3</v>
      </c>
      <c r="AF309" s="160"/>
      <c r="AG309" s="160"/>
      <c r="AH309" s="168">
        <f>'66 SYANA PRAROOP-20'!J310</f>
        <v>3</v>
      </c>
      <c r="AI309" s="159">
        <f t="shared" si="14"/>
        <v>467</v>
      </c>
      <c r="AJ309" s="150">
        <f t="shared" si="12"/>
        <v>-2</v>
      </c>
    </row>
    <row r="310" spans="1:36" ht="51">
      <c r="A310" s="151">
        <v>66</v>
      </c>
      <c r="B310" s="155">
        <v>304</v>
      </c>
      <c r="C310" s="156" t="s">
        <v>950</v>
      </c>
      <c r="D310" s="155">
        <v>648</v>
      </c>
      <c r="E310" s="151">
        <v>187</v>
      </c>
      <c r="F310" s="151">
        <v>227</v>
      </c>
      <c r="G310" s="151">
        <v>0</v>
      </c>
      <c r="H310" s="151">
        <f t="shared" si="13"/>
        <v>414</v>
      </c>
      <c r="I310" s="155">
        <v>287</v>
      </c>
      <c r="J310" s="151">
        <v>0</v>
      </c>
      <c r="K310" s="160"/>
      <c r="L310" s="160"/>
      <c r="M310" s="168">
        <f>'66 SYANA PRAROOP-20'!C311</f>
        <v>5</v>
      </c>
      <c r="N310" s="160"/>
      <c r="O310" s="160"/>
      <c r="P310" s="158">
        <f>'66 SYANA PRAROOP-20'!D311</f>
        <v>323</v>
      </c>
      <c r="Q310" s="160"/>
      <c r="R310" s="160"/>
      <c r="S310" s="158">
        <f>'66 SYANA PRAROOP-20'!E311</f>
        <v>3</v>
      </c>
      <c r="T310" s="160"/>
      <c r="U310" s="160"/>
      <c r="V310" s="159">
        <f>'66 SYANA PRAROOP-20'!F311</f>
        <v>77</v>
      </c>
      <c r="W310" s="160"/>
      <c r="X310" s="160"/>
      <c r="Y310" s="159">
        <f>'66 SYANA PRAROOP-20'!G311</f>
        <v>2</v>
      </c>
      <c r="Z310" s="160"/>
      <c r="AA310" s="160"/>
      <c r="AB310" s="168">
        <f>'66 SYANA PRAROOP-20'!H311</f>
        <v>1</v>
      </c>
      <c r="AC310" s="160"/>
      <c r="AD310" s="160"/>
      <c r="AE310" s="168">
        <f>'66 SYANA PRAROOP-20'!I311</f>
        <v>0</v>
      </c>
      <c r="AF310" s="160"/>
      <c r="AG310" s="160"/>
      <c r="AH310" s="168">
        <f>'66 SYANA PRAROOP-20'!J311</f>
        <v>2</v>
      </c>
      <c r="AI310" s="159">
        <f t="shared" si="14"/>
        <v>413</v>
      </c>
      <c r="AJ310" s="150">
        <f t="shared" si="12"/>
        <v>-1</v>
      </c>
    </row>
    <row r="311" spans="1:36" ht="38.25">
      <c r="A311" s="151">
        <v>66</v>
      </c>
      <c r="B311" s="155">
        <v>305</v>
      </c>
      <c r="C311" s="156" t="s">
        <v>1135</v>
      </c>
      <c r="D311" s="155">
        <v>1043</v>
      </c>
      <c r="E311" s="151">
        <v>320</v>
      </c>
      <c r="F311" s="151">
        <v>304</v>
      </c>
      <c r="G311" s="151">
        <v>0</v>
      </c>
      <c r="H311" s="151">
        <f t="shared" si="13"/>
        <v>624</v>
      </c>
      <c r="I311" s="155">
        <v>24</v>
      </c>
      <c r="J311" s="151">
        <v>0</v>
      </c>
      <c r="K311" s="160"/>
      <c r="L311" s="160"/>
      <c r="M311" s="168">
        <f>'66 SYANA PRAROOP-20'!C312</f>
        <v>4</v>
      </c>
      <c r="N311" s="160"/>
      <c r="O311" s="160"/>
      <c r="P311" s="158">
        <f>'66 SYANA PRAROOP-20'!D312</f>
        <v>607</v>
      </c>
      <c r="Q311" s="160"/>
      <c r="R311" s="160"/>
      <c r="S311" s="158">
        <f>'66 SYANA PRAROOP-20'!E312</f>
        <v>4</v>
      </c>
      <c r="T311" s="160"/>
      <c r="U311" s="160"/>
      <c r="V311" s="159">
        <f>'66 SYANA PRAROOP-20'!F312</f>
        <v>0</v>
      </c>
      <c r="W311" s="160"/>
      <c r="X311" s="160"/>
      <c r="Y311" s="159">
        <f>'66 SYANA PRAROOP-20'!G312</f>
        <v>1</v>
      </c>
      <c r="Z311" s="160"/>
      <c r="AA311" s="160"/>
      <c r="AB311" s="168">
        <f>'66 SYANA PRAROOP-20'!H312</f>
        <v>0</v>
      </c>
      <c r="AC311" s="160"/>
      <c r="AD311" s="160"/>
      <c r="AE311" s="168">
        <f>'66 SYANA PRAROOP-20'!I312</f>
        <v>0</v>
      </c>
      <c r="AF311" s="160"/>
      <c r="AG311" s="160"/>
      <c r="AH311" s="168">
        <f>'66 SYANA PRAROOP-20'!J312</f>
        <v>8</v>
      </c>
      <c r="AI311" s="159">
        <f t="shared" si="14"/>
        <v>624</v>
      </c>
      <c r="AJ311" s="150">
        <f t="shared" si="12"/>
        <v>0</v>
      </c>
    </row>
    <row r="312" spans="1:36" ht="38.25">
      <c r="A312" s="151">
        <v>66</v>
      </c>
      <c r="B312" s="155">
        <v>306</v>
      </c>
      <c r="C312" s="156" t="s">
        <v>951</v>
      </c>
      <c r="D312" s="155">
        <v>402</v>
      </c>
      <c r="E312" s="151">
        <v>132</v>
      </c>
      <c r="F312" s="151">
        <v>109</v>
      </c>
      <c r="G312" s="151">
        <v>0</v>
      </c>
      <c r="H312" s="151">
        <f t="shared" si="13"/>
        <v>241</v>
      </c>
      <c r="I312" s="155">
        <v>10</v>
      </c>
      <c r="J312" s="151">
        <v>0</v>
      </c>
      <c r="K312" s="160"/>
      <c r="L312" s="160"/>
      <c r="M312" s="168">
        <f>'66 SYANA PRAROOP-20'!C313</f>
        <v>38</v>
      </c>
      <c r="N312" s="160"/>
      <c r="O312" s="160"/>
      <c r="P312" s="158">
        <f>'66 SYANA PRAROOP-20'!D313</f>
        <v>194</v>
      </c>
      <c r="Q312" s="160"/>
      <c r="R312" s="160"/>
      <c r="S312" s="158">
        <f>'66 SYANA PRAROOP-20'!E313</f>
        <v>2</v>
      </c>
      <c r="T312" s="160"/>
      <c r="U312" s="160"/>
      <c r="V312" s="159">
        <f>'66 SYANA PRAROOP-20'!F313</f>
        <v>3</v>
      </c>
      <c r="W312" s="160"/>
      <c r="X312" s="160"/>
      <c r="Y312" s="159">
        <f>'66 SYANA PRAROOP-20'!G313</f>
        <v>1</v>
      </c>
      <c r="Z312" s="160"/>
      <c r="AA312" s="160"/>
      <c r="AB312" s="168">
        <f>'66 SYANA PRAROOP-20'!H313</f>
        <v>1</v>
      </c>
      <c r="AC312" s="160"/>
      <c r="AD312" s="160"/>
      <c r="AE312" s="168">
        <f>'66 SYANA PRAROOP-20'!I313</f>
        <v>0</v>
      </c>
      <c r="AF312" s="160"/>
      <c r="AG312" s="160"/>
      <c r="AH312" s="168">
        <f>'66 SYANA PRAROOP-20'!J313</f>
        <v>1</v>
      </c>
      <c r="AI312" s="159">
        <f t="shared" si="14"/>
        <v>240</v>
      </c>
      <c r="AJ312" s="150">
        <f t="shared" si="12"/>
        <v>-1</v>
      </c>
    </row>
    <row r="313" spans="1:36" ht="51">
      <c r="A313" s="151">
        <v>66</v>
      </c>
      <c r="B313" s="155">
        <v>307</v>
      </c>
      <c r="C313" s="156" t="s">
        <v>952</v>
      </c>
      <c r="D313" s="155">
        <v>877</v>
      </c>
      <c r="E313" s="151">
        <v>330</v>
      </c>
      <c r="F313" s="151">
        <v>311</v>
      </c>
      <c r="G313" s="151">
        <v>0</v>
      </c>
      <c r="H313" s="151">
        <f t="shared" si="13"/>
        <v>641</v>
      </c>
      <c r="I313" s="155">
        <v>30</v>
      </c>
      <c r="J313" s="151">
        <v>0</v>
      </c>
      <c r="K313" s="160"/>
      <c r="L313" s="160"/>
      <c r="M313" s="168">
        <f>'66 SYANA PRAROOP-20'!C314</f>
        <v>24</v>
      </c>
      <c r="N313" s="160"/>
      <c r="O313" s="160"/>
      <c r="P313" s="158">
        <f>'66 SYANA PRAROOP-20'!D314</f>
        <v>592</v>
      </c>
      <c r="Q313" s="160"/>
      <c r="R313" s="160"/>
      <c r="S313" s="158">
        <f>'66 SYANA PRAROOP-20'!E314</f>
        <v>8</v>
      </c>
      <c r="T313" s="160"/>
      <c r="U313" s="160"/>
      <c r="V313" s="159">
        <f>'66 SYANA PRAROOP-20'!F314</f>
        <v>4</v>
      </c>
      <c r="W313" s="160"/>
      <c r="X313" s="160"/>
      <c r="Y313" s="159">
        <f>'66 SYANA PRAROOP-20'!G314</f>
        <v>0</v>
      </c>
      <c r="Z313" s="160"/>
      <c r="AA313" s="160"/>
      <c r="AB313" s="168">
        <f>'66 SYANA PRAROOP-20'!H314</f>
        <v>1</v>
      </c>
      <c r="AC313" s="160"/>
      <c r="AD313" s="160"/>
      <c r="AE313" s="168">
        <f>'66 SYANA PRAROOP-20'!I314</f>
        <v>4</v>
      </c>
      <c r="AF313" s="160"/>
      <c r="AG313" s="160"/>
      <c r="AH313" s="168">
        <f>'66 SYANA PRAROOP-20'!J314</f>
        <v>3</v>
      </c>
      <c r="AI313" s="159">
        <f t="shared" si="14"/>
        <v>636</v>
      </c>
      <c r="AJ313" s="150">
        <f t="shared" si="12"/>
        <v>-5</v>
      </c>
    </row>
    <row r="314" spans="1:36" ht="51">
      <c r="A314" s="151">
        <v>66</v>
      </c>
      <c r="B314" s="155">
        <v>308</v>
      </c>
      <c r="C314" s="156" t="s">
        <v>953</v>
      </c>
      <c r="D314" s="155">
        <v>762</v>
      </c>
      <c r="E314" s="151">
        <v>284</v>
      </c>
      <c r="F314" s="151">
        <v>249</v>
      </c>
      <c r="G314" s="151">
        <v>0</v>
      </c>
      <c r="H314" s="151">
        <f t="shared" si="13"/>
        <v>533</v>
      </c>
      <c r="I314" s="155">
        <v>30</v>
      </c>
      <c r="J314" s="151">
        <v>0</v>
      </c>
      <c r="K314" s="160"/>
      <c r="L314" s="160"/>
      <c r="M314" s="168">
        <f>'66 SYANA PRAROOP-20'!C315</f>
        <v>59</v>
      </c>
      <c r="N314" s="160"/>
      <c r="O314" s="160"/>
      <c r="P314" s="158">
        <f>'66 SYANA PRAROOP-20'!D315</f>
        <v>432</v>
      </c>
      <c r="Q314" s="160"/>
      <c r="R314" s="160"/>
      <c r="S314" s="158">
        <f>'66 SYANA PRAROOP-20'!E315</f>
        <v>7</v>
      </c>
      <c r="T314" s="160"/>
      <c r="U314" s="160"/>
      <c r="V314" s="159">
        <f>'66 SYANA PRAROOP-20'!F315</f>
        <v>28</v>
      </c>
      <c r="W314" s="160"/>
      <c r="X314" s="160"/>
      <c r="Y314" s="159">
        <f>'66 SYANA PRAROOP-20'!G315</f>
        <v>0</v>
      </c>
      <c r="Z314" s="160"/>
      <c r="AA314" s="160"/>
      <c r="AB314" s="168">
        <f>'66 SYANA PRAROOP-20'!H315</f>
        <v>0</v>
      </c>
      <c r="AC314" s="160"/>
      <c r="AD314" s="160"/>
      <c r="AE314" s="168">
        <f>'66 SYANA PRAROOP-20'!I315</f>
        <v>1</v>
      </c>
      <c r="AF314" s="160"/>
      <c r="AG314" s="160"/>
      <c r="AH314" s="168">
        <f>'66 SYANA PRAROOP-20'!J315</f>
        <v>4</v>
      </c>
      <c r="AI314" s="159">
        <f t="shared" si="14"/>
        <v>531</v>
      </c>
      <c r="AJ314" s="150">
        <f t="shared" si="12"/>
        <v>-2</v>
      </c>
    </row>
    <row r="315" spans="1:36" ht="51">
      <c r="A315" s="151">
        <v>66</v>
      </c>
      <c r="B315" s="155">
        <v>309</v>
      </c>
      <c r="C315" s="156" t="s">
        <v>954</v>
      </c>
      <c r="D315" s="155">
        <v>772</v>
      </c>
      <c r="E315" s="151">
        <v>230</v>
      </c>
      <c r="F315" s="151">
        <v>208</v>
      </c>
      <c r="G315" s="151">
        <v>0</v>
      </c>
      <c r="H315" s="151">
        <f t="shared" si="13"/>
        <v>438</v>
      </c>
      <c r="I315" s="155">
        <v>22</v>
      </c>
      <c r="J315" s="151">
        <v>0</v>
      </c>
      <c r="K315" s="160"/>
      <c r="L315" s="160"/>
      <c r="M315" s="168">
        <f>'66 SYANA PRAROOP-20'!C316</f>
        <v>80</v>
      </c>
      <c r="N315" s="160"/>
      <c r="O315" s="160"/>
      <c r="P315" s="158">
        <f>'66 SYANA PRAROOP-20'!D316</f>
        <v>324</v>
      </c>
      <c r="Q315" s="160"/>
      <c r="R315" s="160"/>
      <c r="S315" s="158">
        <f>'66 SYANA PRAROOP-20'!E316</f>
        <v>4</v>
      </c>
      <c r="T315" s="160"/>
      <c r="U315" s="160"/>
      <c r="V315" s="159">
        <f>'66 SYANA PRAROOP-20'!F316</f>
        <v>17</v>
      </c>
      <c r="W315" s="160"/>
      <c r="X315" s="160"/>
      <c r="Y315" s="159">
        <f>'66 SYANA PRAROOP-20'!G316</f>
        <v>1</v>
      </c>
      <c r="Z315" s="160"/>
      <c r="AA315" s="160"/>
      <c r="AB315" s="168">
        <f>'66 SYANA PRAROOP-20'!H316</f>
        <v>3</v>
      </c>
      <c r="AC315" s="160"/>
      <c r="AD315" s="160"/>
      <c r="AE315" s="168">
        <f>'66 SYANA PRAROOP-20'!I316</f>
        <v>2</v>
      </c>
      <c r="AF315" s="160"/>
      <c r="AG315" s="160"/>
      <c r="AH315" s="168">
        <f>'66 SYANA PRAROOP-20'!J316</f>
        <v>1</v>
      </c>
      <c r="AI315" s="159">
        <f t="shared" si="14"/>
        <v>432</v>
      </c>
      <c r="AJ315" s="150">
        <f t="shared" si="12"/>
        <v>-6</v>
      </c>
    </row>
    <row r="316" spans="1:36" ht="51">
      <c r="A316" s="151">
        <v>66</v>
      </c>
      <c r="B316" s="155">
        <v>310</v>
      </c>
      <c r="C316" s="156" t="s">
        <v>955</v>
      </c>
      <c r="D316" s="155">
        <v>870</v>
      </c>
      <c r="E316" s="151">
        <v>285</v>
      </c>
      <c r="F316" s="151">
        <v>263</v>
      </c>
      <c r="G316" s="151">
        <v>0</v>
      </c>
      <c r="H316" s="151">
        <f t="shared" si="13"/>
        <v>548</v>
      </c>
      <c r="I316" s="155">
        <v>55</v>
      </c>
      <c r="J316" s="151">
        <v>0</v>
      </c>
      <c r="K316" s="160"/>
      <c r="L316" s="160"/>
      <c r="M316" s="168">
        <f>'66 SYANA PRAROOP-20'!C317</f>
        <v>60</v>
      </c>
      <c r="N316" s="160"/>
      <c r="O316" s="160"/>
      <c r="P316" s="158">
        <f>'66 SYANA PRAROOP-20'!D317</f>
        <v>256</v>
      </c>
      <c r="Q316" s="160"/>
      <c r="R316" s="160"/>
      <c r="S316" s="158">
        <f>'66 SYANA PRAROOP-20'!E317</f>
        <v>4</v>
      </c>
      <c r="T316" s="160"/>
      <c r="U316" s="160"/>
      <c r="V316" s="159">
        <f>'66 SYANA PRAROOP-20'!F317</f>
        <v>207</v>
      </c>
      <c r="W316" s="160"/>
      <c r="X316" s="160"/>
      <c r="Y316" s="159">
        <f>'66 SYANA PRAROOP-20'!G317</f>
        <v>4</v>
      </c>
      <c r="Z316" s="160"/>
      <c r="AA316" s="160"/>
      <c r="AB316" s="168">
        <f>'66 SYANA PRAROOP-20'!H317</f>
        <v>6</v>
      </c>
      <c r="AC316" s="160"/>
      <c r="AD316" s="160"/>
      <c r="AE316" s="168">
        <f>'66 SYANA PRAROOP-20'!I317</f>
        <v>5</v>
      </c>
      <c r="AF316" s="160"/>
      <c r="AG316" s="160"/>
      <c r="AH316" s="168">
        <f>'66 SYANA PRAROOP-20'!J317</f>
        <v>1</v>
      </c>
      <c r="AI316" s="159">
        <f t="shared" si="14"/>
        <v>543</v>
      </c>
      <c r="AJ316" s="150">
        <f t="shared" si="12"/>
        <v>-5</v>
      </c>
    </row>
    <row r="317" spans="1:36" ht="51">
      <c r="A317" s="151">
        <v>66</v>
      </c>
      <c r="B317" s="155">
        <v>311</v>
      </c>
      <c r="C317" s="156" t="s">
        <v>1136</v>
      </c>
      <c r="D317" s="155">
        <v>645</v>
      </c>
      <c r="E317" s="151">
        <v>221</v>
      </c>
      <c r="F317" s="151">
        <v>194</v>
      </c>
      <c r="G317" s="151">
        <v>0</v>
      </c>
      <c r="H317" s="151">
        <f t="shared" si="13"/>
        <v>415</v>
      </c>
      <c r="I317" s="155">
        <v>45</v>
      </c>
      <c r="J317" s="151">
        <v>0</v>
      </c>
      <c r="K317" s="160"/>
      <c r="L317" s="160"/>
      <c r="M317" s="168">
        <f>'66 SYANA PRAROOP-20'!C318</f>
        <v>7</v>
      </c>
      <c r="N317" s="160"/>
      <c r="O317" s="160"/>
      <c r="P317" s="158">
        <f>'66 SYANA PRAROOP-20'!D318</f>
        <v>304</v>
      </c>
      <c r="Q317" s="160"/>
      <c r="R317" s="160"/>
      <c r="S317" s="158">
        <f>'66 SYANA PRAROOP-20'!E318</f>
        <v>4</v>
      </c>
      <c r="T317" s="160"/>
      <c r="U317" s="160"/>
      <c r="V317" s="159">
        <f>'66 SYANA PRAROOP-20'!F318</f>
        <v>97</v>
      </c>
      <c r="W317" s="160"/>
      <c r="X317" s="160"/>
      <c r="Y317" s="159">
        <f>'66 SYANA PRAROOP-20'!G318</f>
        <v>0</v>
      </c>
      <c r="Z317" s="160"/>
      <c r="AA317" s="160"/>
      <c r="AB317" s="168">
        <f>'66 SYANA PRAROOP-20'!H318</f>
        <v>1</v>
      </c>
      <c r="AC317" s="160"/>
      <c r="AD317" s="160"/>
      <c r="AE317" s="168">
        <f>'66 SYANA PRAROOP-20'!I318</f>
        <v>1</v>
      </c>
      <c r="AF317" s="160"/>
      <c r="AG317" s="160"/>
      <c r="AH317" s="168">
        <f>'66 SYANA PRAROOP-20'!J318</f>
        <v>0</v>
      </c>
      <c r="AI317" s="159">
        <f t="shared" si="14"/>
        <v>414</v>
      </c>
      <c r="AJ317" s="150">
        <f t="shared" si="12"/>
        <v>-1</v>
      </c>
    </row>
    <row r="318" spans="1:36" ht="51">
      <c r="A318" s="151">
        <v>66</v>
      </c>
      <c r="B318" s="155">
        <v>312</v>
      </c>
      <c r="C318" s="156" t="s">
        <v>1137</v>
      </c>
      <c r="D318" s="155">
        <v>638</v>
      </c>
      <c r="E318" s="151">
        <v>232</v>
      </c>
      <c r="F318" s="151">
        <v>199</v>
      </c>
      <c r="G318" s="151">
        <v>0</v>
      </c>
      <c r="H318" s="151">
        <f t="shared" si="13"/>
        <v>431</v>
      </c>
      <c r="I318" s="155">
        <v>45</v>
      </c>
      <c r="J318" s="151">
        <v>0</v>
      </c>
      <c r="K318" s="160"/>
      <c r="L318" s="160"/>
      <c r="M318" s="168">
        <f>'66 SYANA PRAROOP-20'!C319</f>
        <v>3</v>
      </c>
      <c r="N318" s="160"/>
      <c r="O318" s="160"/>
      <c r="P318" s="158">
        <f>'66 SYANA PRAROOP-20'!D319</f>
        <v>270</v>
      </c>
      <c r="Q318" s="160"/>
      <c r="R318" s="160"/>
      <c r="S318" s="158">
        <f>'66 SYANA PRAROOP-20'!E319</f>
        <v>1</v>
      </c>
      <c r="T318" s="160"/>
      <c r="U318" s="160"/>
      <c r="V318" s="159">
        <f>'66 SYANA PRAROOP-20'!F319</f>
        <v>148</v>
      </c>
      <c r="W318" s="160"/>
      <c r="X318" s="160"/>
      <c r="Y318" s="159">
        <f>'66 SYANA PRAROOP-20'!G319</f>
        <v>2</v>
      </c>
      <c r="Z318" s="160"/>
      <c r="AA318" s="160"/>
      <c r="AB318" s="168">
        <f>'66 SYANA PRAROOP-20'!H319</f>
        <v>3</v>
      </c>
      <c r="AC318" s="160"/>
      <c r="AD318" s="160"/>
      <c r="AE318" s="168">
        <f>'66 SYANA PRAROOP-20'!I319</f>
        <v>0</v>
      </c>
      <c r="AF318" s="160"/>
      <c r="AG318" s="160"/>
      <c r="AH318" s="168">
        <f>'66 SYANA PRAROOP-20'!J319</f>
        <v>2</v>
      </c>
      <c r="AI318" s="159">
        <f t="shared" si="14"/>
        <v>429</v>
      </c>
      <c r="AJ318" s="150">
        <f t="shared" si="12"/>
        <v>-2</v>
      </c>
    </row>
    <row r="319" spans="1:36" ht="38.25">
      <c r="A319" s="151">
        <v>66</v>
      </c>
      <c r="B319" s="155">
        <v>313</v>
      </c>
      <c r="C319" s="156" t="s">
        <v>956</v>
      </c>
      <c r="D319" s="155">
        <v>1054</v>
      </c>
      <c r="E319" s="151">
        <v>388</v>
      </c>
      <c r="F319" s="151">
        <v>379</v>
      </c>
      <c r="G319" s="151">
        <v>0</v>
      </c>
      <c r="H319" s="151">
        <f t="shared" si="13"/>
        <v>767</v>
      </c>
      <c r="I319" s="155">
        <v>42</v>
      </c>
      <c r="J319" s="151">
        <v>0</v>
      </c>
      <c r="K319" s="160"/>
      <c r="L319" s="160"/>
      <c r="M319" s="168">
        <f>'66 SYANA PRAROOP-20'!C320</f>
        <v>25</v>
      </c>
      <c r="N319" s="160"/>
      <c r="O319" s="160"/>
      <c r="P319" s="158">
        <f>'66 SYANA PRAROOP-20'!D320</f>
        <v>716</v>
      </c>
      <c r="Q319" s="160"/>
      <c r="R319" s="160"/>
      <c r="S319" s="158">
        <f>'66 SYANA PRAROOP-20'!E320</f>
        <v>4</v>
      </c>
      <c r="T319" s="160"/>
      <c r="U319" s="160"/>
      <c r="V319" s="159">
        <f>'66 SYANA PRAROOP-20'!F320</f>
        <v>14</v>
      </c>
      <c r="W319" s="160"/>
      <c r="X319" s="160"/>
      <c r="Y319" s="159">
        <f>'66 SYANA PRAROOP-20'!G320</f>
        <v>0</v>
      </c>
      <c r="Z319" s="160"/>
      <c r="AA319" s="160"/>
      <c r="AB319" s="168">
        <f>'66 SYANA PRAROOP-20'!H320</f>
        <v>0</v>
      </c>
      <c r="AC319" s="160"/>
      <c r="AD319" s="160"/>
      <c r="AE319" s="168">
        <f>'66 SYANA PRAROOP-20'!I320</f>
        <v>3</v>
      </c>
      <c r="AF319" s="160"/>
      <c r="AG319" s="160"/>
      <c r="AH319" s="168">
        <f>'66 SYANA PRAROOP-20'!J320</f>
        <v>3</v>
      </c>
      <c r="AI319" s="159">
        <f t="shared" si="14"/>
        <v>765</v>
      </c>
      <c r="AJ319" s="150">
        <f t="shared" si="12"/>
        <v>-2</v>
      </c>
    </row>
    <row r="320" spans="1:36" ht="38.25">
      <c r="A320" s="151">
        <v>66</v>
      </c>
      <c r="B320" s="155">
        <v>314</v>
      </c>
      <c r="C320" s="156" t="s">
        <v>957</v>
      </c>
      <c r="D320" s="155">
        <v>1082</v>
      </c>
      <c r="E320" s="151">
        <v>330</v>
      </c>
      <c r="F320" s="151">
        <v>295</v>
      </c>
      <c r="G320" s="151">
        <v>0</v>
      </c>
      <c r="H320" s="151">
        <f t="shared" si="13"/>
        <v>625</v>
      </c>
      <c r="I320" s="155">
        <v>41</v>
      </c>
      <c r="J320" s="151">
        <v>0</v>
      </c>
      <c r="K320" s="160"/>
      <c r="L320" s="160"/>
      <c r="M320" s="168">
        <f>'66 SYANA PRAROOP-20'!C321</f>
        <v>253</v>
      </c>
      <c r="N320" s="160"/>
      <c r="O320" s="160"/>
      <c r="P320" s="158">
        <f>'66 SYANA PRAROOP-20'!D321</f>
        <v>320</v>
      </c>
      <c r="Q320" s="160"/>
      <c r="R320" s="160"/>
      <c r="S320" s="158">
        <f>'66 SYANA PRAROOP-20'!E321</f>
        <v>5</v>
      </c>
      <c r="T320" s="160"/>
      <c r="U320" s="160"/>
      <c r="V320" s="159">
        <f>'66 SYANA PRAROOP-20'!F321</f>
        <v>37</v>
      </c>
      <c r="W320" s="160"/>
      <c r="X320" s="160"/>
      <c r="Y320" s="159">
        <f>'66 SYANA PRAROOP-20'!G321</f>
        <v>3</v>
      </c>
      <c r="Z320" s="160"/>
      <c r="AA320" s="160"/>
      <c r="AB320" s="168">
        <f>'66 SYANA PRAROOP-20'!H321</f>
        <v>4</v>
      </c>
      <c r="AC320" s="160"/>
      <c r="AD320" s="160"/>
      <c r="AE320" s="168">
        <f>'66 SYANA PRAROOP-20'!I321</f>
        <v>0</v>
      </c>
      <c r="AF320" s="160"/>
      <c r="AG320" s="160"/>
      <c r="AH320" s="168">
        <f>'66 SYANA PRAROOP-20'!J321</f>
        <v>0</v>
      </c>
      <c r="AI320" s="159">
        <f t="shared" si="14"/>
        <v>622</v>
      </c>
      <c r="AJ320" s="150">
        <f t="shared" si="12"/>
        <v>-3</v>
      </c>
    </row>
    <row r="321" spans="1:36" ht="51">
      <c r="A321" s="151">
        <v>66</v>
      </c>
      <c r="B321" s="155">
        <v>315</v>
      </c>
      <c r="C321" s="156" t="s">
        <v>958</v>
      </c>
      <c r="D321" s="155">
        <v>818</v>
      </c>
      <c r="E321" s="151">
        <v>252</v>
      </c>
      <c r="F321" s="151">
        <v>238</v>
      </c>
      <c r="G321" s="151">
        <v>0</v>
      </c>
      <c r="H321" s="151">
        <f t="shared" si="13"/>
        <v>490</v>
      </c>
      <c r="I321" s="155">
        <v>33</v>
      </c>
      <c r="J321" s="151">
        <v>0</v>
      </c>
      <c r="K321" s="160"/>
      <c r="L321" s="160"/>
      <c r="M321" s="168">
        <f>'66 SYANA PRAROOP-20'!C322</f>
        <v>27</v>
      </c>
      <c r="N321" s="160"/>
      <c r="O321" s="160"/>
      <c r="P321" s="158">
        <f>'66 SYANA PRAROOP-20'!D322</f>
        <v>330</v>
      </c>
      <c r="Q321" s="160"/>
      <c r="R321" s="160"/>
      <c r="S321" s="158">
        <f>'66 SYANA PRAROOP-20'!E322</f>
        <v>3</v>
      </c>
      <c r="T321" s="160"/>
      <c r="U321" s="160"/>
      <c r="V321" s="159">
        <f>'66 SYANA PRAROOP-20'!F322</f>
        <v>122</v>
      </c>
      <c r="W321" s="160"/>
      <c r="X321" s="160"/>
      <c r="Y321" s="159">
        <f>'66 SYANA PRAROOP-20'!G322</f>
        <v>0</v>
      </c>
      <c r="Z321" s="160"/>
      <c r="AA321" s="160"/>
      <c r="AB321" s="168">
        <f>'66 SYANA PRAROOP-20'!H322</f>
        <v>3</v>
      </c>
      <c r="AC321" s="160"/>
      <c r="AD321" s="160"/>
      <c r="AE321" s="168">
        <f>'66 SYANA PRAROOP-20'!I322</f>
        <v>2</v>
      </c>
      <c r="AF321" s="160"/>
      <c r="AG321" s="160"/>
      <c r="AH321" s="168">
        <f>'66 SYANA PRAROOP-20'!J322</f>
        <v>0</v>
      </c>
      <c r="AI321" s="159">
        <f t="shared" si="14"/>
        <v>487</v>
      </c>
      <c r="AJ321" s="150">
        <f t="shared" si="12"/>
        <v>-3</v>
      </c>
    </row>
    <row r="322" spans="1:36" ht="51">
      <c r="A322" s="151">
        <v>66</v>
      </c>
      <c r="B322" s="155">
        <v>316</v>
      </c>
      <c r="C322" s="156" t="s">
        <v>959</v>
      </c>
      <c r="D322" s="155">
        <v>911</v>
      </c>
      <c r="E322" s="151">
        <v>387</v>
      </c>
      <c r="F322" s="151">
        <v>351</v>
      </c>
      <c r="G322" s="151">
        <v>0</v>
      </c>
      <c r="H322" s="151">
        <f t="shared" si="13"/>
        <v>738</v>
      </c>
      <c r="I322" s="155">
        <v>713</v>
      </c>
      <c r="J322" s="151">
        <v>0</v>
      </c>
      <c r="K322" s="160"/>
      <c r="L322" s="160"/>
      <c r="M322" s="168">
        <f>'66 SYANA PRAROOP-20'!C323</f>
        <v>10</v>
      </c>
      <c r="N322" s="160"/>
      <c r="O322" s="160"/>
      <c r="P322" s="158">
        <f>'66 SYANA PRAROOP-20'!D323</f>
        <v>711</v>
      </c>
      <c r="Q322" s="160"/>
      <c r="R322" s="160"/>
      <c r="S322" s="158">
        <f>'66 SYANA PRAROOP-20'!E323</f>
        <v>3</v>
      </c>
      <c r="T322" s="160"/>
      <c r="U322" s="160"/>
      <c r="V322" s="159">
        <f>'66 SYANA PRAROOP-20'!F323</f>
        <v>1</v>
      </c>
      <c r="W322" s="160"/>
      <c r="X322" s="160"/>
      <c r="Y322" s="159">
        <f>'66 SYANA PRAROOP-20'!G323</f>
        <v>1</v>
      </c>
      <c r="Z322" s="160"/>
      <c r="AA322" s="160"/>
      <c r="AB322" s="168">
        <f>'66 SYANA PRAROOP-20'!H323</f>
        <v>4</v>
      </c>
      <c r="AC322" s="160"/>
      <c r="AD322" s="160"/>
      <c r="AE322" s="168">
        <f>'66 SYANA PRAROOP-20'!I323</f>
        <v>2</v>
      </c>
      <c r="AF322" s="160"/>
      <c r="AG322" s="160"/>
      <c r="AH322" s="168">
        <f>'66 SYANA PRAROOP-20'!J323</f>
        <v>4</v>
      </c>
      <c r="AI322" s="159">
        <f t="shared" si="14"/>
        <v>736</v>
      </c>
      <c r="AJ322" s="150">
        <f t="shared" si="12"/>
        <v>-2</v>
      </c>
    </row>
    <row r="323" spans="1:36" ht="51">
      <c r="A323" s="151">
        <v>66</v>
      </c>
      <c r="B323" s="155">
        <v>317</v>
      </c>
      <c r="C323" s="156" t="s">
        <v>960</v>
      </c>
      <c r="D323" s="155">
        <v>939</v>
      </c>
      <c r="E323" s="151">
        <v>302</v>
      </c>
      <c r="F323" s="151">
        <v>299</v>
      </c>
      <c r="G323" s="151">
        <v>0</v>
      </c>
      <c r="H323" s="151">
        <f t="shared" si="13"/>
        <v>601</v>
      </c>
      <c r="I323" s="155">
        <v>62</v>
      </c>
      <c r="J323" s="151">
        <v>0</v>
      </c>
      <c r="K323" s="160"/>
      <c r="L323" s="160"/>
      <c r="M323" s="168">
        <f>'66 SYANA PRAROOP-20'!C324</f>
        <v>16</v>
      </c>
      <c r="N323" s="160"/>
      <c r="O323" s="160"/>
      <c r="P323" s="158">
        <f>'66 SYANA PRAROOP-20'!D324</f>
        <v>478</v>
      </c>
      <c r="Q323" s="160"/>
      <c r="R323" s="160"/>
      <c r="S323" s="158">
        <f>'66 SYANA PRAROOP-20'!E324</f>
        <v>4</v>
      </c>
      <c r="T323" s="160"/>
      <c r="U323" s="160"/>
      <c r="V323" s="159">
        <f>'66 SYANA PRAROOP-20'!F324</f>
        <v>76</v>
      </c>
      <c r="W323" s="160"/>
      <c r="X323" s="160"/>
      <c r="Y323" s="159">
        <f>'66 SYANA PRAROOP-20'!G324</f>
        <v>1</v>
      </c>
      <c r="Z323" s="160"/>
      <c r="AA323" s="160"/>
      <c r="AB323" s="168">
        <f>'66 SYANA PRAROOP-20'!H324</f>
        <v>5</v>
      </c>
      <c r="AC323" s="160"/>
      <c r="AD323" s="160"/>
      <c r="AE323" s="168">
        <f>'66 SYANA PRAROOP-20'!I324</f>
        <v>9</v>
      </c>
      <c r="AF323" s="160"/>
      <c r="AG323" s="160"/>
      <c r="AH323" s="168">
        <f>'66 SYANA PRAROOP-20'!J324</f>
        <v>8</v>
      </c>
      <c r="AI323" s="159">
        <f t="shared" si="14"/>
        <v>597</v>
      </c>
      <c r="AJ323" s="150">
        <f t="shared" si="12"/>
        <v>-4</v>
      </c>
    </row>
    <row r="324" spans="1:36" ht="51">
      <c r="A324" s="151">
        <v>66</v>
      </c>
      <c r="B324" s="155">
        <v>318</v>
      </c>
      <c r="C324" s="156" t="s">
        <v>961</v>
      </c>
      <c r="D324" s="155">
        <v>923</v>
      </c>
      <c r="E324" s="151">
        <v>326</v>
      </c>
      <c r="F324" s="151">
        <v>321</v>
      </c>
      <c r="G324" s="151">
        <v>0</v>
      </c>
      <c r="H324" s="151">
        <f t="shared" si="13"/>
        <v>647</v>
      </c>
      <c r="I324" s="155">
        <v>44</v>
      </c>
      <c r="J324" s="151">
        <v>0</v>
      </c>
      <c r="K324" s="160"/>
      <c r="L324" s="160"/>
      <c r="M324" s="168">
        <f>'66 SYANA PRAROOP-20'!C325</f>
        <v>59</v>
      </c>
      <c r="N324" s="160"/>
      <c r="O324" s="160"/>
      <c r="P324" s="158">
        <f>'66 SYANA PRAROOP-20'!D325</f>
        <v>256</v>
      </c>
      <c r="Q324" s="160"/>
      <c r="R324" s="160"/>
      <c r="S324" s="158">
        <f>'66 SYANA PRAROOP-20'!E325</f>
        <v>11</v>
      </c>
      <c r="T324" s="160"/>
      <c r="U324" s="160"/>
      <c r="V324" s="159">
        <f>'66 SYANA PRAROOP-20'!F325</f>
        <v>297</v>
      </c>
      <c r="W324" s="160"/>
      <c r="X324" s="160"/>
      <c r="Y324" s="159">
        <f>'66 SYANA PRAROOP-20'!G325</f>
        <v>2</v>
      </c>
      <c r="Z324" s="160"/>
      <c r="AA324" s="160"/>
      <c r="AB324" s="168">
        <f>'66 SYANA PRAROOP-20'!H325</f>
        <v>4</v>
      </c>
      <c r="AC324" s="160"/>
      <c r="AD324" s="160"/>
      <c r="AE324" s="168">
        <f>'66 SYANA PRAROOP-20'!I325</f>
        <v>9</v>
      </c>
      <c r="AF324" s="160"/>
      <c r="AG324" s="160"/>
      <c r="AH324" s="168">
        <f>'66 SYANA PRAROOP-20'!J325</f>
        <v>3</v>
      </c>
      <c r="AI324" s="159">
        <f t="shared" si="14"/>
        <v>641</v>
      </c>
      <c r="AJ324" s="150">
        <f t="shared" si="12"/>
        <v>-6</v>
      </c>
    </row>
    <row r="325" spans="1:36" ht="51">
      <c r="A325" s="151">
        <v>66</v>
      </c>
      <c r="B325" s="155">
        <v>319</v>
      </c>
      <c r="C325" s="156" t="s">
        <v>962</v>
      </c>
      <c r="D325" s="155">
        <v>954</v>
      </c>
      <c r="E325" s="151">
        <v>325</v>
      </c>
      <c r="F325" s="151">
        <v>313</v>
      </c>
      <c r="G325" s="151">
        <v>0</v>
      </c>
      <c r="H325" s="151">
        <f t="shared" si="13"/>
        <v>638</v>
      </c>
      <c r="I325" s="155">
        <v>38</v>
      </c>
      <c r="J325" s="151">
        <v>0</v>
      </c>
      <c r="K325" s="160"/>
      <c r="L325" s="160"/>
      <c r="M325" s="168">
        <f>'66 SYANA PRAROOP-20'!C326</f>
        <v>83</v>
      </c>
      <c r="N325" s="160"/>
      <c r="O325" s="160"/>
      <c r="P325" s="158">
        <f>'66 SYANA PRAROOP-20'!D326</f>
        <v>368</v>
      </c>
      <c r="Q325" s="160"/>
      <c r="R325" s="160"/>
      <c r="S325" s="158">
        <f>'66 SYANA PRAROOP-20'!E326</f>
        <v>6</v>
      </c>
      <c r="T325" s="160"/>
      <c r="U325" s="160"/>
      <c r="V325" s="159">
        <f>'66 SYANA PRAROOP-20'!F326</f>
        <v>173</v>
      </c>
      <c r="W325" s="160"/>
      <c r="X325" s="160"/>
      <c r="Y325" s="159">
        <f>'66 SYANA PRAROOP-20'!G326</f>
        <v>1</v>
      </c>
      <c r="Z325" s="160"/>
      <c r="AA325" s="160"/>
      <c r="AB325" s="168">
        <f>'66 SYANA PRAROOP-20'!H326</f>
        <v>1</v>
      </c>
      <c r="AC325" s="160"/>
      <c r="AD325" s="160"/>
      <c r="AE325" s="168">
        <f>'66 SYANA PRAROOP-20'!I326</f>
        <v>2</v>
      </c>
      <c r="AF325" s="160"/>
      <c r="AG325" s="160"/>
      <c r="AH325" s="168">
        <f>'66 SYANA PRAROOP-20'!J326</f>
        <v>1</v>
      </c>
      <c r="AI325" s="159">
        <f t="shared" si="14"/>
        <v>635</v>
      </c>
      <c r="AJ325" s="150">
        <f t="shared" si="12"/>
        <v>-3</v>
      </c>
    </row>
    <row r="326" spans="1:36" ht="38.25">
      <c r="A326" s="151">
        <v>66</v>
      </c>
      <c r="B326" s="155">
        <v>320</v>
      </c>
      <c r="C326" s="156" t="s">
        <v>963</v>
      </c>
      <c r="D326" s="155">
        <v>857</v>
      </c>
      <c r="E326" s="151">
        <v>291</v>
      </c>
      <c r="F326" s="151">
        <v>300</v>
      </c>
      <c r="G326" s="151">
        <v>0</v>
      </c>
      <c r="H326" s="151">
        <f t="shared" si="13"/>
        <v>591</v>
      </c>
      <c r="I326" s="155">
        <v>2</v>
      </c>
      <c r="J326" s="151">
        <v>0</v>
      </c>
      <c r="K326" s="160"/>
      <c r="L326" s="160"/>
      <c r="M326" s="168">
        <f>'66 SYANA PRAROOP-20'!C327</f>
        <v>37</v>
      </c>
      <c r="N326" s="160"/>
      <c r="O326" s="160"/>
      <c r="P326" s="158">
        <f>'66 SYANA PRAROOP-20'!D327</f>
        <v>544</v>
      </c>
      <c r="Q326" s="160"/>
      <c r="R326" s="160"/>
      <c r="S326" s="158">
        <f>'66 SYANA PRAROOP-20'!E327</f>
        <v>1</v>
      </c>
      <c r="T326" s="160"/>
      <c r="U326" s="160"/>
      <c r="V326" s="159">
        <f>'66 SYANA PRAROOP-20'!F327</f>
        <v>4</v>
      </c>
      <c r="W326" s="160"/>
      <c r="X326" s="160"/>
      <c r="Y326" s="159">
        <f>'66 SYANA PRAROOP-20'!G327</f>
        <v>0</v>
      </c>
      <c r="Z326" s="160"/>
      <c r="AA326" s="160"/>
      <c r="AB326" s="168">
        <f>'66 SYANA PRAROOP-20'!H327</f>
        <v>2</v>
      </c>
      <c r="AC326" s="160"/>
      <c r="AD326" s="160"/>
      <c r="AE326" s="168">
        <f>'66 SYANA PRAROOP-20'!I327</f>
        <v>0</v>
      </c>
      <c r="AF326" s="160"/>
      <c r="AG326" s="160"/>
      <c r="AH326" s="168">
        <f>'66 SYANA PRAROOP-20'!J327</f>
        <v>1</v>
      </c>
      <c r="AI326" s="159">
        <f t="shared" si="14"/>
        <v>589</v>
      </c>
      <c r="AJ326" s="150">
        <f t="shared" si="12"/>
        <v>-2</v>
      </c>
    </row>
    <row r="327" spans="1:36" ht="51">
      <c r="A327" s="151">
        <v>66</v>
      </c>
      <c r="B327" s="155">
        <v>321</v>
      </c>
      <c r="C327" s="156" t="s">
        <v>964</v>
      </c>
      <c r="D327" s="155">
        <v>711</v>
      </c>
      <c r="E327" s="151">
        <v>297</v>
      </c>
      <c r="F327" s="151">
        <v>282</v>
      </c>
      <c r="G327" s="151"/>
      <c r="H327" s="151">
        <f t="shared" si="13"/>
        <v>579</v>
      </c>
      <c r="I327" s="155">
        <v>52</v>
      </c>
      <c r="J327" s="151">
        <v>0</v>
      </c>
      <c r="K327" s="160"/>
      <c r="L327" s="160"/>
      <c r="M327" s="168">
        <f>'66 SYANA PRAROOP-20'!C328</f>
        <v>11</v>
      </c>
      <c r="N327" s="160"/>
      <c r="O327" s="160"/>
      <c r="P327" s="158">
        <f>'66 SYANA PRAROOP-20'!D328</f>
        <v>544</v>
      </c>
      <c r="Q327" s="160"/>
      <c r="R327" s="160"/>
      <c r="S327" s="158">
        <f>'66 SYANA PRAROOP-20'!E328</f>
        <v>7</v>
      </c>
      <c r="T327" s="160"/>
      <c r="U327" s="160"/>
      <c r="V327" s="159">
        <f>'66 SYANA PRAROOP-20'!F328</f>
        <v>1</v>
      </c>
      <c r="W327" s="160"/>
      <c r="X327" s="160"/>
      <c r="Y327" s="159">
        <f>'66 SYANA PRAROOP-20'!G328</f>
        <v>0</v>
      </c>
      <c r="Z327" s="160"/>
      <c r="AA327" s="160"/>
      <c r="AB327" s="168">
        <f>'66 SYANA PRAROOP-20'!H328</f>
        <v>2</v>
      </c>
      <c r="AC327" s="160"/>
      <c r="AD327" s="160"/>
      <c r="AE327" s="168">
        <f>'66 SYANA PRAROOP-20'!I328</f>
        <v>6</v>
      </c>
      <c r="AF327" s="160"/>
      <c r="AG327" s="160"/>
      <c r="AH327" s="168">
        <f>'66 SYANA PRAROOP-20'!J328</f>
        <v>3</v>
      </c>
      <c r="AI327" s="159">
        <f t="shared" si="14"/>
        <v>574</v>
      </c>
      <c r="AJ327" s="150">
        <f t="shared" ref="AJ327:AJ390" si="15">AI327-H327</f>
        <v>-5</v>
      </c>
    </row>
    <row r="328" spans="1:36" ht="51">
      <c r="A328" s="151">
        <v>66</v>
      </c>
      <c r="B328" s="155">
        <v>322</v>
      </c>
      <c r="C328" s="156" t="s">
        <v>965</v>
      </c>
      <c r="D328" s="155">
        <v>645</v>
      </c>
      <c r="E328" s="151">
        <v>266</v>
      </c>
      <c r="F328" s="151">
        <v>265</v>
      </c>
      <c r="G328" s="151">
        <v>0</v>
      </c>
      <c r="H328" s="151">
        <f t="shared" ref="H328:H391" si="16">SUM(E328:G328)</f>
        <v>531</v>
      </c>
      <c r="I328" s="155">
        <v>26</v>
      </c>
      <c r="J328" s="151">
        <v>0</v>
      </c>
      <c r="K328" s="160"/>
      <c r="L328" s="160"/>
      <c r="M328" s="168">
        <f>'66 SYANA PRAROOP-20'!C329</f>
        <v>10</v>
      </c>
      <c r="N328" s="160"/>
      <c r="O328" s="160"/>
      <c r="P328" s="158">
        <f>'66 SYANA PRAROOP-20'!D329</f>
        <v>510</v>
      </c>
      <c r="Q328" s="160"/>
      <c r="R328" s="160"/>
      <c r="S328" s="158">
        <f>'66 SYANA PRAROOP-20'!E329</f>
        <v>1</v>
      </c>
      <c r="T328" s="160"/>
      <c r="U328" s="160"/>
      <c r="V328" s="159">
        <f>'66 SYANA PRAROOP-20'!F329</f>
        <v>0</v>
      </c>
      <c r="W328" s="160"/>
      <c r="X328" s="160"/>
      <c r="Y328" s="159">
        <f>'66 SYANA PRAROOP-20'!G329</f>
        <v>1</v>
      </c>
      <c r="Z328" s="160"/>
      <c r="AA328" s="160"/>
      <c r="AB328" s="168">
        <f>'66 SYANA PRAROOP-20'!H329</f>
        <v>2</v>
      </c>
      <c r="AC328" s="160"/>
      <c r="AD328" s="160"/>
      <c r="AE328" s="168">
        <f>'66 SYANA PRAROOP-20'!I329</f>
        <v>2</v>
      </c>
      <c r="AF328" s="160"/>
      <c r="AG328" s="160"/>
      <c r="AH328" s="168">
        <f>'66 SYANA PRAROOP-20'!J329</f>
        <v>3</v>
      </c>
      <c r="AI328" s="159">
        <f t="shared" ref="AI328:AI391" si="17">M328+P328+S328+V328+Y328+AB328+AE328+AH328</f>
        <v>529</v>
      </c>
      <c r="AJ328" s="150">
        <f t="shared" si="15"/>
        <v>-2</v>
      </c>
    </row>
    <row r="329" spans="1:36" ht="51">
      <c r="A329" s="151">
        <v>66</v>
      </c>
      <c r="B329" s="155">
        <v>323</v>
      </c>
      <c r="C329" s="156" t="s">
        <v>966</v>
      </c>
      <c r="D329" s="155">
        <v>1122</v>
      </c>
      <c r="E329" s="151">
        <v>406</v>
      </c>
      <c r="F329" s="151">
        <v>404</v>
      </c>
      <c r="G329" s="151">
        <v>0</v>
      </c>
      <c r="H329" s="151">
        <f t="shared" si="16"/>
        <v>810</v>
      </c>
      <c r="I329" s="155">
        <v>59</v>
      </c>
      <c r="J329" s="151">
        <v>0</v>
      </c>
      <c r="K329" s="160"/>
      <c r="L329" s="160"/>
      <c r="M329" s="168">
        <f>'66 SYANA PRAROOP-20'!C330</f>
        <v>21</v>
      </c>
      <c r="N329" s="160"/>
      <c r="O329" s="160"/>
      <c r="P329" s="158">
        <f>'66 SYANA PRAROOP-20'!D330</f>
        <v>599</v>
      </c>
      <c r="Q329" s="160"/>
      <c r="R329" s="160"/>
      <c r="S329" s="158">
        <f>'66 SYANA PRAROOP-20'!E330</f>
        <v>15</v>
      </c>
      <c r="T329" s="160"/>
      <c r="U329" s="160"/>
      <c r="V329" s="159">
        <f>'66 SYANA PRAROOP-20'!F330</f>
        <v>126</v>
      </c>
      <c r="W329" s="160"/>
      <c r="X329" s="160"/>
      <c r="Y329" s="159">
        <f>'66 SYANA PRAROOP-20'!G330</f>
        <v>4</v>
      </c>
      <c r="Z329" s="160"/>
      <c r="AA329" s="160"/>
      <c r="AB329" s="168">
        <f>'66 SYANA PRAROOP-20'!H330</f>
        <v>6</v>
      </c>
      <c r="AC329" s="160"/>
      <c r="AD329" s="160"/>
      <c r="AE329" s="168">
        <f>'66 SYANA PRAROOP-20'!I330</f>
        <v>11</v>
      </c>
      <c r="AF329" s="160"/>
      <c r="AG329" s="160"/>
      <c r="AH329" s="168">
        <f>'66 SYANA PRAROOP-20'!J330</f>
        <v>8</v>
      </c>
      <c r="AI329" s="159">
        <f t="shared" si="17"/>
        <v>790</v>
      </c>
      <c r="AJ329" s="150">
        <f t="shared" si="15"/>
        <v>-20</v>
      </c>
    </row>
    <row r="330" spans="1:36" ht="38.25">
      <c r="A330" s="151">
        <v>66</v>
      </c>
      <c r="B330" s="155">
        <v>324</v>
      </c>
      <c r="C330" s="156" t="s">
        <v>967</v>
      </c>
      <c r="D330" s="155">
        <v>774</v>
      </c>
      <c r="E330" s="151">
        <v>255</v>
      </c>
      <c r="F330" s="151">
        <v>306</v>
      </c>
      <c r="G330" s="151">
        <v>0</v>
      </c>
      <c r="H330" s="151">
        <f t="shared" si="16"/>
        <v>561</v>
      </c>
      <c r="I330" s="155">
        <v>28</v>
      </c>
      <c r="J330" s="151">
        <v>0</v>
      </c>
      <c r="K330" s="160"/>
      <c r="L330" s="160"/>
      <c r="M330" s="168">
        <f>'66 SYANA PRAROOP-20'!C331</f>
        <v>12</v>
      </c>
      <c r="N330" s="160"/>
      <c r="O330" s="160"/>
      <c r="P330" s="158">
        <f>'66 SYANA PRAROOP-20'!D331</f>
        <v>471</v>
      </c>
      <c r="Q330" s="160"/>
      <c r="R330" s="160"/>
      <c r="S330" s="158">
        <f>'66 SYANA PRAROOP-20'!E331</f>
        <v>5</v>
      </c>
      <c r="T330" s="160"/>
      <c r="U330" s="160"/>
      <c r="V330" s="159">
        <f>'66 SYANA PRAROOP-20'!F331</f>
        <v>60</v>
      </c>
      <c r="W330" s="160"/>
      <c r="X330" s="160"/>
      <c r="Y330" s="159">
        <f>'66 SYANA PRAROOP-20'!G331</f>
        <v>2</v>
      </c>
      <c r="Z330" s="160"/>
      <c r="AA330" s="160"/>
      <c r="AB330" s="168">
        <f>'66 SYANA PRAROOP-20'!H331</f>
        <v>4</v>
      </c>
      <c r="AC330" s="160"/>
      <c r="AD330" s="160"/>
      <c r="AE330" s="168">
        <f>'66 SYANA PRAROOP-20'!I331</f>
        <v>5</v>
      </c>
      <c r="AF330" s="160"/>
      <c r="AG330" s="160"/>
      <c r="AH330" s="168">
        <f>'66 SYANA PRAROOP-20'!J331</f>
        <v>0</v>
      </c>
      <c r="AI330" s="159">
        <f t="shared" si="17"/>
        <v>559</v>
      </c>
      <c r="AJ330" s="150">
        <f t="shared" si="15"/>
        <v>-2</v>
      </c>
    </row>
    <row r="331" spans="1:36" ht="51">
      <c r="A331" s="151">
        <v>66</v>
      </c>
      <c r="B331" s="155">
        <v>325</v>
      </c>
      <c r="C331" s="156" t="s">
        <v>968</v>
      </c>
      <c r="D331" s="155">
        <v>968</v>
      </c>
      <c r="E331" s="151">
        <v>305</v>
      </c>
      <c r="F331" s="151">
        <v>278</v>
      </c>
      <c r="G331" s="151">
        <v>0</v>
      </c>
      <c r="H331" s="151">
        <f t="shared" si="16"/>
        <v>583</v>
      </c>
      <c r="I331" s="155">
        <v>44</v>
      </c>
      <c r="J331" s="151">
        <v>0</v>
      </c>
      <c r="K331" s="160"/>
      <c r="L331" s="160"/>
      <c r="M331" s="168">
        <f>'66 SYANA PRAROOP-20'!C332</f>
        <v>6</v>
      </c>
      <c r="N331" s="160"/>
      <c r="O331" s="160"/>
      <c r="P331" s="158">
        <f>'66 SYANA PRAROOP-20'!D332</f>
        <v>548</v>
      </c>
      <c r="Q331" s="160"/>
      <c r="R331" s="160"/>
      <c r="S331" s="158">
        <f>'66 SYANA PRAROOP-20'!E332</f>
        <v>5</v>
      </c>
      <c r="T331" s="160"/>
      <c r="U331" s="160"/>
      <c r="V331" s="159">
        <f>'66 SYANA PRAROOP-20'!F332</f>
        <v>8</v>
      </c>
      <c r="W331" s="160"/>
      <c r="X331" s="160"/>
      <c r="Y331" s="159">
        <f>'66 SYANA PRAROOP-20'!G332</f>
        <v>1</v>
      </c>
      <c r="Z331" s="160"/>
      <c r="AA331" s="160"/>
      <c r="AB331" s="168">
        <f>'66 SYANA PRAROOP-20'!H332</f>
        <v>6</v>
      </c>
      <c r="AC331" s="160"/>
      <c r="AD331" s="160"/>
      <c r="AE331" s="168">
        <f>'66 SYANA PRAROOP-20'!I332</f>
        <v>2</v>
      </c>
      <c r="AF331" s="160"/>
      <c r="AG331" s="160"/>
      <c r="AH331" s="168">
        <f>'66 SYANA PRAROOP-20'!J332</f>
        <v>4</v>
      </c>
      <c r="AI331" s="159">
        <f t="shared" si="17"/>
        <v>580</v>
      </c>
      <c r="AJ331" s="150">
        <f t="shared" si="15"/>
        <v>-3</v>
      </c>
    </row>
    <row r="332" spans="1:36" ht="38.25">
      <c r="A332" s="151">
        <v>66</v>
      </c>
      <c r="B332" s="155">
        <v>326</v>
      </c>
      <c r="C332" s="156" t="s">
        <v>969</v>
      </c>
      <c r="D332" s="155">
        <v>779</v>
      </c>
      <c r="E332" s="151">
        <v>296</v>
      </c>
      <c r="F332" s="151">
        <v>289</v>
      </c>
      <c r="G332" s="151">
        <v>0</v>
      </c>
      <c r="H332" s="151">
        <f t="shared" si="16"/>
        <v>585</v>
      </c>
      <c r="I332" s="155">
        <v>73</v>
      </c>
      <c r="J332" s="151">
        <v>0</v>
      </c>
      <c r="K332" s="160"/>
      <c r="L332" s="160"/>
      <c r="M332" s="168">
        <f>'66 SYANA PRAROOP-20'!C333</f>
        <v>41</v>
      </c>
      <c r="N332" s="160"/>
      <c r="O332" s="160"/>
      <c r="P332" s="158">
        <f>'66 SYANA PRAROOP-20'!D333</f>
        <v>527</v>
      </c>
      <c r="Q332" s="160"/>
      <c r="R332" s="160"/>
      <c r="S332" s="158">
        <f>'66 SYANA PRAROOP-20'!E333</f>
        <v>3</v>
      </c>
      <c r="T332" s="160"/>
      <c r="U332" s="160"/>
      <c r="V332" s="159">
        <f>'66 SYANA PRAROOP-20'!F333</f>
        <v>2</v>
      </c>
      <c r="W332" s="160"/>
      <c r="X332" s="160"/>
      <c r="Y332" s="159">
        <f>'66 SYANA PRAROOP-20'!G333</f>
        <v>3</v>
      </c>
      <c r="Z332" s="160"/>
      <c r="AA332" s="160"/>
      <c r="AB332" s="168">
        <f>'66 SYANA PRAROOP-20'!H333</f>
        <v>3</v>
      </c>
      <c r="AC332" s="160"/>
      <c r="AD332" s="160"/>
      <c r="AE332" s="168">
        <f>'66 SYANA PRAROOP-20'!I333</f>
        <v>2</v>
      </c>
      <c r="AF332" s="160"/>
      <c r="AG332" s="160"/>
      <c r="AH332" s="168">
        <f>'66 SYANA PRAROOP-20'!J333</f>
        <v>3</v>
      </c>
      <c r="AI332" s="159">
        <f t="shared" si="17"/>
        <v>584</v>
      </c>
      <c r="AJ332" s="150">
        <f t="shared" si="15"/>
        <v>-1</v>
      </c>
    </row>
    <row r="333" spans="1:36" ht="38.25">
      <c r="A333" s="151">
        <v>66</v>
      </c>
      <c r="B333" s="155">
        <v>327</v>
      </c>
      <c r="C333" s="156" t="s">
        <v>970</v>
      </c>
      <c r="D333" s="155">
        <v>1011</v>
      </c>
      <c r="E333" s="151">
        <v>285</v>
      </c>
      <c r="F333" s="151">
        <v>301</v>
      </c>
      <c r="G333" s="151">
        <v>0</v>
      </c>
      <c r="H333" s="151">
        <f t="shared" si="16"/>
        <v>586</v>
      </c>
      <c r="I333" s="155">
        <v>34</v>
      </c>
      <c r="J333" s="151">
        <v>0</v>
      </c>
      <c r="K333" s="160"/>
      <c r="L333" s="160"/>
      <c r="M333" s="168">
        <f>'66 SYANA PRAROOP-20'!C334</f>
        <v>10</v>
      </c>
      <c r="N333" s="160"/>
      <c r="O333" s="160"/>
      <c r="P333" s="158">
        <f>'66 SYANA PRAROOP-20'!D334</f>
        <v>446</v>
      </c>
      <c r="Q333" s="160"/>
      <c r="R333" s="160"/>
      <c r="S333" s="158">
        <f>'66 SYANA PRAROOP-20'!E334</f>
        <v>9</v>
      </c>
      <c r="T333" s="160"/>
      <c r="U333" s="160"/>
      <c r="V333" s="159">
        <f>'66 SYANA PRAROOP-20'!F334</f>
        <v>107</v>
      </c>
      <c r="W333" s="160"/>
      <c r="X333" s="160"/>
      <c r="Y333" s="159">
        <f>'66 SYANA PRAROOP-20'!G334</f>
        <v>0</v>
      </c>
      <c r="Z333" s="160"/>
      <c r="AA333" s="160"/>
      <c r="AB333" s="168">
        <f>'66 SYANA PRAROOP-20'!H334</f>
        <v>10</v>
      </c>
      <c r="AC333" s="160"/>
      <c r="AD333" s="160"/>
      <c r="AE333" s="168">
        <f>'66 SYANA PRAROOP-20'!I334</f>
        <v>0</v>
      </c>
      <c r="AF333" s="160"/>
      <c r="AG333" s="160"/>
      <c r="AH333" s="168">
        <f>'66 SYANA PRAROOP-20'!J334</f>
        <v>3</v>
      </c>
      <c r="AI333" s="159">
        <f t="shared" si="17"/>
        <v>585</v>
      </c>
      <c r="AJ333" s="150">
        <f t="shared" si="15"/>
        <v>-1</v>
      </c>
    </row>
    <row r="334" spans="1:36" ht="51">
      <c r="A334" s="151">
        <v>66</v>
      </c>
      <c r="B334" s="155">
        <v>328</v>
      </c>
      <c r="C334" s="156" t="s">
        <v>971</v>
      </c>
      <c r="D334" s="155">
        <v>1135</v>
      </c>
      <c r="E334" s="151">
        <v>330</v>
      </c>
      <c r="F334" s="151">
        <v>323</v>
      </c>
      <c r="G334" s="151">
        <v>0</v>
      </c>
      <c r="H334" s="151">
        <f t="shared" si="16"/>
        <v>653</v>
      </c>
      <c r="I334" s="155">
        <v>333</v>
      </c>
      <c r="J334" s="151">
        <v>0</v>
      </c>
      <c r="K334" s="160"/>
      <c r="L334" s="160"/>
      <c r="M334" s="168">
        <f>'66 SYANA PRAROOP-20'!C335</f>
        <v>95</v>
      </c>
      <c r="N334" s="160"/>
      <c r="O334" s="160"/>
      <c r="P334" s="158">
        <f>'66 SYANA PRAROOP-20'!D335</f>
        <v>405</v>
      </c>
      <c r="Q334" s="160"/>
      <c r="R334" s="160"/>
      <c r="S334" s="158">
        <f>'66 SYANA PRAROOP-20'!E335</f>
        <v>23</v>
      </c>
      <c r="T334" s="160"/>
      <c r="U334" s="160"/>
      <c r="V334" s="159">
        <f>'66 SYANA PRAROOP-20'!F335</f>
        <v>107</v>
      </c>
      <c r="W334" s="160"/>
      <c r="X334" s="160"/>
      <c r="Y334" s="159">
        <f>'66 SYANA PRAROOP-20'!G335</f>
        <v>2</v>
      </c>
      <c r="Z334" s="160"/>
      <c r="AA334" s="160"/>
      <c r="AB334" s="168">
        <f>'66 SYANA PRAROOP-20'!H335</f>
        <v>4</v>
      </c>
      <c r="AC334" s="160"/>
      <c r="AD334" s="160"/>
      <c r="AE334" s="168">
        <f>'66 SYANA PRAROOP-20'!I335</f>
        <v>5</v>
      </c>
      <c r="AF334" s="160"/>
      <c r="AG334" s="160"/>
      <c r="AH334" s="168">
        <f>'66 SYANA PRAROOP-20'!J335</f>
        <v>3</v>
      </c>
      <c r="AI334" s="159">
        <f t="shared" si="17"/>
        <v>644</v>
      </c>
      <c r="AJ334" s="150">
        <f t="shared" si="15"/>
        <v>-9</v>
      </c>
    </row>
    <row r="335" spans="1:36" ht="51">
      <c r="A335" s="151">
        <v>66</v>
      </c>
      <c r="B335" s="155">
        <v>329</v>
      </c>
      <c r="C335" s="156" t="s">
        <v>972</v>
      </c>
      <c r="D335" s="155">
        <v>495</v>
      </c>
      <c r="E335" s="151">
        <v>200</v>
      </c>
      <c r="F335" s="151">
        <v>176</v>
      </c>
      <c r="G335" s="151">
        <v>0</v>
      </c>
      <c r="H335" s="151">
        <f t="shared" si="16"/>
        <v>376</v>
      </c>
      <c r="I335" s="155">
        <v>24</v>
      </c>
      <c r="J335" s="151">
        <v>0</v>
      </c>
      <c r="K335" s="160"/>
      <c r="L335" s="160"/>
      <c r="M335" s="168">
        <f>'66 SYANA PRAROOP-20'!C336</f>
        <v>13</v>
      </c>
      <c r="N335" s="160"/>
      <c r="O335" s="160"/>
      <c r="P335" s="158">
        <f>'66 SYANA PRAROOP-20'!D336</f>
        <v>353</v>
      </c>
      <c r="Q335" s="160"/>
      <c r="R335" s="160"/>
      <c r="S335" s="158">
        <f>'66 SYANA PRAROOP-20'!E336</f>
        <v>4</v>
      </c>
      <c r="T335" s="160"/>
      <c r="U335" s="160"/>
      <c r="V335" s="159">
        <f>'66 SYANA PRAROOP-20'!F336</f>
        <v>1</v>
      </c>
      <c r="W335" s="160"/>
      <c r="X335" s="160"/>
      <c r="Y335" s="159">
        <f>'66 SYANA PRAROOP-20'!G336</f>
        <v>0</v>
      </c>
      <c r="Z335" s="160"/>
      <c r="AA335" s="160"/>
      <c r="AB335" s="168">
        <f>'66 SYANA PRAROOP-20'!H336</f>
        <v>1</v>
      </c>
      <c r="AC335" s="160"/>
      <c r="AD335" s="160"/>
      <c r="AE335" s="168">
        <f>'66 SYANA PRAROOP-20'!I336</f>
        <v>1</v>
      </c>
      <c r="AF335" s="160"/>
      <c r="AG335" s="160"/>
      <c r="AH335" s="168">
        <f>'66 SYANA PRAROOP-20'!J336</f>
        <v>2</v>
      </c>
      <c r="AI335" s="159">
        <f t="shared" si="17"/>
        <v>375</v>
      </c>
      <c r="AJ335" s="150">
        <f t="shared" si="15"/>
        <v>-1</v>
      </c>
    </row>
    <row r="336" spans="1:36" ht="51">
      <c r="A336" s="151">
        <v>66</v>
      </c>
      <c r="B336" s="155">
        <v>330</v>
      </c>
      <c r="C336" s="156" t="s">
        <v>973</v>
      </c>
      <c r="D336" s="155">
        <v>691</v>
      </c>
      <c r="E336" s="151">
        <v>227</v>
      </c>
      <c r="F336" s="151">
        <v>227</v>
      </c>
      <c r="G336" s="151">
        <v>0</v>
      </c>
      <c r="H336" s="151">
        <f t="shared" si="16"/>
        <v>454</v>
      </c>
      <c r="I336" s="155">
        <v>327</v>
      </c>
      <c r="J336" s="151">
        <v>0</v>
      </c>
      <c r="K336" s="160"/>
      <c r="L336" s="160"/>
      <c r="M336" s="168">
        <f>'66 SYANA PRAROOP-20'!C337</f>
        <v>113</v>
      </c>
      <c r="N336" s="160"/>
      <c r="O336" s="160"/>
      <c r="P336" s="158">
        <f>'66 SYANA PRAROOP-20'!D337</f>
        <v>324</v>
      </c>
      <c r="Q336" s="160"/>
      <c r="R336" s="160"/>
      <c r="S336" s="158">
        <f>'66 SYANA PRAROOP-20'!E337</f>
        <v>4</v>
      </c>
      <c r="T336" s="160"/>
      <c r="U336" s="160"/>
      <c r="V336" s="159">
        <f>'66 SYANA PRAROOP-20'!F337</f>
        <v>6</v>
      </c>
      <c r="W336" s="160"/>
      <c r="X336" s="160"/>
      <c r="Y336" s="159">
        <f>'66 SYANA PRAROOP-20'!G337</f>
        <v>0</v>
      </c>
      <c r="Z336" s="160"/>
      <c r="AA336" s="160"/>
      <c r="AB336" s="168">
        <f>'66 SYANA PRAROOP-20'!H337</f>
        <v>0</v>
      </c>
      <c r="AC336" s="160"/>
      <c r="AD336" s="160"/>
      <c r="AE336" s="168">
        <f>'66 SYANA PRAROOP-20'!I337</f>
        <v>1</v>
      </c>
      <c r="AF336" s="160"/>
      <c r="AG336" s="160"/>
      <c r="AH336" s="168">
        <f>'66 SYANA PRAROOP-20'!J337</f>
        <v>3</v>
      </c>
      <c r="AI336" s="159">
        <f t="shared" si="17"/>
        <v>451</v>
      </c>
      <c r="AJ336" s="150">
        <f t="shared" si="15"/>
        <v>-3</v>
      </c>
    </row>
    <row r="337" spans="1:36" ht="51">
      <c r="A337" s="151">
        <v>66</v>
      </c>
      <c r="B337" s="155">
        <v>331</v>
      </c>
      <c r="C337" s="156" t="s">
        <v>974</v>
      </c>
      <c r="D337" s="155">
        <v>684</v>
      </c>
      <c r="E337" s="151">
        <v>215</v>
      </c>
      <c r="F337" s="151">
        <v>229</v>
      </c>
      <c r="G337" s="151">
        <v>0</v>
      </c>
      <c r="H337" s="151">
        <f t="shared" si="16"/>
        <v>444</v>
      </c>
      <c r="I337" s="155">
        <v>56</v>
      </c>
      <c r="J337" s="151">
        <v>0</v>
      </c>
      <c r="K337" s="160"/>
      <c r="L337" s="160"/>
      <c r="M337" s="168">
        <f>'66 SYANA PRAROOP-20'!C338</f>
        <v>334</v>
      </c>
      <c r="N337" s="160"/>
      <c r="O337" s="160"/>
      <c r="P337" s="158">
        <f>'66 SYANA PRAROOP-20'!D338</f>
        <v>10</v>
      </c>
      <c r="Q337" s="160"/>
      <c r="R337" s="160"/>
      <c r="S337" s="158">
        <f>'66 SYANA PRAROOP-20'!E338</f>
        <v>0</v>
      </c>
      <c r="T337" s="160"/>
      <c r="U337" s="160"/>
      <c r="V337" s="159">
        <f>'66 SYANA PRAROOP-20'!F338</f>
        <v>96</v>
      </c>
      <c r="W337" s="160"/>
      <c r="X337" s="160"/>
      <c r="Y337" s="159">
        <f>'66 SYANA PRAROOP-20'!G338</f>
        <v>1</v>
      </c>
      <c r="Z337" s="160"/>
      <c r="AA337" s="160"/>
      <c r="AB337" s="168">
        <f>'66 SYANA PRAROOP-20'!H338</f>
        <v>0</v>
      </c>
      <c r="AC337" s="160"/>
      <c r="AD337" s="160"/>
      <c r="AE337" s="168">
        <f>'66 SYANA PRAROOP-20'!I338</f>
        <v>0</v>
      </c>
      <c r="AF337" s="160"/>
      <c r="AG337" s="160"/>
      <c r="AH337" s="168">
        <f>'66 SYANA PRAROOP-20'!J338</f>
        <v>1</v>
      </c>
      <c r="AI337" s="159">
        <f t="shared" si="17"/>
        <v>442</v>
      </c>
      <c r="AJ337" s="150">
        <f t="shared" si="15"/>
        <v>-2</v>
      </c>
    </row>
    <row r="338" spans="1:36" ht="51">
      <c r="A338" s="151">
        <v>66</v>
      </c>
      <c r="B338" s="155">
        <v>332</v>
      </c>
      <c r="C338" s="156" t="s">
        <v>975</v>
      </c>
      <c r="D338" s="155">
        <v>1008</v>
      </c>
      <c r="E338" s="151">
        <v>337</v>
      </c>
      <c r="F338" s="151">
        <v>351</v>
      </c>
      <c r="G338" s="151">
        <v>0</v>
      </c>
      <c r="H338" s="151">
        <f t="shared" si="16"/>
        <v>688</v>
      </c>
      <c r="I338" s="155">
        <v>59</v>
      </c>
      <c r="J338" s="151">
        <v>0</v>
      </c>
      <c r="K338" s="160"/>
      <c r="L338" s="160"/>
      <c r="M338" s="168">
        <f>'66 SYANA PRAROOP-20'!C339</f>
        <v>52</v>
      </c>
      <c r="N338" s="160"/>
      <c r="O338" s="160"/>
      <c r="P338" s="158">
        <f>'66 SYANA PRAROOP-20'!D339</f>
        <v>251</v>
      </c>
      <c r="Q338" s="160"/>
      <c r="R338" s="160"/>
      <c r="S338" s="158">
        <f>'66 SYANA PRAROOP-20'!E339</f>
        <v>15</v>
      </c>
      <c r="T338" s="160"/>
      <c r="U338" s="160"/>
      <c r="V338" s="159">
        <f>'66 SYANA PRAROOP-20'!F339</f>
        <v>340</v>
      </c>
      <c r="W338" s="160"/>
      <c r="X338" s="160"/>
      <c r="Y338" s="159">
        <f>'66 SYANA PRAROOP-20'!G339</f>
        <v>3</v>
      </c>
      <c r="Z338" s="160"/>
      <c r="AA338" s="160"/>
      <c r="AB338" s="168">
        <f>'66 SYANA PRAROOP-20'!H339</f>
        <v>11</v>
      </c>
      <c r="AC338" s="160"/>
      <c r="AD338" s="160"/>
      <c r="AE338" s="168">
        <f>'66 SYANA PRAROOP-20'!I339</f>
        <v>2</v>
      </c>
      <c r="AF338" s="160"/>
      <c r="AG338" s="160"/>
      <c r="AH338" s="168">
        <f>'66 SYANA PRAROOP-20'!J339</f>
        <v>8</v>
      </c>
      <c r="AI338" s="159">
        <f t="shared" si="17"/>
        <v>682</v>
      </c>
      <c r="AJ338" s="150">
        <f t="shared" si="15"/>
        <v>-6</v>
      </c>
    </row>
    <row r="339" spans="1:36" ht="38.25">
      <c r="A339" s="151">
        <v>66</v>
      </c>
      <c r="B339" s="155">
        <v>333</v>
      </c>
      <c r="C339" s="156" t="s">
        <v>976</v>
      </c>
      <c r="D339" s="155">
        <v>602</v>
      </c>
      <c r="E339" s="151">
        <v>202</v>
      </c>
      <c r="F339" s="151">
        <v>196</v>
      </c>
      <c r="G339" s="151">
        <v>0</v>
      </c>
      <c r="H339" s="151">
        <f t="shared" si="16"/>
        <v>398</v>
      </c>
      <c r="I339" s="155">
        <v>31</v>
      </c>
      <c r="J339" s="151">
        <v>0</v>
      </c>
      <c r="K339" s="160"/>
      <c r="L339" s="160"/>
      <c r="M339" s="168">
        <f>'66 SYANA PRAROOP-20'!C340</f>
        <v>57</v>
      </c>
      <c r="N339" s="160"/>
      <c r="O339" s="160"/>
      <c r="P339" s="158">
        <f>'66 SYANA PRAROOP-20'!D340</f>
        <v>37</v>
      </c>
      <c r="Q339" s="160"/>
      <c r="R339" s="160"/>
      <c r="S339" s="158">
        <f>'66 SYANA PRAROOP-20'!E340</f>
        <v>8</v>
      </c>
      <c r="T339" s="160"/>
      <c r="U339" s="160"/>
      <c r="V339" s="159">
        <f>'66 SYANA PRAROOP-20'!F340</f>
        <v>287</v>
      </c>
      <c r="W339" s="160"/>
      <c r="X339" s="160"/>
      <c r="Y339" s="159">
        <f>'66 SYANA PRAROOP-20'!G340</f>
        <v>2</v>
      </c>
      <c r="Z339" s="160"/>
      <c r="AA339" s="160"/>
      <c r="AB339" s="168">
        <f>'66 SYANA PRAROOP-20'!H340</f>
        <v>2</v>
      </c>
      <c r="AC339" s="160"/>
      <c r="AD339" s="160"/>
      <c r="AE339" s="168">
        <f>'66 SYANA PRAROOP-20'!I340</f>
        <v>1</v>
      </c>
      <c r="AF339" s="160"/>
      <c r="AG339" s="160"/>
      <c r="AH339" s="168">
        <f>'66 SYANA PRAROOP-20'!J340</f>
        <v>2</v>
      </c>
      <c r="AI339" s="159">
        <f t="shared" si="17"/>
        <v>396</v>
      </c>
      <c r="AJ339" s="150">
        <f t="shared" si="15"/>
        <v>-2</v>
      </c>
    </row>
    <row r="340" spans="1:36" ht="63.75">
      <c r="A340" s="151">
        <v>66</v>
      </c>
      <c r="B340" s="155">
        <v>334</v>
      </c>
      <c r="C340" s="156" t="s">
        <v>977</v>
      </c>
      <c r="D340" s="155">
        <v>644</v>
      </c>
      <c r="E340" s="151">
        <v>188</v>
      </c>
      <c r="F340" s="151">
        <v>185</v>
      </c>
      <c r="G340" s="151">
        <v>0</v>
      </c>
      <c r="H340" s="151">
        <f t="shared" si="16"/>
        <v>373</v>
      </c>
      <c r="I340" s="155">
        <v>49</v>
      </c>
      <c r="J340" s="151">
        <v>0</v>
      </c>
      <c r="K340" s="160"/>
      <c r="L340" s="160"/>
      <c r="M340" s="168">
        <f>'66 SYANA PRAROOP-20'!C341</f>
        <v>11</v>
      </c>
      <c r="N340" s="160"/>
      <c r="O340" s="160"/>
      <c r="P340" s="158">
        <f>'66 SYANA PRAROOP-20'!D341</f>
        <v>339</v>
      </c>
      <c r="Q340" s="160"/>
      <c r="R340" s="160"/>
      <c r="S340" s="158">
        <f>'66 SYANA PRAROOP-20'!E341</f>
        <v>9</v>
      </c>
      <c r="T340" s="160"/>
      <c r="U340" s="160"/>
      <c r="V340" s="159">
        <f>'66 SYANA PRAROOP-20'!F341</f>
        <v>0</v>
      </c>
      <c r="W340" s="160"/>
      <c r="X340" s="160"/>
      <c r="Y340" s="159">
        <f>'66 SYANA PRAROOP-20'!G341</f>
        <v>6</v>
      </c>
      <c r="Z340" s="160"/>
      <c r="AA340" s="160"/>
      <c r="AB340" s="168">
        <f>'66 SYANA PRAROOP-20'!H341</f>
        <v>6</v>
      </c>
      <c r="AC340" s="160"/>
      <c r="AD340" s="160"/>
      <c r="AE340" s="168">
        <f>'66 SYANA PRAROOP-20'!I341</f>
        <v>2</v>
      </c>
      <c r="AF340" s="160"/>
      <c r="AG340" s="160"/>
      <c r="AH340" s="168">
        <f>'66 SYANA PRAROOP-20'!J341</f>
        <v>0</v>
      </c>
      <c r="AI340" s="159">
        <f t="shared" si="17"/>
        <v>373</v>
      </c>
      <c r="AJ340" s="150">
        <f t="shared" si="15"/>
        <v>0</v>
      </c>
    </row>
    <row r="341" spans="1:36" ht="63.75">
      <c r="A341" s="151">
        <v>66</v>
      </c>
      <c r="B341" s="155">
        <v>335</v>
      </c>
      <c r="C341" s="156" t="s">
        <v>978</v>
      </c>
      <c r="D341" s="155">
        <v>602</v>
      </c>
      <c r="E341" s="151">
        <v>141</v>
      </c>
      <c r="F341" s="151">
        <v>146</v>
      </c>
      <c r="G341" s="151">
        <v>0</v>
      </c>
      <c r="H341" s="151">
        <f t="shared" si="16"/>
        <v>287</v>
      </c>
      <c r="I341" s="155">
        <v>18</v>
      </c>
      <c r="J341" s="151">
        <v>0</v>
      </c>
      <c r="K341" s="160"/>
      <c r="L341" s="160"/>
      <c r="M341" s="168">
        <f>'66 SYANA PRAROOP-20'!C342</f>
        <v>1</v>
      </c>
      <c r="N341" s="160"/>
      <c r="O341" s="160"/>
      <c r="P341" s="158">
        <f>'66 SYANA PRAROOP-20'!D342</f>
        <v>260</v>
      </c>
      <c r="Q341" s="160"/>
      <c r="R341" s="160"/>
      <c r="S341" s="158">
        <f>'66 SYANA PRAROOP-20'!E342</f>
        <v>0</v>
      </c>
      <c r="T341" s="160"/>
      <c r="U341" s="160"/>
      <c r="V341" s="159">
        <f>'66 SYANA PRAROOP-20'!F342</f>
        <v>7</v>
      </c>
      <c r="W341" s="160"/>
      <c r="X341" s="160"/>
      <c r="Y341" s="159">
        <f>'66 SYANA PRAROOP-20'!G342</f>
        <v>8</v>
      </c>
      <c r="Z341" s="160"/>
      <c r="AA341" s="160"/>
      <c r="AB341" s="168">
        <f>'66 SYANA PRAROOP-20'!H342</f>
        <v>5</v>
      </c>
      <c r="AC341" s="160"/>
      <c r="AD341" s="160"/>
      <c r="AE341" s="168">
        <f>'66 SYANA PRAROOP-20'!I342</f>
        <v>1</v>
      </c>
      <c r="AF341" s="160"/>
      <c r="AG341" s="160"/>
      <c r="AH341" s="168">
        <f>'66 SYANA PRAROOP-20'!J342</f>
        <v>2</v>
      </c>
      <c r="AI341" s="159">
        <f t="shared" si="17"/>
        <v>284</v>
      </c>
      <c r="AJ341" s="150">
        <f t="shared" si="15"/>
        <v>-3</v>
      </c>
    </row>
    <row r="342" spans="1:36" ht="38.25">
      <c r="A342" s="151">
        <v>66</v>
      </c>
      <c r="B342" s="155">
        <v>336</v>
      </c>
      <c r="C342" s="156" t="s">
        <v>979</v>
      </c>
      <c r="D342" s="155">
        <v>709</v>
      </c>
      <c r="E342" s="151">
        <v>221</v>
      </c>
      <c r="F342" s="151">
        <v>193</v>
      </c>
      <c r="G342" s="151">
        <v>0</v>
      </c>
      <c r="H342" s="151">
        <f t="shared" si="16"/>
        <v>414</v>
      </c>
      <c r="I342" s="155">
        <v>115</v>
      </c>
      <c r="J342" s="151">
        <v>0</v>
      </c>
      <c r="K342" s="160"/>
      <c r="L342" s="160"/>
      <c r="M342" s="168">
        <f>'66 SYANA PRAROOP-20'!C343</f>
        <v>11</v>
      </c>
      <c r="N342" s="160"/>
      <c r="O342" s="160"/>
      <c r="P342" s="158">
        <f>'66 SYANA PRAROOP-20'!D343</f>
        <v>360</v>
      </c>
      <c r="Q342" s="160"/>
      <c r="R342" s="160"/>
      <c r="S342" s="158">
        <f>'66 SYANA PRAROOP-20'!E343</f>
        <v>4</v>
      </c>
      <c r="T342" s="160"/>
      <c r="U342" s="160"/>
      <c r="V342" s="159">
        <f>'66 SYANA PRAROOP-20'!F343</f>
        <v>34</v>
      </c>
      <c r="W342" s="160"/>
      <c r="X342" s="160"/>
      <c r="Y342" s="159">
        <f>'66 SYANA PRAROOP-20'!G343</f>
        <v>1</v>
      </c>
      <c r="Z342" s="160"/>
      <c r="AA342" s="160"/>
      <c r="AB342" s="168">
        <f>'66 SYANA PRAROOP-20'!H343</f>
        <v>1</v>
      </c>
      <c r="AC342" s="160"/>
      <c r="AD342" s="160"/>
      <c r="AE342" s="168">
        <f>'66 SYANA PRAROOP-20'!I343</f>
        <v>2</v>
      </c>
      <c r="AF342" s="160"/>
      <c r="AG342" s="160"/>
      <c r="AH342" s="168">
        <f>'66 SYANA PRAROOP-20'!J343</f>
        <v>0</v>
      </c>
      <c r="AI342" s="159">
        <f t="shared" si="17"/>
        <v>413</v>
      </c>
      <c r="AJ342" s="150">
        <f t="shared" si="15"/>
        <v>-1</v>
      </c>
    </row>
    <row r="343" spans="1:36" ht="63.75">
      <c r="A343" s="151">
        <v>66</v>
      </c>
      <c r="B343" s="155">
        <v>337</v>
      </c>
      <c r="C343" s="156" t="s">
        <v>980</v>
      </c>
      <c r="D343" s="155">
        <v>886</v>
      </c>
      <c r="E343" s="151">
        <v>246</v>
      </c>
      <c r="F343" s="151">
        <v>249</v>
      </c>
      <c r="G343" s="151">
        <v>0</v>
      </c>
      <c r="H343" s="151">
        <f t="shared" si="16"/>
        <v>495</v>
      </c>
      <c r="I343" s="155">
        <v>24</v>
      </c>
      <c r="J343" s="151">
        <v>0</v>
      </c>
      <c r="K343" s="160"/>
      <c r="L343" s="160"/>
      <c r="M343" s="168">
        <f>'66 SYANA PRAROOP-20'!C344</f>
        <v>71</v>
      </c>
      <c r="N343" s="160"/>
      <c r="O343" s="160"/>
      <c r="P343" s="158">
        <f>'66 SYANA PRAROOP-20'!D344</f>
        <v>281</v>
      </c>
      <c r="Q343" s="160"/>
      <c r="R343" s="160"/>
      <c r="S343" s="158">
        <f>'66 SYANA PRAROOP-20'!E344</f>
        <v>3</v>
      </c>
      <c r="T343" s="160"/>
      <c r="U343" s="160"/>
      <c r="V343" s="159">
        <f>'66 SYANA PRAROOP-20'!F344</f>
        <v>135</v>
      </c>
      <c r="W343" s="160"/>
      <c r="X343" s="160"/>
      <c r="Y343" s="159">
        <f>'66 SYANA PRAROOP-20'!G344</f>
        <v>2</v>
      </c>
      <c r="Z343" s="160"/>
      <c r="AA343" s="160"/>
      <c r="AB343" s="168">
        <f>'66 SYANA PRAROOP-20'!H344</f>
        <v>1</v>
      </c>
      <c r="AC343" s="160"/>
      <c r="AD343" s="160"/>
      <c r="AE343" s="168">
        <f>'66 SYANA PRAROOP-20'!I344</f>
        <v>1</v>
      </c>
      <c r="AF343" s="160"/>
      <c r="AG343" s="160"/>
      <c r="AH343" s="168">
        <f>'66 SYANA PRAROOP-20'!J344</f>
        <v>0</v>
      </c>
      <c r="AI343" s="159">
        <f t="shared" si="17"/>
        <v>494</v>
      </c>
      <c r="AJ343" s="150">
        <f t="shared" si="15"/>
        <v>-1</v>
      </c>
    </row>
    <row r="344" spans="1:36" ht="63.75">
      <c r="A344" s="151">
        <v>66</v>
      </c>
      <c r="B344" s="155">
        <v>338</v>
      </c>
      <c r="C344" s="156" t="s">
        <v>981</v>
      </c>
      <c r="D344" s="155">
        <v>926</v>
      </c>
      <c r="E344" s="151">
        <v>280</v>
      </c>
      <c r="F344" s="151">
        <v>229</v>
      </c>
      <c r="G344" s="151">
        <v>0</v>
      </c>
      <c r="H344" s="151">
        <f t="shared" si="16"/>
        <v>509</v>
      </c>
      <c r="I344" s="155">
        <v>329</v>
      </c>
      <c r="J344" s="151">
        <v>0</v>
      </c>
      <c r="K344" s="160"/>
      <c r="L344" s="160"/>
      <c r="M344" s="168">
        <f>'66 SYANA PRAROOP-20'!C345</f>
        <v>98</v>
      </c>
      <c r="N344" s="160"/>
      <c r="O344" s="160"/>
      <c r="P344" s="158">
        <f>'66 SYANA PRAROOP-20'!D345</f>
        <v>198</v>
      </c>
      <c r="Q344" s="160"/>
      <c r="R344" s="160"/>
      <c r="S344" s="158">
        <f>'66 SYANA PRAROOP-20'!E345</f>
        <v>12</v>
      </c>
      <c r="T344" s="160"/>
      <c r="U344" s="160"/>
      <c r="V344" s="159">
        <f>'66 SYANA PRAROOP-20'!F345</f>
        <v>198</v>
      </c>
      <c r="W344" s="160"/>
      <c r="X344" s="160"/>
      <c r="Y344" s="159">
        <f>'66 SYANA PRAROOP-20'!G345</f>
        <v>1</v>
      </c>
      <c r="Z344" s="160"/>
      <c r="AA344" s="160"/>
      <c r="AB344" s="168">
        <f>'66 SYANA PRAROOP-20'!H345</f>
        <v>0</v>
      </c>
      <c r="AC344" s="160"/>
      <c r="AD344" s="160"/>
      <c r="AE344" s="168">
        <f>'66 SYANA PRAROOP-20'!I345</f>
        <v>1</v>
      </c>
      <c r="AF344" s="160"/>
      <c r="AG344" s="160"/>
      <c r="AH344" s="168">
        <f>'66 SYANA PRAROOP-20'!J345</f>
        <v>1</v>
      </c>
      <c r="AI344" s="159">
        <f t="shared" si="17"/>
        <v>509</v>
      </c>
      <c r="AJ344" s="150">
        <f t="shared" si="15"/>
        <v>0</v>
      </c>
    </row>
    <row r="345" spans="1:36" ht="63.75">
      <c r="A345" s="151">
        <v>66</v>
      </c>
      <c r="B345" s="155">
        <v>339</v>
      </c>
      <c r="C345" s="156" t="s">
        <v>982</v>
      </c>
      <c r="D345" s="155">
        <v>1045</v>
      </c>
      <c r="E345" s="151">
        <v>374</v>
      </c>
      <c r="F345" s="151">
        <v>386</v>
      </c>
      <c r="G345" s="151">
        <v>0</v>
      </c>
      <c r="H345" s="151">
        <f t="shared" si="16"/>
        <v>760</v>
      </c>
      <c r="I345" s="155">
        <v>55</v>
      </c>
      <c r="J345" s="151">
        <v>0</v>
      </c>
      <c r="K345" s="160"/>
      <c r="L345" s="160"/>
      <c r="M345" s="168">
        <f>'66 SYANA PRAROOP-20'!C346</f>
        <v>34</v>
      </c>
      <c r="N345" s="160"/>
      <c r="O345" s="160"/>
      <c r="P345" s="158">
        <f>'66 SYANA PRAROOP-20'!D346</f>
        <v>702</v>
      </c>
      <c r="Q345" s="160"/>
      <c r="R345" s="160"/>
      <c r="S345" s="158">
        <f>'66 SYANA PRAROOP-20'!E346</f>
        <v>4</v>
      </c>
      <c r="T345" s="160"/>
      <c r="U345" s="160"/>
      <c r="V345" s="159">
        <f>'66 SYANA PRAROOP-20'!F346</f>
        <v>1</v>
      </c>
      <c r="W345" s="160"/>
      <c r="X345" s="160"/>
      <c r="Y345" s="159">
        <f>'66 SYANA PRAROOP-20'!G346</f>
        <v>4</v>
      </c>
      <c r="Z345" s="160"/>
      <c r="AA345" s="160"/>
      <c r="AB345" s="168">
        <f>'66 SYANA PRAROOP-20'!H346</f>
        <v>2</v>
      </c>
      <c r="AC345" s="160"/>
      <c r="AD345" s="160"/>
      <c r="AE345" s="168">
        <f>'66 SYANA PRAROOP-20'!I346</f>
        <v>4</v>
      </c>
      <c r="AF345" s="160"/>
      <c r="AG345" s="160"/>
      <c r="AH345" s="168">
        <f>'66 SYANA PRAROOP-20'!J346</f>
        <v>4</v>
      </c>
      <c r="AI345" s="159">
        <f t="shared" si="17"/>
        <v>755</v>
      </c>
      <c r="AJ345" s="150">
        <f t="shared" si="15"/>
        <v>-5</v>
      </c>
    </row>
    <row r="346" spans="1:36" ht="63.75">
      <c r="A346" s="151">
        <v>66</v>
      </c>
      <c r="B346" s="155">
        <v>340</v>
      </c>
      <c r="C346" s="156" t="s">
        <v>983</v>
      </c>
      <c r="D346" s="155">
        <v>599</v>
      </c>
      <c r="E346" s="151">
        <v>251</v>
      </c>
      <c r="F346" s="151">
        <v>227</v>
      </c>
      <c r="G346" s="151">
        <v>0</v>
      </c>
      <c r="H346" s="151">
        <f t="shared" si="16"/>
        <v>478</v>
      </c>
      <c r="I346" s="155">
        <v>55</v>
      </c>
      <c r="J346" s="151">
        <v>0</v>
      </c>
      <c r="K346" s="160"/>
      <c r="L346" s="160"/>
      <c r="M346" s="168">
        <f>'66 SYANA PRAROOP-20'!C347</f>
        <v>12</v>
      </c>
      <c r="N346" s="160"/>
      <c r="O346" s="160"/>
      <c r="P346" s="158">
        <f>'66 SYANA PRAROOP-20'!D347</f>
        <v>435</v>
      </c>
      <c r="Q346" s="160"/>
      <c r="R346" s="160"/>
      <c r="S346" s="158">
        <f>'66 SYANA PRAROOP-20'!E347</f>
        <v>9</v>
      </c>
      <c r="T346" s="160"/>
      <c r="U346" s="160"/>
      <c r="V346" s="159">
        <f>'66 SYANA PRAROOP-20'!F347</f>
        <v>14</v>
      </c>
      <c r="W346" s="160"/>
      <c r="X346" s="160"/>
      <c r="Y346" s="159">
        <f>'66 SYANA PRAROOP-20'!G347</f>
        <v>0</v>
      </c>
      <c r="Z346" s="160"/>
      <c r="AA346" s="160"/>
      <c r="AB346" s="168">
        <f>'66 SYANA PRAROOP-20'!H347</f>
        <v>0</v>
      </c>
      <c r="AC346" s="160"/>
      <c r="AD346" s="160"/>
      <c r="AE346" s="168">
        <f>'66 SYANA PRAROOP-20'!I347</f>
        <v>3</v>
      </c>
      <c r="AF346" s="160"/>
      <c r="AG346" s="160"/>
      <c r="AH346" s="168">
        <f>'66 SYANA PRAROOP-20'!J347</f>
        <v>2</v>
      </c>
      <c r="AI346" s="159">
        <f t="shared" si="17"/>
        <v>475</v>
      </c>
      <c r="AJ346" s="150">
        <f t="shared" si="15"/>
        <v>-3</v>
      </c>
    </row>
    <row r="347" spans="1:36" ht="63.75">
      <c r="A347" s="151">
        <v>66</v>
      </c>
      <c r="B347" s="155">
        <v>341</v>
      </c>
      <c r="C347" s="156" t="s">
        <v>984</v>
      </c>
      <c r="D347" s="155">
        <v>986</v>
      </c>
      <c r="E347" s="151">
        <v>386</v>
      </c>
      <c r="F347" s="151">
        <v>366</v>
      </c>
      <c r="G347" s="151">
        <v>0</v>
      </c>
      <c r="H347" s="151">
        <f t="shared" si="16"/>
        <v>752</v>
      </c>
      <c r="I347" s="155">
        <v>24</v>
      </c>
      <c r="J347" s="151">
        <v>0</v>
      </c>
      <c r="K347" s="160"/>
      <c r="L347" s="160"/>
      <c r="M347" s="168">
        <f>'66 SYANA PRAROOP-20'!C348</f>
        <v>60</v>
      </c>
      <c r="N347" s="160"/>
      <c r="O347" s="160"/>
      <c r="P347" s="158">
        <f>'66 SYANA PRAROOP-20'!D348</f>
        <v>648</v>
      </c>
      <c r="Q347" s="160"/>
      <c r="R347" s="160"/>
      <c r="S347" s="158">
        <f>'66 SYANA PRAROOP-20'!E348</f>
        <v>9</v>
      </c>
      <c r="T347" s="160"/>
      <c r="U347" s="160"/>
      <c r="V347" s="159">
        <f>'66 SYANA PRAROOP-20'!F348</f>
        <v>5</v>
      </c>
      <c r="W347" s="160"/>
      <c r="X347" s="160"/>
      <c r="Y347" s="159">
        <f>'66 SYANA PRAROOP-20'!G348</f>
        <v>3</v>
      </c>
      <c r="Z347" s="160"/>
      <c r="AA347" s="160"/>
      <c r="AB347" s="168">
        <f>'66 SYANA PRAROOP-20'!H348</f>
        <v>5</v>
      </c>
      <c r="AC347" s="160"/>
      <c r="AD347" s="160"/>
      <c r="AE347" s="168">
        <f>'66 SYANA PRAROOP-20'!I348</f>
        <v>6</v>
      </c>
      <c r="AF347" s="160"/>
      <c r="AG347" s="160"/>
      <c r="AH347" s="168">
        <f>'66 SYANA PRAROOP-20'!J348</f>
        <v>7</v>
      </c>
      <c r="AI347" s="159">
        <f t="shared" si="17"/>
        <v>743</v>
      </c>
      <c r="AJ347" s="150">
        <f t="shared" si="15"/>
        <v>-9</v>
      </c>
    </row>
    <row r="348" spans="1:36" ht="63.75">
      <c r="A348" s="151">
        <v>66</v>
      </c>
      <c r="B348" s="155">
        <v>342</v>
      </c>
      <c r="C348" s="156" t="s">
        <v>985</v>
      </c>
      <c r="D348" s="155">
        <v>1056</v>
      </c>
      <c r="E348" s="151">
        <v>404</v>
      </c>
      <c r="F348" s="151">
        <v>377</v>
      </c>
      <c r="G348" s="151">
        <v>0</v>
      </c>
      <c r="H348" s="151">
        <f t="shared" si="16"/>
        <v>781</v>
      </c>
      <c r="I348" s="155">
        <v>72</v>
      </c>
      <c r="J348" s="151">
        <v>0</v>
      </c>
      <c r="K348" s="160"/>
      <c r="L348" s="160"/>
      <c r="M348" s="168">
        <f>'66 SYANA PRAROOP-20'!C349</f>
        <v>91</v>
      </c>
      <c r="N348" s="160"/>
      <c r="O348" s="160"/>
      <c r="P348" s="158">
        <f>'66 SYANA PRAROOP-20'!D349</f>
        <v>656</v>
      </c>
      <c r="Q348" s="160"/>
      <c r="R348" s="160"/>
      <c r="S348" s="158">
        <f>'66 SYANA PRAROOP-20'!E349</f>
        <v>7</v>
      </c>
      <c r="T348" s="160"/>
      <c r="U348" s="160"/>
      <c r="V348" s="159">
        <f>'66 SYANA PRAROOP-20'!F349</f>
        <v>6</v>
      </c>
      <c r="W348" s="160"/>
      <c r="X348" s="160"/>
      <c r="Y348" s="159">
        <f>'66 SYANA PRAROOP-20'!G349</f>
        <v>2</v>
      </c>
      <c r="Z348" s="160"/>
      <c r="AA348" s="160"/>
      <c r="AB348" s="168">
        <f>'66 SYANA PRAROOP-20'!H349</f>
        <v>3</v>
      </c>
      <c r="AC348" s="160"/>
      <c r="AD348" s="160"/>
      <c r="AE348" s="168">
        <f>'66 SYANA PRAROOP-20'!I349</f>
        <v>10</v>
      </c>
      <c r="AF348" s="160"/>
      <c r="AG348" s="160"/>
      <c r="AH348" s="168">
        <f>'66 SYANA PRAROOP-20'!J349</f>
        <v>3</v>
      </c>
      <c r="AI348" s="159">
        <f t="shared" si="17"/>
        <v>778</v>
      </c>
      <c r="AJ348" s="150">
        <f t="shared" si="15"/>
        <v>-3</v>
      </c>
    </row>
    <row r="349" spans="1:36" ht="51">
      <c r="A349" s="151">
        <v>66</v>
      </c>
      <c r="B349" s="155">
        <v>343</v>
      </c>
      <c r="C349" s="156" t="s">
        <v>986</v>
      </c>
      <c r="D349" s="155">
        <v>895</v>
      </c>
      <c r="E349" s="151">
        <v>299</v>
      </c>
      <c r="F349" s="151">
        <v>285</v>
      </c>
      <c r="G349" s="151">
        <v>0</v>
      </c>
      <c r="H349" s="151">
        <f t="shared" si="16"/>
        <v>584</v>
      </c>
      <c r="I349" s="155">
        <v>42</v>
      </c>
      <c r="J349" s="151">
        <v>0</v>
      </c>
      <c r="K349" s="160"/>
      <c r="L349" s="160"/>
      <c r="M349" s="168">
        <f>'66 SYANA PRAROOP-20'!C350</f>
        <v>72</v>
      </c>
      <c r="N349" s="160"/>
      <c r="O349" s="160"/>
      <c r="P349" s="158">
        <f>'66 SYANA PRAROOP-20'!D350</f>
        <v>448</v>
      </c>
      <c r="Q349" s="160"/>
      <c r="R349" s="160"/>
      <c r="S349" s="158">
        <f>'66 SYANA PRAROOP-20'!E350</f>
        <v>4</v>
      </c>
      <c r="T349" s="160"/>
      <c r="U349" s="160"/>
      <c r="V349" s="159">
        <f>'66 SYANA PRAROOP-20'!F350</f>
        <v>43</v>
      </c>
      <c r="W349" s="160"/>
      <c r="X349" s="160"/>
      <c r="Y349" s="159">
        <f>'66 SYANA PRAROOP-20'!G350</f>
        <v>4</v>
      </c>
      <c r="Z349" s="160"/>
      <c r="AA349" s="160"/>
      <c r="AB349" s="168">
        <f>'66 SYANA PRAROOP-20'!H350</f>
        <v>1</v>
      </c>
      <c r="AC349" s="160"/>
      <c r="AD349" s="160"/>
      <c r="AE349" s="168">
        <f>'66 SYANA PRAROOP-20'!I350</f>
        <v>3</v>
      </c>
      <c r="AF349" s="160"/>
      <c r="AG349" s="160"/>
      <c r="AH349" s="168">
        <f>'66 SYANA PRAROOP-20'!J350</f>
        <v>5</v>
      </c>
      <c r="AI349" s="159">
        <f t="shared" si="17"/>
        <v>580</v>
      </c>
      <c r="AJ349" s="150">
        <f t="shared" si="15"/>
        <v>-4</v>
      </c>
    </row>
    <row r="350" spans="1:36" ht="51">
      <c r="A350" s="151">
        <v>66</v>
      </c>
      <c r="B350" s="155">
        <v>344</v>
      </c>
      <c r="C350" s="156" t="s">
        <v>987</v>
      </c>
      <c r="D350" s="155">
        <v>911</v>
      </c>
      <c r="E350" s="151">
        <v>285</v>
      </c>
      <c r="F350" s="151">
        <v>268</v>
      </c>
      <c r="G350" s="151">
        <v>0</v>
      </c>
      <c r="H350" s="151">
        <f t="shared" si="16"/>
        <v>553</v>
      </c>
      <c r="I350" s="155">
        <v>43</v>
      </c>
      <c r="J350" s="151">
        <v>0</v>
      </c>
      <c r="K350" s="160"/>
      <c r="L350" s="160"/>
      <c r="M350" s="168">
        <f>'66 SYANA PRAROOP-20'!C351</f>
        <v>100</v>
      </c>
      <c r="N350" s="160"/>
      <c r="O350" s="160"/>
      <c r="P350" s="158">
        <f>'66 SYANA PRAROOP-20'!D351</f>
        <v>179</v>
      </c>
      <c r="Q350" s="160"/>
      <c r="R350" s="160"/>
      <c r="S350" s="158">
        <f>'66 SYANA PRAROOP-20'!E351</f>
        <v>6</v>
      </c>
      <c r="T350" s="160"/>
      <c r="U350" s="160"/>
      <c r="V350" s="159">
        <f>'66 SYANA PRAROOP-20'!F351</f>
        <v>256</v>
      </c>
      <c r="W350" s="160"/>
      <c r="X350" s="160"/>
      <c r="Y350" s="159">
        <f>'66 SYANA PRAROOP-20'!G351</f>
        <v>2</v>
      </c>
      <c r="Z350" s="160"/>
      <c r="AA350" s="160"/>
      <c r="AB350" s="168">
        <f>'66 SYANA PRAROOP-20'!H351</f>
        <v>4</v>
      </c>
      <c r="AC350" s="160"/>
      <c r="AD350" s="160"/>
      <c r="AE350" s="168">
        <f>'66 SYANA PRAROOP-20'!I351</f>
        <v>2</v>
      </c>
      <c r="AF350" s="160"/>
      <c r="AG350" s="160"/>
      <c r="AH350" s="168">
        <f>'66 SYANA PRAROOP-20'!J351</f>
        <v>0</v>
      </c>
      <c r="AI350" s="159">
        <f t="shared" si="17"/>
        <v>549</v>
      </c>
      <c r="AJ350" s="150">
        <f t="shared" si="15"/>
        <v>-4</v>
      </c>
    </row>
    <row r="351" spans="1:36" ht="51">
      <c r="A351" s="151">
        <v>66</v>
      </c>
      <c r="B351" s="155">
        <v>345</v>
      </c>
      <c r="C351" s="156" t="s">
        <v>988</v>
      </c>
      <c r="D351" s="155">
        <v>940</v>
      </c>
      <c r="E351" s="151">
        <v>342</v>
      </c>
      <c r="F351" s="151">
        <v>307</v>
      </c>
      <c r="G351" s="151">
        <v>0</v>
      </c>
      <c r="H351" s="151">
        <f t="shared" si="16"/>
        <v>649</v>
      </c>
      <c r="I351" s="155">
        <v>67</v>
      </c>
      <c r="J351" s="151">
        <v>0</v>
      </c>
      <c r="K351" s="160"/>
      <c r="L351" s="160"/>
      <c r="M351" s="168">
        <f>'66 SYANA PRAROOP-20'!C352</f>
        <v>139</v>
      </c>
      <c r="N351" s="160"/>
      <c r="O351" s="160"/>
      <c r="P351" s="158">
        <f>'66 SYANA PRAROOP-20'!D352</f>
        <v>463</v>
      </c>
      <c r="Q351" s="160"/>
      <c r="R351" s="160"/>
      <c r="S351" s="158">
        <f>'66 SYANA PRAROOP-20'!E352</f>
        <v>6</v>
      </c>
      <c r="T351" s="160"/>
      <c r="U351" s="160"/>
      <c r="V351" s="159">
        <f>'66 SYANA PRAROOP-20'!F352</f>
        <v>28</v>
      </c>
      <c r="W351" s="160"/>
      <c r="X351" s="160"/>
      <c r="Y351" s="159">
        <f>'66 SYANA PRAROOP-20'!G352</f>
        <v>1</v>
      </c>
      <c r="Z351" s="160"/>
      <c r="AA351" s="160"/>
      <c r="AB351" s="168">
        <f>'66 SYANA PRAROOP-20'!H352</f>
        <v>5</v>
      </c>
      <c r="AC351" s="160"/>
      <c r="AD351" s="160"/>
      <c r="AE351" s="168">
        <f>'66 SYANA PRAROOP-20'!I352</f>
        <v>2</v>
      </c>
      <c r="AF351" s="160"/>
      <c r="AG351" s="160"/>
      <c r="AH351" s="168">
        <f>'66 SYANA PRAROOP-20'!J352</f>
        <v>1</v>
      </c>
      <c r="AI351" s="159">
        <f t="shared" si="17"/>
        <v>645</v>
      </c>
      <c r="AJ351" s="150">
        <f t="shared" si="15"/>
        <v>-4</v>
      </c>
    </row>
    <row r="352" spans="1:36" ht="51">
      <c r="A352" s="151">
        <v>66</v>
      </c>
      <c r="B352" s="155">
        <v>346</v>
      </c>
      <c r="C352" s="156" t="s">
        <v>989</v>
      </c>
      <c r="D352" s="155">
        <v>939</v>
      </c>
      <c r="E352" s="151">
        <v>304</v>
      </c>
      <c r="F352" s="151">
        <v>270</v>
      </c>
      <c r="G352" s="151">
        <v>0</v>
      </c>
      <c r="H352" s="151">
        <f t="shared" si="16"/>
        <v>574</v>
      </c>
      <c r="I352" s="155">
        <v>48</v>
      </c>
      <c r="J352" s="151">
        <v>0</v>
      </c>
      <c r="K352" s="160"/>
      <c r="L352" s="160"/>
      <c r="M352" s="168">
        <f>'66 SYANA PRAROOP-20'!C353</f>
        <v>195</v>
      </c>
      <c r="N352" s="160"/>
      <c r="O352" s="160"/>
      <c r="P352" s="158">
        <f>'66 SYANA PRAROOP-20'!D353</f>
        <v>324</v>
      </c>
      <c r="Q352" s="160"/>
      <c r="R352" s="160"/>
      <c r="S352" s="158">
        <f>'66 SYANA PRAROOP-20'!E353</f>
        <v>16</v>
      </c>
      <c r="T352" s="160"/>
      <c r="U352" s="160"/>
      <c r="V352" s="159">
        <f>'66 SYANA PRAROOP-20'!F353</f>
        <v>22</v>
      </c>
      <c r="W352" s="160"/>
      <c r="X352" s="160"/>
      <c r="Y352" s="159">
        <f>'66 SYANA PRAROOP-20'!G353</f>
        <v>0</v>
      </c>
      <c r="Z352" s="160"/>
      <c r="AA352" s="160"/>
      <c r="AB352" s="168">
        <f>'66 SYANA PRAROOP-20'!H353</f>
        <v>1</v>
      </c>
      <c r="AC352" s="160"/>
      <c r="AD352" s="160"/>
      <c r="AE352" s="168">
        <f>'66 SYANA PRAROOP-20'!I353</f>
        <v>3</v>
      </c>
      <c r="AF352" s="160"/>
      <c r="AG352" s="160"/>
      <c r="AH352" s="168">
        <f>'66 SYANA PRAROOP-20'!J353</f>
        <v>7</v>
      </c>
      <c r="AI352" s="159">
        <f t="shared" si="17"/>
        <v>568</v>
      </c>
      <c r="AJ352" s="150">
        <f t="shared" si="15"/>
        <v>-6</v>
      </c>
    </row>
    <row r="353" spans="1:36" ht="38.25">
      <c r="A353" s="151">
        <v>66</v>
      </c>
      <c r="B353" s="155">
        <v>347</v>
      </c>
      <c r="C353" s="156" t="s">
        <v>990</v>
      </c>
      <c r="D353" s="155">
        <v>480</v>
      </c>
      <c r="E353" s="151">
        <v>182</v>
      </c>
      <c r="F353" s="151">
        <v>179</v>
      </c>
      <c r="G353" s="151">
        <v>0</v>
      </c>
      <c r="H353" s="151">
        <f t="shared" si="16"/>
        <v>361</v>
      </c>
      <c r="I353" s="155">
        <v>27</v>
      </c>
      <c r="J353" s="151">
        <v>0</v>
      </c>
      <c r="K353" s="160"/>
      <c r="L353" s="160"/>
      <c r="M353" s="168">
        <f>'66 SYANA PRAROOP-20'!C354</f>
        <v>10</v>
      </c>
      <c r="N353" s="160"/>
      <c r="O353" s="160"/>
      <c r="P353" s="158">
        <f>'66 SYANA PRAROOP-20'!D354</f>
        <v>345</v>
      </c>
      <c r="Q353" s="160"/>
      <c r="R353" s="160"/>
      <c r="S353" s="158">
        <f>'66 SYANA PRAROOP-20'!E354</f>
        <v>2</v>
      </c>
      <c r="T353" s="160"/>
      <c r="U353" s="160"/>
      <c r="V353" s="159">
        <f>'66 SYANA PRAROOP-20'!F354</f>
        <v>0</v>
      </c>
      <c r="W353" s="160"/>
      <c r="X353" s="160"/>
      <c r="Y353" s="159">
        <f>'66 SYANA PRAROOP-20'!G354</f>
        <v>0</v>
      </c>
      <c r="Z353" s="160"/>
      <c r="AA353" s="160"/>
      <c r="AB353" s="168">
        <f>'66 SYANA PRAROOP-20'!H354</f>
        <v>0</v>
      </c>
      <c r="AC353" s="160"/>
      <c r="AD353" s="160"/>
      <c r="AE353" s="168">
        <f>'66 SYANA PRAROOP-20'!I354</f>
        <v>1</v>
      </c>
      <c r="AF353" s="160"/>
      <c r="AG353" s="160"/>
      <c r="AH353" s="168">
        <f>'66 SYANA PRAROOP-20'!J354</f>
        <v>2</v>
      </c>
      <c r="AI353" s="159">
        <f t="shared" si="17"/>
        <v>360</v>
      </c>
      <c r="AJ353" s="150">
        <f t="shared" si="15"/>
        <v>-1</v>
      </c>
    </row>
    <row r="354" spans="1:36" ht="51">
      <c r="A354" s="151">
        <v>66</v>
      </c>
      <c r="B354" s="155">
        <v>348</v>
      </c>
      <c r="C354" s="156" t="s">
        <v>991</v>
      </c>
      <c r="D354" s="155">
        <v>321</v>
      </c>
      <c r="E354" s="151">
        <v>110</v>
      </c>
      <c r="F354" s="151">
        <v>104</v>
      </c>
      <c r="G354" s="151">
        <v>0</v>
      </c>
      <c r="H354" s="151">
        <f t="shared" si="16"/>
        <v>214</v>
      </c>
      <c r="I354" s="155">
        <v>27</v>
      </c>
      <c r="J354" s="151">
        <v>0</v>
      </c>
      <c r="K354" s="160"/>
      <c r="L354" s="160"/>
      <c r="M354" s="168">
        <f>'66 SYANA PRAROOP-20'!C355</f>
        <v>3</v>
      </c>
      <c r="N354" s="160"/>
      <c r="O354" s="160"/>
      <c r="P354" s="158">
        <f>'66 SYANA PRAROOP-20'!D355</f>
        <v>168</v>
      </c>
      <c r="Q354" s="160"/>
      <c r="R354" s="160"/>
      <c r="S354" s="158">
        <f>'66 SYANA PRAROOP-20'!E355</f>
        <v>4</v>
      </c>
      <c r="T354" s="160"/>
      <c r="U354" s="160"/>
      <c r="V354" s="159">
        <f>'66 SYANA PRAROOP-20'!F355</f>
        <v>38</v>
      </c>
      <c r="W354" s="160"/>
      <c r="X354" s="160"/>
      <c r="Y354" s="159">
        <f>'66 SYANA PRAROOP-20'!G355</f>
        <v>0</v>
      </c>
      <c r="Z354" s="160"/>
      <c r="AA354" s="160"/>
      <c r="AB354" s="168">
        <f>'66 SYANA PRAROOP-20'!H355</f>
        <v>1</v>
      </c>
      <c r="AC354" s="160"/>
      <c r="AD354" s="160"/>
      <c r="AE354" s="168">
        <f>'66 SYANA PRAROOP-20'!I355</f>
        <v>0</v>
      </c>
      <c r="AF354" s="160"/>
      <c r="AG354" s="160"/>
      <c r="AH354" s="168">
        <f>'66 SYANA PRAROOP-20'!J355</f>
        <v>0</v>
      </c>
      <c r="AI354" s="159">
        <f t="shared" si="17"/>
        <v>214</v>
      </c>
      <c r="AJ354" s="150">
        <f t="shared" si="15"/>
        <v>0</v>
      </c>
    </row>
    <row r="355" spans="1:36" ht="38.25">
      <c r="A355" s="151">
        <v>66</v>
      </c>
      <c r="B355" s="155">
        <v>349</v>
      </c>
      <c r="C355" s="156" t="s">
        <v>992</v>
      </c>
      <c r="D355" s="155">
        <v>586</v>
      </c>
      <c r="E355" s="151">
        <v>211</v>
      </c>
      <c r="F355" s="151">
        <v>200</v>
      </c>
      <c r="G355" s="151">
        <v>0</v>
      </c>
      <c r="H355" s="151">
        <f t="shared" si="16"/>
        <v>411</v>
      </c>
      <c r="I355" s="155">
        <v>49</v>
      </c>
      <c r="J355" s="151">
        <v>0</v>
      </c>
      <c r="K355" s="160"/>
      <c r="L355" s="160"/>
      <c r="M355" s="168">
        <f>'66 SYANA PRAROOP-20'!C356</f>
        <v>41</v>
      </c>
      <c r="N355" s="160"/>
      <c r="O355" s="160"/>
      <c r="P355" s="158">
        <f>'66 SYANA PRAROOP-20'!D356</f>
        <v>304</v>
      </c>
      <c r="Q355" s="160"/>
      <c r="R355" s="160"/>
      <c r="S355" s="158">
        <f>'66 SYANA PRAROOP-20'!E356</f>
        <v>4</v>
      </c>
      <c r="T355" s="160"/>
      <c r="U355" s="160"/>
      <c r="V355" s="159">
        <f>'66 SYANA PRAROOP-20'!F356</f>
        <v>51</v>
      </c>
      <c r="W355" s="160"/>
      <c r="X355" s="160"/>
      <c r="Y355" s="159">
        <f>'66 SYANA PRAROOP-20'!G356</f>
        <v>4</v>
      </c>
      <c r="Z355" s="160"/>
      <c r="AA355" s="160"/>
      <c r="AB355" s="168">
        <f>'66 SYANA PRAROOP-20'!H356</f>
        <v>2</v>
      </c>
      <c r="AC355" s="160"/>
      <c r="AD355" s="160"/>
      <c r="AE355" s="168">
        <f>'66 SYANA PRAROOP-20'!I356</f>
        <v>0</v>
      </c>
      <c r="AF355" s="160"/>
      <c r="AG355" s="160"/>
      <c r="AH355" s="168">
        <f>'66 SYANA PRAROOP-20'!J356</f>
        <v>2</v>
      </c>
      <c r="AI355" s="159">
        <f t="shared" si="17"/>
        <v>408</v>
      </c>
      <c r="AJ355" s="150">
        <f t="shared" si="15"/>
        <v>-3</v>
      </c>
    </row>
    <row r="356" spans="1:36" ht="38.25">
      <c r="A356" s="151">
        <v>66</v>
      </c>
      <c r="B356" s="155">
        <v>350</v>
      </c>
      <c r="C356" s="156" t="s">
        <v>993</v>
      </c>
      <c r="D356" s="155">
        <v>1145</v>
      </c>
      <c r="E356" s="151">
        <v>402</v>
      </c>
      <c r="F356" s="151">
        <v>381</v>
      </c>
      <c r="G356" s="151">
        <v>0</v>
      </c>
      <c r="H356" s="151">
        <f t="shared" si="16"/>
        <v>783</v>
      </c>
      <c r="I356" s="155">
        <v>39</v>
      </c>
      <c r="J356" s="151">
        <v>0</v>
      </c>
      <c r="K356" s="160"/>
      <c r="L356" s="160"/>
      <c r="M356" s="168">
        <f>'66 SYANA PRAROOP-20'!C357</f>
        <v>241</v>
      </c>
      <c r="N356" s="160"/>
      <c r="O356" s="160"/>
      <c r="P356" s="158">
        <f>'66 SYANA PRAROOP-20'!D357</f>
        <v>500</v>
      </c>
      <c r="Q356" s="160"/>
      <c r="R356" s="160"/>
      <c r="S356" s="158">
        <f>'66 SYANA PRAROOP-20'!E357</f>
        <v>8</v>
      </c>
      <c r="T356" s="160"/>
      <c r="U356" s="160"/>
      <c r="V356" s="159">
        <f>'66 SYANA PRAROOP-20'!F357</f>
        <v>1</v>
      </c>
      <c r="W356" s="160"/>
      <c r="X356" s="160"/>
      <c r="Y356" s="159">
        <f>'66 SYANA PRAROOP-20'!G357</f>
        <v>2</v>
      </c>
      <c r="Z356" s="160"/>
      <c r="AA356" s="160"/>
      <c r="AB356" s="168">
        <f>'66 SYANA PRAROOP-20'!H357</f>
        <v>4</v>
      </c>
      <c r="AC356" s="160"/>
      <c r="AD356" s="160"/>
      <c r="AE356" s="168">
        <f>'66 SYANA PRAROOP-20'!I357</f>
        <v>9</v>
      </c>
      <c r="AF356" s="160"/>
      <c r="AG356" s="160"/>
      <c r="AH356" s="168">
        <f>'66 SYANA PRAROOP-20'!J357</f>
        <v>6</v>
      </c>
      <c r="AI356" s="159">
        <f t="shared" si="17"/>
        <v>771</v>
      </c>
      <c r="AJ356" s="150">
        <f t="shared" si="15"/>
        <v>-12</v>
      </c>
    </row>
    <row r="357" spans="1:36" ht="51">
      <c r="A357" s="151">
        <v>66</v>
      </c>
      <c r="B357" s="155">
        <v>351</v>
      </c>
      <c r="C357" s="156" t="s">
        <v>994</v>
      </c>
      <c r="D357" s="155">
        <v>885</v>
      </c>
      <c r="E357" s="151">
        <v>296</v>
      </c>
      <c r="F357" s="151">
        <v>303</v>
      </c>
      <c r="G357" s="151">
        <v>0</v>
      </c>
      <c r="H357" s="151">
        <f t="shared" si="16"/>
        <v>599</v>
      </c>
      <c r="I357" s="155">
        <v>579</v>
      </c>
      <c r="J357" s="151">
        <v>0</v>
      </c>
      <c r="K357" s="160"/>
      <c r="L357" s="160"/>
      <c r="M357" s="168">
        <f>'66 SYANA PRAROOP-20'!C358</f>
        <v>114</v>
      </c>
      <c r="N357" s="160"/>
      <c r="O357" s="160"/>
      <c r="P357" s="158">
        <f>'66 SYANA PRAROOP-20'!D358</f>
        <v>307</v>
      </c>
      <c r="Q357" s="160"/>
      <c r="R357" s="160"/>
      <c r="S357" s="158">
        <f>'66 SYANA PRAROOP-20'!E358</f>
        <v>3</v>
      </c>
      <c r="T357" s="160"/>
      <c r="U357" s="160"/>
      <c r="V357" s="159">
        <f>'66 SYANA PRAROOP-20'!F358</f>
        <v>154</v>
      </c>
      <c r="W357" s="160"/>
      <c r="X357" s="160"/>
      <c r="Y357" s="159">
        <f>'66 SYANA PRAROOP-20'!G358</f>
        <v>5</v>
      </c>
      <c r="Z357" s="160"/>
      <c r="AA357" s="160"/>
      <c r="AB357" s="168">
        <f>'66 SYANA PRAROOP-20'!H358</f>
        <v>4</v>
      </c>
      <c r="AC357" s="160"/>
      <c r="AD357" s="160"/>
      <c r="AE357" s="168">
        <f>'66 SYANA PRAROOP-20'!I358</f>
        <v>2</v>
      </c>
      <c r="AF357" s="160"/>
      <c r="AG357" s="160"/>
      <c r="AH357" s="168">
        <f>'66 SYANA PRAROOP-20'!J358</f>
        <v>7</v>
      </c>
      <c r="AI357" s="159">
        <f t="shared" si="17"/>
        <v>596</v>
      </c>
      <c r="AJ357" s="150">
        <f t="shared" si="15"/>
        <v>-3</v>
      </c>
    </row>
    <row r="358" spans="1:36" ht="51">
      <c r="A358" s="151">
        <v>66</v>
      </c>
      <c r="B358" s="155">
        <v>352</v>
      </c>
      <c r="C358" s="156" t="s">
        <v>995</v>
      </c>
      <c r="D358" s="155">
        <v>821</v>
      </c>
      <c r="E358" s="151">
        <v>278</v>
      </c>
      <c r="F358" s="151">
        <v>303</v>
      </c>
      <c r="G358" s="151">
        <v>0</v>
      </c>
      <c r="H358" s="151">
        <f t="shared" si="16"/>
        <v>581</v>
      </c>
      <c r="I358" s="155">
        <v>49</v>
      </c>
      <c r="J358" s="151">
        <v>0</v>
      </c>
      <c r="K358" s="160"/>
      <c r="L358" s="160"/>
      <c r="M358" s="168">
        <f>'66 SYANA PRAROOP-20'!C359</f>
        <v>204</v>
      </c>
      <c r="N358" s="160"/>
      <c r="O358" s="160"/>
      <c r="P358" s="158">
        <f>'66 SYANA PRAROOP-20'!D359</f>
        <v>182</v>
      </c>
      <c r="Q358" s="160"/>
      <c r="R358" s="160"/>
      <c r="S358" s="158">
        <f>'66 SYANA PRAROOP-20'!E359</f>
        <v>6</v>
      </c>
      <c r="T358" s="160"/>
      <c r="U358" s="160"/>
      <c r="V358" s="159">
        <f>'66 SYANA PRAROOP-20'!F359</f>
        <v>169</v>
      </c>
      <c r="W358" s="160"/>
      <c r="X358" s="160"/>
      <c r="Y358" s="159">
        <f>'66 SYANA PRAROOP-20'!G359</f>
        <v>2</v>
      </c>
      <c r="Z358" s="160"/>
      <c r="AA358" s="160"/>
      <c r="AB358" s="168">
        <f>'66 SYANA PRAROOP-20'!H359</f>
        <v>9</v>
      </c>
      <c r="AC358" s="160"/>
      <c r="AD358" s="160"/>
      <c r="AE358" s="168">
        <f>'66 SYANA PRAROOP-20'!I359</f>
        <v>5</v>
      </c>
      <c r="AF358" s="160"/>
      <c r="AG358" s="160"/>
      <c r="AH358" s="168">
        <f>'66 SYANA PRAROOP-20'!J359</f>
        <v>1</v>
      </c>
      <c r="AI358" s="159">
        <f t="shared" si="17"/>
        <v>578</v>
      </c>
      <c r="AJ358" s="150">
        <f t="shared" si="15"/>
        <v>-3</v>
      </c>
    </row>
    <row r="359" spans="1:36" ht="38.25">
      <c r="A359" s="151">
        <v>66</v>
      </c>
      <c r="B359" s="155">
        <v>353</v>
      </c>
      <c r="C359" s="156" t="s">
        <v>996</v>
      </c>
      <c r="D359" s="155">
        <v>1102</v>
      </c>
      <c r="E359" s="151">
        <v>349</v>
      </c>
      <c r="F359" s="151">
        <v>291</v>
      </c>
      <c r="G359" s="151">
        <v>0</v>
      </c>
      <c r="H359" s="151">
        <f t="shared" si="16"/>
        <v>640</v>
      </c>
      <c r="I359" s="155">
        <v>49</v>
      </c>
      <c r="J359" s="151">
        <v>0</v>
      </c>
      <c r="K359" s="160"/>
      <c r="L359" s="160"/>
      <c r="M359" s="168">
        <f>'66 SYANA PRAROOP-20'!C360</f>
        <v>28</v>
      </c>
      <c r="N359" s="160"/>
      <c r="O359" s="160"/>
      <c r="P359" s="158">
        <f>'66 SYANA PRAROOP-20'!D360</f>
        <v>203</v>
      </c>
      <c r="Q359" s="160"/>
      <c r="R359" s="160"/>
      <c r="S359" s="158">
        <f>'66 SYANA PRAROOP-20'!E360</f>
        <v>16</v>
      </c>
      <c r="T359" s="160"/>
      <c r="U359" s="160"/>
      <c r="V359" s="159">
        <f>'66 SYANA PRAROOP-20'!F360</f>
        <v>380</v>
      </c>
      <c r="W359" s="160"/>
      <c r="X359" s="160"/>
      <c r="Y359" s="159">
        <f>'66 SYANA PRAROOP-20'!G360</f>
        <v>3</v>
      </c>
      <c r="Z359" s="160"/>
      <c r="AA359" s="160"/>
      <c r="AB359" s="168">
        <f>'66 SYANA PRAROOP-20'!H360</f>
        <v>3</v>
      </c>
      <c r="AC359" s="160"/>
      <c r="AD359" s="160"/>
      <c r="AE359" s="168">
        <f>'66 SYANA PRAROOP-20'!I360</f>
        <v>3</v>
      </c>
      <c r="AF359" s="160"/>
      <c r="AG359" s="160"/>
      <c r="AH359" s="168">
        <f>'66 SYANA PRAROOP-20'!J360</f>
        <v>2</v>
      </c>
      <c r="AI359" s="159">
        <f t="shared" si="17"/>
        <v>638</v>
      </c>
      <c r="AJ359" s="150">
        <f t="shared" si="15"/>
        <v>-2</v>
      </c>
    </row>
    <row r="360" spans="1:36" ht="63.75">
      <c r="A360" s="151">
        <v>66</v>
      </c>
      <c r="B360" s="155">
        <v>354</v>
      </c>
      <c r="C360" s="156" t="s">
        <v>997</v>
      </c>
      <c r="D360" s="155">
        <v>795</v>
      </c>
      <c r="E360" s="151">
        <v>275</v>
      </c>
      <c r="F360" s="151">
        <v>254</v>
      </c>
      <c r="G360" s="151">
        <v>0</v>
      </c>
      <c r="H360" s="151">
        <f t="shared" si="16"/>
        <v>529</v>
      </c>
      <c r="I360" s="155">
        <v>43</v>
      </c>
      <c r="J360" s="151">
        <v>0</v>
      </c>
      <c r="K360" s="160"/>
      <c r="L360" s="160"/>
      <c r="M360" s="168">
        <f>'66 SYANA PRAROOP-20'!C361</f>
        <v>45</v>
      </c>
      <c r="N360" s="160"/>
      <c r="O360" s="160"/>
      <c r="P360" s="158">
        <f>'66 SYANA PRAROOP-20'!D361</f>
        <v>434</v>
      </c>
      <c r="Q360" s="160"/>
      <c r="R360" s="160"/>
      <c r="S360" s="158">
        <f>'66 SYANA PRAROOP-20'!E361</f>
        <v>4</v>
      </c>
      <c r="T360" s="160"/>
      <c r="U360" s="160"/>
      <c r="V360" s="159">
        <f>'66 SYANA PRAROOP-20'!F361</f>
        <v>30</v>
      </c>
      <c r="W360" s="160"/>
      <c r="X360" s="160"/>
      <c r="Y360" s="159">
        <f>'66 SYANA PRAROOP-20'!G361</f>
        <v>4</v>
      </c>
      <c r="Z360" s="160"/>
      <c r="AA360" s="160"/>
      <c r="AB360" s="168">
        <f>'66 SYANA PRAROOP-20'!H361</f>
        <v>2</v>
      </c>
      <c r="AC360" s="160"/>
      <c r="AD360" s="160"/>
      <c r="AE360" s="168">
        <f>'66 SYANA PRAROOP-20'!I361</f>
        <v>5</v>
      </c>
      <c r="AF360" s="160"/>
      <c r="AG360" s="160"/>
      <c r="AH360" s="168">
        <f>'66 SYANA PRAROOP-20'!J361</f>
        <v>1</v>
      </c>
      <c r="AI360" s="159">
        <f t="shared" si="17"/>
        <v>525</v>
      </c>
      <c r="AJ360" s="150">
        <f t="shared" si="15"/>
        <v>-4</v>
      </c>
    </row>
    <row r="361" spans="1:36" ht="63.75">
      <c r="A361" s="151">
        <v>66</v>
      </c>
      <c r="B361" s="155">
        <v>355</v>
      </c>
      <c r="C361" s="156" t="s">
        <v>998</v>
      </c>
      <c r="D361" s="155">
        <v>824</v>
      </c>
      <c r="E361" s="151">
        <v>269</v>
      </c>
      <c r="F361" s="151">
        <v>289</v>
      </c>
      <c r="G361" s="151">
        <v>0</v>
      </c>
      <c r="H361" s="151">
        <f t="shared" si="16"/>
        <v>558</v>
      </c>
      <c r="I361" s="155">
        <v>369</v>
      </c>
      <c r="J361" s="151">
        <v>0</v>
      </c>
      <c r="K361" s="160"/>
      <c r="L361" s="160"/>
      <c r="M361" s="168">
        <f>'66 SYANA PRAROOP-20'!C362</f>
        <v>19</v>
      </c>
      <c r="N361" s="160"/>
      <c r="O361" s="160"/>
      <c r="P361" s="158">
        <f>'66 SYANA PRAROOP-20'!D362</f>
        <v>493</v>
      </c>
      <c r="Q361" s="160"/>
      <c r="R361" s="160"/>
      <c r="S361" s="158">
        <f>'66 SYANA PRAROOP-20'!E362</f>
        <v>7</v>
      </c>
      <c r="T361" s="160"/>
      <c r="U361" s="160"/>
      <c r="V361" s="159">
        <f>'66 SYANA PRAROOP-20'!F362</f>
        <v>33</v>
      </c>
      <c r="W361" s="160"/>
      <c r="X361" s="160"/>
      <c r="Y361" s="159">
        <f>'66 SYANA PRAROOP-20'!G362</f>
        <v>2</v>
      </c>
      <c r="Z361" s="160"/>
      <c r="AA361" s="160"/>
      <c r="AB361" s="168">
        <f>'66 SYANA PRAROOP-20'!H362</f>
        <v>1</v>
      </c>
      <c r="AC361" s="160"/>
      <c r="AD361" s="160"/>
      <c r="AE361" s="168">
        <f>'66 SYANA PRAROOP-20'!I362</f>
        <v>2</v>
      </c>
      <c r="AF361" s="160"/>
      <c r="AG361" s="160"/>
      <c r="AH361" s="168">
        <f>'66 SYANA PRAROOP-20'!J362</f>
        <v>1</v>
      </c>
      <c r="AI361" s="159">
        <f t="shared" si="17"/>
        <v>558</v>
      </c>
      <c r="AJ361" s="150">
        <f t="shared" si="15"/>
        <v>0</v>
      </c>
    </row>
    <row r="362" spans="1:36" ht="51">
      <c r="A362" s="151">
        <v>66</v>
      </c>
      <c r="B362" s="155">
        <v>356</v>
      </c>
      <c r="C362" s="156" t="s">
        <v>999</v>
      </c>
      <c r="D362" s="155">
        <v>760</v>
      </c>
      <c r="E362" s="151">
        <v>188</v>
      </c>
      <c r="F362" s="151">
        <v>180</v>
      </c>
      <c r="G362" s="151">
        <v>0</v>
      </c>
      <c r="H362" s="151">
        <f t="shared" si="16"/>
        <v>368</v>
      </c>
      <c r="I362" s="155">
        <v>198</v>
      </c>
      <c r="J362" s="151">
        <v>0</v>
      </c>
      <c r="K362" s="160"/>
      <c r="L362" s="160"/>
      <c r="M362" s="168">
        <f>'66 SYANA PRAROOP-20'!C363</f>
        <v>43</v>
      </c>
      <c r="N362" s="160"/>
      <c r="O362" s="160"/>
      <c r="P362" s="158">
        <f>'66 SYANA PRAROOP-20'!D363</f>
        <v>247</v>
      </c>
      <c r="Q362" s="160"/>
      <c r="R362" s="160"/>
      <c r="S362" s="158">
        <f>'66 SYANA PRAROOP-20'!E363</f>
        <v>11</v>
      </c>
      <c r="T362" s="160"/>
      <c r="U362" s="160"/>
      <c r="V362" s="159">
        <f>'66 SYANA PRAROOP-20'!F363</f>
        <v>63</v>
      </c>
      <c r="W362" s="160"/>
      <c r="X362" s="160"/>
      <c r="Y362" s="159">
        <f>'66 SYANA PRAROOP-20'!G363</f>
        <v>0</v>
      </c>
      <c r="Z362" s="160"/>
      <c r="AA362" s="160"/>
      <c r="AB362" s="168">
        <f>'66 SYANA PRAROOP-20'!H363</f>
        <v>0</v>
      </c>
      <c r="AC362" s="160"/>
      <c r="AD362" s="160"/>
      <c r="AE362" s="168">
        <f>'66 SYANA PRAROOP-20'!I363</f>
        <v>2</v>
      </c>
      <c r="AF362" s="160"/>
      <c r="AG362" s="160"/>
      <c r="AH362" s="168">
        <f>'66 SYANA PRAROOP-20'!J363</f>
        <v>1</v>
      </c>
      <c r="AI362" s="159">
        <f t="shared" si="17"/>
        <v>367</v>
      </c>
      <c r="AJ362" s="150">
        <f t="shared" si="15"/>
        <v>-1</v>
      </c>
    </row>
    <row r="363" spans="1:36" ht="51">
      <c r="A363" s="151">
        <v>66</v>
      </c>
      <c r="B363" s="155">
        <v>357</v>
      </c>
      <c r="C363" s="156" t="s">
        <v>1000</v>
      </c>
      <c r="D363" s="155">
        <v>674</v>
      </c>
      <c r="E363" s="151">
        <v>177</v>
      </c>
      <c r="F363" s="151">
        <v>155</v>
      </c>
      <c r="G363" s="151">
        <v>0</v>
      </c>
      <c r="H363" s="151">
        <f t="shared" si="16"/>
        <v>332</v>
      </c>
      <c r="I363" s="155">
        <v>61</v>
      </c>
      <c r="J363" s="151">
        <v>0</v>
      </c>
      <c r="K363" s="160"/>
      <c r="L363" s="160"/>
      <c r="M363" s="168">
        <f>'66 SYANA PRAROOP-20'!C364</f>
        <v>47</v>
      </c>
      <c r="N363" s="160"/>
      <c r="O363" s="160"/>
      <c r="P363" s="158">
        <f>'66 SYANA PRAROOP-20'!D364</f>
        <v>162</v>
      </c>
      <c r="Q363" s="160"/>
      <c r="R363" s="160"/>
      <c r="S363" s="158">
        <f>'66 SYANA PRAROOP-20'!E364</f>
        <v>15</v>
      </c>
      <c r="T363" s="160"/>
      <c r="U363" s="160"/>
      <c r="V363" s="159">
        <f>'66 SYANA PRAROOP-20'!F364</f>
        <v>102</v>
      </c>
      <c r="W363" s="160"/>
      <c r="X363" s="160"/>
      <c r="Y363" s="159">
        <f>'66 SYANA PRAROOP-20'!G364</f>
        <v>1</v>
      </c>
      <c r="Z363" s="160"/>
      <c r="AA363" s="160"/>
      <c r="AB363" s="168">
        <f>'66 SYANA PRAROOP-20'!H364</f>
        <v>2</v>
      </c>
      <c r="AC363" s="160"/>
      <c r="AD363" s="160"/>
      <c r="AE363" s="168">
        <f>'66 SYANA PRAROOP-20'!I364</f>
        <v>2</v>
      </c>
      <c r="AF363" s="160"/>
      <c r="AG363" s="160"/>
      <c r="AH363" s="168">
        <f>'66 SYANA PRAROOP-20'!J364</f>
        <v>0</v>
      </c>
      <c r="AI363" s="159">
        <f t="shared" si="17"/>
        <v>331</v>
      </c>
      <c r="AJ363" s="150">
        <f t="shared" si="15"/>
        <v>-1</v>
      </c>
    </row>
    <row r="364" spans="1:36" ht="51">
      <c r="A364" s="151">
        <v>66</v>
      </c>
      <c r="B364" s="155">
        <v>358</v>
      </c>
      <c r="C364" s="156" t="s">
        <v>1001</v>
      </c>
      <c r="D364" s="155">
        <v>835</v>
      </c>
      <c r="E364" s="151">
        <v>222</v>
      </c>
      <c r="F364" s="151">
        <v>217</v>
      </c>
      <c r="G364" s="151">
        <v>0</v>
      </c>
      <c r="H364" s="151">
        <f t="shared" si="16"/>
        <v>439</v>
      </c>
      <c r="I364" s="155">
        <v>42</v>
      </c>
      <c r="J364" s="151">
        <v>0</v>
      </c>
      <c r="K364" s="160"/>
      <c r="L364" s="160"/>
      <c r="M364" s="168">
        <f>'66 SYANA PRAROOP-20'!C365</f>
        <v>94</v>
      </c>
      <c r="N364" s="160"/>
      <c r="O364" s="160"/>
      <c r="P364" s="158">
        <f>'66 SYANA PRAROOP-20'!D365</f>
        <v>278</v>
      </c>
      <c r="Q364" s="160"/>
      <c r="R364" s="160"/>
      <c r="S364" s="158">
        <f>'66 SYANA PRAROOP-20'!E365</f>
        <v>8</v>
      </c>
      <c r="T364" s="160"/>
      <c r="U364" s="160"/>
      <c r="V364" s="159">
        <f>'66 SYANA PRAROOP-20'!F365</f>
        <v>47</v>
      </c>
      <c r="W364" s="160"/>
      <c r="X364" s="160"/>
      <c r="Y364" s="159">
        <f>'66 SYANA PRAROOP-20'!G365</f>
        <v>2</v>
      </c>
      <c r="Z364" s="160"/>
      <c r="AA364" s="160"/>
      <c r="AB364" s="168">
        <f>'66 SYANA PRAROOP-20'!H365</f>
        <v>2</v>
      </c>
      <c r="AC364" s="160"/>
      <c r="AD364" s="160"/>
      <c r="AE364" s="168">
        <f>'66 SYANA PRAROOP-20'!I365</f>
        <v>5</v>
      </c>
      <c r="AF364" s="160"/>
      <c r="AG364" s="160"/>
      <c r="AH364" s="168">
        <f>'66 SYANA PRAROOP-20'!J365</f>
        <v>2</v>
      </c>
      <c r="AI364" s="159">
        <f t="shared" si="17"/>
        <v>438</v>
      </c>
      <c r="AJ364" s="150">
        <f t="shared" si="15"/>
        <v>-1</v>
      </c>
    </row>
    <row r="365" spans="1:36" ht="51">
      <c r="A365" s="151">
        <v>66</v>
      </c>
      <c r="B365" s="155">
        <v>359</v>
      </c>
      <c r="C365" s="156" t="s">
        <v>1002</v>
      </c>
      <c r="D365" s="155">
        <v>683</v>
      </c>
      <c r="E365" s="151">
        <v>215</v>
      </c>
      <c r="F365" s="151">
        <v>197</v>
      </c>
      <c r="G365" s="151">
        <v>0</v>
      </c>
      <c r="H365" s="151">
        <f t="shared" si="16"/>
        <v>412</v>
      </c>
      <c r="I365" s="155">
        <v>200</v>
      </c>
      <c r="J365" s="151">
        <v>0</v>
      </c>
      <c r="K365" s="160"/>
      <c r="L365" s="160"/>
      <c r="M365" s="168">
        <f>'66 SYANA PRAROOP-20'!C366</f>
        <v>74</v>
      </c>
      <c r="N365" s="160"/>
      <c r="O365" s="160"/>
      <c r="P365" s="158">
        <f>'66 SYANA PRAROOP-20'!D366</f>
        <v>283</v>
      </c>
      <c r="Q365" s="160"/>
      <c r="R365" s="160"/>
      <c r="S365" s="158">
        <f>'66 SYANA PRAROOP-20'!E366</f>
        <v>6</v>
      </c>
      <c r="T365" s="160"/>
      <c r="U365" s="160"/>
      <c r="V365" s="159">
        <f>'66 SYANA PRAROOP-20'!F366</f>
        <v>40</v>
      </c>
      <c r="W365" s="160"/>
      <c r="X365" s="160"/>
      <c r="Y365" s="159">
        <f>'66 SYANA PRAROOP-20'!G366</f>
        <v>2</v>
      </c>
      <c r="Z365" s="160"/>
      <c r="AA365" s="160"/>
      <c r="AB365" s="168">
        <f>'66 SYANA PRAROOP-20'!H366</f>
        <v>0</v>
      </c>
      <c r="AC365" s="160"/>
      <c r="AD365" s="160"/>
      <c r="AE365" s="168">
        <f>'66 SYANA PRAROOP-20'!I366</f>
        <v>1</v>
      </c>
      <c r="AF365" s="160"/>
      <c r="AG365" s="160"/>
      <c r="AH365" s="168">
        <f>'66 SYANA PRAROOP-20'!J366</f>
        <v>5</v>
      </c>
      <c r="AI365" s="159">
        <f t="shared" si="17"/>
        <v>411</v>
      </c>
      <c r="AJ365" s="150">
        <f t="shared" si="15"/>
        <v>-1</v>
      </c>
    </row>
    <row r="366" spans="1:36" ht="51">
      <c r="A366" s="151">
        <v>66</v>
      </c>
      <c r="B366" s="155">
        <v>360</v>
      </c>
      <c r="C366" s="156" t="s">
        <v>1138</v>
      </c>
      <c r="D366" s="155">
        <v>859</v>
      </c>
      <c r="E366" s="151">
        <v>275</v>
      </c>
      <c r="F366" s="151">
        <v>280</v>
      </c>
      <c r="G366" s="151">
        <v>0</v>
      </c>
      <c r="H366" s="151">
        <f t="shared" si="16"/>
        <v>555</v>
      </c>
      <c r="I366" s="155">
        <v>44</v>
      </c>
      <c r="J366" s="151">
        <v>0</v>
      </c>
      <c r="K366" s="160"/>
      <c r="L366" s="160"/>
      <c r="M366" s="168">
        <f>'66 SYANA PRAROOP-20'!C367</f>
        <v>38</v>
      </c>
      <c r="N366" s="160"/>
      <c r="O366" s="160"/>
      <c r="P366" s="158">
        <f>'66 SYANA PRAROOP-20'!D367</f>
        <v>487</v>
      </c>
      <c r="Q366" s="160"/>
      <c r="R366" s="160"/>
      <c r="S366" s="158">
        <f>'66 SYANA PRAROOP-20'!E367</f>
        <v>8</v>
      </c>
      <c r="T366" s="160"/>
      <c r="U366" s="160"/>
      <c r="V366" s="159">
        <f>'66 SYANA PRAROOP-20'!F367</f>
        <v>18</v>
      </c>
      <c r="W366" s="160"/>
      <c r="X366" s="160"/>
      <c r="Y366" s="159">
        <f>'66 SYANA PRAROOP-20'!G367</f>
        <v>1</v>
      </c>
      <c r="Z366" s="160"/>
      <c r="AA366" s="160"/>
      <c r="AB366" s="168">
        <f>'66 SYANA PRAROOP-20'!H367</f>
        <v>1</v>
      </c>
      <c r="AC366" s="160"/>
      <c r="AD366" s="160"/>
      <c r="AE366" s="168">
        <f>'66 SYANA PRAROOP-20'!I367</f>
        <v>0</v>
      </c>
      <c r="AF366" s="160"/>
      <c r="AG366" s="160"/>
      <c r="AH366" s="168">
        <f>'66 SYANA PRAROOP-20'!J367</f>
        <v>2</v>
      </c>
      <c r="AI366" s="159">
        <f t="shared" si="17"/>
        <v>555</v>
      </c>
      <c r="AJ366" s="150">
        <f t="shared" si="15"/>
        <v>0</v>
      </c>
    </row>
    <row r="367" spans="1:36" ht="51">
      <c r="A367" s="151">
        <v>66</v>
      </c>
      <c r="B367" s="155">
        <v>361</v>
      </c>
      <c r="C367" s="156" t="s">
        <v>1139</v>
      </c>
      <c r="D367" s="155">
        <v>964</v>
      </c>
      <c r="E367" s="151">
        <v>317</v>
      </c>
      <c r="F367" s="151">
        <v>314</v>
      </c>
      <c r="G367" s="151">
        <v>0</v>
      </c>
      <c r="H367" s="151">
        <f t="shared" si="16"/>
        <v>631</v>
      </c>
      <c r="I367" s="155">
        <v>57</v>
      </c>
      <c r="J367" s="151">
        <v>0</v>
      </c>
      <c r="K367" s="160"/>
      <c r="L367" s="160"/>
      <c r="M367" s="168">
        <f>'66 SYANA PRAROOP-20'!C368</f>
        <v>11</v>
      </c>
      <c r="N367" s="160"/>
      <c r="O367" s="160"/>
      <c r="P367" s="158">
        <f>'66 SYANA PRAROOP-20'!D368</f>
        <v>594</v>
      </c>
      <c r="Q367" s="160"/>
      <c r="R367" s="160"/>
      <c r="S367" s="158">
        <f>'66 SYANA PRAROOP-20'!E368</f>
        <v>5</v>
      </c>
      <c r="T367" s="160"/>
      <c r="U367" s="160"/>
      <c r="V367" s="159">
        <f>'66 SYANA PRAROOP-20'!F368</f>
        <v>2</v>
      </c>
      <c r="W367" s="160"/>
      <c r="X367" s="160"/>
      <c r="Y367" s="159">
        <f>'66 SYANA PRAROOP-20'!G368</f>
        <v>2</v>
      </c>
      <c r="Z367" s="160"/>
      <c r="AA367" s="160"/>
      <c r="AB367" s="168">
        <f>'66 SYANA PRAROOP-20'!H368</f>
        <v>5</v>
      </c>
      <c r="AC367" s="160"/>
      <c r="AD367" s="160"/>
      <c r="AE367" s="168">
        <f>'66 SYANA PRAROOP-20'!I368</f>
        <v>4</v>
      </c>
      <c r="AF367" s="160"/>
      <c r="AG367" s="160"/>
      <c r="AH367" s="168">
        <f>'66 SYANA PRAROOP-20'!J368</f>
        <v>4</v>
      </c>
      <c r="AI367" s="159">
        <f t="shared" si="17"/>
        <v>627</v>
      </c>
      <c r="AJ367" s="150">
        <f t="shared" si="15"/>
        <v>-4</v>
      </c>
    </row>
    <row r="368" spans="1:36" ht="51">
      <c r="A368" s="151">
        <v>66</v>
      </c>
      <c r="B368" s="155">
        <v>362</v>
      </c>
      <c r="C368" s="156" t="s">
        <v>1140</v>
      </c>
      <c r="D368" s="155">
        <v>1135</v>
      </c>
      <c r="E368" s="151">
        <v>283</v>
      </c>
      <c r="F368" s="151">
        <v>318</v>
      </c>
      <c r="G368" s="151">
        <v>0</v>
      </c>
      <c r="H368" s="151">
        <f t="shared" si="16"/>
        <v>601</v>
      </c>
      <c r="I368" s="155">
        <v>82</v>
      </c>
      <c r="J368" s="151">
        <v>0</v>
      </c>
      <c r="K368" s="160"/>
      <c r="L368" s="160"/>
      <c r="M368" s="168">
        <f>'66 SYANA PRAROOP-20'!C369</f>
        <v>102</v>
      </c>
      <c r="N368" s="160"/>
      <c r="O368" s="160"/>
      <c r="P368" s="158">
        <f>'66 SYANA PRAROOP-20'!D369</f>
        <v>468</v>
      </c>
      <c r="Q368" s="160"/>
      <c r="R368" s="160"/>
      <c r="S368" s="158">
        <f>'66 SYANA PRAROOP-20'!E369</f>
        <v>14</v>
      </c>
      <c r="T368" s="160"/>
      <c r="U368" s="160"/>
      <c r="V368" s="159">
        <f>'66 SYANA PRAROOP-20'!F369</f>
        <v>5</v>
      </c>
      <c r="W368" s="160"/>
      <c r="X368" s="160"/>
      <c r="Y368" s="159">
        <f>'66 SYANA PRAROOP-20'!G369</f>
        <v>2</v>
      </c>
      <c r="Z368" s="160"/>
      <c r="AA368" s="160"/>
      <c r="AB368" s="168">
        <f>'66 SYANA PRAROOP-20'!H369</f>
        <v>1</v>
      </c>
      <c r="AC368" s="160"/>
      <c r="AD368" s="160"/>
      <c r="AE368" s="168">
        <f>'66 SYANA PRAROOP-20'!I369</f>
        <v>4</v>
      </c>
      <c r="AF368" s="160"/>
      <c r="AG368" s="160"/>
      <c r="AH368" s="168">
        <f>'66 SYANA PRAROOP-20'!J369</f>
        <v>1</v>
      </c>
      <c r="AI368" s="159">
        <f t="shared" si="17"/>
        <v>597</v>
      </c>
      <c r="AJ368" s="150">
        <f t="shared" si="15"/>
        <v>-4</v>
      </c>
    </row>
    <row r="369" spans="1:36" ht="76.5">
      <c r="A369" s="151">
        <v>66</v>
      </c>
      <c r="B369" s="155">
        <v>363</v>
      </c>
      <c r="C369" s="156" t="s">
        <v>1141</v>
      </c>
      <c r="D369" s="155">
        <v>619</v>
      </c>
      <c r="E369" s="151">
        <v>221</v>
      </c>
      <c r="F369" s="151">
        <v>198</v>
      </c>
      <c r="G369" s="151">
        <v>0</v>
      </c>
      <c r="H369" s="151">
        <f t="shared" si="16"/>
        <v>419</v>
      </c>
      <c r="I369" s="155">
        <v>26</v>
      </c>
      <c r="J369" s="151">
        <v>0</v>
      </c>
      <c r="K369" s="160"/>
      <c r="L369" s="160"/>
      <c r="M369" s="168">
        <f>'66 SYANA PRAROOP-20'!C370</f>
        <v>20</v>
      </c>
      <c r="N369" s="160"/>
      <c r="O369" s="160"/>
      <c r="P369" s="158">
        <f>'66 SYANA PRAROOP-20'!D370</f>
        <v>391</v>
      </c>
      <c r="Q369" s="160"/>
      <c r="R369" s="160"/>
      <c r="S369" s="158">
        <f>'66 SYANA PRAROOP-20'!E370</f>
        <v>3</v>
      </c>
      <c r="T369" s="160"/>
      <c r="U369" s="160"/>
      <c r="V369" s="159">
        <f>'66 SYANA PRAROOP-20'!F370</f>
        <v>2</v>
      </c>
      <c r="W369" s="160"/>
      <c r="X369" s="160"/>
      <c r="Y369" s="159">
        <f>'66 SYANA PRAROOP-20'!G370</f>
        <v>0</v>
      </c>
      <c r="Z369" s="160"/>
      <c r="AA369" s="160"/>
      <c r="AB369" s="168">
        <f>'66 SYANA PRAROOP-20'!H370</f>
        <v>1</v>
      </c>
      <c r="AC369" s="160"/>
      <c r="AD369" s="160"/>
      <c r="AE369" s="168">
        <f>'66 SYANA PRAROOP-20'!I370</f>
        <v>1</v>
      </c>
      <c r="AF369" s="160"/>
      <c r="AG369" s="160"/>
      <c r="AH369" s="168">
        <f>'66 SYANA PRAROOP-20'!J370</f>
        <v>0</v>
      </c>
      <c r="AI369" s="159">
        <f t="shared" si="17"/>
        <v>418</v>
      </c>
      <c r="AJ369" s="150">
        <f t="shared" si="15"/>
        <v>-1</v>
      </c>
    </row>
    <row r="370" spans="1:36" ht="51">
      <c r="A370" s="151">
        <v>66</v>
      </c>
      <c r="B370" s="155">
        <v>364</v>
      </c>
      <c r="C370" s="156" t="s">
        <v>1142</v>
      </c>
      <c r="D370" s="155">
        <v>840</v>
      </c>
      <c r="E370" s="151">
        <v>227</v>
      </c>
      <c r="F370" s="151">
        <v>223</v>
      </c>
      <c r="G370" s="151">
        <v>0</v>
      </c>
      <c r="H370" s="151">
        <f t="shared" si="16"/>
        <v>450</v>
      </c>
      <c r="I370" s="155">
        <v>43</v>
      </c>
      <c r="J370" s="151">
        <v>0</v>
      </c>
      <c r="K370" s="160"/>
      <c r="L370" s="160"/>
      <c r="M370" s="168">
        <f>'66 SYANA PRAROOP-20'!C371</f>
        <v>66</v>
      </c>
      <c r="N370" s="160"/>
      <c r="O370" s="160"/>
      <c r="P370" s="158">
        <f>'66 SYANA PRAROOP-20'!D371</f>
        <v>92</v>
      </c>
      <c r="Q370" s="160"/>
      <c r="R370" s="160"/>
      <c r="S370" s="158">
        <f>'66 SYANA PRAROOP-20'!E371</f>
        <v>17</v>
      </c>
      <c r="T370" s="160"/>
      <c r="U370" s="160"/>
      <c r="V370" s="159">
        <f>'66 SYANA PRAROOP-20'!F371</f>
        <v>248</v>
      </c>
      <c r="W370" s="160"/>
      <c r="X370" s="160"/>
      <c r="Y370" s="159">
        <f>'66 SYANA PRAROOP-20'!G371</f>
        <v>5</v>
      </c>
      <c r="Z370" s="160"/>
      <c r="AA370" s="160"/>
      <c r="AB370" s="168">
        <f>'66 SYANA PRAROOP-20'!H371</f>
        <v>5</v>
      </c>
      <c r="AC370" s="160"/>
      <c r="AD370" s="160"/>
      <c r="AE370" s="168">
        <f>'66 SYANA PRAROOP-20'!I371</f>
        <v>5</v>
      </c>
      <c r="AF370" s="160"/>
      <c r="AG370" s="160"/>
      <c r="AH370" s="168">
        <f>'66 SYANA PRAROOP-20'!J371</f>
        <v>2</v>
      </c>
      <c r="AI370" s="159">
        <f t="shared" si="17"/>
        <v>440</v>
      </c>
      <c r="AJ370" s="150">
        <f t="shared" si="15"/>
        <v>-10</v>
      </c>
    </row>
    <row r="371" spans="1:36" ht="51">
      <c r="A371" s="151">
        <v>66</v>
      </c>
      <c r="B371" s="155">
        <v>365</v>
      </c>
      <c r="C371" s="156" t="s">
        <v>1143</v>
      </c>
      <c r="D371" s="155">
        <v>809</v>
      </c>
      <c r="E371" s="151">
        <v>245</v>
      </c>
      <c r="F371" s="151">
        <v>227</v>
      </c>
      <c r="G371" s="151">
        <v>0</v>
      </c>
      <c r="H371" s="151">
        <f t="shared" si="16"/>
        <v>472</v>
      </c>
      <c r="I371" s="155">
        <v>53</v>
      </c>
      <c r="J371" s="151">
        <v>0</v>
      </c>
      <c r="K371" s="160"/>
      <c r="L371" s="160"/>
      <c r="M371" s="168">
        <f>'66 SYANA PRAROOP-20'!C372</f>
        <v>91</v>
      </c>
      <c r="N371" s="160"/>
      <c r="O371" s="160"/>
      <c r="P371" s="158">
        <f>'66 SYANA PRAROOP-20'!D372</f>
        <v>90</v>
      </c>
      <c r="Q371" s="160"/>
      <c r="R371" s="160"/>
      <c r="S371" s="158">
        <f>'66 SYANA PRAROOP-20'!E372</f>
        <v>6</v>
      </c>
      <c r="T371" s="160"/>
      <c r="U371" s="160"/>
      <c r="V371" s="159">
        <f>'66 SYANA PRAROOP-20'!F372</f>
        <v>265</v>
      </c>
      <c r="W371" s="160"/>
      <c r="X371" s="160"/>
      <c r="Y371" s="159">
        <f>'66 SYANA PRAROOP-20'!G372</f>
        <v>5</v>
      </c>
      <c r="Z371" s="160"/>
      <c r="AA371" s="160"/>
      <c r="AB371" s="168">
        <f>'66 SYANA PRAROOP-20'!H372</f>
        <v>7</v>
      </c>
      <c r="AC371" s="160"/>
      <c r="AD371" s="160"/>
      <c r="AE371" s="168">
        <f>'66 SYANA PRAROOP-20'!I372</f>
        <v>3</v>
      </c>
      <c r="AF371" s="160"/>
      <c r="AG371" s="160"/>
      <c r="AH371" s="168">
        <f>'66 SYANA PRAROOP-20'!J372</f>
        <v>3</v>
      </c>
      <c r="AI371" s="159">
        <f t="shared" si="17"/>
        <v>470</v>
      </c>
      <c r="AJ371" s="150">
        <f t="shared" si="15"/>
        <v>-2</v>
      </c>
    </row>
    <row r="372" spans="1:36" ht="38.25">
      <c r="A372" s="151">
        <v>66</v>
      </c>
      <c r="B372" s="155">
        <v>366</v>
      </c>
      <c r="C372" s="156" t="s">
        <v>1144</v>
      </c>
      <c r="D372" s="155">
        <v>866</v>
      </c>
      <c r="E372" s="151">
        <v>245</v>
      </c>
      <c r="F372" s="151">
        <v>267</v>
      </c>
      <c r="G372" s="151">
        <v>0</v>
      </c>
      <c r="H372" s="151">
        <f t="shared" si="16"/>
        <v>512</v>
      </c>
      <c r="I372" s="155">
        <v>512</v>
      </c>
      <c r="J372" s="151">
        <v>0</v>
      </c>
      <c r="K372" s="160"/>
      <c r="L372" s="160"/>
      <c r="M372" s="168">
        <f>'66 SYANA PRAROOP-20'!C373</f>
        <v>9</v>
      </c>
      <c r="N372" s="160"/>
      <c r="O372" s="160"/>
      <c r="P372" s="158">
        <f>'66 SYANA PRAROOP-20'!D373</f>
        <v>318</v>
      </c>
      <c r="Q372" s="160"/>
      <c r="R372" s="160"/>
      <c r="S372" s="158">
        <f>'66 SYANA PRAROOP-20'!E373</f>
        <v>6</v>
      </c>
      <c r="T372" s="160"/>
      <c r="U372" s="160"/>
      <c r="V372" s="159">
        <f>'66 SYANA PRAROOP-20'!F373</f>
        <v>171</v>
      </c>
      <c r="W372" s="160"/>
      <c r="X372" s="160"/>
      <c r="Y372" s="159">
        <f>'66 SYANA PRAROOP-20'!G373</f>
        <v>2</v>
      </c>
      <c r="Z372" s="160"/>
      <c r="AA372" s="160"/>
      <c r="AB372" s="168">
        <f>'66 SYANA PRAROOP-20'!H373</f>
        <v>2</v>
      </c>
      <c r="AC372" s="160"/>
      <c r="AD372" s="160"/>
      <c r="AE372" s="168">
        <f>'66 SYANA PRAROOP-20'!I373</f>
        <v>1</v>
      </c>
      <c r="AF372" s="160"/>
      <c r="AG372" s="160"/>
      <c r="AH372" s="168">
        <f>'66 SYANA PRAROOP-20'!J373</f>
        <v>0</v>
      </c>
      <c r="AI372" s="159">
        <f t="shared" si="17"/>
        <v>509</v>
      </c>
      <c r="AJ372" s="150">
        <f t="shared" si="15"/>
        <v>-3</v>
      </c>
    </row>
    <row r="373" spans="1:36" ht="51">
      <c r="A373" s="151">
        <v>66</v>
      </c>
      <c r="B373" s="155">
        <v>367</v>
      </c>
      <c r="C373" s="156" t="s">
        <v>1003</v>
      </c>
      <c r="D373" s="155">
        <v>865</v>
      </c>
      <c r="E373" s="151">
        <v>219</v>
      </c>
      <c r="F373" s="151">
        <v>209</v>
      </c>
      <c r="G373" s="151">
        <v>0</v>
      </c>
      <c r="H373" s="151">
        <f t="shared" si="16"/>
        <v>428</v>
      </c>
      <c r="I373" s="155">
        <v>50</v>
      </c>
      <c r="J373" s="151">
        <v>0</v>
      </c>
      <c r="K373" s="160"/>
      <c r="L373" s="160"/>
      <c r="M373" s="168">
        <f>'66 SYANA PRAROOP-20'!C374</f>
        <v>163</v>
      </c>
      <c r="N373" s="160"/>
      <c r="O373" s="160"/>
      <c r="P373" s="158">
        <f>'66 SYANA PRAROOP-20'!D374</f>
        <v>239</v>
      </c>
      <c r="Q373" s="160"/>
      <c r="R373" s="160"/>
      <c r="S373" s="158">
        <f>'66 SYANA PRAROOP-20'!E374</f>
        <v>0</v>
      </c>
      <c r="T373" s="160"/>
      <c r="U373" s="160"/>
      <c r="V373" s="159">
        <f>'66 SYANA PRAROOP-20'!F374</f>
        <v>15</v>
      </c>
      <c r="W373" s="160"/>
      <c r="X373" s="160"/>
      <c r="Y373" s="159">
        <f>'66 SYANA PRAROOP-20'!G374</f>
        <v>1</v>
      </c>
      <c r="Z373" s="160"/>
      <c r="AA373" s="160"/>
      <c r="AB373" s="168">
        <f>'66 SYANA PRAROOP-20'!H374</f>
        <v>2</v>
      </c>
      <c r="AC373" s="160"/>
      <c r="AD373" s="160"/>
      <c r="AE373" s="168">
        <f>'66 SYANA PRAROOP-20'!I374</f>
        <v>0</v>
      </c>
      <c r="AF373" s="160"/>
      <c r="AG373" s="160"/>
      <c r="AH373" s="168">
        <f>'66 SYANA PRAROOP-20'!J374</f>
        <v>3</v>
      </c>
      <c r="AI373" s="159">
        <f t="shared" si="17"/>
        <v>423</v>
      </c>
      <c r="AJ373" s="150">
        <f t="shared" si="15"/>
        <v>-5</v>
      </c>
    </row>
    <row r="374" spans="1:36" ht="51">
      <c r="A374" s="151">
        <v>66</v>
      </c>
      <c r="B374" s="155">
        <v>368</v>
      </c>
      <c r="C374" s="156" t="s">
        <v>1004</v>
      </c>
      <c r="D374" s="155">
        <v>785</v>
      </c>
      <c r="E374" s="151">
        <v>221</v>
      </c>
      <c r="F374" s="151">
        <v>190</v>
      </c>
      <c r="G374" s="151">
        <v>0</v>
      </c>
      <c r="H374" s="151">
        <f t="shared" si="16"/>
        <v>411</v>
      </c>
      <c r="I374" s="155">
        <v>48</v>
      </c>
      <c r="J374" s="151">
        <v>0</v>
      </c>
      <c r="K374" s="160"/>
      <c r="L374" s="160"/>
      <c r="M374" s="168">
        <f>'66 SYANA PRAROOP-20'!C375</f>
        <v>35</v>
      </c>
      <c r="N374" s="160"/>
      <c r="O374" s="160"/>
      <c r="P374" s="158">
        <f>'66 SYANA PRAROOP-20'!D375</f>
        <v>369</v>
      </c>
      <c r="Q374" s="160"/>
      <c r="R374" s="160"/>
      <c r="S374" s="158">
        <f>'66 SYANA PRAROOP-20'!E375</f>
        <v>3</v>
      </c>
      <c r="T374" s="160"/>
      <c r="U374" s="160"/>
      <c r="V374" s="159">
        <f>'66 SYANA PRAROOP-20'!F375</f>
        <v>0</v>
      </c>
      <c r="W374" s="160"/>
      <c r="X374" s="160"/>
      <c r="Y374" s="159">
        <f>'66 SYANA PRAROOP-20'!G375</f>
        <v>1</v>
      </c>
      <c r="Z374" s="160"/>
      <c r="AA374" s="160"/>
      <c r="AB374" s="168">
        <f>'66 SYANA PRAROOP-20'!H375</f>
        <v>2</v>
      </c>
      <c r="AC374" s="160"/>
      <c r="AD374" s="160"/>
      <c r="AE374" s="168">
        <f>'66 SYANA PRAROOP-20'!I375</f>
        <v>0</v>
      </c>
      <c r="AF374" s="160"/>
      <c r="AG374" s="160"/>
      <c r="AH374" s="168">
        <f>'66 SYANA PRAROOP-20'!J375</f>
        <v>0</v>
      </c>
      <c r="AI374" s="159">
        <f t="shared" si="17"/>
        <v>410</v>
      </c>
      <c r="AJ374" s="150">
        <f t="shared" si="15"/>
        <v>-1</v>
      </c>
    </row>
    <row r="375" spans="1:36" ht="51">
      <c r="A375" s="151">
        <v>66</v>
      </c>
      <c r="B375" s="155">
        <v>369</v>
      </c>
      <c r="C375" s="156" t="s">
        <v>1005</v>
      </c>
      <c r="D375" s="155">
        <v>893</v>
      </c>
      <c r="E375" s="151">
        <v>315</v>
      </c>
      <c r="F375" s="151">
        <v>289</v>
      </c>
      <c r="G375" s="151">
        <v>0</v>
      </c>
      <c r="H375" s="151">
        <f t="shared" si="16"/>
        <v>604</v>
      </c>
      <c r="I375" s="155">
        <v>86</v>
      </c>
      <c r="J375" s="151">
        <v>0</v>
      </c>
      <c r="K375" s="160"/>
      <c r="L375" s="160"/>
      <c r="M375" s="168">
        <f>'66 SYANA PRAROOP-20'!C376</f>
        <v>99</v>
      </c>
      <c r="N375" s="160"/>
      <c r="O375" s="160"/>
      <c r="P375" s="158">
        <f>'66 SYANA PRAROOP-20'!D376</f>
        <v>446</v>
      </c>
      <c r="Q375" s="160"/>
      <c r="R375" s="160"/>
      <c r="S375" s="158">
        <f>'66 SYANA PRAROOP-20'!E376</f>
        <v>8</v>
      </c>
      <c r="T375" s="160"/>
      <c r="U375" s="160"/>
      <c r="V375" s="159">
        <f>'66 SYANA PRAROOP-20'!F376</f>
        <v>6</v>
      </c>
      <c r="W375" s="160"/>
      <c r="X375" s="160"/>
      <c r="Y375" s="159">
        <f>'66 SYANA PRAROOP-20'!G376</f>
        <v>5</v>
      </c>
      <c r="Z375" s="160"/>
      <c r="AA375" s="160"/>
      <c r="AB375" s="168">
        <f>'66 SYANA PRAROOP-20'!H376</f>
        <v>9</v>
      </c>
      <c r="AC375" s="160"/>
      <c r="AD375" s="160"/>
      <c r="AE375" s="168">
        <f>'66 SYANA PRAROOP-20'!I376</f>
        <v>8</v>
      </c>
      <c r="AF375" s="160"/>
      <c r="AG375" s="160"/>
      <c r="AH375" s="168">
        <f>'66 SYANA PRAROOP-20'!J376</f>
        <v>8</v>
      </c>
      <c r="AI375" s="159">
        <f t="shared" si="17"/>
        <v>589</v>
      </c>
      <c r="AJ375" s="150">
        <f t="shared" si="15"/>
        <v>-15</v>
      </c>
    </row>
    <row r="376" spans="1:36" ht="51">
      <c r="A376" s="151">
        <v>66</v>
      </c>
      <c r="B376" s="155">
        <v>370</v>
      </c>
      <c r="C376" s="156" t="s">
        <v>1006</v>
      </c>
      <c r="D376" s="155">
        <v>974</v>
      </c>
      <c r="E376" s="151">
        <v>282</v>
      </c>
      <c r="F376" s="151">
        <v>310</v>
      </c>
      <c r="G376" s="151"/>
      <c r="H376" s="151">
        <f t="shared" si="16"/>
        <v>592</v>
      </c>
      <c r="I376" s="155">
        <v>29</v>
      </c>
      <c r="J376" s="151">
        <v>0</v>
      </c>
      <c r="K376" s="160"/>
      <c r="L376" s="160"/>
      <c r="M376" s="168">
        <f>'66 SYANA PRAROOP-20'!C377</f>
        <v>26</v>
      </c>
      <c r="N376" s="160"/>
      <c r="O376" s="160"/>
      <c r="P376" s="158">
        <f>'66 SYANA PRAROOP-20'!D377</f>
        <v>527</v>
      </c>
      <c r="Q376" s="160"/>
      <c r="R376" s="160"/>
      <c r="S376" s="158">
        <f>'66 SYANA PRAROOP-20'!E377</f>
        <v>1</v>
      </c>
      <c r="T376" s="160"/>
      <c r="U376" s="160"/>
      <c r="V376" s="159">
        <f>'66 SYANA PRAROOP-20'!F377</f>
        <v>23</v>
      </c>
      <c r="W376" s="160"/>
      <c r="X376" s="160"/>
      <c r="Y376" s="159">
        <f>'66 SYANA PRAROOP-20'!G377</f>
        <v>0</v>
      </c>
      <c r="Z376" s="160"/>
      <c r="AA376" s="160"/>
      <c r="AB376" s="168">
        <f>'66 SYANA PRAROOP-20'!H377</f>
        <v>3</v>
      </c>
      <c r="AC376" s="160"/>
      <c r="AD376" s="160"/>
      <c r="AE376" s="168">
        <f>'66 SYANA PRAROOP-20'!I377</f>
        <v>5</v>
      </c>
      <c r="AF376" s="160"/>
      <c r="AG376" s="160"/>
      <c r="AH376" s="168">
        <f>'66 SYANA PRAROOP-20'!J377</f>
        <v>5</v>
      </c>
      <c r="AI376" s="159">
        <f t="shared" si="17"/>
        <v>590</v>
      </c>
      <c r="AJ376" s="150">
        <f t="shared" si="15"/>
        <v>-2</v>
      </c>
    </row>
    <row r="377" spans="1:36" ht="51">
      <c r="A377" s="151">
        <v>66</v>
      </c>
      <c r="B377" s="155">
        <v>371</v>
      </c>
      <c r="C377" s="156" t="s">
        <v>1007</v>
      </c>
      <c r="D377" s="155">
        <v>897</v>
      </c>
      <c r="E377" s="151">
        <v>242</v>
      </c>
      <c r="F377" s="151">
        <v>245</v>
      </c>
      <c r="G377" s="151">
        <v>0</v>
      </c>
      <c r="H377" s="151">
        <f t="shared" si="16"/>
        <v>487</v>
      </c>
      <c r="I377" s="155">
        <v>61</v>
      </c>
      <c r="J377" s="151">
        <v>0</v>
      </c>
      <c r="K377" s="160"/>
      <c r="L377" s="160"/>
      <c r="M377" s="168">
        <f>'66 SYANA PRAROOP-20'!C378</f>
        <v>22</v>
      </c>
      <c r="N377" s="160"/>
      <c r="O377" s="160"/>
      <c r="P377" s="158">
        <f>'66 SYANA PRAROOP-20'!D378</f>
        <v>418</v>
      </c>
      <c r="Q377" s="160"/>
      <c r="R377" s="160"/>
      <c r="S377" s="158">
        <f>'66 SYANA PRAROOP-20'!E378</f>
        <v>3</v>
      </c>
      <c r="T377" s="160"/>
      <c r="U377" s="160"/>
      <c r="V377" s="159">
        <f>'66 SYANA PRAROOP-20'!F378</f>
        <v>21</v>
      </c>
      <c r="W377" s="160"/>
      <c r="X377" s="160"/>
      <c r="Y377" s="159">
        <f>'66 SYANA PRAROOP-20'!G378</f>
        <v>0</v>
      </c>
      <c r="Z377" s="160"/>
      <c r="AA377" s="160"/>
      <c r="AB377" s="168">
        <f>'66 SYANA PRAROOP-20'!H378</f>
        <v>4</v>
      </c>
      <c r="AC377" s="160"/>
      <c r="AD377" s="160"/>
      <c r="AE377" s="168">
        <f>'66 SYANA PRAROOP-20'!I378</f>
        <v>6</v>
      </c>
      <c r="AF377" s="160"/>
      <c r="AG377" s="160"/>
      <c r="AH377" s="168">
        <f>'66 SYANA PRAROOP-20'!J378</f>
        <v>5</v>
      </c>
      <c r="AI377" s="159">
        <f t="shared" si="17"/>
        <v>479</v>
      </c>
      <c r="AJ377" s="150">
        <f t="shared" si="15"/>
        <v>-8</v>
      </c>
    </row>
    <row r="378" spans="1:36" ht="51">
      <c r="A378" s="151">
        <v>66</v>
      </c>
      <c r="B378" s="155">
        <v>372</v>
      </c>
      <c r="C378" s="156" t="s">
        <v>1008</v>
      </c>
      <c r="D378" s="155">
        <v>719</v>
      </c>
      <c r="E378" s="151">
        <v>252</v>
      </c>
      <c r="F378" s="151">
        <v>205</v>
      </c>
      <c r="G378" s="151">
        <v>0</v>
      </c>
      <c r="H378" s="151">
        <f t="shared" si="16"/>
        <v>457</v>
      </c>
      <c r="I378" s="155">
        <v>32</v>
      </c>
      <c r="J378" s="151">
        <v>0</v>
      </c>
      <c r="K378" s="160"/>
      <c r="L378" s="160"/>
      <c r="M378" s="168">
        <f>'66 SYANA PRAROOP-20'!C379</f>
        <v>109</v>
      </c>
      <c r="N378" s="160"/>
      <c r="O378" s="160"/>
      <c r="P378" s="158">
        <f>'66 SYANA PRAROOP-20'!D379</f>
        <v>292</v>
      </c>
      <c r="Q378" s="160"/>
      <c r="R378" s="160"/>
      <c r="S378" s="158">
        <f>'66 SYANA PRAROOP-20'!E379</f>
        <v>1</v>
      </c>
      <c r="T378" s="160"/>
      <c r="U378" s="160"/>
      <c r="V378" s="159">
        <f>'66 SYANA PRAROOP-20'!F379</f>
        <v>53</v>
      </c>
      <c r="W378" s="160"/>
      <c r="X378" s="160"/>
      <c r="Y378" s="159">
        <f>'66 SYANA PRAROOP-20'!G379</f>
        <v>1</v>
      </c>
      <c r="Z378" s="160"/>
      <c r="AA378" s="160"/>
      <c r="AB378" s="168">
        <f>'66 SYANA PRAROOP-20'!H379</f>
        <v>0</v>
      </c>
      <c r="AC378" s="160"/>
      <c r="AD378" s="160"/>
      <c r="AE378" s="168">
        <f>'66 SYANA PRAROOP-20'!I379</f>
        <v>0</v>
      </c>
      <c r="AF378" s="160"/>
      <c r="AG378" s="160"/>
      <c r="AH378" s="168">
        <f>'66 SYANA PRAROOP-20'!J379</f>
        <v>1</v>
      </c>
      <c r="AI378" s="159">
        <f t="shared" si="17"/>
        <v>457</v>
      </c>
      <c r="AJ378" s="150">
        <f t="shared" si="15"/>
        <v>0</v>
      </c>
    </row>
    <row r="379" spans="1:36" ht="51">
      <c r="A379" s="151">
        <v>66</v>
      </c>
      <c r="B379" s="155">
        <v>373</v>
      </c>
      <c r="C379" s="156" t="s">
        <v>1009</v>
      </c>
      <c r="D379" s="155">
        <v>729</v>
      </c>
      <c r="E379" s="151">
        <v>262</v>
      </c>
      <c r="F379" s="151">
        <v>251</v>
      </c>
      <c r="G379" s="151">
        <v>0</v>
      </c>
      <c r="H379" s="151">
        <f t="shared" si="16"/>
        <v>513</v>
      </c>
      <c r="I379" s="155">
        <v>362</v>
      </c>
      <c r="J379" s="151">
        <v>0</v>
      </c>
      <c r="K379" s="160"/>
      <c r="L379" s="160"/>
      <c r="M379" s="168">
        <f>'66 SYANA PRAROOP-20'!C380</f>
        <v>28</v>
      </c>
      <c r="N379" s="160"/>
      <c r="O379" s="160"/>
      <c r="P379" s="158">
        <f>'66 SYANA PRAROOP-20'!D380</f>
        <v>10</v>
      </c>
      <c r="Q379" s="160"/>
      <c r="R379" s="160"/>
      <c r="S379" s="158">
        <f>'66 SYANA PRAROOP-20'!E380</f>
        <v>0</v>
      </c>
      <c r="T379" s="160"/>
      <c r="U379" s="160"/>
      <c r="V379" s="159">
        <f>'66 SYANA PRAROOP-20'!F380</f>
        <v>472</v>
      </c>
      <c r="W379" s="160"/>
      <c r="X379" s="160"/>
      <c r="Y379" s="159">
        <f>'66 SYANA PRAROOP-20'!G380</f>
        <v>0</v>
      </c>
      <c r="Z379" s="160"/>
      <c r="AA379" s="160"/>
      <c r="AB379" s="168">
        <f>'66 SYANA PRAROOP-20'!H380</f>
        <v>2</v>
      </c>
      <c r="AC379" s="160"/>
      <c r="AD379" s="160"/>
      <c r="AE379" s="168">
        <f>'66 SYANA PRAROOP-20'!I380</f>
        <v>1</v>
      </c>
      <c r="AF379" s="160"/>
      <c r="AG379" s="160"/>
      <c r="AH379" s="168">
        <f>'66 SYANA PRAROOP-20'!J380</f>
        <v>0</v>
      </c>
      <c r="AI379" s="159">
        <f t="shared" si="17"/>
        <v>513</v>
      </c>
      <c r="AJ379" s="150">
        <f t="shared" si="15"/>
        <v>0</v>
      </c>
    </row>
    <row r="380" spans="1:36" ht="38.25">
      <c r="A380" s="151">
        <v>66</v>
      </c>
      <c r="B380" s="155">
        <v>374</v>
      </c>
      <c r="C380" s="156" t="s">
        <v>1010</v>
      </c>
      <c r="D380" s="155">
        <v>724</v>
      </c>
      <c r="E380" s="151">
        <v>283</v>
      </c>
      <c r="F380" s="151">
        <v>274</v>
      </c>
      <c r="G380" s="151">
        <v>0</v>
      </c>
      <c r="H380" s="151">
        <f t="shared" si="16"/>
        <v>557</v>
      </c>
      <c r="I380" s="155">
        <v>37</v>
      </c>
      <c r="J380" s="151">
        <v>0</v>
      </c>
      <c r="K380" s="160"/>
      <c r="L380" s="160"/>
      <c r="M380" s="168">
        <f>'66 SYANA PRAROOP-20'!C381</f>
        <v>14</v>
      </c>
      <c r="N380" s="160"/>
      <c r="O380" s="160"/>
      <c r="P380" s="158">
        <f>'66 SYANA PRAROOP-20'!D381</f>
        <v>522</v>
      </c>
      <c r="Q380" s="160"/>
      <c r="R380" s="160"/>
      <c r="S380" s="158">
        <f>'66 SYANA PRAROOP-20'!E381</f>
        <v>7</v>
      </c>
      <c r="T380" s="160"/>
      <c r="U380" s="160"/>
      <c r="V380" s="159">
        <f>'66 SYANA PRAROOP-20'!F381</f>
        <v>4</v>
      </c>
      <c r="W380" s="160"/>
      <c r="X380" s="160"/>
      <c r="Y380" s="159">
        <f>'66 SYANA PRAROOP-20'!G381</f>
        <v>0</v>
      </c>
      <c r="Z380" s="160"/>
      <c r="AA380" s="160"/>
      <c r="AB380" s="168">
        <f>'66 SYANA PRAROOP-20'!H381</f>
        <v>1</v>
      </c>
      <c r="AC380" s="160"/>
      <c r="AD380" s="160"/>
      <c r="AE380" s="168">
        <f>'66 SYANA PRAROOP-20'!I381</f>
        <v>0</v>
      </c>
      <c r="AF380" s="160"/>
      <c r="AG380" s="160"/>
      <c r="AH380" s="168">
        <f>'66 SYANA PRAROOP-20'!J381</f>
        <v>4</v>
      </c>
      <c r="AI380" s="159">
        <f t="shared" si="17"/>
        <v>552</v>
      </c>
      <c r="AJ380" s="150">
        <f t="shared" si="15"/>
        <v>-5</v>
      </c>
    </row>
    <row r="381" spans="1:36" ht="63.75">
      <c r="A381" s="151">
        <v>66</v>
      </c>
      <c r="B381" s="155">
        <v>375</v>
      </c>
      <c r="C381" s="156" t="s">
        <v>1145</v>
      </c>
      <c r="D381" s="155">
        <v>924</v>
      </c>
      <c r="E381" s="151">
        <v>363</v>
      </c>
      <c r="F381" s="151">
        <v>339</v>
      </c>
      <c r="G381" s="151">
        <v>0</v>
      </c>
      <c r="H381" s="151">
        <f t="shared" si="16"/>
        <v>702</v>
      </c>
      <c r="I381" s="155">
        <v>463</v>
      </c>
      <c r="J381" s="151">
        <v>0</v>
      </c>
      <c r="K381" s="160"/>
      <c r="L381" s="160"/>
      <c r="M381" s="168">
        <f>'66 SYANA PRAROOP-20'!C382</f>
        <v>2</v>
      </c>
      <c r="N381" s="160"/>
      <c r="O381" s="160"/>
      <c r="P381" s="158">
        <f>'66 SYANA PRAROOP-20'!D382</f>
        <v>682</v>
      </c>
      <c r="Q381" s="160"/>
      <c r="R381" s="160"/>
      <c r="S381" s="158">
        <f>'66 SYANA PRAROOP-20'!E382</f>
        <v>5</v>
      </c>
      <c r="T381" s="160"/>
      <c r="U381" s="160"/>
      <c r="V381" s="159">
        <f>'66 SYANA PRAROOP-20'!F382</f>
        <v>2</v>
      </c>
      <c r="W381" s="160"/>
      <c r="X381" s="160"/>
      <c r="Y381" s="159">
        <f>'66 SYANA PRAROOP-20'!G382</f>
        <v>0</v>
      </c>
      <c r="Z381" s="160"/>
      <c r="AA381" s="160"/>
      <c r="AB381" s="168">
        <f>'66 SYANA PRAROOP-20'!H382</f>
        <v>0</v>
      </c>
      <c r="AC381" s="160"/>
      <c r="AD381" s="160"/>
      <c r="AE381" s="168">
        <f>'66 SYANA PRAROOP-20'!I382</f>
        <v>2</v>
      </c>
      <c r="AF381" s="160"/>
      <c r="AG381" s="160"/>
      <c r="AH381" s="168">
        <f>'66 SYANA PRAROOP-20'!J382</f>
        <v>5</v>
      </c>
      <c r="AI381" s="159">
        <f t="shared" si="17"/>
        <v>698</v>
      </c>
      <c r="AJ381" s="150">
        <f t="shared" si="15"/>
        <v>-4</v>
      </c>
    </row>
    <row r="382" spans="1:36" ht="63.75">
      <c r="A382" s="151">
        <v>66</v>
      </c>
      <c r="B382" s="155">
        <v>376</v>
      </c>
      <c r="C382" s="156" t="s">
        <v>1146</v>
      </c>
      <c r="D382" s="155">
        <v>939</v>
      </c>
      <c r="E382" s="151">
        <v>327</v>
      </c>
      <c r="F382" s="151">
        <v>349</v>
      </c>
      <c r="G382" s="151">
        <v>0</v>
      </c>
      <c r="H382" s="151">
        <f t="shared" si="16"/>
        <v>676</v>
      </c>
      <c r="I382" s="155">
        <v>64</v>
      </c>
      <c r="J382" s="151">
        <v>0</v>
      </c>
      <c r="K382" s="160"/>
      <c r="L382" s="160"/>
      <c r="M382" s="168">
        <f>'66 SYANA PRAROOP-20'!C383</f>
        <v>12</v>
      </c>
      <c r="N382" s="160"/>
      <c r="O382" s="160"/>
      <c r="P382" s="158">
        <f>'66 SYANA PRAROOP-20'!D383</f>
        <v>634</v>
      </c>
      <c r="Q382" s="160"/>
      <c r="R382" s="160"/>
      <c r="S382" s="158">
        <f>'66 SYANA PRAROOP-20'!E383</f>
        <v>6</v>
      </c>
      <c r="T382" s="160"/>
      <c r="U382" s="160"/>
      <c r="V382" s="159">
        <f>'66 SYANA PRAROOP-20'!F383</f>
        <v>1</v>
      </c>
      <c r="W382" s="160"/>
      <c r="X382" s="160"/>
      <c r="Y382" s="159">
        <f>'66 SYANA PRAROOP-20'!G383</f>
        <v>1</v>
      </c>
      <c r="Z382" s="160"/>
      <c r="AA382" s="160"/>
      <c r="AB382" s="168">
        <f>'66 SYANA PRAROOP-20'!H383</f>
        <v>3</v>
      </c>
      <c r="AC382" s="160"/>
      <c r="AD382" s="160"/>
      <c r="AE382" s="168">
        <f>'66 SYANA PRAROOP-20'!I383</f>
        <v>7</v>
      </c>
      <c r="AF382" s="160"/>
      <c r="AG382" s="160"/>
      <c r="AH382" s="168">
        <f>'66 SYANA PRAROOP-20'!J383</f>
        <v>5</v>
      </c>
      <c r="AI382" s="159">
        <f t="shared" si="17"/>
        <v>669</v>
      </c>
      <c r="AJ382" s="150">
        <f t="shared" si="15"/>
        <v>-7</v>
      </c>
    </row>
    <row r="383" spans="1:36" ht="51">
      <c r="A383" s="151">
        <v>66</v>
      </c>
      <c r="B383" s="155">
        <v>377</v>
      </c>
      <c r="C383" s="156" t="s">
        <v>1011</v>
      </c>
      <c r="D383" s="155">
        <v>759</v>
      </c>
      <c r="E383" s="151">
        <v>294</v>
      </c>
      <c r="F383" s="151">
        <v>266</v>
      </c>
      <c r="G383" s="151">
        <v>0</v>
      </c>
      <c r="H383" s="151">
        <f t="shared" si="16"/>
        <v>560</v>
      </c>
      <c r="I383" s="155">
        <v>394</v>
      </c>
      <c r="J383" s="151">
        <v>0</v>
      </c>
      <c r="K383" s="160"/>
      <c r="L383" s="160"/>
      <c r="M383" s="168">
        <f>'66 SYANA PRAROOP-20'!C384</f>
        <v>175</v>
      </c>
      <c r="N383" s="160"/>
      <c r="O383" s="160"/>
      <c r="P383" s="158">
        <f>'66 SYANA PRAROOP-20'!D384</f>
        <v>359</v>
      </c>
      <c r="Q383" s="160"/>
      <c r="R383" s="160"/>
      <c r="S383" s="158">
        <f>'66 SYANA PRAROOP-20'!E384</f>
        <v>2</v>
      </c>
      <c r="T383" s="160"/>
      <c r="U383" s="160"/>
      <c r="V383" s="159">
        <f>'66 SYANA PRAROOP-20'!F384</f>
        <v>4</v>
      </c>
      <c r="W383" s="160"/>
      <c r="X383" s="160"/>
      <c r="Y383" s="159">
        <f>'66 SYANA PRAROOP-20'!G384</f>
        <v>2</v>
      </c>
      <c r="Z383" s="160"/>
      <c r="AA383" s="160"/>
      <c r="AB383" s="168">
        <f>'66 SYANA PRAROOP-20'!H384</f>
        <v>2</v>
      </c>
      <c r="AC383" s="160"/>
      <c r="AD383" s="160"/>
      <c r="AE383" s="168">
        <f>'66 SYANA PRAROOP-20'!I384</f>
        <v>4</v>
      </c>
      <c r="AF383" s="160"/>
      <c r="AG383" s="160"/>
      <c r="AH383" s="168">
        <f>'66 SYANA PRAROOP-20'!J384</f>
        <v>6</v>
      </c>
      <c r="AI383" s="159">
        <f t="shared" si="17"/>
        <v>554</v>
      </c>
      <c r="AJ383" s="150">
        <f t="shared" si="15"/>
        <v>-6</v>
      </c>
    </row>
    <row r="384" spans="1:36" ht="51">
      <c r="A384" s="151">
        <v>66</v>
      </c>
      <c r="B384" s="155">
        <v>378</v>
      </c>
      <c r="C384" s="156" t="s">
        <v>1012</v>
      </c>
      <c r="D384" s="155">
        <v>819</v>
      </c>
      <c r="E384" s="151">
        <v>235</v>
      </c>
      <c r="F384" s="151">
        <v>221</v>
      </c>
      <c r="G384" s="151">
        <v>0</v>
      </c>
      <c r="H384" s="151">
        <f t="shared" si="16"/>
        <v>456</v>
      </c>
      <c r="I384" s="155">
        <v>77</v>
      </c>
      <c r="J384" s="151">
        <v>0</v>
      </c>
      <c r="K384" s="160"/>
      <c r="L384" s="160"/>
      <c r="M384" s="168">
        <f>'66 SYANA PRAROOP-20'!C385</f>
        <v>438</v>
      </c>
      <c r="N384" s="160"/>
      <c r="O384" s="160"/>
      <c r="P384" s="158">
        <f>'66 SYANA PRAROOP-20'!D385</f>
        <v>16</v>
      </c>
      <c r="Q384" s="160"/>
      <c r="R384" s="160"/>
      <c r="S384" s="158">
        <f>'66 SYANA PRAROOP-20'!E385</f>
        <v>0</v>
      </c>
      <c r="T384" s="160"/>
      <c r="U384" s="160"/>
      <c r="V384" s="159">
        <f>'66 SYANA PRAROOP-20'!F385</f>
        <v>0</v>
      </c>
      <c r="W384" s="160"/>
      <c r="X384" s="160"/>
      <c r="Y384" s="159">
        <f>'66 SYANA PRAROOP-20'!G385</f>
        <v>0</v>
      </c>
      <c r="Z384" s="160"/>
      <c r="AA384" s="160"/>
      <c r="AB384" s="168">
        <f>'66 SYANA PRAROOP-20'!H385</f>
        <v>0</v>
      </c>
      <c r="AC384" s="160"/>
      <c r="AD384" s="160"/>
      <c r="AE384" s="168">
        <f>'66 SYANA PRAROOP-20'!I385</f>
        <v>1</v>
      </c>
      <c r="AF384" s="160"/>
      <c r="AG384" s="160"/>
      <c r="AH384" s="168">
        <f>'66 SYANA PRAROOP-20'!J385</f>
        <v>0</v>
      </c>
      <c r="AI384" s="159">
        <f t="shared" si="17"/>
        <v>455</v>
      </c>
      <c r="AJ384" s="150">
        <f t="shared" si="15"/>
        <v>-1</v>
      </c>
    </row>
    <row r="385" spans="1:36" ht="51">
      <c r="A385" s="151">
        <v>66</v>
      </c>
      <c r="B385" s="155">
        <v>379</v>
      </c>
      <c r="C385" s="156" t="s">
        <v>1013</v>
      </c>
      <c r="D385" s="155">
        <v>771</v>
      </c>
      <c r="E385" s="151">
        <v>227</v>
      </c>
      <c r="F385" s="151">
        <v>168</v>
      </c>
      <c r="G385" s="151">
        <v>0</v>
      </c>
      <c r="H385" s="151">
        <f t="shared" si="16"/>
        <v>395</v>
      </c>
      <c r="I385" s="155">
        <v>61</v>
      </c>
      <c r="J385" s="151">
        <v>0</v>
      </c>
      <c r="K385" s="160"/>
      <c r="L385" s="160"/>
      <c r="M385" s="168">
        <f>'66 SYANA PRAROOP-20'!C386</f>
        <v>363</v>
      </c>
      <c r="N385" s="160"/>
      <c r="O385" s="160"/>
      <c r="P385" s="158">
        <f>'66 SYANA PRAROOP-20'!D386</f>
        <v>11</v>
      </c>
      <c r="Q385" s="160"/>
      <c r="R385" s="160"/>
      <c r="S385" s="158">
        <f>'66 SYANA PRAROOP-20'!E386</f>
        <v>1</v>
      </c>
      <c r="T385" s="160"/>
      <c r="U385" s="160"/>
      <c r="V385" s="159">
        <f>'66 SYANA PRAROOP-20'!F386</f>
        <v>11</v>
      </c>
      <c r="W385" s="160"/>
      <c r="X385" s="160"/>
      <c r="Y385" s="159">
        <f>'66 SYANA PRAROOP-20'!G386</f>
        <v>6</v>
      </c>
      <c r="Z385" s="160"/>
      <c r="AA385" s="160"/>
      <c r="AB385" s="168">
        <f>'66 SYANA PRAROOP-20'!H386</f>
        <v>0</v>
      </c>
      <c r="AC385" s="160"/>
      <c r="AD385" s="160"/>
      <c r="AE385" s="168">
        <f>'66 SYANA PRAROOP-20'!I386</f>
        <v>1</v>
      </c>
      <c r="AF385" s="160"/>
      <c r="AG385" s="160"/>
      <c r="AH385" s="168">
        <f>'66 SYANA PRAROOP-20'!J386</f>
        <v>0</v>
      </c>
      <c r="AI385" s="159">
        <f t="shared" si="17"/>
        <v>393</v>
      </c>
      <c r="AJ385" s="150">
        <f t="shared" si="15"/>
        <v>-2</v>
      </c>
    </row>
    <row r="386" spans="1:36" ht="63.75">
      <c r="A386" s="151">
        <v>66</v>
      </c>
      <c r="B386" s="155">
        <v>380</v>
      </c>
      <c r="C386" s="156" t="s">
        <v>1014</v>
      </c>
      <c r="D386" s="155">
        <v>1002</v>
      </c>
      <c r="E386" s="151">
        <v>326</v>
      </c>
      <c r="F386" s="151">
        <v>270</v>
      </c>
      <c r="G386" s="151">
        <v>0</v>
      </c>
      <c r="H386" s="151">
        <f t="shared" si="16"/>
        <v>596</v>
      </c>
      <c r="I386" s="155">
        <v>50</v>
      </c>
      <c r="J386" s="151">
        <v>0</v>
      </c>
      <c r="K386" s="160"/>
      <c r="L386" s="160"/>
      <c r="M386" s="168">
        <f>'66 SYANA PRAROOP-20'!C387</f>
        <v>437</v>
      </c>
      <c r="N386" s="160"/>
      <c r="O386" s="160"/>
      <c r="P386" s="158">
        <f>'66 SYANA PRAROOP-20'!D387</f>
        <v>48</v>
      </c>
      <c r="Q386" s="160"/>
      <c r="R386" s="160"/>
      <c r="S386" s="158">
        <f>'66 SYANA PRAROOP-20'!E387</f>
        <v>3</v>
      </c>
      <c r="T386" s="160"/>
      <c r="U386" s="160"/>
      <c r="V386" s="159">
        <f>'66 SYANA PRAROOP-20'!F387</f>
        <v>98</v>
      </c>
      <c r="W386" s="160"/>
      <c r="X386" s="160"/>
      <c r="Y386" s="159">
        <f>'66 SYANA PRAROOP-20'!G387</f>
        <v>3</v>
      </c>
      <c r="Z386" s="160"/>
      <c r="AA386" s="160"/>
      <c r="AB386" s="168">
        <f>'66 SYANA PRAROOP-20'!H387</f>
        <v>3</v>
      </c>
      <c r="AC386" s="160"/>
      <c r="AD386" s="160"/>
      <c r="AE386" s="168">
        <f>'66 SYANA PRAROOP-20'!I387</f>
        <v>2</v>
      </c>
      <c r="AF386" s="160"/>
      <c r="AG386" s="160"/>
      <c r="AH386" s="168">
        <f>'66 SYANA PRAROOP-20'!J387</f>
        <v>0</v>
      </c>
      <c r="AI386" s="159">
        <f t="shared" si="17"/>
        <v>594</v>
      </c>
      <c r="AJ386" s="150">
        <f t="shared" si="15"/>
        <v>-2</v>
      </c>
    </row>
    <row r="387" spans="1:36" ht="63.75">
      <c r="A387" s="151">
        <v>66</v>
      </c>
      <c r="B387" s="155">
        <v>381</v>
      </c>
      <c r="C387" s="156" t="s">
        <v>1015</v>
      </c>
      <c r="D387" s="155">
        <v>1013</v>
      </c>
      <c r="E387" s="151">
        <v>331</v>
      </c>
      <c r="F387" s="151">
        <v>319</v>
      </c>
      <c r="G387" s="151">
        <v>0</v>
      </c>
      <c r="H387" s="151">
        <f t="shared" si="16"/>
        <v>650</v>
      </c>
      <c r="I387" s="155">
        <v>431</v>
      </c>
      <c r="J387" s="151">
        <v>0</v>
      </c>
      <c r="K387" s="160"/>
      <c r="L387" s="160"/>
      <c r="M387" s="168">
        <f>'66 SYANA PRAROOP-20'!C388</f>
        <v>100</v>
      </c>
      <c r="N387" s="160"/>
      <c r="O387" s="160"/>
      <c r="P387" s="158">
        <f>'66 SYANA PRAROOP-20'!D388</f>
        <v>241</v>
      </c>
      <c r="Q387" s="160"/>
      <c r="R387" s="160"/>
      <c r="S387" s="158">
        <f>'66 SYANA PRAROOP-20'!E388</f>
        <v>3</v>
      </c>
      <c r="T387" s="160"/>
      <c r="U387" s="160"/>
      <c r="V387" s="159">
        <f>'66 SYANA PRAROOP-20'!F388</f>
        <v>285</v>
      </c>
      <c r="W387" s="160"/>
      <c r="X387" s="160"/>
      <c r="Y387" s="159">
        <f>'66 SYANA PRAROOP-20'!G388</f>
        <v>9</v>
      </c>
      <c r="Z387" s="160"/>
      <c r="AA387" s="160"/>
      <c r="AB387" s="168">
        <f>'66 SYANA PRAROOP-20'!H388</f>
        <v>2</v>
      </c>
      <c r="AC387" s="160"/>
      <c r="AD387" s="160"/>
      <c r="AE387" s="168">
        <f>'66 SYANA PRAROOP-20'!I388</f>
        <v>3</v>
      </c>
      <c r="AF387" s="160"/>
      <c r="AG387" s="160"/>
      <c r="AH387" s="168">
        <f>'66 SYANA PRAROOP-20'!J388</f>
        <v>3</v>
      </c>
      <c r="AI387" s="159">
        <f t="shared" si="17"/>
        <v>646</v>
      </c>
      <c r="AJ387" s="150">
        <f t="shared" si="15"/>
        <v>-4</v>
      </c>
    </row>
    <row r="388" spans="1:36" ht="51">
      <c r="A388" s="151">
        <v>66</v>
      </c>
      <c r="B388" s="155">
        <v>382</v>
      </c>
      <c r="C388" s="156" t="s">
        <v>1016</v>
      </c>
      <c r="D388" s="155">
        <v>1085</v>
      </c>
      <c r="E388" s="151">
        <v>355</v>
      </c>
      <c r="F388" s="151">
        <v>310</v>
      </c>
      <c r="G388" s="151">
        <v>0</v>
      </c>
      <c r="H388" s="151">
        <f t="shared" si="16"/>
        <v>665</v>
      </c>
      <c r="I388" s="155">
        <v>300</v>
      </c>
      <c r="J388" s="151">
        <v>0</v>
      </c>
      <c r="K388" s="160"/>
      <c r="L388" s="160"/>
      <c r="M388" s="168">
        <f>'66 SYANA PRAROOP-20'!C389</f>
        <v>74</v>
      </c>
      <c r="N388" s="160"/>
      <c r="O388" s="160"/>
      <c r="P388" s="158">
        <f>'66 SYANA PRAROOP-20'!D389</f>
        <v>524</v>
      </c>
      <c r="Q388" s="160"/>
      <c r="R388" s="160"/>
      <c r="S388" s="158">
        <f>'66 SYANA PRAROOP-20'!E389</f>
        <v>7</v>
      </c>
      <c r="T388" s="160"/>
      <c r="U388" s="160"/>
      <c r="V388" s="159">
        <f>'66 SYANA PRAROOP-20'!F389</f>
        <v>44</v>
      </c>
      <c r="W388" s="160"/>
      <c r="X388" s="160"/>
      <c r="Y388" s="159">
        <f>'66 SYANA PRAROOP-20'!G389</f>
        <v>1</v>
      </c>
      <c r="Z388" s="160"/>
      <c r="AA388" s="160"/>
      <c r="AB388" s="168">
        <f>'66 SYANA PRAROOP-20'!H389</f>
        <v>1</v>
      </c>
      <c r="AC388" s="160"/>
      <c r="AD388" s="160"/>
      <c r="AE388" s="168">
        <f>'66 SYANA PRAROOP-20'!I389</f>
        <v>6</v>
      </c>
      <c r="AF388" s="160"/>
      <c r="AG388" s="160"/>
      <c r="AH388" s="168">
        <f>'66 SYANA PRAROOP-20'!J389</f>
        <v>5</v>
      </c>
      <c r="AI388" s="159">
        <f t="shared" si="17"/>
        <v>662</v>
      </c>
      <c r="AJ388" s="150">
        <f t="shared" si="15"/>
        <v>-3</v>
      </c>
    </row>
    <row r="389" spans="1:36" ht="51">
      <c r="A389" s="151">
        <v>66</v>
      </c>
      <c r="B389" s="155">
        <v>383</v>
      </c>
      <c r="C389" s="156" t="s">
        <v>1017</v>
      </c>
      <c r="D389" s="155">
        <v>1094</v>
      </c>
      <c r="E389" s="151">
        <v>419</v>
      </c>
      <c r="F389" s="151">
        <v>350</v>
      </c>
      <c r="G389" s="151">
        <v>0</v>
      </c>
      <c r="H389" s="151">
        <f t="shared" si="16"/>
        <v>769</v>
      </c>
      <c r="I389" s="155">
        <v>19</v>
      </c>
      <c r="J389" s="151">
        <v>0</v>
      </c>
      <c r="K389" s="160"/>
      <c r="L389" s="160"/>
      <c r="M389" s="168">
        <f>'66 SYANA PRAROOP-20'!C390</f>
        <v>522</v>
      </c>
      <c r="N389" s="160"/>
      <c r="O389" s="160"/>
      <c r="P389" s="158">
        <f>'66 SYANA PRAROOP-20'!D390</f>
        <v>47</v>
      </c>
      <c r="Q389" s="160"/>
      <c r="R389" s="160"/>
      <c r="S389" s="158">
        <f>'66 SYANA PRAROOP-20'!E390</f>
        <v>5</v>
      </c>
      <c r="T389" s="160"/>
      <c r="U389" s="160"/>
      <c r="V389" s="159">
        <f>'66 SYANA PRAROOP-20'!F390</f>
        <v>183</v>
      </c>
      <c r="W389" s="160"/>
      <c r="X389" s="160"/>
      <c r="Y389" s="159">
        <f>'66 SYANA PRAROOP-20'!G390</f>
        <v>3</v>
      </c>
      <c r="Z389" s="160"/>
      <c r="AA389" s="160"/>
      <c r="AB389" s="168">
        <f>'66 SYANA PRAROOP-20'!H390</f>
        <v>0</v>
      </c>
      <c r="AC389" s="160"/>
      <c r="AD389" s="160"/>
      <c r="AE389" s="168">
        <f>'66 SYANA PRAROOP-20'!I390</f>
        <v>0</v>
      </c>
      <c r="AF389" s="160"/>
      <c r="AG389" s="160"/>
      <c r="AH389" s="168">
        <f>'66 SYANA PRAROOP-20'!J390</f>
        <v>2</v>
      </c>
      <c r="AI389" s="159">
        <f t="shared" si="17"/>
        <v>762</v>
      </c>
      <c r="AJ389" s="150">
        <f t="shared" si="15"/>
        <v>-7</v>
      </c>
    </row>
    <row r="390" spans="1:36" ht="51">
      <c r="A390" s="151">
        <v>66</v>
      </c>
      <c r="B390" s="155">
        <v>384</v>
      </c>
      <c r="C390" s="156" t="s">
        <v>1018</v>
      </c>
      <c r="D390" s="155">
        <v>798</v>
      </c>
      <c r="E390" s="151">
        <v>295</v>
      </c>
      <c r="F390" s="151">
        <v>263</v>
      </c>
      <c r="G390" s="151">
        <v>0</v>
      </c>
      <c r="H390" s="151">
        <f t="shared" si="16"/>
        <v>558</v>
      </c>
      <c r="I390" s="155">
        <v>395</v>
      </c>
      <c r="J390" s="151">
        <v>0</v>
      </c>
      <c r="K390" s="160"/>
      <c r="L390" s="160"/>
      <c r="M390" s="168">
        <f>'66 SYANA PRAROOP-20'!C391</f>
        <v>415</v>
      </c>
      <c r="N390" s="160"/>
      <c r="O390" s="160"/>
      <c r="P390" s="158">
        <f>'66 SYANA PRAROOP-20'!D391</f>
        <v>17</v>
      </c>
      <c r="Q390" s="160"/>
      <c r="R390" s="160"/>
      <c r="S390" s="158">
        <f>'66 SYANA PRAROOP-20'!E391</f>
        <v>2</v>
      </c>
      <c r="T390" s="160"/>
      <c r="U390" s="160"/>
      <c r="V390" s="159">
        <f>'66 SYANA PRAROOP-20'!F391</f>
        <v>109</v>
      </c>
      <c r="W390" s="160"/>
      <c r="X390" s="160"/>
      <c r="Y390" s="159">
        <f>'66 SYANA PRAROOP-20'!G391</f>
        <v>3</v>
      </c>
      <c r="Z390" s="160"/>
      <c r="AA390" s="160"/>
      <c r="AB390" s="168">
        <f>'66 SYANA PRAROOP-20'!H391</f>
        <v>3</v>
      </c>
      <c r="AC390" s="160"/>
      <c r="AD390" s="160"/>
      <c r="AE390" s="168">
        <f>'66 SYANA PRAROOP-20'!I391</f>
        <v>0</v>
      </c>
      <c r="AF390" s="160"/>
      <c r="AG390" s="160"/>
      <c r="AH390" s="168">
        <f>'66 SYANA PRAROOP-20'!J391</f>
        <v>2</v>
      </c>
      <c r="AI390" s="159">
        <f t="shared" si="17"/>
        <v>551</v>
      </c>
      <c r="AJ390" s="150">
        <f t="shared" si="15"/>
        <v>-7</v>
      </c>
    </row>
    <row r="391" spans="1:36" ht="51">
      <c r="A391" s="151">
        <v>66</v>
      </c>
      <c r="B391" s="155">
        <v>385</v>
      </c>
      <c r="C391" s="156" t="s">
        <v>1019</v>
      </c>
      <c r="D391" s="155">
        <v>848</v>
      </c>
      <c r="E391" s="151">
        <v>337</v>
      </c>
      <c r="F391" s="151">
        <v>283</v>
      </c>
      <c r="G391" s="151">
        <v>0</v>
      </c>
      <c r="H391" s="151">
        <f t="shared" si="16"/>
        <v>620</v>
      </c>
      <c r="I391" s="155">
        <v>95</v>
      </c>
      <c r="J391" s="151">
        <v>0</v>
      </c>
      <c r="K391" s="160"/>
      <c r="L391" s="160"/>
      <c r="M391" s="168">
        <f>'66 SYANA PRAROOP-20'!C392</f>
        <v>599</v>
      </c>
      <c r="N391" s="160"/>
      <c r="O391" s="160"/>
      <c r="P391" s="158">
        <f>'66 SYANA PRAROOP-20'!D392</f>
        <v>5</v>
      </c>
      <c r="Q391" s="160"/>
      <c r="R391" s="160"/>
      <c r="S391" s="158">
        <f>'66 SYANA PRAROOP-20'!E392</f>
        <v>4</v>
      </c>
      <c r="T391" s="160"/>
      <c r="U391" s="160"/>
      <c r="V391" s="159">
        <f>'66 SYANA PRAROOP-20'!F392</f>
        <v>9</v>
      </c>
      <c r="W391" s="160"/>
      <c r="X391" s="160"/>
      <c r="Y391" s="159">
        <f>'66 SYANA PRAROOP-20'!G392</f>
        <v>0</v>
      </c>
      <c r="Z391" s="160"/>
      <c r="AA391" s="160"/>
      <c r="AB391" s="168">
        <f>'66 SYANA PRAROOP-20'!H392</f>
        <v>0</v>
      </c>
      <c r="AC391" s="160"/>
      <c r="AD391" s="160"/>
      <c r="AE391" s="168">
        <f>'66 SYANA PRAROOP-20'!I392</f>
        <v>0</v>
      </c>
      <c r="AF391" s="160"/>
      <c r="AG391" s="160"/>
      <c r="AH391" s="168">
        <f>'66 SYANA PRAROOP-20'!J392</f>
        <v>0</v>
      </c>
      <c r="AI391" s="159">
        <f t="shared" si="17"/>
        <v>617</v>
      </c>
      <c r="AJ391" s="150">
        <f t="shared" ref="AJ391:AJ435" si="18">AI391-H391</f>
        <v>-3</v>
      </c>
    </row>
    <row r="392" spans="1:36" ht="51">
      <c r="A392" s="151">
        <v>66</v>
      </c>
      <c r="B392" s="155">
        <v>386</v>
      </c>
      <c r="C392" s="156" t="s">
        <v>1020</v>
      </c>
      <c r="D392" s="155">
        <v>822</v>
      </c>
      <c r="E392" s="151">
        <v>333</v>
      </c>
      <c r="F392" s="151">
        <v>277</v>
      </c>
      <c r="G392" s="151">
        <v>0</v>
      </c>
      <c r="H392" s="151">
        <f t="shared" ref="H392:H444" si="19">SUM(E392:G392)</f>
        <v>610</v>
      </c>
      <c r="I392" s="155">
        <v>433</v>
      </c>
      <c r="J392" s="151">
        <v>0</v>
      </c>
      <c r="K392" s="160"/>
      <c r="L392" s="160"/>
      <c r="M392" s="168">
        <f>'66 SYANA PRAROOP-20'!C393</f>
        <v>323</v>
      </c>
      <c r="N392" s="160"/>
      <c r="O392" s="160"/>
      <c r="P392" s="158">
        <f>'66 SYANA PRAROOP-20'!D393</f>
        <v>151</v>
      </c>
      <c r="Q392" s="160"/>
      <c r="R392" s="160"/>
      <c r="S392" s="158">
        <f>'66 SYANA PRAROOP-20'!E393</f>
        <v>8</v>
      </c>
      <c r="T392" s="160"/>
      <c r="U392" s="160"/>
      <c r="V392" s="159">
        <f>'66 SYANA PRAROOP-20'!F393</f>
        <v>94</v>
      </c>
      <c r="W392" s="160"/>
      <c r="X392" s="160"/>
      <c r="Y392" s="159">
        <f>'66 SYANA PRAROOP-20'!G393</f>
        <v>6</v>
      </c>
      <c r="Z392" s="160"/>
      <c r="AA392" s="160"/>
      <c r="AB392" s="168">
        <f>'66 SYANA PRAROOP-20'!H393</f>
        <v>7</v>
      </c>
      <c r="AC392" s="160"/>
      <c r="AD392" s="160"/>
      <c r="AE392" s="168">
        <f>'66 SYANA PRAROOP-20'!I393</f>
        <v>8</v>
      </c>
      <c r="AF392" s="160"/>
      <c r="AG392" s="160"/>
      <c r="AH392" s="168">
        <f>'66 SYANA PRAROOP-20'!J393</f>
        <v>5</v>
      </c>
      <c r="AI392" s="159">
        <f t="shared" ref="AI392:AI444" si="20">M392+P392+S392+V392+Y392+AB392+AE392+AH392</f>
        <v>602</v>
      </c>
      <c r="AJ392" s="150">
        <f t="shared" si="18"/>
        <v>-8</v>
      </c>
    </row>
    <row r="393" spans="1:36" ht="51">
      <c r="A393" s="151">
        <v>66</v>
      </c>
      <c r="B393" s="155">
        <v>387</v>
      </c>
      <c r="C393" s="156" t="s">
        <v>1021</v>
      </c>
      <c r="D393" s="155">
        <v>1140</v>
      </c>
      <c r="E393" s="151">
        <v>376</v>
      </c>
      <c r="F393" s="151">
        <v>358</v>
      </c>
      <c r="G393" s="151">
        <v>0</v>
      </c>
      <c r="H393" s="151">
        <f t="shared" si="19"/>
        <v>734</v>
      </c>
      <c r="I393" s="155">
        <v>89</v>
      </c>
      <c r="J393" s="151">
        <v>0</v>
      </c>
      <c r="K393" s="160"/>
      <c r="L393" s="160"/>
      <c r="M393" s="168">
        <f>'66 SYANA PRAROOP-20'!C394</f>
        <v>653</v>
      </c>
      <c r="N393" s="160"/>
      <c r="O393" s="160"/>
      <c r="P393" s="158">
        <f>'66 SYANA PRAROOP-20'!D394</f>
        <v>38</v>
      </c>
      <c r="Q393" s="160"/>
      <c r="R393" s="160"/>
      <c r="S393" s="158">
        <f>'66 SYANA PRAROOP-20'!E394</f>
        <v>2</v>
      </c>
      <c r="T393" s="160"/>
      <c r="U393" s="160"/>
      <c r="V393" s="159">
        <f>'66 SYANA PRAROOP-20'!F394</f>
        <v>25</v>
      </c>
      <c r="W393" s="160"/>
      <c r="X393" s="160"/>
      <c r="Y393" s="159">
        <f>'66 SYANA PRAROOP-20'!G394</f>
        <v>1</v>
      </c>
      <c r="Z393" s="160"/>
      <c r="AA393" s="160"/>
      <c r="AB393" s="168">
        <f>'66 SYANA PRAROOP-20'!H394</f>
        <v>0</v>
      </c>
      <c r="AC393" s="160"/>
      <c r="AD393" s="160"/>
      <c r="AE393" s="168">
        <f>'66 SYANA PRAROOP-20'!I394</f>
        <v>0</v>
      </c>
      <c r="AF393" s="160"/>
      <c r="AG393" s="160"/>
      <c r="AH393" s="168">
        <f>'66 SYANA PRAROOP-20'!J394</f>
        <v>1</v>
      </c>
      <c r="AI393" s="159">
        <f t="shared" si="20"/>
        <v>720</v>
      </c>
      <c r="AJ393" s="150">
        <f t="shared" si="18"/>
        <v>-14</v>
      </c>
    </row>
    <row r="394" spans="1:36" ht="51">
      <c r="A394" s="151">
        <v>66</v>
      </c>
      <c r="B394" s="155">
        <v>388</v>
      </c>
      <c r="C394" s="156" t="s">
        <v>1022</v>
      </c>
      <c r="D394" s="155">
        <v>863</v>
      </c>
      <c r="E394" s="151">
        <v>293</v>
      </c>
      <c r="F394" s="151">
        <v>241</v>
      </c>
      <c r="G394" s="151">
        <v>0</v>
      </c>
      <c r="H394" s="151">
        <f t="shared" si="19"/>
        <v>534</v>
      </c>
      <c r="I394" s="155">
        <v>76</v>
      </c>
      <c r="J394" s="151">
        <v>0</v>
      </c>
      <c r="K394" s="160"/>
      <c r="L394" s="160"/>
      <c r="M394" s="168">
        <f>'66 SYANA PRAROOP-20'!C395</f>
        <v>480</v>
      </c>
      <c r="N394" s="160"/>
      <c r="O394" s="160"/>
      <c r="P394" s="158">
        <f>'66 SYANA PRAROOP-20'!D395</f>
        <v>14</v>
      </c>
      <c r="Q394" s="160"/>
      <c r="R394" s="160"/>
      <c r="S394" s="158">
        <f>'66 SYANA PRAROOP-20'!E395</f>
        <v>1</v>
      </c>
      <c r="T394" s="160"/>
      <c r="U394" s="160"/>
      <c r="V394" s="159">
        <f>'66 SYANA PRAROOP-20'!F395</f>
        <v>33</v>
      </c>
      <c r="W394" s="160"/>
      <c r="X394" s="160"/>
      <c r="Y394" s="159">
        <f>'66 SYANA PRAROOP-20'!G395</f>
        <v>1</v>
      </c>
      <c r="Z394" s="160"/>
      <c r="AA394" s="160"/>
      <c r="AB394" s="168">
        <f>'66 SYANA PRAROOP-20'!H395</f>
        <v>1</v>
      </c>
      <c r="AC394" s="160"/>
      <c r="AD394" s="160"/>
      <c r="AE394" s="168">
        <f>'66 SYANA PRAROOP-20'!I395</f>
        <v>1</v>
      </c>
      <c r="AF394" s="160"/>
      <c r="AG394" s="160"/>
      <c r="AH394" s="168">
        <f>'66 SYANA PRAROOP-20'!J395</f>
        <v>0</v>
      </c>
      <c r="AI394" s="159">
        <f t="shared" si="20"/>
        <v>531</v>
      </c>
      <c r="AJ394" s="150">
        <f t="shared" si="18"/>
        <v>-3</v>
      </c>
    </row>
    <row r="395" spans="1:36" ht="51">
      <c r="A395" s="151">
        <v>66</v>
      </c>
      <c r="B395" s="155">
        <v>389</v>
      </c>
      <c r="C395" s="156" t="s">
        <v>1023</v>
      </c>
      <c r="D395" s="155">
        <v>1014</v>
      </c>
      <c r="E395" s="151">
        <v>355</v>
      </c>
      <c r="F395" s="151">
        <v>304</v>
      </c>
      <c r="G395" s="151">
        <v>0</v>
      </c>
      <c r="H395" s="151">
        <f t="shared" si="19"/>
        <v>659</v>
      </c>
      <c r="I395" s="155">
        <v>121</v>
      </c>
      <c r="J395" s="151">
        <v>0</v>
      </c>
      <c r="K395" s="160"/>
      <c r="L395" s="160"/>
      <c r="M395" s="168">
        <f>'66 SYANA PRAROOP-20'!C396</f>
        <v>385</v>
      </c>
      <c r="N395" s="160"/>
      <c r="O395" s="160"/>
      <c r="P395" s="158">
        <f>'66 SYANA PRAROOP-20'!D396</f>
        <v>227</v>
      </c>
      <c r="Q395" s="160"/>
      <c r="R395" s="160"/>
      <c r="S395" s="158">
        <f>'66 SYANA PRAROOP-20'!E396</f>
        <v>2</v>
      </c>
      <c r="T395" s="160"/>
      <c r="U395" s="160"/>
      <c r="V395" s="159">
        <f>'66 SYANA PRAROOP-20'!F396</f>
        <v>36</v>
      </c>
      <c r="W395" s="160"/>
      <c r="X395" s="160"/>
      <c r="Y395" s="159">
        <f>'66 SYANA PRAROOP-20'!G396</f>
        <v>1</v>
      </c>
      <c r="Z395" s="160"/>
      <c r="AA395" s="160"/>
      <c r="AB395" s="168">
        <f>'66 SYANA PRAROOP-20'!H396</f>
        <v>1</v>
      </c>
      <c r="AC395" s="160"/>
      <c r="AD395" s="160"/>
      <c r="AE395" s="168">
        <f>'66 SYANA PRAROOP-20'!I396</f>
        <v>2</v>
      </c>
      <c r="AF395" s="160"/>
      <c r="AG395" s="160"/>
      <c r="AH395" s="168">
        <f>'66 SYANA PRAROOP-20'!J396</f>
        <v>2</v>
      </c>
      <c r="AI395" s="159">
        <f t="shared" si="20"/>
        <v>656</v>
      </c>
      <c r="AJ395" s="150">
        <f t="shared" si="18"/>
        <v>-3</v>
      </c>
    </row>
    <row r="396" spans="1:36" ht="51">
      <c r="A396" s="151">
        <v>66</v>
      </c>
      <c r="B396" s="155">
        <v>390</v>
      </c>
      <c r="C396" s="156" t="s">
        <v>1024</v>
      </c>
      <c r="D396" s="155">
        <v>963</v>
      </c>
      <c r="E396" s="151">
        <v>335</v>
      </c>
      <c r="F396" s="151">
        <v>280</v>
      </c>
      <c r="G396" s="151">
        <v>0</v>
      </c>
      <c r="H396" s="151">
        <f t="shared" si="19"/>
        <v>615</v>
      </c>
      <c r="I396" s="155">
        <v>55</v>
      </c>
      <c r="J396" s="151">
        <v>0</v>
      </c>
      <c r="K396" s="160"/>
      <c r="L396" s="160"/>
      <c r="M396" s="168">
        <f>'66 SYANA PRAROOP-20'!C397</f>
        <v>431</v>
      </c>
      <c r="N396" s="160"/>
      <c r="O396" s="160"/>
      <c r="P396" s="158">
        <f>'66 SYANA PRAROOP-20'!D397</f>
        <v>28</v>
      </c>
      <c r="Q396" s="160"/>
      <c r="R396" s="160"/>
      <c r="S396" s="158">
        <f>'66 SYANA PRAROOP-20'!E397</f>
        <v>5</v>
      </c>
      <c r="T396" s="160"/>
      <c r="U396" s="160"/>
      <c r="V396" s="159">
        <f>'66 SYANA PRAROOP-20'!F397</f>
        <v>137</v>
      </c>
      <c r="W396" s="160"/>
      <c r="X396" s="160"/>
      <c r="Y396" s="159">
        <f>'66 SYANA PRAROOP-20'!G397</f>
        <v>2</v>
      </c>
      <c r="Z396" s="160"/>
      <c r="AA396" s="160"/>
      <c r="AB396" s="168">
        <f>'66 SYANA PRAROOP-20'!H397</f>
        <v>1</v>
      </c>
      <c r="AC396" s="160"/>
      <c r="AD396" s="160"/>
      <c r="AE396" s="168">
        <f>'66 SYANA PRAROOP-20'!I397</f>
        <v>2</v>
      </c>
      <c r="AF396" s="160"/>
      <c r="AG396" s="160"/>
      <c r="AH396" s="168">
        <f>'66 SYANA PRAROOP-20'!J397</f>
        <v>4</v>
      </c>
      <c r="AI396" s="159">
        <f t="shared" si="20"/>
        <v>610</v>
      </c>
      <c r="AJ396" s="150">
        <f t="shared" si="18"/>
        <v>-5</v>
      </c>
    </row>
    <row r="397" spans="1:36" ht="38.25">
      <c r="A397" s="151">
        <v>66</v>
      </c>
      <c r="B397" s="155">
        <v>391</v>
      </c>
      <c r="C397" s="156" t="s">
        <v>1025</v>
      </c>
      <c r="D397" s="155">
        <v>1012</v>
      </c>
      <c r="E397" s="151">
        <v>376</v>
      </c>
      <c r="F397" s="151">
        <v>316</v>
      </c>
      <c r="G397" s="151">
        <v>0</v>
      </c>
      <c r="H397" s="151">
        <f t="shared" si="19"/>
        <v>692</v>
      </c>
      <c r="I397" s="155">
        <v>384</v>
      </c>
      <c r="J397" s="151">
        <v>0</v>
      </c>
      <c r="K397" s="160"/>
      <c r="L397" s="160"/>
      <c r="M397" s="168">
        <f>'66 SYANA PRAROOP-20'!C398</f>
        <v>557</v>
      </c>
      <c r="N397" s="160"/>
      <c r="O397" s="160"/>
      <c r="P397" s="158">
        <f>'66 SYANA PRAROOP-20'!D398</f>
        <v>129</v>
      </c>
      <c r="Q397" s="160"/>
      <c r="R397" s="160"/>
      <c r="S397" s="158">
        <f>'66 SYANA PRAROOP-20'!E398</f>
        <v>2</v>
      </c>
      <c r="T397" s="160"/>
      <c r="U397" s="160"/>
      <c r="V397" s="159">
        <f>'66 SYANA PRAROOP-20'!F398</f>
        <v>0</v>
      </c>
      <c r="W397" s="160"/>
      <c r="X397" s="160"/>
      <c r="Y397" s="159">
        <f>'66 SYANA PRAROOP-20'!G398</f>
        <v>0</v>
      </c>
      <c r="Z397" s="160"/>
      <c r="AA397" s="160"/>
      <c r="AB397" s="168">
        <f>'66 SYANA PRAROOP-20'!H398</f>
        <v>1</v>
      </c>
      <c r="AC397" s="160"/>
      <c r="AD397" s="160"/>
      <c r="AE397" s="168">
        <f>'66 SYANA PRAROOP-20'!I398</f>
        <v>0</v>
      </c>
      <c r="AF397" s="160"/>
      <c r="AG397" s="160"/>
      <c r="AH397" s="168">
        <f>'66 SYANA PRAROOP-20'!J398</f>
        <v>0</v>
      </c>
      <c r="AI397" s="159">
        <f t="shared" si="20"/>
        <v>689</v>
      </c>
      <c r="AJ397" s="150">
        <f t="shared" si="18"/>
        <v>-3</v>
      </c>
    </row>
    <row r="398" spans="1:36" ht="51">
      <c r="A398" s="151">
        <v>66</v>
      </c>
      <c r="B398" s="155">
        <v>392</v>
      </c>
      <c r="C398" s="156" t="s">
        <v>1026</v>
      </c>
      <c r="D398" s="155">
        <v>912</v>
      </c>
      <c r="E398" s="151">
        <v>278</v>
      </c>
      <c r="F398" s="151">
        <v>265</v>
      </c>
      <c r="G398" s="151">
        <v>0</v>
      </c>
      <c r="H398" s="151">
        <f t="shared" si="19"/>
        <v>543</v>
      </c>
      <c r="I398" s="155">
        <v>57</v>
      </c>
      <c r="J398" s="151">
        <v>0</v>
      </c>
      <c r="K398" s="160"/>
      <c r="L398" s="160"/>
      <c r="M398" s="168">
        <f>'66 SYANA PRAROOP-20'!C399</f>
        <v>41</v>
      </c>
      <c r="N398" s="160"/>
      <c r="O398" s="160"/>
      <c r="P398" s="158">
        <f>'66 SYANA PRAROOP-20'!D399</f>
        <v>250</v>
      </c>
      <c r="Q398" s="160"/>
      <c r="R398" s="160"/>
      <c r="S398" s="158">
        <f>'66 SYANA PRAROOP-20'!E399</f>
        <v>8</v>
      </c>
      <c r="T398" s="160"/>
      <c r="U398" s="160"/>
      <c r="V398" s="159">
        <f>'66 SYANA PRAROOP-20'!F399</f>
        <v>230</v>
      </c>
      <c r="W398" s="160"/>
      <c r="X398" s="160"/>
      <c r="Y398" s="159">
        <f>'66 SYANA PRAROOP-20'!G399</f>
        <v>4</v>
      </c>
      <c r="Z398" s="160"/>
      <c r="AA398" s="160"/>
      <c r="AB398" s="168">
        <f>'66 SYANA PRAROOP-20'!H399</f>
        <v>6</v>
      </c>
      <c r="AC398" s="160"/>
      <c r="AD398" s="160"/>
      <c r="AE398" s="168">
        <f>'66 SYANA PRAROOP-20'!I399</f>
        <v>3</v>
      </c>
      <c r="AF398" s="160"/>
      <c r="AG398" s="160"/>
      <c r="AH398" s="168">
        <f>'66 SYANA PRAROOP-20'!J399</f>
        <v>0</v>
      </c>
      <c r="AI398" s="159">
        <f t="shared" si="20"/>
        <v>542</v>
      </c>
      <c r="AJ398" s="150">
        <f t="shared" si="18"/>
        <v>-1</v>
      </c>
    </row>
    <row r="399" spans="1:36" ht="51">
      <c r="A399" s="151">
        <v>66</v>
      </c>
      <c r="B399" s="155">
        <v>393</v>
      </c>
      <c r="C399" s="156" t="s">
        <v>1027</v>
      </c>
      <c r="D399" s="155">
        <v>981</v>
      </c>
      <c r="E399" s="151">
        <v>309</v>
      </c>
      <c r="F399" s="151">
        <v>270</v>
      </c>
      <c r="G399" s="151">
        <v>0</v>
      </c>
      <c r="H399" s="151">
        <f t="shared" si="19"/>
        <v>579</v>
      </c>
      <c r="I399" s="155">
        <v>51</v>
      </c>
      <c r="J399" s="151">
        <v>0</v>
      </c>
      <c r="K399" s="160"/>
      <c r="L399" s="160"/>
      <c r="M399" s="168">
        <f>'66 SYANA PRAROOP-20'!C400</f>
        <v>73</v>
      </c>
      <c r="N399" s="160"/>
      <c r="O399" s="160"/>
      <c r="P399" s="158">
        <f>'66 SYANA PRAROOP-20'!D400</f>
        <v>357</v>
      </c>
      <c r="Q399" s="160"/>
      <c r="R399" s="160"/>
      <c r="S399" s="158">
        <f>'66 SYANA PRAROOP-20'!E400</f>
        <v>2</v>
      </c>
      <c r="T399" s="160"/>
      <c r="U399" s="160"/>
      <c r="V399" s="159">
        <f>'66 SYANA PRAROOP-20'!F400</f>
        <v>124</v>
      </c>
      <c r="W399" s="160"/>
      <c r="X399" s="160"/>
      <c r="Y399" s="159">
        <f>'66 SYANA PRAROOP-20'!G400</f>
        <v>3</v>
      </c>
      <c r="Z399" s="160"/>
      <c r="AA399" s="160"/>
      <c r="AB399" s="168">
        <f>'66 SYANA PRAROOP-20'!H400</f>
        <v>13</v>
      </c>
      <c r="AC399" s="160"/>
      <c r="AD399" s="160"/>
      <c r="AE399" s="168">
        <f>'66 SYANA PRAROOP-20'!I400</f>
        <v>3</v>
      </c>
      <c r="AF399" s="160"/>
      <c r="AG399" s="160"/>
      <c r="AH399" s="168">
        <f>'66 SYANA PRAROOP-20'!J400</f>
        <v>2</v>
      </c>
      <c r="AI399" s="159">
        <f t="shared" si="20"/>
        <v>577</v>
      </c>
      <c r="AJ399" s="150">
        <f t="shared" si="18"/>
        <v>-2</v>
      </c>
    </row>
    <row r="400" spans="1:36" ht="38.25">
      <c r="A400" s="151">
        <v>66</v>
      </c>
      <c r="B400" s="155">
        <v>394</v>
      </c>
      <c r="C400" s="156" t="s">
        <v>1028</v>
      </c>
      <c r="D400" s="155">
        <v>1122</v>
      </c>
      <c r="E400" s="151">
        <v>316</v>
      </c>
      <c r="F400" s="151">
        <v>307</v>
      </c>
      <c r="G400" s="151">
        <v>0</v>
      </c>
      <c r="H400" s="151">
        <f t="shared" si="19"/>
        <v>623</v>
      </c>
      <c r="I400" s="155">
        <v>58</v>
      </c>
      <c r="J400" s="151">
        <v>0</v>
      </c>
      <c r="K400" s="160"/>
      <c r="L400" s="160"/>
      <c r="M400" s="168">
        <f>'66 SYANA PRAROOP-20'!C401</f>
        <v>65</v>
      </c>
      <c r="N400" s="160"/>
      <c r="O400" s="160"/>
      <c r="P400" s="158">
        <f>'66 SYANA PRAROOP-20'!D401</f>
        <v>520</v>
      </c>
      <c r="Q400" s="160"/>
      <c r="R400" s="160"/>
      <c r="S400" s="158">
        <f>'66 SYANA PRAROOP-20'!E401</f>
        <v>14</v>
      </c>
      <c r="T400" s="160"/>
      <c r="U400" s="160"/>
      <c r="V400" s="159">
        <f>'66 SYANA PRAROOP-20'!F401</f>
        <v>1</v>
      </c>
      <c r="W400" s="160"/>
      <c r="X400" s="160"/>
      <c r="Y400" s="159">
        <f>'66 SYANA PRAROOP-20'!G401</f>
        <v>2</v>
      </c>
      <c r="Z400" s="160"/>
      <c r="AA400" s="160"/>
      <c r="AB400" s="168">
        <f>'66 SYANA PRAROOP-20'!H401</f>
        <v>8</v>
      </c>
      <c r="AC400" s="160"/>
      <c r="AD400" s="160"/>
      <c r="AE400" s="168">
        <f>'66 SYANA PRAROOP-20'!I401</f>
        <v>5</v>
      </c>
      <c r="AF400" s="160"/>
      <c r="AG400" s="160"/>
      <c r="AH400" s="168">
        <f>'66 SYANA PRAROOP-20'!J401</f>
        <v>4</v>
      </c>
      <c r="AI400" s="159">
        <f t="shared" si="20"/>
        <v>619</v>
      </c>
      <c r="AJ400" s="150">
        <f t="shared" si="18"/>
        <v>-4</v>
      </c>
    </row>
    <row r="401" spans="1:36" ht="63.75">
      <c r="A401" s="151">
        <v>66</v>
      </c>
      <c r="B401" s="155">
        <v>395</v>
      </c>
      <c r="C401" s="156" t="s">
        <v>1029</v>
      </c>
      <c r="D401" s="155">
        <v>964</v>
      </c>
      <c r="E401" s="151">
        <v>292</v>
      </c>
      <c r="F401" s="151">
        <v>261</v>
      </c>
      <c r="G401" s="151">
        <v>0</v>
      </c>
      <c r="H401" s="151">
        <f t="shared" si="19"/>
        <v>553</v>
      </c>
      <c r="I401" s="155">
        <v>392</v>
      </c>
      <c r="J401" s="151">
        <v>0</v>
      </c>
      <c r="K401" s="160"/>
      <c r="L401" s="160"/>
      <c r="M401" s="168">
        <f>'66 SYANA PRAROOP-20'!C402</f>
        <v>53</v>
      </c>
      <c r="N401" s="160"/>
      <c r="O401" s="160"/>
      <c r="P401" s="158">
        <f>'66 SYANA PRAROOP-20'!D402</f>
        <v>436</v>
      </c>
      <c r="Q401" s="160"/>
      <c r="R401" s="160"/>
      <c r="S401" s="158">
        <f>'66 SYANA PRAROOP-20'!E402</f>
        <v>11</v>
      </c>
      <c r="T401" s="160"/>
      <c r="U401" s="160"/>
      <c r="V401" s="159">
        <f>'66 SYANA PRAROOP-20'!F402</f>
        <v>40</v>
      </c>
      <c r="W401" s="160"/>
      <c r="X401" s="160"/>
      <c r="Y401" s="159">
        <f>'66 SYANA PRAROOP-20'!G402</f>
        <v>2</v>
      </c>
      <c r="Z401" s="160"/>
      <c r="AA401" s="160"/>
      <c r="AB401" s="168">
        <f>'66 SYANA PRAROOP-20'!H402</f>
        <v>8</v>
      </c>
      <c r="AC401" s="160"/>
      <c r="AD401" s="160"/>
      <c r="AE401" s="168">
        <f>'66 SYANA PRAROOP-20'!I402</f>
        <v>1</v>
      </c>
      <c r="AF401" s="160"/>
      <c r="AG401" s="160"/>
      <c r="AH401" s="168">
        <f>'66 SYANA PRAROOP-20'!J402</f>
        <v>1</v>
      </c>
      <c r="AI401" s="159">
        <f t="shared" si="20"/>
        <v>552</v>
      </c>
      <c r="AJ401" s="150">
        <f t="shared" si="18"/>
        <v>-1</v>
      </c>
    </row>
    <row r="402" spans="1:36" ht="51">
      <c r="A402" s="151">
        <v>66</v>
      </c>
      <c r="B402" s="155">
        <v>396</v>
      </c>
      <c r="C402" s="156" t="s">
        <v>1030</v>
      </c>
      <c r="D402" s="155">
        <v>968</v>
      </c>
      <c r="E402" s="151">
        <v>340</v>
      </c>
      <c r="F402" s="151">
        <v>323</v>
      </c>
      <c r="G402" s="151">
        <v>0</v>
      </c>
      <c r="H402" s="151">
        <f t="shared" si="19"/>
        <v>663</v>
      </c>
      <c r="I402" s="155">
        <v>64</v>
      </c>
      <c r="J402" s="151">
        <v>0</v>
      </c>
      <c r="K402" s="160"/>
      <c r="L402" s="160"/>
      <c r="M402" s="168">
        <f>'66 SYANA PRAROOP-20'!C403</f>
        <v>228</v>
      </c>
      <c r="N402" s="160"/>
      <c r="O402" s="160"/>
      <c r="P402" s="158">
        <f>'66 SYANA PRAROOP-20'!D403</f>
        <v>38</v>
      </c>
      <c r="Q402" s="160"/>
      <c r="R402" s="160"/>
      <c r="S402" s="158">
        <f>'66 SYANA PRAROOP-20'!E403</f>
        <v>5</v>
      </c>
      <c r="T402" s="160"/>
      <c r="U402" s="160"/>
      <c r="V402" s="159">
        <f>'66 SYANA PRAROOP-20'!F403</f>
        <v>375</v>
      </c>
      <c r="W402" s="160"/>
      <c r="X402" s="160"/>
      <c r="Y402" s="159">
        <f>'66 SYANA PRAROOP-20'!G403</f>
        <v>1</v>
      </c>
      <c r="Z402" s="160"/>
      <c r="AA402" s="160"/>
      <c r="AB402" s="168">
        <f>'66 SYANA PRAROOP-20'!H403</f>
        <v>4</v>
      </c>
      <c r="AC402" s="160"/>
      <c r="AD402" s="160"/>
      <c r="AE402" s="168">
        <f>'66 SYANA PRAROOP-20'!I403</f>
        <v>4</v>
      </c>
      <c r="AF402" s="160"/>
      <c r="AG402" s="160"/>
      <c r="AH402" s="168">
        <f>'66 SYANA PRAROOP-20'!J403</f>
        <v>1</v>
      </c>
      <c r="AI402" s="159">
        <f t="shared" si="20"/>
        <v>656</v>
      </c>
      <c r="AJ402" s="150">
        <f t="shared" si="18"/>
        <v>-7</v>
      </c>
    </row>
    <row r="403" spans="1:36" ht="51">
      <c r="A403" s="151">
        <v>66</v>
      </c>
      <c r="B403" s="155">
        <v>397</v>
      </c>
      <c r="C403" s="156" t="s">
        <v>1031</v>
      </c>
      <c r="D403" s="155">
        <v>881</v>
      </c>
      <c r="E403" s="151">
        <v>324</v>
      </c>
      <c r="F403" s="151">
        <v>255</v>
      </c>
      <c r="G403" s="151">
        <v>0</v>
      </c>
      <c r="H403" s="151">
        <f t="shared" si="19"/>
        <v>579</v>
      </c>
      <c r="I403" s="155">
        <v>62</v>
      </c>
      <c r="J403" s="151">
        <v>0</v>
      </c>
      <c r="K403" s="160"/>
      <c r="L403" s="160"/>
      <c r="M403" s="168">
        <f>'66 SYANA PRAROOP-20'!C404</f>
        <v>481</v>
      </c>
      <c r="N403" s="160"/>
      <c r="O403" s="160"/>
      <c r="P403" s="158">
        <f>'66 SYANA PRAROOP-20'!D404</f>
        <v>32</v>
      </c>
      <c r="Q403" s="160"/>
      <c r="R403" s="160"/>
      <c r="S403" s="158">
        <f>'66 SYANA PRAROOP-20'!E404</f>
        <v>3</v>
      </c>
      <c r="T403" s="160"/>
      <c r="U403" s="160"/>
      <c r="V403" s="159">
        <f>'66 SYANA PRAROOP-20'!F404</f>
        <v>58</v>
      </c>
      <c r="W403" s="160"/>
      <c r="X403" s="160"/>
      <c r="Y403" s="159">
        <f>'66 SYANA PRAROOP-20'!G404</f>
        <v>0</v>
      </c>
      <c r="Z403" s="160"/>
      <c r="AA403" s="160"/>
      <c r="AB403" s="168">
        <f>'66 SYANA PRAROOP-20'!H404</f>
        <v>0</v>
      </c>
      <c r="AC403" s="160"/>
      <c r="AD403" s="160"/>
      <c r="AE403" s="168">
        <f>'66 SYANA PRAROOP-20'!I404</f>
        <v>2</v>
      </c>
      <c r="AF403" s="160"/>
      <c r="AG403" s="160"/>
      <c r="AH403" s="168">
        <f>'66 SYANA PRAROOP-20'!J404</f>
        <v>1</v>
      </c>
      <c r="AI403" s="159">
        <f t="shared" si="20"/>
        <v>577</v>
      </c>
      <c r="AJ403" s="150">
        <f t="shared" si="18"/>
        <v>-2</v>
      </c>
    </row>
    <row r="404" spans="1:36" ht="51">
      <c r="A404" s="151">
        <v>66</v>
      </c>
      <c r="B404" s="155">
        <v>398</v>
      </c>
      <c r="C404" s="156" t="s">
        <v>1032</v>
      </c>
      <c r="D404" s="155">
        <v>835</v>
      </c>
      <c r="E404" s="151">
        <v>265</v>
      </c>
      <c r="F404" s="151">
        <v>222</v>
      </c>
      <c r="G404" s="151">
        <v>0</v>
      </c>
      <c r="H404" s="151">
        <f t="shared" si="19"/>
        <v>487</v>
      </c>
      <c r="I404" s="155">
        <v>40</v>
      </c>
      <c r="J404" s="151">
        <v>0</v>
      </c>
      <c r="K404" s="160"/>
      <c r="L404" s="160"/>
      <c r="M404" s="168">
        <f>'66 SYANA PRAROOP-20'!C405</f>
        <v>418</v>
      </c>
      <c r="N404" s="160"/>
      <c r="O404" s="160"/>
      <c r="P404" s="158">
        <f>'66 SYANA PRAROOP-20'!D405</f>
        <v>61</v>
      </c>
      <c r="Q404" s="160"/>
      <c r="R404" s="160"/>
      <c r="S404" s="158">
        <f>'66 SYANA PRAROOP-20'!E405</f>
        <v>2</v>
      </c>
      <c r="T404" s="160"/>
      <c r="U404" s="160"/>
      <c r="V404" s="159">
        <f>'66 SYANA PRAROOP-20'!F405</f>
        <v>5</v>
      </c>
      <c r="W404" s="160"/>
      <c r="X404" s="160"/>
      <c r="Y404" s="159">
        <f>'66 SYANA PRAROOP-20'!G405</f>
        <v>0</v>
      </c>
      <c r="Z404" s="160"/>
      <c r="AA404" s="160"/>
      <c r="AB404" s="168">
        <f>'66 SYANA PRAROOP-20'!H405</f>
        <v>0</v>
      </c>
      <c r="AC404" s="160"/>
      <c r="AD404" s="160"/>
      <c r="AE404" s="168">
        <f>'66 SYANA PRAROOP-20'!I405</f>
        <v>0</v>
      </c>
      <c r="AF404" s="160"/>
      <c r="AG404" s="160"/>
      <c r="AH404" s="168">
        <f>'66 SYANA PRAROOP-20'!J405</f>
        <v>1</v>
      </c>
      <c r="AI404" s="159">
        <f t="shared" si="20"/>
        <v>487</v>
      </c>
      <c r="AJ404" s="150">
        <f t="shared" si="18"/>
        <v>0</v>
      </c>
    </row>
    <row r="405" spans="1:36" ht="38.25">
      <c r="A405" s="151">
        <v>66</v>
      </c>
      <c r="B405" s="155">
        <v>399</v>
      </c>
      <c r="C405" s="156" t="s">
        <v>1033</v>
      </c>
      <c r="D405" s="155">
        <v>834</v>
      </c>
      <c r="E405" s="151">
        <v>259</v>
      </c>
      <c r="F405" s="151">
        <v>241</v>
      </c>
      <c r="G405" s="151">
        <v>0</v>
      </c>
      <c r="H405" s="151">
        <f t="shared" si="19"/>
        <v>500</v>
      </c>
      <c r="I405" s="155">
        <v>35</v>
      </c>
      <c r="J405" s="151">
        <v>0</v>
      </c>
      <c r="K405" s="160"/>
      <c r="L405" s="160"/>
      <c r="M405" s="168">
        <f>'66 SYANA PRAROOP-20'!C406</f>
        <v>8</v>
      </c>
      <c r="N405" s="160"/>
      <c r="O405" s="160"/>
      <c r="P405" s="158">
        <f>'66 SYANA PRAROOP-20'!D406</f>
        <v>306</v>
      </c>
      <c r="Q405" s="160"/>
      <c r="R405" s="160"/>
      <c r="S405" s="158">
        <f>'66 SYANA PRAROOP-20'!E406</f>
        <v>6</v>
      </c>
      <c r="T405" s="160"/>
      <c r="U405" s="160"/>
      <c r="V405" s="159">
        <f>'66 SYANA PRAROOP-20'!F406</f>
        <v>84</v>
      </c>
      <c r="W405" s="160"/>
      <c r="X405" s="160"/>
      <c r="Y405" s="159">
        <f>'66 SYANA PRAROOP-20'!G406</f>
        <v>1</v>
      </c>
      <c r="Z405" s="160"/>
      <c r="AA405" s="160"/>
      <c r="AB405" s="168">
        <f>'66 SYANA PRAROOP-20'!H406</f>
        <v>89</v>
      </c>
      <c r="AC405" s="160"/>
      <c r="AD405" s="160"/>
      <c r="AE405" s="168">
        <f>'66 SYANA PRAROOP-20'!I406</f>
        <v>1</v>
      </c>
      <c r="AF405" s="160"/>
      <c r="AG405" s="160"/>
      <c r="AH405" s="168">
        <f>'66 SYANA PRAROOP-20'!J406</f>
        <v>2</v>
      </c>
      <c r="AI405" s="159">
        <f t="shared" si="20"/>
        <v>497</v>
      </c>
      <c r="AJ405" s="150">
        <f t="shared" si="18"/>
        <v>-3</v>
      </c>
    </row>
    <row r="406" spans="1:36" ht="63.75">
      <c r="A406" s="151">
        <v>66</v>
      </c>
      <c r="B406" s="155">
        <v>400</v>
      </c>
      <c r="C406" s="156" t="s">
        <v>1034</v>
      </c>
      <c r="D406" s="155">
        <v>783</v>
      </c>
      <c r="E406" s="151">
        <v>255</v>
      </c>
      <c r="F406" s="151">
        <v>253</v>
      </c>
      <c r="G406" s="151">
        <v>0</v>
      </c>
      <c r="H406" s="151">
        <f t="shared" si="19"/>
        <v>508</v>
      </c>
      <c r="I406" s="155">
        <v>30</v>
      </c>
      <c r="J406" s="151">
        <v>0</v>
      </c>
      <c r="K406" s="160"/>
      <c r="L406" s="160"/>
      <c r="M406" s="168">
        <f>'66 SYANA PRAROOP-20'!C407</f>
        <v>27</v>
      </c>
      <c r="N406" s="160"/>
      <c r="O406" s="160"/>
      <c r="P406" s="158">
        <f>'66 SYANA PRAROOP-20'!D407</f>
        <v>240</v>
      </c>
      <c r="Q406" s="160"/>
      <c r="R406" s="160"/>
      <c r="S406" s="158">
        <f>'66 SYANA PRAROOP-20'!E407</f>
        <v>15</v>
      </c>
      <c r="T406" s="160"/>
      <c r="U406" s="160"/>
      <c r="V406" s="159">
        <f>'66 SYANA PRAROOP-20'!F407</f>
        <v>203</v>
      </c>
      <c r="W406" s="160"/>
      <c r="X406" s="160"/>
      <c r="Y406" s="159">
        <f>'66 SYANA PRAROOP-20'!G407</f>
        <v>5</v>
      </c>
      <c r="Z406" s="160"/>
      <c r="AA406" s="160"/>
      <c r="AB406" s="168">
        <f>'66 SYANA PRAROOP-20'!H407</f>
        <v>7</v>
      </c>
      <c r="AC406" s="160"/>
      <c r="AD406" s="160"/>
      <c r="AE406" s="168">
        <f>'66 SYANA PRAROOP-20'!I407</f>
        <v>4</v>
      </c>
      <c r="AF406" s="160"/>
      <c r="AG406" s="160"/>
      <c r="AH406" s="168">
        <f>'66 SYANA PRAROOP-20'!J407</f>
        <v>2</v>
      </c>
      <c r="AI406" s="159">
        <f t="shared" si="20"/>
        <v>503</v>
      </c>
      <c r="AJ406" s="150">
        <f t="shared" si="18"/>
        <v>-5</v>
      </c>
    </row>
    <row r="407" spans="1:36" ht="63.75">
      <c r="A407" s="151">
        <v>66</v>
      </c>
      <c r="B407" s="155">
        <v>401</v>
      </c>
      <c r="C407" s="156" t="s">
        <v>1035</v>
      </c>
      <c r="D407" s="155">
        <v>822</v>
      </c>
      <c r="E407" s="151">
        <v>369</v>
      </c>
      <c r="F407" s="151">
        <v>298</v>
      </c>
      <c r="G407" s="151">
        <v>0</v>
      </c>
      <c r="H407" s="151">
        <f t="shared" si="19"/>
        <v>667</v>
      </c>
      <c r="I407" s="155">
        <v>269</v>
      </c>
      <c r="J407" s="151">
        <v>0</v>
      </c>
      <c r="K407" s="160"/>
      <c r="L407" s="160"/>
      <c r="M407" s="168">
        <f>'66 SYANA PRAROOP-20'!C408</f>
        <v>27</v>
      </c>
      <c r="N407" s="160"/>
      <c r="O407" s="160"/>
      <c r="P407" s="158">
        <f>'66 SYANA PRAROOP-20'!D408</f>
        <v>566</v>
      </c>
      <c r="Q407" s="160"/>
      <c r="R407" s="160"/>
      <c r="S407" s="158">
        <f>'66 SYANA PRAROOP-20'!E408</f>
        <v>17</v>
      </c>
      <c r="T407" s="160"/>
      <c r="U407" s="160"/>
      <c r="V407" s="159">
        <f>'66 SYANA PRAROOP-20'!F408</f>
        <v>21</v>
      </c>
      <c r="W407" s="160"/>
      <c r="X407" s="160"/>
      <c r="Y407" s="159">
        <f>'66 SYANA PRAROOP-20'!G408</f>
        <v>2</v>
      </c>
      <c r="Z407" s="160"/>
      <c r="AA407" s="160"/>
      <c r="AB407" s="168">
        <f>'66 SYANA PRAROOP-20'!H408</f>
        <v>6</v>
      </c>
      <c r="AC407" s="160"/>
      <c r="AD407" s="160"/>
      <c r="AE407" s="168">
        <f>'66 SYANA PRAROOP-20'!I408</f>
        <v>12</v>
      </c>
      <c r="AF407" s="160"/>
      <c r="AG407" s="160"/>
      <c r="AH407" s="168">
        <f>'66 SYANA PRAROOP-20'!J408</f>
        <v>7</v>
      </c>
      <c r="AI407" s="159">
        <f t="shared" si="20"/>
        <v>658</v>
      </c>
      <c r="AJ407" s="150">
        <f t="shared" si="18"/>
        <v>-9</v>
      </c>
    </row>
    <row r="408" spans="1:36" ht="63.75">
      <c r="A408" s="151">
        <v>66</v>
      </c>
      <c r="B408" s="155">
        <v>402</v>
      </c>
      <c r="C408" s="156" t="s">
        <v>1036</v>
      </c>
      <c r="D408" s="155">
        <v>816</v>
      </c>
      <c r="E408" s="151">
        <v>292</v>
      </c>
      <c r="F408" s="151">
        <v>271</v>
      </c>
      <c r="G408" s="151">
        <v>0</v>
      </c>
      <c r="H408" s="151">
        <f t="shared" si="19"/>
        <v>563</v>
      </c>
      <c r="I408" s="155">
        <v>398</v>
      </c>
      <c r="J408" s="151">
        <v>0</v>
      </c>
      <c r="K408" s="160"/>
      <c r="L408" s="160"/>
      <c r="M408" s="168">
        <f>'66 SYANA PRAROOP-20'!C409</f>
        <v>38</v>
      </c>
      <c r="N408" s="160"/>
      <c r="O408" s="160"/>
      <c r="P408" s="158">
        <f>'66 SYANA PRAROOP-20'!D409</f>
        <v>467</v>
      </c>
      <c r="Q408" s="160"/>
      <c r="R408" s="160"/>
      <c r="S408" s="158">
        <f>'66 SYANA PRAROOP-20'!E409</f>
        <v>34</v>
      </c>
      <c r="T408" s="160"/>
      <c r="U408" s="160"/>
      <c r="V408" s="159">
        <f>'66 SYANA PRAROOP-20'!F409</f>
        <v>4</v>
      </c>
      <c r="W408" s="160"/>
      <c r="X408" s="160"/>
      <c r="Y408" s="159">
        <f>'66 SYANA PRAROOP-20'!G409</f>
        <v>2</v>
      </c>
      <c r="Z408" s="160"/>
      <c r="AA408" s="160"/>
      <c r="AB408" s="168">
        <f>'66 SYANA PRAROOP-20'!H409</f>
        <v>3</v>
      </c>
      <c r="AC408" s="160"/>
      <c r="AD408" s="160"/>
      <c r="AE408" s="168">
        <f>'66 SYANA PRAROOP-20'!I409</f>
        <v>4</v>
      </c>
      <c r="AF408" s="160"/>
      <c r="AG408" s="160"/>
      <c r="AH408" s="168">
        <f>'66 SYANA PRAROOP-20'!J409</f>
        <v>4</v>
      </c>
      <c r="AI408" s="159">
        <f t="shared" si="20"/>
        <v>556</v>
      </c>
      <c r="AJ408" s="150">
        <f t="shared" si="18"/>
        <v>-7</v>
      </c>
    </row>
    <row r="409" spans="1:36" ht="51">
      <c r="A409" s="151">
        <v>66</v>
      </c>
      <c r="B409" s="155">
        <v>403</v>
      </c>
      <c r="C409" s="156" t="s">
        <v>1037</v>
      </c>
      <c r="D409" s="155">
        <v>898</v>
      </c>
      <c r="E409" s="151">
        <v>227</v>
      </c>
      <c r="F409" s="151">
        <v>150</v>
      </c>
      <c r="G409" s="151"/>
      <c r="H409" s="151">
        <f t="shared" si="19"/>
        <v>377</v>
      </c>
      <c r="I409" s="155">
        <v>328</v>
      </c>
      <c r="J409" s="151">
        <v>0</v>
      </c>
      <c r="K409" s="160"/>
      <c r="L409" s="160"/>
      <c r="M409" s="168">
        <f>'66 SYANA PRAROOP-20'!C410</f>
        <v>118</v>
      </c>
      <c r="N409" s="160"/>
      <c r="O409" s="160"/>
      <c r="P409" s="158">
        <f>'66 SYANA PRAROOP-20'!D410</f>
        <v>236</v>
      </c>
      <c r="Q409" s="160"/>
      <c r="R409" s="160"/>
      <c r="S409" s="158">
        <f>'66 SYANA PRAROOP-20'!E410</f>
        <v>11</v>
      </c>
      <c r="T409" s="160"/>
      <c r="U409" s="160"/>
      <c r="V409" s="159">
        <f>'66 SYANA PRAROOP-20'!F410</f>
        <v>7</v>
      </c>
      <c r="W409" s="160"/>
      <c r="X409" s="160"/>
      <c r="Y409" s="159">
        <f>'66 SYANA PRAROOP-20'!G410</f>
        <v>0</v>
      </c>
      <c r="Z409" s="160"/>
      <c r="AA409" s="160"/>
      <c r="AB409" s="168">
        <f>'66 SYANA PRAROOP-20'!H410</f>
        <v>1</v>
      </c>
      <c r="AC409" s="160"/>
      <c r="AD409" s="160"/>
      <c r="AE409" s="168">
        <f>'66 SYANA PRAROOP-20'!I410</f>
        <v>2</v>
      </c>
      <c r="AF409" s="160"/>
      <c r="AG409" s="160"/>
      <c r="AH409" s="168">
        <f>'66 SYANA PRAROOP-20'!J410</f>
        <v>0</v>
      </c>
      <c r="AI409" s="159">
        <f t="shared" si="20"/>
        <v>375</v>
      </c>
      <c r="AJ409" s="150">
        <f t="shared" si="18"/>
        <v>-2</v>
      </c>
    </row>
    <row r="410" spans="1:36" ht="51">
      <c r="A410" s="151">
        <v>66</v>
      </c>
      <c r="B410" s="155">
        <v>404</v>
      </c>
      <c r="C410" s="156" t="s">
        <v>1038</v>
      </c>
      <c r="D410" s="155">
        <v>883</v>
      </c>
      <c r="E410" s="151">
        <v>253</v>
      </c>
      <c r="F410" s="151">
        <v>221</v>
      </c>
      <c r="G410" s="151">
        <v>0</v>
      </c>
      <c r="H410" s="151">
        <f t="shared" si="19"/>
        <v>474</v>
      </c>
      <c r="I410" s="155">
        <v>253</v>
      </c>
      <c r="J410" s="151">
        <v>0</v>
      </c>
      <c r="K410" s="160"/>
      <c r="L410" s="160"/>
      <c r="M410" s="168">
        <f>'66 SYANA PRAROOP-20'!C411</f>
        <v>102</v>
      </c>
      <c r="N410" s="160"/>
      <c r="O410" s="160"/>
      <c r="P410" s="158">
        <f>'66 SYANA PRAROOP-20'!D411</f>
        <v>291</v>
      </c>
      <c r="Q410" s="160"/>
      <c r="R410" s="160"/>
      <c r="S410" s="158">
        <f>'66 SYANA PRAROOP-20'!E411</f>
        <v>4</v>
      </c>
      <c r="T410" s="160"/>
      <c r="U410" s="160"/>
      <c r="V410" s="159">
        <f>'66 SYANA PRAROOP-20'!F411</f>
        <v>64</v>
      </c>
      <c r="W410" s="160"/>
      <c r="X410" s="160"/>
      <c r="Y410" s="159">
        <f>'66 SYANA PRAROOP-20'!G411</f>
        <v>4</v>
      </c>
      <c r="Z410" s="160"/>
      <c r="AA410" s="160"/>
      <c r="AB410" s="168">
        <f>'66 SYANA PRAROOP-20'!H411</f>
        <v>3</v>
      </c>
      <c r="AC410" s="160"/>
      <c r="AD410" s="160"/>
      <c r="AE410" s="168">
        <f>'66 SYANA PRAROOP-20'!I411</f>
        <v>0</v>
      </c>
      <c r="AF410" s="160"/>
      <c r="AG410" s="160"/>
      <c r="AH410" s="168">
        <f>'66 SYANA PRAROOP-20'!J411</f>
        <v>4</v>
      </c>
      <c r="AI410" s="159">
        <f t="shared" si="20"/>
        <v>472</v>
      </c>
      <c r="AJ410" s="150">
        <f t="shared" si="18"/>
        <v>-2</v>
      </c>
    </row>
    <row r="411" spans="1:36" ht="51">
      <c r="A411" s="151">
        <v>66</v>
      </c>
      <c r="B411" s="155">
        <v>405</v>
      </c>
      <c r="C411" s="156" t="s">
        <v>1039</v>
      </c>
      <c r="D411" s="155">
        <v>923</v>
      </c>
      <c r="E411" s="151">
        <v>245</v>
      </c>
      <c r="F411" s="151">
        <v>184</v>
      </c>
      <c r="G411" s="151"/>
      <c r="H411" s="151">
        <f t="shared" si="19"/>
        <v>429</v>
      </c>
      <c r="I411" s="155">
        <v>44</v>
      </c>
      <c r="J411" s="151">
        <v>0</v>
      </c>
      <c r="K411" s="160"/>
      <c r="L411" s="160"/>
      <c r="M411" s="168">
        <f>'66 SYANA PRAROOP-20'!C412</f>
        <v>105</v>
      </c>
      <c r="N411" s="160"/>
      <c r="O411" s="160"/>
      <c r="P411" s="158">
        <f>'66 SYANA PRAROOP-20'!D412</f>
        <v>273</v>
      </c>
      <c r="Q411" s="160"/>
      <c r="R411" s="160"/>
      <c r="S411" s="158">
        <f>'66 SYANA PRAROOP-20'!E412</f>
        <v>17</v>
      </c>
      <c r="T411" s="160"/>
      <c r="U411" s="160"/>
      <c r="V411" s="159">
        <f>'66 SYANA PRAROOP-20'!F412</f>
        <v>21</v>
      </c>
      <c r="W411" s="160"/>
      <c r="X411" s="160"/>
      <c r="Y411" s="159">
        <f>'66 SYANA PRAROOP-20'!G412</f>
        <v>0</v>
      </c>
      <c r="Z411" s="160"/>
      <c r="AA411" s="160"/>
      <c r="AB411" s="168">
        <f>'66 SYANA PRAROOP-20'!H412</f>
        <v>3</v>
      </c>
      <c r="AC411" s="160"/>
      <c r="AD411" s="160"/>
      <c r="AE411" s="168">
        <f>'66 SYANA PRAROOP-20'!I412</f>
        <v>0</v>
      </c>
      <c r="AF411" s="160"/>
      <c r="AG411" s="160"/>
      <c r="AH411" s="168">
        <f>'66 SYANA PRAROOP-20'!J412</f>
        <v>5</v>
      </c>
      <c r="AI411" s="159">
        <f t="shared" si="20"/>
        <v>424</v>
      </c>
      <c r="AJ411" s="150">
        <f t="shared" si="18"/>
        <v>-5</v>
      </c>
    </row>
    <row r="412" spans="1:36" ht="76.5">
      <c r="A412" s="151">
        <v>66</v>
      </c>
      <c r="B412" s="155">
        <v>406</v>
      </c>
      <c r="C412" s="156" t="s">
        <v>1147</v>
      </c>
      <c r="D412" s="155">
        <v>815</v>
      </c>
      <c r="E412" s="151">
        <v>265</v>
      </c>
      <c r="F412" s="151">
        <v>241</v>
      </c>
      <c r="G412" s="151">
        <v>0</v>
      </c>
      <c r="H412" s="151">
        <f t="shared" si="19"/>
        <v>506</v>
      </c>
      <c r="I412" s="155">
        <v>43</v>
      </c>
      <c r="J412" s="151">
        <v>0</v>
      </c>
      <c r="K412" s="160"/>
      <c r="L412" s="160"/>
      <c r="M412" s="168">
        <f>'66 SYANA PRAROOP-20'!C413</f>
        <v>172</v>
      </c>
      <c r="N412" s="160"/>
      <c r="O412" s="160"/>
      <c r="P412" s="158">
        <f>'66 SYANA PRAROOP-20'!D413</f>
        <v>227</v>
      </c>
      <c r="Q412" s="160"/>
      <c r="R412" s="160"/>
      <c r="S412" s="158">
        <f>'66 SYANA PRAROOP-20'!E413</f>
        <v>6</v>
      </c>
      <c r="T412" s="160"/>
      <c r="U412" s="160"/>
      <c r="V412" s="159">
        <f>'66 SYANA PRAROOP-20'!F413</f>
        <v>88</v>
      </c>
      <c r="W412" s="160"/>
      <c r="X412" s="160"/>
      <c r="Y412" s="159">
        <f>'66 SYANA PRAROOP-20'!G413</f>
        <v>1</v>
      </c>
      <c r="Z412" s="160"/>
      <c r="AA412" s="160"/>
      <c r="AB412" s="168">
        <f>'66 SYANA PRAROOP-20'!H413</f>
        <v>6</v>
      </c>
      <c r="AC412" s="160"/>
      <c r="AD412" s="160"/>
      <c r="AE412" s="168">
        <f>'66 SYANA PRAROOP-20'!I413</f>
        <v>3</v>
      </c>
      <c r="AF412" s="160"/>
      <c r="AG412" s="160"/>
      <c r="AH412" s="168">
        <f>'66 SYANA PRAROOP-20'!J413</f>
        <v>0</v>
      </c>
      <c r="AI412" s="159">
        <f t="shared" si="20"/>
        <v>503</v>
      </c>
      <c r="AJ412" s="150">
        <f t="shared" si="18"/>
        <v>-3</v>
      </c>
    </row>
    <row r="413" spans="1:36" ht="76.5">
      <c r="A413" s="151">
        <v>66</v>
      </c>
      <c r="B413" s="155">
        <v>407</v>
      </c>
      <c r="C413" s="156" t="s">
        <v>1148</v>
      </c>
      <c r="D413" s="155">
        <v>809</v>
      </c>
      <c r="E413" s="151">
        <v>263</v>
      </c>
      <c r="F413" s="151">
        <v>273</v>
      </c>
      <c r="G413" s="151"/>
      <c r="H413" s="151">
        <f t="shared" si="19"/>
        <v>536</v>
      </c>
      <c r="I413" s="155">
        <v>62</v>
      </c>
      <c r="J413" s="151">
        <v>0</v>
      </c>
      <c r="K413" s="160"/>
      <c r="L413" s="160"/>
      <c r="M413" s="168">
        <f>'66 SYANA PRAROOP-20'!C414</f>
        <v>55</v>
      </c>
      <c r="N413" s="160"/>
      <c r="O413" s="160"/>
      <c r="P413" s="158">
        <f>'66 SYANA PRAROOP-20'!D414</f>
        <v>460</v>
      </c>
      <c r="Q413" s="160"/>
      <c r="R413" s="160"/>
      <c r="S413" s="158">
        <f>'66 SYANA PRAROOP-20'!E414</f>
        <v>3</v>
      </c>
      <c r="T413" s="160"/>
      <c r="U413" s="160"/>
      <c r="V413" s="159">
        <f>'66 SYANA PRAROOP-20'!F414</f>
        <v>3</v>
      </c>
      <c r="W413" s="160"/>
      <c r="X413" s="160"/>
      <c r="Y413" s="159">
        <f>'66 SYANA PRAROOP-20'!G414</f>
        <v>0</v>
      </c>
      <c r="Z413" s="160"/>
      <c r="AA413" s="160"/>
      <c r="AB413" s="168">
        <f>'66 SYANA PRAROOP-20'!H414</f>
        <v>4</v>
      </c>
      <c r="AC413" s="160"/>
      <c r="AD413" s="160"/>
      <c r="AE413" s="168">
        <f>'66 SYANA PRAROOP-20'!I414</f>
        <v>3</v>
      </c>
      <c r="AF413" s="160"/>
      <c r="AG413" s="160"/>
      <c r="AH413" s="168">
        <f>'66 SYANA PRAROOP-20'!J414</f>
        <v>1</v>
      </c>
      <c r="AI413" s="159">
        <f t="shared" si="20"/>
        <v>529</v>
      </c>
      <c r="AJ413" s="150">
        <f t="shared" si="18"/>
        <v>-7</v>
      </c>
    </row>
    <row r="414" spans="1:36" ht="76.5">
      <c r="A414" s="151">
        <v>66</v>
      </c>
      <c r="B414" s="155">
        <v>408</v>
      </c>
      <c r="C414" s="156" t="s">
        <v>1149</v>
      </c>
      <c r="D414" s="155">
        <v>693</v>
      </c>
      <c r="E414" s="151">
        <v>184</v>
      </c>
      <c r="F414" s="151">
        <v>159</v>
      </c>
      <c r="G414" s="151">
        <v>0</v>
      </c>
      <c r="H414" s="151">
        <f t="shared" si="19"/>
        <v>343</v>
      </c>
      <c r="I414" s="155">
        <v>57</v>
      </c>
      <c r="J414" s="151">
        <v>0</v>
      </c>
      <c r="K414" s="160"/>
      <c r="L414" s="160"/>
      <c r="M414" s="168">
        <f>'66 SYANA PRAROOP-20'!C415</f>
        <v>112</v>
      </c>
      <c r="N414" s="160"/>
      <c r="O414" s="160"/>
      <c r="P414" s="158">
        <f>'66 SYANA PRAROOP-20'!D415</f>
        <v>203</v>
      </c>
      <c r="Q414" s="160"/>
      <c r="R414" s="160"/>
      <c r="S414" s="158">
        <f>'66 SYANA PRAROOP-20'!E415</f>
        <v>4</v>
      </c>
      <c r="T414" s="160"/>
      <c r="U414" s="160"/>
      <c r="V414" s="159">
        <f>'66 SYANA PRAROOP-20'!F415</f>
        <v>10</v>
      </c>
      <c r="W414" s="160"/>
      <c r="X414" s="160"/>
      <c r="Y414" s="159">
        <f>'66 SYANA PRAROOP-20'!G415</f>
        <v>1</v>
      </c>
      <c r="Z414" s="160"/>
      <c r="AA414" s="160"/>
      <c r="AB414" s="168">
        <f>'66 SYANA PRAROOP-20'!H415</f>
        <v>5</v>
      </c>
      <c r="AC414" s="160"/>
      <c r="AD414" s="160"/>
      <c r="AE414" s="168">
        <f>'66 SYANA PRAROOP-20'!I415</f>
        <v>3</v>
      </c>
      <c r="AF414" s="160"/>
      <c r="AG414" s="160"/>
      <c r="AH414" s="168">
        <f>'66 SYANA PRAROOP-20'!J415</f>
        <v>1</v>
      </c>
      <c r="AI414" s="159">
        <f t="shared" si="20"/>
        <v>339</v>
      </c>
      <c r="AJ414" s="150">
        <f t="shared" si="18"/>
        <v>-4</v>
      </c>
    </row>
    <row r="415" spans="1:36" ht="76.5">
      <c r="A415" s="151">
        <v>66</v>
      </c>
      <c r="B415" s="155">
        <v>409</v>
      </c>
      <c r="C415" s="156" t="s">
        <v>1040</v>
      </c>
      <c r="D415" s="155">
        <v>740</v>
      </c>
      <c r="E415" s="151">
        <v>266</v>
      </c>
      <c r="F415" s="151">
        <v>256</v>
      </c>
      <c r="G415" s="151">
        <v>0</v>
      </c>
      <c r="H415" s="151">
        <f t="shared" si="19"/>
        <v>522</v>
      </c>
      <c r="I415" s="155">
        <v>422</v>
      </c>
      <c r="J415" s="151">
        <v>0</v>
      </c>
      <c r="K415" s="160"/>
      <c r="L415" s="160"/>
      <c r="M415" s="168">
        <f>'66 SYANA PRAROOP-20'!C416</f>
        <v>47</v>
      </c>
      <c r="N415" s="160"/>
      <c r="O415" s="160"/>
      <c r="P415" s="158">
        <f>'66 SYANA PRAROOP-20'!D416</f>
        <v>451</v>
      </c>
      <c r="Q415" s="160"/>
      <c r="R415" s="160"/>
      <c r="S415" s="158">
        <f>'66 SYANA PRAROOP-20'!E416</f>
        <v>5</v>
      </c>
      <c r="T415" s="160"/>
      <c r="U415" s="160"/>
      <c r="V415" s="159">
        <f>'66 SYANA PRAROOP-20'!F416</f>
        <v>3</v>
      </c>
      <c r="W415" s="160"/>
      <c r="X415" s="160"/>
      <c r="Y415" s="159">
        <f>'66 SYANA PRAROOP-20'!G416</f>
        <v>3</v>
      </c>
      <c r="Z415" s="160"/>
      <c r="AA415" s="160"/>
      <c r="AB415" s="168">
        <f>'66 SYANA PRAROOP-20'!H416</f>
        <v>5</v>
      </c>
      <c r="AC415" s="160"/>
      <c r="AD415" s="160"/>
      <c r="AE415" s="168">
        <f>'66 SYANA PRAROOP-20'!I416</f>
        <v>0</v>
      </c>
      <c r="AF415" s="160"/>
      <c r="AG415" s="160"/>
      <c r="AH415" s="168">
        <f>'66 SYANA PRAROOP-20'!J416</f>
        <v>1</v>
      </c>
      <c r="AI415" s="159">
        <f t="shared" si="20"/>
        <v>515</v>
      </c>
      <c r="AJ415" s="150">
        <f t="shared" si="18"/>
        <v>-7</v>
      </c>
    </row>
    <row r="416" spans="1:36" ht="76.5">
      <c r="A416" s="151">
        <v>66</v>
      </c>
      <c r="B416" s="155">
        <v>410</v>
      </c>
      <c r="C416" s="156" t="s">
        <v>1041</v>
      </c>
      <c r="D416" s="155">
        <v>996</v>
      </c>
      <c r="E416" s="151">
        <v>284</v>
      </c>
      <c r="F416" s="151">
        <v>274</v>
      </c>
      <c r="G416" s="151">
        <v>0</v>
      </c>
      <c r="H416" s="151">
        <f t="shared" si="19"/>
        <v>558</v>
      </c>
      <c r="I416" s="155">
        <v>69</v>
      </c>
      <c r="J416" s="151">
        <v>0</v>
      </c>
      <c r="K416" s="160"/>
      <c r="L416" s="160"/>
      <c r="M416" s="168">
        <f>'66 SYANA PRAROOP-20'!C417</f>
        <v>416</v>
      </c>
      <c r="N416" s="160"/>
      <c r="O416" s="160"/>
      <c r="P416" s="158">
        <f>'66 SYANA PRAROOP-20'!D417</f>
        <v>125</v>
      </c>
      <c r="Q416" s="160"/>
      <c r="R416" s="160"/>
      <c r="S416" s="158">
        <f>'66 SYANA PRAROOP-20'!E417</f>
        <v>2</v>
      </c>
      <c r="T416" s="160"/>
      <c r="U416" s="160"/>
      <c r="V416" s="159">
        <f>'66 SYANA PRAROOP-20'!F417</f>
        <v>9</v>
      </c>
      <c r="W416" s="160"/>
      <c r="X416" s="160"/>
      <c r="Y416" s="159">
        <f>'66 SYANA PRAROOP-20'!G417</f>
        <v>0</v>
      </c>
      <c r="Z416" s="160"/>
      <c r="AA416" s="160"/>
      <c r="AB416" s="168">
        <f>'66 SYANA PRAROOP-20'!H417</f>
        <v>1</v>
      </c>
      <c r="AC416" s="160"/>
      <c r="AD416" s="160"/>
      <c r="AE416" s="168">
        <f>'66 SYANA PRAROOP-20'!I417</f>
        <v>1</v>
      </c>
      <c r="AF416" s="160"/>
      <c r="AG416" s="160"/>
      <c r="AH416" s="168">
        <f>'66 SYANA PRAROOP-20'!J417</f>
        <v>1</v>
      </c>
      <c r="AI416" s="159">
        <f t="shared" si="20"/>
        <v>555</v>
      </c>
      <c r="AJ416" s="150">
        <f t="shared" si="18"/>
        <v>-3</v>
      </c>
    </row>
    <row r="417" spans="1:36" ht="76.5">
      <c r="A417" s="151">
        <v>66</v>
      </c>
      <c r="B417" s="155">
        <v>411</v>
      </c>
      <c r="C417" s="156" t="s">
        <v>1042</v>
      </c>
      <c r="D417" s="155">
        <v>958</v>
      </c>
      <c r="E417" s="151">
        <v>268</v>
      </c>
      <c r="F417" s="151">
        <v>295</v>
      </c>
      <c r="G417" s="151">
        <v>0</v>
      </c>
      <c r="H417" s="151">
        <f t="shared" si="19"/>
        <v>563</v>
      </c>
      <c r="I417" s="155">
        <v>94</v>
      </c>
      <c r="J417" s="151">
        <v>0</v>
      </c>
      <c r="K417" s="160"/>
      <c r="L417" s="160"/>
      <c r="M417" s="168">
        <f>'66 SYANA PRAROOP-20'!C418</f>
        <v>425</v>
      </c>
      <c r="N417" s="160"/>
      <c r="O417" s="160"/>
      <c r="P417" s="158">
        <f>'66 SYANA PRAROOP-20'!D418</f>
        <v>59</v>
      </c>
      <c r="Q417" s="160"/>
      <c r="R417" s="160"/>
      <c r="S417" s="158">
        <f>'66 SYANA PRAROOP-20'!E418</f>
        <v>8</v>
      </c>
      <c r="T417" s="160"/>
      <c r="U417" s="160"/>
      <c r="V417" s="159">
        <f>'66 SYANA PRAROOP-20'!F418</f>
        <v>58</v>
      </c>
      <c r="W417" s="160"/>
      <c r="X417" s="160"/>
      <c r="Y417" s="159">
        <f>'66 SYANA PRAROOP-20'!G418</f>
        <v>0</v>
      </c>
      <c r="Z417" s="160"/>
      <c r="AA417" s="160"/>
      <c r="AB417" s="168">
        <f>'66 SYANA PRAROOP-20'!H418</f>
        <v>2</v>
      </c>
      <c r="AC417" s="160"/>
      <c r="AD417" s="160"/>
      <c r="AE417" s="168">
        <f>'66 SYANA PRAROOP-20'!I418</f>
        <v>2</v>
      </c>
      <c r="AF417" s="160"/>
      <c r="AG417" s="160"/>
      <c r="AH417" s="168">
        <f>'66 SYANA PRAROOP-20'!J418</f>
        <v>3</v>
      </c>
      <c r="AI417" s="159">
        <f t="shared" si="20"/>
        <v>557</v>
      </c>
      <c r="AJ417" s="150">
        <f t="shared" si="18"/>
        <v>-6</v>
      </c>
    </row>
    <row r="418" spans="1:36" ht="76.5">
      <c r="A418" s="151">
        <v>66</v>
      </c>
      <c r="B418" s="155">
        <v>412</v>
      </c>
      <c r="C418" s="156" t="s">
        <v>1043</v>
      </c>
      <c r="D418" s="155">
        <v>1024</v>
      </c>
      <c r="E418" s="151">
        <v>285</v>
      </c>
      <c r="F418" s="151">
        <v>301</v>
      </c>
      <c r="G418" s="151">
        <v>0</v>
      </c>
      <c r="H418" s="151">
        <f t="shared" si="19"/>
        <v>586</v>
      </c>
      <c r="I418" s="155">
        <v>124</v>
      </c>
      <c r="J418" s="151">
        <v>0</v>
      </c>
      <c r="K418" s="160"/>
      <c r="L418" s="160"/>
      <c r="M418" s="168">
        <f>'66 SYANA PRAROOP-20'!C419</f>
        <v>438</v>
      </c>
      <c r="N418" s="160"/>
      <c r="O418" s="160"/>
      <c r="P418" s="158">
        <f>'66 SYANA PRAROOP-20'!D419</f>
        <v>76</v>
      </c>
      <c r="Q418" s="160"/>
      <c r="R418" s="160"/>
      <c r="S418" s="158">
        <f>'66 SYANA PRAROOP-20'!E419</f>
        <v>2</v>
      </c>
      <c r="T418" s="160"/>
      <c r="U418" s="160"/>
      <c r="V418" s="159">
        <f>'66 SYANA PRAROOP-20'!F419</f>
        <v>61</v>
      </c>
      <c r="W418" s="160"/>
      <c r="X418" s="160"/>
      <c r="Y418" s="159">
        <f>'66 SYANA PRAROOP-20'!G419</f>
        <v>2</v>
      </c>
      <c r="Z418" s="160"/>
      <c r="AA418" s="160"/>
      <c r="AB418" s="168">
        <f>'66 SYANA PRAROOP-20'!H419</f>
        <v>2</v>
      </c>
      <c r="AC418" s="160"/>
      <c r="AD418" s="160"/>
      <c r="AE418" s="168">
        <f>'66 SYANA PRAROOP-20'!I419</f>
        <v>3</v>
      </c>
      <c r="AF418" s="160"/>
      <c r="AG418" s="160"/>
      <c r="AH418" s="168">
        <f>'66 SYANA PRAROOP-20'!J419</f>
        <v>1</v>
      </c>
      <c r="AI418" s="159">
        <f t="shared" si="20"/>
        <v>585</v>
      </c>
      <c r="AJ418" s="150">
        <f t="shared" si="18"/>
        <v>-1</v>
      </c>
    </row>
    <row r="419" spans="1:36" ht="76.5">
      <c r="A419" s="151">
        <v>66</v>
      </c>
      <c r="B419" s="155">
        <v>413</v>
      </c>
      <c r="C419" s="156" t="s">
        <v>1150</v>
      </c>
      <c r="D419" s="155">
        <v>741</v>
      </c>
      <c r="E419" s="151">
        <v>237</v>
      </c>
      <c r="F419" s="151">
        <v>248</v>
      </c>
      <c r="G419" s="151">
        <v>0</v>
      </c>
      <c r="H419" s="151">
        <f t="shared" si="19"/>
        <v>485</v>
      </c>
      <c r="I419" s="155">
        <v>21</v>
      </c>
      <c r="J419" s="151">
        <v>0</v>
      </c>
      <c r="K419" s="160"/>
      <c r="L419" s="160"/>
      <c r="M419" s="168">
        <f>'66 SYANA PRAROOP-20'!C420</f>
        <v>95</v>
      </c>
      <c r="N419" s="160"/>
      <c r="O419" s="160"/>
      <c r="P419" s="158">
        <f>'66 SYANA PRAROOP-20'!D420</f>
        <v>159</v>
      </c>
      <c r="Q419" s="160"/>
      <c r="R419" s="160"/>
      <c r="S419" s="158">
        <f>'66 SYANA PRAROOP-20'!E420</f>
        <v>5</v>
      </c>
      <c r="T419" s="160"/>
      <c r="U419" s="160"/>
      <c r="V419" s="159">
        <f>'66 SYANA PRAROOP-20'!F420</f>
        <v>212</v>
      </c>
      <c r="W419" s="160"/>
      <c r="X419" s="160"/>
      <c r="Y419" s="159">
        <f>'66 SYANA PRAROOP-20'!G420</f>
        <v>4</v>
      </c>
      <c r="Z419" s="160"/>
      <c r="AA419" s="160"/>
      <c r="AB419" s="168">
        <f>'66 SYANA PRAROOP-20'!H420</f>
        <v>1</v>
      </c>
      <c r="AC419" s="160"/>
      <c r="AD419" s="160"/>
      <c r="AE419" s="168">
        <f>'66 SYANA PRAROOP-20'!I420</f>
        <v>4</v>
      </c>
      <c r="AF419" s="160"/>
      <c r="AG419" s="160"/>
      <c r="AH419" s="168">
        <f>'66 SYANA PRAROOP-20'!J420</f>
        <v>4</v>
      </c>
      <c r="AI419" s="159">
        <f t="shared" si="20"/>
        <v>484</v>
      </c>
      <c r="AJ419" s="150">
        <f t="shared" si="18"/>
        <v>-1</v>
      </c>
    </row>
    <row r="420" spans="1:36" ht="76.5">
      <c r="A420" s="151">
        <v>66</v>
      </c>
      <c r="B420" s="155">
        <v>414</v>
      </c>
      <c r="C420" s="156" t="s">
        <v>1151</v>
      </c>
      <c r="D420" s="155">
        <v>722</v>
      </c>
      <c r="E420" s="151">
        <v>257</v>
      </c>
      <c r="F420" s="151">
        <v>241</v>
      </c>
      <c r="G420" s="151">
        <v>0</v>
      </c>
      <c r="H420" s="151">
        <f t="shared" si="19"/>
        <v>498</v>
      </c>
      <c r="I420" s="155">
        <v>432</v>
      </c>
      <c r="J420" s="151">
        <v>0</v>
      </c>
      <c r="K420" s="160"/>
      <c r="L420" s="160"/>
      <c r="M420" s="168">
        <f>'66 SYANA PRAROOP-20'!C421</f>
        <v>116</v>
      </c>
      <c r="N420" s="160"/>
      <c r="O420" s="160"/>
      <c r="P420" s="158">
        <f>'66 SYANA PRAROOP-20'!D421</f>
        <v>372</v>
      </c>
      <c r="Q420" s="160"/>
      <c r="R420" s="160"/>
      <c r="S420" s="158">
        <f>'66 SYANA PRAROOP-20'!E421</f>
        <v>2</v>
      </c>
      <c r="T420" s="160"/>
      <c r="U420" s="160"/>
      <c r="V420" s="159">
        <f>'66 SYANA PRAROOP-20'!F421</f>
        <v>4</v>
      </c>
      <c r="W420" s="160"/>
      <c r="X420" s="160"/>
      <c r="Y420" s="159">
        <f>'66 SYANA PRAROOP-20'!G421</f>
        <v>2</v>
      </c>
      <c r="Z420" s="160"/>
      <c r="AA420" s="160"/>
      <c r="AB420" s="168">
        <f>'66 SYANA PRAROOP-20'!H421</f>
        <v>1</v>
      </c>
      <c r="AC420" s="160"/>
      <c r="AD420" s="160"/>
      <c r="AE420" s="168">
        <f>'66 SYANA PRAROOP-20'!I421</f>
        <v>0</v>
      </c>
      <c r="AF420" s="160"/>
      <c r="AG420" s="160"/>
      <c r="AH420" s="168">
        <f>'66 SYANA PRAROOP-20'!J421</f>
        <v>1</v>
      </c>
      <c r="AI420" s="159">
        <f t="shared" si="20"/>
        <v>498</v>
      </c>
      <c r="AJ420" s="150">
        <f t="shared" si="18"/>
        <v>0</v>
      </c>
    </row>
    <row r="421" spans="1:36" ht="38.25">
      <c r="A421" s="151">
        <v>66</v>
      </c>
      <c r="B421" s="155">
        <v>415</v>
      </c>
      <c r="C421" s="156" t="s">
        <v>1044</v>
      </c>
      <c r="D421" s="155">
        <v>1066</v>
      </c>
      <c r="E421" s="151">
        <v>396</v>
      </c>
      <c r="F421" s="151">
        <v>427</v>
      </c>
      <c r="G421" s="151">
        <v>0</v>
      </c>
      <c r="H421" s="151">
        <f t="shared" si="19"/>
        <v>823</v>
      </c>
      <c r="I421" s="155">
        <v>83</v>
      </c>
      <c r="J421" s="151">
        <v>0</v>
      </c>
      <c r="K421" s="160"/>
      <c r="L421" s="160"/>
      <c r="M421" s="168">
        <f>'66 SYANA PRAROOP-20'!C422</f>
        <v>75</v>
      </c>
      <c r="N421" s="160"/>
      <c r="O421" s="160"/>
      <c r="P421" s="158">
        <f>'66 SYANA PRAROOP-20'!D422</f>
        <v>624</v>
      </c>
      <c r="Q421" s="160"/>
      <c r="R421" s="160"/>
      <c r="S421" s="158">
        <f>'66 SYANA PRAROOP-20'!E422</f>
        <v>1</v>
      </c>
      <c r="T421" s="160"/>
      <c r="U421" s="160"/>
      <c r="V421" s="159">
        <f>'66 SYANA PRAROOP-20'!F422</f>
        <v>113</v>
      </c>
      <c r="W421" s="160"/>
      <c r="X421" s="160"/>
      <c r="Y421" s="159">
        <f>'66 SYANA PRAROOP-20'!G422</f>
        <v>0</v>
      </c>
      <c r="Z421" s="160"/>
      <c r="AA421" s="160"/>
      <c r="AB421" s="168">
        <f>'66 SYANA PRAROOP-20'!H422</f>
        <v>0</v>
      </c>
      <c r="AC421" s="160"/>
      <c r="AD421" s="160"/>
      <c r="AE421" s="168">
        <f>'66 SYANA PRAROOP-20'!I422</f>
        <v>3</v>
      </c>
      <c r="AF421" s="160"/>
      <c r="AG421" s="160"/>
      <c r="AH421" s="168">
        <f>'66 SYANA PRAROOP-20'!J422</f>
        <v>4</v>
      </c>
      <c r="AI421" s="159">
        <f t="shared" si="20"/>
        <v>820</v>
      </c>
      <c r="AJ421" s="150">
        <f t="shared" si="18"/>
        <v>-3</v>
      </c>
    </row>
    <row r="422" spans="1:36" ht="76.5">
      <c r="A422" s="151">
        <v>66</v>
      </c>
      <c r="B422" s="155">
        <v>416</v>
      </c>
      <c r="C422" s="156" t="s">
        <v>1045</v>
      </c>
      <c r="D422" s="155">
        <v>820</v>
      </c>
      <c r="E422" s="151">
        <v>218</v>
      </c>
      <c r="F422" s="151">
        <v>182</v>
      </c>
      <c r="G422" s="151">
        <v>0</v>
      </c>
      <c r="H422" s="151">
        <f t="shared" si="19"/>
        <v>400</v>
      </c>
      <c r="I422" s="155">
        <v>54</v>
      </c>
      <c r="J422" s="151">
        <v>0</v>
      </c>
      <c r="K422" s="160"/>
      <c r="L422" s="160"/>
      <c r="M422" s="168">
        <f>'66 SYANA PRAROOP-20'!C423</f>
        <v>18</v>
      </c>
      <c r="N422" s="160"/>
      <c r="O422" s="160"/>
      <c r="P422" s="158">
        <f>'66 SYANA PRAROOP-20'!D423</f>
        <v>267</v>
      </c>
      <c r="Q422" s="160"/>
      <c r="R422" s="160"/>
      <c r="S422" s="158">
        <f>'66 SYANA PRAROOP-20'!E423</f>
        <v>5</v>
      </c>
      <c r="T422" s="160"/>
      <c r="U422" s="160"/>
      <c r="V422" s="159">
        <f>'66 SYANA PRAROOP-20'!F423</f>
        <v>98</v>
      </c>
      <c r="W422" s="160"/>
      <c r="X422" s="160"/>
      <c r="Y422" s="159">
        <f>'66 SYANA PRAROOP-20'!G423</f>
        <v>2</v>
      </c>
      <c r="Z422" s="160"/>
      <c r="AA422" s="160"/>
      <c r="AB422" s="168">
        <f>'66 SYANA PRAROOP-20'!H423</f>
        <v>3</v>
      </c>
      <c r="AC422" s="160"/>
      <c r="AD422" s="160"/>
      <c r="AE422" s="168">
        <f>'66 SYANA PRAROOP-20'!I423</f>
        <v>2</v>
      </c>
      <c r="AF422" s="160"/>
      <c r="AG422" s="160"/>
      <c r="AH422" s="168">
        <f>'66 SYANA PRAROOP-20'!J423</f>
        <v>2</v>
      </c>
      <c r="AI422" s="159">
        <f t="shared" si="20"/>
        <v>397</v>
      </c>
      <c r="AJ422" s="150">
        <f t="shared" si="18"/>
        <v>-3</v>
      </c>
    </row>
    <row r="423" spans="1:36" ht="76.5">
      <c r="A423" s="151">
        <v>66</v>
      </c>
      <c r="B423" s="155">
        <v>417</v>
      </c>
      <c r="C423" s="156" t="s">
        <v>1046</v>
      </c>
      <c r="D423" s="155">
        <v>734</v>
      </c>
      <c r="E423" s="151">
        <v>221</v>
      </c>
      <c r="F423" s="151">
        <v>197</v>
      </c>
      <c r="G423" s="151">
        <v>0</v>
      </c>
      <c r="H423" s="151">
        <f t="shared" si="19"/>
        <v>418</v>
      </c>
      <c r="I423" s="155">
        <v>321</v>
      </c>
      <c r="J423" s="151">
        <v>0</v>
      </c>
      <c r="K423" s="160"/>
      <c r="L423" s="160"/>
      <c r="M423" s="168">
        <f>'66 SYANA PRAROOP-20'!C424</f>
        <v>11</v>
      </c>
      <c r="N423" s="160"/>
      <c r="O423" s="160"/>
      <c r="P423" s="158">
        <f>'66 SYANA PRAROOP-20'!D424</f>
        <v>137</v>
      </c>
      <c r="Q423" s="160"/>
      <c r="R423" s="160"/>
      <c r="S423" s="158">
        <f>'66 SYANA PRAROOP-20'!E424</f>
        <v>5</v>
      </c>
      <c r="T423" s="160"/>
      <c r="U423" s="160"/>
      <c r="V423" s="159">
        <f>'66 SYANA PRAROOP-20'!F424</f>
        <v>254</v>
      </c>
      <c r="W423" s="160"/>
      <c r="X423" s="160"/>
      <c r="Y423" s="159">
        <f>'66 SYANA PRAROOP-20'!G424</f>
        <v>3</v>
      </c>
      <c r="Z423" s="160"/>
      <c r="AA423" s="160"/>
      <c r="AB423" s="168">
        <f>'66 SYANA PRAROOP-20'!H424</f>
        <v>4</v>
      </c>
      <c r="AC423" s="160"/>
      <c r="AD423" s="160"/>
      <c r="AE423" s="168">
        <f>'66 SYANA PRAROOP-20'!I424</f>
        <v>3</v>
      </c>
      <c r="AF423" s="160"/>
      <c r="AG423" s="160"/>
      <c r="AH423" s="168">
        <f>'66 SYANA PRAROOP-20'!J424</f>
        <v>0</v>
      </c>
      <c r="AI423" s="159">
        <f t="shared" si="20"/>
        <v>417</v>
      </c>
      <c r="AJ423" s="150">
        <f t="shared" si="18"/>
        <v>-1</v>
      </c>
    </row>
    <row r="424" spans="1:36" ht="76.5">
      <c r="A424" s="151">
        <v>66</v>
      </c>
      <c r="B424" s="155">
        <v>418</v>
      </c>
      <c r="C424" s="156" t="s">
        <v>1047</v>
      </c>
      <c r="D424" s="155">
        <v>806</v>
      </c>
      <c r="E424" s="151">
        <v>221</v>
      </c>
      <c r="F424" s="151">
        <v>217</v>
      </c>
      <c r="G424" s="151">
        <v>0</v>
      </c>
      <c r="H424" s="151">
        <f t="shared" si="19"/>
        <v>438</v>
      </c>
      <c r="I424" s="155">
        <v>121</v>
      </c>
      <c r="J424" s="151">
        <v>0</v>
      </c>
      <c r="K424" s="160"/>
      <c r="L424" s="160"/>
      <c r="M424" s="168">
        <f>'66 SYANA PRAROOP-20'!C425</f>
        <v>32</v>
      </c>
      <c r="N424" s="160"/>
      <c r="O424" s="160"/>
      <c r="P424" s="158">
        <f>'66 SYANA PRAROOP-20'!D425</f>
        <v>378</v>
      </c>
      <c r="Q424" s="160"/>
      <c r="R424" s="160"/>
      <c r="S424" s="158">
        <f>'66 SYANA PRAROOP-20'!E425</f>
        <v>6</v>
      </c>
      <c r="T424" s="160"/>
      <c r="U424" s="160"/>
      <c r="V424" s="159">
        <f>'66 SYANA PRAROOP-20'!F425</f>
        <v>13</v>
      </c>
      <c r="W424" s="160"/>
      <c r="X424" s="160"/>
      <c r="Y424" s="159">
        <f>'66 SYANA PRAROOP-20'!G425</f>
        <v>0</v>
      </c>
      <c r="Z424" s="160"/>
      <c r="AA424" s="160"/>
      <c r="AB424" s="168">
        <f>'66 SYANA PRAROOP-20'!H425</f>
        <v>1</v>
      </c>
      <c r="AC424" s="160"/>
      <c r="AD424" s="160"/>
      <c r="AE424" s="168">
        <f>'66 SYANA PRAROOP-20'!I425</f>
        <v>0</v>
      </c>
      <c r="AF424" s="160"/>
      <c r="AG424" s="160"/>
      <c r="AH424" s="168">
        <f>'66 SYANA PRAROOP-20'!J425</f>
        <v>3</v>
      </c>
      <c r="AI424" s="159">
        <f t="shared" si="20"/>
        <v>433</v>
      </c>
      <c r="AJ424" s="150">
        <f t="shared" si="18"/>
        <v>-5</v>
      </c>
    </row>
    <row r="425" spans="1:36" ht="76.5">
      <c r="A425" s="151">
        <v>66</v>
      </c>
      <c r="B425" s="155">
        <v>419</v>
      </c>
      <c r="C425" s="156" t="s">
        <v>1048</v>
      </c>
      <c r="D425" s="155">
        <v>854</v>
      </c>
      <c r="E425" s="151">
        <v>246</v>
      </c>
      <c r="F425" s="151">
        <v>234</v>
      </c>
      <c r="G425" s="151">
        <v>0</v>
      </c>
      <c r="H425" s="151">
        <f t="shared" si="19"/>
        <v>480</v>
      </c>
      <c r="I425" s="155">
        <v>59</v>
      </c>
      <c r="J425" s="151">
        <v>0</v>
      </c>
      <c r="K425" s="160"/>
      <c r="L425" s="160"/>
      <c r="M425" s="168">
        <f>'66 SYANA PRAROOP-20'!C426</f>
        <v>24</v>
      </c>
      <c r="N425" s="160"/>
      <c r="O425" s="160"/>
      <c r="P425" s="158">
        <f>'66 SYANA PRAROOP-20'!D426</f>
        <v>426</v>
      </c>
      <c r="Q425" s="160"/>
      <c r="R425" s="160"/>
      <c r="S425" s="158">
        <f>'66 SYANA PRAROOP-20'!E426</f>
        <v>8</v>
      </c>
      <c r="T425" s="160"/>
      <c r="U425" s="160"/>
      <c r="V425" s="159">
        <f>'66 SYANA PRAROOP-20'!F426</f>
        <v>12</v>
      </c>
      <c r="W425" s="160"/>
      <c r="X425" s="160"/>
      <c r="Y425" s="159">
        <f>'66 SYANA PRAROOP-20'!G426</f>
        <v>0</v>
      </c>
      <c r="Z425" s="160"/>
      <c r="AA425" s="160"/>
      <c r="AB425" s="168">
        <f>'66 SYANA PRAROOP-20'!H426</f>
        <v>2</v>
      </c>
      <c r="AC425" s="160"/>
      <c r="AD425" s="160"/>
      <c r="AE425" s="168">
        <f>'66 SYANA PRAROOP-20'!I426</f>
        <v>1</v>
      </c>
      <c r="AF425" s="160"/>
      <c r="AG425" s="160"/>
      <c r="AH425" s="168">
        <f>'66 SYANA PRAROOP-20'!J426</f>
        <v>3</v>
      </c>
      <c r="AI425" s="159">
        <f t="shared" si="20"/>
        <v>476</v>
      </c>
      <c r="AJ425" s="150">
        <f t="shared" si="18"/>
        <v>-4</v>
      </c>
    </row>
    <row r="426" spans="1:36" ht="51">
      <c r="A426" s="151">
        <v>66</v>
      </c>
      <c r="B426" s="155">
        <v>420</v>
      </c>
      <c r="C426" s="156" t="s">
        <v>1049</v>
      </c>
      <c r="D426" s="155">
        <v>1050</v>
      </c>
      <c r="E426" s="151">
        <v>392</v>
      </c>
      <c r="F426" s="151">
        <v>393</v>
      </c>
      <c r="G426" s="151">
        <v>0</v>
      </c>
      <c r="H426" s="151">
        <f t="shared" si="19"/>
        <v>785</v>
      </c>
      <c r="I426" s="155">
        <v>47</v>
      </c>
      <c r="J426" s="151">
        <v>0</v>
      </c>
      <c r="K426" s="160"/>
      <c r="L426" s="160"/>
      <c r="M426" s="168">
        <f>'66 SYANA PRAROOP-20'!C427</f>
        <v>63</v>
      </c>
      <c r="N426" s="160"/>
      <c r="O426" s="160"/>
      <c r="P426" s="158">
        <f>'66 SYANA PRAROOP-20'!D427</f>
        <v>699</v>
      </c>
      <c r="Q426" s="160"/>
      <c r="R426" s="160"/>
      <c r="S426" s="158">
        <f>'66 SYANA PRAROOP-20'!E427</f>
        <v>6</v>
      </c>
      <c r="T426" s="160"/>
      <c r="U426" s="160"/>
      <c r="V426" s="159">
        <f>'66 SYANA PRAROOP-20'!F427</f>
        <v>3</v>
      </c>
      <c r="W426" s="160"/>
      <c r="X426" s="160"/>
      <c r="Y426" s="159">
        <f>'66 SYANA PRAROOP-20'!G427</f>
        <v>1</v>
      </c>
      <c r="Z426" s="160"/>
      <c r="AA426" s="160"/>
      <c r="AB426" s="168">
        <f>'66 SYANA PRAROOP-20'!H427</f>
        <v>3</v>
      </c>
      <c r="AC426" s="160"/>
      <c r="AD426" s="160"/>
      <c r="AE426" s="168">
        <f>'66 SYANA PRAROOP-20'!I427</f>
        <v>4</v>
      </c>
      <c r="AF426" s="160"/>
      <c r="AG426" s="160"/>
      <c r="AH426" s="168">
        <f>'66 SYANA PRAROOP-20'!J427</f>
        <v>6</v>
      </c>
      <c r="AI426" s="159">
        <f t="shared" si="20"/>
        <v>785</v>
      </c>
      <c r="AJ426" s="150">
        <f t="shared" si="18"/>
        <v>0</v>
      </c>
    </row>
    <row r="427" spans="1:36" ht="51">
      <c r="A427" s="151">
        <v>66</v>
      </c>
      <c r="B427" s="155">
        <v>421</v>
      </c>
      <c r="C427" s="156" t="s">
        <v>1050</v>
      </c>
      <c r="D427" s="155">
        <v>1149</v>
      </c>
      <c r="E427" s="151">
        <v>459</v>
      </c>
      <c r="F427" s="151">
        <v>408</v>
      </c>
      <c r="G427" s="151">
        <v>0</v>
      </c>
      <c r="H427" s="151">
        <f t="shared" si="19"/>
        <v>867</v>
      </c>
      <c r="I427" s="155">
        <v>0</v>
      </c>
      <c r="J427" s="151">
        <v>0</v>
      </c>
      <c r="K427" s="160"/>
      <c r="L427" s="160"/>
      <c r="M427" s="168">
        <f>'66 SYANA PRAROOP-20'!C428</f>
        <v>114</v>
      </c>
      <c r="N427" s="160"/>
      <c r="O427" s="160"/>
      <c r="P427" s="158">
        <f>'66 SYANA PRAROOP-20'!D428</f>
        <v>597</v>
      </c>
      <c r="Q427" s="160"/>
      <c r="R427" s="160"/>
      <c r="S427" s="158">
        <f>'66 SYANA PRAROOP-20'!E428</f>
        <v>4</v>
      </c>
      <c r="T427" s="160"/>
      <c r="U427" s="160"/>
      <c r="V427" s="159">
        <f>'66 SYANA PRAROOP-20'!F428</f>
        <v>131</v>
      </c>
      <c r="W427" s="160"/>
      <c r="X427" s="160"/>
      <c r="Y427" s="159">
        <f>'66 SYANA PRAROOP-20'!G428</f>
        <v>8</v>
      </c>
      <c r="Z427" s="160"/>
      <c r="AA427" s="160"/>
      <c r="AB427" s="168">
        <f>'66 SYANA PRAROOP-20'!H428</f>
        <v>3</v>
      </c>
      <c r="AC427" s="160"/>
      <c r="AD427" s="160"/>
      <c r="AE427" s="168">
        <f>'66 SYANA PRAROOP-20'!I428</f>
        <v>4</v>
      </c>
      <c r="AF427" s="160"/>
      <c r="AG427" s="160"/>
      <c r="AH427" s="168">
        <f>'66 SYANA PRAROOP-20'!J428</f>
        <v>2</v>
      </c>
      <c r="AI427" s="159">
        <f t="shared" si="20"/>
        <v>863</v>
      </c>
      <c r="AJ427" s="150">
        <f t="shared" si="18"/>
        <v>-4</v>
      </c>
    </row>
    <row r="428" spans="1:36" ht="63.75">
      <c r="A428" s="151">
        <v>66</v>
      </c>
      <c r="B428" s="155">
        <v>422</v>
      </c>
      <c r="C428" s="156" t="s">
        <v>1152</v>
      </c>
      <c r="D428" s="155">
        <v>944</v>
      </c>
      <c r="E428" s="151">
        <v>349</v>
      </c>
      <c r="F428" s="151">
        <v>335</v>
      </c>
      <c r="G428" s="151">
        <v>0</v>
      </c>
      <c r="H428" s="151">
        <f t="shared" si="19"/>
        <v>684</v>
      </c>
      <c r="I428" s="155">
        <v>549</v>
      </c>
      <c r="J428" s="151">
        <v>0</v>
      </c>
      <c r="K428" s="160"/>
      <c r="L428" s="160"/>
      <c r="M428" s="168">
        <f>'66 SYANA PRAROOP-20'!C429</f>
        <v>47</v>
      </c>
      <c r="N428" s="160"/>
      <c r="O428" s="160"/>
      <c r="P428" s="158">
        <f>'66 SYANA PRAROOP-20'!D429</f>
        <v>599</v>
      </c>
      <c r="Q428" s="160"/>
      <c r="R428" s="160"/>
      <c r="S428" s="158">
        <f>'66 SYANA PRAROOP-20'!E429</f>
        <v>8</v>
      </c>
      <c r="T428" s="160"/>
      <c r="U428" s="160"/>
      <c r="V428" s="159">
        <f>'66 SYANA PRAROOP-20'!F429</f>
        <v>15</v>
      </c>
      <c r="W428" s="160"/>
      <c r="X428" s="160"/>
      <c r="Y428" s="159">
        <f>'66 SYANA PRAROOP-20'!G429</f>
        <v>0</v>
      </c>
      <c r="Z428" s="160"/>
      <c r="AA428" s="160"/>
      <c r="AB428" s="168">
        <f>'66 SYANA PRAROOP-20'!H429</f>
        <v>4</v>
      </c>
      <c r="AC428" s="160"/>
      <c r="AD428" s="160"/>
      <c r="AE428" s="168">
        <f>'66 SYANA PRAROOP-20'!I429</f>
        <v>1</v>
      </c>
      <c r="AF428" s="160"/>
      <c r="AG428" s="160"/>
      <c r="AH428" s="168">
        <f>'66 SYANA PRAROOP-20'!J429</f>
        <v>4</v>
      </c>
      <c r="AI428" s="159">
        <f t="shared" si="20"/>
        <v>678</v>
      </c>
      <c r="AJ428" s="150">
        <f t="shared" si="18"/>
        <v>-6</v>
      </c>
    </row>
    <row r="429" spans="1:36" ht="63.75">
      <c r="A429" s="151">
        <v>66</v>
      </c>
      <c r="B429" s="155">
        <v>423</v>
      </c>
      <c r="C429" s="156" t="s">
        <v>1153</v>
      </c>
      <c r="D429" s="155">
        <v>976</v>
      </c>
      <c r="E429" s="151">
        <v>296</v>
      </c>
      <c r="F429" s="151">
        <v>323</v>
      </c>
      <c r="G429" s="151">
        <v>0</v>
      </c>
      <c r="H429" s="151">
        <f t="shared" si="19"/>
        <v>619</v>
      </c>
      <c r="I429" s="155">
        <v>31</v>
      </c>
      <c r="J429" s="151">
        <v>0</v>
      </c>
      <c r="K429" s="160"/>
      <c r="L429" s="160"/>
      <c r="M429" s="168">
        <f>'66 SYANA PRAROOP-20'!C430</f>
        <v>110</v>
      </c>
      <c r="N429" s="160"/>
      <c r="O429" s="160"/>
      <c r="P429" s="158">
        <f>'66 SYANA PRAROOP-20'!D430</f>
        <v>463</v>
      </c>
      <c r="Q429" s="160"/>
      <c r="R429" s="160"/>
      <c r="S429" s="158">
        <f>'66 SYANA PRAROOP-20'!E430</f>
        <v>3</v>
      </c>
      <c r="T429" s="160"/>
      <c r="U429" s="160"/>
      <c r="V429" s="159">
        <f>'66 SYANA PRAROOP-20'!F430</f>
        <v>30</v>
      </c>
      <c r="W429" s="160"/>
      <c r="X429" s="160"/>
      <c r="Y429" s="159">
        <f>'66 SYANA PRAROOP-20'!G430</f>
        <v>2</v>
      </c>
      <c r="Z429" s="160"/>
      <c r="AA429" s="160"/>
      <c r="AB429" s="168">
        <f>'66 SYANA PRAROOP-20'!H430</f>
        <v>0</v>
      </c>
      <c r="AC429" s="160"/>
      <c r="AD429" s="160"/>
      <c r="AE429" s="168">
        <f>'66 SYANA PRAROOP-20'!I430</f>
        <v>1</v>
      </c>
      <c r="AF429" s="160"/>
      <c r="AG429" s="160"/>
      <c r="AH429" s="168">
        <f>'66 SYANA PRAROOP-20'!J430</f>
        <v>3</v>
      </c>
      <c r="AI429" s="159">
        <f t="shared" si="20"/>
        <v>612</v>
      </c>
      <c r="AJ429" s="150">
        <f t="shared" si="18"/>
        <v>-7</v>
      </c>
    </row>
    <row r="430" spans="1:36" ht="63.75">
      <c r="A430" s="151">
        <v>66</v>
      </c>
      <c r="B430" s="155">
        <v>424</v>
      </c>
      <c r="C430" s="156" t="s">
        <v>1154</v>
      </c>
      <c r="D430" s="155">
        <v>971</v>
      </c>
      <c r="E430" s="151">
        <v>306</v>
      </c>
      <c r="F430" s="151">
        <v>265</v>
      </c>
      <c r="G430" s="151">
        <v>0</v>
      </c>
      <c r="H430" s="151">
        <f t="shared" si="19"/>
        <v>571</v>
      </c>
      <c r="I430" s="155">
        <v>47</v>
      </c>
      <c r="J430" s="151">
        <v>0</v>
      </c>
      <c r="K430" s="160"/>
      <c r="L430" s="160"/>
      <c r="M430" s="168">
        <f>'66 SYANA PRAROOP-20'!C431</f>
        <v>122</v>
      </c>
      <c r="N430" s="160"/>
      <c r="O430" s="160"/>
      <c r="P430" s="158">
        <f>'66 SYANA PRAROOP-20'!D431</f>
        <v>410</v>
      </c>
      <c r="Q430" s="160"/>
      <c r="R430" s="160"/>
      <c r="S430" s="158">
        <f>'66 SYANA PRAROOP-20'!E431</f>
        <v>6</v>
      </c>
      <c r="T430" s="160"/>
      <c r="U430" s="160"/>
      <c r="V430" s="159">
        <f>'66 SYANA PRAROOP-20'!F431</f>
        <v>28</v>
      </c>
      <c r="W430" s="160"/>
      <c r="X430" s="160"/>
      <c r="Y430" s="159">
        <f>'66 SYANA PRAROOP-20'!G431</f>
        <v>0</v>
      </c>
      <c r="Z430" s="160"/>
      <c r="AA430" s="160"/>
      <c r="AB430" s="168">
        <f>'66 SYANA PRAROOP-20'!H431</f>
        <v>2</v>
      </c>
      <c r="AC430" s="160"/>
      <c r="AD430" s="160"/>
      <c r="AE430" s="168">
        <f>'66 SYANA PRAROOP-20'!I431</f>
        <v>0</v>
      </c>
      <c r="AF430" s="160"/>
      <c r="AG430" s="160"/>
      <c r="AH430" s="168">
        <f>'66 SYANA PRAROOP-20'!J431</f>
        <v>3</v>
      </c>
      <c r="AI430" s="159">
        <f t="shared" si="20"/>
        <v>571</v>
      </c>
      <c r="AJ430" s="150">
        <f t="shared" si="18"/>
        <v>0</v>
      </c>
    </row>
    <row r="431" spans="1:36" ht="51">
      <c r="A431" s="151">
        <v>66</v>
      </c>
      <c r="B431" s="155">
        <v>425</v>
      </c>
      <c r="C431" s="156" t="s">
        <v>1051</v>
      </c>
      <c r="D431" s="155">
        <v>1011</v>
      </c>
      <c r="E431" s="151">
        <v>293</v>
      </c>
      <c r="F431" s="151">
        <v>291</v>
      </c>
      <c r="G431" s="151">
        <v>0</v>
      </c>
      <c r="H431" s="151">
        <f t="shared" si="19"/>
        <v>584</v>
      </c>
      <c r="I431" s="155">
        <v>53</v>
      </c>
      <c r="J431" s="151">
        <v>0</v>
      </c>
      <c r="K431" s="160"/>
      <c r="L431" s="160"/>
      <c r="M431" s="168">
        <f>'66 SYANA PRAROOP-20'!C432</f>
        <v>181</v>
      </c>
      <c r="N431" s="160"/>
      <c r="O431" s="160"/>
      <c r="P431" s="158">
        <f>'66 SYANA PRAROOP-20'!D432</f>
        <v>350</v>
      </c>
      <c r="Q431" s="160"/>
      <c r="R431" s="160"/>
      <c r="S431" s="158">
        <f>'66 SYANA PRAROOP-20'!E432</f>
        <v>6</v>
      </c>
      <c r="T431" s="160"/>
      <c r="U431" s="160"/>
      <c r="V431" s="159">
        <f>'66 SYANA PRAROOP-20'!F432</f>
        <v>29</v>
      </c>
      <c r="W431" s="160"/>
      <c r="X431" s="160"/>
      <c r="Y431" s="159">
        <f>'66 SYANA PRAROOP-20'!G432</f>
        <v>2</v>
      </c>
      <c r="Z431" s="160"/>
      <c r="AA431" s="160"/>
      <c r="AB431" s="168">
        <f>'66 SYANA PRAROOP-20'!H432</f>
        <v>3</v>
      </c>
      <c r="AC431" s="160"/>
      <c r="AD431" s="160"/>
      <c r="AE431" s="168">
        <f>'66 SYANA PRAROOP-20'!I432</f>
        <v>4</v>
      </c>
      <c r="AF431" s="160"/>
      <c r="AG431" s="160"/>
      <c r="AH431" s="168">
        <f>'66 SYANA PRAROOP-20'!J432</f>
        <v>2</v>
      </c>
      <c r="AI431" s="159">
        <f t="shared" si="20"/>
        <v>577</v>
      </c>
      <c r="AJ431" s="150">
        <f t="shared" si="18"/>
        <v>-7</v>
      </c>
    </row>
    <row r="432" spans="1:36" ht="63.75">
      <c r="A432" s="151">
        <v>66</v>
      </c>
      <c r="B432" s="155">
        <v>426</v>
      </c>
      <c r="C432" s="156" t="s">
        <v>1052</v>
      </c>
      <c r="D432" s="155">
        <v>989</v>
      </c>
      <c r="E432" s="151">
        <v>360</v>
      </c>
      <c r="F432" s="151">
        <v>347</v>
      </c>
      <c r="G432" s="151">
        <v>0</v>
      </c>
      <c r="H432" s="151">
        <f t="shared" si="19"/>
        <v>707</v>
      </c>
      <c r="I432" s="155">
        <v>403</v>
      </c>
      <c r="J432" s="151">
        <v>0</v>
      </c>
      <c r="K432" s="160"/>
      <c r="L432" s="160"/>
      <c r="M432" s="168">
        <f>'66 SYANA PRAROOP-20'!C433</f>
        <v>65</v>
      </c>
      <c r="N432" s="160"/>
      <c r="O432" s="160"/>
      <c r="P432" s="158">
        <f>'66 SYANA PRAROOP-20'!D433</f>
        <v>379</v>
      </c>
      <c r="Q432" s="160"/>
      <c r="R432" s="160"/>
      <c r="S432" s="158">
        <f>'66 SYANA PRAROOP-20'!E433</f>
        <v>3</v>
      </c>
      <c r="T432" s="160"/>
      <c r="U432" s="160"/>
      <c r="V432" s="159">
        <f>'66 SYANA PRAROOP-20'!F433</f>
        <v>243</v>
      </c>
      <c r="W432" s="160"/>
      <c r="X432" s="160"/>
      <c r="Y432" s="159">
        <f>'66 SYANA PRAROOP-20'!G433</f>
        <v>2</v>
      </c>
      <c r="Z432" s="160"/>
      <c r="AA432" s="160"/>
      <c r="AB432" s="168">
        <f>'66 SYANA PRAROOP-20'!H433</f>
        <v>4</v>
      </c>
      <c r="AC432" s="160"/>
      <c r="AD432" s="160"/>
      <c r="AE432" s="168">
        <f>'66 SYANA PRAROOP-20'!I433</f>
        <v>5</v>
      </c>
      <c r="AF432" s="160"/>
      <c r="AG432" s="160"/>
      <c r="AH432" s="168">
        <f>'66 SYANA PRAROOP-20'!J433</f>
        <v>2</v>
      </c>
      <c r="AI432" s="159">
        <f t="shared" si="20"/>
        <v>703</v>
      </c>
      <c r="AJ432" s="150">
        <f t="shared" si="18"/>
        <v>-4</v>
      </c>
    </row>
    <row r="433" spans="1:36" ht="63.75">
      <c r="A433" s="151">
        <v>66</v>
      </c>
      <c r="B433" s="155">
        <v>427</v>
      </c>
      <c r="C433" s="156" t="s">
        <v>1053</v>
      </c>
      <c r="D433" s="155">
        <v>988</v>
      </c>
      <c r="E433" s="151">
        <v>323</v>
      </c>
      <c r="F433" s="151">
        <v>332</v>
      </c>
      <c r="G433" s="151">
        <v>0</v>
      </c>
      <c r="H433" s="151">
        <f t="shared" si="19"/>
        <v>655</v>
      </c>
      <c r="I433" s="155">
        <v>27</v>
      </c>
      <c r="J433" s="151">
        <v>0</v>
      </c>
      <c r="K433" s="160"/>
      <c r="L433" s="160"/>
      <c r="M433" s="168">
        <f>'66 SYANA PRAROOP-20'!C434</f>
        <v>56</v>
      </c>
      <c r="N433" s="160"/>
      <c r="O433" s="160"/>
      <c r="P433" s="158">
        <f>'66 SYANA PRAROOP-20'!D434</f>
        <v>564</v>
      </c>
      <c r="Q433" s="160"/>
      <c r="R433" s="160"/>
      <c r="S433" s="158">
        <f>'66 SYANA PRAROOP-20'!E434</f>
        <v>6</v>
      </c>
      <c r="T433" s="160"/>
      <c r="U433" s="160"/>
      <c r="V433" s="159">
        <f>'66 SYANA PRAROOP-20'!F434</f>
        <v>16</v>
      </c>
      <c r="W433" s="160"/>
      <c r="X433" s="160"/>
      <c r="Y433" s="159">
        <f>'66 SYANA PRAROOP-20'!G434</f>
        <v>0</v>
      </c>
      <c r="Z433" s="160"/>
      <c r="AA433" s="160"/>
      <c r="AB433" s="168">
        <f>'66 SYANA PRAROOP-20'!H434</f>
        <v>5</v>
      </c>
      <c r="AC433" s="160"/>
      <c r="AD433" s="160"/>
      <c r="AE433" s="168">
        <f>'66 SYANA PRAROOP-20'!I434</f>
        <v>5</v>
      </c>
      <c r="AF433" s="160"/>
      <c r="AG433" s="160"/>
      <c r="AH433" s="168">
        <f>'66 SYANA PRAROOP-20'!J434</f>
        <v>2</v>
      </c>
      <c r="AI433" s="159">
        <f t="shared" si="20"/>
        <v>654</v>
      </c>
      <c r="AJ433" s="150">
        <f t="shared" si="18"/>
        <v>-1</v>
      </c>
    </row>
    <row r="434" spans="1:36" ht="63.75">
      <c r="A434" s="151">
        <v>66</v>
      </c>
      <c r="B434" s="155">
        <v>428</v>
      </c>
      <c r="C434" s="156" t="s">
        <v>1155</v>
      </c>
      <c r="D434" s="155">
        <v>587</v>
      </c>
      <c r="E434" s="151">
        <v>176</v>
      </c>
      <c r="F434" s="151">
        <v>157</v>
      </c>
      <c r="G434" s="151">
        <v>0</v>
      </c>
      <c r="H434" s="151">
        <f t="shared" si="19"/>
        <v>333</v>
      </c>
      <c r="I434" s="155">
        <v>31</v>
      </c>
      <c r="J434" s="151">
        <v>0</v>
      </c>
      <c r="K434" s="160"/>
      <c r="L434" s="160"/>
      <c r="M434" s="168">
        <f>'66 SYANA PRAROOP-20'!C435</f>
        <v>87</v>
      </c>
      <c r="N434" s="160"/>
      <c r="O434" s="160"/>
      <c r="P434" s="158">
        <f>'66 SYANA PRAROOP-20'!D435</f>
        <v>224</v>
      </c>
      <c r="Q434" s="160"/>
      <c r="R434" s="160"/>
      <c r="S434" s="158">
        <f>'66 SYANA PRAROOP-20'!E435</f>
        <v>8</v>
      </c>
      <c r="T434" s="160"/>
      <c r="U434" s="160"/>
      <c r="V434" s="159">
        <f>'66 SYANA PRAROOP-20'!F435</f>
        <v>5</v>
      </c>
      <c r="W434" s="160"/>
      <c r="X434" s="160"/>
      <c r="Y434" s="159">
        <f>'66 SYANA PRAROOP-20'!G435</f>
        <v>0</v>
      </c>
      <c r="Z434" s="160"/>
      <c r="AA434" s="160"/>
      <c r="AB434" s="168">
        <f>'66 SYANA PRAROOP-20'!H435</f>
        <v>2</v>
      </c>
      <c r="AC434" s="160"/>
      <c r="AD434" s="160"/>
      <c r="AE434" s="168">
        <f>'66 SYANA PRAROOP-20'!I435</f>
        <v>3</v>
      </c>
      <c r="AF434" s="160"/>
      <c r="AG434" s="160"/>
      <c r="AH434" s="168">
        <f>'66 SYANA PRAROOP-20'!J435</f>
        <v>1</v>
      </c>
      <c r="AI434" s="159">
        <f t="shared" si="20"/>
        <v>330</v>
      </c>
      <c r="AJ434" s="150">
        <f t="shared" si="18"/>
        <v>-3</v>
      </c>
    </row>
    <row r="435" spans="1:36" ht="38.25">
      <c r="A435" s="151">
        <v>66</v>
      </c>
      <c r="B435" s="155">
        <v>429</v>
      </c>
      <c r="C435" s="156" t="s">
        <v>1054</v>
      </c>
      <c r="D435" s="155">
        <v>895</v>
      </c>
      <c r="E435" s="151">
        <v>224</v>
      </c>
      <c r="F435" s="151">
        <v>220</v>
      </c>
      <c r="G435" s="151">
        <v>0</v>
      </c>
      <c r="H435" s="151">
        <f t="shared" si="19"/>
        <v>444</v>
      </c>
      <c r="I435" s="155">
        <v>213</v>
      </c>
      <c r="J435" s="151">
        <v>0</v>
      </c>
      <c r="K435" s="160"/>
      <c r="L435" s="160"/>
      <c r="M435" s="168">
        <f>'66 SYANA PRAROOP-20'!C436</f>
        <v>132</v>
      </c>
      <c r="N435" s="160"/>
      <c r="O435" s="160"/>
      <c r="P435" s="158">
        <f>'66 SYANA PRAROOP-20'!D436</f>
        <v>253</v>
      </c>
      <c r="Q435" s="160"/>
      <c r="R435" s="160"/>
      <c r="S435" s="158">
        <f>'66 SYANA PRAROOP-20'!E436</f>
        <v>7</v>
      </c>
      <c r="T435" s="160"/>
      <c r="U435" s="160"/>
      <c r="V435" s="159">
        <f>'66 SYANA PRAROOP-20'!F436</f>
        <v>40</v>
      </c>
      <c r="W435" s="160"/>
      <c r="X435" s="160"/>
      <c r="Y435" s="159">
        <f>'66 SYANA PRAROOP-20'!G436</f>
        <v>0</v>
      </c>
      <c r="Z435" s="160"/>
      <c r="AA435" s="160"/>
      <c r="AB435" s="168">
        <f>'66 SYANA PRAROOP-20'!H436</f>
        <v>2</v>
      </c>
      <c r="AC435" s="160"/>
      <c r="AD435" s="160"/>
      <c r="AE435" s="168">
        <f>'66 SYANA PRAROOP-20'!I436</f>
        <v>1</v>
      </c>
      <c r="AF435" s="160"/>
      <c r="AG435" s="160"/>
      <c r="AH435" s="168">
        <f>'66 SYANA PRAROOP-20'!J436</f>
        <v>2</v>
      </c>
      <c r="AI435" s="159">
        <f t="shared" si="20"/>
        <v>437</v>
      </c>
      <c r="AJ435" s="150">
        <f t="shared" si="18"/>
        <v>-7</v>
      </c>
    </row>
    <row r="436" spans="1:36" ht="51">
      <c r="A436" s="151">
        <v>66</v>
      </c>
      <c r="B436" s="155">
        <v>430</v>
      </c>
      <c r="C436" s="156" t="s">
        <v>1055</v>
      </c>
      <c r="D436" s="155">
        <v>953</v>
      </c>
      <c r="E436" s="151">
        <v>260</v>
      </c>
      <c r="F436" s="151">
        <v>210</v>
      </c>
      <c r="G436" s="151">
        <v>0</v>
      </c>
      <c r="H436" s="151">
        <f t="shared" si="19"/>
        <v>470</v>
      </c>
      <c r="I436" s="155">
        <v>52</v>
      </c>
      <c r="J436" s="151">
        <v>0</v>
      </c>
      <c r="K436" s="160"/>
      <c r="L436" s="160"/>
      <c r="M436" s="168">
        <f>'66 SYANA PRAROOP-20'!C437</f>
        <v>172</v>
      </c>
      <c r="N436" s="160"/>
      <c r="O436" s="160"/>
      <c r="P436" s="158">
        <f>'66 SYANA PRAROOP-20'!D437</f>
        <v>270</v>
      </c>
      <c r="Q436" s="160"/>
      <c r="R436" s="160"/>
      <c r="S436" s="158">
        <f>'66 SYANA PRAROOP-20'!E437</f>
        <v>15</v>
      </c>
      <c r="T436" s="160"/>
      <c r="U436" s="160"/>
      <c r="V436" s="159">
        <f>'66 SYANA PRAROOP-20'!F437</f>
        <v>2</v>
      </c>
      <c r="W436" s="160"/>
      <c r="X436" s="160"/>
      <c r="Y436" s="159">
        <f>'66 SYANA PRAROOP-20'!G437</f>
        <v>1</v>
      </c>
      <c r="Z436" s="160"/>
      <c r="AA436" s="160"/>
      <c r="AB436" s="168">
        <f>'66 SYANA PRAROOP-20'!H437</f>
        <v>0</v>
      </c>
      <c r="AC436" s="160"/>
      <c r="AD436" s="160"/>
      <c r="AE436" s="168">
        <f>'66 SYANA PRAROOP-20'!I437</f>
        <v>2</v>
      </c>
      <c r="AF436" s="160"/>
      <c r="AG436" s="160"/>
      <c r="AH436" s="168">
        <f>'66 SYANA PRAROOP-20'!J437</f>
        <v>2</v>
      </c>
      <c r="AI436" s="159">
        <f t="shared" si="20"/>
        <v>464</v>
      </c>
      <c r="AJ436" s="150"/>
    </row>
    <row r="437" spans="1:36" ht="51">
      <c r="A437" s="151">
        <v>66</v>
      </c>
      <c r="B437" s="155">
        <v>431</v>
      </c>
      <c r="C437" s="156" t="s">
        <v>1056</v>
      </c>
      <c r="D437" s="155">
        <v>942</v>
      </c>
      <c r="E437" s="151">
        <v>296</v>
      </c>
      <c r="F437" s="151">
        <v>287</v>
      </c>
      <c r="G437" s="151">
        <v>0</v>
      </c>
      <c r="H437" s="151">
        <f t="shared" si="19"/>
        <v>583</v>
      </c>
      <c r="I437" s="155">
        <v>559</v>
      </c>
      <c r="J437" s="151">
        <v>0</v>
      </c>
      <c r="K437" s="160"/>
      <c r="L437" s="160"/>
      <c r="M437" s="168">
        <f>'66 SYANA PRAROOP-20'!C438</f>
        <v>77</v>
      </c>
      <c r="N437" s="160"/>
      <c r="O437" s="160"/>
      <c r="P437" s="158">
        <f>'66 SYANA PRAROOP-20'!D438</f>
        <v>234</v>
      </c>
      <c r="Q437" s="160"/>
      <c r="R437" s="160"/>
      <c r="S437" s="158">
        <f>'66 SYANA PRAROOP-20'!E438</f>
        <v>29</v>
      </c>
      <c r="T437" s="160"/>
      <c r="U437" s="160"/>
      <c r="V437" s="159">
        <f>'66 SYANA PRAROOP-20'!F438</f>
        <v>226</v>
      </c>
      <c r="W437" s="160"/>
      <c r="X437" s="160"/>
      <c r="Y437" s="159">
        <f>'66 SYANA PRAROOP-20'!G438</f>
        <v>8</v>
      </c>
      <c r="Z437" s="160"/>
      <c r="AA437" s="160"/>
      <c r="AB437" s="168">
        <f>'66 SYANA PRAROOP-20'!H438</f>
        <v>6</v>
      </c>
      <c r="AC437" s="160"/>
      <c r="AD437" s="160"/>
      <c r="AE437" s="168">
        <f>'66 SYANA PRAROOP-20'!I438</f>
        <v>0</v>
      </c>
      <c r="AF437" s="160"/>
      <c r="AG437" s="160"/>
      <c r="AH437" s="168">
        <f>'66 SYANA PRAROOP-20'!J438</f>
        <v>2</v>
      </c>
      <c r="AI437" s="159">
        <f t="shared" si="20"/>
        <v>582</v>
      </c>
      <c r="AJ437" s="150"/>
    </row>
    <row r="438" spans="1:36" ht="51">
      <c r="A438" s="151">
        <v>66</v>
      </c>
      <c r="B438" s="155">
        <v>432</v>
      </c>
      <c r="C438" s="156" t="s">
        <v>1057</v>
      </c>
      <c r="D438" s="155">
        <v>787</v>
      </c>
      <c r="E438" s="151">
        <v>219</v>
      </c>
      <c r="F438" s="151">
        <v>187</v>
      </c>
      <c r="G438" s="151">
        <v>0</v>
      </c>
      <c r="H438" s="151">
        <f t="shared" si="19"/>
        <v>406</v>
      </c>
      <c r="I438" s="155">
        <v>319</v>
      </c>
      <c r="J438" s="151">
        <v>0</v>
      </c>
      <c r="K438" s="160"/>
      <c r="L438" s="160"/>
      <c r="M438" s="168">
        <f>'66 SYANA PRAROOP-20'!C439</f>
        <v>79</v>
      </c>
      <c r="N438" s="160"/>
      <c r="O438" s="160"/>
      <c r="P438" s="158">
        <f>'66 SYANA PRAROOP-20'!D439</f>
        <v>302</v>
      </c>
      <c r="Q438" s="160"/>
      <c r="R438" s="160"/>
      <c r="S438" s="158">
        <f>'66 SYANA PRAROOP-20'!E439</f>
        <v>6</v>
      </c>
      <c r="T438" s="160"/>
      <c r="U438" s="160"/>
      <c r="V438" s="159">
        <f>'66 SYANA PRAROOP-20'!F439</f>
        <v>12</v>
      </c>
      <c r="W438" s="160"/>
      <c r="X438" s="160"/>
      <c r="Y438" s="159">
        <f>'66 SYANA PRAROOP-20'!G439</f>
        <v>0</v>
      </c>
      <c r="Z438" s="160"/>
      <c r="AA438" s="160"/>
      <c r="AB438" s="168">
        <f>'66 SYANA PRAROOP-20'!H439</f>
        <v>3</v>
      </c>
      <c r="AC438" s="160"/>
      <c r="AD438" s="160"/>
      <c r="AE438" s="168">
        <f>'66 SYANA PRAROOP-20'!I439</f>
        <v>0</v>
      </c>
      <c r="AF438" s="160"/>
      <c r="AG438" s="160"/>
      <c r="AH438" s="168">
        <f>'66 SYANA PRAROOP-20'!J439</f>
        <v>1</v>
      </c>
      <c r="AI438" s="159">
        <f t="shared" si="20"/>
        <v>403</v>
      </c>
      <c r="AJ438" s="150"/>
    </row>
    <row r="439" spans="1:36" ht="51">
      <c r="A439" s="151">
        <v>66</v>
      </c>
      <c r="B439" s="155">
        <v>433</v>
      </c>
      <c r="C439" s="156" t="s">
        <v>1058</v>
      </c>
      <c r="D439" s="155">
        <v>698</v>
      </c>
      <c r="E439" s="151">
        <v>247</v>
      </c>
      <c r="F439" s="151">
        <v>238</v>
      </c>
      <c r="G439" s="151">
        <v>0</v>
      </c>
      <c r="H439" s="151">
        <f t="shared" si="19"/>
        <v>485</v>
      </c>
      <c r="I439" s="155">
        <v>62</v>
      </c>
      <c r="J439" s="151">
        <v>0</v>
      </c>
      <c r="K439" s="160"/>
      <c r="L439" s="160"/>
      <c r="M439" s="168">
        <f>'66 SYANA PRAROOP-20'!C440</f>
        <v>44</v>
      </c>
      <c r="N439" s="160"/>
      <c r="O439" s="160"/>
      <c r="P439" s="158">
        <f>'66 SYANA PRAROOP-20'!D440</f>
        <v>386</v>
      </c>
      <c r="Q439" s="160"/>
      <c r="R439" s="160"/>
      <c r="S439" s="158">
        <f>'66 SYANA PRAROOP-20'!E440</f>
        <v>1</v>
      </c>
      <c r="T439" s="160"/>
      <c r="U439" s="160"/>
      <c r="V439" s="159">
        <f>'66 SYANA PRAROOP-20'!F440</f>
        <v>46</v>
      </c>
      <c r="W439" s="160"/>
      <c r="X439" s="160"/>
      <c r="Y439" s="159">
        <f>'66 SYANA PRAROOP-20'!G440</f>
        <v>2</v>
      </c>
      <c r="Z439" s="160"/>
      <c r="AA439" s="160"/>
      <c r="AB439" s="168">
        <f>'66 SYANA PRAROOP-20'!H440</f>
        <v>1</v>
      </c>
      <c r="AC439" s="160"/>
      <c r="AD439" s="160"/>
      <c r="AE439" s="168">
        <f>'66 SYANA PRAROOP-20'!I440</f>
        <v>2</v>
      </c>
      <c r="AF439" s="160"/>
      <c r="AG439" s="160"/>
      <c r="AH439" s="168">
        <f>'66 SYANA PRAROOP-20'!J440</f>
        <v>2</v>
      </c>
      <c r="AI439" s="159">
        <f t="shared" si="20"/>
        <v>484</v>
      </c>
      <c r="AJ439" s="150"/>
    </row>
    <row r="440" spans="1:36" ht="51">
      <c r="A440" s="151">
        <v>66</v>
      </c>
      <c r="B440" s="155">
        <v>434</v>
      </c>
      <c r="C440" s="156" t="s">
        <v>1059</v>
      </c>
      <c r="D440" s="155">
        <v>795</v>
      </c>
      <c r="E440" s="151">
        <v>198</v>
      </c>
      <c r="F440" s="151">
        <v>139</v>
      </c>
      <c r="G440" s="151">
        <v>0</v>
      </c>
      <c r="H440" s="151">
        <f t="shared" si="19"/>
        <v>337</v>
      </c>
      <c r="I440" s="155">
        <v>13</v>
      </c>
      <c r="J440" s="151">
        <v>0</v>
      </c>
      <c r="K440" s="160"/>
      <c r="L440" s="160"/>
      <c r="M440" s="168">
        <f>'66 SYANA PRAROOP-20'!C441</f>
        <v>74</v>
      </c>
      <c r="N440" s="160"/>
      <c r="O440" s="160"/>
      <c r="P440" s="158">
        <f>'66 SYANA PRAROOP-20'!D441</f>
        <v>148</v>
      </c>
      <c r="Q440" s="160"/>
      <c r="R440" s="160"/>
      <c r="S440" s="158">
        <f>'66 SYANA PRAROOP-20'!E441</f>
        <v>4</v>
      </c>
      <c r="T440" s="160"/>
      <c r="U440" s="160"/>
      <c r="V440" s="159">
        <f>'66 SYANA PRAROOP-20'!F441</f>
        <v>102</v>
      </c>
      <c r="W440" s="160"/>
      <c r="X440" s="160"/>
      <c r="Y440" s="159">
        <f>'66 SYANA PRAROOP-20'!G441</f>
        <v>1</v>
      </c>
      <c r="Z440" s="160"/>
      <c r="AA440" s="160"/>
      <c r="AB440" s="168">
        <f>'66 SYANA PRAROOP-20'!H441</f>
        <v>0</v>
      </c>
      <c r="AC440" s="160"/>
      <c r="AD440" s="160"/>
      <c r="AE440" s="168">
        <f>'66 SYANA PRAROOP-20'!I441</f>
        <v>3</v>
      </c>
      <c r="AF440" s="160"/>
      <c r="AG440" s="160"/>
      <c r="AH440" s="168">
        <f>'66 SYANA PRAROOP-20'!J441</f>
        <v>1</v>
      </c>
      <c r="AI440" s="159">
        <f t="shared" si="20"/>
        <v>333</v>
      </c>
      <c r="AJ440" s="150"/>
    </row>
    <row r="441" spans="1:36" ht="51">
      <c r="A441" s="151">
        <v>66</v>
      </c>
      <c r="B441" s="155">
        <v>435</v>
      </c>
      <c r="C441" s="156" t="s">
        <v>1060</v>
      </c>
      <c r="D441" s="155">
        <v>1050</v>
      </c>
      <c r="E441" s="151">
        <v>338</v>
      </c>
      <c r="F441" s="151">
        <v>297</v>
      </c>
      <c r="G441" s="151">
        <v>0</v>
      </c>
      <c r="H441" s="151">
        <f t="shared" si="19"/>
        <v>635</v>
      </c>
      <c r="I441" s="155">
        <v>107</v>
      </c>
      <c r="J441" s="151">
        <v>0</v>
      </c>
      <c r="K441" s="160"/>
      <c r="L441" s="160"/>
      <c r="M441" s="168">
        <f>'66 SYANA PRAROOP-20'!C442</f>
        <v>67</v>
      </c>
      <c r="N441" s="160"/>
      <c r="O441" s="160"/>
      <c r="P441" s="158">
        <f>'66 SYANA PRAROOP-20'!D442</f>
        <v>270</v>
      </c>
      <c r="Q441" s="160"/>
      <c r="R441" s="160"/>
      <c r="S441" s="158">
        <f>'66 SYANA PRAROOP-20'!E442</f>
        <v>12</v>
      </c>
      <c r="T441" s="160"/>
      <c r="U441" s="160"/>
      <c r="V441" s="159">
        <f>'66 SYANA PRAROOP-20'!F442</f>
        <v>279</v>
      </c>
      <c r="W441" s="160"/>
      <c r="X441" s="160"/>
      <c r="Y441" s="159">
        <f>'66 SYANA PRAROOP-20'!G442</f>
        <v>2</v>
      </c>
      <c r="Z441" s="160"/>
      <c r="AA441" s="160"/>
      <c r="AB441" s="168">
        <f>'66 SYANA PRAROOP-20'!H442</f>
        <v>2</v>
      </c>
      <c r="AC441" s="160"/>
      <c r="AD441" s="160"/>
      <c r="AE441" s="168">
        <f>'66 SYANA PRAROOP-20'!I442</f>
        <v>2</v>
      </c>
      <c r="AF441" s="160"/>
      <c r="AG441" s="160"/>
      <c r="AH441" s="168">
        <f>'66 SYANA PRAROOP-20'!J442</f>
        <v>0</v>
      </c>
      <c r="AI441" s="159">
        <f t="shared" si="20"/>
        <v>634</v>
      </c>
      <c r="AJ441" s="150"/>
    </row>
    <row r="442" spans="1:36" ht="63.75">
      <c r="A442" s="151">
        <v>66</v>
      </c>
      <c r="B442" s="155">
        <v>436</v>
      </c>
      <c r="C442" s="156" t="s">
        <v>1061</v>
      </c>
      <c r="D442" s="155">
        <v>944</v>
      </c>
      <c r="E442" s="151">
        <v>332</v>
      </c>
      <c r="F442" s="151">
        <v>312</v>
      </c>
      <c r="G442" s="151">
        <v>0</v>
      </c>
      <c r="H442" s="151">
        <f t="shared" si="19"/>
        <v>644</v>
      </c>
      <c r="I442" s="155">
        <v>52</v>
      </c>
      <c r="J442" s="151">
        <v>0</v>
      </c>
      <c r="K442" s="160"/>
      <c r="L442" s="160"/>
      <c r="M442" s="168">
        <f>'66 SYANA PRAROOP-20'!C443</f>
        <v>71</v>
      </c>
      <c r="N442" s="160"/>
      <c r="O442" s="160"/>
      <c r="P442" s="158">
        <f>'66 SYANA PRAROOP-20'!D443</f>
        <v>548</v>
      </c>
      <c r="Q442" s="160"/>
      <c r="R442" s="160"/>
      <c r="S442" s="158">
        <f>'66 SYANA PRAROOP-20'!E443</f>
        <v>13</v>
      </c>
      <c r="T442" s="160"/>
      <c r="U442" s="160"/>
      <c r="V442" s="159">
        <f>'66 SYANA PRAROOP-20'!F443</f>
        <v>5</v>
      </c>
      <c r="W442" s="160"/>
      <c r="X442" s="160"/>
      <c r="Y442" s="159">
        <f>'66 SYANA PRAROOP-20'!G443</f>
        <v>0</v>
      </c>
      <c r="Z442" s="160"/>
      <c r="AA442" s="160"/>
      <c r="AB442" s="168">
        <f>'66 SYANA PRAROOP-20'!H443</f>
        <v>3</v>
      </c>
      <c r="AC442" s="160"/>
      <c r="AD442" s="160"/>
      <c r="AE442" s="168">
        <f>'66 SYANA PRAROOP-20'!I443</f>
        <v>0</v>
      </c>
      <c r="AF442" s="160"/>
      <c r="AG442" s="160"/>
      <c r="AH442" s="168">
        <f>'66 SYANA PRAROOP-20'!J443</f>
        <v>3</v>
      </c>
      <c r="AI442" s="159">
        <f t="shared" si="20"/>
        <v>643</v>
      </c>
      <c r="AJ442" s="150"/>
    </row>
    <row r="443" spans="1:36" ht="63.75">
      <c r="A443" s="151">
        <v>66</v>
      </c>
      <c r="B443" s="155">
        <v>437</v>
      </c>
      <c r="C443" s="156" t="s">
        <v>1062</v>
      </c>
      <c r="D443" s="155">
        <v>950</v>
      </c>
      <c r="E443" s="151">
        <v>339</v>
      </c>
      <c r="F443" s="151">
        <v>297</v>
      </c>
      <c r="G443" s="151">
        <v>0</v>
      </c>
      <c r="H443" s="151">
        <f t="shared" si="19"/>
        <v>636</v>
      </c>
      <c r="I443" s="155">
        <v>36</v>
      </c>
      <c r="J443" s="151">
        <v>0</v>
      </c>
      <c r="K443" s="160"/>
      <c r="L443" s="160"/>
      <c r="M443" s="168">
        <f>'66 SYANA PRAROOP-20'!C444</f>
        <v>28</v>
      </c>
      <c r="N443" s="160"/>
      <c r="O443" s="160"/>
      <c r="P443" s="158">
        <f>'66 SYANA PRAROOP-20'!D444</f>
        <v>478</v>
      </c>
      <c r="Q443" s="160"/>
      <c r="R443" s="160"/>
      <c r="S443" s="158">
        <f>'66 SYANA PRAROOP-20'!E444</f>
        <v>5</v>
      </c>
      <c r="T443" s="160"/>
      <c r="U443" s="160"/>
      <c r="V443" s="159">
        <f>'66 SYANA PRAROOP-20'!F444</f>
        <v>112</v>
      </c>
      <c r="W443" s="160"/>
      <c r="X443" s="160"/>
      <c r="Y443" s="159">
        <f>'66 SYANA PRAROOP-20'!G444</f>
        <v>4</v>
      </c>
      <c r="Z443" s="160"/>
      <c r="AA443" s="160"/>
      <c r="AB443" s="168">
        <f>'66 SYANA PRAROOP-20'!H444</f>
        <v>4</v>
      </c>
      <c r="AC443" s="160"/>
      <c r="AD443" s="160"/>
      <c r="AE443" s="168">
        <f>'66 SYANA PRAROOP-20'!I444</f>
        <v>3</v>
      </c>
      <c r="AF443" s="160"/>
      <c r="AG443" s="160"/>
      <c r="AH443" s="168">
        <f>'66 SYANA PRAROOP-20'!J444</f>
        <v>0</v>
      </c>
      <c r="AI443" s="159">
        <f t="shared" si="20"/>
        <v>634</v>
      </c>
      <c r="AJ443" s="150"/>
    </row>
    <row r="444" spans="1:36" ht="63.75">
      <c r="A444" s="151">
        <v>66</v>
      </c>
      <c r="B444" s="155">
        <v>438</v>
      </c>
      <c r="C444" s="156" t="s">
        <v>1156</v>
      </c>
      <c r="D444" s="155">
        <v>414</v>
      </c>
      <c r="E444" s="151">
        <v>133</v>
      </c>
      <c r="F444" s="151">
        <v>98</v>
      </c>
      <c r="G444" s="151">
        <v>0</v>
      </c>
      <c r="H444" s="151">
        <f t="shared" si="19"/>
        <v>231</v>
      </c>
      <c r="I444" s="155">
        <v>10</v>
      </c>
      <c r="J444" s="151">
        <v>0</v>
      </c>
      <c r="K444" s="160"/>
      <c r="L444" s="160"/>
      <c r="M444" s="168">
        <f>'66 SYANA PRAROOP-20'!C445</f>
        <v>103</v>
      </c>
      <c r="N444" s="160"/>
      <c r="O444" s="160"/>
      <c r="P444" s="158">
        <f>'66 SYANA PRAROOP-20'!D445</f>
        <v>120</v>
      </c>
      <c r="Q444" s="160"/>
      <c r="R444" s="160"/>
      <c r="S444" s="158">
        <f>'66 SYANA PRAROOP-20'!E445</f>
        <v>1</v>
      </c>
      <c r="T444" s="160"/>
      <c r="U444" s="160"/>
      <c r="V444" s="159">
        <f>'66 SYANA PRAROOP-20'!F445</f>
        <v>3</v>
      </c>
      <c r="W444" s="160"/>
      <c r="X444" s="160"/>
      <c r="Y444" s="159">
        <f>'66 SYANA PRAROOP-20'!G445</f>
        <v>0</v>
      </c>
      <c r="Z444" s="160"/>
      <c r="AA444" s="160"/>
      <c r="AB444" s="168">
        <f>'66 SYANA PRAROOP-20'!H445</f>
        <v>2</v>
      </c>
      <c r="AC444" s="160"/>
      <c r="AD444" s="160"/>
      <c r="AE444" s="168">
        <f>'66 SYANA PRAROOP-20'!I445</f>
        <v>0</v>
      </c>
      <c r="AF444" s="160"/>
      <c r="AG444" s="160"/>
      <c r="AH444" s="168">
        <f>'66 SYANA PRAROOP-20'!J445</f>
        <v>2</v>
      </c>
      <c r="AI444" s="159">
        <f t="shared" si="20"/>
        <v>231</v>
      </c>
      <c r="AJ444" s="150"/>
    </row>
    <row r="445" spans="1:36" ht="67.5" customHeight="1">
      <c r="A445" s="288" t="s">
        <v>3</v>
      </c>
      <c r="B445" s="289"/>
      <c r="C445" s="290"/>
      <c r="D445" s="163">
        <f>SUM(D7:D444)</f>
        <v>385012</v>
      </c>
      <c r="E445" s="163">
        <f t="shared" ref="E445:AI445" si="21">SUM(E7:E444)</f>
        <v>131652</v>
      </c>
      <c r="F445" s="163">
        <f t="shared" si="21"/>
        <v>120309</v>
      </c>
      <c r="G445" s="163">
        <f t="shared" si="21"/>
        <v>0</v>
      </c>
      <c r="H445" s="163">
        <f t="shared" si="21"/>
        <v>251961</v>
      </c>
      <c r="I445" s="163">
        <f t="shared" si="21"/>
        <v>62963</v>
      </c>
      <c r="J445" s="163">
        <f t="shared" si="21"/>
        <v>0</v>
      </c>
      <c r="K445" s="160"/>
      <c r="L445" s="160"/>
      <c r="M445" s="163">
        <f>SUM(M7:M444)</f>
        <v>59207</v>
      </c>
      <c r="N445" s="160"/>
      <c r="O445" s="160"/>
      <c r="P445" s="163">
        <f t="shared" si="21"/>
        <v>148342</v>
      </c>
      <c r="Q445" s="160"/>
      <c r="R445" s="160"/>
      <c r="S445" s="163">
        <f t="shared" si="21"/>
        <v>2888</v>
      </c>
      <c r="T445" s="160"/>
      <c r="U445" s="160"/>
      <c r="V445" s="163">
        <f t="shared" si="21"/>
        <v>36043</v>
      </c>
      <c r="W445" s="160"/>
      <c r="X445" s="160"/>
      <c r="Y445" s="163">
        <f t="shared" si="21"/>
        <v>728</v>
      </c>
      <c r="Z445" s="160"/>
      <c r="AA445" s="160"/>
      <c r="AB445" s="163">
        <f t="shared" si="21"/>
        <v>1235</v>
      </c>
      <c r="AC445" s="160"/>
      <c r="AD445" s="160"/>
      <c r="AE445" s="163">
        <f t="shared" si="21"/>
        <v>1109</v>
      </c>
      <c r="AF445" s="160"/>
      <c r="AG445" s="160"/>
      <c r="AH445" s="163">
        <f t="shared" si="21"/>
        <v>1009</v>
      </c>
      <c r="AI445" s="191">
        <f t="shared" si="21"/>
        <v>250561</v>
      </c>
      <c r="AJ445" s="150">
        <f>AI445-H445</f>
        <v>-1400</v>
      </c>
    </row>
    <row r="449" spans="35:35" ht="15.75" customHeight="1">
      <c r="AI449" s="164"/>
    </row>
    <row r="450" spans="35:35" ht="15.75" customHeight="1">
      <c r="AI450" s="164"/>
    </row>
  </sheetData>
  <mergeCells count="27">
    <mergeCell ref="AG7:AG11"/>
    <mergeCell ref="A445:C445"/>
    <mergeCell ref="X7:X11"/>
    <mergeCell ref="AD7:AD11"/>
    <mergeCell ref="N4:P4"/>
    <mergeCell ref="Q4:S4"/>
    <mergeCell ref="T4:V4"/>
    <mergeCell ref="W4:Y4"/>
    <mergeCell ref="Z4:AB4"/>
    <mergeCell ref="AC4:AE4"/>
    <mergeCell ref="L7:L11"/>
    <mergeCell ref="O7:O11"/>
    <mergeCell ref="R7:R11"/>
    <mergeCell ref="U7:U11"/>
    <mergeCell ref="AA7:AA11"/>
    <mergeCell ref="A2:AI2"/>
    <mergeCell ref="A1:AI1"/>
    <mergeCell ref="A3:AI3"/>
    <mergeCell ref="A4:A5"/>
    <mergeCell ref="B4:C4"/>
    <mergeCell ref="D4:D5"/>
    <mergeCell ref="E4:H4"/>
    <mergeCell ref="I4:I5"/>
    <mergeCell ref="J4:J5"/>
    <mergeCell ref="K4:M4"/>
    <mergeCell ref="AF4:AH4"/>
    <mergeCell ref="AI4:AI5"/>
  </mergeCells>
  <pageMargins left="0.56999999999999995" right="0.15" top="0.46" bottom="0.43" header="0.3" footer="0.16"/>
  <pageSetup paperSize="9" scale="63" fitToHeight="57" orientation="landscape" r:id="rId1"/>
  <headerFooter>
    <oddFooter>&amp;L&amp;Z&amp;F&amp;R&amp;P to &amp;N</oddFooter>
  </headerFooter>
  <ignoredErrors>
    <ignoredError sqref="H7 D445:G445 I445:J445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C00000"/>
  </sheetPr>
  <dimension ref="A1:P14"/>
  <sheetViews>
    <sheetView workbookViewId="0">
      <selection activeCell="D6" sqref="D6"/>
    </sheetView>
  </sheetViews>
  <sheetFormatPr defaultRowHeight="15.75"/>
  <cols>
    <col min="1" max="1" width="8" style="122" customWidth="1"/>
    <col min="2" max="2" width="15.7109375" style="133" customWidth="1"/>
    <col min="3" max="3" width="28" style="122" customWidth="1"/>
    <col min="4" max="4" width="19.140625" style="122" customWidth="1"/>
    <col min="5" max="5" width="18.28515625" style="122" customWidth="1"/>
    <col min="6" max="6" width="21.28515625" style="122" customWidth="1"/>
    <col min="7" max="7" width="31.7109375" style="122" customWidth="1"/>
    <col min="8" max="8" width="20.28515625" style="122" customWidth="1"/>
    <col min="9" max="9" width="6.85546875" style="122" bestFit="1" customWidth="1"/>
    <col min="10" max="10" width="7.5703125" style="122" bestFit="1" customWidth="1"/>
    <col min="11" max="11" width="8.42578125" style="122" customWidth="1"/>
    <col min="12" max="13" width="9.42578125" style="122" customWidth="1"/>
    <col min="14" max="14" width="6.85546875" style="122" bestFit="1" customWidth="1"/>
    <col min="15" max="15" width="9.42578125" style="122" customWidth="1"/>
    <col min="16" max="16" width="10.28515625" style="122" customWidth="1"/>
    <col min="17" max="219" width="9.140625" style="122"/>
    <col min="220" max="220" width="4.85546875" style="122" customWidth="1"/>
    <col min="221" max="221" width="5.140625" style="122" customWidth="1"/>
    <col min="222" max="222" width="13.7109375" style="122" customWidth="1"/>
    <col min="223" max="223" width="9.42578125" style="122" customWidth="1"/>
    <col min="224" max="224" width="7.85546875" style="122" bestFit="1" customWidth="1"/>
    <col min="225" max="225" width="9.42578125" style="122" customWidth="1"/>
    <col min="226" max="226" width="7.42578125" style="122" customWidth="1"/>
    <col min="227" max="227" width="7.85546875" style="122" customWidth="1"/>
    <col min="228" max="228" width="11" style="122" customWidth="1"/>
    <col min="229" max="229" width="7.5703125" style="122" customWidth="1"/>
    <col min="230" max="230" width="3.28515625" style="122" customWidth="1"/>
    <col min="231" max="231" width="5.85546875" style="122" customWidth="1"/>
    <col min="232" max="232" width="6.5703125" style="122" customWidth="1"/>
    <col min="233" max="233" width="3.28515625" style="122" customWidth="1"/>
    <col min="234" max="234" width="5.85546875" style="122" customWidth="1"/>
    <col min="235" max="235" width="6.5703125" style="122" customWidth="1"/>
    <col min="236" max="236" width="3.28515625" style="122" customWidth="1"/>
    <col min="237" max="237" width="5.85546875" style="122" customWidth="1"/>
    <col min="238" max="238" width="6.5703125" style="122" customWidth="1"/>
    <col min="239" max="239" width="3.28515625" style="122" customWidth="1"/>
    <col min="240" max="240" width="5.85546875" style="122" customWidth="1"/>
    <col min="241" max="241" width="6.5703125" style="122" customWidth="1"/>
    <col min="242" max="242" width="3.28515625" style="122" customWidth="1"/>
    <col min="243" max="243" width="5.85546875" style="122" customWidth="1"/>
    <col min="244" max="244" width="6.5703125" style="122" customWidth="1"/>
    <col min="245" max="245" width="3.28515625" style="122" customWidth="1"/>
    <col min="246" max="246" width="5.85546875" style="122" customWidth="1"/>
    <col min="247" max="247" width="6.5703125" style="122" customWidth="1"/>
    <col min="248" max="248" width="3.28515625" style="122" customWidth="1"/>
    <col min="249" max="249" width="5.85546875" style="122" customWidth="1"/>
    <col min="250" max="250" width="6.5703125" style="122" customWidth="1"/>
    <col min="251" max="251" width="3.28515625" style="122" customWidth="1"/>
    <col min="252" max="252" width="5.85546875" style="122" customWidth="1"/>
    <col min="253" max="253" width="6.5703125" style="122" customWidth="1"/>
    <col min="254" max="254" width="3.28515625" style="122" customWidth="1"/>
    <col min="255" max="255" width="5.85546875" style="122" customWidth="1"/>
    <col min="256" max="256" width="6.5703125" style="122" customWidth="1"/>
    <col min="257" max="257" width="3.28515625" style="122" customWidth="1"/>
    <col min="258" max="258" width="5.85546875" style="122" customWidth="1"/>
    <col min="259" max="259" width="6.5703125" style="122" customWidth="1"/>
    <col min="260" max="260" width="3.28515625" style="122" customWidth="1"/>
    <col min="261" max="261" width="5.85546875" style="122" customWidth="1"/>
    <col min="262" max="262" width="6.5703125" style="122" customWidth="1"/>
    <col min="263" max="263" width="3.28515625" style="122" customWidth="1"/>
    <col min="264" max="264" width="5.85546875" style="122" customWidth="1"/>
    <col min="265" max="265" width="6.5703125" style="122" customWidth="1"/>
    <col min="266" max="266" width="3.28515625" style="122" customWidth="1"/>
    <col min="267" max="267" width="5.85546875" style="122" customWidth="1"/>
    <col min="268" max="268" width="6.5703125" style="122" customWidth="1"/>
    <col min="269" max="269" width="3.28515625" style="122" customWidth="1"/>
    <col min="270" max="270" width="5.85546875" style="122" customWidth="1"/>
    <col min="271" max="271" width="6.5703125" style="122" customWidth="1"/>
    <col min="272" max="272" width="9.42578125" style="122" customWidth="1"/>
    <col min="273" max="475" width="9.140625" style="122"/>
    <col min="476" max="476" width="4.85546875" style="122" customWidth="1"/>
    <col min="477" max="477" width="5.140625" style="122" customWidth="1"/>
    <col min="478" max="478" width="13.7109375" style="122" customWidth="1"/>
    <col min="479" max="479" width="9.42578125" style="122" customWidth="1"/>
    <col min="480" max="480" width="7.85546875" style="122" bestFit="1" customWidth="1"/>
    <col min="481" max="481" width="9.42578125" style="122" customWidth="1"/>
    <col min="482" max="482" width="7.42578125" style="122" customWidth="1"/>
    <col min="483" max="483" width="7.85546875" style="122" customWidth="1"/>
    <col min="484" max="484" width="11" style="122" customWidth="1"/>
    <col min="485" max="485" width="7.5703125" style="122" customWidth="1"/>
    <col min="486" max="486" width="3.28515625" style="122" customWidth="1"/>
    <col min="487" max="487" width="5.85546875" style="122" customWidth="1"/>
    <col min="488" max="488" width="6.5703125" style="122" customWidth="1"/>
    <col min="489" max="489" width="3.28515625" style="122" customWidth="1"/>
    <col min="490" max="490" width="5.85546875" style="122" customWidth="1"/>
    <col min="491" max="491" width="6.5703125" style="122" customWidth="1"/>
    <col min="492" max="492" width="3.28515625" style="122" customWidth="1"/>
    <col min="493" max="493" width="5.85546875" style="122" customWidth="1"/>
    <col min="494" max="494" width="6.5703125" style="122" customWidth="1"/>
    <col min="495" max="495" width="3.28515625" style="122" customWidth="1"/>
    <col min="496" max="496" width="5.85546875" style="122" customWidth="1"/>
    <col min="497" max="497" width="6.5703125" style="122" customWidth="1"/>
    <col min="498" max="498" width="3.28515625" style="122" customWidth="1"/>
    <col min="499" max="499" width="5.85546875" style="122" customWidth="1"/>
    <col min="500" max="500" width="6.5703125" style="122" customWidth="1"/>
    <col min="501" max="501" width="3.28515625" style="122" customWidth="1"/>
    <col min="502" max="502" width="5.85546875" style="122" customWidth="1"/>
    <col min="503" max="503" width="6.5703125" style="122" customWidth="1"/>
    <col min="504" max="504" width="3.28515625" style="122" customWidth="1"/>
    <col min="505" max="505" width="5.85546875" style="122" customWidth="1"/>
    <col min="506" max="506" width="6.5703125" style="122" customWidth="1"/>
    <col min="507" max="507" width="3.28515625" style="122" customWidth="1"/>
    <col min="508" max="508" width="5.85546875" style="122" customWidth="1"/>
    <col min="509" max="509" width="6.5703125" style="122" customWidth="1"/>
    <col min="510" max="510" width="3.28515625" style="122" customWidth="1"/>
    <col min="511" max="511" width="5.85546875" style="122" customWidth="1"/>
    <col min="512" max="512" width="6.5703125" style="122" customWidth="1"/>
    <col min="513" max="513" width="3.28515625" style="122" customWidth="1"/>
    <col min="514" max="514" width="5.85546875" style="122" customWidth="1"/>
    <col min="515" max="515" width="6.5703125" style="122" customWidth="1"/>
    <col min="516" max="516" width="3.28515625" style="122" customWidth="1"/>
    <col min="517" max="517" width="5.85546875" style="122" customWidth="1"/>
    <col min="518" max="518" width="6.5703125" style="122" customWidth="1"/>
    <col min="519" max="519" width="3.28515625" style="122" customWidth="1"/>
    <col min="520" max="520" width="5.85546875" style="122" customWidth="1"/>
    <col min="521" max="521" width="6.5703125" style="122" customWidth="1"/>
    <col min="522" max="522" width="3.28515625" style="122" customWidth="1"/>
    <col min="523" max="523" width="5.85546875" style="122" customWidth="1"/>
    <col min="524" max="524" width="6.5703125" style="122" customWidth="1"/>
    <col min="525" max="525" width="3.28515625" style="122" customWidth="1"/>
    <col min="526" max="526" width="5.85546875" style="122" customWidth="1"/>
    <col min="527" max="527" width="6.5703125" style="122" customWidth="1"/>
    <col min="528" max="528" width="9.42578125" style="122" customWidth="1"/>
    <col min="529" max="731" width="9.140625" style="122"/>
    <col min="732" max="732" width="4.85546875" style="122" customWidth="1"/>
    <col min="733" max="733" width="5.140625" style="122" customWidth="1"/>
    <col min="734" max="734" width="13.7109375" style="122" customWidth="1"/>
    <col min="735" max="735" width="9.42578125" style="122" customWidth="1"/>
    <col min="736" max="736" width="7.85546875" style="122" bestFit="1" customWidth="1"/>
    <col min="737" max="737" width="9.42578125" style="122" customWidth="1"/>
    <col min="738" max="738" width="7.42578125" style="122" customWidth="1"/>
    <col min="739" max="739" width="7.85546875" style="122" customWidth="1"/>
    <col min="740" max="740" width="11" style="122" customWidth="1"/>
    <col min="741" max="741" width="7.5703125" style="122" customWidth="1"/>
    <col min="742" max="742" width="3.28515625" style="122" customWidth="1"/>
    <col min="743" max="743" width="5.85546875" style="122" customWidth="1"/>
    <col min="744" max="744" width="6.5703125" style="122" customWidth="1"/>
    <col min="745" max="745" width="3.28515625" style="122" customWidth="1"/>
    <col min="746" max="746" width="5.85546875" style="122" customWidth="1"/>
    <col min="747" max="747" width="6.5703125" style="122" customWidth="1"/>
    <col min="748" max="748" width="3.28515625" style="122" customWidth="1"/>
    <col min="749" max="749" width="5.85546875" style="122" customWidth="1"/>
    <col min="750" max="750" width="6.5703125" style="122" customWidth="1"/>
    <col min="751" max="751" width="3.28515625" style="122" customWidth="1"/>
    <col min="752" max="752" width="5.85546875" style="122" customWidth="1"/>
    <col min="753" max="753" width="6.5703125" style="122" customWidth="1"/>
    <col min="754" max="754" width="3.28515625" style="122" customWidth="1"/>
    <col min="755" max="755" width="5.85546875" style="122" customWidth="1"/>
    <col min="756" max="756" width="6.5703125" style="122" customWidth="1"/>
    <col min="757" max="757" width="3.28515625" style="122" customWidth="1"/>
    <col min="758" max="758" width="5.85546875" style="122" customWidth="1"/>
    <col min="759" max="759" width="6.5703125" style="122" customWidth="1"/>
    <col min="760" max="760" width="3.28515625" style="122" customWidth="1"/>
    <col min="761" max="761" width="5.85546875" style="122" customWidth="1"/>
    <col min="762" max="762" width="6.5703125" style="122" customWidth="1"/>
    <col min="763" max="763" width="3.28515625" style="122" customWidth="1"/>
    <col min="764" max="764" width="5.85546875" style="122" customWidth="1"/>
    <col min="765" max="765" width="6.5703125" style="122" customWidth="1"/>
    <col min="766" max="766" width="3.28515625" style="122" customWidth="1"/>
    <col min="767" max="767" width="5.85546875" style="122" customWidth="1"/>
    <col min="768" max="768" width="6.5703125" style="122" customWidth="1"/>
    <col min="769" max="769" width="3.28515625" style="122" customWidth="1"/>
    <col min="770" max="770" width="5.85546875" style="122" customWidth="1"/>
    <col min="771" max="771" width="6.5703125" style="122" customWidth="1"/>
    <col min="772" max="772" width="3.28515625" style="122" customWidth="1"/>
    <col min="773" max="773" width="5.85546875" style="122" customWidth="1"/>
    <col min="774" max="774" width="6.5703125" style="122" customWidth="1"/>
    <col min="775" max="775" width="3.28515625" style="122" customWidth="1"/>
    <col min="776" max="776" width="5.85546875" style="122" customWidth="1"/>
    <col min="777" max="777" width="6.5703125" style="122" customWidth="1"/>
    <col min="778" max="778" width="3.28515625" style="122" customWidth="1"/>
    <col min="779" max="779" width="5.85546875" style="122" customWidth="1"/>
    <col min="780" max="780" width="6.5703125" style="122" customWidth="1"/>
    <col min="781" max="781" width="3.28515625" style="122" customWidth="1"/>
    <col min="782" max="782" width="5.85546875" style="122" customWidth="1"/>
    <col min="783" max="783" width="6.5703125" style="122" customWidth="1"/>
    <col min="784" max="784" width="9.42578125" style="122" customWidth="1"/>
    <col min="785" max="987" width="9.140625" style="122"/>
    <col min="988" max="988" width="4.85546875" style="122" customWidth="1"/>
    <col min="989" max="989" width="5.140625" style="122" customWidth="1"/>
    <col min="990" max="990" width="13.7109375" style="122" customWidth="1"/>
    <col min="991" max="991" width="9.42578125" style="122" customWidth="1"/>
    <col min="992" max="992" width="7.85546875" style="122" bestFit="1" customWidth="1"/>
    <col min="993" max="993" width="9.42578125" style="122" customWidth="1"/>
    <col min="994" max="994" width="7.42578125" style="122" customWidth="1"/>
    <col min="995" max="995" width="7.85546875" style="122" customWidth="1"/>
    <col min="996" max="996" width="11" style="122" customWidth="1"/>
    <col min="997" max="997" width="7.5703125" style="122" customWidth="1"/>
    <col min="998" max="998" width="3.28515625" style="122" customWidth="1"/>
    <col min="999" max="999" width="5.85546875" style="122" customWidth="1"/>
    <col min="1000" max="1000" width="6.5703125" style="122" customWidth="1"/>
    <col min="1001" max="1001" width="3.28515625" style="122" customWidth="1"/>
    <col min="1002" max="1002" width="5.85546875" style="122" customWidth="1"/>
    <col min="1003" max="1003" width="6.5703125" style="122" customWidth="1"/>
    <col min="1004" max="1004" width="3.28515625" style="122" customWidth="1"/>
    <col min="1005" max="1005" width="5.85546875" style="122" customWidth="1"/>
    <col min="1006" max="1006" width="6.5703125" style="122" customWidth="1"/>
    <col min="1007" max="1007" width="3.28515625" style="122" customWidth="1"/>
    <col min="1008" max="1008" width="5.85546875" style="122" customWidth="1"/>
    <col min="1009" max="1009" width="6.5703125" style="122" customWidth="1"/>
    <col min="1010" max="1010" width="3.28515625" style="122" customWidth="1"/>
    <col min="1011" max="1011" width="5.85546875" style="122" customWidth="1"/>
    <col min="1012" max="1012" width="6.5703125" style="122" customWidth="1"/>
    <col min="1013" max="1013" width="3.28515625" style="122" customWidth="1"/>
    <col min="1014" max="1014" width="5.85546875" style="122" customWidth="1"/>
    <col min="1015" max="1015" width="6.5703125" style="122" customWidth="1"/>
    <col min="1016" max="1016" width="3.28515625" style="122" customWidth="1"/>
    <col min="1017" max="1017" width="5.85546875" style="122" customWidth="1"/>
    <col min="1018" max="1018" width="6.5703125" style="122" customWidth="1"/>
    <col min="1019" max="1019" width="3.28515625" style="122" customWidth="1"/>
    <col min="1020" max="1020" width="5.85546875" style="122" customWidth="1"/>
    <col min="1021" max="1021" width="6.5703125" style="122" customWidth="1"/>
    <col min="1022" max="1022" width="3.28515625" style="122" customWidth="1"/>
    <col min="1023" max="1023" width="5.85546875" style="122" customWidth="1"/>
    <col min="1024" max="1024" width="6.5703125" style="122" customWidth="1"/>
    <col min="1025" max="1025" width="3.28515625" style="122" customWidth="1"/>
    <col min="1026" max="1026" width="5.85546875" style="122" customWidth="1"/>
    <col min="1027" max="1027" width="6.5703125" style="122" customWidth="1"/>
    <col min="1028" max="1028" width="3.28515625" style="122" customWidth="1"/>
    <col min="1029" max="1029" width="5.85546875" style="122" customWidth="1"/>
    <col min="1030" max="1030" width="6.5703125" style="122" customWidth="1"/>
    <col min="1031" max="1031" width="3.28515625" style="122" customWidth="1"/>
    <col min="1032" max="1032" width="5.85546875" style="122" customWidth="1"/>
    <col min="1033" max="1033" width="6.5703125" style="122" customWidth="1"/>
    <col min="1034" max="1034" width="3.28515625" style="122" customWidth="1"/>
    <col min="1035" max="1035" width="5.85546875" style="122" customWidth="1"/>
    <col min="1036" max="1036" width="6.5703125" style="122" customWidth="1"/>
    <col min="1037" max="1037" width="3.28515625" style="122" customWidth="1"/>
    <col min="1038" max="1038" width="5.85546875" style="122" customWidth="1"/>
    <col min="1039" max="1039" width="6.5703125" style="122" customWidth="1"/>
    <col min="1040" max="1040" width="9.42578125" style="122" customWidth="1"/>
    <col min="1041" max="1243" width="9.140625" style="122"/>
    <col min="1244" max="1244" width="4.85546875" style="122" customWidth="1"/>
    <col min="1245" max="1245" width="5.140625" style="122" customWidth="1"/>
    <col min="1246" max="1246" width="13.7109375" style="122" customWidth="1"/>
    <col min="1247" max="1247" width="9.42578125" style="122" customWidth="1"/>
    <col min="1248" max="1248" width="7.85546875" style="122" bestFit="1" customWidth="1"/>
    <col min="1249" max="1249" width="9.42578125" style="122" customWidth="1"/>
    <col min="1250" max="1250" width="7.42578125" style="122" customWidth="1"/>
    <col min="1251" max="1251" width="7.85546875" style="122" customWidth="1"/>
    <col min="1252" max="1252" width="11" style="122" customWidth="1"/>
    <col min="1253" max="1253" width="7.5703125" style="122" customWidth="1"/>
    <col min="1254" max="1254" width="3.28515625" style="122" customWidth="1"/>
    <col min="1255" max="1255" width="5.85546875" style="122" customWidth="1"/>
    <col min="1256" max="1256" width="6.5703125" style="122" customWidth="1"/>
    <col min="1257" max="1257" width="3.28515625" style="122" customWidth="1"/>
    <col min="1258" max="1258" width="5.85546875" style="122" customWidth="1"/>
    <col min="1259" max="1259" width="6.5703125" style="122" customWidth="1"/>
    <col min="1260" max="1260" width="3.28515625" style="122" customWidth="1"/>
    <col min="1261" max="1261" width="5.85546875" style="122" customWidth="1"/>
    <col min="1262" max="1262" width="6.5703125" style="122" customWidth="1"/>
    <col min="1263" max="1263" width="3.28515625" style="122" customWidth="1"/>
    <col min="1264" max="1264" width="5.85546875" style="122" customWidth="1"/>
    <col min="1265" max="1265" width="6.5703125" style="122" customWidth="1"/>
    <col min="1266" max="1266" width="3.28515625" style="122" customWidth="1"/>
    <col min="1267" max="1267" width="5.85546875" style="122" customWidth="1"/>
    <col min="1268" max="1268" width="6.5703125" style="122" customWidth="1"/>
    <col min="1269" max="1269" width="3.28515625" style="122" customWidth="1"/>
    <col min="1270" max="1270" width="5.85546875" style="122" customWidth="1"/>
    <col min="1271" max="1271" width="6.5703125" style="122" customWidth="1"/>
    <col min="1272" max="1272" width="3.28515625" style="122" customWidth="1"/>
    <col min="1273" max="1273" width="5.85546875" style="122" customWidth="1"/>
    <col min="1274" max="1274" width="6.5703125" style="122" customWidth="1"/>
    <col min="1275" max="1275" width="3.28515625" style="122" customWidth="1"/>
    <col min="1276" max="1276" width="5.85546875" style="122" customWidth="1"/>
    <col min="1277" max="1277" width="6.5703125" style="122" customWidth="1"/>
    <col min="1278" max="1278" width="3.28515625" style="122" customWidth="1"/>
    <col min="1279" max="1279" width="5.85546875" style="122" customWidth="1"/>
    <col min="1280" max="1280" width="6.5703125" style="122" customWidth="1"/>
    <col min="1281" max="1281" width="3.28515625" style="122" customWidth="1"/>
    <col min="1282" max="1282" width="5.85546875" style="122" customWidth="1"/>
    <col min="1283" max="1283" width="6.5703125" style="122" customWidth="1"/>
    <col min="1284" max="1284" width="3.28515625" style="122" customWidth="1"/>
    <col min="1285" max="1285" width="5.85546875" style="122" customWidth="1"/>
    <col min="1286" max="1286" width="6.5703125" style="122" customWidth="1"/>
    <col min="1287" max="1287" width="3.28515625" style="122" customWidth="1"/>
    <col min="1288" max="1288" width="5.85546875" style="122" customWidth="1"/>
    <col min="1289" max="1289" width="6.5703125" style="122" customWidth="1"/>
    <col min="1290" max="1290" width="3.28515625" style="122" customWidth="1"/>
    <col min="1291" max="1291" width="5.85546875" style="122" customWidth="1"/>
    <col min="1292" max="1292" width="6.5703125" style="122" customWidth="1"/>
    <col min="1293" max="1293" width="3.28515625" style="122" customWidth="1"/>
    <col min="1294" max="1294" width="5.85546875" style="122" customWidth="1"/>
    <col min="1295" max="1295" width="6.5703125" style="122" customWidth="1"/>
    <col min="1296" max="1296" width="9.42578125" style="122" customWidth="1"/>
    <col min="1297" max="1499" width="9.140625" style="122"/>
    <col min="1500" max="1500" width="4.85546875" style="122" customWidth="1"/>
    <col min="1501" max="1501" width="5.140625" style="122" customWidth="1"/>
    <col min="1502" max="1502" width="13.7109375" style="122" customWidth="1"/>
    <col min="1503" max="1503" width="9.42578125" style="122" customWidth="1"/>
    <col min="1504" max="1504" width="7.85546875" style="122" bestFit="1" customWidth="1"/>
    <col min="1505" max="1505" width="9.42578125" style="122" customWidth="1"/>
    <col min="1506" max="1506" width="7.42578125" style="122" customWidth="1"/>
    <col min="1507" max="1507" width="7.85546875" style="122" customWidth="1"/>
    <col min="1508" max="1508" width="11" style="122" customWidth="1"/>
    <col min="1509" max="1509" width="7.5703125" style="122" customWidth="1"/>
    <col min="1510" max="1510" width="3.28515625" style="122" customWidth="1"/>
    <col min="1511" max="1511" width="5.85546875" style="122" customWidth="1"/>
    <col min="1512" max="1512" width="6.5703125" style="122" customWidth="1"/>
    <col min="1513" max="1513" width="3.28515625" style="122" customWidth="1"/>
    <col min="1514" max="1514" width="5.85546875" style="122" customWidth="1"/>
    <col min="1515" max="1515" width="6.5703125" style="122" customWidth="1"/>
    <col min="1516" max="1516" width="3.28515625" style="122" customWidth="1"/>
    <col min="1517" max="1517" width="5.85546875" style="122" customWidth="1"/>
    <col min="1518" max="1518" width="6.5703125" style="122" customWidth="1"/>
    <col min="1519" max="1519" width="3.28515625" style="122" customWidth="1"/>
    <col min="1520" max="1520" width="5.85546875" style="122" customWidth="1"/>
    <col min="1521" max="1521" width="6.5703125" style="122" customWidth="1"/>
    <col min="1522" max="1522" width="3.28515625" style="122" customWidth="1"/>
    <col min="1523" max="1523" width="5.85546875" style="122" customWidth="1"/>
    <col min="1524" max="1524" width="6.5703125" style="122" customWidth="1"/>
    <col min="1525" max="1525" width="3.28515625" style="122" customWidth="1"/>
    <col min="1526" max="1526" width="5.85546875" style="122" customWidth="1"/>
    <col min="1527" max="1527" width="6.5703125" style="122" customWidth="1"/>
    <col min="1528" max="1528" width="3.28515625" style="122" customWidth="1"/>
    <col min="1529" max="1529" width="5.85546875" style="122" customWidth="1"/>
    <col min="1530" max="1530" width="6.5703125" style="122" customWidth="1"/>
    <col min="1531" max="1531" width="3.28515625" style="122" customWidth="1"/>
    <col min="1532" max="1532" width="5.85546875" style="122" customWidth="1"/>
    <col min="1533" max="1533" width="6.5703125" style="122" customWidth="1"/>
    <col min="1534" max="1534" width="3.28515625" style="122" customWidth="1"/>
    <col min="1535" max="1535" width="5.85546875" style="122" customWidth="1"/>
    <col min="1536" max="1536" width="6.5703125" style="122" customWidth="1"/>
    <col min="1537" max="1537" width="3.28515625" style="122" customWidth="1"/>
    <col min="1538" max="1538" width="5.85546875" style="122" customWidth="1"/>
    <col min="1539" max="1539" width="6.5703125" style="122" customWidth="1"/>
    <col min="1540" max="1540" width="3.28515625" style="122" customWidth="1"/>
    <col min="1541" max="1541" width="5.85546875" style="122" customWidth="1"/>
    <col min="1542" max="1542" width="6.5703125" style="122" customWidth="1"/>
    <col min="1543" max="1543" width="3.28515625" style="122" customWidth="1"/>
    <col min="1544" max="1544" width="5.85546875" style="122" customWidth="1"/>
    <col min="1545" max="1545" width="6.5703125" style="122" customWidth="1"/>
    <col min="1546" max="1546" width="3.28515625" style="122" customWidth="1"/>
    <col min="1547" max="1547" width="5.85546875" style="122" customWidth="1"/>
    <col min="1548" max="1548" width="6.5703125" style="122" customWidth="1"/>
    <col min="1549" max="1549" width="3.28515625" style="122" customWidth="1"/>
    <col min="1550" max="1550" width="5.85546875" style="122" customWidth="1"/>
    <col min="1551" max="1551" width="6.5703125" style="122" customWidth="1"/>
    <col min="1552" max="1552" width="9.42578125" style="122" customWidth="1"/>
    <col min="1553" max="1755" width="9.140625" style="122"/>
    <col min="1756" max="1756" width="4.85546875" style="122" customWidth="1"/>
    <col min="1757" max="1757" width="5.140625" style="122" customWidth="1"/>
    <col min="1758" max="1758" width="13.7109375" style="122" customWidth="1"/>
    <col min="1759" max="1759" width="9.42578125" style="122" customWidth="1"/>
    <col min="1760" max="1760" width="7.85546875" style="122" bestFit="1" customWidth="1"/>
    <col min="1761" max="1761" width="9.42578125" style="122" customWidth="1"/>
    <col min="1762" max="1762" width="7.42578125" style="122" customWidth="1"/>
    <col min="1763" max="1763" width="7.85546875" style="122" customWidth="1"/>
    <col min="1764" max="1764" width="11" style="122" customWidth="1"/>
    <col min="1765" max="1765" width="7.5703125" style="122" customWidth="1"/>
    <col min="1766" max="1766" width="3.28515625" style="122" customWidth="1"/>
    <col min="1767" max="1767" width="5.85546875" style="122" customWidth="1"/>
    <col min="1768" max="1768" width="6.5703125" style="122" customWidth="1"/>
    <col min="1769" max="1769" width="3.28515625" style="122" customWidth="1"/>
    <col min="1770" max="1770" width="5.85546875" style="122" customWidth="1"/>
    <col min="1771" max="1771" width="6.5703125" style="122" customWidth="1"/>
    <col min="1772" max="1772" width="3.28515625" style="122" customWidth="1"/>
    <col min="1773" max="1773" width="5.85546875" style="122" customWidth="1"/>
    <col min="1774" max="1774" width="6.5703125" style="122" customWidth="1"/>
    <col min="1775" max="1775" width="3.28515625" style="122" customWidth="1"/>
    <col min="1776" max="1776" width="5.85546875" style="122" customWidth="1"/>
    <col min="1777" max="1777" width="6.5703125" style="122" customWidth="1"/>
    <col min="1778" max="1778" width="3.28515625" style="122" customWidth="1"/>
    <col min="1779" max="1779" width="5.85546875" style="122" customWidth="1"/>
    <col min="1780" max="1780" width="6.5703125" style="122" customWidth="1"/>
    <col min="1781" max="1781" width="3.28515625" style="122" customWidth="1"/>
    <col min="1782" max="1782" width="5.85546875" style="122" customWidth="1"/>
    <col min="1783" max="1783" width="6.5703125" style="122" customWidth="1"/>
    <col min="1784" max="1784" width="3.28515625" style="122" customWidth="1"/>
    <col min="1785" max="1785" width="5.85546875" style="122" customWidth="1"/>
    <col min="1786" max="1786" width="6.5703125" style="122" customWidth="1"/>
    <col min="1787" max="1787" width="3.28515625" style="122" customWidth="1"/>
    <col min="1788" max="1788" width="5.85546875" style="122" customWidth="1"/>
    <col min="1789" max="1789" width="6.5703125" style="122" customWidth="1"/>
    <col min="1790" max="1790" width="3.28515625" style="122" customWidth="1"/>
    <col min="1791" max="1791" width="5.85546875" style="122" customWidth="1"/>
    <col min="1792" max="1792" width="6.5703125" style="122" customWidth="1"/>
    <col min="1793" max="1793" width="3.28515625" style="122" customWidth="1"/>
    <col min="1794" max="1794" width="5.85546875" style="122" customWidth="1"/>
    <col min="1795" max="1795" width="6.5703125" style="122" customWidth="1"/>
    <col min="1796" max="1796" width="3.28515625" style="122" customWidth="1"/>
    <col min="1797" max="1797" width="5.85546875" style="122" customWidth="1"/>
    <col min="1798" max="1798" width="6.5703125" style="122" customWidth="1"/>
    <col min="1799" max="1799" width="3.28515625" style="122" customWidth="1"/>
    <col min="1800" max="1800" width="5.85546875" style="122" customWidth="1"/>
    <col min="1801" max="1801" width="6.5703125" style="122" customWidth="1"/>
    <col min="1802" max="1802" width="3.28515625" style="122" customWidth="1"/>
    <col min="1803" max="1803" width="5.85546875" style="122" customWidth="1"/>
    <col min="1804" max="1804" width="6.5703125" style="122" customWidth="1"/>
    <col min="1805" max="1805" width="3.28515625" style="122" customWidth="1"/>
    <col min="1806" max="1806" width="5.85546875" style="122" customWidth="1"/>
    <col min="1807" max="1807" width="6.5703125" style="122" customWidth="1"/>
    <col min="1808" max="1808" width="9.42578125" style="122" customWidth="1"/>
    <col min="1809" max="2011" width="9.140625" style="122"/>
    <col min="2012" max="2012" width="4.85546875" style="122" customWidth="1"/>
    <col min="2013" max="2013" width="5.140625" style="122" customWidth="1"/>
    <col min="2014" max="2014" width="13.7109375" style="122" customWidth="1"/>
    <col min="2015" max="2015" width="9.42578125" style="122" customWidth="1"/>
    <col min="2016" max="2016" width="7.85546875" style="122" bestFit="1" customWidth="1"/>
    <col min="2017" max="2017" width="9.42578125" style="122" customWidth="1"/>
    <col min="2018" max="2018" width="7.42578125" style="122" customWidth="1"/>
    <col min="2019" max="2019" width="7.85546875" style="122" customWidth="1"/>
    <col min="2020" max="2020" width="11" style="122" customWidth="1"/>
    <col min="2021" max="2021" width="7.5703125" style="122" customWidth="1"/>
    <col min="2022" max="2022" width="3.28515625" style="122" customWidth="1"/>
    <col min="2023" max="2023" width="5.85546875" style="122" customWidth="1"/>
    <col min="2024" max="2024" width="6.5703125" style="122" customWidth="1"/>
    <col min="2025" max="2025" width="3.28515625" style="122" customWidth="1"/>
    <col min="2026" max="2026" width="5.85546875" style="122" customWidth="1"/>
    <col min="2027" max="2027" width="6.5703125" style="122" customWidth="1"/>
    <col min="2028" max="2028" width="3.28515625" style="122" customWidth="1"/>
    <col min="2029" max="2029" width="5.85546875" style="122" customWidth="1"/>
    <col min="2030" max="2030" width="6.5703125" style="122" customWidth="1"/>
    <col min="2031" max="2031" width="3.28515625" style="122" customWidth="1"/>
    <col min="2032" max="2032" width="5.85546875" style="122" customWidth="1"/>
    <col min="2033" max="2033" width="6.5703125" style="122" customWidth="1"/>
    <col min="2034" max="2034" width="3.28515625" style="122" customWidth="1"/>
    <col min="2035" max="2035" width="5.85546875" style="122" customWidth="1"/>
    <col min="2036" max="2036" width="6.5703125" style="122" customWidth="1"/>
    <col min="2037" max="2037" width="3.28515625" style="122" customWidth="1"/>
    <col min="2038" max="2038" width="5.85546875" style="122" customWidth="1"/>
    <col min="2039" max="2039" width="6.5703125" style="122" customWidth="1"/>
    <col min="2040" max="2040" width="3.28515625" style="122" customWidth="1"/>
    <col min="2041" max="2041" width="5.85546875" style="122" customWidth="1"/>
    <col min="2042" max="2042" width="6.5703125" style="122" customWidth="1"/>
    <col min="2043" max="2043" width="3.28515625" style="122" customWidth="1"/>
    <col min="2044" max="2044" width="5.85546875" style="122" customWidth="1"/>
    <col min="2045" max="2045" width="6.5703125" style="122" customWidth="1"/>
    <col min="2046" max="2046" width="3.28515625" style="122" customWidth="1"/>
    <col min="2047" max="2047" width="5.85546875" style="122" customWidth="1"/>
    <col min="2048" max="2048" width="6.5703125" style="122" customWidth="1"/>
    <col min="2049" max="2049" width="3.28515625" style="122" customWidth="1"/>
    <col min="2050" max="2050" width="5.85546875" style="122" customWidth="1"/>
    <col min="2051" max="2051" width="6.5703125" style="122" customWidth="1"/>
    <col min="2052" max="2052" width="3.28515625" style="122" customWidth="1"/>
    <col min="2053" max="2053" width="5.85546875" style="122" customWidth="1"/>
    <col min="2054" max="2054" width="6.5703125" style="122" customWidth="1"/>
    <col min="2055" max="2055" width="3.28515625" style="122" customWidth="1"/>
    <col min="2056" max="2056" width="5.85546875" style="122" customWidth="1"/>
    <col min="2057" max="2057" width="6.5703125" style="122" customWidth="1"/>
    <col min="2058" max="2058" width="3.28515625" style="122" customWidth="1"/>
    <col min="2059" max="2059" width="5.85546875" style="122" customWidth="1"/>
    <col min="2060" max="2060" width="6.5703125" style="122" customWidth="1"/>
    <col min="2061" max="2061" width="3.28515625" style="122" customWidth="1"/>
    <col min="2062" max="2062" width="5.85546875" style="122" customWidth="1"/>
    <col min="2063" max="2063" width="6.5703125" style="122" customWidth="1"/>
    <col min="2064" max="2064" width="9.42578125" style="122" customWidth="1"/>
    <col min="2065" max="2267" width="9.140625" style="122"/>
    <col min="2268" max="2268" width="4.85546875" style="122" customWidth="1"/>
    <col min="2269" max="2269" width="5.140625" style="122" customWidth="1"/>
    <col min="2270" max="2270" width="13.7109375" style="122" customWidth="1"/>
    <col min="2271" max="2271" width="9.42578125" style="122" customWidth="1"/>
    <col min="2272" max="2272" width="7.85546875" style="122" bestFit="1" customWidth="1"/>
    <col min="2273" max="2273" width="9.42578125" style="122" customWidth="1"/>
    <col min="2274" max="2274" width="7.42578125" style="122" customWidth="1"/>
    <col min="2275" max="2275" width="7.85546875" style="122" customWidth="1"/>
    <col min="2276" max="2276" width="11" style="122" customWidth="1"/>
    <col min="2277" max="2277" width="7.5703125" style="122" customWidth="1"/>
    <col min="2278" max="2278" width="3.28515625" style="122" customWidth="1"/>
    <col min="2279" max="2279" width="5.85546875" style="122" customWidth="1"/>
    <col min="2280" max="2280" width="6.5703125" style="122" customWidth="1"/>
    <col min="2281" max="2281" width="3.28515625" style="122" customWidth="1"/>
    <col min="2282" max="2282" width="5.85546875" style="122" customWidth="1"/>
    <col min="2283" max="2283" width="6.5703125" style="122" customWidth="1"/>
    <col min="2284" max="2284" width="3.28515625" style="122" customWidth="1"/>
    <col min="2285" max="2285" width="5.85546875" style="122" customWidth="1"/>
    <col min="2286" max="2286" width="6.5703125" style="122" customWidth="1"/>
    <col min="2287" max="2287" width="3.28515625" style="122" customWidth="1"/>
    <col min="2288" max="2288" width="5.85546875" style="122" customWidth="1"/>
    <col min="2289" max="2289" width="6.5703125" style="122" customWidth="1"/>
    <col min="2290" max="2290" width="3.28515625" style="122" customWidth="1"/>
    <col min="2291" max="2291" width="5.85546875" style="122" customWidth="1"/>
    <col min="2292" max="2292" width="6.5703125" style="122" customWidth="1"/>
    <col min="2293" max="2293" width="3.28515625" style="122" customWidth="1"/>
    <col min="2294" max="2294" width="5.85546875" style="122" customWidth="1"/>
    <col min="2295" max="2295" width="6.5703125" style="122" customWidth="1"/>
    <col min="2296" max="2296" width="3.28515625" style="122" customWidth="1"/>
    <col min="2297" max="2297" width="5.85546875" style="122" customWidth="1"/>
    <col min="2298" max="2298" width="6.5703125" style="122" customWidth="1"/>
    <col min="2299" max="2299" width="3.28515625" style="122" customWidth="1"/>
    <col min="2300" max="2300" width="5.85546875" style="122" customWidth="1"/>
    <col min="2301" max="2301" width="6.5703125" style="122" customWidth="1"/>
    <col min="2302" max="2302" width="3.28515625" style="122" customWidth="1"/>
    <col min="2303" max="2303" width="5.85546875" style="122" customWidth="1"/>
    <col min="2304" max="2304" width="6.5703125" style="122" customWidth="1"/>
    <col min="2305" max="2305" width="3.28515625" style="122" customWidth="1"/>
    <col min="2306" max="2306" width="5.85546875" style="122" customWidth="1"/>
    <col min="2307" max="2307" width="6.5703125" style="122" customWidth="1"/>
    <col min="2308" max="2308" width="3.28515625" style="122" customWidth="1"/>
    <col min="2309" max="2309" width="5.85546875" style="122" customWidth="1"/>
    <col min="2310" max="2310" width="6.5703125" style="122" customWidth="1"/>
    <col min="2311" max="2311" width="3.28515625" style="122" customWidth="1"/>
    <col min="2312" max="2312" width="5.85546875" style="122" customWidth="1"/>
    <col min="2313" max="2313" width="6.5703125" style="122" customWidth="1"/>
    <col min="2314" max="2314" width="3.28515625" style="122" customWidth="1"/>
    <col min="2315" max="2315" width="5.85546875" style="122" customWidth="1"/>
    <col min="2316" max="2316" width="6.5703125" style="122" customWidth="1"/>
    <col min="2317" max="2317" width="3.28515625" style="122" customWidth="1"/>
    <col min="2318" max="2318" width="5.85546875" style="122" customWidth="1"/>
    <col min="2319" max="2319" width="6.5703125" style="122" customWidth="1"/>
    <col min="2320" max="2320" width="9.42578125" style="122" customWidth="1"/>
    <col min="2321" max="2523" width="9.140625" style="122"/>
    <col min="2524" max="2524" width="4.85546875" style="122" customWidth="1"/>
    <col min="2525" max="2525" width="5.140625" style="122" customWidth="1"/>
    <col min="2526" max="2526" width="13.7109375" style="122" customWidth="1"/>
    <col min="2527" max="2527" width="9.42578125" style="122" customWidth="1"/>
    <col min="2528" max="2528" width="7.85546875" style="122" bestFit="1" customWidth="1"/>
    <col min="2529" max="2529" width="9.42578125" style="122" customWidth="1"/>
    <col min="2530" max="2530" width="7.42578125" style="122" customWidth="1"/>
    <col min="2531" max="2531" width="7.85546875" style="122" customWidth="1"/>
    <col min="2532" max="2532" width="11" style="122" customWidth="1"/>
    <col min="2533" max="2533" width="7.5703125" style="122" customWidth="1"/>
    <col min="2534" max="2534" width="3.28515625" style="122" customWidth="1"/>
    <col min="2535" max="2535" width="5.85546875" style="122" customWidth="1"/>
    <col min="2536" max="2536" width="6.5703125" style="122" customWidth="1"/>
    <col min="2537" max="2537" width="3.28515625" style="122" customWidth="1"/>
    <col min="2538" max="2538" width="5.85546875" style="122" customWidth="1"/>
    <col min="2539" max="2539" width="6.5703125" style="122" customWidth="1"/>
    <col min="2540" max="2540" width="3.28515625" style="122" customWidth="1"/>
    <col min="2541" max="2541" width="5.85546875" style="122" customWidth="1"/>
    <col min="2542" max="2542" width="6.5703125" style="122" customWidth="1"/>
    <col min="2543" max="2543" width="3.28515625" style="122" customWidth="1"/>
    <col min="2544" max="2544" width="5.85546875" style="122" customWidth="1"/>
    <col min="2545" max="2545" width="6.5703125" style="122" customWidth="1"/>
    <col min="2546" max="2546" width="3.28515625" style="122" customWidth="1"/>
    <col min="2547" max="2547" width="5.85546875" style="122" customWidth="1"/>
    <col min="2548" max="2548" width="6.5703125" style="122" customWidth="1"/>
    <col min="2549" max="2549" width="3.28515625" style="122" customWidth="1"/>
    <col min="2550" max="2550" width="5.85546875" style="122" customWidth="1"/>
    <col min="2551" max="2551" width="6.5703125" style="122" customWidth="1"/>
    <col min="2552" max="2552" width="3.28515625" style="122" customWidth="1"/>
    <col min="2553" max="2553" width="5.85546875" style="122" customWidth="1"/>
    <col min="2554" max="2554" width="6.5703125" style="122" customWidth="1"/>
    <col min="2555" max="2555" width="3.28515625" style="122" customWidth="1"/>
    <col min="2556" max="2556" width="5.85546875" style="122" customWidth="1"/>
    <col min="2557" max="2557" width="6.5703125" style="122" customWidth="1"/>
    <col min="2558" max="2558" width="3.28515625" style="122" customWidth="1"/>
    <col min="2559" max="2559" width="5.85546875" style="122" customWidth="1"/>
    <col min="2560" max="2560" width="6.5703125" style="122" customWidth="1"/>
    <col min="2561" max="2561" width="3.28515625" style="122" customWidth="1"/>
    <col min="2562" max="2562" width="5.85546875" style="122" customWidth="1"/>
    <col min="2563" max="2563" width="6.5703125" style="122" customWidth="1"/>
    <col min="2564" max="2564" width="3.28515625" style="122" customWidth="1"/>
    <col min="2565" max="2565" width="5.85546875" style="122" customWidth="1"/>
    <col min="2566" max="2566" width="6.5703125" style="122" customWidth="1"/>
    <col min="2567" max="2567" width="3.28515625" style="122" customWidth="1"/>
    <col min="2568" max="2568" width="5.85546875" style="122" customWidth="1"/>
    <col min="2569" max="2569" width="6.5703125" style="122" customWidth="1"/>
    <col min="2570" max="2570" width="3.28515625" style="122" customWidth="1"/>
    <col min="2571" max="2571" width="5.85546875" style="122" customWidth="1"/>
    <col min="2572" max="2572" width="6.5703125" style="122" customWidth="1"/>
    <col min="2573" max="2573" width="3.28515625" style="122" customWidth="1"/>
    <col min="2574" max="2574" width="5.85546875" style="122" customWidth="1"/>
    <col min="2575" max="2575" width="6.5703125" style="122" customWidth="1"/>
    <col min="2576" max="2576" width="9.42578125" style="122" customWidth="1"/>
    <col min="2577" max="2779" width="9.140625" style="122"/>
    <col min="2780" max="2780" width="4.85546875" style="122" customWidth="1"/>
    <col min="2781" max="2781" width="5.140625" style="122" customWidth="1"/>
    <col min="2782" max="2782" width="13.7109375" style="122" customWidth="1"/>
    <col min="2783" max="2783" width="9.42578125" style="122" customWidth="1"/>
    <col min="2784" max="2784" width="7.85546875" style="122" bestFit="1" customWidth="1"/>
    <col min="2785" max="2785" width="9.42578125" style="122" customWidth="1"/>
    <col min="2786" max="2786" width="7.42578125" style="122" customWidth="1"/>
    <col min="2787" max="2787" width="7.85546875" style="122" customWidth="1"/>
    <col min="2788" max="2788" width="11" style="122" customWidth="1"/>
    <col min="2789" max="2789" width="7.5703125" style="122" customWidth="1"/>
    <col min="2790" max="2790" width="3.28515625" style="122" customWidth="1"/>
    <col min="2791" max="2791" width="5.85546875" style="122" customWidth="1"/>
    <col min="2792" max="2792" width="6.5703125" style="122" customWidth="1"/>
    <col min="2793" max="2793" width="3.28515625" style="122" customWidth="1"/>
    <col min="2794" max="2794" width="5.85546875" style="122" customWidth="1"/>
    <col min="2795" max="2795" width="6.5703125" style="122" customWidth="1"/>
    <col min="2796" max="2796" width="3.28515625" style="122" customWidth="1"/>
    <col min="2797" max="2797" width="5.85546875" style="122" customWidth="1"/>
    <col min="2798" max="2798" width="6.5703125" style="122" customWidth="1"/>
    <col min="2799" max="2799" width="3.28515625" style="122" customWidth="1"/>
    <col min="2800" max="2800" width="5.85546875" style="122" customWidth="1"/>
    <col min="2801" max="2801" width="6.5703125" style="122" customWidth="1"/>
    <col min="2802" max="2802" width="3.28515625" style="122" customWidth="1"/>
    <col min="2803" max="2803" width="5.85546875" style="122" customWidth="1"/>
    <col min="2804" max="2804" width="6.5703125" style="122" customWidth="1"/>
    <col min="2805" max="2805" width="3.28515625" style="122" customWidth="1"/>
    <col min="2806" max="2806" width="5.85546875" style="122" customWidth="1"/>
    <col min="2807" max="2807" width="6.5703125" style="122" customWidth="1"/>
    <col min="2808" max="2808" width="3.28515625" style="122" customWidth="1"/>
    <col min="2809" max="2809" width="5.85546875" style="122" customWidth="1"/>
    <col min="2810" max="2810" width="6.5703125" style="122" customWidth="1"/>
    <col min="2811" max="2811" width="3.28515625" style="122" customWidth="1"/>
    <col min="2812" max="2812" width="5.85546875" style="122" customWidth="1"/>
    <col min="2813" max="2813" width="6.5703125" style="122" customWidth="1"/>
    <col min="2814" max="2814" width="3.28515625" style="122" customWidth="1"/>
    <col min="2815" max="2815" width="5.85546875" style="122" customWidth="1"/>
    <col min="2816" max="2816" width="6.5703125" style="122" customWidth="1"/>
    <col min="2817" max="2817" width="3.28515625" style="122" customWidth="1"/>
    <col min="2818" max="2818" width="5.85546875" style="122" customWidth="1"/>
    <col min="2819" max="2819" width="6.5703125" style="122" customWidth="1"/>
    <col min="2820" max="2820" width="3.28515625" style="122" customWidth="1"/>
    <col min="2821" max="2821" width="5.85546875" style="122" customWidth="1"/>
    <col min="2822" max="2822" width="6.5703125" style="122" customWidth="1"/>
    <col min="2823" max="2823" width="3.28515625" style="122" customWidth="1"/>
    <col min="2824" max="2824" width="5.85546875" style="122" customWidth="1"/>
    <col min="2825" max="2825" width="6.5703125" style="122" customWidth="1"/>
    <col min="2826" max="2826" width="3.28515625" style="122" customWidth="1"/>
    <col min="2827" max="2827" width="5.85546875" style="122" customWidth="1"/>
    <col min="2828" max="2828" width="6.5703125" style="122" customWidth="1"/>
    <col min="2829" max="2829" width="3.28515625" style="122" customWidth="1"/>
    <col min="2830" max="2830" width="5.85546875" style="122" customWidth="1"/>
    <col min="2831" max="2831" width="6.5703125" style="122" customWidth="1"/>
    <col min="2832" max="2832" width="9.42578125" style="122" customWidth="1"/>
    <col min="2833" max="3035" width="9.140625" style="122"/>
    <col min="3036" max="3036" width="4.85546875" style="122" customWidth="1"/>
    <col min="3037" max="3037" width="5.140625" style="122" customWidth="1"/>
    <col min="3038" max="3038" width="13.7109375" style="122" customWidth="1"/>
    <col min="3039" max="3039" width="9.42578125" style="122" customWidth="1"/>
    <col min="3040" max="3040" width="7.85546875" style="122" bestFit="1" customWidth="1"/>
    <col min="3041" max="3041" width="9.42578125" style="122" customWidth="1"/>
    <col min="3042" max="3042" width="7.42578125" style="122" customWidth="1"/>
    <col min="3043" max="3043" width="7.85546875" style="122" customWidth="1"/>
    <col min="3044" max="3044" width="11" style="122" customWidth="1"/>
    <col min="3045" max="3045" width="7.5703125" style="122" customWidth="1"/>
    <col min="3046" max="3046" width="3.28515625" style="122" customWidth="1"/>
    <col min="3047" max="3047" width="5.85546875" style="122" customWidth="1"/>
    <col min="3048" max="3048" width="6.5703125" style="122" customWidth="1"/>
    <col min="3049" max="3049" width="3.28515625" style="122" customWidth="1"/>
    <col min="3050" max="3050" width="5.85546875" style="122" customWidth="1"/>
    <col min="3051" max="3051" width="6.5703125" style="122" customWidth="1"/>
    <col min="3052" max="3052" width="3.28515625" style="122" customWidth="1"/>
    <col min="3053" max="3053" width="5.85546875" style="122" customWidth="1"/>
    <col min="3054" max="3054" width="6.5703125" style="122" customWidth="1"/>
    <col min="3055" max="3055" width="3.28515625" style="122" customWidth="1"/>
    <col min="3056" max="3056" width="5.85546875" style="122" customWidth="1"/>
    <col min="3057" max="3057" width="6.5703125" style="122" customWidth="1"/>
    <col min="3058" max="3058" width="3.28515625" style="122" customWidth="1"/>
    <col min="3059" max="3059" width="5.85546875" style="122" customWidth="1"/>
    <col min="3060" max="3060" width="6.5703125" style="122" customWidth="1"/>
    <col min="3061" max="3061" width="3.28515625" style="122" customWidth="1"/>
    <col min="3062" max="3062" width="5.85546875" style="122" customWidth="1"/>
    <col min="3063" max="3063" width="6.5703125" style="122" customWidth="1"/>
    <col min="3064" max="3064" width="3.28515625" style="122" customWidth="1"/>
    <col min="3065" max="3065" width="5.85546875" style="122" customWidth="1"/>
    <col min="3066" max="3066" width="6.5703125" style="122" customWidth="1"/>
    <col min="3067" max="3067" width="3.28515625" style="122" customWidth="1"/>
    <col min="3068" max="3068" width="5.85546875" style="122" customWidth="1"/>
    <col min="3069" max="3069" width="6.5703125" style="122" customWidth="1"/>
    <col min="3070" max="3070" width="3.28515625" style="122" customWidth="1"/>
    <col min="3071" max="3071" width="5.85546875" style="122" customWidth="1"/>
    <col min="3072" max="3072" width="6.5703125" style="122" customWidth="1"/>
    <col min="3073" max="3073" width="3.28515625" style="122" customWidth="1"/>
    <col min="3074" max="3074" width="5.85546875" style="122" customWidth="1"/>
    <col min="3075" max="3075" width="6.5703125" style="122" customWidth="1"/>
    <col min="3076" max="3076" width="3.28515625" style="122" customWidth="1"/>
    <col min="3077" max="3077" width="5.85546875" style="122" customWidth="1"/>
    <col min="3078" max="3078" width="6.5703125" style="122" customWidth="1"/>
    <col min="3079" max="3079" width="3.28515625" style="122" customWidth="1"/>
    <col min="3080" max="3080" width="5.85546875" style="122" customWidth="1"/>
    <col min="3081" max="3081" width="6.5703125" style="122" customWidth="1"/>
    <col min="3082" max="3082" width="3.28515625" style="122" customWidth="1"/>
    <col min="3083" max="3083" width="5.85546875" style="122" customWidth="1"/>
    <col min="3084" max="3084" width="6.5703125" style="122" customWidth="1"/>
    <col min="3085" max="3085" width="3.28515625" style="122" customWidth="1"/>
    <col min="3086" max="3086" width="5.85546875" style="122" customWidth="1"/>
    <col min="3087" max="3087" width="6.5703125" style="122" customWidth="1"/>
    <col min="3088" max="3088" width="9.42578125" style="122" customWidth="1"/>
    <col min="3089" max="3291" width="9.140625" style="122"/>
    <col min="3292" max="3292" width="4.85546875" style="122" customWidth="1"/>
    <col min="3293" max="3293" width="5.140625" style="122" customWidth="1"/>
    <col min="3294" max="3294" width="13.7109375" style="122" customWidth="1"/>
    <col min="3295" max="3295" width="9.42578125" style="122" customWidth="1"/>
    <col min="3296" max="3296" width="7.85546875" style="122" bestFit="1" customWidth="1"/>
    <col min="3297" max="3297" width="9.42578125" style="122" customWidth="1"/>
    <col min="3298" max="3298" width="7.42578125" style="122" customWidth="1"/>
    <col min="3299" max="3299" width="7.85546875" style="122" customWidth="1"/>
    <col min="3300" max="3300" width="11" style="122" customWidth="1"/>
    <col min="3301" max="3301" width="7.5703125" style="122" customWidth="1"/>
    <col min="3302" max="3302" width="3.28515625" style="122" customWidth="1"/>
    <col min="3303" max="3303" width="5.85546875" style="122" customWidth="1"/>
    <col min="3304" max="3304" width="6.5703125" style="122" customWidth="1"/>
    <col min="3305" max="3305" width="3.28515625" style="122" customWidth="1"/>
    <col min="3306" max="3306" width="5.85546875" style="122" customWidth="1"/>
    <col min="3307" max="3307" width="6.5703125" style="122" customWidth="1"/>
    <col min="3308" max="3308" width="3.28515625" style="122" customWidth="1"/>
    <col min="3309" max="3309" width="5.85546875" style="122" customWidth="1"/>
    <col min="3310" max="3310" width="6.5703125" style="122" customWidth="1"/>
    <col min="3311" max="3311" width="3.28515625" style="122" customWidth="1"/>
    <col min="3312" max="3312" width="5.85546875" style="122" customWidth="1"/>
    <col min="3313" max="3313" width="6.5703125" style="122" customWidth="1"/>
    <col min="3314" max="3314" width="3.28515625" style="122" customWidth="1"/>
    <col min="3315" max="3315" width="5.85546875" style="122" customWidth="1"/>
    <col min="3316" max="3316" width="6.5703125" style="122" customWidth="1"/>
    <col min="3317" max="3317" width="3.28515625" style="122" customWidth="1"/>
    <col min="3318" max="3318" width="5.85546875" style="122" customWidth="1"/>
    <col min="3319" max="3319" width="6.5703125" style="122" customWidth="1"/>
    <col min="3320" max="3320" width="3.28515625" style="122" customWidth="1"/>
    <col min="3321" max="3321" width="5.85546875" style="122" customWidth="1"/>
    <col min="3322" max="3322" width="6.5703125" style="122" customWidth="1"/>
    <col min="3323" max="3323" width="3.28515625" style="122" customWidth="1"/>
    <col min="3324" max="3324" width="5.85546875" style="122" customWidth="1"/>
    <col min="3325" max="3325" width="6.5703125" style="122" customWidth="1"/>
    <col min="3326" max="3326" width="3.28515625" style="122" customWidth="1"/>
    <col min="3327" max="3327" width="5.85546875" style="122" customWidth="1"/>
    <col min="3328" max="3328" width="6.5703125" style="122" customWidth="1"/>
    <col min="3329" max="3329" width="3.28515625" style="122" customWidth="1"/>
    <col min="3330" max="3330" width="5.85546875" style="122" customWidth="1"/>
    <col min="3331" max="3331" width="6.5703125" style="122" customWidth="1"/>
    <col min="3332" max="3332" width="3.28515625" style="122" customWidth="1"/>
    <col min="3333" max="3333" width="5.85546875" style="122" customWidth="1"/>
    <col min="3334" max="3334" width="6.5703125" style="122" customWidth="1"/>
    <col min="3335" max="3335" width="3.28515625" style="122" customWidth="1"/>
    <col min="3336" max="3336" width="5.85546875" style="122" customWidth="1"/>
    <col min="3337" max="3337" width="6.5703125" style="122" customWidth="1"/>
    <col min="3338" max="3338" width="3.28515625" style="122" customWidth="1"/>
    <col min="3339" max="3339" width="5.85546875" style="122" customWidth="1"/>
    <col min="3340" max="3340" width="6.5703125" style="122" customWidth="1"/>
    <col min="3341" max="3341" width="3.28515625" style="122" customWidth="1"/>
    <col min="3342" max="3342" width="5.85546875" style="122" customWidth="1"/>
    <col min="3343" max="3343" width="6.5703125" style="122" customWidth="1"/>
    <col min="3344" max="3344" width="9.42578125" style="122" customWidth="1"/>
    <col min="3345" max="3547" width="9.140625" style="122"/>
    <col min="3548" max="3548" width="4.85546875" style="122" customWidth="1"/>
    <col min="3549" max="3549" width="5.140625" style="122" customWidth="1"/>
    <col min="3550" max="3550" width="13.7109375" style="122" customWidth="1"/>
    <col min="3551" max="3551" width="9.42578125" style="122" customWidth="1"/>
    <col min="3552" max="3552" width="7.85546875" style="122" bestFit="1" customWidth="1"/>
    <col min="3553" max="3553" width="9.42578125" style="122" customWidth="1"/>
    <col min="3554" max="3554" width="7.42578125" style="122" customWidth="1"/>
    <col min="3555" max="3555" width="7.85546875" style="122" customWidth="1"/>
    <col min="3556" max="3556" width="11" style="122" customWidth="1"/>
    <col min="3557" max="3557" width="7.5703125" style="122" customWidth="1"/>
    <col min="3558" max="3558" width="3.28515625" style="122" customWidth="1"/>
    <col min="3559" max="3559" width="5.85546875" style="122" customWidth="1"/>
    <col min="3560" max="3560" width="6.5703125" style="122" customWidth="1"/>
    <col min="3561" max="3561" width="3.28515625" style="122" customWidth="1"/>
    <col min="3562" max="3562" width="5.85546875" style="122" customWidth="1"/>
    <col min="3563" max="3563" width="6.5703125" style="122" customWidth="1"/>
    <col min="3564" max="3564" width="3.28515625" style="122" customWidth="1"/>
    <col min="3565" max="3565" width="5.85546875" style="122" customWidth="1"/>
    <col min="3566" max="3566" width="6.5703125" style="122" customWidth="1"/>
    <col min="3567" max="3567" width="3.28515625" style="122" customWidth="1"/>
    <col min="3568" max="3568" width="5.85546875" style="122" customWidth="1"/>
    <col min="3569" max="3569" width="6.5703125" style="122" customWidth="1"/>
    <col min="3570" max="3570" width="3.28515625" style="122" customWidth="1"/>
    <col min="3571" max="3571" width="5.85546875" style="122" customWidth="1"/>
    <col min="3572" max="3572" width="6.5703125" style="122" customWidth="1"/>
    <col min="3573" max="3573" width="3.28515625" style="122" customWidth="1"/>
    <col min="3574" max="3574" width="5.85546875" style="122" customWidth="1"/>
    <col min="3575" max="3575" width="6.5703125" style="122" customWidth="1"/>
    <col min="3576" max="3576" width="3.28515625" style="122" customWidth="1"/>
    <col min="3577" max="3577" width="5.85546875" style="122" customWidth="1"/>
    <col min="3578" max="3578" width="6.5703125" style="122" customWidth="1"/>
    <col min="3579" max="3579" width="3.28515625" style="122" customWidth="1"/>
    <col min="3580" max="3580" width="5.85546875" style="122" customWidth="1"/>
    <col min="3581" max="3581" width="6.5703125" style="122" customWidth="1"/>
    <col min="3582" max="3582" width="3.28515625" style="122" customWidth="1"/>
    <col min="3583" max="3583" width="5.85546875" style="122" customWidth="1"/>
    <col min="3584" max="3584" width="6.5703125" style="122" customWidth="1"/>
    <col min="3585" max="3585" width="3.28515625" style="122" customWidth="1"/>
    <col min="3586" max="3586" width="5.85546875" style="122" customWidth="1"/>
    <col min="3587" max="3587" width="6.5703125" style="122" customWidth="1"/>
    <col min="3588" max="3588" width="3.28515625" style="122" customWidth="1"/>
    <col min="3589" max="3589" width="5.85546875" style="122" customWidth="1"/>
    <col min="3590" max="3590" width="6.5703125" style="122" customWidth="1"/>
    <col min="3591" max="3591" width="3.28515625" style="122" customWidth="1"/>
    <col min="3592" max="3592" width="5.85546875" style="122" customWidth="1"/>
    <col min="3593" max="3593" width="6.5703125" style="122" customWidth="1"/>
    <col min="3594" max="3594" width="3.28515625" style="122" customWidth="1"/>
    <col min="3595" max="3595" width="5.85546875" style="122" customWidth="1"/>
    <col min="3596" max="3596" width="6.5703125" style="122" customWidth="1"/>
    <col min="3597" max="3597" width="3.28515625" style="122" customWidth="1"/>
    <col min="3598" max="3598" width="5.85546875" style="122" customWidth="1"/>
    <col min="3599" max="3599" width="6.5703125" style="122" customWidth="1"/>
    <col min="3600" max="3600" width="9.42578125" style="122" customWidth="1"/>
    <col min="3601" max="3803" width="9.140625" style="122"/>
    <col min="3804" max="3804" width="4.85546875" style="122" customWidth="1"/>
    <col min="3805" max="3805" width="5.140625" style="122" customWidth="1"/>
    <col min="3806" max="3806" width="13.7109375" style="122" customWidth="1"/>
    <col min="3807" max="3807" width="9.42578125" style="122" customWidth="1"/>
    <col min="3808" max="3808" width="7.85546875" style="122" bestFit="1" customWidth="1"/>
    <col min="3809" max="3809" width="9.42578125" style="122" customWidth="1"/>
    <col min="3810" max="3810" width="7.42578125" style="122" customWidth="1"/>
    <col min="3811" max="3811" width="7.85546875" style="122" customWidth="1"/>
    <col min="3812" max="3812" width="11" style="122" customWidth="1"/>
    <col min="3813" max="3813" width="7.5703125" style="122" customWidth="1"/>
    <col min="3814" max="3814" width="3.28515625" style="122" customWidth="1"/>
    <col min="3815" max="3815" width="5.85546875" style="122" customWidth="1"/>
    <col min="3816" max="3816" width="6.5703125" style="122" customWidth="1"/>
    <col min="3817" max="3817" width="3.28515625" style="122" customWidth="1"/>
    <col min="3818" max="3818" width="5.85546875" style="122" customWidth="1"/>
    <col min="3819" max="3819" width="6.5703125" style="122" customWidth="1"/>
    <col min="3820" max="3820" width="3.28515625" style="122" customWidth="1"/>
    <col min="3821" max="3821" width="5.85546875" style="122" customWidth="1"/>
    <col min="3822" max="3822" width="6.5703125" style="122" customWidth="1"/>
    <col min="3823" max="3823" width="3.28515625" style="122" customWidth="1"/>
    <col min="3824" max="3824" width="5.85546875" style="122" customWidth="1"/>
    <col min="3825" max="3825" width="6.5703125" style="122" customWidth="1"/>
    <col min="3826" max="3826" width="3.28515625" style="122" customWidth="1"/>
    <col min="3827" max="3827" width="5.85546875" style="122" customWidth="1"/>
    <col min="3828" max="3828" width="6.5703125" style="122" customWidth="1"/>
    <col min="3829" max="3829" width="3.28515625" style="122" customWidth="1"/>
    <col min="3830" max="3830" width="5.85546875" style="122" customWidth="1"/>
    <col min="3831" max="3831" width="6.5703125" style="122" customWidth="1"/>
    <col min="3832" max="3832" width="3.28515625" style="122" customWidth="1"/>
    <col min="3833" max="3833" width="5.85546875" style="122" customWidth="1"/>
    <col min="3834" max="3834" width="6.5703125" style="122" customWidth="1"/>
    <col min="3835" max="3835" width="3.28515625" style="122" customWidth="1"/>
    <col min="3836" max="3836" width="5.85546875" style="122" customWidth="1"/>
    <col min="3837" max="3837" width="6.5703125" style="122" customWidth="1"/>
    <col min="3838" max="3838" width="3.28515625" style="122" customWidth="1"/>
    <col min="3839" max="3839" width="5.85546875" style="122" customWidth="1"/>
    <col min="3840" max="3840" width="6.5703125" style="122" customWidth="1"/>
    <col min="3841" max="3841" width="3.28515625" style="122" customWidth="1"/>
    <col min="3842" max="3842" width="5.85546875" style="122" customWidth="1"/>
    <col min="3843" max="3843" width="6.5703125" style="122" customWidth="1"/>
    <col min="3844" max="3844" width="3.28515625" style="122" customWidth="1"/>
    <col min="3845" max="3845" width="5.85546875" style="122" customWidth="1"/>
    <col min="3846" max="3846" width="6.5703125" style="122" customWidth="1"/>
    <col min="3847" max="3847" width="3.28515625" style="122" customWidth="1"/>
    <col min="3848" max="3848" width="5.85546875" style="122" customWidth="1"/>
    <col min="3849" max="3849" width="6.5703125" style="122" customWidth="1"/>
    <col min="3850" max="3850" width="3.28515625" style="122" customWidth="1"/>
    <col min="3851" max="3851" width="5.85546875" style="122" customWidth="1"/>
    <col min="3852" max="3852" width="6.5703125" style="122" customWidth="1"/>
    <col min="3853" max="3853" width="3.28515625" style="122" customWidth="1"/>
    <col min="3854" max="3854" width="5.85546875" style="122" customWidth="1"/>
    <col min="3855" max="3855" width="6.5703125" style="122" customWidth="1"/>
    <col min="3856" max="3856" width="9.42578125" style="122" customWidth="1"/>
    <col min="3857" max="4059" width="9.140625" style="122"/>
    <col min="4060" max="4060" width="4.85546875" style="122" customWidth="1"/>
    <col min="4061" max="4061" width="5.140625" style="122" customWidth="1"/>
    <col min="4062" max="4062" width="13.7109375" style="122" customWidth="1"/>
    <col min="4063" max="4063" width="9.42578125" style="122" customWidth="1"/>
    <col min="4064" max="4064" width="7.85546875" style="122" bestFit="1" customWidth="1"/>
    <col min="4065" max="4065" width="9.42578125" style="122" customWidth="1"/>
    <col min="4066" max="4066" width="7.42578125" style="122" customWidth="1"/>
    <col min="4067" max="4067" width="7.85546875" style="122" customWidth="1"/>
    <col min="4068" max="4068" width="11" style="122" customWidth="1"/>
    <col min="4069" max="4069" width="7.5703125" style="122" customWidth="1"/>
    <col min="4070" max="4070" width="3.28515625" style="122" customWidth="1"/>
    <col min="4071" max="4071" width="5.85546875" style="122" customWidth="1"/>
    <col min="4072" max="4072" width="6.5703125" style="122" customWidth="1"/>
    <col min="4073" max="4073" width="3.28515625" style="122" customWidth="1"/>
    <col min="4074" max="4074" width="5.85546875" style="122" customWidth="1"/>
    <col min="4075" max="4075" width="6.5703125" style="122" customWidth="1"/>
    <col min="4076" max="4076" width="3.28515625" style="122" customWidth="1"/>
    <col min="4077" max="4077" width="5.85546875" style="122" customWidth="1"/>
    <col min="4078" max="4078" width="6.5703125" style="122" customWidth="1"/>
    <col min="4079" max="4079" width="3.28515625" style="122" customWidth="1"/>
    <col min="4080" max="4080" width="5.85546875" style="122" customWidth="1"/>
    <col min="4081" max="4081" width="6.5703125" style="122" customWidth="1"/>
    <col min="4082" max="4082" width="3.28515625" style="122" customWidth="1"/>
    <col min="4083" max="4083" width="5.85546875" style="122" customWidth="1"/>
    <col min="4084" max="4084" width="6.5703125" style="122" customWidth="1"/>
    <col min="4085" max="4085" width="3.28515625" style="122" customWidth="1"/>
    <col min="4086" max="4086" width="5.85546875" style="122" customWidth="1"/>
    <col min="4087" max="4087" width="6.5703125" style="122" customWidth="1"/>
    <col min="4088" max="4088" width="3.28515625" style="122" customWidth="1"/>
    <col min="4089" max="4089" width="5.85546875" style="122" customWidth="1"/>
    <col min="4090" max="4090" width="6.5703125" style="122" customWidth="1"/>
    <col min="4091" max="4091" width="3.28515625" style="122" customWidth="1"/>
    <col min="4092" max="4092" width="5.85546875" style="122" customWidth="1"/>
    <col min="4093" max="4093" width="6.5703125" style="122" customWidth="1"/>
    <col min="4094" max="4094" width="3.28515625" style="122" customWidth="1"/>
    <col min="4095" max="4095" width="5.85546875" style="122" customWidth="1"/>
    <col min="4096" max="4096" width="6.5703125" style="122" customWidth="1"/>
    <col min="4097" max="4097" width="3.28515625" style="122" customWidth="1"/>
    <col min="4098" max="4098" width="5.85546875" style="122" customWidth="1"/>
    <col min="4099" max="4099" width="6.5703125" style="122" customWidth="1"/>
    <col min="4100" max="4100" width="3.28515625" style="122" customWidth="1"/>
    <col min="4101" max="4101" width="5.85546875" style="122" customWidth="1"/>
    <col min="4102" max="4102" width="6.5703125" style="122" customWidth="1"/>
    <col min="4103" max="4103" width="3.28515625" style="122" customWidth="1"/>
    <col min="4104" max="4104" width="5.85546875" style="122" customWidth="1"/>
    <col min="4105" max="4105" width="6.5703125" style="122" customWidth="1"/>
    <col min="4106" max="4106" width="3.28515625" style="122" customWidth="1"/>
    <col min="4107" max="4107" width="5.85546875" style="122" customWidth="1"/>
    <col min="4108" max="4108" width="6.5703125" style="122" customWidth="1"/>
    <col min="4109" max="4109" width="3.28515625" style="122" customWidth="1"/>
    <col min="4110" max="4110" width="5.85546875" style="122" customWidth="1"/>
    <col min="4111" max="4111" width="6.5703125" style="122" customWidth="1"/>
    <col min="4112" max="4112" width="9.42578125" style="122" customWidth="1"/>
    <col min="4113" max="4315" width="9.140625" style="122"/>
    <col min="4316" max="4316" width="4.85546875" style="122" customWidth="1"/>
    <col min="4317" max="4317" width="5.140625" style="122" customWidth="1"/>
    <col min="4318" max="4318" width="13.7109375" style="122" customWidth="1"/>
    <col min="4319" max="4319" width="9.42578125" style="122" customWidth="1"/>
    <col min="4320" max="4320" width="7.85546875" style="122" bestFit="1" customWidth="1"/>
    <col min="4321" max="4321" width="9.42578125" style="122" customWidth="1"/>
    <col min="4322" max="4322" width="7.42578125" style="122" customWidth="1"/>
    <col min="4323" max="4323" width="7.85546875" style="122" customWidth="1"/>
    <col min="4324" max="4324" width="11" style="122" customWidth="1"/>
    <col min="4325" max="4325" width="7.5703125" style="122" customWidth="1"/>
    <col min="4326" max="4326" width="3.28515625" style="122" customWidth="1"/>
    <col min="4327" max="4327" width="5.85546875" style="122" customWidth="1"/>
    <col min="4328" max="4328" width="6.5703125" style="122" customWidth="1"/>
    <col min="4329" max="4329" width="3.28515625" style="122" customWidth="1"/>
    <col min="4330" max="4330" width="5.85546875" style="122" customWidth="1"/>
    <col min="4331" max="4331" width="6.5703125" style="122" customWidth="1"/>
    <col min="4332" max="4332" width="3.28515625" style="122" customWidth="1"/>
    <col min="4333" max="4333" width="5.85546875" style="122" customWidth="1"/>
    <col min="4334" max="4334" width="6.5703125" style="122" customWidth="1"/>
    <col min="4335" max="4335" width="3.28515625" style="122" customWidth="1"/>
    <col min="4336" max="4336" width="5.85546875" style="122" customWidth="1"/>
    <col min="4337" max="4337" width="6.5703125" style="122" customWidth="1"/>
    <col min="4338" max="4338" width="3.28515625" style="122" customWidth="1"/>
    <col min="4339" max="4339" width="5.85546875" style="122" customWidth="1"/>
    <col min="4340" max="4340" width="6.5703125" style="122" customWidth="1"/>
    <col min="4341" max="4341" width="3.28515625" style="122" customWidth="1"/>
    <col min="4342" max="4342" width="5.85546875" style="122" customWidth="1"/>
    <col min="4343" max="4343" width="6.5703125" style="122" customWidth="1"/>
    <col min="4344" max="4344" width="3.28515625" style="122" customWidth="1"/>
    <col min="4345" max="4345" width="5.85546875" style="122" customWidth="1"/>
    <col min="4346" max="4346" width="6.5703125" style="122" customWidth="1"/>
    <col min="4347" max="4347" width="3.28515625" style="122" customWidth="1"/>
    <col min="4348" max="4348" width="5.85546875" style="122" customWidth="1"/>
    <col min="4349" max="4349" width="6.5703125" style="122" customWidth="1"/>
    <col min="4350" max="4350" width="3.28515625" style="122" customWidth="1"/>
    <col min="4351" max="4351" width="5.85546875" style="122" customWidth="1"/>
    <col min="4352" max="4352" width="6.5703125" style="122" customWidth="1"/>
    <col min="4353" max="4353" width="3.28515625" style="122" customWidth="1"/>
    <col min="4354" max="4354" width="5.85546875" style="122" customWidth="1"/>
    <col min="4355" max="4355" width="6.5703125" style="122" customWidth="1"/>
    <col min="4356" max="4356" width="3.28515625" style="122" customWidth="1"/>
    <col min="4357" max="4357" width="5.85546875" style="122" customWidth="1"/>
    <col min="4358" max="4358" width="6.5703125" style="122" customWidth="1"/>
    <col min="4359" max="4359" width="3.28515625" style="122" customWidth="1"/>
    <col min="4360" max="4360" width="5.85546875" style="122" customWidth="1"/>
    <col min="4361" max="4361" width="6.5703125" style="122" customWidth="1"/>
    <col min="4362" max="4362" width="3.28515625" style="122" customWidth="1"/>
    <col min="4363" max="4363" width="5.85546875" style="122" customWidth="1"/>
    <col min="4364" max="4364" width="6.5703125" style="122" customWidth="1"/>
    <col min="4365" max="4365" width="3.28515625" style="122" customWidth="1"/>
    <col min="4366" max="4366" width="5.85546875" style="122" customWidth="1"/>
    <col min="4367" max="4367" width="6.5703125" style="122" customWidth="1"/>
    <col min="4368" max="4368" width="9.42578125" style="122" customWidth="1"/>
    <col min="4369" max="4571" width="9.140625" style="122"/>
    <col min="4572" max="4572" width="4.85546875" style="122" customWidth="1"/>
    <col min="4573" max="4573" width="5.140625" style="122" customWidth="1"/>
    <col min="4574" max="4574" width="13.7109375" style="122" customWidth="1"/>
    <col min="4575" max="4575" width="9.42578125" style="122" customWidth="1"/>
    <col min="4576" max="4576" width="7.85546875" style="122" bestFit="1" customWidth="1"/>
    <col min="4577" max="4577" width="9.42578125" style="122" customWidth="1"/>
    <col min="4578" max="4578" width="7.42578125" style="122" customWidth="1"/>
    <col min="4579" max="4579" width="7.85546875" style="122" customWidth="1"/>
    <col min="4580" max="4580" width="11" style="122" customWidth="1"/>
    <col min="4581" max="4581" width="7.5703125" style="122" customWidth="1"/>
    <col min="4582" max="4582" width="3.28515625" style="122" customWidth="1"/>
    <col min="4583" max="4583" width="5.85546875" style="122" customWidth="1"/>
    <col min="4584" max="4584" width="6.5703125" style="122" customWidth="1"/>
    <col min="4585" max="4585" width="3.28515625" style="122" customWidth="1"/>
    <col min="4586" max="4586" width="5.85546875" style="122" customWidth="1"/>
    <col min="4587" max="4587" width="6.5703125" style="122" customWidth="1"/>
    <col min="4588" max="4588" width="3.28515625" style="122" customWidth="1"/>
    <col min="4589" max="4589" width="5.85546875" style="122" customWidth="1"/>
    <col min="4590" max="4590" width="6.5703125" style="122" customWidth="1"/>
    <col min="4591" max="4591" width="3.28515625" style="122" customWidth="1"/>
    <col min="4592" max="4592" width="5.85546875" style="122" customWidth="1"/>
    <col min="4593" max="4593" width="6.5703125" style="122" customWidth="1"/>
    <col min="4594" max="4594" width="3.28515625" style="122" customWidth="1"/>
    <col min="4595" max="4595" width="5.85546875" style="122" customWidth="1"/>
    <col min="4596" max="4596" width="6.5703125" style="122" customWidth="1"/>
    <col min="4597" max="4597" width="3.28515625" style="122" customWidth="1"/>
    <col min="4598" max="4598" width="5.85546875" style="122" customWidth="1"/>
    <col min="4599" max="4599" width="6.5703125" style="122" customWidth="1"/>
    <col min="4600" max="4600" width="3.28515625" style="122" customWidth="1"/>
    <col min="4601" max="4601" width="5.85546875" style="122" customWidth="1"/>
    <col min="4602" max="4602" width="6.5703125" style="122" customWidth="1"/>
    <col min="4603" max="4603" width="3.28515625" style="122" customWidth="1"/>
    <col min="4604" max="4604" width="5.85546875" style="122" customWidth="1"/>
    <col min="4605" max="4605" width="6.5703125" style="122" customWidth="1"/>
    <col min="4606" max="4606" width="3.28515625" style="122" customWidth="1"/>
    <col min="4607" max="4607" width="5.85546875" style="122" customWidth="1"/>
    <col min="4608" max="4608" width="6.5703125" style="122" customWidth="1"/>
    <col min="4609" max="4609" width="3.28515625" style="122" customWidth="1"/>
    <col min="4610" max="4610" width="5.85546875" style="122" customWidth="1"/>
    <col min="4611" max="4611" width="6.5703125" style="122" customWidth="1"/>
    <col min="4612" max="4612" width="3.28515625" style="122" customWidth="1"/>
    <col min="4613" max="4613" width="5.85546875" style="122" customWidth="1"/>
    <col min="4614" max="4614" width="6.5703125" style="122" customWidth="1"/>
    <col min="4615" max="4615" width="3.28515625" style="122" customWidth="1"/>
    <col min="4616" max="4616" width="5.85546875" style="122" customWidth="1"/>
    <col min="4617" max="4617" width="6.5703125" style="122" customWidth="1"/>
    <col min="4618" max="4618" width="3.28515625" style="122" customWidth="1"/>
    <col min="4619" max="4619" width="5.85546875" style="122" customWidth="1"/>
    <col min="4620" max="4620" width="6.5703125" style="122" customWidth="1"/>
    <col min="4621" max="4621" width="3.28515625" style="122" customWidth="1"/>
    <col min="4622" max="4622" width="5.85546875" style="122" customWidth="1"/>
    <col min="4623" max="4623" width="6.5703125" style="122" customWidth="1"/>
    <col min="4624" max="4624" width="9.42578125" style="122" customWidth="1"/>
    <col min="4625" max="4827" width="9.140625" style="122"/>
    <col min="4828" max="4828" width="4.85546875" style="122" customWidth="1"/>
    <col min="4829" max="4829" width="5.140625" style="122" customWidth="1"/>
    <col min="4830" max="4830" width="13.7109375" style="122" customWidth="1"/>
    <col min="4831" max="4831" width="9.42578125" style="122" customWidth="1"/>
    <col min="4832" max="4832" width="7.85546875" style="122" bestFit="1" customWidth="1"/>
    <col min="4833" max="4833" width="9.42578125" style="122" customWidth="1"/>
    <col min="4834" max="4834" width="7.42578125" style="122" customWidth="1"/>
    <col min="4835" max="4835" width="7.85546875" style="122" customWidth="1"/>
    <col min="4836" max="4836" width="11" style="122" customWidth="1"/>
    <col min="4837" max="4837" width="7.5703125" style="122" customWidth="1"/>
    <col min="4838" max="4838" width="3.28515625" style="122" customWidth="1"/>
    <col min="4839" max="4839" width="5.85546875" style="122" customWidth="1"/>
    <col min="4840" max="4840" width="6.5703125" style="122" customWidth="1"/>
    <col min="4841" max="4841" width="3.28515625" style="122" customWidth="1"/>
    <col min="4842" max="4842" width="5.85546875" style="122" customWidth="1"/>
    <col min="4843" max="4843" width="6.5703125" style="122" customWidth="1"/>
    <col min="4844" max="4844" width="3.28515625" style="122" customWidth="1"/>
    <col min="4845" max="4845" width="5.85546875" style="122" customWidth="1"/>
    <col min="4846" max="4846" width="6.5703125" style="122" customWidth="1"/>
    <col min="4847" max="4847" width="3.28515625" style="122" customWidth="1"/>
    <col min="4848" max="4848" width="5.85546875" style="122" customWidth="1"/>
    <col min="4849" max="4849" width="6.5703125" style="122" customWidth="1"/>
    <col min="4850" max="4850" width="3.28515625" style="122" customWidth="1"/>
    <col min="4851" max="4851" width="5.85546875" style="122" customWidth="1"/>
    <col min="4852" max="4852" width="6.5703125" style="122" customWidth="1"/>
    <col min="4853" max="4853" width="3.28515625" style="122" customWidth="1"/>
    <col min="4854" max="4854" width="5.85546875" style="122" customWidth="1"/>
    <col min="4855" max="4855" width="6.5703125" style="122" customWidth="1"/>
    <col min="4856" max="4856" width="3.28515625" style="122" customWidth="1"/>
    <col min="4857" max="4857" width="5.85546875" style="122" customWidth="1"/>
    <col min="4858" max="4858" width="6.5703125" style="122" customWidth="1"/>
    <col min="4859" max="4859" width="3.28515625" style="122" customWidth="1"/>
    <col min="4860" max="4860" width="5.85546875" style="122" customWidth="1"/>
    <col min="4861" max="4861" width="6.5703125" style="122" customWidth="1"/>
    <col min="4862" max="4862" width="3.28515625" style="122" customWidth="1"/>
    <col min="4863" max="4863" width="5.85546875" style="122" customWidth="1"/>
    <col min="4864" max="4864" width="6.5703125" style="122" customWidth="1"/>
    <col min="4865" max="4865" width="3.28515625" style="122" customWidth="1"/>
    <col min="4866" max="4866" width="5.85546875" style="122" customWidth="1"/>
    <col min="4867" max="4867" width="6.5703125" style="122" customWidth="1"/>
    <col min="4868" max="4868" width="3.28515625" style="122" customWidth="1"/>
    <col min="4869" max="4869" width="5.85546875" style="122" customWidth="1"/>
    <col min="4870" max="4870" width="6.5703125" style="122" customWidth="1"/>
    <col min="4871" max="4871" width="3.28515625" style="122" customWidth="1"/>
    <col min="4872" max="4872" width="5.85546875" style="122" customWidth="1"/>
    <col min="4873" max="4873" width="6.5703125" style="122" customWidth="1"/>
    <col min="4874" max="4874" width="3.28515625" style="122" customWidth="1"/>
    <col min="4875" max="4875" width="5.85546875" style="122" customWidth="1"/>
    <col min="4876" max="4876" width="6.5703125" style="122" customWidth="1"/>
    <col min="4877" max="4877" width="3.28515625" style="122" customWidth="1"/>
    <col min="4878" max="4878" width="5.85546875" style="122" customWidth="1"/>
    <col min="4879" max="4879" width="6.5703125" style="122" customWidth="1"/>
    <col min="4880" max="4880" width="9.42578125" style="122" customWidth="1"/>
    <col min="4881" max="5083" width="9.140625" style="122"/>
    <col min="5084" max="5084" width="4.85546875" style="122" customWidth="1"/>
    <col min="5085" max="5085" width="5.140625" style="122" customWidth="1"/>
    <col min="5086" max="5086" width="13.7109375" style="122" customWidth="1"/>
    <col min="5087" max="5087" width="9.42578125" style="122" customWidth="1"/>
    <col min="5088" max="5088" width="7.85546875" style="122" bestFit="1" customWidth="1"/>
    <col min="5089" max="5089" width="9.42578125" style="122" customWidth="1"/>
    <col min="5090" max="5090" width="7.42578125" style="122" customWidth="1"/>
    <col min="5091" max="5091" width="7.85546875" style="122" customWidth="1"/>
    <col min="5092" max="5092" width="11" style="122" customWidth="1"/>
    <col min="5093" max="5093" width="7.5703125" style="122" customWidth="1"/>
    <col min="5094" max="5094" width="3.28515625" style="122" customWidth="1"/>
    <col min="5095" max="5095" width="5.85546875" style="122" customWidth="1"/>
    <col min="5096" max="5096" width="6.5703125" style="122" customWidth="1"/>
    <col min="5097" max="5097" width="3.28515625" style="122" customWidth="1"/>
    <col min="5098" max="5098" width="5.85546875" style="122" customWidth="1"/>
    <col min="5099" max="5099" width="6.5703125" style="122" customWidth="1"/>
    <col min="5100" max="5100" width="3.28515625" style="122" customWidth="1"/>
    <col min="5101" max="5101" width="5.85546875" style="122" customWidth="1"/>
    <col min="5102" max="5102" width="6.5703125" style="122" customWidth="1"/>
    <col min="5103" max="5103" width="3.28515625" style="122" customWidth="1"/>
    <col min="5104" max="5104" width="5.85546875" style="122" customWidth="1"/>
    <col min="5105" max="5105" width="6.5703125" style="122" customWidth="1"/>
    <col min="5106" max="5106" width="3.28515625" style="122" customWidth="1"/>
    <col min="5107" max="5107" width="5.85546875" style="122" customWidth="1"/>
    <col min="5108" max="5108" width="6.5703125" style="122" customWidth="1"/>
    <col min="5109" max="5109" width="3.28515625" style="122" customWidth="1"/>
    <col min="5110" max="5110" width="5.85546875" style="122" customWidth="1"/>
    <col min="5111" max="5111" width="6.5703125" style="122" customWidth="1"/>
    <col min="5112" max="5112" width="3.28515625" style="122" customWidth="1"/>
    <col min="5113" max="5113" width="5.85546875" style="122" customWidth="1"/>
    <col min="5114" max="5114" width="6.5703125" style="122" customWidth="1"/>
    <col min="5115" max="5115" width="3.28515625" style="122" customWidth="1"/>
    <col min="5116" max="5116" width="5.85546875" style="122" customWidth="1"/>
    <col min="5117" max="5117" width="6.5703125" style="122" customWidth="1"/>
    <col min="5118" max="5118" width="3.28515625" style="122" customWidth="1"/>
    <col min="5119" max="5119" width="5.85546875" style="122" customWidth="1"/>
    <col min="5120" max="5120" width="6.5703125" style="122" customWidth="1"/>
    <col min="5121" max="5121" width="3.28515625" style="122" customWidth="1"/>
    <col min="5122" max="5122" width="5.85546875" style="122" customWidth="1"/>
    <col min="5123" max="5123" width="6.5703125" style="122" customWidth="1"/>
    <col min="5124" max="5124" width="3.28515625" style="122" customWidth="1"/>
    <col min="5125" max="5125" width="5.85546875" style="122" customWidth="1"/>
    <col min="5126" max="5126" width="6.5703125" style="122" customWidth="1"/>
    <col min="5127" max="5127" width="3.28515625" style="122" customWidth="1"/>
    <col min="5128" max="5128" width="5.85546875" style="122" customWidth="1"/>
    <col min="5129" max="5129" width="6.5703125" style="122" customWidth="1"/>
    <col min="5130" max="5130" width="3.28515625" style="122" customWidth="1"/>
    <col min="5131" max="5131" width="5.85546875" style="122" customWidth="1"/>
    <col min="5132" max="5132" width="6.5703125" style="122" customWidth="1"/>
    <col min="5133" max="5133" width="3.28515625" style="122" customWidth="1"/>
    <col min="5134" max="5134" width="5.85546875" style="122" customWidth="1"/>
    <col min="5135" max="5135" width="6.5703125" style="122" customWidth="1"/>
    <col min="5136" max="5136" width="9.42578125" style="122" customWidth="1"/>
    <col min="5137" max="5339" width="9.140625" style="122"/>
    <col min="5340" max="5340" width="4.85546875" style="122" customWidth="1"/>
    <col min="5341" max="5341" width="5.140625" style="122" customWidth="1"/>
    <col min="5342" max="5342" width="13.7109375" style="122" customWidth="1"/>
    <col min="5343" max="5343" width="9.42578125" style="122" customWidth="1"/>
    <col min="5344" max="5344" width="7.85546875" style="122" bestFit="1" customWidth="1"/>
    <col min="5345" max="5345" width="9.42578125" style="122" customWidth="1"/>
    <col min="5346" max="5346" width="7.42578125" style="122" customWidth="1"/>
    <col min="5347" max="5347" width="7.85546875" style="122" customWidth="1"/>
    <col min="5348" max="5348" width="11" style="122" customWidth="1"/>
    <col min="5349" max="5349" width="7.5703125" style="122" customWidth="1"/>
    <col min="5350" max="5350" width="3.28515625" style="122" customWidth="1"/>
    <col min="5351" max="5351" width="5.85546875" style="122" customWidth="1"/>
    <col min="5352" max="5352" width="6.5703125" style="122" customWidth="1"/>
    <col min="5353" max="5353" width="3.28515625" style="122" customWidth="1"/>
    <col min="5354" max="5354" width="5.85546875" style="122" customWidth="1"/>
    <col min="5355" max="5355" width="6.5703125" style="122" customWidth="1"/>
    <col min="5356" max="5356" width="3.28515625" style="122" customWidth="1"/>
    <col min="5357" max="5357" width="5.85546875" style="122" customWidth="1"/>
    <col min="5358" max="5358" width="6.5703125" style="122" customWidth="1"/>
    <col min="5359" max="5359" width="3.28515625" style="122" customWidth="1"/>
    <col min="5360" max="5360" width="5.85546875" style="122" customWidth="1"/>
    <col min="5361" max="5361" width="6.5703125" style="122" customWidth="1"/>
    <col min="5362" max="5362" width="3.28515625" style="122" customWidth="1"/>
    <col min="5363" max="5363" width="5.85546875" style="122" customWidth="1"/>
    <col min="5364" max="5364" width="6.5703125" style="122" customWidth="1"/>
    <col min="5365" max="5365" width="3.28515625" style="122" customWidth="1"/>
    <col min="5366" max="5366" width="5.85546875" style="122" customWidth="1"/>
    <col min="5367" max="5367" width="6.5703125" style="122" customWidth="1"/>
    <col min="5368" max="5368" width="3.28515625" style="122" customWidth="1"/>
    <col min="5369" max="5369" width="5.85546875" style="122" customWidth="1"/>
    <col min="5370" max="5370" width="6.5703125" style="122" customWidth="1"/>
    <col min="5371" max="5371" width="3.28515625" style="122" customWidth="1"/>
    <col min="5372" max="5372" width="5.85546875" style="122" customWidth="1"/>
    <col min="5373" max="5373" width="6.5703125" style="122" customWidth="1"/>
    <col min="5374" max="5374" width="3.28515625" style="122" customWidth="1"/>
    <col min="5375" max="5375" width="5.85546875" style="122" customWidth="1"/>
    <col min="5376" max="5376" width="6.5703125" style="122" customWidth="1"/>
    <col min="5377" max="5377" width="3.28515625" style="122" customWidth="1"/>
    <col min="5378" max="5378" width="5.85546875" style="122" customWidth="1"/>
    <col min="5379" max="5379" width="6.5703125" style="122" customWidth="1"/>
    <col min="5380" max="5380" width="3.28515625" style="122" customWidth="1"/>
    <col min="5381" max="5381" width="5.85546875" style="122" customWidth="1"/>
    <col min="5382" max="5382" width="6.5703125" style="122" customWidth="1"/>
    <col min="5383" max="5383" width="3.28515625" style="122" customWidth="1"/>
    <col min="5384" max="5384" width="5.85546875" style="122" customWidth="1"/>
    <col min="5385" max="5385" width="6.5703125" style="122" customWidth="1"/>
    <col min="5386" max="5386" width="3.28515625" style="122" customWidth="1"/>
    <col min="5387" max="5387" width="5.85546875" style="122" customWidth="1"/>
    <col min="5388" max="5388" width="6.5703125" style="122" customWidth="1"/>
    <col min="5389" max="5389" width="3.28515625" style="122" customWidth="1"/>
    <col min="5390" max="5390" width="5.85546875" style="122" customWidth="1"/>
    <col min="5391" max="5391" width="6.5703125" style="122" customWidth="1"/>
    <col min="5392" max="5392" width="9.42578125" style="122" customWidth="1"/>
    <col min="5393" max="5595" width="9.140625" style="122"/>
    <col min="5596" max="5596" width="4.85546875" style="122" customWidth="1"/>
    <col min="5597" max="5597" width="5.140625" style="122" customWidth="1"/>
    <col min="5598" max="5598" width="13.7109375" style="122" customWidth="1"/>
    <col min="5599" max="5599" width="9.42578125" style="122" customWidth="1"/>
    <col min="5600" max="5600" width="7.85546875" style="122" bestFit="1" customWidth="1"/>
    <col min="5601" max="5601" width="9.42578125" style="122" customWidth="1"/>
    <col min="5602" max="5602" width="7.42578125" style="122" customWidth="1"/>
    <col min="5603" max="5603" width="7.85546875" style="122" customWidth="1"/>
    <col min="5604" max="5604" width="11" style="122" customWidth="1"/>
    <col min="5605" max="5605" width="7.5703125" style="122" customWidth="1"/>
    <col min="5606" max="5606" width="3.28515625" style="122" customWidth="1"/>
    <col min="5607" max="5607" width="5.85546875" style="122" customWidth="1"/>
    <col min="5608" max="5608" width="6.5703125" style="122" customWidth="1"/>
    <col min="5609" max="5609" width="3.28515625" style="122" customWidth="1"/>
    <col min="5610" max="5610" width="5.85546875" style="122" customWidth="1"/>
    <col min="5611" max="5611" width="6.5703125" style="122" customWidth="1"/>
    <col min="5612" max="5612" width="3.28515625" style="122" customWidth="1"/>
    <col min="5613" max="5613" width="5.85546875" style="122" customWidth="1"/>
    <col min="5614" max="5614" width="6.5703125" style="122" customWidth="1"/>
    <col min="5615" max="5615" width="3.28515625" style="122" customWidth="1"/>
    <col min="5616" max="5616" width="5.85546875" style="122" customWidth="1"/>
    <col min="5617" max="5617" width="6.5703125" style="122" customWidth="1"/>
    <col min="5618" max="5618" width="3.28515625" style="122" customWidth="1"/>
    <col min="5619" max="5619" width="5.85546875" style="122" customWidth="1"/>
    <col min="5620" max="5620" width="6.5703125" style="122" customWidth="1"/>
    <col min="5621" max="5621" width="3.28515625" style="122" customWidth="1"/>
    <col min="5622" max="5622" width="5.85546875" style="122" customWidth="1"/>
    <col min="5623" max="5623" width="6.5703125" style="122" customWidth="1"/>
    <col min="5624" max="5624" width="3.28515625" style="122" customWidth="1"/>
    <col min="5625" max="5625" width="5.85546875" style="122" customWidth="1"/>
    <col min="5626" max="5626" width="6.5703125" style="122" customWidth="1"/>
    <col min="5627" max="5627" width="3.28515625" style="122" customWidth="1"/>
    <col min="5628" max="5628" width="5.85546875" style="122" customWidth="1"/>
    <col min="5629" max="5629" width="6.5703125" style="122" customWidth="1"/>
    <col min="5630" max="5630" width="3.28515625" style="122" customWidth="1"/>
    <col min="5631" max="5631" width="5.85546875" style="122" customWidth="1"/>
    <col min="5632" max="5632" width="6.5703125" style="122" customWidth="1"/>
    <col min="5633" max="5633" width="3.28515625" style="122" customWidth="1"/>
    <col min="5634" max="5634" width="5.85546875" style="122" customWidth="1"/>
    <col min="5635" max="5635" width="6.5703125" style="122" customWidth="1"/>
    <col min="5636" max="5636" width="3.28515625" style="122" customWidth="1"/>
    <col min="5637" max="5637" width="5.85546875" style="122" customWidth="1"/>
    <col min="5638" max="5638" width="6.5703125" style="122" customWidth="1"/>
    <col min="5639" max="5639" width="3.28515625" style="122" customWidth="1"/>
    <col min="5640" max="5640" width="5.85546875" style="122" customWidth="1"/>
    <col min="5641" max="5641" width="6.5703125" style="122" customWidth="1"/>
    <col min="5642" max="5642" width="3.28515625" style="122" customWidth="1"/>
    <col min="5643" max="5643" width="5.85546875" style="122" customWidth="1"/>
    <col min="5644" max="5644" width="6.5703125" style="122" customWidth="1"/>
    <col min="5645" max="5645" width="3.28515625" style="122" customWidth="1"/>
    <col min="5646" max="5646" width="5.85546875" style="122" customWidth="1"/>
    <col min="5647" max="5647" width="6.5703125" style="122" customWidth="1"/>
    <col min="5648" max="5648" width="9.42578125" style="122" customWidth="1"/>
    <col min="5649" max="5851" width="9.140625" style="122"/>
    <col min="5852" max="5852" width="4.85546875" style="122" customWidth="1"/>
    <col min="5853" max="5853" width="5.140625" style="122" customWidth="1"/>
    <col min="5854" max="5854" width="13.7109375" style="122" customWidth="1"/>
    <col min="5855" max="5855" width="9.42578125" style="122" customWidth="1"/>
    <col min="5856" max="5856" width="7.85546875" style="122" bestFit="1" customWidth="1"/>
    <col min="5857" max="5857" width="9.42578125" style="122" customWidth="1"/>
    <col min="5858" max="5858" width="7.42578125" style="122" customWidth="1"/>
    <col min="5859" max="5859" width="7.85546875" style="122" customWidth="1"/>
    <col min="5860" max="5860" width="11" style="122" customWidth="1"/>
    <col min="5861" max="5861" width="7.5703125" style="122" customWidth="1"/>
    <col min="5862" max="5862" width="3.28515625" style="122" customWidth="1"/>
    <col min="5863" max="5863" width="5.85546875" style="122" customWidth="1"/>
    <col min="5864" max="5864" width="6.5703125" style="122" customWidth="1"/>
    <col min="5865" max="5865" width="3.28515625" style="122" customWidth="1"/>
    <col min="5866" max="5866" width="5.85546875" style="122" customWidth="1"/>
    <col min="5867" max="5867" width="6.5703125" style="122" customWidth="1"/>
    <col min="5868" max="5868" width="3.28515625" style="122" customWidth="1"/>
    <col min="5869" max="5869" width="5.85546875" style="122" customWidth="1"/>
    <col min="5870" max="5870" width="6.5703125" style="122" customWidth="1"/>
    <col min="5871" max="5871" width="3.28515625" style="122" customWidth="1"/>
    <col min="5872" max="5872" width="5.85546875" style="122" customWidth="1"/>
    <col min="5873" max="5873" width="6.5703125" style="122" customWidth="1"/>
    <col min="5874" max="5874" width="3.28515625" style="122" customWidth="1"/>
    <col min="5875" max="5875" width="5.85546875" style="122" customWidth="1"/>
    <col min="5876" max="5876" width="6.5703125" style="122" customWidth="1"/>
    <col min="5877" max="5877" width="3.28515625" style="122" customWidth="1"/>
    <col min="5878" max="5878" width="5.85546875" style="122" customWidth="1"/>
    <col min="5879" max="5879" width="6.5703125" style="122" customWidth="1"/>
    <col min="5880" max="5880" width="3.28515625" style="122" customWidth="1"/>
    <col min="5881" max="5881" width="5.85546875" style="122" customWidth="1"/>
    <col min="5882" max="5882" width="6.5703125" style="122" customWidth="1"/>
    <col min="5883" max="5883" width="3.28515625" style="122" customWidth="1"/>
    <col min="5884" max="5884" width="5.85546875" style="122" customWidth="1"/>
    <col min="5885" max="5885" width="6.5703125" style="122" customWidth="1"/>
    <col min="5886" max="5886" width="3.28515625" style="122" customWidth="1"/>
    <col min="5887" max="5887" width="5.85546875" style="122" customWidth="1"/>
    <col min="5888" max="5888" width="6.5703125" style="122" customWidth="1"/>
    <col min="5889" max="5889" width="3.28515625" style="122" customWidth="1"/>
    <col min="5890" max="5890" width="5.85546875" style="122" customWidth="1"/>
    <col min="5891" max="5891" width="6.5703125" style="122" customWidth="1"/>
    <col min="5892" max="5892" width="3.28515625" style="122" customWidth="1"/>
    <col min="5893" max="5893" width="5.85546875" style="122" customWidth="1"/>
    <col min="5894" max="5894" width="6.5703125" style="122" customWidth="1"/>
    <col min="5895" max="5895" width="3.28515625" style="122" customWidth="1"/>
    <col min="5896" max="5896" width="5.85546875" style="122" customWidth="1"/>
    <col min="5897" max="5897" width="6.5703125" style="122" customWidth="1"/>
    <col min="5898" max="5898" width="3.28515625" style="122" customWidth="1"/>
    <col min="5899" max="5899" width="5.85546875" style="122" customWidth="1"/>
    <col min="5900" max="5900" width="6.5703125" style="122" customWidth="1"/>
    <col min="5901" max="5901" width="3.28515625" style="122" customWidth="1"/>
    <col min="5902" max="5902" width="5.85546875" style="122" customWidth="1"/>
    <col min="5903" max="5903" width="6.5703125" style="122" customWidth="1"/>
    <col min="5904" max="5904" width="9.42578125" style="122" customWidth="1"/>
    <col min="5905" max="6107" width="9.140625" style="122"/>
    <col min="6108" max="6108" width="4.85546875" style="122" customWidth="1"/>
    <col min="6109" max="6109" width="5.140625" style="122" customWidth="1"/>
    <col min="6110" max="6110" width="13.7109375" style="122" customWidth="1"/>
    <col min="6111" max="6111" width="9.42578125" style="122" customWidth="1"/>
    <col min="6112" max="6112" width="7.85546875" style="122" bestFit="1" customWidth="1"/>
    <col min="6113" max="6113" width="9.42578125" style="122" customWidth="1"/>
    <col min="6114" max="6114" width="7.42578125" style="122" customWidth="1"/>
    <col min="6115" max="6115" width="7.85546875" style="122" customWidth="1"/>
    <col min="6116" max="6116" width="11" style="122" customWidth="1"/>
    <col min="6117" max="6117" width="7.5703125" style="122" customWidth="1"/>
    <col min="6118" max="6118" width="3.28515625" style="122" customWidth="1"/>
    <col min="6119" max="6119" width="5.85546875" style="122" customWidth="1"/>
    <col min="6120" max="6120" width="6.5703125" style="122" customWidth="1"/>
    <col min="6121" max="6121" width="3.28515625" style="122" customWidth="1"/>
    <col min="6122" max="6122" width="5.85546875" style="122" customWidth="1"/>
    <col min="6123" max="6123" width="6.5703125" style="122" customWidth="1"/>
    <col min="6124" max="6124" width="3.28515625" style="122" customWidth="1"/>
    <col min="6125" max="6125" width="5.85546875" style="122" customWidth="1"/>
    <col min="6126" max="6126" width="6.5703125" style="122" customWidth="1"/>
    <col min="6127" max="6127" width="3.28515625" style="122" customWidth="1"/>
    <col min="6128" max="6128" width="5.85546875" style="122" customWidth="1"/>
    <col min="6129" max="6129" width="6.5703125" style="122" customWidth="1"/>
    <col min="6130" max="6130" width="3.28515625" style="122" customWidth="1"/>
    <col min="6131" max="6131" width="5.85546875" style="122" customWidth="1"/>
    <col min="6132" max="6132" width="6.5703125" style="122" customWidth="1"/>
    <col min="6133" max="6133" width="3.28515625" style="122" customWidth="1"/>
    <col min="6134" max="6134" width="5.85546875" style="122" customWidth="1"/>
    <col min="6135" max="6135" width="6.5703125" style="122" customWidth="1"/>
    <col min="6136" max="6136" width="3.28515625" style="122" customWidth="1"/>
    <col min="6137" max="6137" width="5.85546875" style="122" customWidth="1"/>
    <col min="6138" max="6138" width="6.5703125" style="122" customWidth="1"/>
    <col min="6139" max="6139" width="3.28515625" style="122" customWidth="1"/>
    <col min="6140" max="6140" width="5.85546875" style="122" customWidth="1"/>
    <col min="6141" max="6141" width="6.5703125" style="122" customWidth="1"/>
    <col min="6142" max="6142" width="3.28515625" style="122" customWidth="1"/>
    <col min="6143" max="6143" width="5.85546875" style="122" customWidth="1"/>
    <col min="6144" max="6144" width="6.5703125" style="122" customWidth="1"/>
    <col min="6145" max="6145" width="3.28515625" style="122" customWidth="1"/>
    <col min="6146" max="6146" width="5.85546875" style="122" customWidth="1"/>
    <col min="6147" max="6147" width="6.5703125" style="122" customWidth="1"/>
    <col min="6148" max="6148" width="3.28515625" style="122" customWidth="1"/>
    <col min="6149" max="6149" width="5.85546875" style="122" customWidth="1"/>
    <col min="6150" max="6150" width="6.5703125" style="122" customWidth="1"/>
    <col min="6151" max="6151" width="3.28515625" style="122" customWidth="1"/>
    <col min="6152" max="6152" width="5.85546875" style="122" customWidth="1"/>
    <col min="6153" max="6153" width="6.5703125" style="122" customWidth="1"/>
    <col min="6154" max="6154" width="3.28515625" style="122" customWidth="1"/>
    <col min="6155" max="6155" width="5.85546875" style="122" customWidth="1"/>
    <col min="6156" max="6156" width="6.5703125" style="122" customWidth="1"/>
    <col min="6157" max="6157" width="3.28515625" style="122" customWidth="1"/>
    <col min="6158" max="6158" width="5.85546875" style="122" customWidth="1"/>
    <col min="6159" max="6159" width="6.5703125" style="122" customWidth="1"/>
    <col min="6160" max="6160" width="9.42578125" style="122" customWidth="1"/>
    <col min="6161" max="6363" width="9.140625" style="122"/>
    <col min="6364" max="6364" width="4.85546875" style="122" customWidth="1"/>
    <col min="6365" max="6365" width="5.140625" style="122" customWidth="1"/>
    <col min="6366" max="6366" width="13.7109375" style="122" customWidth="1"/>
    <col min="6367" max="6367" width="9.42578125" style="122" customWidth="1"/>
    <col min="6368" max="6368" width="7.85546875" style="122" bestFit="1" customWidth="1"/>
    <col min="6369" max="6369" width="9.42578125" style="122" customWidth="1"/>
    <col min="6370" max="6370" width="7.42578125" style="122" customWidth="1"/>
    <col min="6371" max="6371" width="7.85546875" style="122" customWidth="1"/>
    <col min="6372" max="6372" width="11" style="122" customWidth="1"/>
    <col min="6373" max="6373" width="7.5703125" style="122" customWidth="1"/>
    <col min="6374" max="6374" width="3.28515625" style="122" customWidth="1"/>
    <col min="6375" max="6375" width="5.85546875" style="122" customWidth="1"/>
    <col min="6376" max="6376" width="6.5703125" style="122" customWidth="1"/>
    <col min="6377" max="6377" width="3.28515625" style="122" customWidth="1"/>
    <col min="6378" max="6378" width="5.85546875" style="122" customWidth="1"/>
    <col min="6379" max="6379" width="6.5703125" style="122" customWidth="1"/>
    <col min="6380" max="6380" width="3.28515625" style="122" customWidth="1"/>
    <col min="6381" max="6381" width="5.85546875" style="122" customWidth="1"/>
    <col min="6382" max="6382" width="6.5703125" style="122" customWidth="1"/>
    <col min="6383" max="6383" width="3.28515625" style="122" customWidth="1"/>
    <col min="6384" max="6384" width="5.85546875" style="122" customWidth="1"/>
    <col min="6385" max="6385" width="6.5703125" style="122" customWidth="1"/>
    <col min="6386" max="6386" width="3.28515625" style="122" customWidth="1"/>
    <col min="6387" max="6387" width="5.85546875" style="122" customWidth="1"/>
    <col min="6388" max="6388" width="6.5703125" style="122" customWidth="1"/>
    <col min="6389" max="6389" width="3.28515625" style="122" customWidth="1"/>
    <col min="6390" max="6390" width="5.85546875" style="122" customWidth="1"/>
    <col min="6391" max="6391" width="6.5703125" style="122" customWidth="1"/>
    <col min="6392" max="6392" width="3.28515625" style="122" customWidth="1"/>
    <col min="6393" max="6393" width="5.85546875" style="122" customWidth="1"/>
    <col min="6394" max="6394" width="6.5703125" style="122" customWidth="1"/>
    <col min="6395" max="6395" width="3.28515625" style="122" customWidth="1"/>
    <col min="6396" max="6396" width="5.85546875" style="122" customWidth="1"/>
    <col min="6397" max="6397" width="6.5703125" style="122" customWidth="1"/>
    <col min="6398" max="6398" width="3.28515625" style="122" customWidth="1"/>
    <col min="6399" max="6399" width="5.85546875" style="122" customWidth="1"/>
    <col min="6400" max="6400" width="6.5703125" style="122" customWidth="1"/>
    <col min="6401" max="6401" width="3.28515625" style="122" customWidth="1"/>
    <col min="6402" max="6402" width="5.85546875" style="122" customWidth="1"/>
    <col min="6403" max="6403" width="6.5703125" style="122" customWidth="1"/>
    <col min="6404" max="6404" width="3.28515625" style="122" customWidth="1"/>
    <col min="6405" max="6405" width="5.85546875" style="122" customWidth="1"/>
    <col min="6406" max="6406" width="6.5703125" style="122" customWidth="1"/>
    <col min="6407" max="6407" width="3.28515625" style="122" customWidth="1"/>
    <col min="6408" max="6408" width="5.85546875" style="122" customWidth="1"/>
    <col min="6409" max="6409" width="6.5703125" style="122" customWidth="1"/>
    <col min="6410" max="6410" width="3.28515625" style="122" customWidth="1"/>
    <col min="6411" max="6411" width="5.85546875" style="122" customWidth="1"/>
    <col min="6412" max="6412" width="6.5703125" style="122" customWidth="1"/>
    <col min="6413" max="6413" width="3.28515625" style="122" customWidth="1"/>
    <col min="6414" max="6414" width="5.85546875" style="122" customWidth="1"/>
    <col min="6415" max="6415" width="6.5703125" style="122" customWidth="1"/>
    <col min="6416" max="6416" width="9.42578125" style="122" customWidth="1"/>
    <col min="6417" max="6619" width="9.140625" style="122"/>
    <col min="6620" max="6620" width="4.85546875" style="122" customWidth="1"/>
    <col min="6621" max="6621" width="5.140625" style="122" customWidth="1"/>
    <col min="6622" max="6622" width="13.7109375" style="122" customWidth="1"/>
    <col min="6623" max="6623" width="9.42578125" style="122" customWidth="1"/>
    <col min="6624" max="6624" width="7.85546875" style="122" bestFit="1" customWidth="1"/>
    <col min="6625" max="6625" width="9.42578125" style="122" customWidth="1"/>
    <col min="6626" max="6626" width="7.42578125" style="122" customWidth="1"/>
    <col min="6627" max="6627" width="7.85546875" style="122" customWidth="1"/>
    <col min="6628" max="6628" width="11" style="122" customWidth="1"/>
    <col min="6629" max="6629" width="7.5703125" style="122" customWidth="1"/>
    <col min="6630" max="6630" width="3.28515625" style="122" customWidth="1"/>
    <col min="6631" max="6631" width="5.85546875" style="122" customWidth="1"/>
    <col min="6632" max="6632" width="6.5703125" style="122" customWidth="1"/>
    <col min="6633" max="6633" width="3.28515625" style="122" customWidth="1"/>
    <col min="6634" max="6634" width="5.85546875" style="122" customWidth="1"/>
    <col min="6635" max="6635" width="6.5703125" style="122" customWidth="1"/>
    <col min="6636" max="6636" width="3.28515625" style="122" customWidth="1"/>
    <col min="6637" max="6637" width="5.85546875" style="122" customWidth="1"/>
    <col min="6638" max="6638" width="6.5703125" style="122" customWidth="1"/>
    <col min="6639" max="6639" width="3.28515625" style="122" customWidth="1"/>
    <col min="6640" max="6640" width="5.85546875" style="122" customWidth="1"/>
    <col min="6641" max="6641" width="6.5703125" style="122" customWidth="1"/>
    <col min="6642" max="6642" width="3.28515625" style="122" customWidth="1"/>
    <col min="6643" max="6643" width="5.85546875" style="122" customWidth="1"/>
    <col min="6644" max="6644" width="6.5703125" style="122" customWidth="1"/>
    <col min="6645" max="6645" width="3.28515625" style="122" customWidth="1"/>
    <col min="6646" max="6646" width="5.85546875" style="122" customWidth="1"/>
    <col min="6647" max="6647" width="6.5703125" style="122" customWidth="1"/>
    <col min="6648" max="6648" width="3.28515625" style="122" customWidth="1"/>
    <col min="6649" max="6649" width="5.85546875" style="122" customWidth="1"/>
    <col min="6650" max="6650" width="6.5703125" style="122" customWidth="1"/>
    <col min="6651" max="6651" width="3.28515625" style="122" customWidth="1"/>
    <col min="6652" max="6652" width="5.85546875" style="122" customWidth="1"/>
    <col min="6653" max="6653" width="6.5703125" style="122" customWidth="1"/>
    <col min="6654" max="6654" width="3.28515625" style="122" customWidth="1"/>
    <col min="6655" max="6655" width="5.85546875" style="122" customWidth="1"/>
    <col min="6656" max="6656" width="6.5703125" style="122" customWidth="1"/>
    <col min="6657" max="6657" width="3.28515625" style="122" customWidth="1"/>
    <col min="6658" max="6658" width="5.85546875" style="122" customWidth="1"/>
    <col min="6659" max="6659" width="6.5703125" style="122" customWidth="1"/>
    <col min="6660" max="6660" width="3.28515625" style="122" customWidth="1"/>
    <col min="6661" max="6661" width="5.85546875" style="122" customWidth="1"/>
    <col min="6662" max="6662" width="6.5703125" style="122" customWidth="1"/>
    <col min="6663" max="6663" width="3.28515625" style="122" customWidth="1"/>
    <col min="6664" max="6664" width="5.85546875" style="122" customWidth="1"/>
    <col min="6665" max="6665" width="6.5703125" style="122" customWidth="1"/>
    <col min="6666" max="6666" width="3.28515625" style="122" customWidth="1"/>
    <col min="6667" max="6667" width="5.85546875" style="122" customWidth="1"/>
    <col min="6668" max="6668" width="6.5703125" style="122" customWidth="1"/>
    <col min="6669" max="6669" width="3.28515625" style="122" customWidth="1"/>
    <col min="6670" max="6670" width="5.85546875" style="122" customWidth="1"/>
    <col min="6671" max="6671" width="6.5703125" style="122" customWidth="1"/>
    <col min="6672" max="6672" width="9.42578125" style="122" customWidth="1"/>
    <col min="6673" max="6875" width="9.140625" style="122"/>
    <col min="6876" max="6876" width="4.85546875" style="122" customWidth="1"/>
    <col min="6877" max="6877" width="5.140625" style="122" customWidth="1"/>
    <col min="6878" max="6878" width="13.7109375" style="122" customWidth="1"/>
    <col min="6879" max="6879" width="9.42578125" style="122" customWidth="1"/>
    <col min="6880" max="6880" width="7.85546875" style="122" bestFit="1" customWidth="1"/>
    <col min="6881" max="6881" width="9.42578125" style="122" customWidth="1"/>
    <col min="6882" max="6882" width="7.42578125" style="122" customWidth="1"/>
    <col min="6883" max="6883" width="7.85546875" style="122" customWidth="1"/>
    <col min="6884" max="6884" width="11" style="122" customWidth="1"/>
    <col min="6885" max="6885" width="7.5703125" style="122" customWidth="1"/>
    <col min="6886" max="6886" width="3.28515625" style="122" customWidth="1"/>
    <col min="6887" max="6887" width="5.85546875" style="122" customWidth="1"/>
    <col min="6888" max="6888" width="6.5703125" style="122" customWidth="1"/>
    <col min="6889" max="6889" width="3.28515625" style="122" customWidth="1"/>
    <col min="6890" max="6890" width="5.85546875" style="122" customWidth="1"/>
    <col min="6891" max="6891" width="6.5703125" style="122" customWidth="1"/>
    <col min="6892" max="6892" width="3.28515625" style="122" customWidth="1"/>
    <col min="6893" max="6893" width="5.85546875" style="122" customWidth="1"/>
    <col min="6894" max="6894" width="6.5703125" style="122" customWidth="1"/>
    <col min="6895" max="6895" width="3.28515625" style="122" customWidth="1"/>
    <col min="6896" max="6896" width="5.85546875" style="122" customWidth="1"/>
    <col min="6897" max="6897" width="6.5703125" style="122" customWidth="1"/>
    <col min="6898" max="6898" width="3.28515625" style="122" customWidth="1"/>
    <col min="6899" max="6899" width="5.85546875" style="122" customWidth="1"/>
    <col min="6900" max="6900" width="6.5703125" style="122" customWidth="1"/>
    <col min="6901" max="6901" width="3.28515625" style="122" customWidth="1"/>
    <col min="6902" max="6902" width="5.85546875" style="122" customWidth="1"/>
    <col min="6903" max="6903" width="6.5703125" style="122" customWidth="1"/>
    <col min="6904" max="6904" width="3.28515625" style="122" customWidth="1"/>
    <col min="6905" max="6905" width="5.85546875" style="122" customWidth="1"/>
    <col min="6906" max="6906" width="6.5703125" style="122" customWidth="1"/>
    <col min="6907" max="6907" width="3.28515625" style="122" customWidth="1"/>
    <col min="6908" max="6908" width="5.85546875" style="122" customWidth="1"/>
    <col min="6909" max="6909" width="6.5703125" style="122" customWidth="1"/>
    <col min="6910" max="6910" width="3.28515625" style="122" customWidth="1"/>
    <col min="6911" max="6911" width="5.85546875" style="122" customWidth="1"/>
    <col min="6912" max="6912" width="6.5703125" style="122" customWidth="1"/>
    <col min="6913" max="6913" width="3.28515625" style="122" customWidth="1"/>
    <col min="6914" max="6914" width="5.85546875" style="122" customWidth="1"/>
    <col min="6915" max="6915" width="6.5703125" style="122" customWidth="1"/>
    <col min="6916" max="6916" width="3.28515625" style="122" customWidth="1"/>
    <col min="6917" max="6917" width="5.85546875" style="122" customWidth="1"/>
    <col min="6918" max="6918" width="6.5703125" style="122" customWidth="1"/>
    <col min="6919" max="6919" width="3.28515625" style="122" customWidth="1"/>
    <col min="6920" max="6920" width="5.85546875" style="122" customWidth="1"/>
    <col min="6921" max="6921" width="6.5703125" style="122" customWidth="1"/>
    <col min="6922" max="6922" width="3.28515625" style="122" customWidth="1"/>
    <col min="6923" max="6923" width="5.85546875" style="122" customWidth="1"/>
    <col min="6924" max="6924" width="6.5703125" style="122" customWidth="1"/>
    <col min="6925" max="6925" width="3.28515625" style="122" customWidth="1"/>
    <col min="6926" max="6926" width="5.85546875" style="122" customWidth="1"/>
    <col min="6927" max="6927" width="6.5703125" style="122" customWidth="1"/>
    <col min="6928" max="6928" width="9.42578125" style="122" customWidth="1"/>
    <col min="6929" max="7131" width="9.140625" style="122"/>
    <col min="7132" max="7132" width="4.85546875" style="122" customWidth="1"/>
    <col min="7133" max="7133" width="5.140625" style="122" customWidth="1"/>
    <col min="7134" max="7134" width="13.7109375" style="122" customWidth="1"/>
    <col min="7135" max="7135" width="9.42578125" style="122" customWidth="1"/>
    <col min="7136" max="7136" width="7.85546875" style="122" bestFit="1" customWidth="1"/>
    <col min="7137" max="7137" width="9.42578125" style="122" customWidth="1"/>
    <col min="7138" max="7138" width="7.42578125" style="122" customWidth="1"/>
    <col min="7139" max="7139" width="7.85546875" style="122" customWidth="1"/>
    <col min="7140" max="7140" width="11" style="122" customWidth="1"/>
    <col min="7141" max="7141" width="7.5703125" style="122" customWidth="1"/>
    <col min="7142" max="7142" width="3.28515625" style="122" customWidth="1"/>
    <col min="7143" max="7143" width="5.85546875" style="122" customWidth="1"/>
    <col min="7144" max="7144" width="6.5703125" style="122" customWidth="1"/>
    <col min="7145" max="7145" width="3.28515625" style="122" customWidth="1"/>
    <col min="7146" max="7146" width="5.85546875" style="122" customWidth="1"/>
    <col min="7147" max="7147" width="6.5703125" style="122" customWidth="1"/>
    <col min="7148" max="7148" width="3.28515625" style="122" customWidth="1"/>
    <col min="7149" max="7149" width="5.85546875" style="122" customWidth="1"/>
    <col min="7150" max="7150" width="6.5703125" style="122" customWidth="1"/>
    <col min="7151" max="7151" width="3.28515625" style="122" customWidth="1"/>
    <col min="7152" max="7152" width="5.85546875" style="122" customWidth="1"/>
    <col min="7153" max="7153" width="6.5703125" style="122" customWidth="1"/>
    <col min="7154" max="7154" width="3.28515625" style="122" customWidth="1"/>
    <col min="7155" max="7155" width="5.85546875" style="122" customWidth="1"/>
    <col min="7156" max="7156" width="6.5703125" style="122" customWidth="1"/>
    <col min="7157" max="7157" width="3.28515625" style="122" customWidth="1"/>
    <col min="7158" max="7158" width="5.85546875" style="122" customWidth="1"/>
    <col min="7159" max="7159" width="6.5703125" style="122" customWidth="1"/>
    <col min="7160" max="7160" width="3.28515625" style="122" customWidth="1"/>
    <col min="7161" max="7161" width="5.85546875" style="122" customWidth="1"/>
    <col min="7162" max="7162" width="6.5703125" style="122" customWidth="1"/>
    <col min="7163" max="7163" width="3.28515625" style="122" customWidth="1"/>
    <col min="7164" max="7164" width="5.85546875" style="122" customWidth="1"/>
    <col min="7165" max="7165" width="6.5703125" style="122" customWidth="1"/>
    <col min="7166" max="7166" width="3.28515625" style="122" customWidth="1"/>
    <col min="7167" max="7167" width="5.85546875" style="122" customWidth="1"/>
    <col min="7168" max="7168" width="6.5703125" style="122" customWidth="1"/>
    <col min="7169" max="7169" width="3.28515625" style="122" customWidth="1"/>
    <col min="7170" max="7170" width="5.85546875" style="122" customWidth="1"/>
    <col min="7171" max="7171" width="6.5703125" style="122" customWidth="1"/>
    <col min="7172" max="7172" width="3.28515625" style="122" customWidth="1"/>
    <col min="7173" max="7173" width="5.85546875" style="122" customWidth="1"/>
    <col min="7174" max="7174" width="6.5703125" style="122" customWidth="1"/>
    <col min="7175" max="7175" width="3.28515625" style="122" customWidth="1"/>
    <col min="7176" max="7176" width="5.85546875" style="122" customWidth="1"/>
    <col min="7177" max="7177" width="6.5703125" style="122" customWidth="1"/>
    <col min="7178" max="7178" width="3.28515625" style="122" customWidth="1"/>
    <col min="7179" max="7179" width="5.85546875" style="122" customWidth="1"/>
    <col min="7180" max="7180" width="6.5703125" style="122" customWidth="1"/>
    <col min="7181" max="7181" width="3.28515625" style="122" customWidth="1"/>
    <col min="7182" max="7182" width="5.85546875" style="122" customWidth="1"/>
    <col min="7183" max="7183" width="6.5703125" style="122" customWidth="1"/>
    <col min="7184" max="7184" width="9.42578125" style="122" customWidth="1"/>
    <col min="7185" max="7387" width="9.140625" style="122"/>
    <col min="7388" max="7388" width="4.85546875" style="122" customWidth="1"/>
    <col min="7389" max="7389" width="5.140625" style="122" customWidth="1"/>
    <col min="7390" max="7390" width="13.7109375" style="122" customWidth="1"/>
    <col min="7391" max="7391" width="9.42578125" style="122" customWidth="1"/>
    <col min="7392" max="7392" width="7.85546875" style="122" bestFit="1" customWidth="1"/>
    <col min="7393" max="7393" width="9.42578125" style="122" customWidth="1"/>
    <col min="7394" max="7394" width="7.42578125" style="122" customWidth="1"/>
    <col min="7395" max="7395" width="7.85546875" style="122" customWidth="1"/>
    <col min="7396" max="7396" width="11" style="122" customWidth="1"/>
    <col min="7397" max="7397" width="7.5703125" style="122" customWidth="1"/>
    <col min="7398" max="7398" width="3.28515625" style="122" customWidth="1"/>
    <col min="7399" max="7399" width="5.85546875" style="122" customWidth="1"/>
    <col min="7400" max="7400" width="6.5703125" style="122" customWidth="1"/>
    <col min="7401" max="7401" width="3.28515625" style="122" customWidth="1"/>
    <col min="7402" max="7402" width="5.85546875" style="122" customWidth="1"/>
    <col min="7403" max="7403" width="6.5703125" style="122" customWidth="1"/>
    <col min="7404" max="7404" width="3.28515625" style="122" customWidth="1"/>
    <col min="7405" max="7405" width="5.85546875" style="122" customWidth="1"/>
    <col min="7406" max="7406" width="6.5703125" style="122" customWidth="1"/>
    <col min="7407" max="7407" width="3.28515625" style="122" customWidth="1"/>
    <col min="7408" max="7408" width="5.85546875" style="122" customWidth="1"/>
    <col min="7409" max="7409" width="6.5703125" style="122" customWidth="1"/>
    <col min="7410" max="7410" width="3.28515625" style="122" customWidth="1"/>
    <col min="7411" max="7411" width="5.85546875" style="122" customWidth="1"/>
    <col min="7412" max="7412" width="6.5703125" style="122" customWidth="1"/>
    <col min="7413" max="7413" width="3.28515625" style="122" customWidth="1"/>
    <col min="7414" max="7414" width="5.85546875" style="122" customWidth="1"/>
    <col min="7415" max="7415" width="6.5703125" style="122" customWidth="1"/>
    <col min="7416" max="7416" width="3.28515625" style="122" customWidth="1"/>
    <col min="7417" max="7417" width="5.85546875" style="122" customWidth="1"/>
    <col min="7418" max="7418" width="6.5703125" style="122" customWidth="1"/>
    <col min="7419" max="7419" width="3.28515625" style="122" customWidth="1"/>
    <col min="7420" max="7420" width="5.85546875" style="122" customWidth="1"/>
    <col min="7421" max="7421" width="6.5703125" style="122" customWidth="1"/>
    <col min="7422" max="7422" width="3.28515625" style="122" customWidth="1"/>
    <col min="7423" max="7423" width="5.85546875" style="122" customWidth="1"/>
    <col min="7424" max="7424" width="6.5703125" style="122" customWidth="1"/>
    <col min="7425" max="7425" width="3.28515625" style="122" customWidth="1"/>
    <col min="7426" max="7426" width="5.85546875" style="122" customWidth="1"/>
    <col min="7427" max="7427" width="6.5703125" style="122" customWidth="1"/>
    <col min="7428" max="7428" width="3.28515625" style="122" customWidth="1"/>
    <col min="7429" max="7429" width="5.85546875" style="122" customWidth="1"/>
    <col min="7430" max="7430" width="6.5703125" style="122" customWidth="1"/>
    <col min="7431" max="7431" width="3.28515625" style="122" customWidth="1"/>
    <col min="7432" max="7432" width="5.85546875" style="122" customWidth="1"/>
    <col min="7433" max="7433" width="6.5703125" style="122" customWidth="1"/>
    <col min="7434" max="7434" width="3.28515625" style="122" customWidth="1"/>
    <col min="7435" max="7435" width="5.85546875" style="122" customWidth="1"/>
    <col min="7436" max="7436" width="6.5703125" style="122" customWidth="1"/>
    <col min="7437" max="7437" width="3.28515625" style="122" customWidth="1"/>
    <col min="7438" max="7438" width="5.85546875" style="122" customWidth="1"/>
    <col min="7439" max="7439" width="6.5703125" style="122" customWidth="1"/>
    <col min="7440" max="7440" width="9.42578125" style="122" customWidth="1"/>
    <col min="7441" max="7643" width="9.140625" style="122"/>
    <col min="7644" max="7644" width="4.85546875" style="122" customWidth="1"/>
    <col min="7645" max="7645" width="5.140625" style="122" customWidth="1"/>
    <col min="7646" max="7646" width="13.7109375" style="122" customWidth="1"/>
    <col min="7647" max="7647" width="9.42578125" style="122" customWidth="1"/>
    <col min="7648" max="7648" width="7.85546875" style="122" bestFit="1" customWidth="1"/>
    <col min="7649" max="7649" width="9.42578125" style="122" customWidth="1"/>
    <col min="7650" max="7650" width="7.42578125" style="122" customWidth="1"/>
    <col min="7651" max="7651" width="7.85546875" style="122" customWidth="1"/>
    <col min="7652" max="7652" width="11" style="122" customWidth="1"/>
    <col min="7653" max="7653" width="7.5703125" style="122" customWidth="1"/>
    <col min="7654" max="7654" width="3.28515625" style="122" customWidth="1"/>
    <col min="7655" max="7655" width="5.85546875" style="122" customWidth="1"/>
    <col min="7656" max="7656" width="6.5703125" style="122" customWidth="1"/>
    <col min="7657" max="7657" width="3.28515625" style="122" customWidth="1"/>
    <col min="7658" max="7658" width="5.85546875" style="122" customWidth="1"/>
    <col min="7659" max="7659" width="6.5703125" style="122" customWidth="1"/>
    <col min="7660" max="7660" width="3.28515625" style="122" customWidth="1"/>
    <col min="7661" max="7661" width="5.85546875" style="122" customWidth="1"/>
    <col min="7662" max="7662" width="6.5703125" style="122" customWidth="1"/>
    <col min="7663" max="7663" width="3.28515625" style="122" customWidth="1"/>
    <col min="7664" max="7664" width="5.85546875" style="122" customWidth="1"/>
    <col min="7665" max="7665" width="6.5703125" style="122" customWidth="1"/>
    <col min="7666" max="7666" width="3.28515625" style="122" customWidth="1"/>
    <col min="7667" max="7667" width="5.85546875" style="122" customWidth="1"/>
    <col min="7668" max="7668" width="6.5703125" style="122" customWidth="1"/>
    <col min="7669" max="7669" width="3.28515625" style="122" customWidth="1"/>
    <col min="7670" max="7670" width="5.85546875" style="122" customWidth="1"/>
    <col min="7671" max="7671" width="6.5703125" style="122" customWidth="1"/>
    <col min="7672" max="7672" width="3.28515625" style="122" customWidth="1"/>
    <col min="7673" max="7673" width="5.85546875" style="122" customWidth="1"/>
    <col min="7674" max="7674" width="6.5703125" style="122" customWidth="1"/>
    <col min="7675" max="7675" width="3.28515625" style="122" customWidth="1"/>
    <col min="7676" max="7676" width="5.85546875" style="122" customWidth="1"/>
    <col min="7677" max="7677" width="6.5703125" style="122" customWidth="1"/>
    <col min="7678" max="7678" width="3.28515625" style="122" customWidth="1"/>
    <col min="7679" max="7679" width="5.85546875" style="122" customWidth="1"/>
    <col min="7680" max="7680" width="6.5703125" style="122" customWidth="1"/>
    <col min="7681" max="7681" width="3.28515625" style="122" customWidth="1"/>
    <col min="7682" max="7682" width="5.85546875" style="122" customWidth="1"/>
    <col min="7683" max="7683" width="6.5703125" style="122" customWidth="1"/>
    <col min="7684" max="7684" width="3.28515625" style="122" customWidth="1"/>
    <col min="7685" max="7685" width="5.85546875" style="122" customWidth="1"/>
    <col min="7686" max="7686" width="6.5703125" style="122" customWidth="1"/>
    <col min="7687" max="7687" width="3.28515625" style="122" customWidth="1"/>
    <col min="7688" max="7688" width="5.85546875" style="122" customWidth="1"/>
    <col min="7689" max="7689" width="6.5703125" style="122" customWidth="1"/>
    <col min="7690" max="7690" width="3.28515625" style="122" customWidth="1"/>
    <col min="7691" max="7691" width="5.85546875" style="122" customWidth="1"/>
    <col min="7692" max="7692" width="6.5703125" style="122" customWidth="1"/>
    <col min="7693" max="7693" width="3.28515625" style="122" customWidth="1"/>
    <col min="7694" max="7694" width="5.85546875" style="122" customWidth="1"/>
    <col min="7695" max="7695" width="6.5703125" style="122" customWidth="1"/>
    <col min="7696" max="7696" width="9.42578125" style="122" customWidth="1"/>
    <col min="7697" max="7899" width="9.140625" style="122"/>
    <col min="7900" max="7900" width="4.85546875" style="122" customWidth="1"/>
    <col min="7901" max="7901" width="5.140625" style="122" customWidth="1"/>
    <col min="7902" max="7902" width="13.7109375" style="122" customWidth="1"/>
    <col min="7903" max="7903" width="9.42578125" style="122" customWidth="1"/>
    <col min="7904" max="7904" width="7.85546875" style="122" bestFit="1" customWidth="1"/>
    <col min="7905" max="7905" width="9.42578125" style="122" customWidth="1"/>
    <col min="7906" max="7906" width="7.42578125" style="122" customWidth="1"/>
    <col min="7907" max="7907" width="7.85546875" style="122" customWidth="1"/>
    <col min="7908" max="7908" width="11" style="122" customWidth="1"/>
    <col min="7909" max="7909" width="7.5703125" style="122" customWidth="1"/>
    <col min="7910" max="7910" width="3.28515625" style="122" customWidth="1"/>
    <col min="7911" max="7911" width="5.85546875" style="122" customWidth="1"/>
    <col min="7912" max="7912" width="6.5703125" style="122" customWidth="1"/>
    <col min="7913" max="7913" width="3.28515625" style="122" customWidth="1"/>
    <col min="7914" max="7914" width="5.85546875" style="122" customWidth="1"/>
    <col min="7915" max="7915" width="6.5703125" style="122" customWidth="1"/>
    <col min="7916" max="7916" width="3.28515625" style="122" customWidth="1"/>
    <col min="7917" max="7917" width="5.85546875" style="122" customWidth="1"/>
    <col min="7918" max="7918" width="6.5703125" style="122" customWidth="1"/>
    <col min="7919" max="7919" width="3.28515625" style="122" customWidth="1"/>
    <col min="7920" max="7920" width="5.85546875" style="122" customWidth="1"/>
    <col min="7921" max="7921" width="6.5703125" style="122" customWidth="1"/>
    <col min="7922" max="7922" width="3.28515625" style="122" customWidth="1"/>
    <col min="7923" max="7923" width="5.85546875" style="122" customWidth="1"/>
    <col min="7924" max="7924" width="6.5703125" style="122" customWidth="1"/>
    <col min="7925" max="7925" width="3.28515625" style="122" customWidth="1"/>
    <col min="7926" max="7926" width="5.85546875" style="122" customWidth="1"/>
    <col min="7927" max="7927" width="6.5703125" style="122" customWidth="1"/>
    <col min="7928" max="7928" width="3.28515625" style="122" customWidth="1"/>
    <col min="7929" max="7929" width="5.85546875" style="122" customWidth="1"/>
    <col min="7930" max="7930" width="6.5703125" style="122" customWidth="1"/>
    <col min="7931" max="7931" width="3.28515625" style="122" customWidth="1"/>
    <col min="7932" max="7932" width="5.85546875" style="122" customWidth="1"/>
    <col min="7933" max="7933" width="6.5703125" style="122" customWidth="1"/>
    <col min="7934" max="7934" width="3.28515625" style="122" customWidth="1"/>
    <col min="7935" max="7935" width="5.85546875" style="122" customWidth="1"/>
    <col min="7936" max="7936" width="6.5703125" style="122" customWidth="1"/>
    <col min="7937" max="7937" width="3.28515625" style="122" customWidth="1"/>
    <col min="7938" max="7938" width="5.85546875" style="122" customWidth="1"/>
    <col min="7939" max="7939" width="6.5703125" style="122" customWidth="1"/>
    <col min="7940" max="7940" width="3.28515625" style="122" customWidth="1"/>
    <col min="7941" max="7941" width="5.85546875" style="122" customWidth="1"/>
    <col min="7942" max="7942" width="6.5703125" style="122" customWidth="1"/>
    <col min="7943" max="7943" width="3.28515625" style="122" customWidth="1"/>
    <col min="7944" max="7944" width="5.85546875" style="122" customWidth="1"/>
    <col min="7945" max="7945" width="6.5703125" style="122" customWidth="1"/>
    <col min="7946" max="7946" width="3.28515625" style="122" customWidth="1"/>
    <col min="7947" max="7947" width="5.85546875" style="122" customWidth="1"/>
    <col min="7948" max="7948" width="6.5703125" style="122" customWidth="1"/>
    <col min="7949" max="7949" width="3.28515625" style="122" customWidth="1"/>
    <col min="7950" max="7950" width="5.85546875" style="122" customWidth="1"/>
    <col min="7951" max="7951" width="6.5703125" style="122" customWidth="1"/>
    <col min="7952" max="7952" width="9.42578125" style="122" customWidth="1"/>
    <col min="7953" max="8155" width="9.140625" style="122"/>
    <col min="8156" max="8156" width="4.85546875" style="122" customWidth="1"/>
    <col min="8157" max="8157" width="5.140625" style="122" customWidth="1"/>
    <col min="8158" max="8158" width="13.7109375" style="122" customWidth="1"/>
    <col min="8159" max="8159" width="9.42578125" style="122" customWidth="1"/>
    <col min="8160" max="8160" width="7.85546875" style="122" bestFit="1" customWidth="1"/>
    <col min="8161" max="8161" width="9.42578125" style="122" customWidth="1"/>
    <col min="8162" max="8162" width="7.42578125" style="122" customWidth="1"/>
    <col min="8163" max="8163" width="7.85546875" style="122" customWidth="1"/>
    <col min="8164" max="8164" width="11" style="122" customWidth="1"/>
    <col min="8165" max="8165" width="7.5703125" style="122" customWidth="1"/>
    <col min="8166" max="8166" width="3.28515625" style="122" customWidth="1"/>
    <col min="8167" max="8167" width="5.85546875" style="122" customWidth="1"/>
    <col min="8168" max="8168" width="6.5703125" style="122" customWidth="1"/>
    <col min="8169" max="8169" width="3.28515625" style="122" customWidth="1"/>
    <col min="8170" max="8170" width="5.85546875" style="122" customWidth="1"/>
    <col min="8171" max="8171" width="6.5703125" style="122" customWidth="1"/>
    <col min="8172" max="8172" width="3.28515625" style="122" customWidth="1"/>
    <col min="8173" max="8173" width="5.85546875" style="122" customWidth="1"/>
    <col min="8174" max="8174" width="6.5703125" style="122" customWidth="1"/>
    <col min="8175" max="8175" width="3.28515625" style="122" customWidth="1"/>
    <col min="8176" max="8176" width="5.85546875" style="122" customWidth="1"/>
    <col min="8177" max="8177" width="6.5703125" style="122" customWidth="1"/>
    <col min="8178" max="8178" width="3.28515625" style="122" customWidth="1"/>
    <col min="8179" max="8179" width="5.85546875" style="122" customWidth="1"/>
    <col min="8180" max="8180" width="6.5703125" style="122" customWidth="1"/>
    <col min="8181" max="8181" width="3.28515625" style="122" customWidth="1"/>
    <col min="8182" max="8182" width="5.85546875" style="122" customWidth="1"/>
    <col min="8183" max="8183" width="6.5703125" style="122" customWidth="1"/>
    <col min="8184" max="8184" width="3.28515625" style="122" customWidth="1"/>
    <col min="8185" max="8185" width="5.85546875" style="122" customWidth="1"/>
    <col min="8186" max="8186" width="6.5703125" style="122" customWidth="1"/>
    <col min="8187" max="8187" width="3.28515625" style="122" customWidth="1"/>
    <col min="8188" max="8188" width="5.85546875" style="122" customWidth="1"/>
    <col min="8189" max="8189" width="6.5703125" style="122" customWidth="1"/>
    <col min="8190" max="8190" width="3.28515625" style="122" customWidth="1"/>
    <col min="8191" max="8191" width="5.85546875" style="122" customWidth="1"/>
    <col min="8192" max="8192" width="6.5703125" style="122" customWidth="1"/>
    <col min="8193" max="8193" width="3.28515625" style="122" customWidth="1"/>
    <col min="8194" max="8194" width="5.85546875" style="122" customWidth="1"/>
    <col min="8195" max="8195" width="6.5703125" style="122" customWidth="1"/>
    <col min="8196" max="8196" width="3.28515625" style="122" customWidth="1"/>
    <col min="8197" max="8197" width="5.85546875" style="122" customWidth="1"/>
    <col min="8198" max="8198" width="6.5703125" style="122" customWidth="1"/>
    <col min="8199" max="8199" width="3.28515625" style="122" customWidth="1"/>
    <col min="8200" max="8200" width="5.85546875" style="122" customWidth="1"/>
    <col min="8201" max="8201" width="6.5703125" style="122" customWidth="1"/>
    <col min="8202" max="8202" width="3.28515625" style="122" customWidth="1"/>
    <col min="8203" max="8203" width="5.85546875" style="122" customWidth="1"/>
    <col min="8204" max="8204" width="6.5703125" style="122" customWidth="1"/>
    <col min="8205" max="8205" width="3.28515625" style="122" customWidth="1"/>
    <col min="8206" max="8206" width="5.85546875" style="122" customWidth="1"/>
    <col min="8207" max="8207" width="6.5703125" style="122" customWidth="1"/>
    <col min="8208" max="8208" width="9.42578125" style="122" customWidth="1"/>
    <col min="8209" max="8411" width="9.140625" style="122"/>
    <col min="8412" max="8412" width="4.85546875" style="122" customWidth="1"/>
    <col min="8413" max="8413" width="5.140625" style="122" customWidth="1"/>
    <col min="8414" max="8414" width="13.7109375" style="122" customWidth="1"/>
    <col min="8415" max="8415" width="9.42578125" style="122" customWidth="1"/>
    <col min="8416" max="8416" width="7.85546875" style="122" bestFit="1" customWidth="1"/>
    <col min="8417" max="8417" width="9.42578125" style="122" customWidth="1"/>
    <col min="8418" max="8418" width="7.42578125" style="122" customWidth="1"/>
    <col min="8419" max="8419" width="7.85546875" style="122" customWidth="1"/>
    <col min="8420" max="8420" width="11" style="122" customWidth="1"/>
    <col min="8421" max="8421" width="7.5703125" style="122" customWidth="1"/>
    <col min="8422" max="8422" width="3.28515625" style="122" customWidth="1"/>
    <col min="8423" max="8423" width="5.85546875" style="122" customWidth="1"/>
    <col min="8424" max="8424" width="6.5703125" style="122" customWidth="1"/>
    <col min="8425" max="8425" width="3.28515625" style="122" customWidth="1"/>
    <col min="8426" max="8426" width="5.85546875" style="122" customWidth="1"/>
    <col min="8427" max="8427" width="6.5703125" style="122" customWidth="1"/>
    <col min="8428" max="8428" width="3.28515625" style="122" customWidth="1"/>
    <col min="8429" max="8429" width="5.85546875" style="122" customWidth="1"/>
    <col min="8430" max="8430" width="6.5703125" style="122" customWidth="1"/>
    <col min="8431" max="8431" width="3.28515625" style="122" customWidth="1"/>
    <col min="8432" max="8432" width="5.85546875" style="122" customWidth="1"/>
    <col min="8433" max="8433" width="6.5703125" style="122" customWidth="1"/>
    <col min="8434" max="8434" width="3.28515625" style="122" customWidth="1"/>
    <col min="8435" max="8435" width="5.85546875" style="122" customWidth="1"/>
    <col min="8436" max="8436" width="6.5703125" style="122" customWidth="1"/>
    <col min="8437" max="8437" width="3.28515625" style="122" customWidth="1"/>
    <col min="8438" max="8438" width="5.85546875" style="122" customWidth="1"/>
    <col min="8439" max="8439" width="6.5703125" style="122" customWidth="1"/>
    <col min="8440" max="8440" width="3.28515625" style="122" customWidth="1"/>
    <col min="8441" max="8441" width="5.85546875" style="122" customWidth="1"/>
    <col min="8442" max="8442" width="6.5703125" style="122" customWidth="1"/>
    <col min="8443" max="8443" width="3.28515625" style="122" customWidth="1"/>
    <col min="8444" max="8444" width="5.85546875" style="122" customWidth="1"/>
    <col min="8445" max="8445" width="6.5703125" style="122" customWidth="1"/>
    <col min="8446" max="8446" width="3.28515625" style="122" customWidth="1"/>
    <col min="8447" max="8447" width="5.85546875" style="122" customWidth="1"/>
    <col min="8448" max="8448" width="6.5703125" style="122" customWidth="1"/>
    <col min="8449" max="8449" width="3.28515625" style="122" customWidth="1"/>
    <col min="8450" max="8450" width="5.85546875" style="122" customWidth="1"/>
    <col min="8451" max="8451" width="6.5703125" style="122" customWidth="1"/>
    <col min="8452" max="8452" width="3.28515625" style="122" customWidth="1"/>
    <col min="8453" max="8453" width="5.85546875" style="122" customWidth="1"/>
    <col min="8454" max="8454" width="6.5703125" style="122" customWidth="1"/>
    <col min="8455" max="8455" width="3.28515625" style="122" customWidth="1"/>
    <col min="8456" max="8456" width="5.85546875" style="122" customWidth="1"/>
    <col min="8457" max="8457" width="6.5703125" style="122" customWidth="1"/>
    <col min="8458" max="8458" width="3.28515625" style="122" customWidth="1"/>
    <col min="8459" max="8459" width="5.85546875" style="122" customWidth="1"/>
    <col min="8460" max="8460" width="6.5703125" style="122" customWidth="1"/>
    <col min="8461" max="8461" width="3.28515625" style="122" customWidth="1"/>
    <col min="8462" max="8462" width="5.85546875" style="122" customWidth="1"/>
    <col min="8463" max="8463" width="6.5703125" style="122" customWidth="1"/>
    <col min="8464" max="8464" width="9.42578125" style="122" customWidth="1"/>
    <col min="8465" max="8667" width="9.140625" style="122"/>
    <col min="8668" max="8668" width="4.85546875" style="122" customWidth="1"/>
    <col min="8669" max="8669" width="5.140625" style="122" customWidth="1"/>
    <col min="8670" max="8670" width="13.7109375" style="122" customWidth="1"/>
    <col min="8671" max="8671" width="9.42578125" style="122" customWidth="1"/>
    <col min="8672" max="8672" width="7.85546875" style="122" bestFit="1" customWidth="1"/>
    <col min="8673" max="8673" width="9.42578125" style="122" customWidth="1"/>
    <col min="8674" max="8674" width="7.42578125" style="122" customWidth="1"/>
    <col min="8675" max="8675" width="7.85546875" style="122" customWidth="1"/>
    <col min="8676" max="8676" width="11" style="122" customWidth="1"/>
    <col min="8677" max="8677" width="7.5703125" style="122" customWidth="1"/>
    <col min="8678" max="8678" width="3.28515625" style="122" customWidth="1"/>
    <col min="8679" max="8679" width="5.85546875" style="122" customWidth="1"/>
    <col min="8680" max="8680" width="6.5703125" style="122" customWidth="1"/>
    <col min="8681" max="8681" width="3.28515625" style="122" customWidth="1"/>
    <col min="8682" max="8682" width="5.85546875" style="122" customWidth="1"/>
    <col min="8683" max="8683" width="6.5703125" style="122" customWidth="1"/>
    <col min="8684" max="8684" width="3.28515625" style="122" customWidth="1"/>
    <col min="8685" max="8685" width="5.85546875" style="122" customWidth="1"/>
    <col min="8686" max="8686" width="6.5703125" style="122" customWidth="1"/>
    <col min="8687" max="8687" width="3.28515625" style="122" customWidth="1"/>
    <col min="8688" max="8688" width="5.85546875" style="122" customWidth="1"/>
    <col min="8689" max="8689" width="6.5703125" style="122" customWidth="1"/>
    <col min="8690" max="8690" width="3.28515625" style="122" customWidth="1"/>
    <col min="8691" max="8691" width="5.85546875" style="122" customWidth="1"/>
    <col min="8692" max="8692" width="6.5703125" style="122" customWidth="1"/>
    <col min="8693" max="8693" width="3.28515625" style="122" customWidth="1"/>
    <col min="8694" max="8694" width="5.85546875" style="122" customWidth="1"/>
    <col min="8695" max="8695" width="6.5703125" style="122" customWidth="1"/>
    <col min="8696" max="8696" width="3.28515625" style="122" customWidth="1"/>
    <col min="8697" max="8697" width="5.85546875" style="122" customWidth="1"/>
    <col min="8698" max="8698" width="6.5703125" style="122" customWidth="1"/>
    <col min="8699" max="8699" width="3.28515625" style="122" customWidth="1"/>
    <col min="8700" max="8700" width="5.85546875" style="122" customWidth="1"/>
    <col min="8701" max="8701" width="6.5703125" style="122" customWidth="1"/>
    <col min="8702" max="8702" width="3.28515625" style="122" customWidth="1"/>
    <col min="8703" max="8703" width="5.85546875" style="122" customWidth="1"/>
    <col min="8704" max="8704" width="6.5703125" style="122" customWidth="1"/>
    <col min="8705" max="8705" width="3.28515625" style="122" customWidth="1"/>
    <col min="8706" max="8706" width="5.85546875" style="122" customWidth="1"/>
    <col min="8707" max="8707" width="6.5703125" style="122" customWidth="1"/>
    <col min="8708" max="8708" width="3.28515625" style="122" customWidth="1"/>
    <col min="8709" max="8709" width="5.85546875" style="122" customWidth="1"/>
    <col min="8710" max="8710" width="6.5703125" style="122" customWidth="1"/>
    <col min="8711" max="8711" width="3.28515625" style="122" customWidth="1"/>
    <col min="8712" max="8712" width="5.85546875" style="122" customWidth="1"/>
    <col min="8713" max="8713" width="6.5703125" style="122" customWidth="1"/>
    <col min="8714" max="8714" width="3.28515625" style="122" customWidth="1"/>
    <col min="8715" max="8715" width="5.85546875" style="122" customWidth="1"/>
    <col min="8716" max="8716" width="6.5703125" style="122" customWidth="1"/>
    <col min="8717" max="8717" width="3.28515625" style="122" customWidth="1"/>
    <col min="8718" max="8718" width="5.85546875" style="122" customWidth="1"/>
    <col min="8719" max="8719" width="6.5703125" style="122" customWidth="1"/>
    <col min="8720" max="8720" width="9.42578125" style="122" customWidth="1"/>
    <col min="8721" max="8923" width="9.140625" style="122"/>
    <col min="8924" max="8924" width="4.85546875" style="122" customWidth="1"/>
    <col min="8925" max="8925" width="5.140625" style="122" customWidth="1"/>
    <col min="8926" max="8926" width="13.7109375" style="122" customWidth="1"/>
    <col min="8927" max="8927" width="9.42578125" style="122" customWidth="1"/>
    <col min="8928" max="8928" width="7.85546875" style="122" bestFit="1" customWidth="1"/>
    <col min="8929" max="8929" width="9.42578125" style="122" customWidth="1"/>
    <col min="8930" max="8930" width="7.42578125" style="122" customWidth="1"/>
    <col min="8931" max="8931" width="7.85546875" style="122" customWidth="1"/>
    <col min="8932" max="8932" width="11" style="122" customWidth="1"/>
    <col min="8933" max="8933" width="7.5703125" style="122" customWidth="1"/>
    <col min="8934" max="8934" width="3.28515625" style="122" customWidth="1"/>
    <col min="8935" max="8935" width="5.85546875" style="122" customWidth="1"/>
    <col min="8936" max="8936" width="6.5703125" style="122" customWidth="1"/>
    <col min="8937" max="8937" width="3.28515625" style="122" customWidth="1"/>
    <col min="8938" max="8938" width="5.85546875" style="122" customWidth="1"/>
    <col min="8939" max="8939" width="6.5703125" style="122" customWidth="1"/>
    <col min="8940" max="8940" width="3.28515625" style="122" customWidth="1"/>
    <col min="8941" max="8941" width="5.85546875" style="122" customWidth="1"/>
    <col min="8942" max="8942" width="6.5703125" style="122" customWidth="1"/>
    <col min="8943" max="8943" width="3.28515625" style="122" customWidth="1"/>
    <col min="8944" max="8944" width="5.85546875" style="122" customWidth="1"/>
    <col min="8945" max="8945" width="6.5703125" style="122" customWidth="1"/>
    <col min="8946" max="8946" width="3.28515625" style="122" customWidth="1"/>
    <col min="8947" max="8947" width="5.85546875" style="122" customWidth="1"/>
    <col min="8948" max="8948" width="6.5703125" style="122" customWidth="1"/>
    <col min="8949" max="8949" width="3.28515625" style="122" customWidth="1"/>
    <col min="8950" max="8950" width="5.85546875" style="122" customWidth="1"/>
    <col min="8951" max="8951" width="6.5703125" style="122" customWidth="1"/>
    <col min="8952" max="8952" width="3.28515625" style="122" customWidth="1"/>
    <col min="8953" max="8953" width="5.85546875" style="122" customWidth="1"/>
    <col min="8954" max="8954" width="6.5703125" style="122" customWidth="1"/>
    <col min="8955" max="8955" width="3.28515625" style="122" customWidth="1"/>
    <col min="8956" max="8956" width="5.85546875" style="122" customWidth="1"/>
    <col min="8957" max="8957" width="6.5703125" style="122" customWidth="1"/>
    <col min="8958" max="8958" width="3.28515625" style="122" customWidth="1"/>
    <col min="8959" max="8959" width="5.85546875" style="122" customWidth="1"/>
    <col min="8960" max="8960" width="6.5703125" style="122" customWidth="1"/>
    <col min="8961" max="8961" width="3.28515625" style="122" customWidth="1"/>
    <col min="8962" max="8962" width="5.85546875" style="122" customWidth="1"/>
    <col min="8963" max="8963" width="6.5703125" style="122" customWidth="1"/>
    <col min="8964" max="8964" width="3.28515625" style="122" customWidth="1"/>
    <col min="8965" max="8965" width="5.85546875" style="122" customWidth="1"/>
    <col min="8966" max="8966" width="6.5703125" style="122" customWidth="1"/>
    <col min="8967" max="8967" width="3.28515625" style="122" customWidth="1"/>
    <col min="8968" max="8968" width="5.85546875" style="122" customWidth="1"/>
    <col min="8969" max="8969" width="6.5703125" style="122" customWidth="1"/>
    <col min="8970" max="8970" width="3.28515625" style="122" customWidth="1"/>
    <col min="8971" max="8971" width="5.85546875" style="122" customWidth="1"/>
    <col min="8972" max="8972" width="6.5703125" style="122" customWidth="1"/>
    <col min="8973" max="8973" width="3.28515625" style="122" customWidth="1"/>
    <col min="8974" max="8974" width="5.85546875" style="122" customWidth="1"/>
    <col min="8975" max="8975" width="6.5703125" style="122" customWidth="1"/>
    <col min="8976" max="8976" width="9.42578125" style="122" customWidth="1"/>
    <col min="8977" max="9179" width="9.140625" style="122"/>
    <col min="9180" max="9180" width="4.85546875" style="122" customWidth="1"/>
    <col min="9181" max="9181" width="5.140625" style="122" customWidth="1"/>
    <col min="9182" max="9182" width="13.7109375" style="122" customWidth="1"/>
    <col min="9183" max="9183" width="9.42578125" style="122" customWidth="1"/>
    <col min="9184" max="9184" width="7.85546875" style="122" bestFit="1" customWidth="1"/>
    <col min="9185" max="9185" width="9.42578125" style="122" customWidth="1"/>
    <col min="9186" max="9186" width="7.42578125" style="122" customWidth="1"/>
    <col min="9187" max="9187" width="7.85546875" style="122" customWidth="1"/>
    <col min="9188" max="9188" width="11" style="122" customWidth="1"/>
    <col min="9189" max="9189" width="7.5703125" style="122" customWidth="1"/>
    <col min="9190" max="9190" width="3.28515625" style="122" customWidth="1"/>
    <col min="9191" max="9191" width="5.85546875" style="122" customWidth="1"/>
    <col min="9192" max="9192" width="6.5703125" style="122" customWidth="1"/>
    <col min="9193" max="9193" width="3.28515625" style="122" customWidth="1"/>
    <col min="9194" max="9194" width="5.85546875" style="122" customWidth="1"/>
    <col min="9195" max="9195" width="6.5703125" style="122" customWidth="1"/>
    <col min="9196" max="9196" width="3.28515625" style="122" customWidth="1"/>
    <col min="9197" max="9197" width="5.85546875" style="122" customWidth="1"/>
    <col min="9198" max="9198" width="6.5703125" style="122" customWidth="1"/>
    <col min="9199" max="9199" width="3.28515625" style="122" customWidth="1"/>
    <col min="9200" max="9200" width="5.85546875" style="122" customWidth="1"/>
    <col min="9201" max="9201" width="6.5703125" style="122" customWidth="1"/>
    <col min="9202" max="9202" width="3.28515625" style="122" customWidth="1"/>
    <col min="9203" max="9203" width="5.85546875" style="122" customWidth="1"/>
    <col min="9204" max="9204" width="6.5703125" style="122" customWidth="1"/>
    <col min="9205" max="9205" width="3.28515625" style="122" customWidth="1"/>
    <col min="9206" max="9206" width="5.85546875" style="122" customWidth="1"/>
    <col min="9207" max="9207" width="6.5703125" style="122" customWidth="1"/>
    <col min="9208" max="9208" width="3.28515625" style="122" customWidth="1"/>
    <col min="9209" max="9209" width="5.85546875" style="122" customWidth="1"/>
    <col min="9210" max="9210" width="6.5703125" style="122" customWidth="1"/>
    <col min="9211" max="9211" width="3.28515625" style="122" customWidth="1"/>
    <col min="9212" max="9212" width="5.85546875" style="122" customWidth="1"/>
    <col min="9213" max="9213" width="6.5703125" style="122" customWidth="1"/>
    <col min="9214" max="9214" width="3.28515625" style="122" customWidth="1"/>
    <col min="9215" max="9215" width="5.85546875" style="122" customWidth="1"/>
    <col min="9216" max="9216" width="6.5703125" style="122" customWidth="1"/>
    <col min="9217" max="9217" width="3.28515625" style="122" customWidth="1"/>
    <col min="9218" max="9218" width="5.85546875" style="122" customWidth="1"/>
    <col min="9219" max="9219" width="6.5703125" style="122" customWidth="1"/>
    <col min="9220" max="9220" width="3.28515625" style="122" customWidth="1"/>
    <col min="9221" max="9221" width="5.85546875" style="122" customWidth="1"/>
    <col min="9222" max="9222" width="6.5703125" style="122" customWidth="1"/>
    <col min="9223" max="9223" width="3.28515625" style="122" customWidth="1"/>
    <col min="9224" max="9224" width="5.85546875" style="122" customWidth="1"/>
    <col min="9225" max="9225" width="6.5703125" style="122" customWidth="1"/>
    <col min="9226" max="9226" width="3.28515625" style="122" customWidth="1"/>
    <col min="9227" max="9227" width="5.85546875" style="122" customWidth="1"/>
    <col min="9228" max="9228" width="6.5703125" style="122" customWidth="1"/>
    <col min="9229" max="9229" width="3.28515625" style="122" customWidth="1"/>
    <col min="9230" max="9230" width="5.85546875" style="122" customWidth="1"/>
    <col min="9231" max="9231" width="6.5703125" style="122" customWidth="1"/>
    <col min="9232" max="9232" width="9.42578125" style="122" customWidth="1"/>
    <col min="9233" max="9435" width="9.140625" style="122"/>
    <col min="9436" max="9436" width="4.85546875" style="122" customWidth="1"/>
    <col min="9437" max="9437" width="5.140625" style="122" customWidth="1"/>
    <col min="9438" max="9438" width="13.7109375" style="122" customWidth="1"/>
    <col min="9439" max="9439" width="9.42578125" style="122" customWidth="1"/>
    <col min="9440" max="9440" width="7.85546875" style="122" bestFit="1" customWidth="1"/>
    <col min="9441" max="9441" width="9.42578125" style="122" customWidth="1"/>
    <col min="9442" max="9442" width="7.42578125" style="122" customWidth="1"/>
    <col min="9443" max="9443" width="7.85546875" style="122" customWidth="1"/>
    <col min="9444" max="9444" width="11" style="122" customWidth="1"/>
    <col min="9445" max="9445" width="7.5703125" style="122" customWidth="1"/>
    <col min="9446" max="9446" width="3.28515625" style="122" customWidth="1"/>
    <col min="9447" max="9447" width="5.85546875" style="122" customWidth="1"/>
    <col min="9448" max="9448" width="6.5703125" style="122" customWidth="1"/>
    <col min="9449" max="9449" width="3.28515625" style="122" customWidth="1"/>
    <col min="9450" max="9450" width="5.85546875" style="122" customWidth="1"/>
    <col min="9451" max="9451" width="6.5703125" style="122" customWidth="1"/>
    <col min="9452" max="9452" width="3.28515625" style="122" customWidth="1"/>
    <col min="9453" max="9453" width="5.85546875" style="122" customWidth="1"/>
    <col min="9454" max="9454" width="6.5703125" style="122" customWidth="1"/>
    <col min="9455" max="9455" width="3.28515625" style="122" customWidth="1"/>
    <col min="9456" max="9456" width="5.85546875" style="122" customWidth="1"/>
    <col min="9457" max="9457" width="6.5703125" style="122" customWidth="1"/>
    <col min="9458" max="9458" width="3.28515625" style="122" customWidth="1"/>
    <col min="9459" max="9459" width="5.85546875" style="122" customWidth="1"/>
    <col min="9460" max="9460" width="6.5703125" style="122" customWidth="1"/>
    <col min="9461" max="9461" width="3.28515625" style="122" customWidth="1"/>
    <col min="9462" max="9462" width="5.85546875" style="122" customWidth="1"/>
    <col min="9463" max="9463" width="6.5703125" style="122" customWidth="1"/>
    <col min="9464" max="9464" width="3.28515625" style="122" customWidth="1"/>
    <col min="9465" max="9465" width="5.85546875" style="122" customWidth="1"/>
    <col min="9466" max="9466" width="6.5703125" style="122" customWidth="1"/>
    <col min="9467" max="9467" width="3.28515625" style="122" customWidth="1"/>
    <col min="9468" max="9468" width="5.85546875" style="122" customWidth="1"/>
    <col min="9469" max="9469" width="6.5703125" style="122" customWidth="1"/>
    <col min="9470" max="9470" width="3.28515625" style="122" customWidth="1"/>
    <col min="9471" max="9471" width="5.85546875" style="122" customWidth="1"/>
    <col min="9472" max="9472" width="6.5703125" style="122" customWidth="1"/>
    <col min="9473" max="9473" width="3.28515625" style="122" customWidth="1"/>
    <col min="9474" max="9474" width="5.85546875" style="122" customWidth="1"/>
    <col min="9475" max="9475" width="6.5703125" style="122" customWidth="1"/>
    <col min="9476" max="9476" width="3.28515625" style="122" customWidth="1"/>
    <col min="9477" max="9477" width="5.85546875" style="122" customWidth="1"/>
    <col min="9478" max="9478" width="6.5703125" style="122" customWidth="1"/>
    <col min="9479" max="9479" width="3.28515625" style="122" customWidth="1"/>
    <col min="9480" max="9480" width="5.85546875" style="122" customWidth="1"/>
    <col min="9481" max="9481" width="6.5703125" style="122" customWidth="1"/>
    <col min="9482" max="9482" width="3.28515625" style="122" customWidth="1"/>
    <col min="9483" max="9483" width="5.85546875" style="122" customWidth="1"/>
    <col min="9484" max="9484" width="6.5703125" style="122" customWidth="1"/>
    <col min="9485" max="9485" width="3.28515625" style="122" customWidth="1"/>
    <col min="9486" max="9486" width="5.85546875" style="122" customWidth="1"/>
    <col min="9487" max="9487" width="6.5703125" style="122" customWidth="1"/>
    <col min="9488" max="9488" width="9.42578125" style="122" customWidth="1"/>
    <col min="9489" max="9691" width="9.140625" style="122"/>
    <col min="9692" max="9692" width="4.85546875" style="122" customWidth="1"/>
    <col min="9693" max="9693" width="5.140625" style="122" customWidth="1"/>
    <col min="9694" max="9694" width="13.7109375" style="122" customWidth="1"/>
    <col min="9695" max="9695" width="9.42578125" style="122" customWidth="1"/>
    <col min="9696" max="9696" width="7.85546875" style="122" bestFit="1" customWidth="1"/>
    <col min="9697" max="9697" width="9.42578125" style="122" customWidth="1"/>
    <col min="9698" max="9698" width="7.42578125" style="122" customWidth="1"/>
    <col min="9699" max="9699" width="7.85546875" style="122" customWidth="1"/>
    <col min="9700" max="9700" width="11" style="122" customWidth="1"/>
    <col min="9701" max="9701" width="7.5703125" style="122" customWidth="1"/>
    <col min="9702" max="9702" width="3.28515625" style="122" customWidth="1"/>
    <col min="9703" max="9703" width="5.85546875" style="122" customWidth="1"/>
    <col min="9704" max="9704" width="6.5703125" style="122" customWidth="1"/>
    <col min="9705" max="9705" width="3.28515625" style="122" customWidth="1"/>
    <col min="9706" max="9706" width="5.85546875" style="122" customWidth="1"/>
    <col min="9707" max="9707" width="6.5703125" style="122" customWidth="1"/>
    <col min="9708" max="9708" width="3.28515625" style="122" customWidth="1"/>
    <col min="9709" max="9709" width="5.85546875" style="122" customWidth="1"/>
    <col min="9710" max="9710" width="6.5703125" style="122" customWidth="1"/>
    <col min="9711" max="9711" width="3.28515625" style="122" customWidth="1"/>
    <col min="9712" max="9712" width="5.85546875" style="122" customWidth="1"/>
    <col min="9713" max="9713" width="6.5703125" style="122" customWidth="1"/>
    <col min="9714" max="9714" width="3.28515625" style="122" customWidth="1"/>
    <col min="9715" max="9715" width="5.85546875" style="122" customWidth="1"/>
    <col min="9716" max="9716" width="6.5703125" style="122" customWidth="1"/>
    <col min="9717" max="9717" width="3.28515625" style="122" customWidth="1"/>
    <col min="9718" max="9718" width="5.85546875" style="122" customWidth="1"/>
    <col min="9719" max="9719" width="6.5703125" style="122" customWidth="1"/>
    <col min="9720" max="9720" width="3.28515625" style="122" customWidth="1"/>
    <col min="9721" max="9721" width="5.85546875" style="122" customWidth="1"/>
    <col min="9722" max="9722" width="6.5703125" style="122" customWidth="1"/>
    <col min="9723" max="9723" width="3.28515625" style="122" customWidth="1"/>
    <col min="9724" max="9724" width="5.85546875" style="122" customWidth="1"/>
    <col min="9725" max="9725" width="6.5703125" style="122" customWidth="1"/>
    <col min="9726" max="9726" width="3.28515625" style="122" customWidth="1"/>
    <col min="9727" max="9727" width="5.85546875" style="122" customWidth="1"/>
    <col min="9728" max="9728" width="6.5703125" style="122" customWidth="1"/>
    <col min="9729" max="9729" width="3.28515625" style="122" customWidth="1"/>
    <col min="9730" max="9730" width="5.85546875" style="122" customWidth="1"/>
    <col min="9731" max="9731" width="6.5703125" style="122" customWidth="1"/>
    <col min="9732" max="9732" width="3.28515625" style="122" customWidth="1"/>
    <col min="9733" max="9733" width="5.85546875" style="122" customWidth="1"/>
    <col min="9734" max="9734" width="6.5703125" style="122" customWidth="1"/>
    <col min="9735" max="9735" width="3.28515625" style="122" customWidth="1"/>
    <col min="9736" max="9736" width="5.85546875" style="122" customWidth="1"/>
    <col min="9737" max="9737" width="6.5703125" style="122" customWidth="1"/>
    <col min="9738" max="9738" width="3.28515625" style="122" customWidth="1"/>
    <col min="9739" max="9739" width="5.85546875" style="122" customWidth="1"/>
    <col min="9740" max="9740" width="6.5703125" style="122" customWidth="1"/>
    <col min="9741" max="9741" width="3.28515625" style="122" customWidth="1"/>
    <col min="9742" max="9742" width="5.85546875" style="122" customWidth="1"/>
    <col min="9743" max="9743" width="6.5703125" style="122" customWidth="1"/>
    <col min="9744" max="9744" width="9.42578125" style="122" customWidth="1"/>
    <col min="9745" max="9947" width="9.140625" style="122"/>
    <col min="9948" max="9948" width="4.85546875" style="122" customWidth="1"/>
    <col min="9949" max="9949" width="5.140625" style="122" customWidth="1"/>
    <col min="9950" max="9950" width="13.7109375" style="122" customWidth="1"/>
    <col min="9951" max="9951" width="9.42578125" style="122" customWidth="1"/>
    <col min="9952" max="9952" width="7.85546875" style="122" bestFit="1" customWidth="1"/>
    <col min="9953" max="9953" width="9.42578125" style="122" customWidth="1"/>
    <col min="9954" max="9954" width="7.42578125" style="122" customWidth="1"/>
    <col min="9955" max="9955" width="7.85546875" style="122" customWidth="1"/>
    <col min="9956" max="9956" width="11" style="122" customWidth="1"/>
    <col min="9957" max="9957" width="7.5703125" style="122" customWidth="1"/>
    <col min="9958" max="9958" width="3.28515625" style="122" customWidth="1"/>
    <col min="9959" max="9959" width="5.85546875" style="122" customWidth="1"/>
    <col min="9960" max="9960" width="6.5703125" style="122" customWidth="1"/>
    <col min="9961" max="9961" width="3.28515625" style="122" customWidth="1"/>
    <col min="9962" max="9962" width="5.85546875" style="122" customWidth="1"/>
    <col min="9963" max="9963" width="6.5703125" style="122" customWidth="1"/>
    <col min="9964" max="9964" width="3.28515625" style="122" customWidth="1"/>
    <col min="9965" max="9965" width="5.85546875" style="122" customWidth="1"/>
    <col min="9966" max="9966" width="6.5703125" style="122" customWidth="1"/>
    <col min="9967" max="9967" width="3.28515625" style="122" customWidth="1"/>
    <col min="9968" max="9968" width="5.85546875" style="122" customWidth="1"/>
    <col min="9969" max="9969" width="6.5703125" style="122" customWidth="1"/>
    <col min="9970" max="9970" width="3.28515625" style="122" customWidth="1"/>
    <col min="9971" max="9971" width="5.85546875" style="122" customWidth="1"/>
    <col min="9972" max="9972" width="6.5703125" style="122" customWidth="1"/>
    <col min="9973" max="9973" width="3.28515625" style="122" customWidth="1"/>
    <col min="9974" max="9974" width="5.85546875" style="122" customWidth="1"/>
    <col min="9975" max="9975" width="6.5703125" style="122" customWidth="1"/>
    <col min="9976" max="9976" width="3.28515625" style="122" customWidth="1"/>
    <col min="9977" max="9977" width="5.85546875" style="122" customWidth="1"/>
    <col min="9978" max="9978" width="6.5703125" style="122" customWidth="1"/>
    <col min="9979" max="9979" width="3.28515625" style="122" customWidth="1"/>
    <col min="9980" max="9980" width="5.85546875" style="122" customWidth="1"/>
    <col min="9981" max="9981" width="6.5703125" style="122" customWidth="1"/>
    <col min="9982" max="9982" width="3.28515625" style="122" customWidth="1"/>
    <col min="9983" max="9983" width="5.85546875" style="122" customWidth="1"/>
    <col min="9984" max="9984" width="6.5703125" style="122" customWidth="1"/>
    <col min="9985" max="9985" width="3.28515625" style="122" customWidth="1"/>
    <col min="9986" max="9986" width="5.85546875" style="122" customWidth="1"/>
    <col min="9987" max="9987" width="6.5703125" style="122" customWidth="1"/>
    <col min="9988" max="9988" width="3.28515625" style="122" customWidth="1"/>
    <col min="9989" max="9989" width="5.85546875" style="122" customWidth="1"/>
    <col min="9990" max="9990" width="6.5703125" style="122" customWidth="1"/>
    <col min="9991" max="9991" width="3.28515625" style="122" customWidth="1"/>
    <col min="9992" max="9992" width="5.85546875" style="122" customWidth="1"/>
    <col min="9993" max="9993" width="6.5703125" style="122" customWidth="1"/>
    <col min="9994" max="9994" width="3.28515625" style="122" customWidth="1"/>
    <col min="9995" max="9995" width="5.85546875" style="122" customWidth="1"/>
    <col min="9996" max="9996" width="6.5703125" style="122" customWidth="1"/>
    <col min="9997" max="9997" width="3.28515625" style="122" customWidth="1"/>
    <col min="9998" max="9998" width="5.85546875" style="122" customWidth="1"/>
    <col min="9999" max="9999" width="6.5703125" style="122" customWidth="1"/>
    <col min="10000" max="10000" width="9.42578125" style="122" customWidth="1"/>
    <col min="10001" max="10203" width="9.140625" style="122"/>
    <col min="10204" max="10204" width="4.85546875" style="122" customWidth="1"/>
    <col min="10205" max="10205" width="5.140625" style="122" customWidth="1"/>
    <col min="10206" max="10206" width="13.7109375" style="122" customWidth="1"/>
    <col min="10207" max="10207" width="9.42578125" style="122" customWidth="1"/>
    <col min="10208" max="10208" width="7.85546875" style="122" bestFit="1" customWidth="1"/>
    <col min="10209" max="10209" width="9.42578125" style="122" customWidth="1"/>
    <col min="10210" max="10210" width="7.42578125" style="122" customWidth="1"/>
    <col min="10211" max="10211" width="7.85546875" style="122" customWidth="1"/>
    <col min="10212" max="10212" width="11" style="122" customWidth="1"/>
    <col min="10213" max="10213" width="7.5703125" style="122" customWidth="1"/>
    <col min="10214" max="10214" width="3.28515625" style="122" customWidth="1"/>
    <col min="10215" max="10215" width="5.85546875" style="122" customWidth="1"/>
    <col min="10216" max="10216" width="6.5703125" style="122" customWidth="1"/>
    <col min="10217" max="10217" width="3.28515625" style="122" customWidth="1"/>
    <col min="10218" max="10218" width="5.85546875" style="122" customWidth="1"/>
    <col min="10219" max="10219" width="6.5703125" style="122" customWidth="1"/>
    <col min="10220" max="10220" width="3.28515625" style="122" customWidth="1"/>
    <col min="10221" max="10221" width="5.85546875" style="122" customWidth="1"/>
    <col min="10222" max="10222" width="6.5703125" style="122" customWidth="1"/>
    <col min="10223" max="10223" width="3.28515625" style="122" customWidth="1"/>
    <col min="10224" max="10224" width="5.85546875" style="122" customWidth="1"/>
    <col min="10225" max="10225" width="6.5703125" style="122" customWidth="1"/>
    <col min="10226" max="10226" width="3.28515625" style="122" customWidth="1"/>
    <col min="10227" max="10227" width="5.85546875" style="122" customWidth="1"/>
    <col min="10228" max="10228" width="6.5703125" style="122" customWidth="1"/>
    <col min="10229" max="10229" width="3.28515625" style="122" customWidth="1"/>
    <col min="10230" max="10230" width="5.85546875" style="122" customWidth="1"/>
    <col min="10231" max="10231" width="6.5703125" style="122" customWidth="1"/>
    <col min="10232" max="10232" width="3.28515625" style="122" customWidth="1"/>
    <col min="10233" max="10233" width="5.85546875" style="122" customWidth="1"/>
    <col min="10234" max="10234" width="6.5703125" style="122" customWidth="1"/>
    <col min="10235" max="10235" width="3.28515625" style="122" customWidth="1"/>
    <col min="10236" max="10236" width="5.85546875" style="122" customWidth="1"/>
    <col min="10237" max="10237" width="6.5703125" style="122" customWidth="1"/>
    <col min="10238" max="10238" width="3.28515625" style="122" customWidth="1"/>
    <col min="10239" max="10239" width="5.85546875" style="122" customWidth="1"/>
    <col min="10240" max="10240" width="6.5703125" style="122" customWidth="1"/>
    <col min="10241" max="10241" width="3.28515625" style="122" customWidth="1"/>
    <col min="10242" max="10242" width="5.85546875" style="122" customWidth="1"/>
    <col min="10243" max="10243" width="6.5703125" style="122" customWidth="1"/>
    <col min="10244" max="10244" width="3.28515625" style="122" customWidth="1"/>
    <col min="10245" max="10245" width="5.85546875" style="122" customWidth="1"/>
    <col min="10246" max="10246" width="6.5703125" style="122" customWidth="1"/>
    <col min="10247" max="10247" width="3.28515625" style="122" customWidth="1"/>
    <col min="10248" max="10248" width="5.85546875" style="122" customWidth="1"/>
    <col min="10249" max="10249" width="6.5703125" style="122" customWidth="1"/>
    <col min="10250" max="10250" width="3.28515625" style="122" customWidth="1"/>
    <col min="10251" max="10251" width="5.85546875" style="122" customWidth="1"/>
    <col min="10252" max="10252" width="6.5703125" style="122" customWidth="1"/>
    <col min="10253" max="10253" width="3.28515625" style="122" customWidth="1"/>
    <col min="10254" max="10254" width="5.85546875" style="122" customWidth="1"/>
    <col min="10255" max="10255" width="6.5703125" style="122" customWidth="1"/>
    <col min="10256" max="10256" width="9.42578125" style="122" customWidth="1"/>
    <col min="10257" max="10459" width="9.140625" style="122"/>
    <col min="10460" max="10460" width="4.85546875" style="122" customWidth="1"/>
    <col min="10461" max="10461" width="5.140625" style="122" customWidth="1"/>
    <col min="10462" max="10462" width="13.7109375" style="122" customWidth="1"/>
    <col min="10463" max="10463" width="9.42578125" style="122" customWidth="1"/>
    <col min="10464" max="10464" width="7.85546875" style="122" bestFit="1" customWidth="1"/>
    <col min="10465" max="10465" width="9.42578125" style="122" customWidth="1"/>
    <col min="10466" max="10466" width="7.42578125" style="122" customWidth="1"/>
    <col min="10467" max="10467" width="7.85546875" style="122" customWidth="1"/>
    <col min="10468" max="10468" width="11" style="122" customWidth="1"/>
    <col min="10469" max="10469" width="7.5703125" style="122" customWidth="1"/>
    <col min="10470" max="10470" width="3.28515625" style="122" customWidth="1"/>
    <col min="10471" max="10471" width="5.85546875" style="122" customWidth="1"/>
    <col min="10472" max="10472" width="6.5703125" style="122" customWidth="1"/>
    <col min="10473" max="10473" width="3.28515625" style="122" customWidth="1"/>
    <col min="10474" max="10474" width="5.85546875" style="122" customWidth="1"/>
    <col min="10475" max="10475" width="6.5703125" style="122" customWidth="1"/>
    <col min="10476" max="10476" width="3.28515625" style="122" customWidth="1"/>
    <col min="10477" max="10477" width="5.85546875" style="122" customWidth="1"/>
    <col min="10478" max="10478" width="6.5703125" style="122" customWidth="1"/>
    <col min="10479" max="10479" width="3.28515625" style="122" customWidth="1"/>
    <col min="10480" max="10480" width="5.85546875" style="122" customWidth="1"/>
    <col min="10481" max="10481" width="6.5703125" style="122" customWidth="1"/>
    <col min="10482" max="10482" width="3.28515625" style="122" customWidth="1"/>
    <col min="10483" max="10483" width="5.85546875" style="122" customWidth="1"/>
    <col min="10484" max="10484" width="6.5703125" style="122" customWidth="1"/>
    <col min="10485" max="10485" width="3.28515625" style="122" customWidth="1"/>
    <col min="10486" max="10486" width="5.85546875" style="122" customWidth="1"/>
    <col min="10487" max="10487" width="6.5703125" style="122" customWidth="1"/>
    <col min="10488" max="10488" width="3.28515625" style="122" customWidth="1"/>
    <col min="10489" max="10489" width="5.85546875" style="122" customWidth="1"/>
    <col min="10490" max="10490" width="6.5703125" style="122" customWidth="1"/>
    <col min="10491" max="10491" width="3.28515625" style="122" customWidth="1"/>
    <col min="10492" max="10492" width="5.85546875" style="122" customWidth="1"/>
    <col min="10493" max="10493" width="6.5703125" style="122" customWidth="1"/>
    <col min="10494" max="10494" width="3.28515625" style="122" customWidth="1"/>
    <col min="10495" max="10495" width="5.85546875" style="122" customWidth="1"/>
    <col min="10496" max="10496" width="6.5703125" style="122" customWidth="1"/>
    <col min="10497" max="10497" width="3.28515625" style="122" customWidth="1"/>
    <col min="10498" max="10498" width="5.85546875" style="122" customWidth="1"/>
    <col min="10499" max="10499" width="6.5703125" style="122" customWidth="1"/>
    <col min="10500" max="10500" width="3.28515625" style="122" customWidth="1"/>
    <col min="10501" max="10501" width="5.85546875" style="122" customWidth="1"/>
    <col min="10502" max="10502" width="6.5703125" style="122" customWidth="1"/>
    <col min="10503" max="10503" width="3.28515625" style="122" customWidth="1"/>
    <col min="10504" max="10504" width="5.85546875" style="122" customWidth="1"/>
    <col min="10505" max="10505" width="6.5703125" style="122" customWidth="1"/>
    <col min="10506" max="10506" width="3.28515625" style="122" customWidth="1"/>
    <col min="10507" max="10507" width="5.85546875" style="122" customWidth="1"/>
    <col min="10508" max="10508" width="6.5703125" style="122" customWidth="1"/>
    <col min="10509" max="10509" width="3.28515625" style="122" customWidth="1"/>
    <col min="10510" max="10510" width="5.85546875" style="122" customWidth="1"/>
    <col min="10511" max="10511" width="6.5703125" style="122" customWidth="1"/>
    <col min="10512" max="10512" width="9.42578125" style="122" customWidth="1"/>
    <col min="10513" max="10715" width="9.140625" style="122"/>
    <col min="10716" max="10716" width="4.85546875" style="122" customWidth="1"/>
    <col min="10717" max="10717" width="5.140625" style="122" customWidth="1"/>
    <col min="10718" max="10718" width="13.7109375" style="122" customWidth="1"/>
    <col min="10719" max="10719" width="9.42578125" style="122" customWidth="1"/>
    <col min="10720" max="10720" width="7.85546875" style="122" bestFit="1" customWidth="1"/>
    <col min="10721" max="10721" width="9.42578125" style="122" customWidth="1"/>
    <col min="10722" max="10722" width="7.42578125" style="122" customWidth="1"/>
    <col min="10723" max="10723" width="7.85546875" style="122" customWidth="1"/>
    <col min="10724" max="10724" width="11" style="122" customWidth="1"/>
    <col min="10725" max="10725" width="7.5703125" style="122" customWidth="1"/>
    <col min="10726" max="10726" width="3.28515625" style="122" customWidth="1"/>
    <col min="10727" max="10727" width="5.85546875" style="122" customWidth="1"/>
    <col min="10728" max="10728" width="6.5703125" style="122" customWidth="1"/>
    <col min="10729" max="10729" width="3.28515625" style="122" customWidth="1"/>
    <col min="10730" max="10730" width="5.85546875" style="122" customWidth="1"/>
    <col min="10731" max="10731" width="6.5703125" style="122" customWidth="1"/>
    <col min="10732" max="10732" width="3.28515625" style="122" customWidth="1"/>
    <col min="10733" max="10733" width="5.85546875" style="122" customWidth="1"/>
    <col min="10734" max="10734" width="6.5703125" style="122" customWidth="1"/>
    <col min="10735" max="10735" width="3.28515625" style="122" customWidth="1"/>
    <col min="10736" max="10736" width="5.85546875" style="122" customWidth="1"/>
    <col min="10737" max="10737" width="6.5703125" style="122" customWidth="1"/>
    <col min="10738" max="10738" width="3.28515625" style="122" customWidth="1"/>
    <col min="10739" max="10739" width="5.85546875" style="122" customWidth="1"/>
    <col min="10740" max="10740" width="6.5703125" style="122" customWidth="1"/>
    <col min="10741" max="10741" width="3.28515625" style="122" customWidth="1"/>
    <col min="10742" max="10742" width="5.85546875" style="122" customWidth="1"/>
    <col min="10743" max="10743" width="6.5703125" style="122" customWidth="1"/>
    <col min="10744" max="10744" width="3.28515625" style="122" customWidth="1"/>
    <col min="10745" max="10745" width="5.85546875" style="122" customWidth="1"/>
    <col min="10746" max="10746" width="6.5703125" style="122" customWidth="1"/>
    <col min="10747" max="10747" width="3.28515625" style="122" customWidth="1"/>
    <col min="10748" max="10748" width="5.85546875" style="122" customWidth="1"/>
    <col min="10749" max="10749" width="6.5703125" style="122" customWidth="1"/>
    <col min="10750" max="10750" width="3.28515625" style="122" customWidth="1"/>
    <col min="10751" max="10751" width="5.85546875" style="122" customWidth="1"/>
    <col min="10752" max="10752" width="6.5703125" style="122" customWidth="1"/>
    <col min="10753" max="10753" width="3.28515625" style="122" customWidth="1"/>
    <col min="10754" max="10754" width="5.85546875" style="122" customWidth="1"/>
    <col min="10755" max="10755" width="6.5703125" style="122" customWidth="1"/>
    <col min="10756" max="10756" width="3.28515625" style="122" customWidth="1"/>
    <col min="10757" max="10757" width="5.85546875" style="122" customWidth="1"/>
    <col min="10758" max="10758" width="6.5703125" style="122" customWidth="1"/>
    <col min="10759" max="10759" width="3.28515625" style="122" customWidth="1"/>
    <col min="10760" max="10760" width="5.85546875" style="122" customWidth="1"/>
    <col min="10761" max="10761" width="6.5703125" style="122" customWidth="1"/>
    <col min="10762" max="10762" width="3.28515625" style="122" customWidth="1"/>
    <col min="10763" max="10763" width="5.85546875" style="122" customWidth="1"/>
    <col min="10764" max="10764" width="6.5703125" style="122" customWidth="1"/>
    <col min="10765" max="10765" width="3.28515625" style="122" customWidth="1"/>
    <col min="10766" max="10766" width="5.85546875" style="122" customWidth="1"/>
    <col min="10767" max="10767" width="6.5703125" style="122" customWidth="1"/>
    <col min="10768" max="10768" width="9.42578125" style="122" customWidth="1"/>
    <col min="10769" max="10971" width="9.140625" style="122"/>
    <col min="10972" max="10972" width="4.85546875" style="122" customWidth="1"/>
    <col min="10973" max="10973" width="5.140625" style="122" customWidth="1"/>
    <col min="10974" max="10974" width="13.7109375" style="122" customWidth="1"/>
    <col min="10975" max="10975" width="9.42578125" style="122" customWidth="1"/>
    <col min="10976" max="10976" width="7.85546875" style="122" bestFit="1" customWidth="1"/>
    <col min="10977" max="10977" width="9.42578125" style="122" customWidth="1"/>
    <col min="10978" max="10978" width="7.42578125" style="122" customWidth="1"/>
    <col min="10979" max="10979" width="7.85546875" style="122" customWidth="1"/>
    <col min="10980" max="10980" width="11" style="122" customWidth="1"/>
    <col min="10981" max="10981" width="7.5703125" style="122" customWidth="1"/>
    <col min="10982" max="10982" width="3.28515625" style="122" customWidth="1"/>
    <col min="10983" max="10983" width="5.85546875" style="122" customWidth="1"/>
    <col min="10984" max="10984" width="6.5703125" style="122" customWidth="1"/>
    <col min="10985" max="10985" width="3.28515625" style="122" customWidth="1"/>
    <col min="10986" max="10986" width="5.85546875" style="122" customWidth="1"/>
    <col min="10987" max="10987" width="6.5703125" style="122" customWidth="1"/>
    <col min="10988" max="10988" width="3.28515625" style="122" customWidth="1"/>
    <col min="10989" max="10989" width="5.85546875" style="122" customWidth="1"/>
    <col min="10990" max="10990" width="6.5703125" style="122" customWidth="1"/>
    <col min="10991" max="10991" width="3.28515625" style="122" customWidth="1"/>
    <col min="10992" max="10992" width="5.85546875" style="122" customWidth="1"/>
    <col min="10993" max="10993" width="6.5703125" style="122" customWidth="1"/>
    <col min="10994" max="10994" width="3.28515625" style="122" customWidth="1"/>
    <col min="10995" max="10995" width="5.85546875" style="122" customWidth="1"/>
    <col min="10996" max="10996" width="6.5703125" style="122" customWidth="1"/>
    <col min="10997" max="10997" width="3.28515625" style="122" customWidth="1"/>
    <col min="10998" max="10998" width="5.85546875" style="122" customWidth="1"/>
    <col min="10999" max="10999" width="6.5703125" style="122" customWidth="1"/>
    <col min="11000" max="11000" width="3.28515625" style="122" customWidth="1"/>
    <col min="11001" max="11001" width="5.85546875" style="122" customWidth="1"/>
    <col min="11002" max="11002" width="6.5703125" style="122" customWidth="1"/>
    <col min="11003" max="11003" width="3.28515625" style="122" customWidth="1"/>
    <col min="11004" max="11004" width="5.85546875" style="122" customWidth="1"/>
    <col min="11005" max="11005" width="6.5703125" style="122" customWidth="1"/>
    <col min="11006" max="11006" width="3.28515625" style="122" customWidth="1"/>
    <col min="11007" max="11007" width="5.85546875" style="122" customWidth="1"/>
    <col min="11008" max="11008" width="6.5703125" style="122" customWidth="1"/>
    <col min="11009" max="11009" width="3.28515625" style="122" customWidth="1"/>
    <col min="11010" max="11010" width="5.85546875" style="122" customWidth="1"/>
    <col min="11011" max="11011" width="6.5703125" style="122" customWidth="1"/>
    <col min="11012" max="11012" width="3.28515625" style="122" customWidth="1"/>
    <col min="11013" max="11013" width="5.85546875" style="122" customWidth="1"/>
    <col min="11014" max="11014" width="6.5703125" style="122" customWidth="1"/>
    <col min="11015" max="11015" width="3.28515625" style="122" customWidth="1"/>
    <col min="11016" max="11016" width="5.85546875" style="122" customWidth="1"/>
    <col min="11017" max="11017" width="6.5703125" style="122" customWidth="1"/>
    <col min="11018" max="11018" width="3.28515625" style="122" customWidth="1"/>
    <col min="11019" max="11019" width="5.85546875" style="122" customWidth="1"/>
    <col min="11020" max="11020" width="6.5703125" style="122" customWidth="1"/>
    <col min="11021" max="11021" width="3.28515625" style="122" customWidth="1"/>
    <col min="11022" max="11022" width="5.85546875" style="122" customWidth="1"/>
    <col min="11023" max="11023" width="6.5703125" style="122" customWidth="1"/>
    <col min="11024" max="11024" width="9.42578125" style="122" customWidth="1"/>
    <col min="11025" max="11227" width="9.140625" style="122"/>
    <col min="11228" max="11228" width="4.85546875" style="122" customWidth="1"/>
    <col min="11229" max="11229" width="5.140625" style="122" customWidth="1"/>
    <col min="11230" max="11230" width="13.7109375" style="122" customWidth="1"/>
    <col min="11231" max="11231" width="9.42578125" style="122" customWidth="1"/>
    <col min="11232" max="11232" width="7.85546875" style="122" bestFit="1" customWidth="1"/>
    <col min="11233" max="11233" width="9.42578125" style="122" customWidth="1"/>
    <col min="11234" max="11234" width="7.42578125" style="122" customWidth="1"/>
    <col min="11235" max="11235" width="7.85546875" style="122" customWidth="1"/>
    <col min="11236" max="11236" width="11" style="122" customWidth="1"/>
    <col min="11237" max="11237" width="7.5703125" style="122" customWidth="1"/>
    <col min="11238" max="11238" width="3.28515625" style="122" customWidth="1"/>
    <col min="11239" max="11239" width="5.85546875" style="122" customWidth="1"/>
    <col min="11240" max="11240" width="6.5703125" style="122" customWidth="1"/>
    <col min="11241" max="11241" width="3.28515625" style="122" customWidth="1"/>
    <col min="11242" max="11242" width="5.85546875" style="122" customWidth="1"/>
    <col min="11243" max="11243" width="6.5703125" style="122" customWidth="1"/>
    <col min="11244" max="11244" width="3.28515625" style="122" customWidth="1"/>
    <col min="11245" max="11245" width="5.85546875" style="122" customWidth="1"/>
    <col min="11246" max="11246" width="6.5703125" style="122" customWidth="1"/>
    <col min="11247" max="11247" width="3.28515625" style="122" customWidth="1"/>
    <col min="11248" max="11248" width="5.85546875" style="122" customWidth="1"/>
    <col min="11249" max="11249" width="6.5703125" style="122" customWidth="1"/>
    <col min="11250" max="11250" width="3.28515625" style="122" customWidth="1"/>
    <col min="11251" max="11251" width="5.85546875" style="122" customWidth="1"/>
    <col min="11252" max="11252" width="6.5703125" style="122" customWidth="1"/>
    <col min="11253" max="11253" width="3.28515625" style="122" customWidth="1"/>
    <col min="11254" max="11254" width="5.85546875" style="122" customWidth="1"/>
    <col min="11255" max="11255" width="6.5703125" style="122" customWidth="1"/>
    <col min="11256" max="11256" width="3.28515625" style="122" customWidth="1"/>
    <col min="11257" max="11257" width="5.85546875" style="122" customWidth="1"/>
    <col min="11258" max="11258" width="6.5703125" style="122" customWidth="1"/>
    <col min="11259" max="11259" width="3.28515625" style="122" customWidth="1"/>
    <col min="11260" max="11260" width="5.85546875" style="122" customWidth="1"/>
    <col min="11261" max="11261" width="6.5703125" style="122" customWidth="1"/>
    <col min="11262" max="11262" width="3.28515625" style="122" customWidth="1"/>
    <col min="11263" max="11263" width="5.85546875" style="122" customWidth="1"/>
    <col min="11264" max="11264" width="6.5703125" style="122" customWidth="1"/>
    <col min="11265" max="11265" width="3.28515625" style="122" customWidth="1"/>
    <col min="11266" max="11266" width="5.85546875" style="122" customWidth="1"/>
    <col min="11267" max="11267" width="6.5703125" style="122" customWidth="1"/>
    <col min="11268" max="11268" width="3.28515625" style="122" customWidth="1"/>
    <col min="11269" max="11269" width="5.85546875" style="122" customWidth="1"/>
    <col min="11270" max="11270" width="6.5703125" style="122" customWidth="1"/>
    <col min="11271" max="11271" width="3.28515625" style="122" customWidth="1"/>
    <col min="11272" max="11272" width="5.85546875" style="122" customWidth="1"/>
    <col min="11273" max="11273" width="6.5703125" style="122" customWidth="1"/>
    <col min="11274" max="11274" width="3.28515625" style="122" customWidth="1"/>
    <col min="11275" max="11275" width="5.85546875" style="122" customWidth="1"/>
    <col min="11276" max="11276" width="6.5703125" style="122" customWidth="1"/>
    <col min="11277" max="11277" width="3.28515625" style="122" customWidth="1"/>
    <col min="11278" max="11278" width="5.85546875" style="122" customWidth="1"/>
    <col min="11279" max="11279" width="6.5703125" style="122" customWidth="1"/>
    <col min="11280" max="11280" width="9.42578125" style="122" customWidth="1"/>
    <col min="11281" max="11483" width="9.140625" style="122"/>
    <col min="11484" max="11484" width="4.85546875" style="122" customWidth="1"/>
    <col min="11485" max="11485" width="5.140625" style="122" customWidth="1"/>
    <col min="11486" max="11486" width="13.7109375" style="122" customWidth="1"/>
    <col min="11487" max="11487" width="9.42578125" style="122" customWidth="1"/>
    <col min="11488" max="11488" width="7.85546875" style="122" bestFit="1" customWidth="1"/>
    <col min="11489" max="11489" width="9.42578125" style="122" customWidth="1"/>
    <col min="11490" max="11490" width="7.42578125" style="122" customWidth="1"/>
    <col min="11491" max="11491" width="7.85546875" style="122" customWidth="1"/>
    <col min="11492" max="11492" width="11" style="122" customWidth="1"/>
    <col min="11493" max="11493" width="7.5703125" style="122" customWidth="1"/>
    <col min="11494" max="11494" width="3.28515625" style="122" customWidth="1"/>
    <col min="11495" max="11495" width="5.85546875" style="122" customWidth="1"/>
    <col min="11496" max="11496" width="6.5703125" style="122" customWidth="1"/>
    <col min="11497" max="11497" width="3.28515625" style="122" customWidth="1"/>
    <col min="11498" max="11498" width="5.85546875" style="122" customWidth="1"/>
    <col min="11499" max="11499" width="6.5703125" style="122" customWidth="1"/>
    <col min="11500" max="11500" width="3.28515625" style="122" customWidth="1"/>
    <col min="11501" max="11501" width="5.85546875" style="122" customWidth="1"/>
    <col min="11502" max="11502" width="6.5703125" style="122" customWidth="1"/>
    <col min="11503" max="11503" width="3.28515625" style="122" customWidth="1"/>
    <col min="11504" max="11504" width="5.85546875" style="122" customWidth="1"/>
    <col min="11505" max="11505" width="6.5703125" style="122" customWidth="1"/>
    <col min="11506" max="11506" width="3.28515625" style="122" customWidth="1"/>
    <col min="11507" max="11507" width="5.85546875" style="122" customWidth="1"/>
    <col min="11508" max="11508" width="6.5703125" style="122" customWidth="1"/>
    <col min="11509" max="11509" width="3.28515625" style="122" customWidth="1"/>
    <col min="11510" max="11510" width="5.85546875" style="122" customWidth="1"/>
    <col min="11511" max="11511" width="6.5703125" style="122" customWidth="1"/>
    <col min="11512" max="11512" width="3.28515625" style="122" customWidth="1"/>
    <col min="11513" max="11513" width="5.85546875" style="122" customWidth="1"/>
    <col min="11514" max="11514" width="6.5703125" style="122" customWidth="1"/>
    <col min="11515" max="11515" width="3.28515625" style="122" customWidth="1"/>
    <col min="11516" max="11516" width="5.85546875" style="122" customWidth="1"/>
    <col min="11517" max="11517" width="6.5703125" style="122" customWidth="1"/>
    <col min="11518" max="11518" width="3.28515625" style="122" customWidth="1"/>
    <col min="11519" max="11519" width="5.85546875" style="122" customWidth="1"/>
    <col min="11520" max="11520" width="6.5703125" style="122" customWidth="1"/>
    <col min="11521" max="11521" width="3.28515625" style="122" customWidth="1"/>
    <col min="11522" max="11522" width="5.85546875" style="122" customWidth="1"/>
    <col min="11523" max="11523" width="6.5703125" style="122" customWidth="1"/>
    <col min="11524" max="11524" width="3.28515625" style="122" customWidth="1"/>
    <col min="11525" max="11525" width="5.85546875" style="122" customWidth="1"/>
    <col min="11526" max="11526" width="6.5703125" style="122" customWidth="1"/>
    <col min="11527" max="11527" width="3.28515625" style="122" customWidth="1"/>
    <col min="11528" max="11528" width="5.85546875" style="122" customWidth="1"/>
    <col min="11529" max="11529" width="6.5703125" style="122" customWidth="1"/>
    <col min="11530" max="11530" width="3.28515625" style="122" customWidth="1"/>
    <col min="11531" max="11531" width="5.85546875" style="122" customWidth="1"/>
    <col min="11532" max="11532" width="6.5703125" style="122" customWidth="1"/>
    <col min="11533" max="11533" width="3.28515625" style="122" customWidth="1"/>
    <col min="11534" max="11534" width="5.85546875" style="122" customWidth="1"/>
    <col min="11535" max="11535" width="6.5703125" style="122" customWidth="1"/>
    <col min="11536" max="11536" width="9.42578125" style="122" customWidth="1"/>
    <col min="11537" max="11739" width="9.140625" style="122"/>
    <col min="11740" max="11740" width="4.85546875" style="122" customWidth="1"/>
    <col min="11741" max="11741" width="5.140625" style="122" customWidth="1"/>
    <col min="11742" max="11742" width="13.7109375" style="122" customWidth="1"/>
    <col min="11743" max="11743" width="9.42578125" style="122" customWidth="1"/>
    <col min="11744" max="11744" width="7.85546875" style="122" bestFit="1" customWidth="1"/>
    <col min="11745" max="11745" width="9.42578125" style="122" customWidth="1"/>
    <col min="11746" max="11746" width="7.42578125" style="122" customWidth="1"/>
    <col min="11747" max="11747" width="7.85546875" style="122" customWidth="1"/>
    <col min="11748" max="11748" width="11" style="122" customWidth="1"/>
    <col min="11749" max="11749" width="7.5703125" style="122" customWidth="1"/>
    <col min="11750" max="11750" width="3.28515625" style="122" customWidth="1"/>
    <col min="11751" max="11751" width="5.85546875" style="122" customWidth="1"/>
    <col min="11752" max="11752" width="6.5703125" style="122" customWidth="1"/>
    <col min="11753" max="11753" width="3.28515625" style="122" customWidth="1"/>
    <col min="11754" max="11754" width="5.85546875" style="122" customWidth="1"/>
    <col min="11755" max="11755" width="6.5703125" style="122" customWidth="1"/>
    <col min="11756" max="11756" width="3.28515625" style="122" customWidth="1"/>
    <col min="11757" max="11757" width="5.85546875" style="122" customWidth="1"/>
    <col min="11758" max="11758" width="6.5703125" style="122" customWidth="1"/>
    <col min="11759" max="11759" width="3.28515625" style="122" customWidth="1"/>
    <col min="11760" max="11760" width="5.85546875" style="122" customWidth="1"/>
    <col min="11761" max="11761" width="6.5703125" style="122" customWidth="1"/>
    <col min="11762" max="11762" width="3.28515625" style="122" customWidth="1"/>
    <col min="11763" max="11763" width="5.85546875" style="122" customWidth="1"/>
    <col min="11764" max="11764" width="6.5703125" style="122" customWidth="1"/>
    <col min="11765" max="11765" width="3.28515625" style="122" customWidth="1"/>
    <col min="11766" max="11766" width="5.85546875" style="122" customWidth="1"/>
    <col min="11767" max="11767" width="6.5703125" style="122" customWidth="1"/>
    <col min="11768" max="11768" width="3.28515625" style="122" customWidth="1"/>
    <col min="11769" max="11769" width="5.85546875" style="122" customWidth="1"/>
    <col min="11770" max="11770" width="6.5703125" style="122" customWidth="1"/>
    <col min="11771" max="11771" width="3.28515625" style="122" customWidth="1"/>
    <col min="11772" max="11772" width="5.85546875" style="122" customWidth="1"/>
    <col min="11773" max="11773" width="6.5703125" style="122" customWidth="1"/>
    <col min="11774" max="11774" width="3.28515625" style="122" customWidth="1"/>
    <col min="11775" max="11775" width="5.85546875" style="122" customWidth="1"/>
    <col min="11776" max="11776" width="6.5703125" style="122" customWidth="1"/>
    <col min="11777" max="11777" width="3.28515625" style="122" customWidth="1"/>
    <col min="11778" max="11778" width="5.85546875" style="122" customWidth="1"/>
    <col min="11779" max="11779" width="6.5703125" style="122" customWidth="1"/>
    <col min="11780" max="11780" width="3.28515625" style="122" customWidth="1"/>
    <col min="11781" max="11781" width="5.85546875" style="122" customWidth="1"/>
    <col min="11782" max="11782" width="6.5703125" style="122" customWidth="1"/>
    <col min="11783" max="11783" width="3.28515625" style="122" customWidth="1"/>
    <col min="11784" max="11784" width="5.85546875" style="122" customWidth="1"/>
    <col min="11785" max="11785" width="6.5703125" style="122" customWidth="1"/>
    <col min="11786" max="11786" width="3.28515625" style="122" customWidth="1"/>
    <col min="11787" max="11787" width="5.85546875" style="122" customWidth="1"/>
    <col min="11788" max="11788" width="6.5703125" style="122" customWidth="1"/>
    <col min="11789" max="11789" width="3.28515625" style="122" customWidth="1"/>
    <col min="11790" max="11790" width="5.85546875" style="122" customWidth="1"/>
    <col min="11791" max="11791" width="6.5703125" style="122" customWidth="1"/>
    <col min="11792" max="11792" width="9.42578125" style="122" customWidth="1"/>
    <col min="11793" max="11995" width="9.140625" style="122"/>
    <col min="11996" max="11996" width="4.85546875" style="122" customWidth="1"/>
    <col min="11997" max="11997" width="5.140625" style="122" customWidth="1"/>
    <col min="11998" max="11998" width="13.7109375" style="122" customWidth="1"/>
    <col min="11999" max="11999" width="9.42578125" style="122" customWidth="1"/>
    <col min="12000" max="12000" width="7.85546875" style="122" bestFit="1" customWidth="1"/>
    <col min="12001" max="12001" width="9.42578125" style="122" customWidth="1"/>
    <col min="12002" max="12002" width="7.42578125" style="122" customWidth="1"/>
    <col min="12003" max="12003" width="7.85546875" style="122" customWidth="1"/>
    <col min="12004" max="12004" width="11" style="122" customWidth="1"/>
    <col min="12005" max="12005" width="7.5703125" style="122" customWidth="1"/>
    <col min="12006" max="12006" width="3.28515625" style="122" customWidth="1"/>
    <col min="12007" max="12007" width="5.85546875" style="122" customWidth="1"/>
    <col min="12008" max="12008" width="6.5703125" style="122" customWidth="1"/>
    <col min="12009" max="12009" width="3.28515625" style="122" customWidth="1"/>
    <col min="12010" max="12010" width="5.85546875" style="122" customWidth="1"/>
    <col min="12011" max="12011" width="6.5703125" style="122" customWidth="1"/>
    <col min="12012" max="12012" width="3.28515625" style="122" customWidth="1"/>
    <col min="12013" max="12013" width="5.85546875" style="122" customWidth="1"/>
    <col min="12014" max="12014" width="6.5703125" style="122" customWidth="1"/>
    <col min="12015" max="12015" width="3.28515625" style="122" customWidth="1"/>
    <col min="12016" max="12016" width="5.85546875" style="122" customWidth="1"/>
    <col min="12017" max="12017" width="6.5703125" style="122" customWidth="1"/>
    <col min="12018" max="12018" width="3.28515625" style="122" customWidth="1"/>
    <col min="12019" max="12019" width="5.85546875" style="122" customWidth="1"/>
    <col min="12020" max="12020" width="6.5703125" style="122" customWidth="1"/>
    <col min="12021" max="12021" width="3.28515625" style="122" customWidth="1"/>
    <col min="12022" max="12022" width="5.85546875" style="122" customWidth="1"/>
    <col min="12023" max="12023" width="6.5703125" style="122" customWidth="1"/>
    <col min="12024" max="12024" width="3.28515625" style="122" customWidth="1"/>
    <col min="12025" max="12025" width="5.85546875" style="122" customWidth="1"/>
    <col min="12026" max="12026" width="6.5703125" style="122" customWidth="1"/>
    <col min="12027" max="12027" width="3.28515625" style="122" customWidth="1"/>
    <col min="12028" max="12028" width="5.85546875" style="122" customWidth="1"/>
    <col min="12029" max="12029" width="6.5703125" style="122" customWidth="1"/>
    <col min="12030" max="12030" width="3.28515625" style="122" customWidth="1"/>
    <col min="12031" max="12031" width="5.85546875" style="122" customWidth="1"/>
    <col min="12032" max="12032" width="6.5703125" style="122" customWidth="1"/>
    <col min="12033" max="12033" width="3.28515625" style="122" customWidth="1"/>
    <col min="12034" max="12034" width="5.85546875" style="122" customWidth="1"/>
    <col min="12035" max="12035" width="6.5703125" style="122" customWidth="1"/>
    <col min="12036" max="12036" width="3.28515625" style="122" customWidth="1"/>
    <col min="12037" max="12037" width="5.85546875" style="122" customWidth="1"/>
    <col min="12038" max="12038" width="6.5703125" style="122" customWidth="1"/>
    <col min="12039" max="12039" width="3.28515625" style="122" customWidth="1"/>
    <col min="12040" max="12040" width="5.85546875" style="122" customWidth="1"/>
    <col min="12041" max="12041" width="6.5703125" style="122" customWidth="1"/>
    <col min="12042" max="12042" width="3.28515625" style="122" customWidth="1"/>
    <col min="12043" max="12043" width="5.85546875" style="122" customWidth="1"/>
    <col min="12044" max="12044" width="6.5703125" style="122" customWidth="1"/>
    <col min="12045" max="12045" width="3.28515625" style="122" customWidth="1"/>
    <col min="12046" max="12046" width="5.85546875" style="122" customWidth="1"/>
    <col min="12047" max="12047" width="6.5703125" style="122" customWidth="1"/>
    <col min="12048" max="12048" width="9.42578125" style="122" customWidth="1"/>
    <col min="12049" max="12251" width="9.140625" style="122"/>
    <col min="12252" max="12252" width="4.85546875" style="122" customWidth="1"/>
    <col min="12253" max="12253" width="5.140625" style="122" customWidth="1"/>
    <col min="12254" max="12254" width="13.7109375" style="122" customWidth="1"/>
    <col min="12255" max="12255" width="9.42578125" style="122" customWidth="1"/>
    <col min="12256" max="12256" width="7.85546875" style="122" bestFit="1" customWidth="1"/>
    <col min="12257" max="12257" width="9.42578125" style="122" customWidth="1"/>
    <col min="12258" max="12258" width="7.42578125" style="122" customWidth="1"/>
    <col min="12259" max="12259" width="7.85546875" style="122" customWidth="1"/>
    <col min="12260" max="12260" width="11" style="122" customWidth="1"/>
    <col min="12261" max="12261" width="7.5703125" style="122" customWidth="1"/>
    <col min="12262" max="12262" width="3.28515625" style="122" customWidth="1"/>
    <col min="12263" max="12263" width="5.85546875" style="122" customWidth="1"/>
    <col min="12264" max="12264" width="6.5703125" style="122" customWidth="1"/>
    <col min="12265" max="12265" width="3.28515625" style="122" customWidth="1"/>
    <col min="12266" max="12266" width="5.85546875" style="122" customWidth="1"/>
    <col min="12267" max="12267" width="6.5703125" style="122" customWidth="1"/>
    <col min="12268" max="12268" width="3.28515625" style="122" customWidth="1"/>
    <col min="12269" max="12269" width="5.85546875" style="122" customWidth="1"/>
    <col min="12270" max="12270" width="6.5703125" style="122" customWidth="1"/>
    <col min="12271" max="12271" width="3.28515625" style="122" customWidth="1"/>
    <col min="12272" max="12272" width="5.85546875" style="122" customWidth="1"/>
    <col min="12273" max="12273" width="6.5703125" style="122" customWidth="1"/>
    <col min="12274" max="12274" width="3.28515625" style="122" customWidth="1"/>
    <col min="12275" max="12275" width="5.85546875" style="122" customWidth="1"/>
    <col min="12276" max="12276" width="6.5703125" style="122" customWidth="1"/>
    <col min="12277" max="12277" width="3.28515625" style="122" customWidth="1"/>
    <col min="12278" max="12278" width="5.85546875" style="122" customWidth="1"/>
    <col min="12279" max="12279" width="6.5703125" style="122" customWidth="1"/>
    <col min="12280" max="12280" width="3.28515625" style="122" customWidth="1"/>
    <col min="12281" max="12281" width="5.85546875" style="122" customWidth="1"/>
    <col min="12282" max="12282" width="6.5703125" style="122" customWidth="1"/>
    <col min="12283" max="12283" width="3.28515625" style="122" customWidth="1"/>
    <col min="12284" max="12284" width="5.85546875" style="122" customWidth="1"/>
    <col min="12285" max="12285" width="6.5703125" style="122" customWidth="1"/>
    <col min="12286" max="12286" width="3.28515625" style="122" customWidth="1"/>
    <col min="12287" max="12287" width="5.85546875" style="122" customWidth="1"/>
    <col min="12288" max="12288" width="6.5703125" style="122" customWidth="1"/>
    <col min="12289" max="12289" width="3.28515625" style="122" customWidth="1"/>
    <col min="12290" max="12290" width="5.85546875" style="122" customWidth="1"/>
    <col min="12291" max="12291" width="6.5703125" style="122" customWidth="1"/>
    <col min="12292" max="12292" width="3.28515625" style="122" customWidth="1"/>
    <col min="12293" max="12293" width="5.85546875" style="122" customWidth="1"/>
    <col min="12294" max="12294" width="6.5703125" style="122" customWidth="1"/>
    <col min="12295" max="12295" width="3.28515625" style="122" customWidth="1"/>
    <col min="12296" max="12296" width="5.85546875" style="122" customWidth="1"/>
    <col min="12297" max="12297" width="6.5703125" style="122" customWidth="1"/>
    <col min="12298" max="12298" width="3.28515625" style="122" customWidth="1"/>
    <col min="12299" max="12299" width="5.85546875" style="122" customWidth="1"/>
    <col min="12300" max="12300" width="6.5703125" style="122" customWidth="1"/>
    <col min="12301" max="12301" width="3.28515625" style="122" customWidth="1"/>
    <col min="12302" max="12302" width="5.85546875" style="122" customWidth="1"/>
    <col min="12303" max="12303" width="6.5703125" style="122" customWidth="1"/>
    <col min="12304" max="12304" width="9.42578125" style="122" customWidth="1"/>
    <col min="12305" max="12507" width="9.140625" style="122"/>
    <col min="12508" max="12508" width="4.85546875" style="122" customWidth="1"/>
    <col min="12509" max="12509" width="5.140625" style="122" customWidth="1"/>
    <col min="12510" max="12510" width="13.7109375" style="122" customWidth="1"/>
    <col min="12511" max="12511" width="9.42578125" style="122" customWidth="1"/>
    <col min="12512" max="12512" width="7.85546875" style="122" bestFit="1" customWidth="1"/>
    <col min="12513" max="12513" width="9.42578125" style="122" customWidth="1"/>
    <col min="12514" max="12514" width="7.42578125" style="122" customWidth="1"/>
    <col min="12515" max="12515" width="7.85546875" style="122" customWidth="1"/>
    <col min="12516" max="12516" width="11" style="122" customWidth="1"/>
    <col min="12517" max="12517" width="7.5703125" style="122" customWidth="1"/>
    <col min="12518" max="12518" width="3.28515625" style="122" customWidth="1"/>
    <col min="12519" max="12519" width="5.85546875" style="122" customWidth="1"/>
    <col min="12520" max="12520" width="6.5703125" style="122" customWidth="1"/>
    <col min="12521" max="12521" width="3.28515625" style="122" customWidth="1"/>
    <col min="12522" max="12522" width="5.85546875" style="122" customWidth="1"/>
    <col min="12523" max="12523" width="6.5703125" style="122" customWidth="1"/>
    <col min="12524" max="12524" width="3.28515625" style="122" customWidth="1"/>
    <col min="12525" max="12525" width="5.85546875" style="122" customWidth="1"/>
    <col min="12526" max="12526" width="6.5703125" style="122" customWidth="1"/>
    <col min="12527" max="12527" width="3.28515625" style="122" customWidth="1"/>
    <col min="12528" max="12528" width="5.85546875" style="122" customWidth="1"/>
    <col min="12529" max="12529" width="6.5703125" style="122" customWidth="1"/>
    <col min="12530" max="12530" width="3.28515625" style="122" customWidth="1"/>
    <col min="12531" max="12531" width="5.85546875" style="122" customWidth="1"/>
    <col min="12532" max="12532" width="6.5703125" style="122" customWidth="1"/>
    <col min="12533" max="12533" width="3.28515625" style="122" customWidth="1"/>
    <col min="12534" max="12534" width="5.85546875" style="122" customWidth="1"/>
    <col min="12535" max="12535" width="6.5703125" style="122" customWidth="1"/>
    <col min="12536" max="12536" width="3.28515625" style="122" customWidth="1"/>
    <col min="12537" max="12537" width="5.85546875" style="122" customWidth="1"/>
    <col min="12538" max="12538" width="6.5703125" style="122" customWidth="1"/>
    <col min="12539" max="12539" width="3.28515625" style="122" customWidth="1"/>
    <col min="12540" max="12540" width="5.85546875" style="122" customWidth="1"/>
    <col min="12541" max="12541" width="6.5703125" style="122" customWidth="1"/>
    <col min="12542" max="12542" width="3.28515625" style="122" customWidth="1"/>
    <col min="12543" max="12543" width="5.85546875" style="122" customWidth="1"/>
    <col min="12544" max="12544" width="6.5703125" style="122" customWidth="1"/>
    <col min="12545" max="12545" width="3.28515625" style="122" customWidth="1"/>
    <col min="12546" max="12546" width="5.85546875" style="122" customWidth="1"/>
    <col min="12547" max="12547" width="6.5703125" style="122" customWidth="1"/>
    <col min="12548" max="12548" width="3.28515625" style="122" customWidth="1"/>
    <col min="12549" max="12549" width="5.85546875" style="122" customWidth="1"/>
    <col min="12550" max="12550" width="6.5703125" style="122" customWidth="1"/>
    <col min="12551" max="12551" width="3.28515625" style="122" customWidth="1"/>
    <col min="12552" max="12552" width="5.85546875" style="122" customWidth="1"/>
    <col min="12553" max="12553" width="6.5703125" style="122" customWidth="1"/>
    <col min="12554" max="12554" width="3.28515625" style="122" customWidth="1"/>
    <col min="12555" max="12555" width="5.85546875" style="122" customWidth="1"/>
    <col min="12556" max="12556" width="6.5703125" style="122" customWidth="1"/>
    <col min="12557" max="12557" width="3.28515625" style="122" customWidth="1"/>
    <col min="12558" max="12558" width="5.85546875" style="122" customWidth="1"/>
    <col min="12559" max="12559" width="6.5703125" style="122" customWidth="1"/>
    <col min="12560" max="12560" width="9.42578125" style="122" customWidth="1"/>
    <col min="12561" max="12763" width="9.140625" style="122"/>
    <col min="12764" max="12764" width="4.85546875" style="122" customWidth="1"/>
    <col min="12765" max="12765" width="5.140625" style="122" customWidth="1"/>
    <col min="12766" max="12766" width="13.7109375" style="122" customWidth="1"/>
    <col min="12767" max="12767" width="9.42578125" style="122" customWidth="1"/>
    <col min="12768" max="12768" width="7.85546875" style="122" bestFit="1" customWidth="1"/>
    <col min="12769" max="12769" width="9.42578125" style="122" customWidth="1"/>
    <col min="12770" max="12770" width="7.42578125" style="122" customWidth="1"/>
    <col min="12771" max="12771" width="7.85546875" style="122" customWidth="1"/>
    <col min="12772" max="12772" width="11" style="122" customWidth="1"/>
    <col min="12773" max="12773" width="7.5703125" style="122" customWidth="1"/>
    <col min="12774" max="12774" width="3.28515625" style="122" customWidth="1"/>
    <col min="12775" max="12775" width="5.85546875" style="122" customWidth="1"/>
    <col min="12776" max="12776" width="6.5703125" style="122" customWidth="1"/>
    <col min="12777" max="12777" width="3.28515625" style="122" customWidth="1"/>
    <col min="12778" max="12778" width="5.85546875" style="122" customWidth="1"/>
    <col min="12779" max="12779" width="6.5703125" style="122" customWidth="1"/>
    <col min="12780" max="12780" width="3.28515625" style="122" customWidth="1"/>
    <col min="12781" max="12781" width="5.85546875" style="122" customWidth="1"/>
    <col min="12782" max="12782" width="6.5703125" style="122" customWidth="1"/>
    <col min="12783" max="12783" width="3.28515625" style="122" customWidth="1"/>
    <col min="12784" max="12784" width="5.85546875" style="122" customWidth="1"/>
    <col min="12785" max="12785" width="6.5703125" style="122" customWidth="1"/>
    <col min="12786" max="12786" width="3.28515625" style="122" customWidth="1"/>
    <col min="12787" max="12787" width="5.85546875" style="122" customWidth="1"/>
    <col min="12788" max="12788" width="6.5703125" style="122" customWidth="1"/>
    <col min="12789" max="12789" width="3.28515625" style="122" customWidth="1"/>
    <col min="12790" max="12790" width="5.85546875" style="122" customWidth="1"/>
    <col min="12791" max="12791" width="6.5703125" style="122" customWidth="1"/>
    <col min="12792" max="12792" width="3.28515625" style="122" customWidth="1"/>
    <col min="12793" max="12793" width="5.85546875" style="122" customWidth="1"/>
    <col min="12794" max="12794" width="6.5703125" style="122" customWidth="1"/>
    <col min="12795" max="12795" width="3.28515625" style="122" customWidth="1"/>
    <col min="12796" max="12796" width="5.85546875" style="122" customWidth="1"/>
    <col min="12797" max="12797" width="6.5703125" style="122" customWidth="1"/>
    <col min="12798" max="12798" width="3.28515625" style="122" customWidth="1"/>
    <col min="12799" max="12799" width="5.85546875" style="122" customWidth="1"/>
    <col min="12800" max="12800" width="6.5703125" style="122" customWidth="1"/>
    <col min="12801" max="12801" width="3.28515625" style="122" customWidth="1"/>
    <col min="12802" max="12802" width="5.85546875" style="122" customWidth="1"/>
    <col min="12803" max="12803" width="6.5703125" style="122" customWidth="1"/>
    <col min="12804" max="12804" width="3.28515625" style="122" customWidth="1"/>
    <col min="12805" max="12805" width="5.85546875" style="122" customWidth="1"/>
    <col min="12806" max="12806" width="6.5703125" style="122" customWidth="1"/>
    <col min="12807" max="12807" width="3.28515625" style="122" customWidth="1"/>
    <col min="12808" max="12808" width="5.85546875" style="122" customWidth="1"/>
    <col min="12809" max="12809" width="6.5703125" style="122" customWidth="1"/>
    <col min="12810" max="12810" width="3.28515625" style="122" customWidth="1"/>
    <col min="12811" max="12811" width="5.85546875" style="122" customWidth="1"/>
    <col min="12812" max="12812" width="6.5703125" style="122" customWidth="1"/>
    <col min="12813" max="12813" width="3.28515625" style="122" customWidth="1"/>
    <col min="12814" max="12814" width="5.85546875" style="122" customWidth="1"/>
    <col min="12815" max="12815" width="6.5703125" style="122" customWidth="1"/>
    <col min="12816" max="12816" width="9.42578125" style="122" customWidth="1"/>
    <col min="12817" max="13019" width="9.140625" style="122"/>
    <col min="13020" max="13020" width="4.85546875" style="122" customWidth="1"/>
    <col min="13021" max="13021" width="5.140625" style="122" customWidth="1"/>
    <col min="13022" max="13022" width="13.7109375" style="122" customWidth="1"/>
    <col min="13023" max="13023" width="9.42578125" style="122" customWidth="1"/>
    <col min="13024" max="13024" width="7.85546875" style="122" bestFit="1" customWidth="1"/>
    <col min="13025" max="13025" width="9.42578125" style="122" customWidth="1"/>
    <col min="13026" max="13026" width="7.42578125" style="122" customWidth="1"/>
    <col min="13027" max="13027" width="7.85546875" style="122" customWidth="1"/>
    <col min="13028" max="13028" width="11" style="122" customWidth="1"/>
    <col min="13029" max="13029" width="7.5703125" style="122" customWidth="1"/>
    <col min="13030" max="13030" width="3.28515625" style="122" customWidth="1"/>
    <col min="13031" max="13031" width="5.85546875" style="122" customWidth="1"/>
    <col min="13032" max="13032" width="6.5703125" style="122" customWidth="1"/>
    <col min="13033" max="13033" width="3.28515625" style="122" customWidth="1"/>
    <col min="13034" max="13034" width="5.85546875" style="122" customWidth="1"/>
    <col min="13035" max="13035" width="6.5703125" style="122" customWidth="1"/>
    <col min="13036" max="13036" width="3.28515625" style="122" customWidth="1"/>
    <col min="13037" max="13037" width="5.85546875" style="122" customWidth="1"/>
    <col min="13038" max="13038" width="6.5703125" style="122" customWidth="1"/>
    <col min="13039" max="13039" width="3.28515625" style="122" customWidth="1"/>
    <col min="13040" max="13040" width="5.85546875" style="122" customWidth="1"/>
    <col min="13041" max="13041" width="6.5703125" style="122" customWidth="1"/>
    <col min="13042" max="13042" width="3.28515625" style="122" customWidth="1"/>
    <col min="13043" max="13043" width="5.85546875" style="122" customWidth="1"/>
    <col min="13044" max="13044" width="6.5703125" style="122" customWidth="1"/>
    <col min="13045" max="13045" width="3.28515625" style="122" customWidth="1"/>
    <col min="13046" max="13046" width="5.85546875" style="122" customWidth="1"/>
    <col min="13047" max="13047" width="6.5703125" style="122" customWidth="1"/>
    <col min="13048" max="13048" width="3.28515625" style="122" customWidth="1"/>
    <col min="13049" max="13049" width="5.85546875" style="122" customWidth="1"/>
    <col min="13050" max="13050" width="6.5703125" style="122" customWidth="1"/>
    <col min="13051" max="13051" width="3.28515625" style="122" customWidth="1"/>
    <col min="13052" max="13052" width="5.85546875" style="122" customWidth="1"/>
    <col min="13053" max="13053" width="6.5703125" style="122" customWidth="1"/>
    <col min="13054" max="13054" width="3.28515625" style="122" customWidth="1"/>
    <col min="13055" max="13055" width="5.85546875" style="122" customWidth="1"/>
    <col min="13056" max="13056" width="6.5703125" style="122" customWidth="1"/>
    <col min="13057" max="13057" width="3.28515625" style="122" customWidth="1"/>
    <col min="13058" max="13058" width="5.85546875" style="122" customWidth="1"/>
    <col min="13059" max="13059" width="6.5703125" style="122" customWidth="1"/>
    <col min="13060" max="13060" width="3.28515625" style="122" customWidth="1"/>
    <col min="13061" max="13061" width="5.85546875" style="122" customWidth="1"/>
    <col min="13062" max="13062" width="6.5703125" style="122" customWidth="1"/>
    <col min="13063" max="13063" width="3.28515625" style="122" customWidth="1"/>
    <col min="13064" max="13064" width="5.85546875" style="122" customWidth="1"/>
    <col min="13065" max="13065" width="6.5703125" style="122" customWidth="1"/>
    <col min="13066" max="13066" width="3.28515625" style="122" customWidth="1"/>
    <col min="13067" max="13067" width="5.85546875" style="122" customWidth="1"/>
    <col min="13068" max="13068" width="6.5703125" style="122" customWidth="1"/>
    <col min="13069" max="13069" width="3.28515625" style="122" customWidth="1"/>
    <col min="13070" max="13070" width="5.85546875" style="122" customWidth="1"/>
    <col min="13071" max="13071" width="6.5703125" style="122" customWidth="1"/>
    <col min="13072" max="13072" width="9.42578125" style="122" customWidth="1"/>
    <col min="13073" max="13275" width="9.140625" style="122"/>
    <col min="13276" max="13276" width="4.85546875" style="122" customWidth="1"/>
    <col min="13277" max="13277" width="5.140625" style="122" customWidth="1"/>
    <col min="13278" max="13278" width="13.7109375" style="122" customWidth="1"/>
    <col min="13279" max="13279" width="9.42578125" style="122" customWidth="1"/>
    <col min="13280" max="13280" width="7.85546875" style="122" bestFit="1" customWidth="1"/>
    <col min="13281" max="13281" width="9.42578125" style="122" customWidth="1"/>
    <col min="13282" max="13282" width="7.42578125" style="122" customWidth="1"/>
    <col min="13283" max="13283" width="7.85546875" style="122" customWidth="1"/>
    <col min="13284" max="13284" width="11" style="122" customWidth="1"/>
    <col min="13285" max="13285" width="7.5703125" style="122" customWidth="1"/>
    <col min="13286" max="13286" width="3.28515625" style="122" customWidth="1"/>
    <col min="13287" max="13287" width="5.85546875" style="122" customWidth="1"/>
    <col min="13288" max="13288" width="6.5703125" style="122" customWidth="1"/>
    <col min="13289" max="13289" width="3.28515625" style="122" customWidth="1"/>
    <col min="13290" max="13290" width="5.85546875" style="122" customWidth="1"/>
    <col min="13291" max="13291" width="6.5703125" style="122" customWidth="1"/>
    <col min="13292" max="13292" width="3.28515625" style="122" customWidth="1"/>
    <col min="13293" max="13293" width="5.85546875" style="122" customWidth="1"/>
    <col min="13294" max="13294" width="6.5703125" style="122" customWidth="1"/>
    <col min="13295" max="13295" width="3.28515625" style="122" customWidth="1"/>
    <col min="13296" max="13296" width="5.85546875" style="122" customWidth="1"/>
    <col min="13297" max="13297" width="6.5703125" style="122" customWidth="1"/>
    <col min="13298" max="13298" width="3.28515625" style="122" customWidth="1"/>
    <col min="13299" max="13299" width="5.85546875" style="122" customWidth="1"/>
    <col min="13300" max="13300" width="6.5703125" style="122" customWidth="1"/>
    <col min="13301" max="13301" width="3.28515625" style="122" customWidth="1"/>
    <col min="13302" max="13302" width="5.85546875" style="122" customWidth="1"/>
    <col min="13303" max="13303" width="6.5703125" style="122" customWidth="1"/>
    <col min="13304" max="13304" width="3.28515625" style="122" customWidth="1"/>
    <col min="13305" max="13305" width="5.85546875" style="122" customWidth="1"/>
    <col min="13306" max="13306" width="6.5703125" style="122" customWidth="1"/>
    <col min="13307" max="13307" width="3.28515625" style="122" customWidth="1"/>
    <col min="13308" max="13308" width="5.85546875" style="122" customWidth="1"/>
    <col min="13309" max="13309" width="6.5703125" style="122" customWidth="1"/>
    <col min="13310" max="13310" width="3.28515625" style="122" customWidth="1"/>
    <col min="13311" max="13311" width="5.85546875" style="122" customWidth="1"/>
    <col min="13312" max="13312" width="6.5703125" style="122" customWidth="1"/>
    <col min="13313" max="13313" width="3.28515625" style="122" customWidth="1"/>
    <col min="13314" max="13314" width="5.85546875" style="122" customWidth="1"/>
    <col min="13315" max="13315" width="6.5703125" style="122" customWidth="1"/>
    <col min="13316" max="13316" width="3.28515625" style="122" customWidth="1"/>
    <col min="13317" max="13317" width="5.85546875" style="122" customWidth="1"/>
    <col min="13318" max="13318" width="6.5703125" style="122" customWidth="1"/>
    <col min="13319" max="13319" width="3.28515625" style="122" customWidth="1"/>
    <col min="13320" max="13320" width="5.85546875" style="122" customWidth="1"/>
    <col min="13321" max="13321" width="6.5703125" style="122" customWidth="1"/>
    <col min="13322" max="13322" width="3.28515625" style="122" customWidth="1"/>
    <col min="13323" max="13323" width="5.85546875" style="122" customWidth="1"/>
    <col min="13324" max="13324" width="6.5703125" style="122" customWidth="1"/>
    <col min="13325" max="13325" width="3.28515625" style="122" customWidth="1"/>
    <col min="13326" max="13326" width="5.85546875" style="122" customWidth="1"/>
    <col min="13327" max="13327" width="6.5703125" style="122" customWidth="1"/>
    <col min="13328" max="13328" width="9.42578125" style="122" customWidth="1"/>
    <col min="13329" max="13531" width="9.140625" style="122"/>
    <col min="13532" max="13532" width="4.85546875" style="122" customWidth="1"/>
    <col min="13533" max="13533" width="5.140625" style="122" customWidth="1"/>
    <col min="13534" max="13534" width="13.7109375" style="122" customWidth="1"/>
    <col min="13535" max="13535" width="9.42578125" style="122" customWidth="1"/>
    <col min="13536" max="13536" width="7.85546875" style="122" bestFit="1" customWidth="1"/>
    <col min="13537" max="13537" width="9.42578125" style="122" customWidth="1"/>
    <col min="13538" max="13538" width="7.42578125" style="122" customWidth="1"/>
    <col min="13539" max="13539" width="7.85546875" style="122" customWidth="1"/>
    <col min="13540" max="13540" width="11" style="122" customWidth="1"/>
    <col min="13541" max="13541" width="7.5703125" style="122" customWidth="1"/>
    <col min="13542" max="13542" width="3.28515625" style="122" customWidth="1"/>
    <col min="13543" max="13543" width="5.85546875" style="122" customWidth="1"/>
    <col min="13544" max="13544" width="6.5703125" style="122" customWidth="1"/>
    <col min="13545" max="13545" width="3.28515625" style="122" customWidth="1"/>
    <col min="13546" max="13546" width="5.85546875" style="122" customWidth="1"/>
    <col min="13547" max="13547" width="6.5703125" style="122" customWidth="1"/>
    <col min="13548" max="13548" width="3.28515625" style="122" customWidth="1"/>
    <col min="13549" max="13549" width="5.85546875" style="122" customWidth="1"/>
    <col min="13550" max="13550" width="6.5703125" style="122" customWidth="1"/>
    <col min="13551" max="13551" width="3.28515625" style="122" customWidth="1"/>
    <col min="13552" max="13552" width="5.85546875" style="122" customWidth="1"/>
    <col min="13553" max="13553" width="6.5703125" style="122" customWidth="1"/>
    <col min="13554" max="13554" width="3.28515625" style="122" customWidth="1"/>
    <col min="13555" max="13555" width="5.85546875" style="122" customWidth="1"/>
    <col min="13556" max="13556" width="6.5703125" style="122" customWidth="1"/>
    <col min="13557" max="13557" width="3.28515625" style="122" customWidth="1"/>
    <col min="13558" max="13558" width="5.85546875" style="122" customWidth="1"/>
    <col min="13559" max="13559" width="6.5703125" style="122" customWidth="1"/>
    <col min="13560" max="13560" width="3.28515625" style="122" customWidth="1"/>
    <col min="13561" max="13561" width="5.85546875" style="122" customWidth="1"/>
    <col min="13562" max="13562" width="6.5703125" style="122" customWidth="1"/>
    <col min="13563" max="13563" width="3.28515625" style="122" customWidth="1"/>
    <col min="13564" max="13564" width="5.85546875" style="122" customWidth="1"/>
    <col min="13565" max="13565" width="6.5703125" style="122" customWidth="1"/>
    <col min="13566" max="13566" width="3.28515625" style="122" customWidth="1"/>
    <col min="13567" max="13567" width="5.85546875" style="122" customWidth="1"/>
    <col min="13568" max="13568" width="6.5703125" style="122" customWidth="1"/>
    <col min="13569" max="13569" width="3.28515625" style="122" customWidth="1"/>
    <col min="13570" max="13570" width="5.85546875" style="122" customWidth="1"/>
    <col min="13571" max="13571" width="6.5703125" style="122" customWidth="1"/>
    <col min="13572" max="13572" width="3.28515625" style="122" customWidth="1"/>
    <col min="13573" max="13573" width="5.85546875" style="122" customWidth="1"/>
    <col min="13574" max="13574" width="6.5703125" style="122" customWidth="1"/>
    <col min="13575" max="13575" width="3.28515625" style="122" customWidth="1"/>
    <col min="13576" max="13576" width="5.85546875" style="122" customWidth="1"/>
    <col min="13577" max="13577" width="6.5703125" style="122" customWidth="1"/>
    <col min="13578" max="13578" width="3.28515625" style="122" customWidth="1"/>
    <col min="13579" max="13579" width="5.85546875" style="122" customWidth="1"/>
    <col min="13580" max="13580" width="6.5703125" style="122" customWidth="1"/>
    <col min="13581" max="13581" width="3.28515625" style="122" customWidth="1"/>
    <col min="13582" max="13582" width="5.85546875" style="122" customWidth="1"/>
    <col min="13583" max="13583" width="6.5703125" style="122" customWidth="1"/>
    <col min="13584" max="13584" width="9.42578125" style="122" customWidth="1"/>
    <col min="13585" max="13787" width="9.140625" style="122"/>
    <col min="13788" max="13788" width="4.85546875" style="122" customWidth="1"/>
    <col min="13789" max="13789" width="5.140625" style="122" customWidth="1"/>
    <col min="13790" max="13790" width="13.7109375" style="122" customWidth="1"/>
    <col min="13791" max="13791" width="9.42578125" style="122" customWidth="1"/>
    <col min="13792" max="13792" width="7.85546875" style="122" bestFit="1" customWidth="1"/>
    <col min="13793" max="13793" width="9.42578125" style="122" customWidth="1"/>
    <col min="13794" max="13794" width="7.42578125" style="122" customWidth="1"/>
    <col min="13795" max="13795" width="7.85546875" style="122" customWidth="1"/>
    <col min="13796" max="13796" width="11" style="122" customWidth="1"/>
    <col min="13797" max="13797" width="7.5703125" style="122" customWidth="1"/>
    <col min="13798" max="13798" width="3.28515625" style="122" customWidth="1"/>
    <col min="13799" max="13799" width="5.85546875" style="122" customWidth="1"/>
    <col min="13800" max="13800" width="6.5703125" style="122" customWidth="1"/>
    <col min="13801" max="13801" width="3.28515625" style="122" customWidth="1"/>
    <col min="13802" max="13802" width="5.85546875" style="122" customWidth="1"/>
    <col min="13803" max="13803" width="6.5703125" style="122" customWidth="1"/>
    <col min="13804" max="13804" width="3.28515625" style="122" customWidth="1"/>
    <col min="13805" max="13805" width="5.85546875" style="122" customWidth="1"/>
    <col min="13806" max="13806" width="6.5703125" style="122" customWidth="1"/>
    <col min="13807" max="13807" width="3.28515625" style="122" customWidth="1"/>
    <col min="13808" max="13808" width="5.85546875" style="122" customWidth="1"/>
    <col min="13809" max="13809" width="6.5703125" style="122" customWidth="1"/>
    <col min="13810" max="13810" width="3.28515625" style="122" customWidth="1"/>
    <col min="13811" max="13811" width="5.85546875" style="122" customWidth="1"/>
    <col min="13812" max="13812" width="6.5703125" style="122" customWidth="1"/>
    <col min="13813" max="13813" width="3.28515625" style="122" customWidth="1"/>
    <col min="13814" max="13814" width="5.85546875" style="122" customWidth="1"/>
    <col min="13815" max="13815" width="6.5703125" style="122" customWidth="1"/>
    <col min="13816" max="13816" width="3.28515625" style="122" customWidth="1"/>
    <col min="13817" max="13817" width="5.85546875" style="122" customWidth="1"/>
    <col min="13818" max="13818" width="6.5703125" style="122" customWidth="1"/>
    <col min="13819" max="13819" width="3.28515625" style="122" customWidth="1"/>
    <col min="13820" max="13820" width="5.85546875" style="122" customWidth="1"/>
    <col min="13821" max="13821" width="6.5703125" style="122" customWidth="1"/>
    <col min="13822" max="13822" width="3.28515625" style="122" customWidth="1"/>
    <col min="13823" max="13823" width="5.85546875" style="122" customWidth="1"/>
    <col min="13824" max="13824" width="6.5703125" style="122" customWidth="1"/>
    <col min="13825" max="13825" width="3.28515625" style="122" customWidth="1"/>
    <col min="13826" max="13826" width="5.85546875" style="122" customWidth="1"/>
    <col min="13827" max="13827" width="6.5703125" style="122" customWidth="1"/>
    <col min="13828" max="13828" width="3.28515625" style="122" customWidth="1"/>
    <col min="13829" max="13829" width="5.85546875" style="122" customWidth="1"/>
    <col min="13830" max="13830" width="6.5703125" style="122" customWidth="1"/>
    <col min="13831" max="13831" width="3.28515625" style="122" customWidth="1"/>
    <col min="13832" max="13832" width="5.85546875" style="122" customWidth="1"/>
    <col min="13833" max="13833" width="6.5703125" style="122" customWidth="1"/>
    <col min="13834" max="13834" width="3.28515625" style="122" customWidth="1"/>
    <col min="13835" max="13835" width="5.85546875" style="122" customWidth="1"/>
    <col min="13836" max="13836" width="6.5703125" style="122" customWidth="1"/>
    <col min="13837" max="13837" width="3.28515625" style="122" customWidth="1"/>
    <col min="13838" max="13838" width="5.85546875" style="122" customWidth="1"/>
    <col min="13839" max="13839" width="6.5703125" style="122" customWidth="1"/>
    <col min="13840" max="13840" width="9.42578125" style="122" customWidth="1"/>
    <col min="13841" max="14043" width="9.140625" style="122"/>
    <col min="14044" max="14044" width="4.85546875" style="122" customWidth="1"/>
    <col min="14045" max="14045" width="5.140625" style="122" customWidth="1"/>
    <col min="14046" max="14046" width="13.7109375" style="122" customWidth="1"/>
    <col min="14047" max="14047" width="9.42578125" style="122" customWidth="1"/>
    <col min="14048" max="14048" width="7.85546875" style="122" bestFit="1" customWidth="1"/>
    <col min="14049" max="14049" width="9.42578125" style="122" customWidth="1"/>
    <col min="14050" max="14050" width="7.42578125" style="122" customWidth="1"/>
    <col min="14051" max="14051" width="7.85546875" style="122" customWidth="1"/>
    <col min="14052" max="14052" width="11" style="122" customWidth="1"/>
    <col min="14053" max="14053" width="7.5703125" style="122" customWidth="1"/>
    <col min="14054" max="14054" width="3.28515625" style="122" customWidth="1"/>
    <col min="14055" max="14055" width="5.85546875" style="122" customWidth="1"/>
    <col min="14056" max="14056" width="6.5703125" style="122" customWidth="1"/>
    <col min="14057" max="14057" width="3.28515625" style="122" customWidth="1"/>
    <col min="14058" max="14058" width="5.85546875" style="122" customWidth="1"/>
    <col min="14059" max="14059" width="6.5703125" style="122" customWidth="1"/>
    <col min="14060" max="14060" width="3.28515625" style="122" customWidth="1"/>
    <col min="14061" max="14061" width="5.85546875" style="122" customWidth="1"/>
    <col min="14062" max="14062" width="6.5703125" style="122" customWidth="1"/>
    <col min="14063" max="14063" width="3.28515625" style="122" customWidth="1"/>
    <col min="14064" max="14064" width="5.85546875" style="122" customWidth="1"/>
    <col min="14065" max="14065" width="6.5703125" style="122" customWidth="1"/>
    <col min="14066" max="14066" width="3.28515625" style="122" customWidth="1"/>
    <col min="14067" max="14067" width="5.85546875" style="122" customWidth="1"/>
    <col min="14068" max="14068" width="6.5703125" style="122" customWidth="1"/>
    <col min="14069" max="14069" width="3.28515625" style="122" customWidth="1"/>
    <col min="14070" max="14070" width="5.85546875" style="122" customWidth="1"/>
    <col min="14071" max="14071" width="6.5703125" style="122" customWidth="1"/>
    <col min="14072" max="14072" width="3.28515625" style="122" customWidth="1"/>
    <col min="14073" max="14073" width="5.85546875" style="122" customWidth="1"/>
    <col min="14074" max="14074" width="6.5703125" style="122" customWidth="1"/>
    <col min="14075" max="14075" width="3.28515625" style="122" customWidth="1"/>
    <col min="14076" max="14076" width="5.85546875" style="122" customWidth="1"/>
    <col min="14077" max="14077" width="6.5703125" style="122" customWidth="1"/>
    <col min="14078" max="14078" width="3.28515625" style="122" customWidth="1"/>
    <col min="14079" max="14079" width="5.85546875" style="122" customWidth="1"/>
    <col min="14080" max="14080" width="6.5703125" style="122" customWidth="1"/>
    <col min="14081" max="14081" width="3.28515625" style="122" customWidth="1"/>
    <col min="14082" max="14082" width="5.85546875" style="122" customWidth="1"/>
    <col min="14083" max="14083" width="6.5703125" style="122" customWidth="1"/>
    <col min="14084" max="14084" width="3.28515625" style="122" customWidth="1"/>
    <col min="14085" max="14085" width="5.85546875" style="122" customWidth="1"/>
    <col min="14086" max="14086" width="6.5703125" style="122" customWidth="1"/>
    <col min="14087" max="14087" width="3.28515625" style="122" customWidth="1"/>
    <col min="14088" max="14088" width="5.85546875" style="122" customWidth="1"/>
    <col min="14089" max="14089" width="6.5703125" style="122" customWidth="1"/>
    <col min="14090" max="14090" width="3.28515625" style="122" customWidth="1"/>
    <col min="14091" max="14091" width="5.85546875" style="122" customWidth="1"/>
    <col min="14092" max="14092" width="6.5703125" style="122" customWidth="1"/>
    <col min="14093" max="14093" width="3.28515625" style="122" customWidth="1"/>
    <col min="14094" max="14094" width="5.85546875" style="122" customWidth="1"/>
    <col min="14095" max="14095" width="6.5703125" style="122" customWidth="1"/>
    <col min="14096" max="14096" width="9.42578125" style="122" customWidth="1"/>
    <col min="14097" max="14299" width="9.140625" style="122"/>
    <col min="14300" max="14300" width="4.85546875" style="122" customWidth="1"/>
    <col min="14301" max="14301" width="5.140625" style="122" customWidth="1"/>
    <col min="14302" max="14302" width="13.7109375" style="122" customWidth="1"/>
    <col min="14303" max="14303" width="9.42578125" style="122" customWidth="1"/>
    <col min="14304" max="14304" width="7.85546875" style="122" bestFit="1" customWidth="1"/>
    <col min="14305" max="14305" width="9.42578125" style="122" customWidth="1"/>
    <col min="14306" max="14306" width="7.42578125" style="122" customWidth="1"/>
    <col min="14307" max="14307" width="7.85546875" style="122" customWidth="1"/>
    <col min="14308" max="14308" width="11" style="122" customWidth="1"/>
    <col min="14309" max="14309" width="7.5703125" style="122" customWidth="1"/>
    <col min="14310" max="14310" width="3.28515625" style="122" customWidth="1"/>
    <col min="14311" max="14311" width="5.85546875" style="122" customWidth="1"/>
    <col min="14312" max="14312" width="6.5703125" style="122" customWidth="1"/>
    <col min="14313" max="14313" width="3.28515625" style="122" customWidth="1"/>
    <col min="14314" max="14314" width="5.85546875" style="122" customWidth="1"/>
    <col min="14315" max="14315" width="6.5703125" style="122" customWidth="1"/>
    <col min="14316" max="14316" width="3.28515625" style="122" customWidth="1"/>
    <col min="14317" max="14317" width="5.85546875" style="122" customWidth="1"/>
    <col min="14318" max="14318" width="6.5703125" style="122" customWidth="1"/>
    <col min="14319" max="14319" width="3.28515625" style="122" customWidth="1"/>
    <col min="14320" max="14320" width="5.85546875" style="122" customWidth="1"/>
    <col min="14321" max="14321" width="6.5703125" style="122" customWidth="1"/>
    <col min="14322" max="14322" width="3.28515625" style="122" customWidth="1"/>
    <col min="14323" max="14323" width="5.85546875" style="122" customWidth="1"/>
    <col min="14324" max="14324" width="6.5703125" style="122" customWidth="1"/>
    <col min="14325" max="14325" width="3.28515625" style="122" customWidth="1"/>
    <col min="14326" max="14326" width="5.85546875" style="122" customWidth="1"/>
    <col min="14327" max="14327" width="6.5703125" style="122" customWidth="1"/>
    <col min="14328" max="14328" width="3.28515625" style="122" customWidth="1"/>
    <col min="14329" max="14329" width="5.85546875" style="122" customWidth="1"/>
    <col min="14330" max="14330" width="6.5703125" style="122" customWidth="1"/>
    <col min="14331" max="14331" width="3.28515625" style="122" customWidth="1"/>
    <col min="14332" max="14332" width="5.85546875" style="122" customWidth="1"/>
    <col min="14333" max="14333" width="6.5703125" style="122" customWidth="1"/>
    <col min="14334" max="14334" width="3.28515625" style="122" customWidth="1"/>
    <col min="14335" max="14335" width="5.85546875" style="122" customWidth="1"/>
    <col min="14336" max="14336" width="6.5703125" style="122" customWidth="1"/>
    <col min="14337" max="14337" width="3.28515625" style="122" customWidth="1"/>
    <col min="14338" max="14338" width="5.85546875" style="122" customWidth="1"/>
    <col min="14339" max="14339" width="6.5703125" style="122" customWidth="1"/>
    <col min="14340" max="14340" width="3.28515625" style="122" customWidth="1"/>
    <col min="14341" max="14341" width="5.85546875" style="122" customWidth="1"/>
    <col min="14342" max="14342" width="6.5703125" style="122" customWidth="1"/>
    <col min="14343" max="14343" width="3.28515625" style="122" customWidth="1"/>
    <col min="14344" max="14344" width="5.85546875" style="122" customWidth="1"/>
    <col min="14345" max="14345" width="6.5703125" style="122" customWidth="1"/>
    <col min="14346" max="14346" width="3.28515625" style="122" customWidth="1"/>
    <col min="14347" max="14347" width="5.85546875" style="122" customWidth="1"/>
    <col min="14348" max="14348" width="6.5703125" style="122" customWidth="1"/>
    <col min="14349" max="14349" width="3.28515625" style="122" customWidth="1"/>
    <col min="14350" max="14350" width="5.85546875" style="122" customWidth="1"/>
    <col min="14351" max="14351" width="6.5703125" style="122" customWidth="1"/>
    <col min="14352" max="14352" width="9.42578125" style="122" customWidth="1"/>
    <col min="14353" max="14555" width="9.140625" style="122"/>
    <col min="14556" max="14556" width="4.85546875" style="122" customWidth="1"/>
    <col min="14557" max="14557" width="5.140625" style="122" customWidth="1"/>
    <col min="14558" max="14558" width="13.7109375" style="122" customWidth="1"/>
    <col min="14559" max="14559" width="9.42578125" style="122" customWidth="1"/>
    <col min="14560" max="14560" width="7.85546875" style="122" bestFit="1" customWidth="1"/>
    <col min="14561" max="14561" width="9.42578125" style="122" customWidth="1"/>
    <col min="14562" max="14562" width="7.42578125" style="122" customWidth="1"/>
    <col min="14563" max="14563" width="7.85546875" style="122" customWidth="1"/>
    <col min="14564" max="14564" width="11" style="122" customWidth="1"/>
    <col min="14565" max="14565" width="7.5703125" style="122" customWidth="1"/>
    <col min="14566" max="14566" width="3.28515625" style="122" customWidth="1"/>
    <col min="14567" max="14567" width="5.85546875" style="122" customWidth="1"/>
    <col min="14568" max="14568" width="6.5703125" style="122" customWidth="1"/>
    <col min="14569" max="14569" width="3.28515625" style="122" customWidth="1"/>
    <col min="14570" max="14570" width="5.85546875" style="122" customWidth="1"/>
    <col min="14571" max="14571" width="6.5703125" style="122" customWidth="1"/>
    <col min="14572" max="14572" width="3.28515625" style="122" customWidth="1"/>
    <col min="14573" max="14573" width="5.85546875" style="122" customWidth="1"/>
    <col min="14574" max="14574" width="6.5703125" style="122" customWidth="1"/>
    <col min="14575" max="14575" width="3.28515625" style="122" customWidth="1"/>
    <col min="14576" max="14576" width="5.85546875" style="122" customWidth="1"/>
    <col min="14577" max="14577" width="6.5703125" style="122" customWidth="1"/>
    <col min="14578" max="14578" width="3.28515625" style="122" customWidth="1"/>
    <col min="14579" max="14579" width="5.85546875" style="122" customWidth="1"/>
    <col min="14580" max="14580" width="6.5703125" style="122" customWidth="1"/>
    <col min="14581" max="14581" width="3.28515625" style="122" customWidth="1"/>
    <col min="14582" max="14582" width="5.85546875" style="122" customWidth="1"/>
    <col min="14583" max="14583" width="6.5703125" style="122" customWidth="1"/>
    <col min="14584" max="14584" width="3.28515625" style="122" customWidth="1"/>
    <col min="14585" max="14585" width="5.85546875" style="122" customWidth="1"/>
    <col min="14586" max="14586" width="6.5703125" style="122" customWidth="1"/>
    <col min="14587" max="14587" width="3.28515625" style="122" customWidth="1"/>
    <col min="14588" max="14588" width="5.85546875" style="122" customWidth="1"/>
    <col min="14589" max="14589" width="6.5703125" style="122" customWidth="1"/>
    <col min="14590" max="14590" width="3.28515625" style="122" customWidth="1"/>
    <col min="14591" max="14591" width="5.85546875" style="122" customWidth="1"/>
    <col min="14592" max="14592" width="6.5703125" style="122" customWidth="1"/>
    <col min="14593" max="14593" width="3.28515625" style="122" customWidth="1"/>
    <col min="14594" max="14594" width="5.85546875" style="122" customWidth="1"/>
    <col min="14595" max="14595" width="6.5703125" style="122" customWidth="1"/>
    <col min="14596" max="14596" width="3.28515625" style="122" customWidth="1"/>
    <col min="14597" max="14597" width="5.85546875" style="122" customWidth="1"/>
    <col min="14598" max="14598" width="6.5703125" style="122" customWidth="1"/>
    <col min="14599" max="14599" width="3.28515625" style="122" customWidth="1"/>
    <col min="14600" max="14600" width="5.85546875" style="122" customWidth="1"/>
    <col min="14601" max="14601" width="6.5703125" style="122" customWidth="1"/>
    <col min="14602" max="14602" width="3.28515625" style="122" customWidth="1"/>
    <col min="14603" max="14603" width="5.85546875" style="122" customWidth="1"/>
    <col min="14604" max="14604" width="6.5703125" style="122" customWidth="1"/>
    <col min="14605" max="14605" width="3.28515625" style="122" customWidth="1"/>
    <col min="14606" max="14606" width="5.85546875" style="122" customWidth="1"/>
    <col min="14607" max="14607" width="6.5703125" style="122" customWidth="1"/>
    <col min="14608" max="14608" width="9.42578125" style="122" customWidth="1"/>
    <col min="14609" max="14811" width="9.140625" style="122"/>
    <col min="14812" max="14812" width="4.85546875" style="122" customWidth="1"/>
    <col min="14813" max="14813" width="5.140625" style="122" customWidth="1"/>
    <col min="14814" max="14814" width="13.7109375" style="122" customWidth="1"/>
    <col min="14815" max="14815" width="9.42578125" style="122" customWidth="1"/>
    <col min="14816" max="14816" width="7.85546875" style="122" bestFit="1" customWidth="1"/>
    <col min="14817" max="14817" width="9.42578125" style="122" customWidth="1"/>
    <col min="14818" max="14818" width="7.42578125" style="122" customWidth="1"/>
    <col min="14819" max="14819" width="7.85546875" style="122" customWidth="1"/>
    <col min="14820" max="14820" width="11" style="122" customWidth="1"/>
    <col min="14821" max="14821" width="7.5703125" style="122" customWidth="1"/>
    <col min="14822" max="14822" width="3.28515625" style="122" customWidth="1"/>
    <col min="14823" max="14823" width="5.85546875" style="122" customWidth="1"/>
    <col min="14824" max="14824" width="6.5703125" style="122" customWidth="1"/>
    <col min="14825" max="14825" width="3.28515625" style="122" customWidth="1"/>
    <col min="14826" max="14826" width="5.85546875" style="122" customWidth="1"/>
    <col min="14827" max="14827" width="6.5703125" style="122" customWidth="1"/>
    <col min="14828" max="14828" width="3.28515625" style="122" customWidth="1"/>
    <col min="14829" max="14829" width="5.85546875" style="122" customWidth="1"/>
    <col min="14830" max="14830" width="6.5703125" style="122" customWidth="1"/>
    <col min="14831" max="14831" width="3.28515625" style="122" customWidth="1"/>
    <col min="14832" max="14832" width="5.85546875" style="122" customWidth="1"/>
    <col min="14833" max="14833" width="6.5703125" style="122" customWidth="1"/>
    <col min="14834" max="14834" width="3.28515625" style="122" customWidth="1"/>
    <col min="14835" max="14835" width="5.85546875" style="122" customWidth="1"/>
    <col min="14836" max="14836" width="6.5703125" style="122" customWidth="1"/>
    <col min="14837" max="14837" width="3.28515625" style="122" customWidth="1"/>
    <col min="14838" max="14838" width="5.85546875" style="122" customWidth="1"/>
    <col min="14839" max="14839" width="6.5703125" style="122" customWidth="1"/>
    <col min="14840" max="14840" width="3.28515625" style="122" customWidth="1"/>
    <col min="14841" max="14841" width="5.85546875" style="122" customWidth="1"/>
    <col min="14842" max="14842" width="6.5703125" style="122" customWidth="1"/>
    <col min="14843" max="14843" width="3.28515625" style="122" customWidth="1"/>
    <col min="14844" max="14844" width="5.85546875" style="122" customWidth="1"/>
    <col min="14845" max="14845" width="6.5703125" style="122" customWidth="1"/>
    <col min="14846" max="14846" width="3.28515625" style="122" customWidth="1"/>
    <col min="14847" max="14847" width="5.85546875" style="122" customWidth="1"/>
    <col min="14848" max="14848" width="6.5703125" style="122" customWidth="1"/>
    <col min="14849" max="14849" width="3.28515625" style="122" customWidth="1"/>
    <col min="14850" max="14850" width="5.85546875" style="122" customWidth="1"/>
    <col min="14851" max="14851" width="6.5703125" style="122" customWidth="1"/>
    <col min="14852" max="14852" width="3.28515625" style="122" customWidth="1"/>
    <col min="14853" max="14853" width="5.85546875" style="122" customWidth="1"/>
    <col min="14854" max="14854" width="6.5703125" style="122" customWidth="1"/>
    <col min="14855" max="14855" width="3.28515625" style="122" customWidth="1"/>
    <col min="14856" max="14856" width="5.85546875" style="122" customWidth="1"/>
    <col min="14857" max="14857" width="6.5703125" style="122" customWidth="1"/>
    <col min="14858" max="14858" width="3.28515625" style="122" customWidth="1"/>
    <col min="14859" max="14859" width="5.85546875" style="122" customWidth="1"/>
    <col min="14860" max="14860" width="6.5703125" style="122" customWidth="1"/>
    <col min="14861" max="14861" width="3.28515625" style="122" customWidth="1"/>
    <col min="14862" max="14862" width="5.85546875" style="122" customWidth="1"/>
    <col min="14863" max="14863" width="6.5703125" style="122" customWidth="1"/>
    <col min="14864" max="14864" width="9.42578125" style="122" customWidth="1"/>
    <col min="14865" max="15067" width="9.140625" style="122"/>
    <col min="15068" max="15068" width="4.85546875" style="122" customWidth="1"/>
    <col min="15069" max="15069" width="5.140625" style="122" customWidth="1"/>
    <col min="15070" max="15070" width="13.7109375" style="122" customWidth="1"/>
    <col min="15071" max="15071" width="9.42578125" style="122" customWidth="1"/>
    <col min="15072" max="15072" width="7.85546875" style="122" bestFit="1" customWidth="1"/>
    <col min="15073" max="15073" width="9.42578125" style="122" customWidth="1"/>
    <col min="15074" max="15074" width="7.42578125" style="122" customWidth="1"/>
    <col min="15075" max="15075" width="7.85546875" style="122" customWidth="1"/>
    <col min="15076" max="15076" width="11" style="122" customWidth="1"/>
    <col min="15077" max="15077" width="7.5703125" style="122" customWidth="1"/>
    <col min="15078" max="15078" width="3.28515625" style="122" customWidth="1"/>
    <col min="15079" max="15079" width="5.85546875" style="122" customWidth="1"/>
    <col min="15080" max="15080" width="6.5703125" style="122" customWidth="1"/>
    <col min="15081" max="15081" width="3.28515625" style="122" customWidth="1"/>
    <col min="15082" max="15082" width="5.85546875" style="122" customWidth="1"/>
    <col min="15083" max="15083" width="6.5703125" style="122" customWidth="1"/>
    <col min="15084" max="15084" width="3.28515625" style="122" customWidth="1"/>
    <col min="15085" max="15085" width="5.85546875" style="122" customWidth="1"/>
    <col min="15086" max="15086" width="6.5703125" style="122" customWidth="1"/>
    <col min="15087" max="15087" width="3.28515625" style="122" customWidth="1"/>
    <col min="15088" max="15088" width="5.85546875" style="122" customWidth="1"/>
    <col min="15089" max="15089" width="6.5703125" style="122" customWidth="1"/>
    <col min="15090" max="15090" width="3.28515625" style="122" customWidth="1"/>
    <col min="15091" max="15091" width="5.85546875" style="122" customWidth="1"/>
    <col min="15092" max="15092" width="6.5703125" style="122" customWidth="1"/>
    <col min="15093" max="15093" width="3.28515625" style="122" customWidth="1"/>
    <col min="15094" max="15094" width="5.85546875" style="122" customWidth="1"/>
    <col min="15095" max="15095" width="6.5703125" style="122" customWidth="1"/>
    <col min="15096" max="15096" width="3.28515625" style="122" customWidth="1"/>
    <col min="15097" max="15097" width="5.85546875" style="122" customWidth="1"/>
    <col min="15098" max="15098" width="6.5703125" style="122" customWidth="1"/>
    <col min="15099" max="15099" width="3.28515625" style="122" customWidth="1"/>
    <col min="15100" max="15100" width="5.85546875" style="122" customWidth="1"/>
    <col min="15101" max="15101" width="6.5703125" style="122" customWidth="1"/>
    <col min="15102" max="15102" width="3.28515625" style="122" customWidth="1"/>
    <col min="15103" max="15103" width="5.85546875" style="122" customWidth="1"/>
    <col min="15104" max="15104" width="6.5703125" style="122" customWidth="1"/>
    <col min="15105" max="15105" width="3.28515625" style="122" customWidth="1"/>
    <col min="15106" max="15106" width="5.85546875" style="122" customWidth="1"/>
    <col min="15107" max="15107" width="6.5703125" style="122" customWidth="1"/>
    <col min="15108" max="15108" width="3.28515625" style="122" customWidth="1"/>
    <col min="15109" max="15109" width="5.85546875" style="122" customWidth="1"/>
    <col min="15110" max="15110" width="6.5703125" style="122" customWidth="1"/>
    <col min="15111" max="15111" width="3.28515625" style="122" customWidth="1"/>
    <col min="15112" max="15112" width="5.85546875" style="122" customWidth="1"/>
    <col min="15113" max="15113" width="6.5703125" style="122" customWidth="1"/>
    <col min="15114" max="15114" width="3.28515625" style="122" customWidth="1"/>
    <col min="15115" max="15115" width="5.85546875" style="122" customWidth="1"/>
    <col min="15116" max="15116" width="6.5703125" style="122" customWidth="1"/>
    <col min="15117" max="15117" width="3.28515625" style="122" customWidth="1"/>
    <col min="15118" max="15118" width="5.85546875" style="122" customWidth="1"/>
    <col min="15119" max="15119" width="6.5703125" style="122" customWidth="1"/>
    <col min="15120" max="15120" width="9.42578125" style="122" customWidth="1"/>
    <col min="15121" max="15323" width="9.140625" style="122"/>
    <col min="15324" max="15324" width="4.85546875" style="122" customWidth="1"/>
    <col min="15325" max="15325" width="5.140625" style="122" customWidth="1"/>
    <col min="15326" max="15326" width="13.7109375" style="122" customWidth="1"/>
    <col min="15327" max="15327" width="9.42578125" style="122" customWidth="1"/>
    <col min="15328" max="15328" width="7.85546875" style="122" bestFit="1" customWidth="1"/>
    <col min="15329" max="15329" width="9.42578125" style="122" customWidth="1"/>
    <col min="15330" max="15330" width="7.42578125" style="122" customWidth="1"/>
    <col min="15331" max="15331" width="7.85546875" style="122" customWidth="1"/>
    <col min="15332" max="15332" width="11" style="122" customWidth="1"/>
    <col min="15333" max="15333" width="7.5703125" style="122" customWidth="1"/>
    <col min="15334" max="15334" width="3.28515625" style="122" customWidth="1"/>
    <col min="15335" max="15335" width="5.85546875" style="122" customWidth="1"/>
    <col min="15336" max="15336" width="6.5703125" style="122" customWidth="1"/>
    <col min="15337" max="15337" width="3.28515625" style="122" customWidth="1"/>
    <col min="15338" max="15338" width="5.85546875" style="122" customWidth="1"/>
    <col min="15339" max="15339" width="6.5703125" style="122" customWidth="1"/>
    <col min="15340" max="15340" width="3.28515625" style="122" customWidth="1"/>
    <col min="15341" max="15341" width="5.85546875" style="122" customWidth="1"/>
    <col min="15342" max="15342" width="6.5703125" style="122" customWidth="1"/>
    <col min="15343" max="15343" width="3.28515625" style="122" customWidth="1"/>
    <col min="15344" max="15344" width="5.85546875" style="122" customWidth="1"/>
    <col min="15345" max="15345" width="6.5703125" style="122" customWidth="1"/>
    <col min="15346" max="15346" width="3.28515625" style="122" customWidth="1"/>
    <col min="15347" max="15347" width="5.85546875" style="122" customWidth="1"/>
    <col min="15348" max="15348" width="6.5703125" style="122" customWidth="1"/>
    <col min="15349" max="15349" width="3.28515625" style="122" customWidth="1"/>
    <col min="15350" max="15350" width="5.85546875" style="122" customWidth="1"/>
    <col min="15351" max="15351" width="6.5703125" style="122" customWidth="1"/>
    <col min="15352" max="15352" width="3.28515625" style="122" customWidth="1"/>
    <col min="15353" max="15353" width="5.85546875" style="122" customWidth="1"/>
    <col min="15354" max="15354" width="6.5703125" style="122" customWidth="1"/>
    <col min="15355" max="15355" width="3.28515625" style="122" customWidth="1"/>
    <col min="15356" max="15356" width="5.85546875" style="122" customWidth="1"/>
    <col min="15357" max="15357" width="6.5703125" style="122" customWidth="1"/>
    <col min="15358" max="15358" width="3.28515625" style="122" customWidth="1"/>
    <col min="15359" max="15359" width="5.85546875" style="122" customWidth="1"/>
    <col min="15360" max="15360" width="6.5703125" style="122" customWidth="1"/>
    <col min="15361" max="15361" width="3.28515625" style="122" customWidth="1"/>
    <col min="15362" max="15362" width="5.85546875" style="122" customWidth="1"/>
    <col min="15363" max="15363" width="6.5703125" style="122" customWidth="1"/>
    <col min="15364" max="15364" width="3.28515625" style="122" customWidth="1"/>
    <col min="15365" max="15365" width="5.85546875" style="122" customWidth="1"/>
    <col min="15366" max="15366" width="6.5703125" style="122" customWidth="1"/>
    <col min="15367" max="15367" width="3.28515625" style="122" customWidth="1"/>
    <col min="15368" max="15368" width="5.85546875" style="122" customWidth="1"/>
    <col min="15369" max="15369" width="6.5703125" style="122" customWidth="1"/>
    <col min="15370" max="15370" width="3.28515625" style="122" customWidth="1"/>
    <col min="15371" max="15371" width="5.85546875" style="122" customWidth="1"/>
    <col min="15372" max="15372" width="6.5703125" style="122" customWidth="1"/>
    <col min="15373" max="15373" width="3.28515625" style="122" customWidth="1"/>
    <col min="15374" max="15374" width="5.85546875" style="122" customWidth="1"/>
    <col min="15375" max="15375" width="6.5703125" style="122" customWidth="1"/>
    <col min="15376" max="15376" width="9.42578125" style="122" customWidth="1"/>
    <col min="15377" max="15579" width="9.140625" style="122"/>
    <col min="15580" max="15580" width="4.85546875" style="122" customWidth="1"/>
    <col min="15581" max="15581" width="5.140625" style="122" customWidth="1"/>
    <col min="15582" max="15582" width="13.7109375" style="122" customWidth="1"/>
    <col min="15583" max="15583" width="9.42578125" style="122" customWidth="1"/>
    <col min="15584" max="15584" width="7.85546875" style="122" bestFit="1" customWidth="1"/>
    <col min="15585" max="15585" width="9.42578125" style="122" customWidth="1"/>
    <col min="15586" max="15586" width="7.42578125" style="122" customWidth="1"/>
    <col min="15587" max="15587" width="7.85546875" style="122" customWidth="1"/>
    <col min="15588" max="15588" width="11" style="122" customWidth="1"/>
    <col min="15589" max="15589" width="7.5703125" style="122" customWidth="1"/>
    <col min="15590" max="15590" width="3.28515625" style="122" customWidth="1"/>
    <col min="15591" max="15591" width="5.85546875" style="122" customWidth="1"/>
    <col min="15592" max="15592" width="6.5703125" style="122" customWidth="1"/>
    <col min="15593" max="15593" width="3.28515625" style="122" customWidth="1"/>
    <col min="15594" max="15594" width="5.85546875" style="122" customWidth="1"/>
    <col min="15595" max="15595" width="6.5703125" style="122" customWidth="1"/>
    <col min="15596" max="15596" width="3.28515625" style="122" customWidth="1"/>
    <col min="15597" max="15597" width="5.85546875" style="122" customWidth="1"/>
    <col min="15598" max="15598" width="6.5703125" style="122" customWidth="1"/>
    <col min="15599" max="15599" width="3.28515625" style="122" customWidth="1"/>
    <col min="15600" max="15600" width="5.85546875" style="122" customWidth="1"/>
    <col min="15601" max="15601" width="6.5703125" style="122" customWidth="1"/>
    <col min="15602" max="15602" width="3.28515625" style="122" customWidth="1"/>
    <col min="15603" max="15603" width="5.85546875" style="122" customWidth="1"/>
    <col min="15604" max="15604" width="6.5703125" style="122" customWidth="1"/>
    <col min="15605" max="15605" width="3.28515625" style="122" customWidth="1"/>
    <col min="15606" max="15606" width="5.85546875" style="122" customWidth="1"/>
    <col min="15607" max="15607" width="6.5703125" style="122" customWidth="1"/>
    <col min="15608" max="15608" width="3.28515625" style="122" customWidth="1"/>
    <col min="15609" max="15609" width="5.85546875" style="122" customWidth="1"/>
    <col min="15610" max="15610" width="6.5703125" style="122" customWidth="1"/>
    <col min="15611" max="15611" width="3.28515625" style="122" customWidth="1"/>
    <col min="15612" max="15612" width="5.85546875" style="122" customWidth="1"/>
    <col min="15613" max="15613" width="6.5703125" style="122" customWidth="1"/>
    <col min="15614" max="15614" width="3.28515625" style="122" customWidth="1"/>
    <col min="15615" max="15615" width="5.85546875" style="122" customWidth="1"/>
    <col min="15616" max="15616" width="6.5703125" style="122" customWidth="1"/>
    <col min="15617" max="15617" width="3.28515625" style="122" customWidth="1"/>
    <col min="15618" max="15618" width="5.85546875" style="122" customWidth="1"/>
    <col min="15619" max="15619" width="6.5703125" style="122" customWidth="1"/>
    <col min="15620" max="15620" width="3.28515625" style="122" customWidth="1"/>
    <col min="15621" max="15621" width="5.85546875" style="122" customWidth="1"/>
    <col min="15622" max="15622" width="6.5703125" style="122" customWidth="1"/>
    <col min="15623" max="15623" width="3.28515625" style="122" customWidth="1"/>
    <col min="15624" max="15624" width="5.85546875" style="122" customWidth="1"/>
    <col min="15625" max="15625" width="6.5703125" style="122" customWidth="1"/>
    <col min="15626" max="15626" width="3.28515625" style="122" customWidth="1"/>
    <col min="15627" max="15627" width="5.85546875" style="122" customWidth="1"/>
    <col min="15628" max="15628" width="6.5703125" style="122" customWidth="1"/>
    <col min="15629" max="15629" width="3.28515625" style="122" customWidth="1"/>
    <col min="15630" max="15630" width="5.85546875" style="122" customWidth="1"/>
    <col min="15631" max="15631" width="6.5703125" style="122" customWidth="1"/>
    <col min="15632" max="15632" width="9.42578125" style="122" customWidth="1"/>
    <col min="15633" max="15835" width="9.140625" style="122"/>
    <col min="15836" max="15836" width="4.85546875" style="122" customWidth="1"/>
    <col min="15837" max="15837" width="5.140625" style="122" customWidth="1"/>
    <col min="15838" max="15838" width="13.7109375" style="122" customWidth="1"/>
    <col min="15839" max="15839" width="9.42578125" style="122" customWidth="1"/>
    <col min="15840" max="15840" width="7.85546875" style="122" bestFit="1" customWidth="1"/>
    <col min="15841" max="15841" width="9.42578125" style="122" customWidth="1"/>
    <col min="15842" max="15842" width="7.42578125" style="122" customWidth="1"/>
    <col min="15843" max="15843" width="7.85546875" style="122" customWidth="1"/>
    <col min="15844" max="15844" width="11" style="122" customWidth="1"/>
    <col min="15845" max="15845" width="7.5703125" style="122" customWidth="1"/>
    <col min="15846" max="15846" width="3.28515625" style="122" customWidth="1"/>
    <col min="15847" max="15847" width="5.85546875" style="122" customWidth="1"/>
    <col min="15848" max="15848" width="6.5703125" style="122" customWidth="1"/>
    <col min="15849" max="15849" width="3.28515625" style="122" customWidth="1"/>
    <col min="15850" max="15850" width="5.85546875" style="122" customWidth="1"/>
    <col min="15851" max="15851" width="6.5703125" style="122" customWidth="1"/>
    <col min="15852" max="15852" width="3.28515625" style="122" customWidth="1"/>
    <col min="15853" max="15853" width="5.85546875" style="122" customWidth="1"/>
    <col min="15854" max="15854" width="6.5703125" style="122" customWidth="1"/>
    <col min="15855" max="15855" width="3.28515625" style="122" customWidth="1"/>
    <col min="15856" max="15856" width="5.85546875" style="122" customWidth="1"/>
    <col min="15857" max="15857" width="6.5703125" style="122" customWidth="1"/>
    <col min="15858" max="15858" width="3.28515625" style="122" customWidth="1"/>
    <col min="15859" max="15859" width="5.85546875" style="122" customWidth="1"/>
    <col min="15860" max="15860" width="6.5703125" style="122" customWidth="1"/>
    <col min="15861" max="15861" width="3.28515625" style="122" customWidth="1"/>
    <col min="15862" max="15862" width="5.85546875" style="122" customWidth="1"/>
    <col min="15863" max="15863" width="6.5703125" style="122" customWidth="1"/>
    <col min="15864" max="15864" width="3.28515625" style="122" customWidth="1"/>
    <col min="15865" max="15865" width="5.85546875" style="122" customWidth="1"/>
    <col min="15866" max="15866" width="6.5703125" style="122" customWidth="1"/>
    <col min="15867" max="15867" width="3.28515625" style="122" customWidth="1"/>
    <col min="15868" max="15868" width="5.85546875" style="122" customWidth="1"/>
    <col min="15869" max="15869" width="6.5703125" style="122" customWidth="1"/>
    <col min="15870" max="15870" width="3.28515625" style="122" customWidth="1"/>
    <col min="15871" max="15871" width="5.85546875" style="122" customWidth="1"/>
    <col min="15872" max="15872" width="6.5703125" style="122" customWidth="1"/>
    <col min="15873" max="15873" width="3.28515625" style="122" customWidth="1"/>
    <col min="15874" max="15874" width="5.85546875" style="122" customWidth="1"/>
    <col min="15875" max="15875" width="6.5703125" style="122" customWidth="1"/>
    <col min="15876" max="15876" width="3.28515625" style="122" customWidth="1"/>
    <col min="15877" max="15877" width="5.85546875" style="122" customWidth="1"/>
    <col min="15878" max="15878" width="6.5703125" style="122" customWidth="1"/>
    <col min="15879" max="15879" width="3.28515625" style="122" customWidth="1"/>
    <col min="15880" max="15880" width="5.85546875" style="122" customWidth="1"/>
    <col min="15881" max="15881" width="6.5703125" style="122" customWidth="1"/>
    <col min="15882" max="15882" width="3.28515625" style="122" customWidth="1"/>
    <col min="15883" max="15883" width="5.85546875" style="122" customWidth="1"/>
    <col min="15884" max="15884" width="6.5703125" style="122" customWidth="1"/>
    <col min="15885" max="15885" width="3.28515625" style="122" customWidth="1"/>
    <col min="15886" max="15886" width="5.85546875" style="122" customWidth="1"/>
    <col min="15887" max="15887" width="6.5703125" style="122" customWidth="1"/>
    <col min="15888" max="15888" width="9.42578125" style="122" customWidth="1"/>
    <col min="15889" max="16091" width="9.140625" style="122"/>
    <col min="16092" max="16092" width="4.85546875" style="122" customWidth="1"/>
    <col min="16093" max="16093" width="5.140625" style="122" customWidth="1"/>
    <col min="16094" max="16094" width="13.7109375" style="122" customWidth="1"/>
    <col min="16095" max="16095" width="9.42578125" style="122" customWidth="1"/>
    <col min="16096" max="16096" width="7.85546875" style="122" bestFit="1" customWidth="1"/>
    <col min="16097" max="16097" width="9.42578125" style="122" customWidth="1"/>
    <col min="16098" max="16098" width="7.42578125" style="122" customWidth="1"/>
    <col min="16099" max="16099" width="7.85546875" style="122" customWidth="1"/>
    <col min="16100" max="16100" width="11" style="122" customWidth="1"/>
    <col min="16101" max="16101" width="7.5703125" style="122" customWidth="1"/>
    <col min="16102" max="16102" width="3.28515625" style="122" customWidth="1"/>
    <col min="16103" max="16103" width="5.85546875" style="122" customWidth="1"/>
    <col min="16104" max="16104" width="6.5703125" style="122" customWidth="1"/>
    <col min="16105" max="16105" width="3.28515625" style="122" customWidth="1"/>
    <col min="16106" max="16106" width="5.85546875" style="122" customWidth="1"/>
    <col min="16107" max="16107" width="6.5703125" style="122" customWidth="1"/>
    <col min="16108" max="16108" width="3.28515625" style="122" customWidth="1"/>
    <col min="16109" max="16109" width="5.85546875" style="122" customWidth="1"/>
    <col min="16110" max="16110" width="6.5703125" style="122" customWidth="1"/>
    <col min="16111" max="16111" width="3.28515625" style="122" customWidth="1"/>
    <col min="16112" max="16112" width="5.85546875" style="122" customWidth="1"/>
    <col min="16113" max="16113" width="6.5703125" style="122" customWidth="1"/>
    <col min="16114" max="16114" width="3.28515625" style="122" customWidth="1"/>
    <col min="16115" max="16115" width="5.85546875" style="122" customWidth="1"/>
    <col min="16116" max="16116" width="6.5703125" style="122" customWidth="1"/>
    <col min="16117" max="16117" width="3.28515625" style="122" customWidth="1"/>
    <col min="16118" max="16118" width="5.85546875" style="122" customWidth="1"/>
    <col min="16119" max="16119" width="6.5703125" style="122" customWidth="1"/>
    <col min="16120" max="16120" width="3.28515625" style="122" customWidth="1"/>
    <col min="16121" max="16121" width="5.85546875" style="122" customWidth="1"/>
    <col min="16122" max="16122" width="6.5703125" style="122" customWidth="1"/>
    <col min="16123" max="16123" width="3.28515625" style="122" customWidth="1"/>
    <col min="16124" max="16124" width="5.85546875" style="122" customWidth="1"/>
    <col min="16125" max="16125" width="6.5703125" style="122" customWidth="1"/>
    <col min="16126" max="16126" width="3.28515625" style="122" customWidth="1"/>
    <col min="16127" max="16127" width="5.85546875" style="122" customWidth="1"/>
    <col min="16128" max="16128" width="6.5703125" style="122" customWidth="1"/>
    <col min="16129" max="16129" width="3.28515625" style="122" customWidth="1"/>
    <col min="16130" max="16130" width="5.85546875" style="122" customWidth="1"/>
    <col min="16131" max="16131" width="6.5703125" style="122" customWidth="1"/>
    <col min="16132" max="16132" width="3.28515625" style="122" customWidth="1"/>
    <col min="16133" max="16133" width="5.85546875" style="122" customWidth="1"/>
    <col min="16134" max="16134" width="6.5703125" style="122" customWidth="1"/>
    <col min="16135" max="16135" width="3.28515625" style="122" customWidth="1"/>
    <col min="16136" max="16136" width="5.85546875" style="122" customWidth="1"/>
    <col min="16137" max="16137" width="6.5703125" style="122" customWidth="1"/>
    <col min="16138" max="16138" width="3.28515625" style="122" customWidth="1"/>
    <col min="16139" max="16139" width="5.85546875" style="122" customWidth="1"/>
    <col min="16140" max="16140" width="6.5703125" style="122" customWidth="1"/>
    <col min="16141" max="16141" width="3.28515625" style="122" customWidth="1"/>
    <col min="16142" max="16142" width="5.85546875" style="122" customWidth="1"/>
    <col min="16143" max="16143" width="6.5703125" style="122" customWidth="1"/>
    <col min="16144" max="16144" width="9.42578125" style="122" customWidth="1"/>
    <col min="16145" max="16384" width="9.140625" style="122"/>
  </cols>
  <sheetData>
    <row r="1" spans="1:16">
      <c r="A1" s="292" t="s">
        <v>639</v>
      </c>
      <c r="B1" s="292"/>
      <c r="C1" s="292"/>
      <c r="D1" s="292"/>
      <c r="E1" s="292"/>
      <c r="F1" s="292"/>
      <c r="G1" s="292"/>
      <c r="H1" s="292"/>
    </row>
    <row r="2" spans="1:16" s="124" customFormat="1" ht="45.75" customHeight="1">
      <c r="A2" s="293" t="s">
        <v>640</v>
      </c>
      <c r="B2" s="293"/>
      <c r="C2" s="293"/>
      <c r="D2" s="293"/>
      <c r="E2" s="293"/>
      <c r="F2" s="293"/>
      <c r="G2" s="293"/>
      <c r="H2" s="293"/>
      <c r="I2" s="123"/>
      <c r="J2" s="123"/>
      <c r="K2" s="123"/>
      <c r="L2" s="123"/>
      <c r="M2" s="123"/>
      <c r="N2" s="123"/>
      <c r="O2" s="123"/>
      <c r="P2" s="123"/>
    </row>
    <row r="3" spans="1:16" s="124" customFormat="1" ht="52.5" customHeight="1">
      <c r="A3" s="125" t="s">
        <v>641</v>
      </c>
      <c r="B3" s="125" t="s">
        <v>642</v>
      </c>
      <c r="C3" s="126" t="s">
        <v>643</v>
      </c>
      <c r="D3" s="126" t="s">
        <v>644</v>
      </c>
      <c r="E3" s="126" t="s">
        <v>645</v>
      </c>
      <c r="F3" s="126" t="s">
        <v>646</v>
      </c>
      <c r="G3" s="126" t="s">
        <v>647</v>
      </c>
      <c r="H3" s="126" t="s">
        <v>648</v>
      </c>
    </row>
    <row r="4" spans="1:16" s="124" customFormat="1">
      <c r="A4" s="125">
        <v>1</v>
      </c>
      <c r="B4" s="125">
        <v>2</v>
      </c>
      <c r="C4" s="125">
        <v>3</v>
      </c>
      <c r="D4" s="125">
        <v>4</v>
      </c>
      <c r="E4" s="125">
        <v>5</v>
      </c>
      <c r="F4" s="125">
        <v>6</v>
      </c>
      <c r="G4" s="125">
        <v>7</v>
      </c>
      <c r="H4" s="125">
        <v>8</v>
      </c>
    </row>
    <row r="5" spans="1:16" s="124" customFormat="1" ht="121.5" customHeight="1">
      <c r="A5" s="125">
        <v>1</v>
      </c>
      <c r="B5" s="127" t="s">
        <v>649</v>
      </c>
      <c r="C5" s="125" t="s">
        <v>1063</v>
      </c>
      <c r="D5" s="128" t="s">
        <v>1167</v>
      </c>
      <c r="E5" s="128" t="s">
        <v>1166</v>
      </c>
      <c r="F5" s="128" t="s">
        <v>1166</v>
      </c>
      <c r="G5" s="128" t="s">
        <v>1166</v>
      </c>
      <c r="H5" s="128" t="s">
        <v>1166</v>
      </c>
    </row>
    <row r="6" spans="1:16" s="124" customFormat="1" ht="24" customHeight="1">
      <c r="B6" s="129"/>
    </row>
    <row r="7" spans="1:16" s="124" customFormat="1" ht="24" customHeight="1">
      <c r="B7" s="129"/>
    </row>
    <row r="8" spans="1:16" s="72" customFormat="1" ht="18.75" customHeight="1">
      <c r="A8" s="294" t="s">
        <v>650</v>
      </c>
      <c r="B8" s="294"/>
      <c r="C8" s="294"/>
      <c r="D8" s="294"/>
      <c r="E8" s="130"/>
      <c r="F8" s="131"/>
      <c r="G8" s="136" t="s">
        <v>127</v>
      </c>
      <c r="H8" s="131"/>
      <c r="I8" s="131"/>
      <c r="J8" s="130"/>
    </row>
    <row r="9" spans="1:16" s="72" customFormat="1" ht="21" customHeight="1">
      <c r="A9" s="206" t="s">
        <v>164</v>
      </c>
      <c r="B9" s="206"/>
      <c r="C9" s="206"/>
      <c r="D9" s="206"/>
      <c r="F9" s="105"/>
      <c r="G9" s="132" t="s">
        <v>128</v>
      </c>
      <c r="H9" s="105"/>
      <c r="I9" s="105"/>
    </row>
    <row r="10" spans="1:16" s="73" customFormat="1" ht="15"/>
    <row r="11" spans="1:16" s="73" customFormat="1" ht="15"/>
    <row r="12" spans="1:16" s="73" customFormat="1" ht="15"/>
    <row r="13" spans="1:16" s="73" customFormat="1" ht="15">
      <c r="C13" s="51"/>
    </row>
    <row r="14" spans="1:16" s="73" customFormat="1" ht="15">
      <c r="C14" s="51"/>
    </row>
  </sheetData>
  <mergeCells count="4">
    <mergeCell ref="A1:H1"/>
    <mergeCell ref="A2:H2"/>
    <mergeCell ref="A8:D8"/>
    <mergeCell ref="A9:D9"/>
  </mergeCells>
  <pageMargins left="0.73" right="0.15" top="0.46" bottom="0.39" header="0.3" footer="0.16"/>
  <pageSetup paperSize="5" orientation="landscape" r:id="rId1"/>
  <headerFooter>
    <oddFooter>&amp;L&amp;Z&amp;F&amp;R&amp;P to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theme="9" tint="-0.249977111117893"/>
  </sheetPr>
  <dimension ref="A1:P14"/>
  <sheetViews>
    <sheetView workbookViewId="0">
      <selection activeCell="F6" sqref="F6"/>
    </sheetView>
  </sheetViews>
  <sheetFormatPr defaultRowHeight="15.75"/>
  <cols>
    <col min="1" max="1" width="8" style="122" customWidth="1"/>
    <col min="2" max="2" width="16.42578125" style="133" customWidth="1"/>
    <col min="3" max="3" width="8.7109375" style="122" customWidth="1"/>
    <col min="4" max="4" width="12.85546875" style="122" customWidth="1"/>
    <col min="5" max="5" width="18.28515625" style="122" customWidth="1"/>
    <col min="6" max="6" width="15.85546875" style="122" customWidth="1"/>
    <col min="7" max="7" width="7.140625" style="122" customWidth="1"/>
    <col min="8" max="8" width="40.28515625" style="122" customWidth="1"/>
    <col min="9" max="9" width="10.7109375" style="122" customWidth="1"/>
    <col min="10" max="10" width="14.85546875" style="122" customWidth="1"/>
    <col min="11" max="11" width="10.7109375" style="122" customWidth="1"/>
    <col min="12" max="13" width="9.42578125" style="122" customWidth="1"/>
    <col min="14" max="14" width="6.85546875" style="122" bestFit="1" customWidth="1"/>
    <col min="15" max="15" width="9.42578125" style="122" customWidth="1"/>
    <col min="16" max="16" width="10.28515625" style="122" customWidth="1"/>
    <col min="17" max="219" width="9.140625" style="122"/>
    <col min="220" max="220" width="4.85546875" style="122" customWidth="1"/>
    <col min="221" max="221" width="5.140625" style="122" customWidth="1"/>
    <col min="222" max="222" width="13.7109375" style="122" customWidth="1"/>
    <col min="223" max="223" width="9.42578125" style="122" customWidth="1"/>
    <col min="224" max="224" width="7.85546875" style="122" bestFit="1" customWidth="1"/>
    <col min="225" max="225" width="9.42578125" style="122" customWidth="1"/>
    <col min="226" max="226" width="7.42578125" style="122" customWidth="1"/>
    <col min="227" max="227" width="7.85546875" style="122" customWidth="1"/>
    <col min="228" max="228" width="11" style="122" customWidth="1"/>
    <col min="229" max="229" width="7.5703125" style="122" customWidth="1"/>
    <col min="230" max="230" width="3.28515625" style="122" customWidth="1"/>
    <col min="231" max="231" width="5.85546875" style="122" customWidth="1"/>
    <col min="232" max="232" width="6.5703125" style="122" customWidth="1"/>
    <col min="233" max="233" width="3.28515625" style="122" customWidth="1"/>
    <col min="234" max="234" width="5.85546875" style="122" customWidth="1"/>
    <col min="235" max="235" width="6.5703125" style="122" customWidth="1"/>
    <col min="236" max="236" width="3.28515625" style="122" customWidth="1"/>
    <col min="237" max="237" width="5.85546875" style="122" customWidth="1"/>
    <col min="238" max="238" width="6.5703125" style="122" customWidth="1"/>
    <col min="239" max="239" width="3.28515625" style="122" customWidth="1"/>
    <col min="240" max="240" width="5.85546875" style="122" customWidth="1"/>
    <col min="241" max="241" width="6.5703125" style="122" customWidth="1"/>
    <col min="242" max="242" width="3.28515625" style="122" customWidth="1"/>
    <col min="243" max="243" width="5.85546875" style="122" customWidth="1"/>
    <col min="244" max="244" width="6.5703125" style="122" customWidth="1"/>
    <col min="245" max="245" width="3.28515625" style="122" customWidth="1"/>
    <col min="246" max="246" width="5.85546875" style="122" customWidth="1"/>
    <col min="247" max="247" width="6.5703125" style="122" customWidth="1"/>
    <col min="248" max="248" width="3.28515625" style="122" customWidth="1"/>
    <col min="249" max="249" width="5.85546875" style="122" customWidth="1"/>
    <col min="250" max="250" width="6.5703125" style="122" customWidth="1"/>
    <col min="251" max="251" width="3.28515625" style="122" customWidth="1"/>
    <col min="252" max="252" width="5.85546875" style="122" customWidth="1"/>
    <col min="253" max="253" width="6.5703125" style="122" customWidth="1"/>
    <col min="254" max="254" width="3.28515625" style="122" customWidth="1"/>
    <col min="255" max="255" width="5.85546875" style="122" customWidth="1"/>
    <col min="256" max="256" width="6.5703125" style="122" customWidth="1"/>
    <col min="257" max="257" width="3.28515625" style="122" customWidth="1"/>
    <col min="258" max="258" width="5.85546875" style="122" customWidth="1"/>
    <col min="259" max="259" width="6.5703125" style="122" customWidth="1"/>
    <col min="260" max="260" width="3.28515625" style="122" customWidth="1"/>
    <col min="261" max="261" width="5.85546875" style="122" customWidth="1"/>
    <col min="262" max="262" width="6.5703125" style="122" customWidth="1"/>
    <col min="263" max="263" width="3.28515625" style="122" customWidth="1"/>
    <col min="264" max="264" width="5.85546875" style="122" customWidth="1"/>
    <col min="265" max="265" width="6.5703125" style="122" customWidth="1"/>
    <col min="266" max="266" width="3.28515625" style="122" customWidth="1"/>
    <col min="267" max="267" width="5.85546875" style="122" customWidth="1"/>
    <col min="268" max="268" width="6.5703125" style="122" customWidth="1"/>
    <col min="269" max="269" width="3.28515625" style="122" customWidth="1"/>
    <col min="270" max="270" width="5.85546875" style="122" customWidth="1"/>
    <col min="271" max="271" width="6.5703125" style="122" customWidth="1"/>
    <col min="272" max="272" width="9.42578125" style="122" customWidth="1"/>
    <col min="273" max="475" width="9.140625" style="122"/>
    <col min="476" max="476" width="4.85546875" style="122" customWidth="1"/>
    <col min="477" max="477" width="5.140625" style="122" customWidth="1"/>
    <col min="478" max="478" width="13.7109375" style="122" customWidth="1"/>
    <col min="479" max="479" width="9.42578125" style="122" customWidth="1"/>
    <col min="480" max="480" width="7.85546875" style="122" bestFit="1" customWidth="1"/>
    <col min="481" max="481" width="9.42578125" style="122" customWidth="1"/>
    <col min="482" max="482" width="7.42578125" style="122" customWidth="1"/>
    <col min="483" max="483" width="7.85546875" style="122" customWidth="1"/>
    <col min="484" max="484" width="11" style="122" customWidth="1"/>
    <col min="485" max="485" width="7.5703125" style="122" customWidth="1"/>
    <col min="486" max="486" width="3.28515625" style="122" customWidth="1"/>
    <col min="487" max="487" width="5.85546875" style="122" customWidth="1"/>
    <col min="488" max="488" width="6.5703125" style="122" customWidth="1"/>
    <col min="489" max="489" width="3.28515625" style="122" customWidth="1"/>
    <col min="490" max="490" width="5.85546875" style="122" customWidth="1"/>
    <col min="491" max="491" width="6.5703125" style="122" customWidth="1"/>
    <col min="492" max="492" width="3.28515625" style="122" customWidth="1"/>
    <col min="493" max="493" width="5.85546875" style="122" customWidth="1"/>
    <col min="494" max="494" width="6.5703125" style="122" customWidth="1"/>
    <col min="495" max="495" width="3.28515625" style="122" customWidth="1"/>
    <col min="496" max="496" width="5.85546875" style="122" customWidth="1"/>
    <col min="497" max="497" width="6.5703125" style="122" customWidth="1"/>
    <col min="498" max="498" width="3.28515625" style="122" customWidth="1"/>
    <col min="499" max="499" width="5.85546875" style="122" customWidth="1"/>
    <col min="500" max="500" width="6.5703125" style="122" customWidth="1"/>
    <col min="501" max="501" width="3.28515625" style="122" customWidth="1"/>
    <col min="502" max="502" width="5.85546875" style="122" customWidth="1"/>
    <col min="503" max="503" width="6.5703125" style="122" customWidth="1"/>
    <col min="504" max="504" width="3.28515625" style="122" customWidth="1"/>
    <col min="505" max="505" width="5.85546875" style="122" customWidth="1"/>
    <col min="506" max="506" width="6.5703125" style="122" customWidth="1"/>
    <col min="507" max="507" width="3.28515625" style="122" customWidth="1"/>
    <col min="508" max="508" width="5.85546875" style="122" customWidth="1"/>
    <col min="509" max="509" width="6.5703125" style="122" customWidth="1"/>
    <col min="510" max="510" width="3.28515625" style="122" customWidth="1"/>
    <col min="511" max="511" width="5.85546875" style="122" customWidth="1"/>
    <col min="512" max="512" width="6.5703125" style="122" customWidth="1"/>
    <col min="513" max="513" width="3.28515625" style="122" customWidth="1"/>
    <col min="514" max="514" width="5.85546875" style="122" customWidth="1"/>
    <col min="515" max="515" width="6.5703125" style="122" customWidth="1"/>
    <col min="516" max="516" width="3.28515625" style="122" customWidth="1"/>
    <col min="517" max="517" width="5.85546875" style="122" customWidth="1"/>
    <col min="518" max="518" width="6.5703125" style="122" customWidth="1"/>
    <col min="519" max="519" width="3.28515625" style="122" customWidth="1"/>
    <col min="520" max="520" width="5.85546875" style="122" customWidth="1"/>
    <col min="521" max="521" width="6.5703125" style="122" customWidth="1"/>
    <col min="522" max="522" width="3.28515625" style="122" customWidth="1"/>
    <col min="523" max="523" width="5.85546875" style="122" customWidth="1"/>
    <col min="524" max="524" width="6.5703125" style="122" customWidth="1"/>
    <col min="525" max="525" width="3.28515625" style="122" customWidth="1"/>
    <col min="526" max="526" width="5.85546875" style="122" customWidth="1"/>
    <col min="527" max="527" width="6.5703125" style="122" customWidth="1"/>
    <col min="528" max="528" width="9.42578125" style="122" customWidth="1"/>
    <col min="529" max="731" width="9.140625" style="122"/>
    <col min="732" max="732" width="4.85546875" style="122" customWidth="1"/>
    <col min="733" max="733" width="5.140625" style="122" customWidth="1"/>
    <col min="734" max="734" width="13.7109375" style="122" customWidth="1"/>
    <col min="735" max="735" width="9.42578125" style="122" customWidth="1"/>
    <col min="736" max="736" width="7.85546875" style="122" bestFit="1" customWidth="1"/>
    <col min="737" max="737" width="9.42578125" style="122" customWidth="1"/>
    <col min="738" max="738" width="7.42578125" style="122" customWidth="1"/>
    <col min="739" max="739" width="7.85546875" style="122" customWidth="1"/>
    <col min="740" max="740" width="11" style="122" customWidth="1"/>
    <col min="741" max="741" width="7.5703125" style="122" customWidth="1"/>
    <col min="742" max="742" width="3.28515625" style="122" customWidth="1"/>
    <col min="743" max="743" width="5.85546875" style="122" customWidth="1"/>
    <col min="744" max="744" width="6.5703125" style="122" customWidth="1"/>
    <col min="745" max="745" width="3.28515625" style="122" customWidth="1"/>
    <col min="746" max="746" width="5.85546875" style="122" customWidth="1"/>
    <col min="747" max="747" width="6.5703125" style="122" customWidth="1"/>
    <col min="748" max="748" width="3.28515625" style="122" customWidth="1"/>
    <col min="749" max="749" width="5.85546875" style="122" customWidth="1"/>
    <col min="750" max="750" width="6.5703125" style="122" customWidth="1"/>
    <col min="751" max="751" width="3.28515625" style="122" customWidth="1"/>
    <col min="752" max="752" width="5.85546875" style="122" customWidth="1"/>
    <col min="753" max="753" width="6.5703125" style="122" customWidth="1"/>
    <col min="754" max="754" width="3.28515625" style="122" customWidth="1"/>
    <col min="755" max="755" width="5.85546875" style="122" customWidth="1"/>
    <col min="756" max="756" width="6.5703125" style="122" customWidth="1"/>
    <col min="757" max="757" width="3.28515625" style="122" customWidth="1"/>
    <col min="758" max="758" width="5.85546875" style="122" customWidth="1"/>
    <col min="759" max="759" width="6.5703125" style="122" customWidth="1"/>
    <col min="760" max="760" width="3.28515625" style="122" customWidth="1"/>
    <col min="761" max="761" width="5.85546875" style="122" customWidth="1"/>
    <col min="762" max="762" width="6.5703125" style="122" customWidth="1"/>
    <col min="763" max="763" width="3.28515625" style="122" customWidth="1"/>
    <col min="764" max="764" width="5.85546875" style="122" customWidth="1"/>
    <col min="765" max="765" width="6.5703125" style="122" customWidth="1"/>
    <col min="766" max="766" width="3.28515625" style="122" customWidth="1"/>
    <col min="767" max="767" width="5.85546875" style="122" customWidth="1"/>
    <col min="768" max="768" width="6.5703125" style="122" customWidth="1"/>
    <col min="769" max="769" width="3.28515625" style="122" customWidth="1"/>
    <col min="770" max="770" width="5.85546875" style="122" customWidth="1"/>
    <col min="771" max="771" width="6.5703125" style="122" customWidth="1"/>
    <col min="772" max="772" width="3.28515625" style="122" customWidth="1"/>
    <col min="773" max="773" width="5.85546875" style="122" customWidth="1"/>
    <col min="774" max="774" width="6.5703125" style="122" customWidth="1"/>
    <col min="775" max="775" width="3.28515625" style="122" customWidth="1"/>
    <col min="776" max="776" width="5.85546875" style="122" customWidth="1"/>
    <col min="777" max="777" width="6.5703125" style="122" customWidth="1"/>
    <col min="778" max="778" width="3.28515625" style="122" customWidth="1"/>
    <col min="779" max="779" width="5.85546875" style="122" customWidth="1"/>
    <col min="780" max="780" width="6.5703125" style="122" customWidth="1"/>
    <col min="781" max="781" width="3.28515625" style="122" customWidth="1"/>
    <col min="782" max="782" width="5.85546875" style="122" customWidth="1"/>
    <col min="783" max="783" width="6.5703125" style="122" customWidth="1"/>
    <col min="784" max="784" width="9.42578125" style="122" customWidth="1"/>
    <col min="785" max="987" width="9.140625" style="122"/>
    <col min="988" max="988" width="4.85546875" style="122" customWidth="1"/>
    <col min="989" max="989" width="5.140625" style="122" customWidth="1"/>
    <col min="990" max="990" width="13.7109375" style="122" customWidth="1"/>
    <col min="991" max="991" width="9.42578125" style="122" customWidth="1"/>
    <col min="992" max="992" width="7.85546875" style="122" bestFit="1" customWidth="1"/>
    <col min="993" max="993" width="9.42578125" style="122" customWidth="1"/>
    <col min="994" max="994" width="7.42578125" style="122" customWidth="1"/>
    <col min="995" max="995" width="7.85546875" style="122" customWidth="1"/>
    <col min="996" max="996" width="11" style="122" customWidth="1"/>
    <col min="997" max="997" width="7.5703125" style="122" customWidth="1"/>
    <col min="998" max="998" width="3.28515625" style="122" customWidth="1"/>
    <col min="999" max="999" width="5.85546875" style="122" customWidth="1"/>
    <col min="1000" max="1000" width="6.5703125" style="122" customWidth="1"/>
    <col min="1001" max="1001" width="3.28515625" style="122" customWidth="1"/>
    <col min="1002" max="1002" width="5.85546875" style="122" customWidth="1"/>
    <col min="1003" max="1003" width="6.5703125" style="122" customWidth="1"/>
    <col min="1004" max="1004" width="3.28515625" style="122" customWidth="1"/>
    <col min="1005" max="1005" width="5.85546875" style="122" customWidth="1"/>
    <col min="1006" max="1006" width="6.5703125" style="122" customWidth="1"/>
    <col min="1007" max="1007" width="3.28515625" style="122" customWidth="1"/>
    <col min="1008" max="1008" width="5.85546875" style="122" customWidth="1"/>
    <col min="1009" max="1009" width="6.5703125" style="122" customWidth="1"/>
    <col min="1010" max="1010" width="3.28515625" style="122" customWidth="1"/>
    <col min="1011" max="1011" width="5.85546875" style="122" customWidth="1"/>
    <col min="1012" max="1012" width="6.5703125" style="122" customWidth="1"/>
    <col min="1013" max="1013" width="3.28515625" style="122" customWidth="1"/>
    <col min="1014" max="1014" width="5.85546875" style="122" customWidth="1"/>
    <col min="1015" max="1015" width="6.5703125" style="122" customWidth="1"/>
    <col min="1016" max="1016" width="3.28515625" style="122" customWidth="1"/>
    <col min="1017" max="1017" width="5.85546875" style="122" customWidth="1"/>
    <col min="1018" max="1018" width="6.5703125" style="122" customWidth="1"/>
    <col min="1019" max="1019" width="3.28515625" style="122" customWidth="1"/>
    <col min="1020" max="1020" width="5.85546875" style="122" customWidth="1"/>
    <col min="1021" max="1021" width="6.5703125" style="122" customWidth="1"/>
    <col min="1022" max="1022" width="3.28515625" style="122" customWidth="1"/>
    <col min="1023" max="1023" width="5.85546875" style="122" customWidth="1"/>
    <col min="1024" max="1024" width="6.5703125" style="122" customWidth="1"/>
    <col min="1025" max="1025" width="3.28515625" style="122" customWidth="1"/>
    <col min="1026" max="1026" width="5.85546875" style="122" customWidth="1"/>
    <col min="1027" max="1027" width="6.5703125" style="122" customWidth="1"/>
    <col min="1028" max="1028" width="3.28515625" style="122" customWidth="1"/>
    <col min="1029" max="1029" width="5.85546875" style="122" customWidth="1"/>
    <col min="1030" max="1030" width="6.5703125" style="122" customWidth="1"/>
    <col min="1031" max="1031" width="3.28515625" style="122" customWidth="1"/>
    <col min="1032" max="1032" width="5.85546875" style="122" customWidth="1"/>
    <col min="1033" max="1033" width="6.5703125" style="122" customWidth="1"/>
    <col min="1034" max="1034" width="3.28515625" style="122" customWidth="1"/>
    <col min="1035" max="1035" width="5.85546875" style="122" customWidth="1"/>
    <col min="1036" max="1036" width="6.5703125" style="122" customWidth="1"/>
    <col min="1037" max="1037" width="3.28515625" style="122" customWidth="1"/>
    <col min="1038" max="1038" width="5.85546875" style="122" customWidth="1"/>
    <col min="1039" max="1039" width="6.5703125" style="122" customWidth="1"/>
    <col min="1040" max="1040" width="9.42578125" style="122" customWidth="1"/>
    <col min="1041" max="1243" width="9.140625" style="122"/>
    <col min="1244" max="1244" width="4.85546875" style="122" customWidth="1"/>
    <col min="1245" max="1245" width="5.140625" style="122" customWidth="1"/>
    <col min="1246" max="1246" width="13.7109375" style="122" customWidth="1"/>
    <col min="1247" max="1247" width="9.42578125" style="122" customWidth="1"/>
    <col min="1248" max="1248" width="7.85546875" style="122" bestFit="1" customWidth="1"/>
    <col min="1249" max="1249" width="9.42578125" style="122" customWidth="1"/>
    <col min="1250" max="1250" width="7.42578125" style="122" customWidth="1"/>
    <col min="1251" max="1251" width="7.85546875" style="122" customWidth="1"/>
    <col min="1252" max="1252" width="11" style="122" customWidth="1"/>
    <col min="1253" max="1253" width="7.5703125" style="122" customWidth="1"/>
    <col min="1254" max="1254" width="3.28515625" style="122" customWidth="1"/>
    <col min="1255" max="1255" width="5.85546875" style="122" customWidth="1"/>
    <col min="1256" max="1256" width="6.5703125" style="122" customWidth="1"/>
    <col min="1257" max="1257" width="3.28515625" style="122" customWidth="1"/>
    <col min="1258" max="1258" width="5.85546875" style="122" customWidth="1"/>
    <col min="1259" max="1259" width="6.5703125" style="122" customWidth="1"/>
    <col min="1260" max="1260" width="3.28515625" style="122" customWidth="1"/>
    <col min="1261" max="1261" width="5.85546875" style="122" customWidth="1"/>
    <col min="1262" max="1262" width="6.5703125" style="122" customWidth="1"/>
    <col min="1263" max="1263" width="3.28515625" style="122" customWidth="1"/>
    <col min="1264" max="1264" width="5.85546875" style="122" customWidth="1"/>
    <col min="1265" max="1265" width="6.5703125" style="122" customWidth="1"/>
    <col min="1266" max="1266" width="3.28515625" style="122" customWidth="1"/>
    <col min="1267" max="1267" width="5.85546875" style="122" customWidth="1"/>
    <col min="1268" max="1268" width="6.5703125" style="122" customWidth="1"/>
    <col min="1269" max="1269" width="3.28515625" style="122" customWidth="1"/>
    <col min="1270" max="1270" width="5.85546875" style="122" customWidth="1"/>
    <col min="1271" max="1271" width="6.5703125" style="122" customWidth="1"/>
    <col min="1272" max="1272" width="3.28515625" style="122" customWidth="1"/>
    <col min="1273" max="1273" width="5.85546875" style="122" customWidth="1"/>
    <col min="1274" max="1274" width="6.5703125" style="122" customWidth="1"/>
    <col min="1275" max="1275" width="3.28515625" style="122" customWidth="1"/>
    <col min="1276" max="1276" width="5.85546875" style="122" customWidth="1"/>
    <col min="1277" max="1277" width="6.5703125" style="122" customWidth="1"/>
    <col min="1278" max="1278" width="3.28515625" style="122" customWidth="1"/>
    <col min="1279" max="1279" width="5.85546875" style="122" customWidth="1"/>
    <col min="1280" max="1280" width="6.5703125" style="122" customWidth="1"/>
    <col min="1281" max="1281" width="3.28515625" style="122" customWidth="1"/>
    <col min="1282" max="1282" width="5.85546875" style="122" customWidth="1"/>
    <col min="1283" max="1283" width="6.5703125" style="122" customWidth="1"/>
    <col min="1284" max="1284" width="3.28515625" style="122" customWidth="1"/>
    <col min="1285" max="1285" width="5.85546875" style="122" customWidth="1"/>
    <col min="1286" max="1286" width="6.5703125" style="122" customWidth="1"/>
    <col min="1287" max="1287" width="3.28515625" style="122" customWidth="1"/>
    <col min="1288" max="1288" width="5.85546875" style="122" customWidth="1"/>
    <col min="1289" max="1289" width="6.5703125" style="122" customWidth="1"/>
    <col min="1290" max="1290" width="3.28515625" style="122" customWidth="1"/>
    <col min="1291" max="1291" width="5.85546875" style="122" customWidth="1"/>
    <col min="1292" max="1292" width="6.5703125" style="122" customWidth="1"/>
    <col min="1293" max="1293" width="3.28515625" style="122" customWidth="1"/>
    <col min="1294" max="1294" width="5.85546875" style="122" customWidth="1"/>
    <col min="1295" max="1295" width="6.5703125" style="122" customWidth="1"/>
    <col min="1296" max="1296" width="9.42578125" style="122" customWidth="1"/>
    <col min="1297" max="1499" width="9.140625" style="122"/>
    <col min="1500" max="1500" width="4.85546875" style="122" customWidth="1"/>
    <col min="1501" max="1501" width="5.140625" style="122" customWidth="1"/>
    <col min="1502" max="1502" width="13.7109375" style="122" customWidth="1"/>
    <col min="1503" max="1503" width="9.42578125" style="122" customWidth="1"/>
    <col min="1504" max="1504" width="7.85546875" style="122" bestFit="1" customWidth="1"/>
    <col min="1505" max="1505" width="9.42578125" style="122" customWidth="1"/>
    <col min="1506" max="1506" width="7.42578125" style="122" customWidth="1"/>
    <col min="1507" max="1507" width="7.85546875" style="122" customWidth="1"/>
    <col min="1508" max="1508" width="11" style="122" customWidth="1"/>
    <col min="1509" max="1509" width="7.5703125" style="122" customWidth="1"/>
    <col min="1510" max="1510" width="3.28515625" style="122" customWidth="1"/>
    <col min="1511" max="1511" width="5.85546875" style="122" customWidth="1"/>
    <col min="1512" max="1512" width="6.5703125" style="122" customWidth="1"/>
    <col min="1513" max="1513" width="3.28515625" style="122" customWidth="1"/>
    <col min="1514" max="1514" width="5.85546875" style="122" customWidth="1"/>
    <col min="1515" max="1515" width="6.5703125" style="122" customWidth="1"/>
    <col min="1516" max="1516" width="3.28515625" style="122" customWidth="1"/>
    <col min="1517" max="1517" width="5.85546875" style="122" customWidth="1"/>
    <col min="1518" max="1518" width="6.5703125" style="122" customWidth="1"/>
    <col min="1519" max="1519" width="3.28515625" style="122" customWidth="1"/>
    <col min="1520" max="1520" width="5.85546875" style="122" customWidth="1"/>
    <col min="1521" max="1521" width="6.5703125" style="122" customWidth="1"/>
    <col min="1522" max="1522" width="3.28515625" style="122" customWidth="1"/>
    <col min="1523" max="1523" width="5.85546875" style="122" customWidth="1"/>
    <col min="1524" max="1524" width="6.5703125" style="122" customWidth="1"/>
    <col min="1525" max="1525" width="3.28515625" style="122" customWidth="1"/>
    <col min="1526" max="1526" width="5.85546875" style="122" customWidth="1"/>
    <col min="1527" max="1527" width="6.5703125" style="122" customWidth="1"/>
    <col min="1528" max="1528" width="3.28515625" style="122" customWidth="1"/>
    <col min="1529" max="1529" width="5.85546875" style="122" customWidth="1"/>
    <col min="1530" max="1530" width="6.5703125" style="122" customWidth="1"/>
    <col min="1531" max="1531" width="3.28515625" style="122" customWidth="1"/>
    <col min="1532" max="1532" width="5.85546875" style="122" customWidth="1"/>
    <col min="1533" max="1533" width="6.5703125" style="122" customWidth="1"/>
    <col min="1534" max="1534" width="3.28515625" style="122" customWidth="1"/>
    <col min="1535" max="1535" width="5.85546875" style="122" customWidth="1"/>
    <col min="1536" max="1536" width="6.5703125" style="122" customWidth="1"/>
    <col min="1537" max="1537" width="3.28515625" style="122" customWidth="1"/>
    <col min="1538" max="1538" width="5.85546875" style="122" customWidth="1"/>
    <col min="1539" max="1539" width="6.5703125" style="122" customWidth="1"/>
    <col min="1540" max="1540" width="3.28515625" style="122" customWidth="1"/>
    <col min="1541" max="1541" width="5.85546875" style="122" customWidth="1"/>
    <col min="1542" max="1542" width="6.5703125" style="122" customWidth="1"/>
    <col min="1543" max="1543" width="3.28515625" style="122" customWidth="1"/>
    <col min="1544" max="1544" width="5.85546875" style="122" customWidth="1"/>
    <col min="1545" max="1545" width="6.5703125" style="122" customWidth="1"/>
    <col min="1546" max="1546" width="3.28515625" style="122" customWidth="1"/>
    <col min="1547" max="1547" width="5.85546875" style="122" customWidth="1"/>
    <col min="1548" max="1548" width="6.5703125" style="122" customWidth="1"/>
    <col min="1549" max="1549" width="3.28515625" style="122" customWidth="1"/>
    <col min="1550" max="1550" width="5.85546875" style="122" customWidth="1"/>
    <col min="1551" max="1551" width="6.5703125" style="122" customWidth="1"/>
    <col min="1552" max="1552" width="9.42578125" style="122" customWidth="1"/>
    <col min="1553" max="1755" width="9.140625" style="122"/>
    <col min="1756" max="1756" width="4.85546875" style="122" customWidth="1"/>
    <col min="1757" max="1757" width="5.140625" style="122" customWidth="1"/>
    <col min="1758" max="1758" width="13.7109375" style="122" customWidth="1"/>
    <col min="1759" max="1759" width="9.42578125" style="122" customWidth="1"/>
    <col min="1760" max="1760" width="7.85546875" style="122" bestFit="1" customWidth="1"/>
    <col min="1761" max="1761" width="9.42578125" style="122" customWidth="1"/>
    <col min="1762" max="1762" width="7.42578125" style="122" customWidth="1"/>
    <col min="1763" max="1763" width="7.85546875" style="122" customWidth="1"/>
    <col min="1764" max="1764" width="11" style="122" customWidth="1"/>
    <col min="1765" max="1765" width="7.5703125" style="122" customWidth="1"/>
    <col min="1766" max="1766" width="3.28515625" style="122" customWidth="1"/>
    <col min="1767" max="1767" width="5.85546875" style="122" customWidth="1"/>
    <col min="1768" max="1768" width="6.5703125" style="122" customWidth="1"/>
    <col min="1769" max="1769" width="3.28515625" style="122" customWidth="1"/>
    <col min="1770" max="1770" width="5.85546875" style="122" customWidth="1"/>
    <col min="1771" max="1771" width="6.5703125" style="122" customWidth="1"/>
    <col min="1772" max="1772" width="3.28515625" style="122" customWidth="1"/>
    <col min="1773" max="1773" width="5.85546875" style="122" customWidth="1"/>
    <col min="1774" max="1774" width="6.5703125" style="122" customWidth="1"/>
    <col min="1775" max="1775" width="3.28515625" style="122" customWidth="1"/>
    <col min="1776" max="1776" width="5.85546875" style="122" customWidth="1"/>
    <col min="1777" max="1777" width="6.5703125" style="122" customWidth="1"/>
    <col min="1778" max="1778" width="3.28515625" style="122" customWidth="1"/>
    <col min="1779" max="1779" width="5.85546875" style="122" customWidth="1"/>
    <col min="1780" max="1780" width="6.5703125" style="122" customWidth="1"/>
    <col min="1781" max="1781" width="3.28515625" style="122" customWidth="1"/>
    <col min="1782" max="1782" width="5.85546875" style="122" customWidth="1"/>
    <col min="1783" max="1783" width="6.5703125" style="122" customWidth="1"/>
    <col min="1784" max="1784" width="3.28515625" style="122" customWidth="1"/>
    <col min="1785" max="1785" width="5.85546875" style="122" customWidth="1"/>
    <col min="1786" max="1786" width="6.5703125" style="122" customWidth="1"/>
    <col min="1787" max="1787" width="3.28515625" style="122" customWidth="1"/>
    <col min="1788" max="1788" width="5.85546875" style="122" customWidth="1"/>
    <col min="1789" max="1789" width="6.5703125" style="122" customWidth="1"/>
    <col min="1790" max="1790" width="3.28515625" style="122" customWidth="1"/>
    <col min="1791" max="1791" width="5.85546875" style="122" customWidth="1"/>
    <col min="1792" max="1792" width="6.5703125" style="122" customWidth="1"/>
    <col min="1793" max="1793" width="3.28515625" style="122" customWidth="1"/>
    <col min="1794" max="1794" width="5.85546875" style="122" customWidth="1"/>
    <col min="1795" max="1795" width="6.5703125" style="122" customWidth="1"/>
    <col min="1796" max="1796" width="3.28515625" style="122" customWidth="1"/>
    <col min="1797" max="1797" width="5.85546875" style="122" customWidth="1"/>
    <col min="1798" max="1798" width="6.5703125" style="122" customWidth="1"/>
    <col min="1799" max="1799" width="3.28515625" style="122" customWidth="1"/>
    <col min="1800" max="1800" width="5.85546875" style="122" customWidth="1"/>
    <col min="1801" max="1801" width="6.5703125" style="122" customWidth="1"/>
    <col min="1802" max="1802" width="3.28515625" style="122" customWidth="1"/>
    <col min="1803" max="1803" width="5.85546875" style="122" customWidth="1"/>
    <col min="1804" max="1804" width="6.5703125" style="122" customWidth="1"/>
    <col min="1805" max="1805" width="3.28515625" style="122" customWidth="1"/>
    <col min="1806" max="1806" width="5.85546875" style="122" customWidth="1"/>
    <col min="1807" max="1807" width="6.5703125" style="122" customWidth="1"/>
    <col min="1808" max="1808" width="9.42578125" style="122" customWidth="1"/>
    <col min="1809" max="2011" width="9.140625" style="122"/>
    <col min="2012" max="2012" width="4.85546875" style="122" customWidth="1"/>
    <col min="2013" max="2013" width="5.140625" style="122" customWidth="1"/>
    <col min="2014" max="2014" width="13.7109375" style="122" customWidth="1"/>
    <col min="2015" max="2015" width="9.42578125" style="122" customWidth="1"/>
    <col min="2016" max="2016" width="7.85546875" style="122" bestFit="1" customWidth="1"/>
    <col min="2017" max="2017" width="9.42578125" style="122" customWidth="1"/>
    <col min="2018" max="2018" width="7.42578125" style="122" customWidth="1"/>
    <col min="2019" max="2019" width="7.85546875" style="122" customWidth="1"/>
    <col min="2020" max="2020" width="11" style="122" customWidth="1"/>
    <col min="2021" max="2021" width="7.5703125" style="122" customWidth="1"/>
    <col min="2022" max="2022" width="3.28515625" style="122" customWidth="1"/>
    <col min="2023" max="2023" width="5.85546875" style="122" customWidth="1"/>
    <col min="2024" max="2024" width="6.5703125" style="122" customWidth="1"/>
    <col min="2025" max="2025" width="3.28515625" style="122" customWidth="1"/>
    <col min="2026" max="2026" width="5.85546875" style="122" customWidth="1"/>
    <col min="2027" max="2027" width="6.5703125" style="122" customWidth="1"/>
    <col min="2028" max="2028" width="3.28515625" style="122" customWidth="1"/>
    <col min="2029" max="2029" width="5.85546875" style="122" customWidth="1"/>
    <col min="2030" max="2030" width="6.5703125" style="122" customWidth="1"/>
    <col min="2031" max="2031" width="3.28515625" style="122" customWidth="1"/>
    <col min="2032" max="2032" width="5.85546875" style="122" customWidth="1"/>
    <col min="2033" max="2033" width="6.5703125" style="122" customWidth="1"/>
    <col min="2034" max="2034" width="3.28515625" style="122" customWidth="1"/>
    <col min="2035" max="2035" width="5.85546875" style="122" customWidth="1"/>
    <col min="2036" max="2036" width="6.5703125" style="122" customWidth="1"/>
    <col min="2037" max="2037" width="3.28515625" style="122" customWidth="1"/>
    <col min="2038" max="2038" width="5.85546875" style="122" customWidth="1"/>
    <col min="2039" max="2039" width="6.5703125" style="122" customWidth="1"/>
    <col min="2040" max="2040" width="3.28515625" style="122" customWidth="1"/>
    <col min="2041" max="2041" width="5.85546875" style="122" customWidth="1"/>
    <col min="2042" max="2042" width="6.5703125" style="122" customWidth="1"/>
    <col min="2043" max="2043" width="3.28515625" style="122" customWidth="1"/>
    <col min="2044" max="2044" width="5.85546875" style="122" customWidth="1"/>
    <col min="2045" max="2045" width="6.5703125" style="122" customWidth="1"/>
    <col min="2046" max="2046" width="3.28515625" style="122" customWidth="1"/>
    <col min="2047" max="2047" width="5.85546875" style="122" customWidth="1"/>
    <col min="2048" max="2048" width="6.5703125" style="122" customWidth="1"/>
    <col min="2049" max="2049" width="3.28515625" style="122" customWidth="1"/>
    <col min="2050" max="2050" width="5.85546875" style="122" customWidth="1"/>
    <col min="2051" max="2051" width="6.5703125" style="122" customWidth="1"/>
    <col min="2052" max="2052" width="3.28515625" style="122" customWidth="1"/>
    <col min="2053" max="2053" width="5.85546875" style="122" customWidth="1"/>
    <col min="2054" max="2054" width="6.5703125" style="122" customWidth="1"/>
    <col min="2055" max="2055" width="3.28515625" style="122" customWidth="1"/>
    <col min="2056" max="2056" width="5.85546875" style="122" customWidth="1"/>
    <col min="2057" max="2057" width="6.5703125" style="122" customWidth="1"/>
    <col min="2058" max="2058" width="3.28515625" style="122" customWidth="1"/>
    <col min="2059" max="2059" width="5.85546875" style="122" customWidth="1"/>
    <col min="2060" max="2060" width="6.5703125" style="122" customWidth="1"/>
    <col min="2061" max="2061" width="3.28515625" style="122" customWidth="1"/>
    <col min="2062" max="2062" width="5.85546875" style="122" customWidth="1"/>
    <col min="2063" max="2063" width="6.5703125" style="122" customWidth="1"/>
    <col min="2064" max="2064" width="9.42578125" style="122" customWidth="1"/>
    <col min="2065" max="2267" width="9.140625" style="122"/>
    <col min="2268" max="2268" width="4.85546875" style="122" customWidth="1"/>
    <col min="2269" max="2269" width="5.140625" style="122" customWidth="1"/>
    <col min="2270" max="2270" width="13.7109375" style="122" customWidth="1"/>
    <col min="2271" max="2271" width="9.42578125" style="122" customWidth="1"/>
    <col min="2272" max="2272" width="7.85546875" style="122" bestFit="1" customWidth="1"/>
    <col min="2273" max="2273" width="9.42578125" style="122" customWidth="1"/>
    <col min="2274" max="2274" width="7.42578125" style="122" customWidth="1"/>
    <col min="2275" max="2275" width="7.85546875" style="122" customWidth="1"/>
    <col min="2276" max="2276" width="11" style="122" customWidth="1"/>
    <col min="2277" max="2277" width="7.5703125" style="122" customWidth="1"/>
    <col min="2278" max="2278" width="3.28515625" style="122" customWidth="1"/>
    <col min="2279" max="2279" width="5.85546875" style="122" customWidth="1"/>
    <col min="2280" max="2280" width="6.5703125" style="122" customWidth="1"/>
    <col min="2281" max="2281" width="3.28515625" style="122" customWidth="1"/>
    <col min="2282" max="2282" width="5.85546875" style="122" customWidth="1"/>
    <col min="2283" max="2283" width="6.5703125" style="122" customWidth="1"/>
    <col min="2284" max="2284" width="3.28515625" style="122" customWidth="1"/>
    <col min="2285" max="2285" width="5.85546875" style="122" customWidth="1"/>
    <col min="2286" max="2286" width="6.5703125" style="122" customWidth="1"/>
    <col min="2287" max="2287" width="3.28515625" style="122" customWidth="1"/>
    <col min="2288" max="2288" width="5.85546875" style="122" customWidth="1"/>
    <col min="2289" max="2289" width="6.5703125" style="122" customWidth="1"/>
    <col min="2290" max="2290" width="3.28515625" style="122" customWidth="1"/>
    <col min="2291" max="2291" width="5.85546875" style="122" customWidth="1"/>
    <col min="2292" max="2292" width="6.5703125" style="122" customWidth="1"/>
    <col min="2293" max="2293" width="3.28515625" style="122" customWidth="1"/>
    <col min="2294" max="2294" width="5.85546875" style="122" customWidth="1"/>
    <col min="2295" max="2295" width="6.5703125" style="122" customWidth="1"/>
    <col min="2296" max="2296" width="3.28515625" style="122" customWidth="1"/>
    <col min="2297" max="2297" width="5.85546875" style="122" customWidth="1"/>
    <col min="2298" max="2298" width="6.5703125" style="122" customWidth="1"/>
    <col min="2299" max="2299" width="3.28515625" style="122" customWidth="1"/>
    <col min="2300" max="2300" width="5.85546875" style="122" customWidth="1"/>
    <col min="2301" max="2301" width="6.5703125" style="122" customWidth="1"/>
    <col min="2302" max="2302" width="3.28515625" style="122" customWidth="1"/>
    <col min="2303" max="2303" width="5.85546875" style="122" customWidth="1"/>
    <col min="2304" max="2304" width="6.5703125" style="122" customWidth="1"/>
    <col min="2305" max="2305" width="3.28515625" style="122" customWidth="1"/>
    <col min="2306" max="2306" width="5.85546875" style="122" customWidth="1"/>
    <col min="2307" max="2307" width="6.5703125" style="122" customWidth="1"/>
    <col min="2308" max="2308" width="3.28515625" style="122" customWidth="1"/>
    <col min="2309" max="2309" width="5.85546875" style="122" customWidth="1"/>
    <col min="2310" max="2310" width="6.5703125" style="122" customWidth="1"/>
    <col min="2311" max="2311" width="3.28515625" style="122" customWidth="1"/>
    <col min="2312" max="2312" width="5.85546875" style="122" customWidth="1"/>
    <col min="2313" max="2313" width="6.5703125" style="122" customWidth="1"/>
    <col min="2314" max="2314" width="3.28515625" style="122" customWidth="1"/>
    <col min="2315" max="2315" width="5.85546875" style="122" customWidth="1"/>
    <col min="2316" max="2316" width="6.5703125" style="122" customWidth="1"/>
    <col min="2317" max="2317" width="3.28515625" style="122" customWidth="1"/>
    <col min="2318" max="2318" width="5.85546875" style="122" customWidth="1"/>
    <col min="2319" max="2319" width="6.5703125" style="122" customWidth="1"/>
    <col min="2320" max="2320" width="9.42578125" style="122" customWidth="1"/>
    <col min="2321" max="2523" width="9.140625" style="122"/>
    <col min="2524" max="2524" width="4.85546875" style="122" customWidth="1"/>
    <col min="2525" max="2525" width="5.140625" style="122" customWidth="1"/>
    <col min="2526" max="2526" width="13.7109375" style="122" customWidth="1"/>
    <col min="2527" max="2527" width="9.42578125" style="122" customWidth="1"/>
    <col min="2528" max="2528" width="7.85546875" style="122" bestFit="1" customWidth="1"/>
    <col min="2529" max="2529" width="9.42578125" style="122" customWidth="1"/>
    <col min="2530" max="2530" width="7.42578125" style="122" customWidth="1"/>
    <col min="2531" max="2531" width="7.85546875" style="122" customWidth="1"/>
    <col min="2532" max="2532" width="11" style="122" customWidth="1"/>
    <col min="2533" max="2533" width="7.5703125" style="122" customWidth="1"/>
    <col min="2534" max="2534" width="3.28515625" style="122" customWidth="1"/>
    <col min="2535" max="2535" width="5.85546875" style="122" customWidth="1"/>
    <col min="2536" max="2536" width="6.5703125" style="122" customWidth="1"/>
    <col min="2537" max="2537" width="3.28515625" style="122" customWidth="1"/>
    <col min="2538" max="2538" width="5.85546875" style="122" customWidth="1"/>
    <col min="2539" max="2539" width="6.5703125" style="122" customWidth="1"/>
    <col min="2540" max="2540" width="3.28515625" style="122" customWidth="1"/>
    <col min="2541" max="2541" width="5.85546875" style="122" customWidth="1"/>
    <col min="2542" max="2542" width="6.5703125" style="122" customWidth="1"/>
    <col min="2543" max="2543" width="3.28515625" style="122" customWidth="1"/>
    <col min="2544" max="2544" width="5.85546875" style="122" customWidth="1"/>
    <col min="2545" max="2545" width="6.5703125" style="122" customWidth="1"/>
    <col min="2546" max="2546" width="3.28515625" style="122" customWidth="1"/>
    <col min="2547" max="2547" width="5.85546875" style="122" customWidth="1"/>
    <col min="2548" max="2548" width="6.5703125" style="122" customWidth="1"/>
    <col min="2549" max="2549" width="3.28515625" style="122" customWidth="1"/>
    <col min="2550" max="2550" width="5.85546875" style="122" customWidth="1"/>
    <col min="2551" max="2551" width="6.5703125" style="122" customWidth="1"/>
    <col min="2552" max="2552" width="3.28515625" style="122" customWidth="1"/>
    <col min="2553" max="2553" width="5.85546875" style="122" customWidth="1"/>
    <col min="2554" max="2554" width="6.5703125" style="122" customWidth="1"/>
    <col min="2555" max="2555" width="3.28515625" style="122" customWidth="1"/>
    <col min="2556" max="2556" width="5.85546875" style="122" customWidth="1"/>
    <col min="2557" max="2557" width="6.5703125" style="122" customWidth="1"/>
    <col min="2558" max="2558" width="3.28515625" style="122" customWidth="1"/>
    <col min="2559" max="2559" width="5.85546875" style="122" customWidth="1"/>
    <col min="2560" max="2560" width="6.5703125" style="122" customWidth="1"/>
    <col min="2561" max="2561" width="3.28515625" style="122" customWidth="1"/>
    <col min="2562" max="2562" width="5.85546875" style="122" customWidth="1"/>
    <col min="2563" max="2563" width="6.5703125" style="122" customWidth="1"/>
    <col min="2564" max="2564" width="3.28515625" style="122" customWidth="1"/>
    <col min="2565" max="2565" width="5.85546875" style="122" customWidth="1"/>
    <col min="2566" max="2566" width="6.5703125" style="122" customWidth="1"/>
    <col min="2567" max="2567" width="3.28515625" style="122" customWidth="1"/>
    <col min="2568" max="2568" width="5.85546875" style="122" customWidth="1"/>
    <col min="2569" max="2569" width="6.5703125" style="122" customWidth="1"/>
    <col min="2570" max="2570" width="3.28515625" style="122" customWidth="1"/>
    <col min="2571" max="2571" width="5.85546875" style="122" customWidth="1"/>
    <col min="2572" max="2572" width="6.5703125" style="122" customWidth="1"/>
    <col min="2573" max="2573" width="3.28515625" style="122" customWidth="1"/>
    <col min="2574" max="2574" width="5.85546875" style="122" customWidth="1"/>
    <col min="2575" max="2575" width="6.5703125" style="122" customWidth="1"/>
    <col min="2576" max="2576" width="9.42578125" style="122" customWidth="1"/>
    <col min="2577" max="2779" width="9.140625" style="122"/>
    <col min="2780" max="2780" width="4.85546875" style="122" customWidth="1"/>
    <col min="2781" max="2781" width="5.140625" style="122" customWidth="1"/>
    <col min="2782" max="2782" width="13.7109375" style="122" customWidth="1"/>
    <col min="2783" max="2783" width="9.42578125" style="122" customWidth="1"/>
    <col min="2784" max="2784" width="7.85546875" style="122" bestFit="1" customWidth="1"/>
    <col min="2785" max="2785" width="9.42578125" style="122" customWidth="1"/>
    <col min="2786" max="2786" width="7.42578125" style="122" customWidth="1"/>
    <col min="2787" max="2787" width="7.85546875" style="122" customWidth="1"/>
    <col min="2788" max="2788" width="11" style="122" customWidth="1"/>
    <col min="2789" max="2789" width="7.5703125" style="122" customWidth="1"/>
    <col min="2790" max="2790" width="3.28515625" style="122" customWidth="1"/>
    <col min="2791" max="2791" width="5.85546875" style="122" customWidth="1"/>
    <col min="2792" max="2792" width="6.5703125" style="122" customWidth="1"/>
    <col min="2793" max="2793" width="3.28515625" style="122" customWidth="1"/>
    <col min="2794" max="2794" width="5.85546875" style="122" customWidth="1"/>
    <col min="2795" max="2795" width="6.5703125" style="122" customWidth="1"/>
    <col min="2796" max="2796" width="3.28515625" style="122" customWidth="1"/>
    <col min="2797" max="2797" width="5.85546875" style="122" customWidth="1"/>
    <col min="2798" max="2798" width="6.5703125" style="122" customWidth="1"/>
    <col min="2799" max="2799" width="3.28515625" style="122" customWidth="1"/>
    <col min="2800" max="2800" width="5.85546875" style="122" customWidth="1"/>
    <col min="2801" max="2801" width="6.5703125" style="122" customWidth="1"/>
    <col min="2802" max="2802" width="3.28515625" style="122" customWidth="1"/>
    <col min="2803" max="2803" width="5.85546875" style="122" customWidth="1"/>
    <col min="2804" max="2804" width="6.5703125" style="122" customWidth="1"/>
    <col min="2805" max="2805" width="3.28515625" style="122" customWidth="1"/>
    <col min="2806" max="2806" width="5.85546875" style="122" customWidth="1"/>
    <col min="2807" max="2807" width="6.5703125" style="122" customWidth="1"/>
    <col min="2808" max="2808" width="3.28515625" style="122" customWidth="1"/>
    <col min="2809" max="2809" width="5.85546875" style="122" customWidth="1"/>
    <col min="2810" max="2810" width="6.5703125" style="122" customWidth="1"/>
    <col min="2811" max="2811" width="3.28515625" style="122" customWidth="1"/>
    <col min="2812" max="2812" width="5.85546875" style="122" customWidth="1"/>
    <col min="2813" max="2813" width="6.5703125" style="122" customWidth="1"/>
    <col min="2814" max="2814" width="3.28515625" style="122" customWidth="1"/>
    <col min="2815" max="2815" width="5.85546875" style="122" customWidth="1"/>
    <col min="2816" max="2816" width="6.5703125" style="122" customWidth="1"/>
    <col min="2817" max="2817" width="3.28515625" style="122" customWidth="1"/>
    <col min="2818" max="2818" width="5.85546875" style="122" customWidth="1"/>
    <col min="2819" max="2819" width="6.5703125" style="122" customWidth="1"/>
    <col min="2820" max="2820" width="3.28515625" style="122" customWidth="1"/>
    <col min="2821" max="2821" width="5.85546875" style="122" customWidth="1"/>
    <col min="2822" max="2822" width="6.5703125" style="122" customWidth="1"/>
    <col min="2823" max="2823" width="3.28515625" style="122" customWidth="1"/>
    <col min="2824" max="2824" width="5.85546875" style="122" customWidth="1"/>
    <col min="2825" max="2825" width="6.5703125" style="122" customWidth="1"/>
    <col min="2826" max="2826" width="3.28515625" style="122" customWidth="1"/>
    <col min="2827" max="2827" width="5.85546875" style="122" customWidth="1"/>
    <col min="2828" max="2828" width="6.5703125" style="122" customWidth="1"/>
    <col min="2829" max="2829" width="3.28515625" style="122" customWidth="1"/>
    <col min="2830" max="2830" width="5.85546875" style="122" customWidth="1"/>
    <col min="2831" max="2831" width="6.5703125" style="122" customWidth="1"/>
    <col min="2832" max="2832" width="9.42578125" style="122" customWidth="1"/>
    <col min="2833" max="3035" width="9.140625" style="122"/>
    <col min="3036" max="3036" width="4.85546875" style="122" customWidth="1"/>
    <col min="3037" max="3037" width="5.140625" style="122" customWidth="1"/>
    <col min="3038" max="3038" width="13.7109375" style="122" customWidth="1"/>
    <col min="3039" max="3039" width="9.42578125" style="122" customWidth="1"/>
    <col min="3040" max="3040" width="7.85546875" style="122" bestFit="1" customWidth="1"/>
    <col min="3041" max="3041" width="9.42578125" style="122" customWidth="1"/>
    <col min="3042" max="3042" width="7.42578125" style="122" customWidth="1"/>
    <col min="3043" max="3043" width="7.85546875" style="122" customWidth="1"/>
    <col min="3044" max="3044" width="11" style="122" customWidth="1"/>
    <col min="3045" max="3045" width="7.5703125" style="122" customWidth="1"/>
    <col min="3046" max="3046" width="3.28515625" style="122" customWidth="1"/>
    <col min="3047" max="3047" width="5.85546875" style="122" customWidth="1"/>
    <col min="3048" max="3048" width="6.5703125" style="122" customWidth="1"/>
    <col min="3049" max="3049" width="3.28515625" style="122" customWidth="1"/>
    <col min="3050" max="3050" width="5.85546875" style="122" customWidth="1"/>
    <col min="3051" max="3051" width="6.5703125" style="122" customWidth="1"/>
    <col min="3052" max="3052" width="3.28515625" style="122" customWidth="1"/>
    <col min="3053" max="3053" width="5.85546875" style="122" customWidth="1"/>
    <col min="3054" max="3054" width="6.5703125" style="122" customWidth="1"/>
    <col min="3055" max="3055" width="3.28515625" style="122" customWidth="1"/>
    <col min="3056" max="3056" width="5.85546875" style="122" customWidth="1"/>
    <col min="3057" max="3057" width="6.5703125" style="122" customWidth="1"/>
    <col min="3058" max="3058" width="3.28515625" style="122" customWidth="1"/>
    <col min="3059" max="3059" width="5.85546875" style="122" customWidth="1"/>
    <col min="3060" max="3060" width="6.5703125" style="122" customWidth="1"/>
    <col min="3061" max="3061" width="3.28515625" style="122" customWidth="1"/>
    <col min="3062" max="3062" width="5.85546875" style="122" customWidth="1"/>
    <col min="3063" max="3063" width="6.5703125" style="122" customWidth="1"/>
    <col min="3064" max="3064" width="3.28515625" style="122" customWidth="1"/>
    <col min="3065" max="3065" width="5.85546875" style="122" customWidth="1"/>
    <col min="3066" max="3066" width="6.5703125" style="122" customWidth="1"/>
    <col min="3067" max="3067" width="3.28515625" style="122" customWidth="1"/>
    <col min="3068" max="3068" width="5.85546875" style="122" customWidth="1"/>
    <col min="3069" max="3069" width="6.5703125" style="122" customWidth="1"/>
    <col min="3070" max="3070" width="3.28515625" style="122" customWidth="1"/>
    <col min="3071" max="3071" width="5.85546875" style="122" customWidth="1"/>
    <col min="3072" max="3072" width="6.5703125" style="122" customWidth="1"/>
    <col min="3073" max="3073" width="3.28515625" style="122" customWidth="1"/>
    <col min="3074" max="3074" width="5.85546875" style="122" customWidth="1"/>
    <col min="3075" max="3075" width="6.5703125" style="122" customWidth="1"/>
    <col min="3076" max="3076" width="3.28515625" style="122" customWidth="1"/>
    <col min="3077" max="3077" width="5.85546875" style="122" customWidth="1"/>
    <col min="3078" max="3078" width="6.5703125" style="122" customWidth="1"/>
    <col min="3079" max="3079" width="3.28515625" style="122" customWidth="1"/>
    <col min="3080" max="3080" width="5.85546875" style="122" customWidth="1"/>
    <col min="3081" max="3081" width="6.5703125" style="122" customWidth="1"/>
    <col min="3082" max="3082" width="3.28515625" style="122" customWidth="1"/>
    <col min="3083" max="3083" width="5.85546875" style="122" customWidth="1"/>
    <col min="3084" max="3084" width="6.5703125" style="122" customWidth="1"/>
    <col min="3085" max="3085" width="3.28515625" style="122" customWidth="1"/>
    <col min="3086" max="3086" width="5.85546875" style="122" customWidth="1"/>
    <col min="3087" max="3087" width="6.5703125" style="122" customWidth="1"/>
    <col min="3088" max="3088" width="9.42578125" style="122" customWidth="1"/>
    <col min="3089" max="3291" width="9.140625" style="122"/>
    <col min="3292" max="3292" width="4.85546875" style="122" customWidth="1"/>
    <col min="3293" max="3293" width="5.140625" style="122" customWidth="1"/>
    <col min="3294" max="3294" width="13.7109375" style="122" customWidth="1"/>
    <col min="3295" max="3295" width="9.42578125" style="122" customWidth="1"/>
    <col min="3296" max="3296" width="7.85546875" style="122" bestFit="1" customWidth="1"/>
    <col min="3297" max="3297" width="9.42578125" style="122" customWidth="1"/>
    <col min="3298" max="3298" width="7.42578125" style="122" customWidth="1"/>
    <col min="3299" max="3299" width="7.85546875" style="122" customWidth="1"/>
    <col min="3300" max="3300" width="11" style="122" customWidth="1"/>
    <col min="3301" max="3301" width="7.5703125" style="122" customWidth="1"/>
    <col min="3302" max="3302" width="3.28515625" style="122" customWidth="1"/>
    <col min="3303" max="3303" width="5.85546875" style="122" customWidth="1"/>
    <col min="3304" max="3304" width="6.5703125" style="122" customWidth="1"/>
    <col min="3305" max="3305" width="3.28515625" style="122" customWidth="1"/>
    <col min="3306" max="3306" width="5.85546875" style="122" customWidth="1"/>
    <col min="3307" max="3307" width="6.5703125" style="122" customWidth="1"/>
    <col min="3308" max="3308" width="3.28515625" style="122" customWidth="1"/>
    <col min="3309" max="3309" width="5.85546875" style="122" customWidth="1"/>
    <col min="3310" max="3310" width="6.5703125" style="122" customWidth="1"/>
    <col min="3311" max="3311" width="3.28515625" style="122" customWidth="1"/>
    <col min="3312" max="3312" width="5.85546875" style="122" customWidth="1"/>
    <col min="3313" max="3313" width="6.5703125" style="122" customWidth="1"/>
    <col min="3314" max="3314" width="3.28515625" style="122" customWidth="1"/>
    <col min="3315" max="3315" width="5.85546875" style="122" customWidth="1"/>
    <col min="3316" max="3316" width="6.5703125" style="122" customWidth="1"/>
    <col min="3317" max="3317" width="3.28515625" style="122" customWidth="1"/>
    <col min="3318" max="3318" width="5.85546875" style="122" customWidth="1"/>
    <col min="3319" max="3319" width="6.5703125" style="122" customWidth="1"/>
    <col min="3320" max="3320" width="3.28515625" style="122" customWidth="1"/>
    <col min="3321" max="3321" width="5.85546875" style="122" customWidth="1"/>
    <col min="3322" max="3322" width="6.5703125" style="122" customWidth="1"/>
    <col min="3323" max="3323" width="3.28515625" style="122" customWidth="1"/>
    <col min="3324" max="3324" width="5.85546875" style="122" customWidth="1"/>
    <col min="3325" max="3325" width="6.5703125" style="122" customWidth="1"/>
    <col min="3326" max="3326" width="3.28515625" style="122" customWidth="1"/>
    <col min="3327" max="3327" width="5.85546875" style="122" customWidth="1"/>
    <col min="3328" max="3328" width="6.5703125" style="122" customWidth="1"/>
    <col min="3329" max="3329" width="3.28515625" style="122" customWidth="1"/>
    <col min="3330" max="3330" width="5.85546875" style="122" customWidth="1"/>
    <col min="3331" max="3331" width="6.5703125" style="122" customWidth="1"/>
    <col min="3332" max="3332" width="3.28515625" style="122" customWidth="1"/>
    <col min="3333" max="3333" width="5.85546875" style="122" customWidth="1"/>
    <col min="3334" max="3334" width="6.5703125" style="122" customWidth="1"/>
    <col min="3335" max="3335" width="3.28515625" style="122" customWidth="1"/>
    <col min="3336" max="3336" width="5.85546875" style="122" customWidth="1"/>
    <col min="3337" max="3337" width="6.5703125" style="122" customWidth="1"/>
    <col min="3338" max="3338" width="3.28515625" style="122" customWidth="1"/>
    <col min="3339" max="3339" width="5.85546875" style="122" customWidth="1"/>
    <col min="3340" max="3340" width="6.5703125" style="122" customWidth="1"/>
    <col min="3341" max="3341" width="3.28515625" style="122" customWidth="1"/>
    <col min="3342" max="3342" width="5.85546875" style="122" customWidth="1"/>
    <col min="3343" max="3343" width="6.5703125" style="122" customWidth="1"/>
    <col min="3344" max="3344" width="9.42578125" style="122" customWidth="1"/>
    <col min="3345" max="3547" width="9.140625" style="122"/>
    <col min="3548" max="3548" width="4.85546875" style="122" customWidth="1"/>
    <col min="3549" max="3549" width="5.140625" style="122" customWidth="1"/>
    <col min="3550" max="3550" width="13.7109375" style="122" customWidth="1"/>
    <col min="3551" max="3551" width="9.42578125" style="122" customWidth="1"/>
    <col min="3552" max="3552" width="7.85546875" style="122" bestFit="1" customWidth="1"/>
    <col min="3553" max="3553" width="9.42578125" style="122" customWidth="1"/>
    <col min="3554" max="3554" width="7.42578125" style="122" customWidth="1"/>
    <col min="3555" max="3555" width="7.85546875" style="122" customWidth="1"/>
    <col min="3556" max="3556" width="11" style="122" customWidth="1"/>
    <col min="3557" max="3557" width="7.5703125" style="122" customWidth="1"/>
    <col min="3558" max="3558" width="3.28515625" style="122" customWidth="1"/>
    <col min="3559" max="3559" width="5.85546875" style="122" customWidth="1"/>
    <col min="3560" max="3560" width="6.5703125" style="122" customWidth="1"/>
    <col min="3561" max="3561" width="3.28515625" style="122" customWidth="1"/>
    <col min="3562" max="3562" width="5.85546875" style="122" customWidth="1"/>
    <col min="3563" max="3563" width="6.5703125" style="122" customWidth="1"/>
    <col min="3564" max="3564" width="3.28515625" style="122" customWidth="1"/>
    <col min="3565" max="3565" width="5.85546875" style="122" customWidth="1"/>
    <col min="3566" max="3566" width="6.5703125" style="122" customWidth="1"/>
    <col min="3567" max="3567" width="3.28515625" style="122" customWidth="1"/>
    <col min="3568" max="3568" width="5.85546875" style="122" customWidth="1"/>
    <col min="3569" max="3569" width="6.5703125" style="122" customWidth="1"/>
    <col min="3570" max="3570" width="3.28515625" style="122" customWidth="1"/>
    <col min="3571" max="3571" width="5.85546875" style="122" customWidth="1"/>
    <col min="3572" max="3572" width="6.5703125" style="122" customWidth="1"/>
    <col min="3573" max="3573" width="3.28515625" style="122" customWidth="1"/>
    <col min="3574" max="3574" width="5.85546875" style="122" customWidth="1"/>
    <col min="3575" max="3575" width="6.5703125" style="122" customWidth="1"/>
    <col min="3576" max="3576" width="3.28515625" style="122" customWidth="1"/>
    <col min="3577" max="3577" width="5.85546875" style="122" customWidth="1"/>
    <col min="3578" max="3578" width="6.5703125" style="122" customWidth="1"/>
    <col min="3579" max="3579" width="3.28515625" style="122" customWidth="1"/>
    <col min="3580" max="3580" width="5.85546875" style="122" customWidth="1"/>
    <col min="3581" max="3581" width="6.5703125" style="122" customWidth="1"/>
    <col min="3582" max="3582" width="3.28515625" style="122" customWidth="1"/>
    <col min="3583" max="3583" width="5.85546875" style="122" customWidth="1"/>
    <col min="3584" max="3584" width="6.5703125" style="122" customWidth="1"/>
    <col min="3585" max="3585" width="3.28515625" style="122" customWidth="1"/>
    <col min="3586" max="3586" width="5.85546875" style="122" customWidth="1"/>
    <col min="3587" max="3587" width="6.5703125" style="122" customWidth="1"/>
    <col min="3588" max="3588" width="3.28515625" style="122" customWidth="1"/>
    <col min="3589" max="3589" width="5.85546875" style="122" customWidth="1"/>
    <col min="3590" max="3590" width="6.5703125" style="122" customWidth="1"/>
    <col min="3591" max="3591" width="3.28515625" style="122" customWidth="1"/>
    <col min="3592" max="3592" width="5.85546875" style="122" customWidth="1"/>
    <col min="3593" max="3593" width="6.5703125" style="122" customWidth="1"/>
    <col min="3594" max="3594" width="3.28515625" style="122" customWidth="1"/>
    <col min="3595" max="3595" width="5.85546875" style="122" customWidth="1"/>
    <col min="3596" max="3596" width="6.5703125" style="122" customWidth="1"/>
    <col min="3597" max="3597" width="3.28515625" style="122" customWidth="1"/>
    <col min="3598" max="3598" width="5.85546875" style="122" customWidth="1"/>
    <col min="3599" max="3599" width="6.5703125" style="122" customWidth="1"/>
    <col min="3600" max="3600" width="9.42578125" style="122" customWidth="1"/>
    <col min="3601" max="3803" width="9.140625" style="122"/>
    <col min="3804" max="3804" width="4.85546875" style="122" customWidth="1"/>
    <col min="3805" max="3805" width="5.140625" style="122" customWidth="1"/>
    <col min="3806" max="3806" width="13.7109375" style="122" customWidth="1"/>
    <col min="3807" max="3807" width="9.42578125" style="122" customWidth="1"/>
    <col min="3808" max="3808" width="7.85546875" style="122" bestFit="1" customWidth="1"/>
    <col min="3809" max="3809" width="9.42578125" style="122" customWidth="1"/>
    <col min="3810" max="3810" width="7.42578125" style="122" customWidth="1"/>
    <col min="3811" max="3811" width="7.85546875" style="122" customWidth="1"/>
    <col min="3812" max="3812" width="11" style="122" customWidth="1"/>
    <col min="3813" max="3813" width="7.5703125" style="122" customWidth="1"/>
    <col min="3814" max="3814" width="3.28515625" style="122" customWidth="1"/>
    <col min="3815" max="3815" width="5.85546875" style="122" customWidth="1"/>
    <col min="3816" max="3816" width="6.5703125" style="122" customWidth="1"/>
    <col min="3817" max="3817" width="3.28515625" style="122" customWidth="1"/>
    <col min="3818" max="3818" width="5.85546875" style="122" customWidth="1"/>
    <col min="3819" max="3819" width="6.5703125" style="122" customWidth="1"/>
    <col min="3820" max="3820" width="3.28515625" style="122" customWidth="1"/>
    <col min="3821" max="3821" width="5.85546875" style="122" customWidth="1"/>
    <col min="3822" max="3822" width="6.5703125" style="122" customWidth="1"/>
    <col min="3823" max="3823" width="3.28515625" style="122" customWidth="1"/>
    <col min="3824" max="3824" width="5.85546875" style="122" customWidth="1"/>
    <col min="3825" max="3825" width="6.5703125" style="122" customWidth="1"/>
    <col min="3826" max="3826" width="3.28515625" style="122" customWidth="1"/>
    <col min="3827" max="3827" width="5.85546875" style="122" customWidth="1"/>
    <col min="3828" max="3828" width="6.5703125" style="122" customWidth="1"/>
    <col min="3829" max="3829" width="3.28515625" style="122" customWidth="1"/>
    <col min="3830" max="3830" width="5.85546875" style="122" customWidth="1"/>
    <col min="3831" max="3831" width="6.5703125" style="122" customWidth="1"/>
    <col min="3832" max="3832" width="3.28515625" style="122" customWidth="1"/>
    <col min="3833" max="3833" width="5.85546875" style="122" customWidth="1"/>
    <col min="3834" max="3834" width="6.5703125" style="122" customWidth="1"/>
    <col min="3835" max="3835" width="3.28515625" style="122" customWidth="1"/>
    <col min="3836" max="3836" width="5.85546875" style="122" customWidth="1"/>
    <col min="3837" max="3837" width="6.5703125" style="122" customWidth="1"/>
    <col min="3838" max="3838" width="3.28515625" style="122" customWidth="1"/>
    <col min="3839" max="3839" width="5.85546875" style="122" customWidth="1"/>
    <col min="3840" max="3840" width="6.5703125" style="122" customWidth="1"/>
    <col min="3841" max="3841" width="3.28515625" style="122" customWidth="1"/>
    <col min="3842" max="3842" width="5.85546875" style="122" customWidth="1"/>
    <col min="3843" max="3843" width="6.5703125" style="122" customWidth="1"/>
    <col min="3844" max="3844" width="3.28515625" style="122" customWidth="1"/>
    <col min="3845" max="3845" width="5.85546875" style="122" customWidth="1"/>
    <col min="3846" max="3846" width="6.5703125" style="122" customWidth="1"/>
    <col min="3847" max="3847" width="3.28515625" style="122" customWidth="1"/>
    <col min="3848" max="3848" width="5.85546875" style="122" customWidth="1"/>
    <col min="3849" max="3849" width="6.5703125" style="122" customWidth="1"/>
    <col min="3850" max="3850" width="3.28515625" style="122" customWidth="1"/>
    <col min="3851" max="3851" width="5.85546875" style="122" customWidth="1"/>
    <col min="3852" max="3852" width="6.5703125" style="122" customWidth="1"/>
    <col min="3853" max="3853" width="3.28515625" style="122" customWidth="1"/>
    <col min="3854" max="3854" width="5.85546875" style="122" customWidth="1"/>
    <col min="3855" max="3855" width="6.5703125" style="122" customWidth="1"/>
    <col min="3856" max="3856" width="9.42578125" style="122" customWidth="1"/>
    <col min="3857" max="4059" width="9.140625" style="122"/>
    <col min="4060" max="4060" width="4.85546875" style="122" customWidth="1"/>
    <col min="4061" max="4061" width="5.140625" style="122" customWidth="1"/>
    <col min="4062" max="4062" width="13.7109375" style="122" customWidth="1"/>
    <col min="4063" max="4063" width="9.42578125" style="122" customWidth="1"/>
    <col min="4064" max="4064" width="7.85546875" style="122" bestFit="1" customWidth="1"/>
    <col min="4065" max="4065" width="9.42578125" style="122" customWidth="1"/>
    <col min="4066" max="4066" width="7.42578125" style="122" customWidth="1"/>
    <col min="4067" max="4067" width="7.85546875" style="122" customWidth="1"/>
    <col min="4068" max="4068" width="11" style="122" customWidth="1"/>
    <col min="4069" max="4069" width="7.5703125" style="122" customWidth="1"/>
    <col min="4070" max="4070" width="3.28515625" style="122" customWidth="1"/>
    <col min="4071" max="4071" width="5.85546875" style="122" customWidth="1"/>
    <col min="4072" max="4072" width="6.5703125" style="122" customWidth="1"/>
    <col min="4073" max="4073" width="3.28515625" style="122" customWidth="1"/>
    <col min="4074" max="4074" width="5.85546875" style="122" customWidth="1"/>
    <col min="4075" max="4075" width="6.5703125" style="122" customWidth="1"/>
    <col min="4076" max="4076" width="3.28515625" style="122" customWidth="1"/>
    <col min="4077" max="4077" width="5.85546875" style="122" customWidth="1"/>
    <col min="4078" max="4078" width="6.5703125" style="122" customWidth="1"/>
    <col min="4079" max="4079" width="3.28515625" style="122" customWidth="1"/>
    <col min="4080" max="4080" width="5.85546875" style="122" customWidth="1"/>
    <col min="4081" max="4081" width="6.5703125" style="122" customWidth="1"/>
    <col min="4082" max="4082" width="3.28515625" style="122" customWidth="1"/>
    <col min="4083" max="4083" width="5.85546875" style="122" customWidth="1"/>
    <col min="4084" max="4084" width="6.5703125" style="122" customWidth="1"/>
    <col min="4085" max="4085" width="3.28515625" style="122" customWidth="1"/>
    <col min="4086" max="4086" width="5.85546875" style="122" customWidth="1"/>
    <col min="4087" max="4087" width="6.5703125" style="122" customWidth="1"/>
    <col min="4088" max="4088" width="3.28515625" style="122" customWidth="1"/>
    <col min="4089" max="4089" width="5.85546875" style="122" customWidth="1"/>
    <col min="4090" max="4090" width="6.5703125" style="122" customWidth="1"/>
    <col min="4091" max="4091" width="3.28515625" style="122" customWidth="1"/>
    <col min="4092" max="4092" width="5.85546875" style="122" customWidth="1"/>
    <col min="4093" max="4093" width="6.5703125" style="122" customWidth="1"/>
    <col min="4094" max="4094" width="3.28515625" style="122" customWidth="1"/>
    <col min="4095" max="4095" width="5.85546875" style="122" customWidth="1"/>
    <col min="4096" max="4096" width="6.5703125" style="122" customWidth="1"/>
    <col min="4097" max="4097" width="3.28515625" style="122" customWidth="1"/>
    <col min="4098" max="4098" width="5.85546875" style="122" customWidth="1"/>
    <col min="4099" max="4099" width="6.5703125" style="122" customWidth="1"/>
    <col min="4100" max="4100" width="3.28515625" style="122" customWidth="1"/>
    <col min="4101" max="4101" width="5.85546875" style="122" customWidth="1"/>
    <col min="4102" max="4102" width="6.5703125" style="122" customWidth="1"/>
    <col min="4103" max="4103" width="3.28515625" style="122" customWidth="1"/>
    <col min="4104" max="4104" width="5.85546875" style="122" customWidth="1"/>
    <col min="4105" max="4105" width="6.5703125" style="122" customWidth="1"/>
    <col min="4106" max="4106" width="3.28515625" style="122" customWidth="1"/>
    <col min="4107" max="4107" width="5.85546875" style="122" customWidth="1"/>
    <col min="4108" max="4108" width="6.5703125" style="122" customWidth="1"/>
    <col min="4109" max="4109" width="3.28515625" style="122" customWidth="1"/>
    <col min="4110" max="4110" width="5.85546875" style="122" customWidth="1"/>
    <col min="4111" max="4111" width="6.5703125" style="122" customWidth="1"/>
    <col min="4112" max="4112" width="9.42578125" style="122" customWidth="1"/>
    <col min="4113" max="4315" width="9.140625" style="122"/>
    <col min="4316" max="4316" width="4.85546875" style="122" customWidth="1"/>
    <col min="4317" max="4317" width="5.140625" style="122" customWidth="1"/>
    <col min="4318" max="4318" width="13.7109375" style="122" customWidth="1"/>
    <col min="4319" max="4319" width="9.42578125" style="122" customWidth="1"/>
    <col min="4320" max="4320" width="7.85546875" style="122" bestFit="1" customWidth="1"/>
    <col min="4321" max="4321" width="9.42578125" style="122" customWidth="1"/>
    <col min="4322" max="4322" width="7.42578125" style="122" customWidth="1"/>
    <col min="4323" max="4323" width="7.85546875" style="122" customWidth="1"/>
    <col min="4324" max="4324" width="11" style="122" customWidth="1"/>
    <col min="4325" max="4325" width="7.5703125" style="122" customWidth="1"/>
    <col min="4326" max="4326" width="3.28515625" style="122" customWidth="1"/>
    <col min="4327" max="4327" width="5.85546875" style="122" customWidth="1"/>
    <col min="4328" max="4328" width="6.5703125" style="122" customWidth="1"/>
    <col min="4329" max="4329" width="3.28515625" style="122" customWidth="1"/>
    <col min="4330" max="4330" width="5.85546875" style="122" customWidth="1"/>
    <col min="4331" max="4331" width="6.5703125" style="122" customWidth="1"/>
    <col min="4332" max="4332" width="3.28515625" style="122" customWidth="1"/>
    <col min="4333" max="4333" width="5.85546875" style="122" customWidth="1"/>
    <col min="4334" max="4334" width="6.5703125" style="122" customWidth="1"/>
    <col min="4335" max="4335" width="3.28515625" style="122" customWidth="1"/>
    <col min="4336" max="4336" width="5.85546875" style="122" customWidth="1"/>
    <col min="4337" max="4337" width="6.5703125" style="122" customWidth="1"/>
    <col min="4338" max="4338" width="3.28515625" style="122" customWidth="1"/>
    <col min="4339" max="4339" width="5.85546875" style="122" customWidth="1"/>
    <col min="4340" max="4340" width="6.5703125" style="122" customWidth="1"/>
    <col min="4341" max="4341" width="3.28515625" style="122" customWidth="1"/>
    <col min="4342" max="4342" width="5.85546875" style="122" customWidth="1"/>
    <col min="4343" max="4343" width="6.5703125" style="122" customWidth="1"/>
    <col min="4344" max="4344" width="3.28515625" style="122" customWidth="1"/>
    <col min="4345" max="4345" width="5.85546875" style="122" customWidth="1"/>
    <col min="4346" max="4346" width="6.5703125" style="122" customWidth="1"/>
    <col min="4347" max="4347" width="3.28515625" style="122" customWidth="1"/>
    <col min="4348" max="4348" width="5.85546875" style="122" customWidth="1"/>
    <col min="4349" max="4349" width="6.5703125" style="122" customWidth="1"/>
    <col min="4350" max="4350" width="3.28515625" style="122" customWidth="1"/>
    <col min="4351" max="4351" width="5.85546875" style="122" customWidth="1"/>
    <col min="4352" max="4352" width="6.5703125" style="122" customWidth="1"/>
    <col min="4353" max="4353" width="3.28515625" style="122" customWidth="1"/>
    <col min="4354" max="4354" width="5.85546875" style="122" customWidth="1"/>
    <col min="4355" max="4355" width="6.5703125" style="122" customWidth="1"/>
    <col min="4356" max="4356" width="3.28515625" style="122" customWidth="1"/>
    <col min="4357" max="4357" width="5.85546875" style="122" customWidth="1"/>
    <col min="4358" max="4358" width="6.5703125" style="122" customWidth="1"/>
    <col min="4359" max="4359" width="3.28515625" style="122" customWidth="1"/>
    <col min="4360" max="4360" width="5.85546875" style="122" customWidth="1"/>
    <col min="4361" max="4361" width="6.5703125" style="122" customWidth="1"/>
    <col min="4362" max="4362" width="3.28515625" style="122" customWidth="1"/>
    <col min="4363" max="4363" width="5.85546875" style="122" customWidth="1"/>
    <col min="4364" max="4364" width="6.5703125" style="122" customWidth="1"/>
    <col min="4365" max="4365" width="3.28515625" style="122" customWidth="1"/>
    <col min="4366" max="4366" width="5.85546875" style="122" customWidth="1"/>
    <col min="4367" max="4367" width="6.5703125" style="122" customWidth="1"/>
    <col min="4368" max="4368" width="9.42578125" style="122" customWidth="1"/>
    <col min="4369" max="4571" width="9.140625" style="122"/>
    <col min="4572" max="4572" width="4.85546875" style="122" customWidth="1"/>
    <col min="4573" max="4573" width="5.140625" style="122" customWidth="1"/>
    <col min="4574" max="4574" width="13.7109375" style="122" customWidth="1"/>
    <col min="4575" max="4575" width="9.42578125" style="122" customWidth="1"/>
    <col min="4576" max="4576" width="7.85546875" style="122" bestFit="1" customWidth="1"/>
    <col min="4577" max="4577" width="9.42578125" style="122" customWidth="1"/>
    <col min="4578" max="4578" width="7.42578125" style="122" customWidth="1"/>
    <col min="4579" max="4579" width="7.85546875" style="122" customWidth="1"/>
    <col min="4580" max="4580" width="11" style="122" customWidth="1"/>
    <col min="4581" max="4581" width="7.5703125" style="122" customWidth="1"/>
    <col min="4582" max="4582" width="3.28515625" style="122" customWidth="1"/>
    <col min="4583" max="4583" width="5.85546875" style="122" customWidth="1"/>
    <col min="4584" max="4584" width="6.5703125" style="122" customWidth="1"/>
    <col min="4585" max="4585" width="3.28515625" style="122" customWidth="1"/>
    <col min="4586" max="4586" width="5.85546875" style="122" customWidth="1"/>
    <col min="4587" max="4587" width="6.5703125" style="122" customWidth="1"/>
    <col min="4588" max="4588" width="3.28515625" style="122" customWidth="1"/>
    <col min="4589" max="4589" width="5.85546875" style="122" customWidth="1"/>
    <col min="4590" max="4590" width="6.5703125" style="122" customWidth="1"/>
    <col min="4591" max="4591" width="3.28515625" style="122" customWidth="1"/>
    <col min="4592" max="4592" width="5.85546875" style="122" customWidth="1"/>
    <col min="4593" max="4593" width="6.5703125" style="122" customWidth="1"/>
    <col min="4594" max="4594" width="3.28515625" style="122" customWidth="1"/>
    <col min="4595" max="4595" width="5.85546875" style="122" customWidth="1"/>
    <col min="4596" max="4596" width="6.5703125" style="122" customWidth="1"/>
    <col min="4597" max="4597" width="3.28515625" style="122" customWidth="1"/>
    <col min="4598" max="4598" width="5.85546875" style="122" customWidth="1"/>
    <col min="4599" max="4599" width="6.5703125" style="122" customWidth="1"/>
    <col min="4600" max="4600" width="3.28515625" style="122" customWidth="1"/>
    <col min="4601" max="4601" width="5.85546875" style="122" customWidth="1"/>
    <col min="4602" max="4602" width="6.5703125" style="122" customWidth="1"/>
    <col min="4603" max="4603" width="3.28515625" style="122" customWidth="1"/>
    <col min="4604" max="4604" width="5.85546875" style="122" customWidth="1"/>
    <col min="4605" max="4605" width="6.5703125" style="122" customWidth="1"/>
    <col min="4606" max="4606" width="3.28515625" style="122" customWidth="1"/>
    <col min="4607" max="4607" width="5.85546875" style="122" customWidth="1"/>
    <col min="4608" max="4608" width="6.5703125" style="122" customWidth="1"/>
    <col min="4609" max="4609" width="3.28515625" style="122" customWidth="1"/>
    <col min="4610" max="4610" width="5.85546875" style="122" customWidth="1"/>
    <col min="4611" max="4611" width="6.5703125" style="122" customWidth="1"/>
    <col min="4612" max="4612" width="3.28515625" style="122" customWidth="1"/>
    <col min="4613" max="4613" width="5.85546875" style="122" customWidth="1"/>
    <col min="4614" max="4614" width="6.5703125" style="122" customWidth="1"/>
    <col min="4615" max="4615" width="3.28515625" style="122" customWidth="1"/>
    <col min="4616" max="4616" width="5.85546875" style="122" customWidth="1"/>
    <col min="4617" max="4617" width="6.5703125" style="122" customWidth="1"/>
    <col min="4618" max="4618" width="3.28515625" style="122" customWidth="1"/>
    <col min="4619" max="4619" width="5.85546875" style="122" customWidth="1"/>
    <col min="4620" max="4620" width="6.5703125" style="122" customWidth="1"/>
    <col min="4621" max="4621" width="3.28515625" style="122" customWidth="1"/>
    <col min="4622" max="4622" width="5.85546875" style="122" customWidth="1"/>
    <col min="4623" max="4623" width="6.5703125" style="122" customWidth="1"/>
    <col min="4624" max="4624" width="9.42578125" style="122" customWidth="1"/>
    <col min="4625" max="4827" width="9.140625" style="122"/>
    <col min="4828" max="4828" width="4.85546875" style="122" customWidth="1"/>
    <col min="4829" max="4829" width="5.140625" style="122" customWidth="1"/>
    <col min="4830" max="4830" width="13.7109375" style="122" customWidth="1"/>
    <col min="4831" max="4831" width="9.42578125" style="122" customWidth="1"/>
    <col min="4832" max="4832" width="7.85546875" style="122" bestFit="1" customWidth="1"/>
    <col min="4833" max="4833" width="9.42578125" style="122" customWidth="1"/>
    <col min="4834" max="4834" width="7.42578125" style="122" customWidth="1"/>
    <col min="4835" max="4835" width="7.85546875" style="122" customWidth="1"/>
    <col min="4836" max="4836" width="11" style="122" customWidth="1"/>
    <col min="4837" max="4837" width="7.5703125" style="122" customWidth="1"/>
    <col min="4838" max="4838" width="3.28515625" style="122" customWidth="1"/>
    <col min="4839" max="4839" width="5.85546875" style="122" customWidth="1"/>
    <col min="4840" max="4840" width="6.5703125" style="122" customWidth="1"/>
    <col min="4841" max="4841" width="3.28515625" style="122" customWidth="1"/>
    <col min="4842" max="4842" width="5.85546875" style="122" customWidth="1"/>
    <col min="4843" max="4843" width="6.5703125" style="122" customWidth="1"/>
    <col min="4844" max="4844" width="3.28515625" style="122" customWidth="1"/>
    <col min="4845" max="4845" width="5.85546875" style="122" customWidth="1"/>
    <col min="4846" max="4846" width="6.5703125" style="122" customWidth="1"/>
    <col min="4847" max="4847" width="3.28515625" style="122" customWidth="1"/>
    <col min="4848" max="4848" width="5.85546875" style="122" customWidth="1"/>
    <col min="4849" max="4849" width="6.5703125" style="122" customWidth="1"/>
    <col min="4850" max="4850" width="3.28515625" style="122" customWidth="1"/>
    <col min="4851" max="4851" width="5.85546875" style="122" customWidth="1"/>
    <col min="4852" max="4852" width="6.5703125" style="122" customWidth="1"/>
    <col min="4853" max="4853" width="3.28515625" style="122" customWidth="1"/>
    <col min="4854" max="4854" width="5.85546875" style="122" customWidth="1"/>
    <col min="4855" max="4855" width="6.5703125" style="122" customWidth="1"/>
    <col min="4856" max="4856" width="3.28515625" style="122" customWidth="1"/>
    <col min="4857" max="4857" width="5.85546875" style="122" customWidth="1"/>
    <col min="4858" max="4858" width="6.5703125" style="122" customWidth="1"/>
    <col min="4859" max="4859" width="3.28515625" style="122" customWidth="1"/>
    <col min="4860" max="4860" width="5.85546875" style="122" customWidth="1"/>
    <col min="4861" max="4861" width="6.5703125" style="122" customWidth="1"/>
    <col min="4862" max="4862" width="3.28515625" style="122" customWidth="1"/>
    <col min="4863" max="4863" width="5.85546875" style="122" customWidth="1"/>
    <col min="4864" max="4864" width="6.5703125" style="122" customWidth="1"/>
    <col min="4865" max="4865" width="3.28515625" style="122" customWidth="1"/>
    <col min="4866" max="4866" width="5.85546875" style="122" customWidth="1"/>
    <col min="4867" max="4867" width="6.5703125" style="122" customWidth="1"/>
    <col min="4868" max="4868" width="3.28515625" style="122" customWidth="1"/>
    <col min="4869" max="4869" width="5.85546875" style="122" customWidth="1"/>
    <col min="4870" max="4870" width="6.5703125" style="122" customWidth="1"/>
    <col min="4871" max="4871" width="3.28515625" style="122" customWidth="1"/>
    <col min="4872" max="4872" width="5.85546875" style="122" customWidth="1"/>
    <col min="4873" max="4873" width="6.5703125" style="122" customWidth="1"/>
    <col min="4874" max="4874" width="3.28515625" style="122" customWidth="1"/>
    <col min="4875" max="4875" width="5.85546875" style="122" customWidth="1"/>
    <col min="4876" max="4876" width="6.5703125" style="122" customWidth="1"/>
    <col min="4877" max="4877" width="3.28515625" style="122" customWidth="1"/>
    <col min="4878" max="4878" width="5.85546875" style="122" customWidth="1"/>
    <col min="4879" max="4879" width="6.5703125" style="122" customWidth="1"/>
    <col min="4880" max="4880" width="9.42578125" style="122" customWidth="1"/>
    <col min="4881" max="5083" width="9.140625" style="122"/>
    <col min="5084" max="5084" width="4.85546875" style="122" customWidth="1"/>
    <col min="5085" max="5085" width="5.140625" style="122" customWidth="1"/>
    <col min="5086" max="5086" width="13.7109375" style="122" customWidth="1"/>
    <col min="5087" max="5087" width="9.42578125" style="122" customWidth="1"/>
    <col min="5088" max="5088" width="7.85546875" style="122" bestFit="1" customWidth="1"/>
    <col min="5089" max="5089" width="9.42578125" style="122" customWidth="1"/>
    <col min="5090" max="5090" width="7.42578125" style="122" customWidth="1"/>
    <col min="5091" max="5091" width="7.85546875" style="122" customWidth="1"/>
    <col min="5092" max="5092" width="11" style="122" customWidth="1"/>
    <col min="5093" max="5093" width="7.5703125" style="122" customWidth="1"/>
    <col min="5094" max="5094" width="3.28515625" style="122" customWidth="1"/>
    <col min="5095" max="5095" width="5.85546875" style="122" customWidth="1"/>
    <col min="5096" max="5096" width="6.5703125" style="122" customWidth="1"/>
    <col min="5097" max="5097" width="3.28515625" style="122" customWidth="1"/>
    <col min="5098" max="5098" width="5.85546875" style="122" customWidth="1"/>
    <col min="5099" max="5099" width="6.5703125" style="122" customWidth="1"/>
    <col min="5100" max="5100" width="3.28515625" style="122" customWidth="1"/>
    <col min="5101" max="5101" width="5.85546875" style="122" customWidth="1"/>
    <col min="5102" max="5102" width="6.5703125" style="122" customWidth="1"/>
    <col min="5103" max="5103" width="3.28515625" style="122" customWidth="1"/>
    <col min="5104" max="5104" width="5.85546875" style="122" customWidth="1"/>
    <col min="5105" max="5105" width="6.5703125" style="122" customWidth="1"/>
    <col min="5106" max="5106" width="3.28515625" style="122" customWidth="1"/>
    <col min="5107" max="5107" width="5.85546875" style="122" customWidth="1"/>
    <col min="5108" max="5108" width="6.5703125" style="122" customWidth="1"/>
    <col min="5109" max="5109" width="3.28515625" style="122" customWidth="1"/>
    <col min="5110" max="5110" width="5.85546875" style="122" customWidth="1"/>
    <col min="5111" max="5111" width="6.5703125" style="122" customWidth="1"/>
    <col min="5112" max="5112" width="3.28515625" style="122" customWidth="1"/>
    <col min="5113" max="5113" width="5.85546875" style="122" customWidth="1"/>
    <col min="5114" max="5114" width="6.5703125" style="122" customWidth="1"/>
    <col min="5115" max="5115" width="3.28515625" style="122" customWidth="1"/>
    <col min="5116" max="5116" width="5.85546875" style="122" customWidth="1"/>
    <col min="5117" max="5117" width="6.5703125" style="122" customWidth="1"/>
    <col min="5118" max="5118" width="3.28515625" style="122" customWidth="1"/>
    <col min="5119" max="5119" width="5.85546875" style="122" customWidth="1"/>
    <col min="5120" max="5120" width="6.5703125" style="122" customWidth="1"/>
    <col min="5121" max="5121" width="3.28515625" style="122" customWidth="1"/>
    <col min="5122" max="5122" width="5.85546875" style="122" customWidth="1"/>
    <col min="5123" max="5123" width="6.5703125" style="122" customWidth="1"/>
    <col min="5124" max="5124" width="3.28515625" style="122" customWidth="1"/>
    <col min="5125" max="5125" width="5.85546875" style="122" customWidth="1"/>
    <col min="5126" max="5126" width="6.5703125" style="122" customWidth="1"/>
    <col min="5127" max="5127" width="3.28515625" style="122" customWidth="1"/>
    <col min="5128" max="5128" width="5.85546875" style="122" customWidth="1"/>
    <col min="5129" max="5129" width="6.5703125" style="122" customWidth="1"/>
    <col min="5130" max="5130" width="3.28515625" style="122" customWidth="1"/>
    <col min="5131" max="5131" width="5.85546875" style="122" customWidth="1"/>
    <col min="5132" max="5132" width="6.5703125" style="122" customWidth="1"/>
    <col min="5133" max="5133" width="3.28515625" style="122" customWidth="1"/>
    <col min="5134" max="5134" width="5.85546875" style="122" customWidth="1"/>
    <col min="5135" max="5135" width="6.5703125" style="122" customWidth="1"/>
    <col min="5136" max="5136" width="9.42578125" style="122" customWidth="1"/>
    <col min="5137" max="5339" width="9.140625" style="122"/>
    <col min="5340" max="5340" width="4.85546875" style="122" customWidth="1"/>
    <col min="5341" max="5341" width="5.140625" style="122" customWidth="1"/>
    <col min="5342" max="5342" width="13.7109375" style="122" customWidth="1"/>
    <col min="5343" max="5343" width="9.42578125" style="122" customWidth="1"/>
    <col min="5344" max="5344" width="7.85546875" style="122" bestFit="1" customWidth="1"/>
    <col min="5345" max="5345" width="9.42578125" style="122" customWidth="1"/>
    <col min="5346" max="5346" width="7.42578125" style="122" customWidth="1"/>
    <col min="5347" max="5347" width="7.85546875" style="122" customWidth="1"/>
    <col min="5348" max="5348" width="11" style="122" customWidth="1"/>
    <col min="5349" max="5349" width="7.5703125" style="122" customWidth="1"/>
    <col min="5350" max="5350" width="3.28515625" style="122" customWidth="1"/>
    <col min="5351" max="5351" width="5.85546875" style="122" customWidth="1"/>
    <col min="5352" max="5352" width="6.5703125" style="122" customWidth="1"/>
    <col min="5353" max="5353" width="3.28515625" style="122" customWidth="1"/>
    <col min="5354" max="5354" width="5.85546875" style="122" customWidth="1"/>
    <col min="5355" max="5355" width="6.5703125" style="122" customWidth="1"/>
    <col min="5356" max="5356" width="3.28515625" style="122" customWidth="1"/>
    <col min="5357" max="5357" width="5.85546875" style="122" customWidth="1"/>
    <col min="5358" max="5358" width="6.5703125" style="122" customWidth="1"/>
    <col min="5359" max="5359" width="3.28515625" style="122" customWidth="1"/>
    <col min="5360" max="5360" width="5.85546875" style="122" customWidth="1"/>
    <col min="5361" max="5361" width="6.5703125" style="122" customWidth="1"/>
    <col min="5362" max="5362" width="3.28515625" style="122" customWidth="1"/>
    <col min="5363" max="5363" width="5.85546875" style="122" customWidth="1"/>
    <col min="5364" max="5364" width="6.5703125" style="122" customWidth="1"/>
    <col min="5365" max="5365" width="3.28515625" style="122" customWidth="1"/>
    <col min="5366" max="5366" width="5.85546875" style="122" customWidth="1"/>
    <col min="5367" max="5367" width="6.5703125" style="122" customWidth="1"/>
    <col min="5368" max="5368" width="3.28515625" style="122" customWidth="1"/>
    <col min="5369" max="5369" width="5.85546875" style="122" customWidth="1"/>
    <col min="5370" max="5370" width="6.5703125" style="122" customWidth="1"/>
    <col min="5371" max="5371" width="3.28515625" style="122" customWidth="1"/>
    <col min="5372" max="5372" width="5.85546875" style="122" customWidth="1"/>
    <col min="5373" max="5373" width="6.5703125" style="122" customWidth="1"/>
    <col min="5374" max="5374" width="3.28515625" style="122" customWidth="1"/>
    <col min="5375" max="5375" width="5.85546875" style="122" customWidth="1"/>
    <col min="5376" max="5376" width="6.5703125" style="122" customWidth="1"/>
    <col min="5377" max="5377" width="3.28515625" style="122" customWidth="1"/>
    <col min="5378" max="5378" width="5.85546875" style="122" customWidth="1"/>
    <col min="5379" max="5379" width="6.5703125" style="122" customWidth="1"/>
    <col min="5380" max="5380" width="3.28515625" style="122" customWidth="1"/>
    <col min="5381" max="5381" width="5.85546875" style="122" customWidth="1"/>
    <col min="5382" max="5382" width="6.5703125" style="122" customWidth="1"/>
    <col min="5383" max="5383" width="3.28515625" style="122" customWidth="1"/>
    <col min="5384" max="5384" width="5.85546875" style="122" customWidth="1"/>
    <col min="5385" max="5385" width="6.5703125" style="122" customWidth="1"/>
    <col min="5386" max="5386" width="3.28515625" style="122" customWidth="1"/>
    <col min="5387" max="5387" width="5.85546875" style="122" customWidth="1"/>
    <col min="5388" max="5388" width="6.5703125" style="122" customWidth="1"/>
    <col min="5389" max="5389" width="3.28515625" style="122" customWidth="1"/>
    <col min="5390" max="5390" width="5.85546875" style="122" customWidth="1"/>
    <col min="5391" max="5391" width="6.5703125" style="122" customWidth="1"/>
    <col min="5392" max="5392" width="9.42578125" style="122" customWidth="1"/>
    <col min="5393" max="5595" width="9.140625" style="122"/>
    <col min="5596" max="5596" width="4.85546875" style="122" customWidth="1"/>
    <col min="5597" max="5597" width="5.140625" style="122" customWidth="1"/>
    <col min="5598" max="5598" width="13.7109375" style="122" customWidth="1"/>
    <col min="5599" max="5599" width="9.42578125" style="122" customWidth="1"/>
    <col min="5600" max="5600" width="7.85546875" style="122" bestFit="1" customWidth="1"/>
    <col min="5601" max="5601" width="9.42578125" style="122" customWidth="1"/>
    <col min="5602" max="5602" width="7.42578125" style="122" customWidth="1"/>
    <col min="5603" max="5603" width="7.85546875" style="122" customWidth="1"/>
    <col min="5604" max="5604" width="11" style="122" customWidth="1"/>
    <col min="5605" max="5605" width="7.5703125" style="122" customWidth="1"/>
    <col min="5606" max="5606" width="3.28515625" style="122" customWidth="1"/>
    <col min="5607" max="5607" width="5.85546875" style="122" customWidth="1"/>
    <col min="5608" max="5608" width="6.5703125" style="122" customWidth="1"/>
    <col min="5609" max="5609" width="3.28515625" style="122" customWidth="1"/>
    <col min="5610" max="5610" width="5.85546875" style="122" customWidth="1"/>
    <col min="5611" max="5611" width="6.5703125" style="122" customWidth="1"/>
    <col min="5612" max="5612" width="3.28515625" style="122" customWidth="1"/>
    <col min="5613" max="5613" width="5.85546875" style="122" customWidth="1"/>
    <col min="5614" max="5614" width="6.5703125" style="122" customWidth="1"/>
    <col min="5615" max="5615" width="3.28515625" style="122" customWidth="1"/>
    <col min="5616" max="5616" width="5.85546875" style="122" customWidth="1"/>
    <col min="5617" max="5617" width="6.5703125" style="122" customWidth="1"/>
    <col min="5618" max="5618" width="3.28515625" style="122" customWidth="1"/>
    <col min="5619" max="5619" width="5.85546875" style="122" customWidth="1"/>
    <col min="5620" max="5620" width="6.5703125" style="122" customWidth="1"/>
    <col min="5621" max="5621" width="3.28515625" style="122" customWidth="1"/>
    <col min="5622" max="5622" width="5.85546875" style="122" customWidth="1"/>
    <col min="5623" max="5623" width="6.5703125" style="122" customWidth="1"/>
    <col min="5624" max="5624" width="3.28515625" style="122" customWidth="1"/>
    <col min="5625" max="5625" width="5.85546875" style="122" customWidth="1"/>
    <col min="5626" max="5626" width="6.5703125" style="122" customWidth="1"/>
    <col min="5627" max="5627" width="3.28515625" style="122" customWidth="1"/>
    <col min="5628" max="5628" width="5.85546875" style="122" customWidth="1"/>
    <col min="5629" max="5629" width="6.5703125" style="122" customWidth="1"/>
    <col min="5630" max="5630" width="3.28515625" style="122" customWidth="1"/>
    <col min="5631" max="5631" width="5.85546875" style="122" customWidth="1"/>
    <col min="5632" max="5632" width="6.5703125" style="122" customWidth="1"/>
    <col min="5633" max="5633" width="3.28515625" style="122" customWidth="1"/>
    <col min="5634" max="5634" width="5.85546875" style="122" customWidth="1"/>
    <col min="5635" max="5635" width="6.5703125" style="122" customWidth="1"/>
    <col min="5636" max="5636" width="3.28515625" style="122" customWidth="1"/>
    <col min="5637" max="5637" width="5.85546875" style="122" customWidth="1"/>
    <col min="5638" max="5638" width="6.5703125" style="122" customWidth="1"/>
    <col min="5639" max="5639" width="3.28515625" style="122" customWidth="1"/>
    <col min="5640" max="5640" width="5.85546875" style="122" customWidth="1"/>
    <col min="5641" max="5641" width="6.5703125" style="122" customWidth="1"/>
    <col min="5642" max="5642" width="3.28515625" style="122" customWidth="1"/>
    <col min="5643" max="5643" width="5.85546875" style="122" customWidth="1"/>
    <col min="5644" max="5644" width="6.5703125" style="122" customWidth="1"/>
    <col min="5645" max="5645" width="3.28515625" style="122" customWidth="1"/>
    <col min="5646" max="5646" width="5.85546875" style="122" customWidth="1"/>
    <col min="5647" max="5647" width="6.5703125" style="122" customWidth="1"/>
    <col min="5648" max="5648" width="9.42578125" style="122" customWidth="1"/>
    <col min="5649" max="5851" width="9.140625" style="122"/>
    <col min="5852" max="5852" width="4.85546875" style="122" customWidth="1"/>
    <col min="5853" max="5853" width="5.140625" style="122" customWidth="1"/>
    <col min="5854" max="5854" width="13.7109375" style="122" customWidth="1"/>
    <col min="5855" max="5855" width="9.42578125" style="122" customWidth="1"/>
    <col min="5856" max="5856" width="7.85546875" style="122" bestFit="1" customWidth="1"/>
    <col min="5857" max="5857" width="9.42578125" style="122" customWidth="1"/>
    <col min="5858" max="5858" width="7.42578125" style="122" customWidth="1"/>
    <col min="5859" max="5859" width="7.85546875" style="122" customWidth="1"/>
    <col min="5860" max="5860" width="11" style="122" customWidth="1"/>
    <col min="5861" max="5861" width="7.5703125" style="122" customWidth="1"/>
    <col min="5862" max="5862" width="3.28515625" style="122" customWidth="1"/>
    <col min="5863" max="5863" width="5.85546875" style="122" customWidth="1"/>
    <col min="5864" max="5864" width="6.5703125" style="122" customWidth="1"/>
    <col min="5865" max="5865" width="3.28515625" style="122" customWidth="1"/>
    <col min="5866" max="5866" width="5.85546875" style="122" customWidth="1"/>
    <col min="5867" max="5867" width="6.5703125" style="122" customWidth="1"/>
    <col min="5868" max="5868" width="3.28515625" style="122" customWidth="1"/>
    <col min="5869" max="5869" width="5.85546875" style="122" customWidth="1"/>
    <col min="5870" max="5870" width="6.5703125" style="122" customWidth="1"/>
    <col min="5871" max="5871" width="3.28515625" style="122" customWidth="1"/>
    <col min="5872" max="5872" width="5.85546875" style="122" customWidth="1"/>
    <col min="5873" max="5873" width="6.5703125" style="122" customWidth="1"/>
    <col min="5874" max="5874" width="3.28515625" style="122" customWidth="1"/>
    <col min="5875" max="5875" width="5.85546875" style="122" customWidth="1"/>
    <col min="5876" max="5876" width="6.5703125" style="122" customWidth="1"/>
    <col min="5877" max="5877" width="3.28515625" style="122" customWidth="1"/>
    <col min="5878" max="5878" width="5.85546875" style="122" customWidth="1"/>
    <col min="5879" max="5879" width="6.5703125" style="122" customWidth="1"/>
    <col min="5880" max="5880" width="3.28515625" style="122" customWidth="1"/>
    <col min="5881" max="5881" width="5.85546875" style="122" customWidth="1"/>
    <col min="5882" max="5882" width="6.5703125" style="122" customWidth="1"/>
    <col min="5883" max="5883" width="3.28515625" style="122" customWidth="1"/>
    <col min="5884" max="5884" width="5.85546875" style="122" customWidth="1"/>
    <col min="5885" max="5885" width="6.5703125" style="122" customWidth="1"/>
    <col min="5886" max="5886" width="3.28515625" style="122" customWidth="1"/>
    <col min="5887" max="5887" width="5.85546875" style="122" customWidth="1"/>
    <col min="5888" max="5888" width="6.5703125" style="122" customWidth="1"/>
    <col min="5889" max="5889" width="3.28515625" style="122" customWidth="1"/>
    <col min="5890" max="5890" width="5.85546875" style="122" customWidth="1"/>
    <col min="5891" max="5891" width="6.5703125" style="122" customWidth="1"/>
    <col min="5892" max="5892" width="3.28515625" style="122" customWidth="1"/>
    <col min="5893" max="5893" width="5.85546875" style="122" customWidth="1"/>
    <col min="5894" max="5894" width="6.5703125" style="122" customWidth="1"/>
    <col min="5895" max="5895" width="3.28515625" style="122" customWidth="1"/>
    <col min="5896" max="5896" width="5.85546875" style="122" customWidth="1"/>
    <col min="5897" max="5897" width="6.5703125" style="122" customWidth="1"/>
    <col min="5898" max="5898" width="3.28515625" style="122" customWidth="1"/>
    <col min="5899" max="5899" width="5.85546875" style="122" customWidth="1"/>
    <col min="5900" max="5900" width="6.5703125" style="122" customWidth="1"/>
    <col min="5901" max="5901" width="3.28515625" style="122" customWidth="1"/>
    <col min="5902" max="5902" width="5.85546875" style="122" customWidth="1"/>
    <col min="5903" max="5903" width="6.5703125" style="122" customWidth="1"/>
    <col min="5904" max="5904" width="9.42578125" style="122" customWidth="1"/>
    <col min="5905" max="6107" width="9.140625" style="122"/>
    <col min="6108" max="6108" width="4.85546875" style="122" customWidth="1"/>
    <col min="6109" max="6109" width="5.140625" style="122" customWidth="1"/>
    <col min="6110" max="6110" width="13.7109375" style="122" customWidth="1"/>
    <col min="6111" max="6111" width="9.42578125" style="122" customWidth="1"/>
    <col min="6112" max="6112" width="7.85546875" style="122" bestFit="1" customWidth="1"/>
    <col min="6113" max="6113" width="9.42578125" style="122" customWidth="1"/>
    <col min="6114" max="6114" width="7.42578125" style="122" customWidth="1"/>
    <col min="6115" max="6115" width="7.85546875" style="122" customWidth="1"/>
    <col min="6116" max="6116" width="11" style="122" customWidth="1"/>
    <col min="6117" max="6117" width="7.5703125" style="122" customWidth="1"/>
    <col min="6118" max="6118" width="3.28515625" style="122" customWidth="1"/>
    <col min="6119" max="6119" width="5.85546875" style="122" customWidth="1"/>
    <col min="6120" max="6120" width="6.5703125" style="122" customWidth="1"/>
    <col min="6121" max="6121" width="3.28515625" style="122" customWidth="1"/>
    <col min="6122" max="6122" width="5.85546875" style="122" customWidth="1"/>
    <col min="6123" max="6123" width="6.5703125" style="122" customWidth="1"/>
    <col min="6124" max="6124" width="3.28515625" style="122" customWidth="1"/>
    <col min="6125" max="6125" width="5.85546875" style="122" customWidth="1"/>
    <col min="6126" max="6126" width="6.5703125" style="122" customWidth="1"/>
    <col min="6127" max="6127" width="3.28515625" style="122" customWidth="1"/>
    <col min="6128" max="6128" width="5.85546875" style="122" customWidth="1"/>
    <col min="6129" max="6129" width="6.5703125" style="122" customWidth="1"/>
    <col min="6130" max="6130" width="3.28515625" style="122" customWidth="1"/>
    <col min="6131" max="6131" width="5.85546875" style="122" customWidth="1"/>
    <col min="6132" max="6132" width="6.5703125" style="122" customWidth="1"/>
    <col min="6133" max="6133" width="3.28515625" style="122" customWidth="1"/>
    <col min="6134" max="6134" width="5.85546875" style="122" customWidth="1"/>
    <col min="6135" max="6135" width="6.5703125" style="122" customWidth="1"/>
    <col min="6136" max="6136" width="3.28515625" style="122" customWidth="1"/>
    <col min="6137" max="6137" width="5.85546875" style="122" customWidth="1"/>
    <col min="6138" max="6138" width="6.5703125" style="122" customWidth="1"/>
    <col min="6139" max="6139" width="3.28515625" style="122" customWidth="1"/>
    <col min="6140" max="6140" width="5.85546875" style="122" customWidth="1"/>
    <col min="6141" max="6141" width="6.5703125" style="122" customWidth="1"/>
    <col min="6142" max="6142" width="3.28515625" style="122" customWidth="1"/>
    <col min="6143" max="6143" width="5.85546875" style="122" customWidth="1"/>
    <col min="6144" max="6144" width="6.5703125" style="122" customWidth="1"/>
    <col min="6145" max="6145" width="3.28515625" style="122" customWidth="1"/>
    <col min="6146" max="6146" width="5.85546875" style="122" customWidth="1"/>
    <col min="6147" max="6147" width="6.5703125" style="122" customWidth="1"/>
    <col min="6148" max="6148" width="3.28515625" style="122" customWidth="1"/>
    <col min="6149" max="6149" width="5.85546875" style="122" customWidth="1"/>
    <col min="6150" max="6150" width="6.5703125" style="122" customWidth="1"/>
    <col min="6151" max="6151" width="3.28515625" style="122" customWidth="1"/>
    <col min="6152" max="6152" width="5.85546875" style="122" customWidth="1"/>
    <col min="6153" max="6153" width="6.5703125" style="122" customWidth="1"/>
    <col min="6154" max="6154" width="3.28515625" style="122" customWidth="1"/>
    <col min="6155" max="6155" width="5.85546875" style="122" customWidth="1"/>
    <col min="6156" max="6156" width="6.5703125" style="122" customWidth="1"/>
    <col min="6157" max="6157" width="3.28515625" style="122" customWidth="1"/>
    <col min="6158" max="6158" width="5.85546875" style="122" customWidth="1"/>
    <col min="6159" max="6159" width="6.5703125" style="122" customWidth="1"/>
    <col min="6160" max="6160" width="9.42578125" style="122" customWidth="1"/>
    <col min="6161" max="6363" width="9.140625" style="122"/>
    <col min="6364" max="6364" width="4.85546875" style="122" customWidth="1"/>
    <col min="6365" max="6365" width="5.140625" style="122" customWidth="1"/>
    <col min="6366" max="6366" width="13.7109375" style="122" customWidth="1"/>
    <col min="6367" max="6367" width="9.42578125" style="122" customWidth="1"/>
    <col min="6368" max="6368" width="7.85546875" style="122" bestFit="1" customWidth="1"/>
    <col min="6369" max="6369" width="9.42578125" style="122" customWidth="1"/>
    <col min="6370" max="6370" width="7.42578125" style="122" customWidth="1"/>
    <col min="6371" max="6371" width="7.85546875" style="122" customWidth="1"/>
    <col min="6372" max="6372" width="11" style="122" customWidth="1"/>
    <col min="6373" max="6373" width="7.5703125" style="122" customWidth="1"/>
    <col min="6374" max="6374" width="3.28515625" style="122" customWidth="1"/>
    <col min="6375" max="6375" width="5.85546875" style="122" customWidth="1"/>
    <col min="6376" max="6376" width="6.5703125" style="122" customWidth="1"/>
    <col min="6377" max="6377" width="3.28515625" style="122" customWidth="1"/>
    <col min="6378" max="6378" width="5.85546875" style="122" customWidth="1"/>
    <col min="6379" max="6379" width="6.5703125" style="122" customWidth="1"/>
    <col min="6380" max="6380" width="3.28515625" style="122" customWidth="1"/>
    <col min="6381" max="6381" width="5.85546875" style="122" customWidth="1"/>
    <col min="6382" max="6382" width="6.5703125" style="122" customWidth="1"/>
    <col min="6383" max="6383" width="3.28515625" style="122" customWidth="1"/>
    <col min="6384" max="6384" width="5.85546875" style="122" customWidth="1"/>
    <col min="6385" max="6385" width="6.5703125" style="122" customWidth="1"/>
    <col min="6386" max="6386" width="3.28515625" style="122" customWidth="1"/>
    <col min="6387" max="6387" width="5.85546875" style="122" customWidth="1"/>
    <col min="6388" max="6388" width="6.5703125" style="122" customWidth="1"/>
    <col min="6389" max="6389" width="3.28515625" style="122" customWidth="1"/>
    <col min="6390" max="6390" width="5.85546875" style="122" customWidth="1"/>
    <col min="6391" max="6391" width="6.5703125" style="122" customWidth="1"/>
    <col min="6392" max="6392" width="3.28515625" style="122" customWidth="1"/>
    <col min="6393" max="6393" width="5.85546875" style="122" customWidth="1"/>
    <col min="6394" max="6394" width="6.5703125" style="122" customWidth="1"/>
    <col min="6395" max="6395" width="3.28515625" style="122" customWidth="1"/>
    <col min="6396" max="6396" width="5.85546875" style="122" customWidth="1"/>
    <col min="6397" max="6397" width="6.5703125" style="122" customWidth="1"/>
    <col min="6398" max="6398" width="3.28515625" style="122" customWidth="1"/>
    <col min="6399" max="6399" width="5.85546875" style="122" customWidth="1"/>
    <col min="6400" max="6400" width="6.5703125" style="122" customWidth="1"/>
    <col min="6401" max="6401" width="3.28515625" style="122" customWidth="1"/>
    <col min="6402" max="6402" width="5.85546875" style="122" customWidth="1"/>
    <col min="6403" max="6403" width="6.5703125" style="122" customWidth="1"/>
    <col min="6404" max="6404" width="3.28515625" style="122" customWidth="1"/>
    <col min="6405" max="6405" width="5.85546875" style="122" customWidth="1"/>
    <col min="6406" max="6406" width="6.5703125" style="122" customWidth="1"/>
    <col min="6407" max="6407" width="3.28515625" style="122" customWidth="1"/>
    <col min="6408" max="6408" width="5.85546875" style="122" customWidth="1"/>
    <col min="6409" max="6409" width="6.5703125" style="122" customWidth="1"/>
    <col min="6410" max="6410" width="3.28515625" style="122" customWidth="1"/>
    <col min="6411" max="6411" width="5.85546875" style="122" customWidth="1"/>
    <col min="6412" max="6412" width="6.5703125" style="122" customWidth="1"/>
    <col min="6413" max="6413" width="3.28515625" style="122" customWidth="1"/>
    <col min="6414" max="6414" width="5.85546875" style="122" customWidth="1"/>
    <col min="6415" max="6415" width="6.5703125" style="122" customWidth="1"/>
    <col min="6416" max="6416" width="9.42578125" style="122" customWidth="1"/>
    <col min="6417" max="6619" width="9.140625" style="122"/>
    <col min="6620" max="6620" width="4.85546875" style="122" customWidth="1"/>
    <col min="6621" max="6621" width="5.140625" style="122" customWidth="1"/>
    <col min="6622" max="6622" width="13.7109375" style="122" customWidth="1"/>
    <col min="6623" max="6623" width="9.42578125" style="122" customWidth="1"/>
    <col min="6624" max="6624" width="7.85546875" style="122" bestFit="1" customWidth="1"/>
    <col min="6625" max="6625" width="9.42578125" style="122" customWidth="1"/>
    <col min="6626" max="6626" width="7.42578125" style="122" customWidth="1"/>
    <col min="6627" max="6627" width="7.85546875" style="122" customWidth="1"/>
    <col min="6628" max="6628" width="11" style="122" customWidth="1"/>
    <col min="6629" max="6629" width="7.5703125" style="122" customWidth="1"/>
    <col min="6630" max="6630" width="3.28515625" style="122" customWidth="1"/>
    <col min="6631" max="6631" width="5.85546875" style="122" customWidth="1"/>
    <col min="6632" max="6632" width="6.5703125" style="122" customWidth="1"/>
    <col min="6633" max="6633" width="3.28515625" style="122" customWidth="1"/>
    <col min="6634" max="6634" width="5.85546875" style="122" customWidth="1"/>
    <col min="6635" max="6635" width="6.5703125" style="122" customWidth="1"/>
    <col min="6636" max="6636" width="3.28515625" style="122" customWidth="1"/>
    <col min="6637" max="6637" width="5.85546875" style="122" customWidth="1"/>
    <col min="6638" max="6638" width="6.5703125" style="122" customWidth="1"/>
    <col min="6639" max="6639" width="3.28515625" style="122" customWidth="1"/>
    <col min="6640" max="6640" width="5.85546875" style="122" customWidth="1"/>
    <col min="6641" max="6641" width="6.5703125" style="122" customWidth="1"/>
    <col min="6642" max="6642" width="3.28515625" style="122" customWidth="1"/>
    <col min="6643" max="6643" width="5.85546875" style="122" customWidth="1"/>
    <col min="6644" max="6644" width="6.5703125" style="122" customWidth="1"/>
    <col min="6645" max="6645" width="3.28515625" style="122" customWidth="1"/>
    <col min="6646" max="6646" width="5.85546875" style="122" customWidth="1"/>
    <col min="6647" max="6647" width="6.5703125" style="122" customWidth="1"/>
    <col min="6648" max="6648" width="3.28515625" style="122" customWidth="1"/>
    <col min="6649" max="6649" width="5.85546875" style="122" customWidth="1"/>
    <col min="6650" max="6650" width="6.5703125" style="122" customWidth="1"/>
    <col min="6651" max="6651" width="3.28515625" style="122" customWidth="1"/>
    <col min="6652" max="6652" width="5.85546875" style="122" customWidth="1"/>
    <col min="6653" max="6653" width="6.5703125" style="122" customWidth="1"/>
    <col min="6654" max="6654" width="3.28515625" style="122" customWidth="1"/>
    <col min="6655" max="6655" width="5.85546875" style="122" customWidth="1"/>
    <col min="6656" max="6656" width="6.5703125" style="122" customWidth="1"/>
    <col min="6657" max="6657" width="3.28515625" style="122" customWidth="1"/>
    <col min="6658" max="6658" width="5.85546875" style="122" customWidth="1"/>
    <col min="6659" max="6659" width="6.5703125" style="122" customWidth="1"/>
    <col min="6660" max="6660" width="3.28515625" style="122" customWidth="1"/>
    <col min="6661" max="6661" width="5.85546875" style="122" customWidth="1"/>
    <col min="6662" max="6662" width="6.5703125" style="122" customWidth="1"/>
    <col min="6663" max="6663" width="3.28515625" style="122" customWidth="1"/>
    <col min="6664" max="6664" width="5.85546875" style="122" customWidth="1"/>
    <col min="6665" max="6665" width="6.5703125" style="122" customWidth="1"/>
    <col min="6666" max="6666" width="3.28515625" style="122" customWidth="1"/>
    <col min="6667" max="6667" width="5.85546875" style="122" customWidth="1"/>
    <col min="6668" max="6668" width="6.5703125" style="122" customWidth="1"/>
    <col min="6669" max="6669" width="3.28515625" style="122" customWidth="1"/>
    <col min="6670" max="6670" width="5.85546875" style="122" customWidth="1"/>
    <col min="6671" max="6671" width="6.5703125" style="122" customWidth="1"/>
    <col min="6672" max="6672" width="9.42578125" style="122" customWidth="1"/>
    <col min="6673" max="6875" width="9.140625" style="122"/>
    <col min="6876" max="6876" width="4.85546875" style="122" customWidth="1"/>
    <col min="6877" max="6877" width="5.140625" style="122" customWidth="1"/>
    <col min="6878" max="6878" width="13.7109375" style="122" customWidth="1"/>
    <col min="6879" max="6879" width="9.42578125" style="122" customWidth="1"/>
    <col min="6880" max="6880" width="7.85546875" style="122" bestFit="1" customWidth="1"/>
    <col min="6881" max="6881" width="9.42578125" style="122" customWidth="1"/>
    <col min="6882" max="6882" width="7.42578125" style="122" customWidth="1"/>
    <col min="6883" max="6883" width="7.85546875" style="122" customWidth="1"/>
    <col min="6884" max="6884" width="11" style="122" customWidth="1"/>
    <col min="6885" max="6885" width="7.5703125" style="122" customWidth="1"/>
    <col min="6886" max="6886" width="3.28515625" style="122" customWidth="1"/>
    <col min="6887" max="6887" width="5.85546875" style="122" customWidth="1"/>
    <col min="6888" max="6888" width="6.5703125" style="122" customWidth="1"/>
    <col min="6889" max="6889" width="3.28515625" style="122" customWidth="1"/>
    <col min="6890" max="6890" width="5.85546875" style="122" customWidth="1"/>
    <col min="6891" max="6891" width="6.5703125" style="122" customWidth="1"/>
    <col min="6892" max="6892" width="3.28515625" style="122" customWidth="1"/>
    <col min="6893" max="6893" width="5.85546875" style="122" customWidth="1"/>
    <col min="6894" max="6894" width="6.5703125" style="122" customWidth="1"/>
    <col min="6895" max="6895" width="3.28515625" style="122" customWidth="1"/>
    <col min="6896" max="6896" width="5.85546875" style="122" customWidth="1"/>
    <col min="6897" max="6897" width="6.5703125" style="122" customWidth="1"/>
    <col min="6898" max="6898" width="3.28515625" style="122" customWidth="1"/>
    <col min="6899" max="6899" width="5.85546875" style="122" customWidth="1"/>
    <col min="6900" max="6900" width="6.5703125" style="122" customWidth="1"/>
    <col min="6901" max="6901" width="3.28515625" style="122" customWidth="1"/>
    <col min="6902" max="6902" width="5.85546875" style="122" customWidth="1"/>
    <col min="6903" max="6903" width="6.5703125" style="122" customWidth="1"/>
    <col min="6904" max="6904" width="3.28515625" style="122" customWidth="1"/>
    <col min="6905" max="6905" width="5.85546875" style="122" customWidth="1"/>
    <col min="6906" max="6906" width="6.5703125" style="122" customWidth="1"/>
    <col min="6907" max="6907" width="3.28515625" style="122" customWidth="1"/>
    <col min="6908" max="6908" width="5.85546875" style="122" customWidth="1"/>
    <col min="6909" max="6909" width="6.5703125" style="122" customWidth="1"/>
    <col min="6910" max="6910" width="3.28515625" style="122" customWidth="1"/>
    <col min="6911" max="6911" width="5.85546875" style="122" customWidth="1"/>
    <col min="6912" max="6912" width="6.5703125" style="122" customWidth="1"/>
    <col min="6913" max="6913" width="3.28515625" style="122" customWidth="1"/>
    <col min="6914" max="6914" width="5.85546875" style="122" customWidth="1"/>
    <col min="6915" max="6915" width="6.5703125" style="122" customWidth="1"/>
    <col min="6916" max="6916" width="3.28515625" style="122" customWidth="1"/>
    <col min="6917" max="6917" width="5.85546875" style="122" customWidth="1"/>
    <col min="6918" max="6918" width="6.5703125" style="122" customWidth="1"/>
    <col min="6919" max="6919" width="3.28515625" style="122" customWidth="1"/>
    <col min="6920" max="6920" width="5.85546875" style="122" customWidth="1"/>
    <col min="6921" max="6921" width="6.5703125" style="122" customWidth="1"/>
    <col min="6922" max="6922" width="3.28515625" style="122" customWidth="1"/>
    <col min="6923" max="6923" width="5.85546875" style="122" customWidth="1"/>
    <col min="6924" max="6924" width="6.5703125" style="122" customWidth="1"/>
    <col min="6925" max="6925" width="3.28515625" style="122" customWidth="1"/>
    <col min="6926" max="6926" width="5.85546875" style="122" customWidth="1"/>
    <col min="6927" max="6927" width="6.5703125" style="122" customWidth="1"/>
    <col min="6928" max="6928" width="9.42578125" style="122" customWidth="1"/>
    <col min="6929" max="7131" width="9.140625" style="122"/>
    <col min="7132" max="7132" width="4.85546875" style="122" customWidth="1"/>
    <col min="7133" max="7133" width="5.140625" style="122" customWidth="1"/>
    <col min="7134" max="7134" width="13.7109375" style="122" customWidth="1"/>
    <col min="7135" max="7135" width="9.42578125" style="122" customWidth="1"/>
    <col min="7136" max="7136" width="7.85546875" style="122" bestFit="1" customWidth="1"/>
    <col min="7137" max="7137" width="9.42578125" style="122" customWidth="1"/>
    <col min="7138" max="7138" width="7.42578125" style="122" customWidth="1"/>
    <col min="7139" max="7139" width="7.85546875" style="122" customWidth="1"/>
    <col min="7140" max="7140" width="11" style="122" customWidth="1"/>
    <col min="7141" max="7141" width="7.5703125" style="122" customWidth="1"/>
    <col min="7142" max="7142" width="3.28515625" style="122" customWidth="1"/>
    <col min="7143" max="7143" width="5.85546875" style="122" customWidth="1"/>
    <col min="7144" max="7144" width="6.5703125" style="122" customWidth="1"/>
    <col min="7145" max="7145" width="3.28515625" style="122" customWidth="1"/>
    <col min="7146" max="7146" width="5.85546875" style="122" customWidth="1"/>
    <col min="7147" max="7147" width="6.5703125" style="122" customWidth="1"/>
    <col min="7148" max="7148" width="3.28515625" style="122" customWidth="1"/>
    <col min="7149" max="7149" width="5.85546875" style="122" customWidth="1"/>
    <col min="7150" max="7150" width="6.5703125" style="122" customWidth="1"/>
    <col min="7151" max="7151" width="3.28515625" style="122" customWidth="1"/>
    <col min="7152" max="7152" width="5.85546875" style="122" customWidth="1"/>
    <col min="7153" max="7153" width="6.5703125" style="122" customWidth="1"/>
    <col min="7154" max="7154" width="3.28515625" style="122" customWidth="1"/>
    <col min="7155" max="7155" width="5.85546875" style="122" customWidth="1"/>
    <col min="7156" max="7156" width="6.5703125" style="122" customWidth="1"/>
    <col min="7157" max="7157" width="3.28515625" style="122" customWidth="1"/>
    <col min="7158" max="7158" width="5.85546875" style="122" customWidth="1"/>
    <col min="7159" max="7159" width="6.5703125" style="122" customWidth="1"/>
    <col min="7160" max="7160" width="3.28515625" style="122" customWidth="1"/>
    <col min="7161" max="7161" width="5.85546875" style="122" customWidth="1"/>
    <col min="7162" max="7162" width="6.5703125" style="122" customWidth="1"/>
    <col min="7163" max="7163" width="3.28515625" style="122" customWidth="1"/>
    <col min="7164" max="7164" width="5.85546875" style="122" customWidth="1"/>
    <col min="7165" max="7165" width="6.5703125" style="122" customWidth="1"/>
    <col min="7166" max="7166" width="3.28515625" style="122" customWidth="1"/>
    <col min="7167" max="7167" width="5.85546875" style="122" customWidth="1"/>
    <col min="7168" max="7168" width="6.5703125" style="122" customWidth="1"/>
    <col min="7169" max="7169" width="3.28515625" style="122" customWidth="1"/>
    <col min="7170" max="7170" width="5.85546875" style="122" customWidth="1"/>
    <col min="7171" max="7171" width="6.5703125" style="122" customWidth="1"/>
    <col min="7172" max="7172" width="3.28515625" style="122" customWidth="1"/>
    <col min="7173" max="7173" width="5.85546875" style="122" customWidth="1"/>
    <col min="7174" max="7174" width="6.5703125" style="122" customWidth="1"/>
    <col min="7175" max="7175" width="3.28515625" style="122" customWidth="1"/>
    <col min="7176" max="7176" width="5.85546875" style="122" customWidth="1"/>
    <col min="7177" max="7177" width="6.5703125" style="122" customWidth="1"/>
    <col min="7178" max="7178" width="3.28515625" style="122" customWidth="1"/>
    <col min="7179" max="7179" width="5.85546875" style="122" customWidth="1"/>
    <col min="7180" max="7180" width="6.5703125" style="122" customWidth="1"/>
    <col min="7181" max="7181" width="3.28515625" style="122" customWidth="1"/>
    <col min="7182" max="7182" width="5.85546875" style="122" customWidth="1"/>
    <col min="7183" max="7183" width="6.5703125" style="122" customWidth="1"/>
    <col min="7184" max="7184" width="9.42578125" style="122" customWidth="1"/>
    <col min="7185" max="7387" width="9.140625" style="122"/>
    <col min="7388" max="7388" width="4.85546875" style="122" customWidth="1"/>
    <col min="7389" max="7389" width="5.140625" style="122" customWidth="1"/>
    <col min="7390" max="7390" width="13.7109375" style="122" customWidth="1"/>
    <col min="7391" max="7391" width="9.42578125" style="122" customWidth="1"/>
    <col min="7392" max="7392" width="7.85546875" style="122" bestFit="1" customWidth="1"/>
    <col min="7393" max="7393" width="9.42578125" style="122" customWidth="1"/>
    <col min="7394" max="7394" width="7.42578125" style="122" customWidth="1"/>
    <col min="7395" max="7395" width="7.85546875" style="122" customWidth="1"/>
    <col min="7396" max="7396" width="11" style="122" customWidth="1"/>
    <col min="7397" max="7397" width="7.5703125" style="122" customWidth="1"/>
    <col min="7398" max="7398" width="3.28515625" style="122" customWidth="1"/>
    <col min="7399" max="7399" width="5.85546875" style="122" customWidth="1"/>
    <col min="7400" max="7400" width="6.5703125" style="122" customWidth="1"/>
    <col min="7401" max="7401" width="3.28515625" style="122" customWidth="1"/>
    <col min="7402" max="7402" width="5.85546875" style="122" customWidth="1"/>
    <col min="7403" max="7403" width="6.5703125" style="122" customWidth="1"/>
    <col min="7404" max="7404" width="3.28515625" style="122" customWidth="1"/>
    <col min="7405" max="7405" width="5.85546875" style="122" customWidth="1"/>
    <col min="7406" max="7406" width="6.5703125" style="122" customWidth="1"/>
    <col min="7407" max="7407" width="3.28515625" style="122" customWidth="1"/>
    <col min="7408" max="7408" width="5.85546875" style="122" customWidth="1"/>
    <col min="7409" max="7409" width="6.5703125" style="122" customWidth="1"/>
    <col min="7410" max="7410" width="3.28515625" style="122" customWidth="1"/>
    <col min="7411" max="7411" width="5.85546875" style="122" customWidth="1"/>
    <col min="7412" max="7412" width="6.5703125" style="122" customWidth="1"/>
    <col min="7413" max="7413" width="3.28515625" style="122" customWidth="1"/>
    <col min="7414" max="7414" width="5.85546875" style="122" customWidth="1"/>
    <col min="7415" max="7415" width="6.5703125" style="122" customWidth="1"/>
    <col min="7416" max="7416" width="3.28515625" style="122" customWidth="1"/>
    <col min="7417" max="7417" width="5.85546875" style="122" customWidth="1"/>
    <col min="7418" max="7418" width="6.5703125" style="122" customWidth="1"/>
    <col min="7419" max="7419" width="3.28515625" style="122" customWidth="1"/>
    <col min="7420" max="7420" width="5.85546875" style="122" customWidth="1"/>
    <col min="7421" max="7421" width="6.5703125" style="122" customWidth="1"/>
    <col min="7422" max="7422" width="3.28515625" style="122" customWidth="1"/>
    <col min="7423" max="7423" width="5.85546875" style="122" customWidth="1"/>
    <col min="7424" max="7424" width="6.5703125" style="122" customWidth="1"/>
    <col min="7425" max="7425" width="3.28515625" style="122" customWidth="1"/>
    <col min="7426" max="7426" width="5.85546875" style="122" customWidth="1"/>
    <col min="7427" max="7427" width="6.5703125" style="122" customWidth="1"/>
    <col min="7428" max="7428" width="3.28515625" style="122" customWidth="1"/>
    <col min="7429" max="7429" width="5.85546875" style="122" customWidth="1"/>
    <col min="7430" max="7430" width="6.5703125" style="122" customWidth="1"/>
    <col min="7431" max="7431" width="3.28515625" style="122" customWidth="1"/>
    <col min="7432" max="7432" width="5.85546875" style="122" customWidth="1"/>
    <col min="7433" max="7433" width="6.5703125" style="122" customWidth="1"/>
    <col min="7434" max="7434" width="3.28515625" style="122" customWidth="1"/>
    <col min="7435" max="7435" width="5.85546875" style="122" customWidth="1"/>
    <col min="7436" max="7436" width="6.5703125" style="122" customWidth="1"/>
    <col min="7437" max="7437" width="3.28515625" style="122" customWidth="1"/>
    <col min="7438" max="7438" width="5.85546875" style="122" customWidth="1"/>
    <col min="7439" max="7439" width="6.5703125" style="122" customWidth="1"/>
    <col min="7440" max="7440" width="9.42578125" style="122" customWidth="1"/>
    <col min="7441" max="7643" width="9.140625" style="122"/>
    <col min="7644" max="7644" width="4.85546875" style="122" customWidth="1"/>
    <col min="7645" max="7645" width="5.140625" style="122" customWidth="1"/>
    <col min="7646" max="7646" width="13.7109375" style="122" customWidth="1"/>
    <col min="7647" max="7647" width="9.42578125" style="122" customWidth="1"/>
    <col min="7648" max="7648" width="7.85546875" style="122" bestFit="1" customWidth="1"/>
    <col min="7649" max="7649" width="9.42578125" style="122" customWidth="1"/>
    <col min="7650" max="7650" width="7.42578125" style="122" customWidth="1"/>
    <col min="7651" max="7651" width="7.85546875" style="122" customWidth="1"/>
    <col min="7652" max="7652" width="11" style="122" customWidth="1"/>
    <col min="7653" max="7653" width="7.5703125" style="122" customWidth="1"/>
    <col min="7654" max="7654" width="3.28515625" style="122" customWidth="1"/>
    <col min="7655" max="7655" width="5.85546875" style="122" customWidth="1"/>
    <col min="7656" max="7656" width="6.5703125" style="122" customWidth="1"/>
    <col min="7657" max="7657" width="3.28515625" style="122" customWidth="1"/>
    <col min="7658" max="7658" width="5.85546875" style="122" customWidth="1"/>
    <col min="7659" max="7659" width="6.5703125" style="122" customWidth="1"/>
    <col min="7660" max="7660" width="3.28515625" style="122" customWidth="1"/>
    <col min="7661" max="7661" width="5.85546875" style="122" customWidth="1"/>
    <col min="7662" max="7662" width="6.5703125" style="122" customWidth="1"/>
    <col min="7663" max="7663" width="3.28515625" style="122" customWidth="1"/>
    <col min="7664" max="7664" width="5.85546875" style="122" customWidth="1"/>
    <col min="7665" max="7665" width="6.5703125" style="122" customWidth="1"/>
    <col min="7666" max="7666" width="3.28515625" style="122" customWidth="1"/>
    <col min="7667" max="7667" width="5.85546875" style="122" customWidth="1"/>
    <col min="7668" max="7668" width="6.5703125" style="122" customWidth="1"/>
    <col min="7669" max="7669" width="3.28515625" style="122" customWidth="1"/>
    <col min="7670" max="7670" width="5.85546875" style="122" customWidth="1"/>
    <col min="7671" max="7671" width="6.5703125" style="122" customWidth="1"/>
    <col min="7672" max="7672" width="3.28515625" style="122" customWidth="1"/>
    <col min="7673" max="7673" width="5.85546875" style="122" customWidth="1"/>
    <col min="7674" max="7674" width="6.5703125" style="122" customWidth="1"/>
    <col min="7675" max="7675" width="3.28515625" style="122" customWidth="1"/>
    <col min="7676" max="7676" width="5.85546875" style="122" customWidth="1"/>
    <col min="7677" max="7677" width="6.5703125" style="122" customWidth="1"/>
    <col min="7678" max="7678" width="3.28515625" style="122" customWidth="1"/>
    <col min="7679" max="7679" width="5.85546875" style="122" customWidth="1"/>
    <col min="7680" max="7680" width="6.5703125" style="122" customWidth="1"/>
    <col min="7681" max="7681" width="3.28515625" style="122" customWidth="1"/>
    <col min="7682" max="7682" width="5.85546875" style="122" customWidth="1"/>
    <col min="7683" max="7683" width="6.5703125" style="122" customWidth="1"/>
    <col min="7684" max="7684" width="3.28515625" style="122" customWidth="1"/>
    <col min="7685" max="7685" width="5.85546875" style="122" customWidth="1"/>
    <col min="7686" max="7686" width="6.5703125" style="122" customWidth="1"/>
    <col min="7687" max="7687" width="3.28515625" style="122" customWidth="1"/>
    <col min="7688" max="7688" width="5.85546875" style="122" customWidth="1"/>
    <col min="7689" max="7689" width="6.5703125" style="122" customWidth="1"/>
    <col min="7690" max="7690" width="3.28515625" style="122" customWidth="1"/>
    <col min="7691" max="7691" width="5.85546875" style="122" customWidth="1"/>
    <col min="7692" max="7692" width="6.5703125" style="122" customWidth="1"/>
    <col min="7693" max="7693" width="3.28515625" style="122" customWidth="1"/>
    <col min="7694" max="7694" width="5.85546875" style="122" customWidth="1"/>
    <col min="7695" max="7695" width="6.5703125" style="122" customWidth="1"/>
    <col min="7696" max="7696" width="9.42578125" style="122" customWidth="1"/>
    <col min="7697" max="7899" width="9.140625" style="122"/>
    <col min="7900" max="7900" width="4.85546875" style="122" customWidth="1"/>
    <col min="7901" max="7901" width="5.140625" style="122" customWidth="1"/>
    <col min="7902" max="7902" width="13.7109375" style="122" customWidth="1"/>
    <col min="7903" max="7903" width="9.42578125" style="122" customWidth="1"/>
    <col min="7904" max="7904" width="7.85546875" style="122" bestFit="1" customWidth="1"/>
    <col min="7905" max="7905" width="9.42578125" style="122" customWidth="1"/>
    <col min="7906" max="7906" width="7.42578125" style="122" customWidth="1"/>
    <col min="7907" max="7907" width="7.85546875" style="122" customWidth="1"/>
    <col min="7908" max="7908" width="11" style="122" customWidth="1"/>
    <col min="7909" max="7909" width="7.5703125" style="122" customWidth="1"/>
    <col min="7910" max="7910" width="3.28515625" style="122" customWidth="1"/>
    <col min="7911" max="7911" width="5.85546875" style="122" customWidth="1"/>
    <col min="7912" max="7912" width="6.5703125" style="122" customWidth="1"/>
    <col min="7913" max="7913" width="3.28515625" style="122" customWidth="1"/>
    <col min="7914" max="7914" width="5.85546875" style="122" customWidth="1"/>
    <col min="7915" max="7915" width="6.5703125" style="122" customWidth="1"/>
    <col min="7916" max="7916" width="3.28515625" style="122" customWidth="1"/>
    <col min="7917" max="7917" width="5.85546875" style="122" customWidth="1"/>
    <col min="7918" max="7918" width="6.5703125" style="122" customWidth="1"/>
    <col min="7919" max="7919" width="3.28515625" style="122" customWidth="1"/>
    <col min="7920" max="7920" width="5.85546875" style="122" customWidth="1"/>
    <col min="7921" max="7921" width="6.5703125" style="122" customWidth="1"/>
    <col min="7922" max="7922" width="3.28515625" style="122" customWidth="1"/>
    <col min="7923" max="7923" width="5.85546875" style="122" customWidth="1"/>
    <col min="7924" max="7924" width="6.5703125" style="122" customWidth="1"/>
    <col min="7925" max="7925" width="3.28515625" style="122" customWidth="1"/>
    <col min="7926" max="7926" width="5.85546875" style="122" customWidth="1"/>
    <col min="7927" max="7927" width="6.5703125" style="122" customWidth="1"/>
    <col min="7928" max="7928" width="3.28515625" style="122" customWidth="1"/>
    <col min="7929" max="7929" width="5.85546875" style="122" customWidth="1"/>
    <col min="7930" max="7930" width="6.5703125" style="122" customWidth="1"/>
    <col min="7931" max="7931" width="3.28515625" style="122" customWidth="1"/>
    <col min="7932" max="7932" width="5.85546875" style="122" customWidth="1"/>
    <col min="7933" max="7933" width="6.5703125" style="122" customWidth="1"/>
    <col min="7934" max="7934" width="3.28515625" style="122" customWidth="1"/>
    <col min="7935" max="7935" width="5.85546875" style="122" customWidth="1"/>
    <col min="7936" max="7936" width="6.5703125" style="122" customWidth="1"/>
    <col min="7937" max="7937" width="3.28515625" style="122" customWidth="1"/>
    <col min="7938" max="7938" width="5.85546875" style="122" customWidth="1"/>
    <col min="7939" max="7939" width="6.5703125" style="122" customWidth="1"/>
    <col min="7940" max="7940" width="3.28515625" style="122" customWidth="1"/>
    <col min="7941" max="7941" width="5.85546875" style="122" customWidth="1"/>
    <col min="7942" max="7942" width="6.5703125" style="122" customWidth="1"/>
    <col min="7943" max="7943" width="3.28515625" style="122" customWidth="1"/>
    <col min="7944" max="7944" width="5.85546875" style="122" customWidth="1"/>
    <col min="7945" max="7945" width="6.5703125" style="122" customWidth="1"/>
    <col min="7946" max="7946" width="3.28515625" style="122" customWidth="1"/>
    <col min="7947" max="7947" width="5.85546875" style="122" customWidth="1"/>
    <col min="7948" max="7948" width="6.5703125" style="122" customWidth="1"/>
    <col min="7949" max="7949" width="3.28515625" style="122" customWidth="1"/>
    <col min="7950" max="7950" width="5.85546875" style="122" customWidth="1"/>
    <col min="7951" max="7951" width="6.5703125" style="122" customWidth="1"/>
    <col min="7952" max="7952" width="9.42578125" style="122" customWidth="1"/>
    <col min="7953" max="8155" width="9.140625" style="122"/>
    <col min="8156" max="8156" width="4.85546875" style="122" customWidth="1"/>
    <col min="8157" max="8157" width="5.140625" style="122" customWidth="1"/>
    <col min="8158" max="8158" width="13.7109375" style="122" customWidth="1"/>
    <col min="8159" max="8159" width="9.42578125" style="122" customWidth="1"/>
    <col min="8160" max="8160" width="7.85546875" style="122" bestFit="1" customWidth="1"/>
    <col min="8161" max="8161" width="9.42578125" style="122" customWidth="1"/>
    <col min="8162" max="8162" width="7.42578125" style="122" customWidth="1"/>
    <col min="8163" max="8163" width="7.85546875" style="122" customWidth="1"/>
    <col min="8164" max="8164" width="11" style="122" customWidth="1"/>
    <col min="8165" max="8165" width="7.5703125" style="122" customWidth="1"/>
    <col min="8166" max="8166" width="3.28515625" style="122" customWidth="1"/>
    <col min="8167" max="8167" width="5.85546875" style="122" customWidth="1"/>
    <col min="8168" max="8168" width="6.5703125" style="122" customWidth="1"/>
    <col min="8169" max="8169" width="3.28515625" style="122" customWidth="1"/>
    <col min="8170" max="8170" width="5.85546875" style="122" customWidth="1"/>
    <col min="8171" max="8171" width="6.5703125" style="122" customWidth="1"/>
    <col min="8172" max="8172" width="3.28515625" style="122" customWidth="1"/>
    <col min="8173" max="8173" width="5.85546875" style="122" customWidth="1"/>
    <col min="8174" max="8174" width="6.5703125" style="122" customWidth="1"/>
    <col min="8175" max="8175" width="3.28515625" style="122" customWidth="1"/>
    <col min="8176" max="8176" width="5.85546875" style="122" customWidth="1"/>
    <col min="8177" max="8177" width="6.5703125" style="122" customWidth="1"/>
    <col min="8178" max="8178" width="3.28515625" style="122" customWidth="1"/>
    <col min="8179" max="8179" width="5.85546875" style="122" customWidth="1"/>
    <col min="8180" max="8180" width="6.5703125" style="122" customWidth="1"/>
    <col min="8181" max="8181" width="3.28515625" style="122" customWidth="1"/>
    <col min="8182" max="8182" width="5.85546875" style="122" customWidth="1"/>
    <col min="8183" max="8183" width="6.5703125" style="122" customWidth="1"/>
    <col min="8184" max="8184" width="3.28515625" style="122" customWidth="1"/>
    <col min="8185" max="8185" width="5.85546875" style="122" customWidth="1"/>
    <col min="8186" max="8186" width="6.5703125" style="122" customWidth="1"/>
    <col min="8187" max="8187" width="3.28515625" style="122" customWidth="1"/>
    <col min="8188" max="8188" width="5.85546875" style="122" customWidth="1"/>
    <col min="8189" max="8189" width="6.5703125" style="122" customWidth="1"/>
    <col min="8190" max="8190" width="3.28515625" style="122" customWidth="1"/>
    <col min="8191" max="8191" width="5.85546875" style="122" customWidth="1"/>
    <col min="8192" max="8192" width="6.5703125" style="122" customWidth="1"/>
    <col min="8193" max="8193" width="3.28515625" style="122" customWidth="1"/>
    <col min="8194" max="8194" width="5.85546875" style="122" customWidth="1"/>
    <col min="8195" max="8195" width="6.5703125" style="122" customWidth="1"/>
    <col min="8196" max="8196" width="3.28515625" style="122" customWidth="1"/>
    <col min="8197" max="8197" width="5.85546875" style="122" customWidth="1"/>
    <col min="8198" max="8198" width="6.5703125" style="122" customWidth="1"/>
    <col min="8199" max="8199" width="3.28515625" style="122" customWidth="1"/>
    <col min="8200" max="8200" width="5.85546875" style="122" customWidth="1"/>
    <col min="8201" max="8201" width="6.5703125" style="122" customWidth="1"/>
    <col min="8202" max="8202" width="3.28515625" style="122" customWidth="1"/>
    <col min="8203" max="8203" width="5.85546875" style="122" customWidth="1"/>
    <col min="8204" max="8204" width="6.5703125" style="122" customWidth="1"/>
    <col min="8205" max="8205" width="3.28515625" style="122" customWidth="1"/>
    <col min="8206" max="8206" width="5.85546875" style="122" customWidth="1"/>
    <col min="8207" max="8207" width="6.5703125" style="122" customWidth="1"/>
    <col min="8208" max="8208" width="9.42578125" style="122" customWidth="1"/>
    <col min="8209" max="8411" width="9.140625" style="122"/>
    <col min="8412" max="8412" width="4.85546875" style="122" customWidth="1"/>
    <col min="8413" max="8413" width="5.140625" style="122" customWidth="1"/>
    <col min="8414" max="8414" width="13.7109375" style="122" customWidth="1"/>
    <col min="8415" max="8415" width="9.42578125" style="122" customWidth="1"/>
    <col min="8416" max="8416" width="7.85546875" style="122" bestFit="1" customWidth="1"/>
    <col min="8417" max="8417" width="9.42578125" style="122" customWidth="1"/>
    <col min="8418" max="8418" width="7.42578125" style="122" customWidth="1"/>
    <col min="8419" max="8419" width="7.85546875" style="122" customWidth="1"/>
    <col min="8420" max="8420" width="11" style="122" customWidth="1"/>
    <col min="8421" max="8421" width="7.5703125" style="122" customWidth="1"/>
    <col min="8422" max="8422" width="3.28515625" style="122" customWidth="1"/>
    <col min="8423" max="8423" width="5.85546875" style="122" customWidth="1"/>
    <col min="8424" max="8424" width="6.5703125" style="122" customWidth="1"/>
    <col min="8425" max="8425" width="3.28515625" style="122" customWidth="1"/>
    <col min="8426" max="8426" width="5.85546875" style="122" customWidth="1"/>
    <col min="8427" max="8427" width="6.5703125" style="122" customWidth="1"/>
    <col min="8428" max="8428" width="3.28515625" style="122" customWidth="1"/>
    <col min="8429" max="8429" width="5.85546875" style="122" customWidth="1"/>
    <col min="8430" max="8430" width="6.5703125" style="122" customWidth="1"/>
    <col min="8431" max="8431" width="3.28515625" style="122" customWidth="1"/>
    <col min="8432" max="8432" width="5.85546875" style="122" customWidth="1"/>
    <col min="8433" max="8433" width="6.5703125" style="122" customWidth="1"/>
    <col min="8434" max="8434" width="3.28515625" style="122" customWidth="1"/>
    <col min="8435" max="8435" width="5.85546875" style="122" customWidth="1"/>
    <col min="8436" max="8436" width="6.5703125" style="122" customWidth="1"/>
    <col min="8437" max="8437" width="3.28515625" style="122" customWidth="1"/>
    <col min="8438" max="8438" width="5.85546875" style="122" customWidth="1"/>
    <col min="8439" max="8439" width="6.5703125" style="122" customWidth="1"/>
    <col min="8440" max="8440" width="3.28515625" style="122" customWidth="1"/>
    <col min="8441" max="8441" width="5.85546875" style="122" customWidth="1"/>
    <col min="8442" max="8442" width="6.5703125" style="122" customWidth="1"/>
    <col min="8443" max="8443" width="3.28515625" style="122" customWidth="1"/>
    <col min="8444" max="8444" width="5.85546875" style="122" customWidth="1"/>
    <col min="8445" max="8445" width="6.5703125" style="122" customWidth="1"/>
    <col min="8446" max="8446" width="3.28515625" style="122" customWidth="1"/>
    <col min="8447" max="8447" width="5.85546875" style="122" customWidth="1"/>
    <col min="8448" max="8448" width="6.5703125" style="122" customWidth="1"/>
    <col min="8449" max="8449" width="3.28515625" style="122" customWidth="1"/>
    <col min="8450" max="8450" width="5.85546875" style="122" customWidth="1"/>
    <col min="8451" max="8451" width="6.5703125" style="122" customWidth="1"/>
    <col min="8452" max="8452" width="3.28515625" style="122" customWidth="1"/>
    <col min="8453" max="8453" width="5.85546875" style="122" customWidth="1"/>
    <col min="8454" max="8454" width="6.5703125" style="122" customWidth="1"/>
    <col min="8455" max="8455" width="3.28515625" style="122" customWidth="1"/>
    <col min="8456" max="8456" width="5.85546875" style="122" customWidth="1"/>
    <col min="8457" max="8457" width="6.5703125" style="122" customWidth="1"/>
    <col min="8458" max="8458" width="3.28515625" style="122" customWidth="1"/>
    <col min="8459" max="8459" width="5.85546875" style="122" customWidth="1"/>
    <col min="8460" max="8460" width="6.5703125" style="122" customWidth="1"/>
    <col min="8461" max="8461" width="3.28515625" style="122" customWidth="1"/>
    <col min="8462" max="8462" width="5.85546875" style="122" customWidth="1"/>
    <col min="8463" max="8463" width="6.5703125" style="122" customWidth="1"/>
    <col min="8464" max="8464" width="9.42578125" style="122" customWidth="1"/>
    <col min="8465" max="8667" width="9.140625" style="122"/>
    <col min="8668" max="8668" width="4.85546875" style="122" customWidth="1"/>
    <col min="8669" max="8669" width="5.140625" style="122" customWidth="1"/>
    <col min="8670" max="8670" width="13.7109375" style="122" customWidth="1"/>
    <col min="8671" max="8671" width="9.42578125" style="122" customWidth="1"/>
    <col min="8672" max="8672" width="7.85546875" style="122" bestFit="1" customWidth="1"/>
    <col min="8673" max="8673" width="9.42578125" style="122" customWidth="1"/>
    <col min="8674" max="8674" width="7.42578125" style="122" customWidth="1"/>
    <col min="8675" max="8675" width="7.85546875" style="122" customWidth="1"/>
    <col min="8676" max="8676" width="11" style="122" customWidth="1"/>
    <col min="8677" max="8677" width="7.5703125" style="122" customWidth="1"/>
    <col min="8678" max="8678" width="3.28515625" style="122" customWidth="1"/>
    <col min="8679" max="8679" width="5.85546875" style="122" customWidth="1"/>
    <col min="8680" max="8680" width="6.5703125" style="122" customWidth="1"/>
    <col min="8681" max="8681" width="3.28515625" style="122" customWidth="1"/>
    <col min="8682" max="8682" width="5.85546875" style="122" customWidth="1"/>
    <col min="8683" max="8683" width="6.5703125" style="122" customWidth="1"/>
    <col min="8684" max="8684" width="3.28515625" style="122" customWidth="1"/>
    <col min="8685" max="8685" width="5.85546875" style="122" customWidth="1"/>
    <col min="8686" max="8686" width="6.5703125" style="122" customWidth="1"/>
    <col min="8687" max="8687" width="3.28515625" style="122" customWidth="1"/>
    <col min="8688" max="8688" width="5.85546875" style="122" customWidth="1"/>
    <col min="8689" max="8689" width="6.5703125" style="122" customWidth="1"/>
    <col min="8690" max="8690" width="3.28515625" style="122" customWidth="1"/>
    <col min="8691" max="8691" width="5.85546875" style="122" customWidth="1"/>
    <col min="8692" max="8692" width="6.5703125" style="122" customWidth="1"/>
    <col min="8693" max="8693" width="3.28515625" style="122" customWidth="1"/>
    <col min="8694" max="8694" width="5.85546875" style="122" customWidth="1"/>
    <col min="8695" max="8695" width="6.5703125" style="122" customWidth="1"/>
    <col min="8696" max="8696" width="3.28515625" style="122" customWidth="1"/>
    <col min="8697" max="8697" width="5.85546875" style="122" customWidth="1"/>
    <col min="8698" max="8698" width="6.5703125" style="122" customWidth="1"/>
    <col min="8699" max="8699" width="3.28515625" style="122" customWidth="1"/>
    <col min="8700" max="8700" width="5.85546875" style="122" customWidth="1"/>
    <col min="8701" max="8701" width="6.5703125" style="122" customWidth="1"/>
    <col min="8702" max="8702" width="3.28515625" style="122" customWidth="1"/>
    <col min="8703" max="8703" width="5.85546875" style="122" customWidth="1"/>
    <col min="8704" max="8704" width="6.5703125" style="122" customWidth="1"/>
    <col min="8705" max="8705" width="3.28515625" style="122" customWidth="1"/>
    <col min="8706" max="8706" width="5.85546875" style="122" customWidth="1"/>
    <col min="8707" max="8707" width="6.5703125" style="122" customWidth="1"/>
    <col min="8708" max="8708" width="3.28515625" style="122" customWidth="1"/>
    <col min="8709" max="8709" width="5.85546875" style="122" customWidth="1"/>
    <col min="8710" max="8710" width="6.5703125" style="122" customWidth="1"/>
    <col min="8711" max="8711" width="3.28515625" style="122" customWidth="1"/>
    <col min="8712" max="8712" width="5.85546875" style="122" customWidth="1"/>
    <col min="8713" max="8713" width="6.5703125" style="122" customWidth="1"/>
    <col min="8714" max="8714" width="3.28515625" style="122" customWidth="1"/>
    <col min="8715" max="8715" width="5.85546875" style="122" customWidth="1"/>
    <col min="8716" max="8716" width="6.5703125" style="122" customWidth="1"/>
    <col min="8717" max="8717" width="3.28515625" style="122" customWidth="1"/>
    <col min="8718" max="8718" width="5.85546875" style="122" customWidth="1"/>
    <col min="8719" max="8719" width="6.5703125" style="122" customWidth="1"/>
    <col min="8720" max="8720" width="9.42578125" style="122" customWidth="1"/>
    <col min="8721" max="8923" width="9.140625" style="122"/>
    <col min="8924" max="8924" width="4.85546875" style="122" customWidth="1"/>
    <col min="8925" max="8925" width="5.140625" style="122" customWidth="1"/>
    <col min="8926" max="8926" width="13.7109375" style="122" customWidth="1"/>
    <col min="8927" max="8927" width="9.42578125" style="122" customWidth="1"/>
    <col min="8928" max="8928" width="7.85546875" style="122" bestFit="1" customWidth="1"/>
    <col min="8929" max="8929" width="9.42578125" style="122" customWidth="1"/>
    <col min="8930" max="8930" width="7.42578125" style="122" customWidth="1"/>
    <col min="8931" max="8931" width="7.85546875" style="122" customWidth="1"/>
    <col min="8932" max="8932" width="11" style="122" customWidth="1"/>
    <col min="8933" max="8933" width="7.5703125" style="122" customWidth="1"/>
    <col min="8934" max="8934" width="3.28515625" style="122" customWidth="1"/>
    <col min="8935" max="8935" width="5.85546875" style="122" customWidth="1"/>
    <col min="8936" max="8936" width="6.5703125" style="122" customWidth="1"/>
    <col min="8937" max="8937" width="3.28515625" style="122" customWidth="1"/>
    <col min="8938" max="8938" width="5.85546875" style="122" customWidth="1"/>
    <col min="8939" max="8939" width="6.5703125" style="122" customWidth="1"/>
    <col min="8940" max="8940" width="3.28515625" style="122" customWidth="1"/>
    <col min="8941" max="8941" width="5.85546875" style="122" customWidth="1"/>
    <col min="8942" max="8942" width="6.5703125" style="122" customWidth="1"/>
    <col min="8943" max="8943" width="3.28515625" style="122" customWidth="1"/>
    <col min="8944" max="8944" width="5.85546875" style="122" customWidth="1"/>
    <col min="8945" max="8945" width="6.5703125" style="122" customWidth="1"/>
    <col min="8946" max="8946" width="3.28515625" style="122" customWidth="1"/>
    <col min="8947" max="8947" width="5.85546875" style="122" customWidth="1"/>
    <col min="8948" max="8948" width="6.5703125" style="122" customWidth="1"/>
    <col min="8949" max="8949" width="3.28515625" style="122" customWidth="1"/>
    <col min="8950" max="8950" width="5.85546875" style="122" customWidth="1"/>
    <col min="8951" max="8951" width="6.5703125" style="122" customWidth="1"/>
    <col min="8952" max="8952" width="3.28515625" style="122" customWidth="1"/>
    <col min="8953" max="8953" width="5.85546875" style="122" customWidth="1"/>
    <col min="8954" max="8954" width="6.5703125" style="122" customWidth="1"/>
    <col min="8955" max="8955" width="3.28515625" style="122" customWidth="1"/>
    <col min="8956" max="8956" width="5.85546875" style="122" customWidth="1"/>
    <col min="8957" max="8957" width="6.5703125" style="122" customWidth="1"/>
    <col min="8958" max="8958" width="3.28515625" style="122" customWidth="1"/>
    <col min="8959" max="8959" width="5.85546875" style="122" customWidth="1"/>
    <col min="8960" max="8960" width="6.5703125" style="122" customWidth="1"/>
    <col min="8961" max="8961" width="3.28515625" style="122" customWidth="1"/>
    <col min="8962" max="8962" width="5.85546875" style="122" customWidth="1"/>
    <col min="8963" max="8963" width="6.5703125" style="122" customWidth="1"/>
    <col min="8964" max="8964" width="3.28515625" style="122" customWidth="1"/>
    <col min="8965" max="8965" width="5.85546875" style="122" customWidth="1"/>
    <col min="8966" max="8966" width="6.5703125" style="122" customWidth="1"/>
    <col min="8967" max="8967" width="3.28515625" style="122" customWidth="1"/>
    <col min="8968" max="8968" width="5.85546875" style="122" customWidth="1"/>
    <col min="8969" max="8969" width="6.5703125" style="122" customWidth="1"/>
    <col min="8970" max="8970" width="3.28515625" style="122" customWidth="1"/>
    <col min="8971" max="8971" width="5.85546875" style="122" customWidth="1"/>
    <col min="8972" max="8972" width="6.5703125" style="122" customWidth="1"/>
    <col min="8973" max="8973" width="3.28515625" style="122" customWidth="1"/>
    <col min="8974" max="8974" width="5.85546875" style="122" customWidth="1"/>
    <col min="8975" max="8975" width="6.5703125" style="122" customWidth="1"/>
    <col min="8976" max="8976" width="9.42578125" style="122" customWidth="1"/>
    <col min="8977" max="9179" width="9.140625" style="122"/>
    <col min="9180" max="9180" width="4.85546875" style="122" customWidth="1"/>
    <col min="9181" max="9181" width="5.140625" style="122" customWidth="1"/>
    <col min="9182" max="9182" width="13.7109375" style="122" customWidth="1"/>
    <col min="9183" max="9183" width="9.42578125" style="122" customWidth="1"/>
    <col min="9184" max="9184" width="7.85546875" style="122" bestFit="1" customWidth="1"/>
    <col min="9185" max="9185" width="9.42578125" style="122" customWidth="1"/>
    <col min="9186" max="9186" width="7.42578125" style="122" customWidth="1"/>
    <col min="9187" max="9187" width="7.85546875" style="122" customWidth="1"/>
    <col min="9188" max="9188" width="11" style="122" customWidth="1"/>
    <col min="9189" max="9189" width="7.5703125" style="122" customWidth="1"/>
    <col min="9190" max="9190" width="3.28515625" style="122" customWidth="1"/>
    <col min="9191" max="9191" width="5.85546875" style="122" customWidth="1"/>
    <col min="9192" max="9192" width="6.5703125" style="122" customWidth="1"/>
    <col min="9193" max="9193" width="3.28515625" style="122" customWidth="1"/>
    <col min="9194" max="9194" width="5.85546875" style="122" customWidth="1"/>
    <col min="9195" max="9195" width="6.5703125" style="122" customWidth="1"/>
    <col min="9196" max="9196" width="3.28515625" style="122" customWidth="1"/>
    <col min="9197" max="9197" width="5.85546875" style="122" customWidth="1"/>
    <col min="9198" max="9198" width="6.5703125" style="122" customWidth="1"/>
    <col min="9199" max="9199" width="3.28515625" style="122" customWidth="1"/>
    <col min="9200" max="9200" width="5.85546875" style="122" customWidth="1"/>
    <col min="9201" max="9201" width="6.5703125" style="122" customWidth="1"/>
    <col min="9202" max="9202" width="3.28515625" style="122" customWidth="1"/>
    <col min="9203" max="9203" width="5.85546875" style="122" customWidth="1"/>
    <col min="9204" max="9204" width="6.5703125" style="122" customWidth="1"/>
    <col min="9205" max="9205" width="3.28515625" style="122" customWidth="1"/>
    <col min="9206" max="9206" width="5.85546875" style="122" customWidth="1"/>
    <col min="9207" max="9207" width="6.5703125" style="122" customWidth="1"/>
    <col min="9208" max="9208" width="3.28515625" style="122" customWidth="1"/>
    <col min="9209" max="9209" width="5.85546875" style="122" customWidth="1"/>
    <col min="9210" max="9210" width="6.5703125" style="122" customWidth="1"/>
    <col min="9211" max="9211" width="3.28515625" style="122" customWidth="1"/>
    <col min="9212" max="9212" width="5.85546875" style="122" customWidth="1"/>
    <col min="9213" max="9213" width="6.5703125" style="122" customWidth="1"/>
    <col min="9214" max="9214" width="3.28515625" style="122" customWidth="1"/>
    <col min="9215" max="9215" width="5.85546875" style="122" customWidth="1"/>
    <col min="9216" max="9216" width="6.5703125" style="122" customWidth="1"/>
    <col min="9217" max="9217" width="3.28515625" style="122" customWidth="1"/>
    <col min="9218" max="9218" width="5.85546875" style="122" customWidth="1"/>
    <col min="9219" max="9219" width="6.5703125" style="122" customWidth="1"/>
    <col min="9220" max="9220" width="3.28515625" style="122" customWidth="1"/>
    <col min="9221" max="9221" width="5.85546875" style="122" customWidth="1"/>
    <col min="9222" max="9222" width="6.5703125" style="122" customWidth="1"/>
    <col min="9223" max="9223" width="3.28515625" style="122" customWidth="1"/>
    <col min="9224" max="9224" width="5.85546875" style="122" customWidth="1"/>
    <col min="9225" max="9225" width="6.5703125" style="122" customWidth="1"/>
    <col min="9226" max="9226" width="3.28515625" style="122" customWidth="1"/>
    <col min="9227" max="9227" width="5.85546875" style="122" customWidth="1"/>
    <col min="9228" max="9228" width="6.5703125" style="122" customWidth="1"/>
    <col min="9229" max="9229" width="3.28515625" style="122" customWidth="1"/>
    <col min="9230" max="9230" width="5.85546875" style="122" customWidth="1"/>
    <col min="9231" max="9231" width="6.5703125" style="122" customWidth="1"/>
    <col min="9232" max="9232" width="9.42578125" style="122" customWidth="1"/>
    <col min="9233" max="9435" width="9.140625" style="122"/>
    <col min="9436" max="9436" width="4.85546875" style="122" customWidth="1"/>
    <col min="9437" max="9437" width="5.140625" style="122" customWidth="1"/>
    <col min="9438" max="9438" width="13.7109375" style="122" customWidth="1"/>
    <col min="9439" max="9439" width="9.42578125" style="122" customWidth="1"/>
    <col min="9440" max="9440" width="7.85546875" style="122" bestFit="1" customWidth="1"/>
    <col min="9441" max="9441" width="9.42578125" style="122" customWidth="1"/>
    <col min="9442" max="9442" width="7.42578125" style="122" customWidth="1"/>
    <col min="9443" max="9443" width="7.85546875" style="122" customWidth="1"/>
    <col min="9444" max="9444" width="11" style="122" customWidth="1"/>
    <col min="9445" max="9445" width="7.5703125" style="122" customWidth="1"/>
    <col min="9446" max="9446" width="3.28515625" style="122" customWidth="1"/>
    <col min="9447" max="9447" width="5.85546875" style="122" customWidth="1"/>
    <col min="9448" max="9448" width="6.5703125" style="122" customWidth="1"/>
    <col min="9449" max="9449" width="3.28515625" style="122" customWidth="1"/>
    <col min="9450" max="9450" width="5.85546875" style="122" customWidth="1"/>
    <col min="9451" max="9451" width="6.5703125" style="122" customWidth="1"/>
    <col min="9452" max="9452" width="3.28515625" style="122" customWidth="1"/>
    <col min="9453" max="9453" width="5.85546875" style="122" customWidth="1"/>
    <col min="9454" max="9454" width="6.5703125" style="122" customWidth="1"/>
    <col min="9455" max="9455" width="3.28515625" style="122" customWidth="1"/>
    <col min="9456" max="9456" width="5.85546875" style="122" customWidth="1"/>
    <col min="9457" max="9457" width="6.5703125" style="122" customWidth="1"/>
    <col min="9458" max="9458" width="3.28515625" style="122" customWidth="1"/>
    <col min="9459" max="9459" width="5.85546875" style="122" customWidth="1"/>
    <col min="9460" max="9460" width="6.5703125" style="122" customWidth="1"/>
    <col min="9461" max="9461" width="3.28515625" style="122" customWidth="1"/>
    <col min="9462" max="9462" width="5.85546875" style="122" customWidth="1"/>
    <col min="9463" max="9463" width="6.5703125" style="122" customWidth="1"/>
    <col min="9464" max="9464" width="3.28515625" style="122" customWidth="1"/>
    <col min="9465" max="9465" width="5.85546875" style="122" customWidth="1"/>
    <col min="9466" max="9466" width="6.5703125" style="122" customWidth="1"/>
    <col min="9467" max="9467" width="3.28515625" style="122" customWidth="1"/>
    <col min="9468" max="9468" width="5.85546875" style="122" customWidth="1"/>
    <col min="9469" max="9469" width="6.5703125" style="122" customWidth="1"/>
    <col min="9470" max="9470" width="3.28515625" style="122" customWidth="1"/>
    <col min="9471" max="9471" width="5.85546875" style="122" customWidth="1"/>
    <col min="9472" max="9472" width="6.5703125" style="122" customWidth="1"/>
    <col min="9473" max="9473" width="3.28515625" style="122" customWidth="1"/>
    <col min="9474" max="9474" width="5.85546875" style="122" customWidth="1"/>
    <col min="9475" max="9475" width="6.5703125" style="122" customWidth="1"/>
    <col min="9476" max="9476" width="3.28515625" style="122" customWidth="1"/>
    <col min="9477" max="9477" width="5.85546875" style="122" customWidth="1"/>
    <col min="9478" max="9478" width="6.5703125" style="122" customWidth="1"/>
    <col min="9479" max="9479" width="3.28515625" style="122" customWidth="1"/>
    <col min="9480" max="9480" width="5.85546875" style="122" customWidth="1"/>
    <col min="9481" max="9481" width="6.5703125" style="122" customWidth="1"/>
    <col min="9482" max="9482" width="3.28515625" style="122" customWidth="1"/>
    <col min="9483" max="9483" width="5.85546875" style="122" customWidth="1"/>
    <col min="9484" max="9484" width="6.5703125" style="122" customWidth="1"/>
    <col min="9485" max="9485" width="3.28515625" style="122" customWidth="1"/>
    <col min="9486" max="9486" width="5.85546875" style="122" customWidth="1"/>
    <col min="9487" max="9487" width="6.5703125" style="122" customWidth="1"/>
    <col min="9488" max="9488" width="9.42578125" style="122" customWidth="1"/>
    <col min="9489" max="9691" width="9.140625" style="122"/>
    <col min="9692" max="9692" width="4.85546875" style="122" customWidth="1"/>
    <col min="9693" max="9693" width="5.140625" style="122" customWidth="1"/>
    <col min="9694" max="9694" width="13.7109375" style="122" customWidth="1"/>
    <col min="9695" max="9695" width="9.42578125" style="122" customWidth="1"/>
    <col min="9696" max="9696" width="7.85546875" style="122" bestFit="1" customWidth="1"/>
    <col min="9697" max="9697" width="9.42578125" style="122" customWidth="1"/>
    <col min="9698" max="9698" width="7.42578125" style="122" customWidth="1"/>
    <col min="9699" max="9699" width="7.85546875" style="122" customWidth="1"/>
    <col min="9700" max="9700" width="11" style="122" customWidth="1"/>
    <col min="9701" max="9701" width="7.5703125" style="122" customWidth="1"/>
    <col min="9702" max="9702" width="3.28515625" style="122" customWidth="1"/>
    <col min="9703" max="9703" width="5.85546875" style="122" customWidth="1"/>
    <col min="9704" max="9704" width="6.5703125" style="122" customWidth="1"/>
    <col min="9705" max="9705" width="3.28515625" style="122" customWidth="1"/>
    <col min="9706" max="9706" width="5.85546875" style="122" customWidth="1"/>
    <col min="9707" max="9707" width="6.5703125" style="122" customWidth="1"/>
    <col min="9708" max="9708" width="3.28515625" style="122" customWidth="1"/>
    <col min="9709" max="9709" width="5.85546875" style="122" customWidth="1"/>
    <col min="9710" max="9710" width="6.5703125" style="122" customWidth="1"/>
    <col min="9711" max="9711" width="3.28515625" style="122" customWidth="1"/>
    <col min="9712" max="9712" width="5.85546875" style="122" customWidth="1"/>
    <col min="9713" max="9713" width="6.5703125" style="122" customWidth="1"/>
    <col min="9714" max="9714" width="3.28515625" style="122" customWidth="1"/>
    <col min="9715" max="9715" width="5.85546875" style="122" customWidth="1"/>
    <col min="9716" max="9716" width="6.5703125" style="122" customWidth="1"/>
    <col min="9717" max="9717" width="3.28515625" style="122" customWidth="1"/>
    <col min="9718" max="9718" width="5.85546875" style="122" customWidth="1"/>
    <col min="9719" max="9719" width="6.5703125" style="122" customWidth="1"/>
    <col min="9720" max="9720" width="3.28515625" style="122" customWidth="1"/>
    <col min="9721" max="9721" width="5.85546875" style="122" customWidth="1"/>
    <col min="9722" max="9722" width="6.5703125" style="122" customWidth="1"/>
    <col min="9723" max="9723" width="3.28515625" style="122" customWidth="1"/>
    <col min="9724" max="9724" width="5.85546875" style="122" customWidth="1"/>
    <col min="9725" max="9725" width="6.5703125" style="122" customWidth="1"/>
    <col min="9726" max="9726" width="3.28515625" style="122" customWidth="1"/>
    <col min="9727" max="9727" width="5.85546875" style="122" customWidth="1"/>
    <col min="9728" max="9728" width="6.5703125" style="122" customWidth="1"/>
    <col min="9729" max="9729" width="3.28515625" style="122" customWidth="1"/>
    <col min="9730" max="9730" width="5.85546875" style="122" customWidth="1"/>
    <col min="9731" max="9731" width="6.5703125" style="122" customWidth="1"/>
    <col min="9732" max="9732" width="3.28515625" style="122" customWidth="1"/>
    <col min="9733" max="9733" width="5.85546875" style="122" customWidth="1"/>
    <col min="9734" max="9734" width="6.5703125" style="122" customWidth="1"/>
    <col min="9735" max="9735" width="3.28515625" style="122" customWidth="1"/>
    <col min="9736" max="9736" width="5.85546875" style="122" customWidth="1"/>
    <col min="9737" max="9737" width="6.5703125" style="122" customWidth="1"/>
    <col min="9738" max="9738" width="3.28515625" style="122" customWidth="1"/>
    <col min="9739" max="9739" width="5.85546875" style="122" customWidth="1"/>
    <col min="9740" max="9740" width="6.5703125" style="122" customWidth="1"/>
    <col min="9741" max="9741" width="3.28515625" style="122" customWidth="1"/>
    <col min="9742" max="9742" width="5.85546875" style="122" customWidth="1"/>
    <col min="9743" max="9743" width="6.5703125" style="122" customWidth="1"/>
    <col min="9744" max="9744" width="9.42578125" style="122" customWidth="1"/>
    <col min="9745" max="9947" width="9.140625" style="122"/>
    <col min="9948" max="9948" width="4.85546875" style="122" customWidth="1"/>
    <col min="9949" max="9949" width="5.140625" style="122" customWidth="1"/>
    <col min="9950" max="9950" width="13.7109375" style="122" customWidth="1"/>
    <col min="9951" max="9951" width="9.42578125" style="122" customWidth="1"/>
    <col min="9952" max="9952" width="7.85546875" style="122" bestFit="1" customWidth="1"/>
    <col min="9953" max="9953" width="9.42578125" style="122" customWidth="1"/>
    <col min="9954" max="9954" width="7.42578125" style="122" customWidth="1"/>
    <col min="9955" max="9955" width="7.85546875" style="122" customWidth="1"/>
    <col min="9956" max="9956" width="11" style="122" customWidth="1"/>
    <col min="9957" max="9957" width="7.5703125" style="122" customWidth="1"/>
    <col min="9958" max="9958" width="3.28515625" style="122" customWidth="1"/>
    <col min="9959" max="9959" width="5.85546875" style="122" customWidth="1"/>
    <col min="9960" max="9960" width="6.5703125" style="122" customWidth="1"/>
    <col min="9961" max="9961" width="3.28515625" style="122" customWidth="1"/>
    <col min="9962" max="9962" width="5.85546875" style="122" customWidth="1"/>
    <col min="9963" max="9963" width="6.5703125" style="122" customWidth="1"/>
    <col min="9964" max="9964" width="3.28515625" style="122" customWidth="1"/>
    <col min="9965" max="9965" width="5.85546875" style="122" customWidth="1"/>
    <col min="9966" max="9966" width="6.5703125" style="122" customWidth="1"/>
    <col min="9967" max="9967" width="3.28515625" style="122" customWidth="1"/>
    <col min="9968" max="9968" width="5.85546875" style="122" customWidth="1"/>
    <col min="9969" max="9969" width="6.5703125" style="122" customWidth="1"/>
    <col min="9970" max="9970" width="3.28515625" style="122" customWidth="1"/>
    <col min="9971" max="9971" width="5.85546875" style="122" customWidth="1"/>
    <col min="9972" max="9972" width="6.5703125" style="122" customWidth="1"/>
    <col min="9973" max="9973" width="3.28515625" style="122" customWidth="1"/>
    <col min="9974" max="9974" width="5.85546875" style="122" customWidth="1"/>
    <col min="9975" max="9975" width="6.5703125" style="122" customWidth="1"/>
    <col min="9976" max="9976" width="3.28515625" style="122" customWidth="1"/>
    <col min="9977" max="9977" width="5.85546875" style="122" customWidth="1"/>
    <col min="9978" max="9978" width="6.5703125" style="122" customWidth="1"/>
    <col min="9979" max="9979" width="3.28515625" style="122" customWidth="1"/>
    <col min="9980" max="9980" width="5.85546875" style="122" customWidth="1"/>
    <col min="9981" max="9981" width="6.5703125" style="122" customWidth="1"/>
    <col min="9982" max="9982" width="3.28515625" style="122" customWidth="1"/>
    <col min="9983" max="9983" width="5.85546875" style="122" customWidth="1"/>
    <col min="9984" max="9984" width="6.5703125" style="122" customWidth="1"/>
    <col min="9985" max="9985" width="3.28515625" style="122" customWidth="1"/>
    <col min="9986" max="9986" width="5.85546875" style="122" customWidth="1"/>
    <col min="9987" max="9987" width="6.5703125" style="122" customWidth="1"/>
    <col min="9988" max="9988" width="3.28515625" style="122" customWidth="1"/>
    <col min="9989" max="9989" width="5.85546875" style="122" customWidth="1"/>
    <col min="9990" max="9990" width="6.5703125" style="122" customWidth="1"/>
    <col min="9991" max="9991" width="3.28515625" style="122" customWidth="1"/>
    <col min="9992" max="9992" width="5.85546875" style="122" customWidth="1"/>
    <col min="9993" max="9993" width="6.5703125" style="122" customWidth="1"/>
    <col min="9994" max="9994" width="3.28515625" style="122" customWidth="1"/>
    <col min="9995" max="9995" width="5.85546875" style="122" customWidth="1"/>
    <col min="9996" max="9996" width="6.5703125" style="122" customWidth="1"/>
    <col min="9997" max="9997" width="3.28515625" style="122" customWidth="1"/>
    <col min="9998" max="9998" width="5.85546875" style="122" customWidth="1"/>
    <col min="9999" max="9999" width="6.5703125" style="122" customWidth="1"/>
    <col min="10000" max="10000" width="9.42578125" style="122" customWidth="1"/>
    <col min="10001" max="10203" width="9.140625" style="122"/>
    <col min="10204" max="10204" width="4.85546875" style="122" customWidth="1"/>
    <col min="10205" max="10205" width="5.140625" style="122" customWidth="1"/>
    <col min="10206" max="10206" width="13.7109375" style="122" customWidth="1"/>
    <col min="10207" max="10207" width="9.42578125" style="122" customWidth="1"/>
    <col min="10208" max="10208" width="7.85546875" style="122" bestFit="1" customWidth="1"/>
    <col min="10209" max="10209" width="9.42578125" style="122" customWidth="1"/>
    <col min="10210" max="10210" width="7.42578125" style="122" customWidth="1"/>
    <col min="10211" max="10211" width="7.85546875" style="122" customWidth="1"/>
    <col min="10212" max="10212" width="11" style="122" customWidth="1"/>
    <col min="10213" max="10213" width="7.5703125" style="122" customWidth="1"/>
    <col min="10214" max="10214" width="3.28515625" style="122" customWidth="1"/>
    <col min="10215" max="10215" width="5.85546875" style="122" customWidth="1"/>
    <col min="10216" max="10216" width="6.5703125" style="122" customWidth="1"/>
    <col min="10217" max="10217" width="3.28515625" style="122" customWidth="1"/>
    <col min="10218" max="10218" width="5.85546875" style="122" customWidth="1"/>
    <col min="10219" max="10219" width="6.5703125" style="122" customWidth="1"/>
    <col min="10220" max="10220" width="3.28515625" style="122" customWidth="1"/>
    <col min="10221" max="10221" width="5.85546875" style="122" customWidth="1"/>
    <col min="10222" max="10222" width="6.5703125" style="122" customWidth="1"/>
    <col min="10223" max="10223" width="3.28515625" style="122" customWidth="1"/>
    <col min="10224" max="10224" width="5.85546875" style="122" customWidth="1"/>
    <col min="10225" max="10225" width="6.5703125" style="122" customWidth="1"/>
    <col min="10226" max="10226" width="3.28515625" style="122" customWidth="1"/>
    <col min="10227" max="10227" width="5.85546875" style="122" customWidth="1"/>
    <col min="10228" max="10228" width="6.5703125" style="122" customWidth="1"/>
    <col min="10229" max="10229" width="3.28515625" style="122" customWidth="1"/>
    <col min="10230" max="10230" width="5.85546875" style="122" customWidth="1"/>
    <col min="10231" max="10231" width="6.5703125" style="122" customWidth="1"/>
    <col min="10232" max="10232" width="3.28515625" style="122" customWidth="1"/>
    <col min="10233" max="10233" width="5.85546875" style="122" customWidth="1"/>
    <col min="10234" max="10234" width="6.5703125" style="122" customWidth="1"/>
    <col min="10235" max="10235" width="3.28515625" style="122" customWidth="1"/>
    <col min="10236" max="10236" width="5.85546875" style="122" customWidth="1"/>
    <col min="10237" max="10237" width="6.5703125" style="122" customWidth="1"/>
    <col min="10238" max="10238" width="3.28515625" style="122" customWidth="1"/>
    <col min="10239" max="10239" width="5.85546875" style="122" customWidth="1"/>
    <col min="10240" max="10240" width="6.5703125" style="122" customWidth="1"/>
    <col min="10241" max="10241" width="3.28515625" style="122" customWidth="1"/>
    <col min="10242" max="10242" width="5.85546875" style="122" customWidth="1"/>
    <col min="10243" max="10243" width="6.5703125" style="122" customWidth="1"/>
    <col min="10244" max="10244" width="3.28515625" style="122" customWidth="1"/>
    <col min="10245" max="10245" width="5.85546875" style="122" customWidth="1"/>
    <col min="10246" max="10246" width="6.5703125" style="122" customWidth="1"/>
    <col min="10247" max="10247" width="3.28515625" style="122" customWidth="1"/>
    <col min="10248" max="10248" width="5.85546875" style="122" customWidth="1"/>
    <col min="10249" max="10249" width="6.5703125" style="122" customWidth="1"/>
    <col min="10250" max="10250" width="3.28515625" style="122" customWidth="1"/>
    <col min="10251" max="10251" width="5.85546875" style="122" customWidth="1"/>
    <col min="10252" max="10252" width="6.5703125" style="122" customWidth="1"/>
    <col min="10253" max="10253" width="3.28515625" style="122" customWidth="1"/>
    <col min="10254" max="10254" width="5.85546875" style="122" customWidth="1"/>
    <col min="10255" max="10255" width="6.5703125" style="122" customWidth="1"/>
    <col min="10256" max="10256" width="9.42578125" style="122" customWidth="1"/>
    <col min="10257" max="10459" width="9.140625" style="122"/>
    <col min="10460" max="10460" width="4.85546875" style="122" customWidth="1"/>
    <col min="10461" max="10461" width="5.140625" style="122" customWidth="1"/>
    <col min="10462" max="10462" width="13.7109375" style="122" customWidth="1"/>
    <col min="10463" max="10463" width="9.42578125" style="122" customWidth="1"/>
    <col min="10464" max="10464" width="7.85546875" style="122" bestFit="1" customWidth="1"/>
    <col min="10465" max="10465" width="9.42578125" style="122" customWidth="1"/>
    <col min="10466" max="10466" width="7.42578125" style="122" customWidth="1"/>
    <col min="10467" max="10467" width="7.85546875" style="122" customWidth="1"/>
    <col min="10468" max="10468" width="11" style="122" customWidth="1"/>
    <col min="10469" max="10469" width="7.5703125" style="122" customWidth="1"/>
    <col min="10470" max="10470" width="3.28515625" style="122" customWidth="1"/>
    <col min="10471" max="10471" width="5.85546875" style="122" customWidth="1"/>
    <col min="10472" max="10472" width="6.5703125" style="122" customWidth="1"/>
    <col min="10473" max="10473" width="3.28515625" style="122" customWidth="1"/>
    <col min="10474" max="10474" width="5.85546875" style="122" customWidth="1"/>
    <col min="10475" max="10475" width="6.5703125" style="122" customWidth="1"/>
    <col min="10476" max="10476" width="3.28515625" style="122" customWidth="1"/>
    <col min="10477" max="10477" width="5.85546875" style="122" customWidth="1"/>
    <col min="10478" max="10478" width="6.5703125" style="122" customWidth="1"/>
    <col min="10479" max="10479" width="3.28515625" style="122" customWidth="1"/>
    <col min="10480" max="10480" width="5.85546875" style="122" customWidth="1"/>
    <col min="10481" max="10481" width="6.5703125" style="122" customWidth="1"/>
    <col min="10482" max="10482" width="3.28515625" style="122" customWidth="1"/>
    <col min="10483" max="10483" width="5.85546875" style="122" customWidth="1"/>
    <col min="10484" max="10484" width="6.5703125" style="122" customWidth="1"/>
    <col min="10485" max="10485" width="3.28515625" style="122" customWidth="1"/>
    <col min="10486" max="10486" width="5.85546875" style="122" customWidth="1"/>
    <col min="10487" max="10487" width="6.5703125" style="122" customWidth="1"/>
    <col min="10488" max="10488" width="3.28515625" style="122" customWidth="1"/>
    <col min="10489" max="10489" width="5.85546875" style="122" customWidth="1"/>
    <col min="10490" max="10490" width="6.5703125" style="122" customWidth="1"/>
    <col min="10491" max="10491" width="3.28515625" style="122" customWidth="1"/>
    <col min="10492" max="10492" width="5.85546875" style="122" customWidth="1"/>
    <col min="10493" max="10493" width="6.5703125" style="122" customWidth="1"/>
    <col min="10494" max="10494" width="3.28515625" style="122" customWidth="1"/>
    <col min="10495" max="10495" width="5.85546875" style="122" customWidth="1"/>
    <col min="10496" max="10496" width="6.5703125" style="122" customWidth="1"/>
    <col min="10497" max="10497" width="3.28515625" style="122" customWidth="1"/>
    <col min="10498" max="10498" width="5.85546875" style="122" customWidth="1"/>
    <col min="10499" max="10499" width="6.5703125" style="122" customWidth="1"/>
    <col min="10500" max="10500" width="3.28515625" style="122" customWidth="1"/>
    <col min="10501" max="10501" width="5.85546875" style="122" customWidth="1"/>
    <col min="10502" max="10502" width="6.5703125" style="122" customWidth="1"/>
    <col min="10503" max="10503" width="3.28515625" style="122" customWidth="1"/>
    <col min="10504" max="10504" width="5.85546875" style="122" customWidth="1"/>
    <col min="10505" max="10505" width="6.5703125" style="122" customWidth="1"/>
    <col min="10506" max="10506" width="3.28515625" style="122" customWidth="1"/>
    <col min="10507" max="10507" width="5.85546875" style="122" customWidth="1"/>
    <col min="10508" max="10508" width="6.5703125" style="122" customWidth="1"/>
    <col min="10509" max="10509" width="3.28515625" style="122" customWidth="1"/>
    <col min="10510" max="10510" width="5.85546875" style="122" customWidth="1"/>
    <col min="10511" max="10511" width="6.5703125" style="122" customWidth="1"/>
    <col min="10512" max="10512" width="9.42578125" style="122" customWidth="1"/>
    <col min="10513" max="10715" width="9.140625" style="122"/>
    <col min="10716" max="10716" width="4.85546875" style="122" customWidth="1"/>
    <col min="10717" max="10717" width="5.140625" style="122" customWidth="1"/>
    <col min="10718" max="10718" width="13.7109375" style="122" customWidth="1"/>
    <col min="10719" max="10719" width="9.42578125" style="122" customWidth="1"/>
    <col min="10720" max="10720" width="7.85546875" style="122" bestFit="1" customWidth="1"/>
    <col min="10721" max="10721" width="9.42578125" style="122" customWidth="1"/>
    <col min="10722" max="10722" width="7.42578125" style="122" customWidth="1"/>
    <col min="10723" max="10723" width="7.85546875" style="122" customWidth="1"/>
    <col min="10724" max="10724" width="11" style="122" customWidth="1"/>
    <col min="10725" max="10725" width="7.5703125" style="122" customWidth="1"/>
    <col min="10726" max="10726" width="3.28515625" style="122" customWidth="1"/>
    <col min="10727" max="10727" width="5.85546875" style="122" customWidth="1"/>
    <col min="10728" max="10728" width="6.5703125" style="122" customWidth="1"/>
    <col min="10729" max="10729" width="3.28515625" style="122" customWidth="1"/>
    <col min="10730" max="10730" width="5.85546875" style="122" customWidth="1"/>
    <col min="10731" max="10731" width="6.5703125" style="122" customWidth="1"/>
    <col min="10732" max="10732" width="3.28515625" style="122" customWidth="1"/>
    <col min="10733" max="10733" width="5.85546875" style="122" customWidth="1"/>
    <col min="10734" max="10734" width="6.5703125" style="122" customWidth="1"/>
    <col min="10735" max="10735" width="3.28515625" style="122" customWidth="1"/>
    <col min="10736" max="10736" width="5.85546875" style="122" customWidth="1"/>
    <col min="10737" max="10737" width="6.5703125" style="122" customWidth="1"/>
    <col min="10738" max="10738" width="3.28515625" style="122" customWidth="1"/>
    <col min="10739" max="10739" width="5.85546875" style="122" customWidth="1"/>
    <col min="10740" max="10740" width="6.5703125" style="122" customWidth="1"/>
    <col min="10741" max="10741" width="3.28515625" style="122" customWidth="1"/>
    <col min="10742" max="10742" width="5.85546875" style="122" customWidth="1"/>
    <col min="10743" max="10743" width="6.5703125" style="122" customWidth="1"/>
    <col min="10744" max="10744" width="3.28515625" style="122" customWidth="1"/>
    <col min="10745" max="10745" width="5.85546875" style="122" customWidth="1"/>
    <col min="10746" max="10746" width="6.5703125" style="122" customWidth="1"/>
    <col min="10747" max="10747" width="3.28515625" style="122" customWidth="1"/>
    <col min="10748" max="10748" width="5.85546875" style="122" customWidth="1"/>
    <col min="10749" max="10749" width="6.5703125" style="122" customWidth="1"/>
    <col min="10750" max="10750" width="3.28515625" style="122" customWidth="1"/>
    <col min="10751" max="10751" width="5.85546875" style="122" customWidth="1"/>
    <col min="10752" max="10752" width="6.5703125" style="122" customWidth="1"/>
    <col min="10753" max="10753" width="3.28515625" style="122" customWidth="1"/>
    <col min="10754" max="10754" width="5.85546875" style="122" customWidth="1"/>
    <col min="10755" max="10755" width="6.5703125" style="122" customWidth="1"/>
    <col min="10756" max="10756" width="3.28515625" style="122" customWidth="1"/>
    <col min="10757" max="10757" width="5.85546875" style="122" customWidth="1"/>
    <col min="10758" max="10758" width="6.5703125" style="122" customWidth="1"/>
    <col min="10759" max="10759" width="3.28515625" style="122" customWidth="1"/>
    <col min="10760" max="10760" width="5.85546875" style="122" customWidth="1"/>
    <col min="10761" max="10761" width="6.5703125" style="122" customWidth="1"/>
    <col min="10762" max="10762" width="3.28515625" style="122" customWidth="1"/>
    <col min="10763" max="10763" width="5.85546875" style="122" customWidth="1"/>
    <col min="10764" max="10764" width="6.5703125" style="122" customWidth="1"/>
    <col min="10765" max="10765" width="3.28515625" style="122" customWidth="1"/>
    <col min="10766" max="10766" width="5.85546875" style="122" customWidth="1"/>
    <col min="10767" max="10767" width="6.5703125" style="122" customWidth="1"/>
    <col min="10768" max="10768" width="9.42578125" style="122" customWidth="1"/>
    <col min="10769" max="10971" width="9.140625" style="122"/>
    <col min="10972" max="10972" width="4.85546875" style="122" customWidth="1"/>
    <col min="10973" max="10973" width="5.140625" style="122" customWidth="1"/>
    <col min="10974" max="10974" width="13.7109375" style="122" customWidth="1"/>
    <col min="10975" max="10975" width="9.42578125" style="122" customWidth="1"/>
    <col min="10976" max="10976" width="7.85546875" style="122" bestFit="1" customWidth="1"/>
    <col min="10977" max="10977" width="9.42578125" style="122" customWidth="1"/>
    <col min="10978" max="10978" width="7.42578125" style="122" customWidth="1"/>
    <col min="10979" max="10979" width="7.85546875" style="122" customWidth="1"/>
    <col min="10980" max="10980" width="11" style="122" customWidth="1"/>
    <col min="10981" max="10981" width="7.5703125" style="122" customWidth="1"/>
    <col min="10982" max="10982" width="3.28515625" style="122" customWidth="1"/>
    <col min="10983" max="10983" width="5.85546875" style="122" customWidth="1"/>
    <col min="10984" max="10984" width="6.5703125" style="122" customWidth="1"/>
    <col min="10985" max="10985" width="3.28515625" style="122" customWidth="1"/>
    <col min="10986" max="10986" width="5.85546875" style="122" customWidth="1"/>
    <col min="10987" max="10987" width="6.5703125" style="122" customWidth="1"/>
    <col min="10988" max="10988" width="3.28515625" style="122" customWidth="1"/>
    <col min="10989" max="10989" width="5.85546875" style="122" customWidth="1"/>
    <col min="10990" max="10990" width="6.5703125" style="122" customWidth="1"/>
    <col min="10991" max="10991" width="3.28515625" style="122" customWidth="1"/>
    <col min="10992" max="10992" width="5.85546875" style="122" customWidth="1"/>
    <col min="10993" max="10993" width="6.5703125" style="122" customWidth="1"/>
    <col min="10994" max="10994" width="3.28515625" style="122" customWidth="1"/>
    <col min="10995" max="10995" width="5.85546875" style="122" customWidth="1"/>
    <col min="10996" max="10996" width="6.5703125" style="122" customWidth="1"/>
    <col min="10997" max="10997" width="3.28515625" style="122" customWidth="1"/>
    <col min="10998" max="10998" width="5.85546875" style="122" customWidth="1"/>
    <col min="10999" max="10999" width="6.5703125" style="122" customWidth="1"/>
    <col min="11000" max="11000" width="3.28515625" style="122" customWidth="1"/>
    <col min="11001" max="11001" width="5.85546875" style="122" customWidth="1"/>
    <col min="11002" max="11002" width="6.5703125" style="122" customWidth="1"/>
    <col min="11003" max="11003" width="3.28515625" style="122" customWidth="1"/>
    <col min="11004" max="11004" width="5.85546875" style="122" customWidth="1"/>
    <col min="11005" max="11005" width="6.5703125" style="122" customWidth="1"/>
    <col min="11006" max="11006" width="3.28515625" style="122" customWidth="1"/>
    <col min="11007" max="11007" width="5.85546875" style="122" customWidth="1"/>
    <col min="11008" max="11008" width="6.5703125" style="122" customWidth="1"/>
    <col min="11009" max="11009" width="3.28515625" style="122" customWidth="1"/>
    <col min="11010" max="11010" width="5.85546875" style="122" customWidth="1"/>
    <col min="11011" max="11011" width="6.5703125" style="122" customWidth="1"/>
    <col min="11012" max="11012" width="3.28515625" style="122" customWidth="1"/>
    <col min="11013" max="11013" width="5.85546875" style="122" customWidth="1"/>
    <col min="11014" max="11014" width="6.5703125" style="122" customWidth="1"/>
    <col min="11015" max="11015" width="3.28515625" style="122" customWidth="1"/>
    <col min="11016" max="11016" width="5.85546875" style="122" customWidth="1"/>
    <col min="11017" max="11017" width="6.5703125" style="122" customWidth="1"/>
    <col min="11018" max="11018" width="3.28515625" style="122" customWidth="1"/>
    <col min="11019" max="11019" width="5.85546875" style="122" customWidth="1"/>
    <col min="11020" max="11020" width="6.5703125" style="122" customWidth="1"/>
    <col min="11021" max="11021" width="3.28515625" style="122" customWidth="1"/>
    <col min="11022" max="11022" width="5.85546875" style="122" customWidth="1"/>
    <col min="11023" max="11023" width="6.5703125" style="122" customWidth="1"/>
    <col min="11024" max="11024" width="9.42578125" style="122" customWidth="1"/>
    <col min="11025" max="11227" width="9.140625" style="122"/>
    <col min="11228" max="11228" width="4.85546875" style="122" customWidth="1"/>
    <col min="11229" max="11229" width="5.140625" style="122" customWidth="1"/>
    <col min="11230" max="11230" width="13.7109375" style="122" customWidth="1"/>
    <col min="11231" max="11231" width="9.42578125" style="122" customWidth="1"/>
    <col min="11232" max="11232" width="7.85546875" style="122" bestFit="1" customWidth="1"/>
    <col min="11233" max="11233" width="9.42578125" style="122" customWidth="1"/>
    <col min="11234" max="11234" width="7.42578125" style="122" customWidth="1"/>
    <col min="11235" max="11235" width="7.85546875" style="122" customWidth="1"/>
    <col min="11236" max="11236" width="11" style="122" customWidth="1"/>
    <col min="11237" max="11237" width="7.5703125" style="122" customWidth="1"/>
    <col min="11238" max="11238" width="3.28515625" style="122" customWidth="1"/>
    <col min="11239" max="11239" width="5.85546875" style="122" customWidth="1"/>
    <col min="11240" max="11240" width="6.5703125" style="122" customWidth="1"/>
    <col min="11241" max="11241" width="3.28515625" style="122" customWidth="1"/>
    <col min="11242" max="11242" width="5.85546875" style="122" customWidth="1"/>
    <col min="11243" max="11243" width="6.5703125" style="122" customWidth="1"/>
    <col min="11244" max="11244" width="3.28515625" style="122" customWidth="1"/>
    <col min="11245" max="11245" width="5.85546875" style="122" customWidth="1"/>
    <col min="11246" max="11246" width="6.5703125" style="122" customWidth="1"/>
    <col min="11247" max="11247" width="3.28515625" style="122" customWidth="1"/>
    <col min="11248" max="11248" width="5.85546875" style="122" customWidth="1"/>
    <col min="11249" max="11249" width="6.5703125" style="122" customWidth="1"/>
    <col min="11250" max="11250" width="3.28515625" style="122" customWidth="1"/>
    <col min="11251" max="11251" width="5.85546875" style="122" customWidth="1"/>
    <col min="11252" max="11252" width="6.5703125" style="122" customWidth="1"/>
    <col min="11253" max="11253" width="3.28515625" style="122" customWidth="1"/>
    <col min="11254" max="11254" width="5.85546875" style="122" customWidth="1"/>
    <col min="11255" max="11255" width="6.5703125" style="122" customWidth="1"/>
    <col min="11256" max="11256" width="3.28515625" style="122" customWidth="1"/>
    <col min="11257" max="11257" width="5.85546875" style="122" customWidth="1"/>
    <col min="11258" max="11258" width="6.5703125" style="122" customWidth="1"/>
    <col min="11259" max="11259" width="3.28515625" style="122" customWidth="1"/>
    <col min="11260" max="11260" width="5.85546875" style="122" customWidth="1"/>
    <col min="11261" max="11261" width="6.5703125" style="122" customWidth="1"/>
    <col min="11262" max="11262" width="3.28515625" style="122" customWidth="1"/>
    <col min="11263" max="11263" width="5.85546875" style="122" customWidth="1"/>
    <col min="11264" max="11264" width="6.5703125" style="122" customWidth="1"/>
    <col min="11265" max="11265" width="3.28515625" style="122" customWidth="1"/>
    <col min="11266" max="11266" width="5.85546875" style="122" customWidth="1"/>
    <col min="11267" max="11267" width="6.5703125" style="122" customWidth="1"/>
    <col min="11268" max="11268" width="3.28515625" style="122" customWidth="1"/>
    <col min="11269" max="11269" width="5.85546875" style="122" customWidth="1"/>
    <col min="11270" max="11270" width="6.5703125" style="122" customWidth="1"/>
    <col min="11271" max="11271" width="3.28515625" style="122" customWidth="1"/>
    <col min="11272" max="11272" width="5.85546875" style="122" customWidth="1"/>
    <col min="11273" max="11273" width="6.5703125" style="122" customWidth="1"/>
    <col min="11274" max="11274" width="3.28515625" style="122" customWidth="1"/>
    <col min="11275" max="11275" width="5.85546875" style="122" customWidth="1"/>
    <col min="11276" max="11276" width="6.5703125" style="122" customWidth="1"/>
    <col min="11277" max="11277" width="3.28515625" style="122" customWidth="1"/>
    <col min="11278" max="11278" width="5.85546875" style="122" customWidth="1"/>
    <col min="11279" max="11279" width="6.5703125" style="122" customWidth="1"/>
    <col min="11280" max="11280" width="9.42578125" style="122" customWidth="1"/>
    <col min="11281" max="11483" width="9.140625" style="122"/>
    <col min="11484" max="11484" width="4.85546875" style="122" customWidth="1"/>
    <col min="11485" max="11485" width="5.140625" style="122" customWidth="1"/>
    <col min="11486" max="11486" width="13.7109375" style="122" customWidth="1"/>
    <col min="11487" max="11487" width="9.42578125" style="122" customWidth="1"/>
    <col min="11488" max="11488" width="7.85546875" style="122" bestFit="1" customWidth="1"/>
    <col min="11489" max="11489" width="9.42578125" style="122" customWidth="1"/>
    <col min="11490" max="11490" width="7.42578125" style="122" customWidth="1"/>
    <col min="11491" max="11491" width="7.85546875" style="122" customWidth="1"/>
    <col min="11492" max="11492" width="11" style="122" customWidth="1"/>
    <col min="11493" max="11493" width="7.5703125" style="122" customWidth="1"/>
    <col min="11494" max="11494" width="3.28515625" style="122" customWidth="1"/>
    <col min="11495" max="11495" width="5.85546875" style="122" customWidth="1"/>
    <col min="11496" max="11496" width="6.5703125" style="122" customWidth="1"/>
    <col min="11497" max="11497" width="3.28515625" style="122" customWidth="1"/>
    <col min="11498" max="11498" width="5.85546875" style="122" customWidth="1"/>
    <col min="11499" max="11499" width="6.5703125" style="122" customWidth="1"/>
    <col min="11500" max="11500" width="3.28515625" style="122" customWidth="1"/>
    <col min="11501" max="11501" width="5.85546875" style="122" customWidth="1"/>
    <col min="11502" max="11502" width="6.5703125" style="122" customWidth="1"/>
    <col min="11503" max="11503" width="3.28515625" style="122" customWidth="1"/>
    <col min="11504" max="11504" width="5.85546875" style="122" customWidth="1"/>
    <col min="11505" max="11505" width="6.5703125" style="122" customWidth="1"/>
    <col min="11506" max="11506" width="3.28515625" style="122" customWidth="1"/>
    <col min="11507" max="11507" width="5.85546875" style="122" customWidth="1"/>
    <col min="11508" max="11508" width="6.5703125" style="122" customWidth="1"/>
    <col min="11509" max="11509" width="3.28515625" style="122" customWidth="1"/>
    <col min="11510" max="11510" width="5.85546875" style="122" customWidth="1"/>
    <col min="11511" max="11511" width="6.5703125" style="122" customWidth="1"/>
    <col min="11512" max="11512" width="3.28515625" style="122" customWidth="1"/>
    <col min="11513" max="11513" width="5.85546875" style="122" customWidth="1"/>
    <col min="11514" max="11514" width="6.5703125" style="122" customWidth="1"/>
    <col min="11515" max="11515" width="3.28515625" style="122" customWidth="1"/>
    <col min="11516" max="11516" width="5.85546875" style="122" customWidth="1"/>
    <col min="11517" max="11517" width="6.5703125" style="122" customWidth="1"/>
    <col min="11518" max="11518" width="3.28515625" style="122" customWidth="1"/>
    <col min="11519" max="11519" width="5.85546875" style="122" customWidth="1"/>
    <col min="11520" max="11520" width="6.5703125" style="122" customWidth="1"/>
    <col min="11521" max="11521" width="3.28515625" style="122" customWidth="1"/>
    <col min="11522" max="11522" width="5.85546875" style="122" customWidth="1"/>
    <col min="11523" max="11523" width="6.5703125" style="122" customWidth="1"/>
    <col min="11524" max="11524" width="3.28515625" style="122" customWidth="1"/>
    <col min="11525" max="11525" width="5.85546875" style="122" customWidth="1"/>
    <col min="11526" max="11526" width="6.5703125" style="122" customWidth="1"/>
    <col min="11527" max="11527" width="3.28515625" style="122" customWidth="1"/>
    <col min="11528" max="11528" width="5.85546875" style="122" customWidth="1"/>
    <col min="11529" max="11529" width="6.5703125" style="122" customWidth="1"/>
    <col min="11530" max="11530" width="3.28515625" style="122" customWidth="1"/>
    <col min="11531" max="11531" width="5.85546875" style="122" customWidth="1"/>
    <col min="11532" max="11532" width="6.5703125" style="122" customWidth="1"/>
    <col min="11533" max="11533" width="3.28515625" style="122" customWidth="1"/>
    <col min="11534" max="11534" width="5.85546875" style="122" customWidth="1"/>
    <col min="11535" max="11535" width="6.5703125" style="122" customWidth="1"/>
    <col min="11536" max="11536" width="9.42578125" style="122" customWidth="1"/>
    <col min="11537" max="11739" width="9.140625" style="122"/>
    <col min="11740" max="11740" width="4.85546875" style="122" customWidth="1"/>
    <col min="11741" max="11741" width="5.140625" style="122" customWidth="1"/>
    <col min="11742" max="11742" width="13.7109375" style="122" customWidth="1"/>
    <col min="11743" max="11743" width="9.42578125" style="122" customWidth="1"/>
    <col min="11744" max="11744" width="7.85546875" style="122" bestFit="1" customWidth="1"/>
    <col min="11745" max="11745" width="9.42578125" style="122" customWidth="1"/>
    <col min="11746" max="11746" width="7.42578125" style="122" customWidth="1"/>
    <col min="11747" max="11747" width="7.85546875" style="122" customWidth="1"/>
    <col min="11748" max="11748" width="11" style="122" customWidth="1"/>
    <col min="11749" max="11749" width="7.5703125" style="122" customWidth="1"/>
    <col min="11750" max="11750" width="3.28515625" style="122" customWidth="1"/>
    <col min="11751" max="11751" width="5.85546875" style="122" customWidth="1"/>
    <col min="11752" max="11752" width="6.5703125" style="122" customWidth="1"/>
    <col min="11753" max="11753" width="3.28515625" style="122" customWidth="1"/>
    <col min="11754" max="11754" width="5.85546875" style="122" customWidth="1"/>
    <col min="11755" max="11755" width="6.5703125" style="122" customWidth="1"/>
    <col min="11756" max="11756" width="3.28515625" style="122" customWidth="1"/>
    <col min="11757" max="11757" width="5.85546875" style="122" customWidth="1"/>
    <col min="11758" max="11758" width="6.5703125" style="122" customWidth="1"/>
    <col min="11759" max="11759" width="3.28515625" style="122" customWidth="1"/>
    <col min="11760" max="11760" width="5.85546875" style="122" customWidth="1"/>
    <col min="11761" max="11761" width="6.5703125" style="122" customWidth="1"/>
    <col min="11762" max="11762" width="3.28515625" style="122" customWidth="1"/>
    <col min="11763" max="11763" width="5.85546875" style="122" customWidth="1"/>
    <col min="11764" max="11764" width="6.5703125" style="122" customWidth="1"/>
    <col min="11765" max="11765" width="3.28515625" style="122" customWidth="1"/>
    <col min="11766" max="11766" width="5.85546875" style="122" customWidth="1"/>
    <col min="11767" max="11767" width="6.5703125" style="122" customWidth="1"/>
    <col min="11768" max="11768" width="3.28515625" style="122" customWidth="1"/>
    <col min="11769" max="11769" width="5.85546875" style="122" customWidth="1"/>
    <col min="11770" max="11770" width="6.5703125" style="122" customWidth="1"/>
    <col min="11771" max="11771" width="3.28515625" style="122" customWidth="1"/>
    <col min="11772" max="11772" width="5.85546875" style="122" customWidth="1"/>
    <col min="11773" max="11773" width="6.5703125" style="122" customWidth="1"/>
    <col min="11774" max="11774" width="3.28515625" style="122" customWidth="1"/>
    <col min="11775" max="11775" width="5.85546875" style="122" customWidth="1"/>
    <col min="11776" max="11776" width="6.5703125" style="122" customWidth="1"/>
    <col min="11777" max="11777" width="3.28515625" style="122" customWidth="1"/>
    <col min="11778" max="11778" width="5.85546875" style="122" customWidth="1"/>
    <col min="11779" max="11779" width="6.5703125" style="122" customWidth="1"/>
    <col min="11780" max="11780" width="3.28515625" style="122" customWidth="1"/>
    <col min="11781" max="11781" width="5.85546875" style="122" customWidth="1"/>
    <col min="11782" max="11782" width="6.5703125" style="122" customWidth="1"/>
    <col min="11783" max="11783" width="3.28515625" style="122" customWidth="1"/>
    <col min="11784" max="11784" width="5.85546875" style="122" customWidth="1"/>
    <col min="11785" max="11785" width="6.5703125" style="122" customWidth="1"/>
    <col min="11786" max="11786" width="3.28515625" style="122" customWidth="1"/>
    <col min="11787" max="11787" width="5.85546875" style="122" customWidth="1"/>
    <col min="11788" max="11788" width="6.5703125" style="122" customWidth="1"/>
    <col min="11789" max="11789" width="3.28515625" style="122" customWidth="1"/>
    <col min="11790" max="11790" width="5.85546875" style="122" customWidth="1"/>
    <col min="11791" max="11791" width="6.5703125" style="122" customWidth="1"/>
    <col min="11792" max="11792" width="9.42578125" style="122" customWidth="1"/>
    <col min="11793" max="11995" width="9.140625" style="122"/>
    <col min="11996" max="11996" width="4.85546875" style="122" customWidth="1"/>
    <col min="11997" max="11997" width="5.140625" style="122" customWidth="1"/>
    <col min="11998" max="11998" width="13.7109375" style="122" customWidth="1"/>
    <col min="11999" max="11999" width="9.42578125" style="122" customWidth="1"/>
    <col min="12000" max="12000" width="7.85546875" style="122" bestFit="1" customWidth="1"/>
    <col min="12001" max="12001" width="9.42578125" style="122" customWidth="1"/>
    <col min="12002" max="12002" width="7.42578125" style="122" customWidth="1"/>
    <col min="12003" max="12003" width="7.85546875" style="122" customWidth="1"/>
    <col min="12004" max="12004" width="11" style="122" customWidth="1"/>
    <col min="12005" max="12005" width="7.5703125" style="122" customWidth="1"/>
    <col min="12006" max="12006" width="3.28515625" style="122" customWidth="1"/>
    <col min="12007" max="12007" width="5.85546875" style="122" customWidth="1"/>
    <col min="12008" max="12008" width="6.5703125" style="122" customWidth="1"/>
    <col min="12009" max="12009" width="3.28515625" style="122" customWidth="1"/>
    <col min="12010" max="12010" width="5.85546875" style="122" customWidth="1"/>
    <col min="12011" max="12011" width="6.5703125" style="122" customWidth="1"/>
    <col min="12012" max="12012" width="3.28515625" style="122" customWidth="1"/>
    <col min="12013" max="12013" width="5.85546875" style="122" customWidth="1"/>
    <col min="12014" max="12014" width="6.5703125" style="122" customWidth="1"/>
    <col min="12015" max="12015" width="3.28515625" style="122" customWidth="1"/>
    <col min="12016" max="12016" width="5.85546875" style="122" customWidth="1"/>
    <col min="12017" max="12017" width="6.5703125" style="122" customWidth="1"/>
    <col min="12018" max="12018" width="3.28515625" style="122" customWidth="1"/>
    <col min="12019" max="12019" width="5.85546875" style="122" customWidth="1"/>
    <col min="12020" max="12020" width="6.5703125" style="122" customWidth="1"/>
    <col min="12021" max="12021" width="3.28515625" style="122" customWidth="1"/>
    <col min="12022" max="12022" width="5.85546875" style="122" customWidth="1"/>
    <col min="12023" max="12023" width="6.5703125" style="122" customWidth="1"/>
    <col min="12024" max="12024" width="3.28515625" style="122" customWidth="1"/>
    <col min="12025" max="12025" width="5.85546875" style="122" customWidth="1"/>
    <col min="12026" max="12026" width="6.5703125" style="122" customWidth="1"/>
    <col min="12027" max="12027" width="3.28515625" style="122" customWidth="1"/>
    <col min="12028" max="12028" width="5.85546875" style="122" customWidth="1"/>
    <col min="12029" max="12029" width="6.5703125" style="122" customWidth="1"/>
    <col min="12030" max="12030" width="3.28515625" style="122" customWidth="1"/>
    <col min="12031" max="12031" width="5.85546875" style="122" customWidth="1"/>
    <col min="12032" max="12032" width="6.5703125" style="122" customWidth="1"/>
    <col min="12033" max="12033" width="3.28515625" style="122" customWidth="1"/>
    <col min="12034" max="12034" width="5.85546875" style="122" customWidth="1"/>
    <col min="12035" max="12035" width="6.5703125" style="122" customWidth="1"/>
    <col min="12036" max="12036" width="3.28515625" style="122" customWidth="1"/>
    <col min="12037" max="12037" width="5.85546875" style="122" customWidth="1"/>
    <col min="12038" max="12038" width="6.5703125" style="122" customWidth="1"/>
    <col min="12039" max="12039" width="3.28515625" style="122" customWidth="1"/>
    <col min="12040" max="12040" width="5.85546875" style="122" customWidth="1"/>
    <col min="12041" max="12041" width="6.5703125" style="122" customWidth="1"/>
    <col min="12042" max="12042" width="3.28515625" style="122" customWidth="1"/>
    <col min="12043" max="12043" width="5.85546875" style="122" customWidth="1"/>
    <col min="12044" max="12044" width="6.5703125" style="122" customWidth="1"/>
    <col min="12045" max="12045" width="3.28515625" style="122" customWidth="1"/>
    <col min="12046" max="12046" width="5.85546875" style="122" customWidth="1"/>
    <col min="12047" max="12047" width="6.5703125" style="122" customWidth="1"/>
    <col min="12048" max="12048" width="9.42578125" style="122" customWidth="1"/>
    <col min="12049" max="12251" width="9.140625" style="122"/>
    <col min="12252" max="12252" width="4.85546875" style="122" customWidth="1"/>
    <col min="12253" max="12253" width="5.140625" style="122" customWidth="1"/>
    <col min="12254" max="12254" width="13.7109375" style="122" customWidth="1"/>
    <col min="12255" max="12255" width="9.42578125" style="122" customWidth="1"/>
    <col min="12256" max="12256" width="7.85546875" style="122" bestFit="1" customWidth="1"/>
    <col min="12257" max="12257" width="9.42578125" style="122" customWidth="1"/>
    <col min="12258" max="12258" width="7.42578125" style="122" customWidth="1"/>
    <col min="12259" max="12259" width="7.85546875" style="122" customWidth="1"/>
    <col min="12260" max="12260" width="11" style="122" customWidth="1"/>
    <col min="12261" max="12261" width="7.5703125" style="122" customWidth="1"/>
    <col min="12262" max="12262" width="3.28515625" style="122" customWidth="1"/>
    <col min="12263" max="12263" width="5.85546875" style="122" customWidth="1"/>
    <col min="12264" max="12264" width="6.5703125" style="122" customWidth="1"/>
    <col min="12265" max="12265" width="3.28515625" style="122" customWidth="1"/>
    <col min="12266" max="12266" width="5.85546875" style="122" customWidth="1"/>
    <col min="12267" max="12267" width="6.5703125" style="122" customWidth="1"/>
    <col min="12268" max="12268" width="3.28515625" style="122" customWidth="1"/>
    <col min="12269" max="12269" width="5.85546875" style="122" customWidth="1"/>
    <col min="12270" max="12270" width="6.5703125" style="122" customWidth="1"/>
    <col min="12271" max="12271" width="3.28515625" style="122" customWidth="1"/>
    <col min="12272" max="12272" width="5.85546875" style="122" customWidth="1"/>
    <col min="12273" max="12273" width="6.5703125" style="122" customWidth="1"/>
    <col min="12274" max="12274" width="3.28515625" style="122" customWidth="1"/>
    <col min="12275" max="12275" width="5.85546875" style="122" customWidth="1"/>
    <col min="12276" max="12276" width="6.5703125" style="122" customWidth="1"/>
    <col min="12277" max="12277" width="3.28515625" style="122" customWidth="1"/>
    <col min="12278" max="12278" width="5.85546875" style="122" customWidth="1"/>
    <col min="12279" max="12279" width="6.5703125" style="122" customWidth="1"/>
    <col min="12280" max="12280" width="3.28515625" style="122" customWidth="1"/>
    <col min="12281" max="12281" width="5.85546875" style="122" customWidth="1"/>
    <col min="12282" max="12282" width="6.5703125" style="122" customWidth="1"/>
    <col min="12283" max="12283" width="3.28515625" style="122" customWidth="1"/>
    <col min="12284" max="12284" width="5.85546875" style="122" customWidth="1"/>
    <col min="12285" max="12285" width="6.5703125" style="122" customWidth="1"/>
    <col min="12286" max="12286" width="3.28515625" style="122" customWidth="1"/>
    <col min="12287" max="12287" width="5.85546875" style="122" customWidth="1"/>
    <col min="12288" max="12288" width="6.5703125" style="122" customWidth="1"/>
    <col min="12289" max="12289" width="3.28515625" style="122" customWidth="1"/>
    <col min="12290" max="12290" width="5.85546875" style="122" customWidth="1"/>
    <col min="12291" max="12291" width="6.5703125" style="122" customWidth="1"/>
    <col min="12292" max="12292" width="3.28515625" style="122" customWidth="1"/>
    <col min="12293" max="12293" width="5.85546875" style="122" customWidth="1"/>
    <col min="12294" max="12294" width="6.5703125" style="122" customWidth="1"/>
    <col min="12295" max="12295" width="3.28515625" style="122" customWidth="1"/>
    <col min="12296" max="12296" width="5.85546875" style="122" customWidth="1"/>
    <col min="12297" max="12297" width="6.5703125" style="122" customWidth="1"/>
    <col min="12298" max="12298" width="3.28515625" style="122" customWidth="1"/>
    <col min="12299" max="12299" width="5.85546875" style="122" customWidth="1"/>
    <col min="12300" max="12300" width="6.5703125" style="122" customWidth="1"/>
    <col min="12301" max="12301" width="3.28515625" style="122" customWidth="1"/>
    <col min="12302" max="12302" width="5.85546875" style="122" customWidth="1"/>
    <col min="12303" max="12303" width="6.5703125" style="122" customWidth="1"/>
    <col min="12304" max="12304" width="9.42578125" style="122" customWidth="1"/>
    <col min="12305" max="12507" width="9.140625" style="122"/>
    <col min="12508" max="12508" width="4.85546875" style="122" customWidth="1"/>
    <col min="12509" max="12509" width="5.140625" style="122" customWidth="1"/>
    <col min="12510" max="12510" width="13.7109375" style="122" customWidth="1"/>
    <col min="12511" max="12511" width="9.42578125" style="122" customWidth="1"/>
    <col min="12512" max="12512" width="7.85546875" style="122" bestFit="1" customWidth="1"/>
    <col min="12513" max="12513" width="9.42578125" style="122" customWidth="1"/>
    <col min="12514" max="12514" width="7.42578125" style="122" customWidth="1"/>
    <col min="12515" max="12515" width="7.85546875" style="122" customWidth="1"/>
    <col min="12516" max="12516" width="11" style="122" customWidth="1"/>
    <col min="12517" max="12517" width="7.5703125" style="122" customWidth="1"/>
    <col min="12518" max="12518" width="3.28515625" style="122" customWidth="1"/>
    <col min="12519" max="12519" width="5.85546875" style="122" customWidth="1"/>
    <col min="12520" max="12520" width="6.5703125" style="122" customWidth="1"/>
    <col min="12521" max="12521" width="3.28515625" style="122" customWidth="1"/>
    <col min="12522" max="12522" width="5.85546875" style="122" customWidth="1"/>
    <col min="12523" max="12523" width="6.5703125" style="122" customWidth="1"/>
    <col min="12524" max="12524" width="3.28515625" style="122" customWidth="1"/>
    <col min="12525" max="12525" width="5.85546875" style="122" customWidth="1"/>
    <col min="12526" max="12526" width="6.5703125" style="122" customWidth="1"/>
    <col min="12527" max="12527" width="3.28515625" style="122" customWidth="1"/>
    <col min="12528" max="12528" width="5.85546875" style="122" customWidth="1"/>
    <col min="12529" max="12529" width="6.5703125" style="122" customWidth="1"/>
    <col min="12530" max="12530" width="3.28515625" style="122" customWidth="1"/>
    <col min="12531" max="12531" width="5.85546875" style="122" customWidth="1"/>
    <col min="12532" max="12532" width="6.5703125" style="122" customWidth="1"/>
    <col min="12533" max="12533" width="3.28515625" style="122" customWidth="1"/>
    <col min="12534" max="12534" width="5.85546875" style="122" customWidth="1"/>
    <col min="12535" max="12535" width="6.5703125" style="122" customWidth="1"/>
    <col min="12536" max="12536" width="3.28515625" style="122" customWidth="1"/>
    <col min="12537" max="12537" width="5.85546875" style="122" customWidth="1"/>
    <col min="12538" max="12538" width="6.5703125" style="122" customWidth="1"/>
    <col min="12539" max="12539" width="3.28515625" style="122" customWidth="1"/>
    <col min="12540" max="12540" width="5.85546875" style="122" customWidth="1"/>
    <col min="12541" max="12541" width="6.5703125" style="122" customWidth="1"/>
    <col min="12542" max="12542" width="3.28515625" style="122" customWidth="1"/>
    <col min="12543" max="12543" width="5.85546875" style="122" customWidth="1"/>
    <col min="12544" max="12544" width="6.5703125" style="122" customWidth="1"/>
    <col min="12545" max="12545" width="3.28515625" style="122" customWidth="1"/>
    <col min="12546" max="12546" width="5.85546875" style="122" customWidth="1"/>
    <col min="12547" max="12547" width="6.5703125" style="122" customWidth="1"/>
    <col min="12548" max="12548" width="3.28515625" style="122" customWidth="1"/>
    <col min="12549" max="12549" width="5.85546875" style="122" customWidth="1"/>
    <col min="12550" max="12550" width="6.5703125" style="122" customWidth="1"/>
    <col min="12551" max="12551" width="3.28515625" style="122" customWidth="1"/>
    <col min="12552" max="12552" width="5.85546875" style="122" customWidth="1"/>
    <col min="12553" max="12553" width="6.5703125" style="122" customWidth="1"/>
    <col min="12554" max="12554" width="3.28515625" style="122" customWidth="1"/>
    <col min="12555" max="12555" width="5.85546875" style="122" customWidth="1"/>
    <col min="12556" max="12556" width="6.5703125" style="122" customWidth="1"/>
    <col min="12557" max="12557" width="3.28515625" style="122" customWidth="1"/>
    <col min="12558" max="12558" width="5.85546875" style="122" customWidth="1"/>
    <col min="12559" max="12559" width="6.5703125" style="122" customWidth="1"/>
    <col min="12560" max="12560" width="9.42578125" style="122" customWidth="1"/>
    <col min="12561" max="12763" width="9.140625" style="122"/>
    <col min="12764" max="12764" width="4.85546875" style="122" customWidth="1"/>
    <col min="12765" max="12765" width="5.140625" style="122" customWidth="1"/>
    <col min="12766" max="12766" width="13.7109375" style="122" customWidth="1"/>
    <col min="12767" max="12767" width="9.42578125" style="122" customWidth="1"/>
    <col min="12768" max="12768" width="7.85546875" style="122" bestFit="1" customWidth="1"/>
    <col min="12769" max="12769" width="9.42578125" style="122" customWidth="1"/>
    <col min="12770" max="12770" width="7.42578125" style="122" customWidth="1"/>
    <col min="12771" max="12771" width="7.85546875" style="122" customWidth="1"/>
    <col min="12772" max="12772" width="11" style="122" customWidth="1"/>
    <col min="12773" max="12773" width="7.5703125" style="122" customWidth="1"/>
    <col min="12774" max="12774" width="3.28515625" style="122" customWidth="1"/>
    <col min="12775" max="12775" width="5.85546875" style="122" customWidth="1"/>
    <col min="12776" max="12776" width="6.5703125" style="122" customWidth="1"/>
    <col min="12777" max="12777" width="3.28515625" style="122" customWidth="1"/>
    <col min="12778" max="12778" width="5.85546875" style="122" customWidth="1"/>
    <col min="12779" max="12779" width="6.5703125" style="122" customWidth="1"/>
    <col min="12780" max="12780" width="3.28515625" style="122" customWidth="1"/>
    <col min="12781" max="12781" width="5.85546875" style="122" customWidth="1"/>
    <col min="12782" max="12782" width="6.5703125" style="122" customWidth="1"/>
    <col min="12783" max="12783" width="3.28515625" style="122" customWidth="1"/>
    <col min="12784" max="12784" width="5.85546875" style="122" customWidth="1"/>
    <col min="12785" max="12785" width="6.5703125" style="122" customWidth="1"/>
    <col min="12786" max="12786" width="3.28515625" style="122" customWidth="1"/>
    <col min="12787" max="12787" width="5.85546875" style="122" customWidth="1"/>
    <col min="12788" max="12788" width="6.5703125" style="122" customWidth="1"/>
    <col min="12789" max="12789" width="3.28515625" style="122" customWidth="1"/>
    <col min="12790" max="12790" width="5.85546875" style="122" customWidth="1"/>
    <col min="12791" max="12791" width="6.5703125" style="122" customWidth="1"/>
    <col min="12792" max="12792" width="3.28515625" style="122" customWidth="1"/>
    <col min="12793" max="12793" width="5.85546875" style="122" customWidth="1"/>
    <col min="12794" max="12794" width="6.5703125" style="122" customWidth="1"/>
    <col min="12795" max="12795" width="3.28515625" style="122" customWidth="1"/>
    <col min="12796" max="12796" width="5.85546875" style="122" customWidth="1"/>
    <col min="12797" max="12797" width="6.5703125" style="122" customWidth="1"/>
    <col min="12798" max="12798" width="3.28515625" style="122" customWidth="1"/>
    <col min="12799" max="12799" width="5.85546875" style="122" customWidth="1"/>
    <col min="12800" max="12800" width="6.5703125" style="122" customWidth="1"/>
    <col min="12801" max="12801" width="3.28515625" style="122" customWidth="1"/>
    <col min="12802" max="12802" width="5.85546875" style="122" customWidth="1"/>
    <col min="12803" max="12803" width="6.5703125" style="122" customWidth="1"/>
    <col min="12804" max="12804" width="3.28515625" style="122" customWidth="1"/>
    <col min="12805" max="12805" width="5.85546875" style="122" customWidth="1"/>
    <col min="12806" max="12806" width="6.5703125" style="122" customWidth="1"/>
    <col min="12807" max="12807" width="3.28515625" style="122" customWidth="1"/>
    <col min="12808" max="12808" width="5.85546875" style="122" customWidth="1"/>
    <col min="12809" max="12809" width="6.5703125" style="122" customWidth="1"/>
    <col min="12810" max="12810" width="3.28515625" style="122" customWidth="1"/>
    <col min="12811" max="12811" width="5.85546875" style="122" customWidth="1"/>
    <col min="12812" max="12812" width="6.5703125" style="122" customWidth="1"/>
    <col min="12813" max="12813" width="3.28515625" style="122" customWidth="1"/>
    <col min="12814" max="12814" width="5.85546875" style="122" customWidth="1"/>
    <col min="12815" max="12815" width="6.5703125" style="122" customWidth="1"/>
    <col min="12816" max="12816" width="9.42578125" style="122" customWidth="1"/>
    <col min="12817" max="13019" width="9.140625" style="122"/>
    <col min="13020" max="13020" width="4.85546875" style="122" customWidth="1"/>
    <col min="13021" max="13021" width="5.140625" style="122" customWidth="1"/>
    <col min="13022" max="13022" width="13.7109375" style="122" customWidth="1"/>
    <col min="13023" max="13023" width="9.42578125" style="122" customWidth="1"/>
    <col min="13024" max="13024" width="7.85546875" style="122" bestFit="1" customWidth="1"/>
    <col min="13025" max="13025" width="9.42578125" style="122" customWidth="1"/>
    <col min="13026" max="13026" width="7.42578125" style="122" customWidth="1"/>
    <col min="13027" max="13027" width="7.85546875" style="122" customWidth="1"/>
    <col min="13028" max="13028" width="11" style="122" customWidth="1"/>
    <col min="13029" max="13029" width="7.5703125" style="122" customWidth="1"/>
    <col min="13030" max="13030" width="3.28515625" style="122" customWidth="1"/>
    <col min="13031" max="13031" width="5.85546875" style="122" customWidth="1"/>
    <col min="13032" max="13032" width="6.5703125" style="122" customWidth="1"/>
    <col min="13033" max="13033" width="3.28515625" style="122" customWidth="1"/>
    <col min="13034" max="13034" width="5.85546875" style="122" customWidth="1"/>
    <col min="13035" max="13035" width="6.5703125" style="122" customWidth="1"/>
    <col min="13036" max="13036" width="3.28515625" style="122" customWidth="1"/>
    <col min="13037" max="13037" width="5.85546875" style="122" customWidth="1"/>
    <col min="13038" max="13038" width="6.5703125" style="122" customWidth="1"/>
    <col min="13039" max="13039" width="3.28515625" style="122" customWidth="1"/>
    <col min="13040" max="13040" width="5.85546875" style="122" customWidth="1"/>
    <col min="13041" max="13041" width="6.5703125" style="122" customWidth="1"/>
    <col min="13042" max="13042" width="3.28515625" style="122" customWidth="1"/>
    <col min="13043" max="13043" width="5.85546875" style="122" customWidth="1"/>
    <col min="13044" max="13044" width="6.5703125" style="122" customWidth="1"/>
    <col min="13045" max="13045" width="3.28515625" style="122" customWidth="1"/>
    <col min="13046" max="13046" width="5.85546875" style="122" customWidth="1"/>
    <col min="13047" max="13047" width="6.5703125" style="122" customWidth="1"/>
    <col min="13048" max="13048" width="3.28515625" style="122" customWidth="1"/>
    <col min="13049" max="13049" width="5.85546875" style="122" customWidth="1"/>
    <col min="13050" max="13050" width="6.5703125" style="122" customWidth="1"/>
    <col min="13051" max="13051" width="3.28515625" style="122" customWidth="1"/>
    <col min="13052" max="13052" width="5.85546875" style="122" customWidth="1"/>
    <col min="13053" max="13053" width="6.5703125" style="122" customWidth="1"/>
    <col min="13054" max="13054" width="3.28515625" style="122" customWidth="1"/>
    <col min="13055" max="13055" width="5.85546875" style="122" customWidth="1"/>
    <col min="13056" max="13056" width="6.5703125" style="122" customWidth="1"/>
    <col min="13057" max="13057" width="3.28515625" style="122" customWidth="1"/>
    <col min="13058" max="13058" width="5.85546875" style="122" customWidth="1"/>
    <col min="13059" max="13059" width="6.5703125" style="122" customWidth="1"/>
    <col min="13060" max="13060" width="3.28515625" style="122" customWidth="1"/>
    <col min="13061" max="13061" width="5.85546875" style="122" customWidth="1"/>
    <col min="13062" max="13062" width="6.5703125" style="122" customWidth="1"/>
    <col min="13063" max="13063" width="3.28515625" style="122" customWidth="1"/>
    <col min="13064" max="13064" width="5.85546875" style="122" customWidth="1"/>
    <col min="13065" max="13065" width="6.5703125" style="122" customWidth="1"/>
    <col min="13066" max="13066" width="3.28515625" style="122" customWidth="1"/>
    <col min="13067" max="13067" width="5.85546875" style="122" customWidth="1"/>
    <col min="13068" max="13068" width="6.5703125" style="122" customWidth="1"/>
    <col min="13069" max="13069" width="3.28515625" style="122" customWidth="1"/>
    <col min="13070" max="13070" width="5.85546875" style="122" customWidth="1"/>
    <col min="13071" max="13071" width="6.5703125" style="122" customWidth="1"/>
    <col min="13072" max="13072" width="9.42578125" style="122" customWidth="1"/>
    <col min="13073" max="13275" width="9.140625" style="122"/>
    <col min="13276" max="13276" width="4.85546875" style="122" customWidth="1"/>
    <col min="13277" max="13277" width="5.140625" style="122" customWidth="1"/>
    <col min="13278" max="13278" width="13.7109375" style="122" customWidth="1"/>
    <col min="13279" max="13279" width="9.42578125" style="122" customWidth="1"/>
    <col min="13280" max="13280" width="7.85546875" style="122" bestFit="1" customWidth="1"/>
    <col min="13281" max="13281" width="9.42578125" style="122" customWidth="1"/>
    <col min="13282" max="13282" width="7.42578125" style="122" customWidth="1"/>
    <col min="13283" max="13283" width="7.85546875" style="122" customWidth="1"/>
    <col min="13284" max="13284" width="11" style="122" customWidth="1"/>
    <col min="13285" max="13285" width="7.5703125" style="122" customWidth="1"/>
    <col min="13286" max="13286" width="3.28515625" style="122" customWidth="1"/>
    <col min="13287" max="13287" width="5.85546875" style="122" customWidth="1"/>
    <col min="13288" max="13288" width="6.5703125" style="122" customWidth="1"/>
    <col min="13289" max="13289" width="3.28515625" style="122" customWidth="1"/>
    <col min="13290" max="13290" width="5.85546875" style="122" customWidth="1"/>
    <col min="13291" max="13291" width="6.5703125" style="122" customWidth="1"/>
    <col min="13292" max="13292" width="3.28515625" style="122" customWidth="1"/>
    <col min="13293" max="13293" width="5.85546875" style="122" customWidth="1"/>
    <col min="13294" max="13294" width="6.5703125" style="122" customWidth="1"/>
    <col min="13295" max="13295" width="3.28515625" style="122" customWidth="1"/>
    <col min="13296" max="13296" width="5.85546875" style="122" customWidth="1"/>
    <col min="13297" max="13297" width="6.5703125" style="122" customWidth="1"/>
    <col min="13298" max="13298" width="3.28515625" style="122" customWidth="1"/>
    <col min="13299" max="13299" width="5.85546875" style="122" customWidth="1"/>
    <col min="13300" max="13300" width="6.5703125" style="122" customWidth="1"/>
    <col min="13301" max="13301" width="3.28515625" style="122" customWidth="1"/>
    <col min="13302" max="13302" width="5.85546875" style="122" customWidth="1"/>
    <col min="13303" max="13303" width="6.5703125" style="122" customWidth="1"/>
    <col min="13304" max="13304" width="3.28515625" style="122" customWidth="1"/>
    <col min="13305" max="13305" width="5.85546875" style="122" customWidth="1"/>
    <col min="13306" max="13306" width="6.5703125" style="122" customWidth="1"/>
    <col min="13307" max="13307" width="3.28515625" style="122" customWidth="1"/>
    <col min="13308" max="13308" width="5.85546875" style="122" customWidth="1"/>
    <col min="13309" max="13309" width="6.5703125" style="122" customWidth="1"/>
    <col min="13310" max="13310" width="3.28515625" style="122" customWidth="1"/>
    <col min="13311" max="13311" width="5.85546875" style="122" customWidth="1"/>
    <col min="13312" max="13312" width="6.5703125" style="122" customWidth="1"/>
    <col min="13313" max="13313" width="3.28515625" style="122" customWidth="1"/>
    <col min="13314" max="13314" width="5.85546875" style="122" customWidth="1"/>
    <col min="13315" max="13315" width="6.5703125" style="122" customWidth="1"/>
    <col min="13316" max="13316" width="3.28515625" style="122" customWidth="1"/>
    <col min="13317" max="13317" width="5.85546875" style="122" customWidth="1"/>
    <col min="13318" max="13318" width="6.5703125" style="122" customWidth="1"/>
    <col min="13319" max="13319" width="3.28515625" style="122" customWidth="1"/>
    <col min="13320" max="13320" width="5.85546875" style="122" customWidth="1"/>
    <col min="13321" max="13321" width="6.5703125" style="122" customWidth="1"/>
    <col min="13322" max="13322" width="3.28515625" style="122" customWidth="1"/>
    <col min="13323" max="13323" width="5.85546875" style="122" customWidth="1"/>
    <col min="13324" max="13324" width="6.5703125" style="122" customWidth="1"/>
    <col min="13325" max="13325" width="3.28515625" style="122" customWidth="1"/>
    <col min="13326" max="13326" width="5.85546875" style="122" customWidth="1"/>
    <col min="13327" max="13327" width="6.5703125" style="122" customWidth="1"/>
    <col min="13328" max="13328" width="9.42578125" style="122" customWidth="1"/>
    <col min="13329" max="13531" width="9.140625" style="122"/>
    <col min="13532" max="13532" width="4.85546875" style="122" customWidth="1"/>
    <col min="13533" max="13533" width="5.140625" style="122" customWidth="1"/>
    <col min="13534" max="13534" width="13.7109375" style="122" customWidth="1"/>
    <col min="13535" max="13535" width="9.42578125" style="122" customWidth="1"/>
    <col min="13536" max="13536" width="7.85546875" style="122" bestFit="1" customWidth="1"/>
    <col min="13537" max="13537" width="9.42578125" style="122" customWidth="1"/>
    <col min="13538" max="13538" width="7.42578125" style="122" customWidth="1"/>
    <col min="13539" max="13539" width="7.85546875" style="122" customWidth="1"/>
    <col min="13540" max="13540" width="11" style="122" customWidth="1"/>
    <col min="13541" max="13541" width="7.5703125" style="122" customWidth="1"/>
    <col min="13542" max="13542" width="3.28515625" style="122" customWidth="1"/>
    <col min="13543" max="13543" width="5.85546875" style="122" customWidth="1"/>
    <col min="13544" max="13544" width="6.5703125" style="122" customWidth="1"/>
    <col min="13545" max="13545" width="3.28515625" style="122" customWidth="1"/>
    <col min="13546" max="13546" width="5.85546875" style="122" customWidth="1"/>
    <col min="13547" max="13547" width="6.5703125" style="122" customWidth="1"/>
    <col min="13548" max="13548" width="3.28515625" style="122" customWidth="1"/>
    <col min="13549" max="13549" width="5.85546875" style="122" customWidth="1"/>
    <col min="13550" max="13550" width="6.5703125" style="122" customWidth="1"/>
    <col min="13551" max="13551" width="3.28515625" style="122" customWidth="1"/>
    <col min="13552" max="13552" width="5.85546875" style="122" customWidth="1"/>
    <col min="13553" max="13553" width="6.5703125" style="122" customWidth="1"/>
    <col min="13554" max="13554" width="3.28515625" style="122" customWidth="1"/>
    <col min="13555" max="13555" width="5.85546875" style="122" customWidth="1"/>
    <col min="13556" max="13556" width="6.5703125" style="122" customWidth="1"/>
    <col min="13557" max="13557" width="3.28515625" style="122" customWidth="1"/>
    <col min="13558" max="13558" width="5.85546875" style="122" customWidth="1"/>
    <col min="13559" max="13559" width="6.5703125" style="122" customWidth="1"/>
    <col min="13560" max="13560" width="3.28515625" style="122" customWidth="1"/>
    <col min="13561" max="13561" width="5.85546875" style="122" customWidth="1"/>
    <col min="13562" max="13562" width="6.5703125" style="122" customWidth="1"/>
    <col min="13563" max="13563" width="3.28515625" style="122" customWidth="1"/>
    <col min="13564" max="13564" width="5.85546875" style="122" customWidth="1"/>
    <col min="13565" max="13565" width="6.5703125" style="122" customWidth="1"/>
    <col min="13566" max="13566" width="3.28515625" style="122" customWidth="1"/>
    <col min="13567" max="13567" width="5.85546875" style="122" customWidth="1"/>
    <col min="13568" max="13568" width="6.5703125" style="122" customWidth="1"/>
    <col min="13569" max="13569" width="3.28515625" style="122" customWidth="1"/>
    <col min="13570" max="13570" width="5.85546875" style="122" customWidth="1"/>
    <col min="13571" max="13571" width="6.5703125" style="122" customWidth="1"/>
    <col min="13572" max="13572" width="3.28515625" style="122" customWidth="1"/>
    <col min="13573" max="13573" width="5.85546875" style="122" customWidth="1"/>
    <col min="13574" max="13574" width="6.5703125" style="122" customWidth="1"/>
    <col min="13575" max="13575" width="3.28515625" style="122" customWidth="1"/>
    <col min="13576" max="13576" width="5.85546875" style="122" customWidth="1"/>
    <col min="13577" max="13577" width="6.5703125" style="122" customWidth="1"/>
    <col min="13578" max="13578" width="3.28515625" style="122" customWidth="1"/>
    <col min="13579" max="13579" width="5.85546875" style="122" customWidth="1"/>
    <col min="13580" max="13580" width="6.5703125" style="122" customWidth="1"/>
    <col min="13581" max="13581" width="3.28515625" style="122" customWidth="1"/>
    <col min="13582" max="13582" width="5.85546875" style="122" customWidth="1"/>
    <col min="13583" max="13583" width="6.5703125" style="122" customWidth="1"/>
    <col min="13584" max="13584" width="9.42578125" style="122" customWidth="1"/>
    <col min="13585" max="13787" width="9.140625" style="122"/>
    <col min="13788" max="13788" width="4.85546875" style="122" customWidth="1"/>
    <col min="13789" max="13789" width="5.140625" style="122" customWidth="1"/>
    <col min="13790" max="13790" width="13.7109375" style="122" customWidth="1"/>
    <col min="13791" max="13791" width="9.42578125" style="122" customWidth="1"/>
    <col min="13792" max="13792" width="7.85546875" style="122" bestFit="1" customWidth="1"/>
    <col min="13793" max="13793" width="9.42578125" style="122" customWidth="1"/>
    <col min="13794" max="13794" width="7.42578125" style="122" customWidth="1"/>
    <col min="13795" max="13795" width="7.85546875" style="122" customWidth="1"/>
    <col min="13796" max="13796" width="11" style="122" customWidth="1"/>
    <col min="13797" max="13797" width="7.5703125" style="122" customWidth="1"/>
    <col min="13798" max="13798" width="3.28515625" style="122" customWidth="1"/>
    <col min="13799" max="13799" width="5.85546875" style="122" customWidth="1"/>
    <col min="13800" max="13800" width="6.5703125" style="122" customWidth="1"/>
    <col min="13801" max="13801" width="3.28515625" style="122" customWidth="1"/>
    <col min="13802" max="13802" width="5.85546875" style="122" customWidth="1"/>
    <col min="13803" max="13803" width="6.5703125" style="122" customWidth="1"/>
    <col min="13804" max="13804" width="3.28515625" style="122" customWidth="1"/>
    <col min="13805" max="13805" width="5.85546875" style="122" customWidth="1"/>
    <col min="13806" max="13806" width="6.5703125" style="122" customWidth="1"/>
    <col min="13807" max="13807" width="3.28515625" style="122" customWidth="1"/>
    <col min="13808" max="13808" width="5.85546875" style="122" customWidth="1"/>
    <col min="13809" max="13809" width="6.5703125" style="122" customWidth="1"/>
    <col min="13810" max="13810" width="3.28515625" style="122" customWidth="1"/>
    <col min="13811" max="13811" width="5.85546875" style="122" customWidth="1"/>
    <col min="13812" max="13812" width="6.5703125" style="122" customWidth="1"/>
    <col min="13813" max="13813" width="3.28515625" style="122" customWidth="1"/>
    <col min="13814" max="13814" width="5.85546875" style="122" customWidth="1"/>
    <col min="13815" max="13815" width="6.5703125" style="122" customWidth="1"/>
    <col min="13816" max="13816" width="3.28515625" style="122" customWidth="1"/>
    <col min="13817" max="13817" width="5.85546875" style="122" customWidth="1"/>
    <col min="13818" max="13818" width="6.5703125" style="122" customWidth="1"/>
    <col min="13819" max="13819" width="3.28515625" style="122" customWidth="1"/>
    <col min="13820" max="13820" width="5.85546875" style="122" customWidth="1"/>
    <col min="13821" max="13821" width="6.5703125" style="122" customWidth="1"/>
    <col min="13822" max="13822" width="3.28515625" style="122" customWidth="1"/>
    <col min="13823" max="13823" width="5.85546875" style="122" customWidth="1"/>
    <col min="13824" max="13824" width="6.5703125" style="122" customWidth="1"/>
    <col min="13825" max="13825" width="3.28515625" style="122" customWidth="1"/>
    <col min="13826" max="13826" width="5.85546875" style="122" customWidth="1"/>
    <col min="13827" max="13827" width="6.5703125" style="122" customWidth="1"/>
    <col min="13828" max="13828" width="3.28515625" style="122" customWidth="1"/>
    <col min="13829" max="13829" width="5.85546875" style="122" customWidth="1"/>
    <col min="13830" max="13830" width="6.5703125" style="122" customWidth="1"/>
    <col min="13831" max="13831" width="3.28515625" style="122" customWidth="1"/>
    <col min="13832" max="13832" width="5.85546875" style="122" customWidth="1"/>
    <col min="13833" max="13833" width="6.5703125" style="122" customWidth="1"/>
    <col min="13834" max="13834" width="3.28515625" style="122" customWidth="1"/>
    <col min="13835" max="13835" width="5.85546875" style="122" customWidth="1"/>
    <col min="13836" max="13836" width="6.5703125" style="122" customWidth="1"/>
    <col min="13837" max="13837" width="3.28515625" style="122" customWidth="1"/>
    <col min="13838" max="13838" width="5.85546875" style="122" customWidth="1"/>
    <col min="13839" max="13839" width="6.5703125" style="122" customWidth="1"/>
    <col min="13840" max="13840" width="9.42578125" style="122" customWidth="1"/>
    <col min="13841" max="14043" width="9.140625" style="122"/>
    <col min="14044" max="14044" width="4.85546875" style="122" customWidth="1"/>
    <col min="14045" max="14045" width="5.140625" style="122" customWidth="1"/>
    <col min="14046" max="14046" width="13.7109375" style="122" customWidth="1"/>
    <col min="14047" max="14047" width="9.42578125" style="122" customWidth="1"/>
    <col min="14048" max="14048" width="7.85546875" style="122" bestFit="1" customWidth="1"/>
    <col min="14049" max="14049" width="9.42578125" style="122" customWidth="1"/>
    <col min="14050" max="14050" width="7.42578125" style="122" customWidth="1"/>
    <col min="14051" max="14051" width="7.85546875" style="122" customWidth="1"/>
    <col min="14052" max="14052" width="11" style="122" customWidth="1"/>
    <col min="14053" max="14053" width="7.5703125" style="122" customWidth="1"/>
    <col min="14054" max="14054" width="3.28515625" style="122" customWidth="1"/>
    <col min="14055" max="14055" width="5.85546875" style="122" customWidth="1"/>
    <col min="14056" max="14056" width="6.5703125" style="122" customWidth="1"/>
    <col min="14057" max="14057" width="3.28515625" style="122" customWidth="1"/>
    <col min="14058" max="14058" width="5.85546875" style="122" customWidth="1"/>
    <col min="14059" max="14059" width="6.5703125" style="122" customWidth="1"/>
    <col min="14060" max="14060" width="3.28515625" style="122" customWidth="1"/>
    <col min="14061" max="14061" width="5.85546875" style="122" customWidth="1"/>
    <col min="14062" max="14062" width="6.5703125" style="122" customWidth="1"/>
    <col min="14063" max="14063" width="3.28515625" style="122" customWidth="1"/>
    <col min="14064" max="14064" width="5.85546875" style="122" customWidth="1"/>
    <col min="14065" max="14065" width="6.5703125" style="122" customWidth="1"/>
    <col min="14066" max="14066" width="3.28515625" style="122" customWidth="1"/>
    <col min="14067" max="14067" width="5.85546875" style="122" customWidth="1"/>
    <col min="14068" max="14068" width="6.5703125" style="122" customWidth="1"/>
    <col min="14069" max="14069" width="3.28515625" style="122" customWidth="1"/>
    <col min="14070" max="14070" width="5.85546875" style="122" customWidth="1"/>
    <col min="14071" max="14071" width="6.5703125" style="122" customWidth="1"/>
    <col min="14072" max="14072" width="3.28515625" style="122" customWidth="1"/>
    <col min="14073" max="14073" width="5.85546875" style="122" customWidth="1"/>
    <col min="14074" max="14074" width="6.5703125" style="122" customWidth="1"/>
    <col min="14075" max="14075" width="3.28515625" style="122" customWidth="1"/>
    <col min="14076" max="14076" width="5.85546875" style="122" customWidth="1"/>
    <col min="14077" max="14077" width="6.5703125" style="122" customWidth="1"/>
    <col min="14078" max="14078" width="3.28515625" style="122" customWidth="1"/>
    <col min="14079" max="14079" width="5.85546875" style="122" customWidth="1"/>
    <col min="14080" max="14080" width="6.5703125" style="122" customWidth="1"/>
    <col min="14081" max="14081" width="3.28515625" style="122" customWidth="1"/>
    <col min="14082" max="14082" width="5.85546875" style="122" customWidth="1"/>
    <col min="14083" max="14083" width="6.5703125" style="122" customWidth="1"/>
    <col min="14084" max="14084" width="3.28515625" style="122" customWidth="1"/>
    <col min="14085" max="14085" width="5.85546875" style="122" customWidth="1"/>
    <col min="14086" max="14086" width="6.5703125" style="122" customWidth="1"/>
    <col min="14087" max="14087" width="3.28515625" style="122" customWidth="1"/>
    <col min="14088" max="14088" width="5.85546875" style="122" customWidth="1"/>
    <col min="14089" max="14089" width="6.5703125" style="122" customWidth="1"/>
    <col min="14090" max="14090" width="3.28515625" style="122" customWidth="1"/>
    <col min="14091" max="14091" width="5.85546875" style="122" customWidth="1"/>
    <col min="14092" max="14092" width="6.5703125" style="122" customWidth="1"/>
    <col min="14093" max="14093" width="3.28515625" style="122" customWidth="1"/>
    <col min="14094" max="14094" width="5.85546875" style="122" customWidth="1"/>
    <col min="14095" max="14095" width="6.5703125" style="122" customWidth="1"/>
    <col min="14096" max="14096" width="9.42578125" style="122" customWidth="1"/>
    <col min="14097" max="14299" width="9.140625" style="122"/>
    <col min="14300" max="14300" width="4.85546875" style="122" customWidth="1"/>
    <col min="14301" max="14301" width="5.140625" style="122" customWidth="1"/>
    <col min="14302" max="14302" width="13.7109375" style="122" customWidth="1"/>
    <col min="14303" max="14303" width="9.42578125" style="122" customWidth="1"/>
    <col min="14304" max="14304" width="7.85546875" style="122" bestFit="1" customWidth="1"/>
    <col min="14305" max="14305" width="9.42578125" style="122" customWidth="1"/>
    <col min="14306" max="14306" width="7.42578125" style="122" customWidth="1"/>
    <col min="14307" max="14307" width="7.85546875" style="122" customWidth="1"/>
    <col min="14308" max="14308" width="11" style="122" customWidth="1"/>
    <col min="14309" max="14309" width="7.5703125" style="122" customWidth="1"/>
    <col min="14310" max="14310" width="3.28515625" style="122" customWidth="1"/>
    <col min="14311" max="14311" width="5.85546875" style="122" customWidth="1"/>
    <col min="14312" max="14312" width="6.5703125" style="122" customWidth="1"/>
    <col min="14313" max="14313" width="3.28515625" style="122" customWidth="1"/>
    <col min="14314" max="14314" width="5.85546875" style="122" customWidth="1"/>
    <col min="14315" max="14315" width="6.5703125" style="122" customWidth="1"/>
    <col min="14316" max="14316" width="3.28515625" style="122" customWidth="1"/>
    <col min="14317" max="14317" width="5.85546875" style="122" customWidth="1"/>
    <col min="14318" max="14318" width="6.5703125" style="122" customWidth="1"/>
    <col min="14319" max="14319" width="3.28515625" style="122" customWidth="1"/>
    <col min="14320" max="14320" width="5.85546875" style="122" customWidth="1"/>
    <col min="14321" max="14321" width="6.5703125" style="122" customWidth="1"/>
    <col min="14322" max="14322" width="3.28515625" style="122" customWidth="1"/>
    <col min="14323" max="14323" width="5.85546875" style="122" customWidth="1"/>
    <col min="14324" max="14324" width="6.5703125" style="122" customWidth="1"/>
    <col min="14325" max="14325" width="3.28515625" style="122" customWidth="1"/>
    <col min="14326" max="14326" width="5.85546875" style="122" customWidth="1"/>
    <col min="14327" max="14327" width="6.5703125" style="122" customWidth="1"/>
    <col min="14328" max="14328" width="3.28515625" style="122" customWidth="1"/>
    <col min="14329" max="14329" width="5.85546875" style="122" customWidth="1"/>
    <col min="14330" max="14330" width="6.5703125" style="122" customWidth="1"/>
    <col min="14331" max="14331" width="3.28515625" style="122" customWidth="1"/>
    <col min="14332" max="14332" width="5.85546875" style="122" customWidth="1"/>
    <col min="14333" max="14333" width="6.5703125" style="122" customWidth="1"/>
    <col min="14334" max="14334" width="3.28515625" style="122" customWidth="1"/>
    <col min="14335" max="14335" width="5.85546875" style="122" customWidth="1"/>
    <col min="14336" max="14336" width="6.5703125" style="122" customWidth="1"/>
    <col min="14337" max="14337" width="3.28515625" style="122" customWidth="1"/>
    <col min="14338" max="14338" width="5.85546875" style="122" customWidth="1"/>
    <col min="14339" max="14339" width="6.5703125" style="122" customWidth="1"/>
    <col min="14340" max="14340" width="3.28515625" style="122" customWidth="1"/>
    <col min="14341" max="14341" width="5.85546875" style="122" customWidth="1"/>
    <col min="14342" max="14342" width="6.5703125" style="122" customWidth="1"/>
    <col min="14343" max="14343" width="3.28515625" style="122" customWidth="1"/>
    <col min="14344" max="14344" width="5.85546875" style="122" customWidth="1"/>
    <col min="14345" max="14345" width="6.5703125" style="122" customWidth="1"/>
    <col min="14346" max="14346" width="3.28515625" style="122" customWidth="1"/>
    <col min="14347" max="14347" width="5.85546875" style="122" customWidth="1"/>
    <col min="14348" max="14348" width="6.5703125" style="122" customWidth="1"/>
    <col min="14349" max="14349" width="3.28515625" style="122" customWidth="1"/>
    <col min="14350" max="14350" width="5.85546875" style="122" customWidth="1"/>
    <col min="14351" max="14351" width="6.5703125" style="122" customWidth="1"/>
    <col min="14352" max="14352" width="9.42578125" style="122" customWidth="1"/>
    <col min="14353" max="14555" width="9.140625" style="122"/>
    <col min="14556" max="14556" width="4.85546875" style="122" customWidth="1"/>
    <col min="14557" max="14557" width="5.140625" style="122" customWidth="1"/>
    <col min="14558" max="14558" width="13.7109375" style="122" customWidth="1"/>
    <col min="14559" max="14559" width="9.42578125" style="122" customWidth="1"/>
    <col min="14560" max="14560" width="7.85546875" style="122" bestFit="1" customWidth="1"/>
    <col min="14561" max="14561" width="9.42578125" style="122" customWidth="1"/>
    <col min="14562" max="14562" width="7.42578125" style="122" customWidth="1"/>
    <col min="14563" max="14563" width="7.85546875" style="122" customWidth="1"/>
    <col min="14564" max="14564" width="11" style="122" customWidth="1"/>
    <col min="14565" max="14565" width="7.5703125" style="122" customWidth="1"/>
    <col min="14566" max="14566" width="3.28515625" style="122" customWidth="1"/>
    <col min="14567" max="14567" width="5.85546875" style="122" customWidth="1"/>
    <col min="14568" max="14568" width="6.5703125" style="122" customWidth="1"/>
    <col min="14569" max="14569" width="3.28515625" style="122" customWidth="1"/>
    <col min="14570" max="14570" width="5.85546875" style="122" customWidth="1"/>
    <col min="14571" max="14571" width="6.5703125" style="122" customWidth="1"/>
    <col min="14572" max="14572" width="3.28515625" style="122" customWidth="1"/>
    <col min="14573" max="14573" width="5.85546875" style="122" customWidth="1"/>
    <col min="14574" max="14574" width="6.5703125" style="122" customWidth="1"/>
    <col min="14575" max="14575" width="3.28515625" style="122" customWidth="1"/>
    <col min="14576" max="14576" width="5.85546875" style="122" customWidth="1"/>
    <col min="14577" max="14577" width="6.5703125" style="122" customWidth="1"/>
    <col min="14578" max="14578" width="3.28515625" style="122" customWidth="1"/>
    <col min="14579" max="14579" width="5.85546875" style="122" customWidth="1"/>
    <col min="14580" max="14580" width="6.5703125" style="122" customWidth="1"/>
    <col min="14581" max="14581" width="3.28515625" style="122" customWidth="1"/>
    <col min="14582" max="14582" width="5.85546875" style="122" customWidth="1"/>
    <col min="14583" max="14583" width="6.5703125" style="122" customWidth="1"/>
    <col min="14584" max="14584" width="3.28515625" style="122" customWidth="1"/>
    <col min="14585" max="14585" width="5.85546875" style="122" customWidth="1"/>
    <col min="14586" max="14586" width="6.5703125" style="122" customWidth="1"/>
    <col min="14587" max="14587" width="3.28515625" style="122" customWidth="1"/>
    <col min="14588" max="14588" width="5.85546875" style="122" customWidth="1"/>
    <col min="14589" max="14589" width="6.5703125" style="122" customWidth="1"/>
    <col min="14590" max="14590" width="3.28515625" style="122" customWidth="1"/>
    <col min="14591" max="14591" width="5.85546875" style="122" customWidth="1"/>
    <col min="14592" max="14592" width="6.5703125" style="122" customWidth="1"/>
    <col min="14593" max="14593" width="3.28515625" style="122" customWidth="1"/>
    <col min="14594" max="14594" width="5.85546875" style="122" customWidth="1"/>
    <col min="14595" max="14595" width="6.5703125" style="122" customWidth="1"/>
    <col min="14596" max="14596" width="3.28515625" style="122" customWidth="1"/>
    <col min="14597" max="14597" width="5.85546875" style="122" customWidth="1"/>
    <col min="14598" max="14598" width="6.5703125" style="122" customWidth="1"/>
    <col min="14599" max="14599" width="3.28515625" style="122" customWidth="1"/>
    <col min="14600" max="14600" width="5.85546875" style="122" customWidth="1"/>
    <col min="14601" max="14601" width="6.5703125" style="122" customWidth="1"/>
    <col min="14602" max="14602" width="3.28515625" style="122" customWidth="1"/>
    <col min="14603" max="14603" width="5.85546875" style="122" customWidth="1"/>
    <col min="14604" max="14604" width="6.5703125" style="122" customWidth="1"/>
    <col min="14605" max="14605" width="3.28515625" style="122" customWidth="1"/>
    <col min="14606" max="14606" width="5.85546875" style="122" customWidth="1"/>
    <col min="14607" max="14607" width="6.5703125" style="122" customWidth="1"/>
    <col min="14608" max="14608" width="9.42578125" style="122" customWidth="1"/>
    <col min="14609" max="14811" width="9.140625" style="122"/>
    <col min="14812" max="14812" width="4.85546875" style="122" customWidth="1"/>
    <col min="14813" max="14813" width="5.140625" style="122" customWidth="1"/>
    <col min="14814" max="14814" width="13.7109375" style="122" customWidth="1"/>
    <col min="14815" max="14815" width="9.42578125" style="122" customWidth="1"/>
    <col min="14816" max="14816" width="7.85546875" style="122" bestFit="1" customWidth="1"/>
    <col min="14817" max="14817" width="9.42578125" style="122" customWidth="1"/>
    <col min="14818" max="14818" width="7.42578125" style="122" customWidth="1"/>
    <col min="14819" max="14819" width="7.85546875" style="122" customWidth="1"/>
    <col min="14820" max="14820" width="11" style="122" customWidth="1"/>
    <col min="14821" max="14821" width="7.5703125" style="122" customWidth="1"/>
    <col min="14822" max="14822" width="3.28515625" style="122" customWidth="1"/>
    <col min="14823" max="14823" width="5.85546875" style="122" customWidth="1"/>
    <col min="14824" max="14824" width="6.5703125" style="122" customWidth="1"/>
    <col min="14825" max="14825" width="3.28515625" style="122" customWidth="1"/>
    <col min="14826" max="14826" width="5.85546875" style="122" customWidth="1"/>
    <col min="14827" max="14827" width="6.5703125" style="122" customWidth="1"/>
    <col min="14828" max="14828" width="3.28515625" style="122" customWidth="1"/>
    <col min="14829" max="14829" width="5.85546875" style="122" customWidth="1"/>
    <col min="14830" max="14830" width="6.5703125" style="122" customWidth="1"/>
    <col min="14831" max="14831" width="3.28515625" style="122" customWidth="1"/>
    <col min="14832" max="14832" width="5.85546875" style="122" customWidth="1"/>
    <col min="14833" max="14833" width="6.5703125" style="122" customWidth="1"/>
    <col min="14834" max="14834" width="3.28515625" style="122" customWidth="1"/>
    <col min="14835" max="14835" width="5.85546875" style="122" customWidth="1"/>
    <col min="14836" max="14836" width="6.5703125" style="122" customWidth="1"/>
    <col min="14837" max="14837" width="3.28515625" style="122" customWidth="1"/>
    <col min="14838" max="14838" width="5.85546875" style="122" customWidth="1"/>
    <col min="14839" max="14839" width="6.5703125" style="122" customWidth="1"/>
    <col min="14840" max="14840" width="3.28515625" style="122" customWidth="1"/>
    <col min="14841" max="14841" width="5.85546875" style="122" customWidth="1"/>
    <col min="14842" max="14842" width="6.5703125" style="122" customWidth="1"/>
    <col min="14843" max="14843" width="3.28515625" style="122" customWidth="1"/>
    <col min="14844" max="14844" width="5.85546875" style="122" customWidth="1"/>
    <col min="14845" max="14845" width="6.5703125" style="122" customWidth="1"/>
    <col min="14846" max="14846" width="3.28515625" style="122" customWidth="1"/>
    <col min="14847" max="14847" width="5.85546875" style="122" customWidth="1"/>
    <col min="14848" max="14848" width="6.5703125" style="122" customWidth="1"/>
    <col min="14849" max="14849" width="3.28515625" style="122" customWidth="1"/>
    <col min="14850" max="14850" width="5.85546875" style="122" customWidth="1"/>
    <col min="14851" max="14851" width="6.5703125" style="122" customWidth="1"/>
    <col min="14852" max="14852" width="3.28515625" style="122" customWidth="1"/>
    <col min="14853" max="14853" width="5.85546875" style="122" customWidth="1"/>
    <col min="14854" max="14854" width="6.5703125" style="122" customWidth="1"/>
    <col min="14855" max="14855" width="3.28515625" style="122" customWidth="1"/>
    <col min="14856" max="14856" width="5.85546875" style="122" customWidth="1"/>
    <col min="14857" max="14857" width="6.5703125" style="122" customWidth="1"/>
    <col min="14858" max="14858" width="3.28515625" style="122" customWidth="1"/>
    <col min="14859" max="14859" width="5.85546875" style="122" customWidth="1"/>
    <col min="14860" max="14860" width="6.5703125" style="122" customWidth="1"/>
    <col min="14861" max="14861" width="3.28515625" style="122" customWidth="1"/>
    <col min="14862" max="14862" width="5.85546875" style="122" customWidth="1"/>
    <col min="14863" max="14863" width="6.5703125" style="122" customWidth="1"/>
    <col min="14864" max="14864" width="9.42578125" style="122" customWidth="1"/>
    <col min="14865" max="15067" width="9.140625" style="122"/>
    <col min="15068" max="15068" width="4.85546875" style="122" customWidth="1"/>
    <col min="15069" max="15069" width="5.140625" style="122" customWidth="1"/>
    <col min="15070" max="15070" width="13.7109375" style="122" customWidth="1"/>
    <col min="15071" max="15071" width="9.42578125" style="122" customWidth="1"/>
    <col min="15072" max="15072" width="7.85546875" style="122" bestFit="1" customWidth="1"/>
    <col min="15073" max="15073" width="9.42578125" style="122" customWidth="1"/>
    <col min="15074" max="15074" width="7.42578125" style="122" customWidth="1"/>
    <col min="15075" max="15075" width="7.85546875" style="122" customWidth="1"/>
    <col min="15076" max="15076" width="11" style="122" customWidth="1"/>
    <col min="15077" max="15077" width="7.5703125" style="122" customWidth="1"/>
    <col min="15078" max="15078" width="3.28515625" style="122" customWidth="1"/>
    <col min="15079" max="15079" width="5.85546875" style="122" customWidth="1"/>
    <col min="15080" max="15080" width="6.5703125" style="122" customWidth="1"/>
    <col min="15081" max="15081" width="3.28515625" style="122" customWidth="1"/>
    <col min="15082" max="15082" width="5.85546875" style="122" customWidth="1"/>
    <col min="15083" max="15083" width="6.5703125" style="122" customWidth="1"/>
    <col min="15084" max="15084" width="3.28515625" style="122" customWidth="1"/>
    <col min="15085" max="15085" width="5.85546875" style="122" customWidth="1"/>
    <col min="15086" max="15086" width="6.5703125" style="122" customWidth="1"/>
    <col min="15087" max="15087" width="3.28515625" style="122" customWidth="1"/>
    <col min="15088" max="15088" width="5.85546875" style="122" customWidth="1"/>
    <col min="15089" max="15089" width="6.5703125" style="122" customWidth="1"/>
    <col min="15090" max="15090" width="3.28515625" style="122" customWidth="1"/>
    <col min="15091" max="15091" width="5.85546875" style="122" customWidth="1"/>
    <col min="15092" max="15092" width="6.5703125" style="122" customWidth="1"/>
    <col min="15093" max="15093" width="3.28515625" style="122" customWidth="1"/>
    <col min="15094" max="15094" width="5.85546875" style="122" customWidth="1"/>
    <col min="15095" max="15095" width="6.5703125" style="122" customWidth="1"/>
    <col min="15096" max="15096" width="3.28515625" style="122" customWidth="1"/>
    <col min="15097" max="15097" width="5.85546875" style="122" customWidth="1"/>
    <col min="15098" max="15098" width="6.5703125" style="122" customWidth="1"/>
    <col min="15099" max="15099" width="3.28515625" style="122" customWidth="1"/>
    <col min="15100" max="15100" width="5.85546875" style="122" customWidth="1"/>
    <col min="15101" max="15101" width="6.5703125" style="122" customWidth="1"/>
    <col min="15102" max="15102" width="3.28515625" style="122" customWidth="1"/>
    <col min="15103" max="15103" width="5.85546875" style="122" customWidth="1"/>
    <col min="15104" max="15104" width="6.5703125" style="122" customWidth="1"/>
    <col min="15105" max="15105" width="3.28515625" style="122" customWidth="1"/>
    <col min="15106" max="15106" width="5.85546875" style="122" customWidth="1"/>
    <col min="15107" max="15107" width="6.5703125" style="122" customWidth="1"/>
    <col min="15108" max="15108" width="3.28515625" style="122" customWidth="1"/>
    <col min="15109" max="15109" width="5.85546875" style="122" customWidth="1"/>
    <col min="15110" max="15110" width="6.5703125" style="122" customWidth="1"/>
    <col min="15111" max="15111" width="3.28515625" style="122" customWidth="1"/>
    <col min="15112" max="15112" width="5.85546875" style="122" customWidth="1"/>
    <col min="15113" max="15113" width="6.5703125" style="122" customWidth="1"/>
    <col min="15114" max="15114" width="3.28515625" style="122" customWidth="1"/>
    <col min="15115" max="15115" width="5.85546875" style="122" customWidth="1"/>
    <col min="15116" max="15116" width="6.5703125" style="122" customWidth="1"/>
    <col min="15117" max="15117" width="3.28515625" style="122" customWidth="1"/>
    <col min="15118" max="15118" width="5.85546875" style="122" customWidth="1"/>
    <col min="15119" max="15119" width="6.5703125" style="122" customWidth="1"/>
    <col min="15120" max="15120" width="9.42578125" style="122" customWidth="1"/>
    <col min="15121" max="15323" width="9.140625" style="122"/>
    <col min="15324" max="15324" width="4.85546875" style="122" customWidth="1"/>
    <col min="15325" max="15325" width="5.140625" style="122" customWidth="1"/>
    <col min="15326" max="15326" width="13.7109375" style="122" customWidth="1"/>
    <col min="15327" max="15327" width="9.42578125" style="122" customWidth="1"/>
    <col min="15328" max="15328" width="7.85546875" style="122" bestFit="1" customWidth="1"/>
    <col min="15329" max="15329" width="9.42578125" style="122" customWidth="1"/>
    <col min="15330" max="15330" width="7.42578125" style="122" customWidth="1"/>
    <col min="15331" max="15331" width="7.85546875" style="122" customWidth="1"/>
    <col min="15332" max="15332" width="11" style="122" customWidth="1"/>
    <col min="15333" max="15333" width="7.5703125" style="122" customWidth="1"/>
    <col min="15334" max="15334" width="3.28515625" style="122" customWidth="1"/>
    <col min="15335" max="15335" width="5.85546875" style="122" customWidth="1"/>
    <col min="15336" max="15336" width="6.5703125" style="122" customWidth="1"/>
    <col min="15337" max="15337" width="3.28515625" style="122" customWidth="1"/>
    <col min="15338" max="15338" width="5.85546875" style="122" customWidth="1"/>
    <col min="15339" max="15339" width="6.5703125" style="122" customWidth="1"/>
    <col min="15340" max="15340" width="3.28515625" style="122" customWidth="1"/>
    <col min="15341" max="15341" width="5.85546875" style="122" customWidth="1"/>
    <col min="15342" max="15342" width="6.5703125" style="122" customWidth="1"/>
    <col min="15343" max="15343" width="3.28515625" style="122" customWidth="1"/>
    <col min="15344" max="15344" width="5.85546875" style="122" customWidth="1"/>
    <col min="15345" max="15345" width="6.5703125" style="122" customWidth="1"/>
    <col min="15346" max="15346" width="3.28515625" style="122" customWidth="1"/>
    <col min="15347" max="15347" width="5.85546875" style="122" customWidth="1"/>
    <col min="15348" max="15348" width="6.5703125" style="122" customWidth="1"/>
    <col min="15349" max="15349" width="3.28515625" style="122" customWidth="1"/>
    <col min="15350" max="15350" width="5.85546875" style="122" customWidth="1"/>
    <col min="15351" max="15351" width="6.5703125" style="122" customWidth="1"/>
    <col min="15352" max="15352" width="3.28515625" style="122" customWidth="1"/>
    <col min="15353" max="15353" width="5.85546875" style="122" customWidth="1"/>
    <col min="15354" max="15354" width="6.5703125" style="122" customWidth="1"/>
    <col min="15355" max="15355" width="3.28515625" style="122" customWidth="1"/>
    <col min="15356" max="15356" width="5.85546875" style="122" customWidth="1"/>
    <col min="15357" max="15357" width="6.5703125" style="122" customWidth="1"/>
    <col min="15358" max="15358" width="3.28515625" style="122" customWidth="1"/>
    <col min="15359" max="15359" width="5.85546875" style="122" customWidth="1"/>
    <col min="15360" max="15360" width="6.5703125" style="122" customWidth="1"/>
    <col min="15361" max="15361" width="3.28515625" style="122" customWidth="1"/>
    <col min="15362" max="15362" width="5.85546875" style="122" customWidth="1"/>
    <col min="15363" max="15363" width="6.5703125" style="122" customWidth="1"/>
    <col min="15364" max="15364" width="3.28515625" style="122" customWidth="1"/>
    <col min="15365" max="15365" width="5.85546875" style="122" customWidth="1"/>
    <col min="15366" max="15366" width="6.5703125" style="122" customWidth="1"/>
    <col min="15367" max="15367" width="3.28515625" style="122" customWidth="1"/>
    <col min="15368" max="15368" width="5.85546875" style="122" customWidth="1"/>
    <col min="15369" max="15369" width="6.5703125" style="122" customWidth="1"/>
    <col min="15370" max="15370" width="3.28515625" style="122" customWidth="1"/>
    <col min="15371" max="15371" width="5.85546875" style="122" customWidth="1"/>
    <col min="15372" max="15372" width="6.5703125" style="122" customWidth="1"/>
    <col min="15373" max="15373" width="3.28515625" style="122" customWidth="1"/>
    <col min="15374" max="15374" width="5.85546875" style="122" customWidth="1"/>
    <col min="15375" max="15375" width="6.5703125" style="122" customWidth="1"/>
    <col min="15376" max="15376" width="9.42578125" style="122" customWidth="1"/>
    <col min="15377" max="15579" width="9.140625" style="122"/>
    <col min="15580" max="15580" width="4.85546875" style="122" customWidth="1"/>
    <col min="15581" max="15581" width="5.140625" style="122" customWidth="1"/>
    <col min="15582" max="15582" width="13.7109375" style="122" customWidth="1"/>
    <col min="15583" max="15583" width="9.42578125" style="122" customWidth="1"/>
    <col min="15584" max="15584" width="7.85546875" style="122" bestFit="1" customWidth="1"/>
    <col min="15585" max="15585" width="9.42578125" style="122" customWidth="1"/>
    <col min="15586" max="15586" width="7.42578125" style="122" customWidth="1"/>
    <col min="15587" max="15587" width="7.85546875" style="122" customWidth="1"/>
    <col min="15588" max="15588" width="11" style="122" customWidth="1"/>
    <col min="15589" max="15589" width="7.5703125" style="122" customWidth="1"/>
    <col min="15590" max="15590" width="3.28515625" style="122" customWidth="1"/>
    <col min="15591" max="15591" width="5.85546875" style="122" customWidth="1"/>
    <col min="15592" max="15592" width="6.5703125" style="122" customWidth="1"/>
    <col min="15593" max="15593" width="3.28515625" style="122" customWidth="1"/>
    <col min="15594" max="15594" width="5.85546875" style="122" customWidth="1"/>
    <col min="15595" max="15595" width="6.5703125" style="122" customWidth="1"/>
    <col min="15596" max="15596" width="3.28515625" style="122" customWidth="1"/>
    <col min="15597" max="15597" width="5.85546875" style="122" customWidth="1"/>
    <col min="15598" max="15598" width="6.5703125" style="122" customWidth="1"/>
    <col min="15599" max="15599" width="3.28515625" style="122" customWidth="1"/>
    <col min="15600" max="15600" width="5.85546875" style="122" customWidth="1"/>
    <col min="15601" max="15601" width="6.5703125" style="122" customWidth="1"/>
    <col min="15602" max="15602" width="3.28515625" style="122" customWidth="1"/>
    <col min="15603" max="15603" width="5.85546875" style="122" customWidth="1"/>
    <col min="15604" max="15604" width="6.5703125" style="122" customWidth="1"/>
    <col min="15605" max="15605" width="3.28515625" style="122" customWidth="1"/>
    <col min="15606" max="15606" width="5.85546875" style="122" customWidth="1"/>
    <col min="15607" max="15607" width="6.5703125" style="122" customWidth="1"/>
    <col min="15608" max="15608" width="3.28515625" style="122" customWidth="1"/>
    <col min="15609" max="15609" width="5.85546875" style="122" customWidth="1"/>
    <col min="15610" max="15610" width="6.5703125" style="122" customWidth="1"/>
    <col min="15611" max="15611" width="3.28515625" style="122" customWidth="1"/>
    <col min="15612" max="15612" width="5.85546875" style="122" customWidth="1"/>
    <col min="15613" max="15613" width="6.5703125" style="122" customWidth="1"/>
    <col min="15614" max="15614" width="3.28515625" style="122" customWidth="1"/>
    <col min="15615" max="15615" width="5.85546875" style="122" customWidth="1"/>
    <col min="15616" max="15616" width="6.5703125" style="122" customWidth="1"/>
    <col min="15617" max="15617" width="3.28515625" style="122" customWidth="1"/>
    <col min="15618" max="15618" width="5.85546875" style="122" customWidth="1"/>
    <col min="15619" max="15619" width="6.5703125" style="122" customWidth="1"/>
    <col min="15620" max="15620" width="3.28515625" style="122" customWidth="1"/>
    <col min="15621" max="15621" width="5.85546875" style="122" customWidth="1"/>
    <col min="15622" max="15622" width="6.5703125" style="122" customWidth="1"/>
    <col min="15623" max="15623" width="3.28515625" style="122" customWidth="1"/>
    <col min="15624" max="15624" width="5.85546875" style="122" customWidth="1"/>
    <col min="15625" max="15625" width="6.5703125" style="122" customWidth="1"/>
    <col min="15626" max="15626" width="3.28515625" style="122" customWidth="1"/>
    <col min="15627" max="15627" width="5.85546875" style="122" customWidth="1"/>
    <col min="15628" max="15628" width="6.5703125" style="122" customWidth="1"/>
    <col min="15629" max="15629" width="3.28515625" style="122" customWidth="1"/>
    <col min="15630" max="15630" width="5.85546875" style="122" customWidth="1"/>
    <col min="15631" max="15631" width="6.5703125" style="122" customWidth="1"/>
    <col min="15632" max="15632" width="9.42578125" style="122" customWidth="1"/>
    <col min="15633" max="15835" width="9.140625" style="122"/>
    <col min="15836" max="15836" width="4.85546875" style="122" customWidth="1"/>
    <col min="15837" max="15837" width="5.140625" style="122" customWidth="1"/>
    <col min="15838" max="15838" width="13.7109375" style="122" customWidth="1"/>
    <col min="15839" max="15839" width="9.42578125" style="122" customWidth="1"/>
    <col min="15840" max="15840" width="7.85546875" style="122" bestFit="1" customWidth="1"/>
    <col min="15841" max="15841" width="9.42578125" style="122" customWidth="1"/>
    <col min="15842" max="15842" width="7.42578125" style="122" customWidth="1"/>
    <col min="15843" max="15843" width="7.85546875" style="122" customWidth="1"/>
    <col min="15844" max="15844" width="11" style="122" customWidth="1"/>
    <col min="15845" max="15845" width="7.5703125" style="122" customWidth="1"/>
    <col min="15846" max="15846" width="3.28515625" style="122" customWidth="1"/>
    <col min="15847" max="15847" width="5.85546875" style="122" customWidth="1"/>
    <col min="15848" max="15848" width="6.5703125" style="122" customWidth="1"/>
    <col min="15849" max="15849" width="3.28515625" style="122" customWidth="1"/>
    <col min="15850" max="15850" width="5.85546875" style="122" customWidth="1"/>
    <col min="15851" max="15851" width="6.5703125" style="122" customWidth="1"/>
    <col min="15852" max="15852" width="3.28515625" style="122" customWidth="1"/>
    <col min="15853" max="15853" width="5.85546875" style="122" customWidth="1"/>
    <col min="15854" max="15854" width="6.5703125" style="122" customWidth="1"/>
    <col min="15855" max="15855" width="3.28515625" style="122" customWidth="1"/>
    <col min="15856" max="15856" width="5.85546875" style="122" customWidth="1"/>
    <col min="15857" max="15857" width="6.5703125" style="122" customWidth="1"/>
    <col min="15858" max="15858" width="3.28515625" style="122" customWidth="1"/>
    <col min="15859" max="15859" width="5.85546875" style="122" customWidth="1"/>
    <col min="15860" max="15860" width="6.5703125" style="122" customWidth="1"/>
    <col min="15861" max="15861" width="3.28515625" style="122" customWidth="1"/>
    <col min="15862" max="15862" width="5.85546875" style="122" customWidth="1"/>
    <col min="15863" max="15863" width="6.5703125" style="122" customWidth="1"/>
    <col min="15864" max="15864" width="3.28515625" style="122" customWidth="1"/>
    <col min="15865" max="15865" width="5.85546875" style="122" customWidth="1"/>
    <col min="15866" max="15866" width="6.5703125" style="122" customWidth="1"/>
    <col min="15867" max="15867" width="3.28515625" style="122" customWidth="1"/>
    <col min="15868" max="15868" width="5.85546875" style="122" customWidth="1"/>
    <col min="15869" max="15869" width="6.5703125" style="122" customWidth="1"/>
    <col min="15870" max="15870" width="3.28515625" style="122" customWidth="1"/>
    <col min="15871" max="15871" width="5.85546875" style="122" customWidth="1"/>
    <col min="15872" max="15872" width="6.5703125" style="122" customWidth="1"/>
    <col min="15873" max="15873" width="3.28515625" style="122" customWidth="1"/>
    <col min="15874" max="15874" width="5.85546875" style="122" customWidth="1"/>
    <col min="15875" max="15875" width="6.5703125" style="122" customWidth="1"/>
    <col min="15876" max="15876" width="3.28515625" style="122" customWidth="1"/>
    <col min="15877" max="15877" width="5.85546875" style="122" customWidth="1"/>
    <col min="15878" max="15878" width="6.5703125" style="122" customWidth="1"/>
    <col min="15879" max="15879" width="3.28515625" style="122" customWidth="1"/>
    <col min="15880" max="15880" width="5.85546875" style="122" customWidth="1"/>
    <col min="15881" max="15881" width="6.5703125" style="122" customWidth="1"/>
    <col min="15882" max="15882" width="3.28515625" style="122" customWidth="1"/>
    <col min="15883" max="15883" width="5.85546875" style="122" customWidth="1"/>
    <col min="15884" max="15884" width="6.5703125" style="122" customWidth="1"/>
    <col min="15885" max="15885" width="3.28515625" style="122" customWidth="1"/>
    <col min="15886" max="15886" width="5.85546875" style="122" customWidth="1"/>
    <col min="15887" max="15887" width="6.5703125" style="122" customWidth="1"/>
    <col min="15888" max="15888" width="9.42578125" style="122" customWidth="1"/>
    <col min="15889" max="16091" width="9.140625" style="122"/>
    <col min="16092" max="16092" width="4.85546875" style="122" customWidth="1"/>
    <col min="16093" max="16093" width="5.140625" style="122" customWidth="1"/>
    <col min="16094" max="16094" width="13.7109375" style="122" customWidth="1"/>
    <col min="16095" max="16095" width="9.42578125" style="122" customWidth="1"/>
    <col min="16096" max="16096" width="7.85546875" style="122" bestFit="1" customWidth="1"/>
    <col min="16097" max="16097" width="9.42578125" style="122" customWidth="1"/>
    <col min="16098" max="16098" width="7.42578125" style="122" customWidth="1"/>
    <col min="16099" max="16099" width="7.85546875" style="122" customWidth="1"/>
    <col min="16100" max="16100" width="11" style="122" customWidth="1"/>
    <col min="16101" max="16101" width="7.5703125" style="122" customWidth="1"/>
    <col min="16102" max="16102" width="3.28515625" style="122" customWidth="1"/>
    <col min="16103" max="16103" width="5.85546875" style="122" customWidth="1"/>
    <col min="16104" max="16104" width="6.5703125" style="122" customWidth="1"/>
    <col min="16105" max="16105" width="3.28515625" style="122" customWidth="1"/>
    <col min="16106" max="16106" width="5.85546875" style="122" customWidth="1"/>
    <col min="16107" max="16107" width="6.5703125" style="122" customWidth="1"/>
    <col min="16108" max="16108" width="3.28515625" style="122" customWidth="1"/>
    <col min="16109" max="16109" width="5.85546875" style="122" customWidth="1"/>
    <col min="16110" max="16110" width="6.5703125" style="122" customWidth="1"/>
    <col min="16111" max="16111" width="3.28515625" style="122" customWidth="1"/>
    <col min="16112" max="16112" width="5.85546875" style="122" customWidth="1"/>
    <col min="16113" max="16113" width="6.5703125" style="122" customWidth="1"/>
    <col min="16114" max="16114" width="3.28515625" style="122" customWidth="1"/>
    <col min="16115" max="16115" width="5.85546875" style="122" customWidth="1"/>
    <col min="16116" max="16116" width="6.5703125" style="122" customWidth="1"/>
    <col min="16117" max="16117" width="3.28515625" style="122" customWidth="1"/>
    <col min="16118" max="16118" width="5.85546875" style="122" customWidth="1"/>
    <col min="16119" max="16119" width="6.5703125" style="122" customWidth="1"/>
    <col min="16120" max="16120" width="3.28515625" style="122" customWidth="1"/>
    <col min="16121" max="16121" width="5.85546875" style="122" customWidth="1"/>
    <col min="16122" max="16122" width="6.5703125" style="122" customWidth="1"/>
    <col min="16123" max="16123" width="3.28515625" style="122" customWidth="1"/>
    <col min="16124" max="16124" width="5.85546875" style="122" customWidth="1"/>
    <col min="16125" max="16125" width="6.5703125" style="122" customWidth="1"/>
    <col min="16126" max="16126" width="3.28515625" style="122" customWidth="1"/>
    <col min="16127" max="16127" width="5.85546875" style="122" customWidth="1"/>
    <col min="16128" max="16128" width="6.5703125" style="122" customWidth="1"/>
    <col min="16129" max="16129" width="3.28515625" style="122" customWidth="1"/>
    <col min="16130" max="16130" width="5.85546875" style="122" customWidth="1"/>
    <col min="16131" max="16131" width="6.5703125" style="122" customWidth="1"/>
    <col min="16132" max="16132" width="3.28515625" style="122" customWidth="1"/>
    <col min="16133" max="16133" width="5.85546875" style="122" customWidth="1"/>
    <col min="16134" max="16134" width="6.5703125" style="122" customWidth="1"/>
    <col min="16135" max="16135" width="3.28515625" style="122" customWidth="1"/>
    <col min="16136" max="16136" width="5.85546875" style="122" customWidth="1"/>
    <col min="16137" max="16137" width="6.5703125" style="122" customWidth="1"/>
    <col min="16138" max="16138" width="3.28515625" style="122" customWidth="1"/>
    <col min="16139" max="16139" width="5.85546875" style="122" customWidth="1"/>
    <col min="16140" max="16140" width="6.5703125" style="122" customWidth="1"/>
    <col min="16141" max="16141" width="3.28515625" style="122" customWidth="1"/>
    <col min="16142" max="16142" width="5.85546875" style="122" customWidth="1"/>
    <col min="16143" max="16143" width="6.5703125" style="122" customWidth="1"/>
    <col min="16144" max="16144" width="9.42578125" style="122" customWidth="1"/>
    <col min="16145" max="16384" width="9.140625" style="122"/>
  </cols>
  <sheetData>
    <row r="1" spans="1:16" ht="15.75" customHeight="1">
      <c r="A1" s="292" t="s">
        <v>651</v>
      </c>
      <c r="B1" s="292"/>
      <c r="C1" s="292"/>
      <c r="D1" s="292"/>
      <c r="E1" s="292"/>
      <c r="F1" s="292"/>
      <c r="G1" s="292"/>
      <c r="H1" s="292"/>
      <c r="I1" s="292"/>
      <c r="J1" s="292"/>
      <c r="K1" s="292"/>
    </row>
    <row r="2" spans="1:16" s="124" customFormat="1" ht="35.25" customHeight="1">
      <c r="A2" s="293" t="s">
        <v>1168</v>
      </c>
      <c r="B2" s="293"/>
      <c r="C2" s="293"/>
      <c r="D2" s="293"/>
      <c r="E2" s="293"/>
      <c r="F2" s="293"/>
      <c r="G2" s="293"/>
      <c r="H2" s="293"/>
      <c r="I2" s="293"/>
      <c r="J2" s="293"/>
      <c r="K2" s="293"/>
      <c r="L2" s="123"/>
      <c r="M2" s="123"/>
      <c r="N2" s="123"/>
      <c r="O2" s="123"/>
      <c r="P2" s="123"/>
    </row>
    <row r="3" spans="1:16" s="124" customFormat="1" ht="80.25" customHeight="1">
      <c r="A3" s="292" t="s">
        <v>641</v>
      </c>
      <c r="B3" s="292" t="s">
        <v>642</v>
      </c>
      <c r="C3" s="295" t="s">
        <v>652</v>
      </c>
      <c r="D3" s="295"/>
      <c r="E3" s="295" t="s">
        <v>653</v>
      </c>
      <c r="F3" s="295" t="s">
        <v>1161</v>
      </c>
      <c r="G3" s="295" t="s">
        <v>654</v>
      </c>
      <c r="H3" s="295"/>
      <c r="I3" s="292" t="s">
        <v>655</v>
      </c>
      <c r="J3" s="296" t="s">
        <v>656</v>
      </c>
      <c r="K3" s="296" t="s">
        <v>657</v>
      </c>
    </row>
    <row r="4" spans="1:16" s="124" customFormat="1">
      <c r="A4" s="292"/>
      <c r="B4" s="292"/>
      <c r="C4" s="134" t="s">
        <v>658</v>
      </c>
      <c r="D4" s="134" t="s">
        <v>659</v>
      </c>
      <c r="E4" s="295"/>
      <c r="F4" s="295"/>
      <c r="G4" s="134" t="s">
        <v>658</v>
      </c>
      <c r="H4" s="134" t="s">
        <v>659</v>
      </c>
      <c r="I4" s="292"/>
      <c r="J4" s="296"/>
      <c r="K4" s="296"/>
    </row>
    <row r="5" spans="1:16" s="124" customFormat="1">
      <c r="A5" s="125">
        <v>1</v>
      </c>
      <c r="B5" s="125">
        <v>2</v>
      </c>
      <c r="C5" s="125">
        <v>3</v>
      </c>
      <c r="D5" s="125">
        <v>4</v>
      </c>
      <c r="E5" s="125">
        <v>5</v>
      </c>
      <c r="F5" s="125">
        <v>6</v>
      </c>
      <c r="G5" s="125">
        <v>7</v>
      </c>
      <c r="H5" s="125">
        <v>8</v>
      </c>
      <c r="I5" s="125">
        <v>9</v>
      </c>
      <c r="J5" s="125">
        <v>10</v>
      </c>
      <c r="K5" s="125">
        <v>11</v>
      </c>
    </row>
    <row r="6" spans="1:16" s="124" customFormat="1" ht="53.25" customHeight="1">
      <c r="A6" s="125">
        <v>1</v>
      </c>
      <c r="B6" s="135" t="s">
        <v>649</v>
      </c>
      <c r="C6" s="125" t="s">
        <v>660</v>
      </c>
      <c r="D6" s="134" t="s">
        <v>1064</v>
      </c>
      <c r="E6" s="187" t="s">
        <v>1165</v>
      </c>
      <c r="F6" s="186" t="s">
        <v>1166</v>
      </c>
      <c r="G6" s="186" t="s">
        <v>1165</v>
      </c>
      <c r="H6" s="186" t="s">
        <v>1165</v>
      </c>
      <c r="I6" s="186" t="s">
        <v>1166</v>
      </c>
      <c r="J6" s="186" t="s">
        <v>1166</v>
      </c>
      <c r="K6" s="186" t="s">
        <v>1166</v>
      </c>
    </row>
    <row r="7" spans="1:16" s="124" customFormat="1" ht="24" customHeight="1">
      <c r="B7" s="129"/>
    </row>
    <row r="8" spans="1:16" s="72" customFormat="1" ht="18.75" customHeight="1">
      <c r="A8" s="294" t="s">
        <v>650</v>
      </c>
      <c r="B8" s="294"/>
      <c r="C8" s="294"/>
      <c r="D8" s="294"/>
      <c r="E8" s="294"/>
      <c r="F8" s="131"/>
      <c r="G8" s="132"/>
      <c r="H8" s="131"/>
      <c r="I8" s="136" t="s">
        <v>127</v>
      </c>
      <c r="J8" s="136"/>
    </row>
    <row r="9" spans="1:16" s="72" customFormat="1" ht="21" customHeight="1">
      <c r="A9" s="206" t="s">
        <v>164</v>
      </c>
      <c r="B9" s="206"/>
      <c r="C9" s="206"/>
      <c r="D9" s="206"/>
      <c r="F9" s="105"/>
      <c r="G9" s="132"/>
      <c r="H9" s="105"/>
      <c r="I9" s="136" t="s">
        <v>128</v>
      </c>
      <c r="J9" s="136"/>
    </row>
    <row r="10" spans="1:16" s="73" customFormat="1" ht="15"/>
    <row r="11" spans="1:16" s="73" customFormat="1" ht="15"/>
    <row r="12" spans="1:16" s="73" customFormat="1" ht="15"/>
    <row r="13" spans="1:16" s="73" customFormat="1" ht="15">
      <c r="C13" s="51"/>
    </row>
    <row r="14" spans="1:16" s="73" customFormat="1" ht="15">
      <c r="C14" s="51"/>
    </row>
  </sheetData>
  <mergeCells count="13">
    <mergeCell ref="A8:E8"/>
    <mergeCell ref="A9:D9"/>
    <mergeCell ref="A1:K1"/>
    <mergeCell ref="A2:K2"/>
    <mergeCell ref="A3:A4"/>
    <mergeCell ref="B3:B4"/>
    <mergeCell ref="C3:D3"/>
    <mergeCell ref="E3:E4"/>
    <mergeCell ref="F3:F4"/>
    <mergeCell ref="G3:H3"/>
    <mergeCell ref="I3:I4"/>
    <mergeCell ref="J3:J4"/>
    <mergeCell ref="K3:K4"/>
  </mergeCells>
  <pageMargins left="0.8" right="0.15" top="0.46" bottom="0.39" header="0.3" footer="0.16"/>
  <pageSetup paperSize="5" orientation="landscape" r:id="rId1"/>
  <headerFooter>
    <oddFooter>&amp;L&amp;Z&amp;F&amp;R&amp;P to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FFFF00"/>
  </sheetPr>
  <dimension ref="A1:P14"/>
  <sheetViews>
    <sheetView workbookViewId="0">
      <selection activeCell="G9" sqref="G9"/>
    </sheetView>
  </sheetViews>
  <sheetFormatPr defaultRowHeight="15.75"/>
  <cols>
    <col min="1" max="1" width="8" style="122" customWidth="1"/>
    <col min="2" max="2" width="16.42578125" style="133" customWidth="1"/>
    <col min="3" max="3" width="25.140625" style="122" customWidth="1"/>
    <col min="4" max="4" width="27.7109375" style="122" customWidth="1"/>
    <col min="5" max="5" width="18.28515625" style="122" customWidth="1"/>
    <col min="6" max="6" width="20" style="122" customWidth="1"/>
    <col min="7" max="7" width="30" style="122" customWidth="1"/>
    <col min="8" max="8" width="18.5703125" style="122" customWidth="1"/>
    <col min="9" max="9" width="6.85546875" style="122" bestFit="1" customWidth="1"/>
    <col min="10" max="10" width="7.5703125" style="122" bestFit="1" customWidth="1"/>
    <col min="11" max="11" width="8.42578125" style="122" customWidth="1"/>
    <col min="12" max="13" width="9.42578125" style="122" customWidth="1"/>
    <col min="14" max="14" width="6.85546875" style="122" bestFit="1" customWidth="1"/>
    <col min="15" max="15" width="9.42578125" style="122" customWidth="1"/>
    <col min="16" max="16" width="10.28515625" style="122" customWidth="1"/>
    <col min="17" max="219" width="9.140625" style="122"/>
    <col min="220" max="220" width="4.85546875" style="122" customWidth="1"/>
    <col min="221" max="221" width="5.140625" style="122" customWidth="1"/>
    <col min="222" max="222" width="13.7109375" style="122" customWidth="1"/>
    <col min="223" max="223" width="9.42578125" style="122" customWidth="1"/>
    <col min="224" max="224" width="7.85546875" style="122" bestFit="1" customWidth="1"/>
    <col min="225" max="225" width="9.42578125" style="122" customWidth="1"/>
    <col min="226" max="226" width="7.42578125" style="122" customWidth="1"/>
    <col min="227" max="227" width="7.85546875" style="122" customWidth="1"/>
    <col min="228" max="228" width="11" style="122" customWidth="1"/>
    <col min="229" max="229" width="7.5703125" style="122" customWidth="1"/>
    <col min="230" max="230" width="3.28515625" style="122" customWidth="1"/>
    <col min="231" max="231" width="5.85546875" style="122" customWidth="1"/>
    <col min="232" max="232" width="6.5703125" style="122" customWidth="1"/>
    <col min="233" max="233" width="3.28515625" style="122" customWidth="1"/>
    <col min="234" max="234" width="5.85546875" style="122" customWidth="1"/>
    <col min="235" max="235" width="6.5703125" style="122" customWidth="1"/>
    <col min="236" max="236" width="3.28515625" style="122" customWidth="1"/>
    <col min="237" max="237" width="5.85546875" style="122" customWidth="1"/>
    <col min="238" max="238" width="6.5703125" style="122" customWidth="1"/>
    <col min="239" max="239" width="3.28515625" style="122" customWidth="1"/>
    <col min="240" max="240" width="5.85546875" style="122" customWidth="1"/>
    <col min="241" max="241" width="6.5703125" style="122" customWidth="1"/>
    <col min="242" max="242" width="3.28515625" style="122" customWidth="1"/>
    <col min="243" max="243" width="5.85546875" style="122" customWidth="1"/>
    <col min="244" max="244" width="6.5703125" style="122" customWidth="1"/>
    <col min="245" max="245" width="3.28515625" style="122" customWidth="1"/>
    <col min="246" max="246" width="5.85546875" style="122" customWidth="1"/>
    <col min="247" max="247" width="6.5703125" style="122" customWidth="1"/>
    <col min="248" max="248" width="3.28515625" style="122" customWidth="1"/>
    <col min="249" max="249" width="5.85546875" style="122" customWidth="1"/>
    <col min="250" max="250" width="6.5703125" style="122" customWidth="1"/>
    <col min="251" max="251" width="3.28515625" style="122" customWidth="1"/>
    <col min="252" max="252" width="5.85546875" style="122" customWidth="1"/>
    <col min="253" max="253" width="6.5703125" style="122" customWidth="1"/>
    <col min="254" max="254" width="3.28515625" style="122" customWidth="1"/>
    <col min="255" max="255" width="5.85546875" style="122" customWidth="1"/>
    <col min="256" max="256" width="6.5703125" style="122" customWidth="1"/>
    <col min="257" max="257" width="3.28515625" style="122" customWidth="1"/>
    <col min="258" max="258" width="5.85546875" style="122" customWidth="1"/>
    <col min="259" max="259" width="6.5703125" style="122" customWidth="1"/>
    <col min="260" max="260" width="3.28515625" style="122" customWidth="1"/>
    <col min="261" max="261" width="5.85546875" style="122" customWidth="1"/>
    <col min="262" max="262" width="6.5703125" style="122" customWidth="1"/>
    <col min="263" max="263" width="3.28515625" style="122" customWidth="1"/>
    <col min="264" max="264" width="5.85546875" style="122" customWidth="1"/>
    <col min="265" max="265" width="6.5703125" style="122" customWidth="1"/>
    <col min="266" max="266" width="3.28515625" style="122" customWidth="1"/>
    <col min="267" max="267" width="5.85546875" style="122" customWidth="1"/>
    <col min="268" max="268" width="6.5703125" style="122" customWidth="1"/>
    <col min="269" max="269" width="3.28515625" style="122" customWidth="1"/>
    <col min="270" max="270" width="5.85546875" style="122" customWidth="1"/>
    <col min="271" max="271" width="6.5703125" style="122" customWidth="1"/>
    <col min="272" max="272" width="9.42578125" style="122" customWidth="1"/>
    <col min="273" max="475" width="9.140625" style="122"/>
    <col min="476" max="476" width="4.85546875" style="122" customWidth="1"/>
    <col min="477" max="477" width="5.140625" style="122" customWidth="1"/>
    <col min="478" max="478" width="13.7109375" style="122" customWidth="1"/>
    <col min="479" max="479" width="9.42578125" style="122" customWidth="1"/>
    <col min="480" max="480" width="7.85546875" style="122" bestFit="1" customWidth="1"/>
    <col min="481" max="481" width="9.42578125" style="122" customWidth="1"/>
    <col min="482" max="482" width="7.42578125" style="122" customWidth="1"/>
    <col min="483" max="483" width="7.85546875" style="122" customWidth="1"/>
    <col min="484" max="484" width="11" style="122" customWidth="1"/>
    <col min="485" max="485" width="7.5703125" style="122" customWidth="1"/>
    <col min="486" max="486" width="3.28515625" style="122" customWidth="1"/>
    <col min="487" max="487" width="5.85546875" style="122" customWidth="1"/>
    <col min="488" max="488" width="6.5703125" style="122" customWidth="1"/>
    <col min="489" max="489" width="3.28515625" style="122" customWidth="1"/>
    <col min="490" max="490" width="5.85546875" style="122" customWidth="1"/>
    <col min="491" max="491" width="6.5703125" style="122" customWidth="1"/>
    <col min="492" max="492" width="3.28515625" style="122" customWidth="1"/>
    <col min="493" max="493" width="5.85546875" style="122" customWidth="1"/>
    <col min="494" max="494" width="6.5703125" style="122" customWidth="1"/>
    <col min="495" max="495" width="3.28515625" style="122" customWidth="1"/>
    <col min="496" max="496" width="5.85546875" style="122" customWidth="1"/>
    <col min="497" max="497" width="6.5703125" style="122" customWidth="1"/>
    <col min="498" max="498" width="3.28515625" style="122" customWidth="1"/>
    <col min="499" max="499" width="5.85546875" style="122" customWidth="1"/>
    <col min="500" max="500" width="6.5703125" style="122" customWidth="1"/>
    <col min="501" max="501" width="3.28515625" style="122" customWidth="1"/>
    <col min="502" max="502" width="5.85546875" style="122" customWidth="1"/>
    <col min="503" max="503" width="6.5703125" style="122" customWidth="1"/>
    <col min="504" max="504" width="3.28515625" style="122" customWidth="1"/>
    <col min="505" max="505" width="5.85546875" style="122" customWidth="1"/>
    <col min="506" max="506" width="6.5703125" style="122" customWidth="1"/>
    <col min="507" max="507" width="3.28515625" style="122" customWidth="1"/>
    <col min="508" max="508" width="5.85546875" style="122" customWidth="1"/>
    <col min="509" max="509" width="6.5703125" style="122" customWidth="1"/>
    <col min="510" max="510" width="3.28515625" style="122" customWidth="1"/>
    <col min="511" max="511" width="5.85546875" style="122" customWidth="1"/>
    <col min="512" max="512" width="6.5703125" style="122" customWidth="1"/>
    <col min="513" max="513" width="3.28515625" style="122" customWidth="1"/>
    <col min="514" max="514" width="5.85546875" style="122" customWidth="1"/>
    <col min="515" max="515" width="6.5703125" style="122" customWidth="1"/>
    <col min="516" max="516" width="3.28515625" style="122" customWidth="1"/>
    <col min="517" max="517" width="5.85546875" style="122" customWidth="1"/>
    <col min="518" max="518" width="6.5703125" style="122" customWidth="1"/>
    <col min="519" max="519" width="3.28515625" style="122" customWidth="1"/>
    <col min="520" max="520" width="5.85546875" style="122" customWidth="1"/>
    <col min="521" max="521" width="6.5703125" style="122" customWidth="1"/>
    <col min="522" max="522" width="3.28515625" style="122" customWidth="1"/>
    <col min="523" max="523" width="5.85546875" style="122" customWidth="1"/>
    <col min="524" max="524" width="6.5703125" style="122" customWidth="1"/>
    <col min="525" max="525" width="3.28515625" style="122" customWidth="1"/>
    <col min="526" max="526" width="5.85546875" style="122" customWidth="1"/>
    <col min="527" max="527" width="6.5703125" style="122" customWidth="1"/>
    <col min="528" max="528" width="9.42578125" style="122" customWidth="1"/>
    <col min="529" max="731" width="9.140625" style="122"/>
    <col min="732" max="732" width="4.85546875" style="122" customWidth="1"/>
    <col min="733" max="733" width="5.140625" style="122" customWidth="1"/>
    <col min="734" max="734" width="13.7109375" style="122" customWidth="1"/>
    <col min="735" max="735" width="9.42578125" style="122" customWidth="1"/>
    <col min="736" max="736" width="7.85546875" style="122" bestFit="1" customWidth="1"/>
    <col min="737" max="737" width="9.42578125" style="122" customWidth="1"/>
    <col min="738" max="738" width="7.42578125" style="122" customWidth="1"/>
    <col min="739" max="739" width="7.85546875" style="122" customWidth="1"/>
    <col min="740" max="740" width="11" style="122" customWidth="1"/>
    <col min="741" max="741" width="7.5703125" style="122" customWidth="1"/>
    <col min="742" max="742" width="3.28515625" style="122" customWidth="1"/>
    <col min="743" max="743" width="5.85546875" style="122" customWidth="1"/>
    <col min="744" max="744" width="6.5703125" style="122" customWidth="1"/>
    <col min="745" max="745" width="3.28515625" style="122" customWidth="1"/>
    <col min="746" max="746" width="5.85546875" style="122" customWidth="1"/>
    <col min="747" max="747" width="6.5703125" style="122" customWidth="1"/>
    <col min="748" max="748" width="3.28515625" style="122" customWidth="1"/>
    <col min="749" max="749" width="5.85546875" style="122" customWidth="1"/>
    <col min="750" max="750" width="6.5703125" style="122" customWidth="1"/>
    <col min="751" max="751" width="3.28515625" style="122" customWidth="1"/>
    <col min="752" max="752" width="5.85546875" style="122" customWidth="1"/>
    <col min="753" max="753" width="6.5703125" style="122" customWidth="1"/>
    <col min="754" max="754" width="3.28515625" style="122" customWidth="1"/>
    <col min="755" max="755" width="5.85546875" style="122" customWidth="1"/>
    <col min="756" max="756" width="6.5703125" style="122" customWidth="1"/>
    <col min="757" max="757" width="3.28515625" style="122" customWidth="1"/>
    <col min="758" max="758" width="5.85546875" style="122" customWidth="1"/>
    <col min="759" max="759" width="6.5703125" style="122" customWidth="1"/>
    <col min="760" max="760" width="3.28515625" style="122" customWidth="1"/>
    <col min="761" max="761" width="5.85546875" style="122" customWidth="1"/>
    <col min="762" max="762" width="6.5703125" style="122" customWidth="1"/>
    <col min="763" max="763" width="3.28515625" style="122" customWidth="1"/>
    <col min="764" max="764" width="5.85546875" style="122" customWidth="1"/>
    <col min="765" max="765" width="6.5703125" style="122" customWidth="1"/>
    <col min="766" max="766" width="3.28515625" style="122" customWidth="1"/>
    <col min="767" max="767" width="5.85546875" style="122" customWidth="1"/>
    <col min="768" max="768" width="6.5703125" style="122" customWidth="1"/>
    <col min="769" max="769" width="3.28515625" style="122" customWidth="1"/>
    <col min="770" max="770" width="5.85546875" style="122" customWidth="1"/>
    <col min="771" max="771" width="6.5703125" style="122" customWidth="1"/>
    <col min="772" max="772" width="3.28515625" style="122" customWidth="1"/>
    <col min="773" max="773" width="5.85546875" style="122" customWidth="1"/>
    <col min="774" max="774" width="6.5703125" style="122" customWidth="1"/>
    <col min="775" max="775" width="3.28515625" style="122" customWidth="1"/>
    <col min="776" max="776" width="5.85546875" style="122" customWidth="1"/>
    <col min="777" max="777" width="6.5703125" style="122" customWidth="1"/>
    <col min="778" max="778" width="3.28515625" style="122" customWidth="1"/>
    <col min="779" max="779" width="5.85546875" style="122" customWidth="1"/>
    <col min="780" max="780" width="6.5703125" style="122" customWidth="1"/>
    <col min="781" max="781" width="3.28515625" style="122" customWidth="1"/>
    <col min="782" max="782" width="5.85546875" style="122" customWidth="1"/>
    <col min="783" max="783" width="6.5703125" style="122" customWidth="1"/>
    <col min="784" max="784" width="9.42578125" style="122" customWidth="1"/>
    <col min="785" max="987" width="9.140625" style="122"/>
    <col min="988" max="988" width="4.85546875" style="122" customWidth="1"/>
    <col min="989" max="989" width="5.140625" style="122" customWidth="1"/>
    <col min="990" max="990" width="13.7109375" style="122" customWidth="1"/>
    <col min="991" max="991" width="9.42578125" style="122" customWidth="1"/>
    <col min="992" max="992" width="7.85546875" style="122" bestFit="1" customWidth="1"/>
    <col min="993" max="993" width="9.42578125" style="122" customWidth="1"/>
    <col min="994" max="994" width="7.42578125" style="122" customWidth="1"/>
    <col min="995" max="995" width="7.85546875" style="122" customWidth="1"/>
    <col min="996" max="996" width="11" style="122" customWidth="1"/>
    <col min="997" max="997" width="7.5703125" style="122" customWidth="1"/>
    <col min="998" max="998" width="3.28515625" style="122" customWidth="1"/>
    <col min="999" max="999" width="5.85546875" style="122" customWidth="1"/>
    <col min="1000" max="1000" width="6.5703125" style="122" customWidth="1"/>
    <col min="1001" max="1001" width="3.28515625" style="122" customWidth="1"/>
    <col min="1002" max="1002" width="5.85546875" style="122" customWidth="1"/>
    <col min="1003" max="1003" width="6.5703125" style="122" customWidth="1"/>
    <col min="1004" max="1004" width="3.28515625" style="122" customWidth="1"/>
    <col min="1005" max="1005" width="5.85546875" style="122" customWidth="1"/>
    <col min="1006" max="1006" width="6.5703125" style="122" customWidth="1"/>
    <col min="1007" max="1007" width="3.28515625" style="122" customWidth="1"/>
    <col min="1008" max="1008" width="5.85546875" style="122" customWidth="1"/>
    <col min="1009" max="1009" width="6.5703125" style="122" customWidth="1"/>
    <col min="1010" max="1010" width="3.28515625" style="122" customWidth="1"/>
    <col min="1011" max="1011" width="5.85546875" style="122" customWidth="1"/>
    <col min="1012" max="1012" width="6.5703125" style="122" customWidth="1"/>
    <col min="1013" max="1013" width="3.28515625" style="122" customWidth="1"/>
    <col min="1014" max="1014" width="5.85546875" style="122" customWidth="1"/>
    <col min="1015" max="1015" width="6.5703125" style="122" customWidth="1"/>
    <col min="1016" max="1016" width="3.28515625" style="122" customWidth="1"/>
    <col min="1017" max="1017" width="5.85546875" style="122" customWidth="1"/>
    <col min="1018" max="1018" width="6.5703125" style="122" customWidth="1"/>
    <col min="1019" max="1019" width="3.28515625" style="122" customWidth="1"/>
    <col min="1020" max="1020" width="5.85546875" style="122" customWidth="1"/>
    <col min="1021" max="1021" width="6.5703125" style="122" customWidth="1"/>
    <col min="1022" max="1022" width="3.28515625" style="122" customWidth="1"/>
    <col min="1023" max="1023" width="5.85546875" style="122" customWidth="1"/>
    <col min="1024" max="1024" width="6.5703125" style="122" customWidth="1"/>
    <col min="1025" max="1025" width="3.28515625" style="122" customWidth="1"/>
    <col min="1026" max="1026" width="5.85546875" style="122" customWidth="1"/>
    <col min="1027" max="1027" width="6.5703125" style="122" customWidth="1"/>
    <col min="1028" max="1028" width="3.28515625" style="122" customWidth="1"/>
    <col min="1029" max="1029" width="5.85546875" style="122" customWidth="1"/>
    <col min="1030" max="1030" width="6.5703125" style="122" customWidth="1"/>
    <col min="1031" max="1031" width="3.28515625" style="122" customWidth="1"/>
    <col min="1032" max="1032" width="5.85546875" style="122" customWidth="1"/>
    <col min="1033" max="1033" width="6.5703125" style="122" customWidth="1"/>
    <col min="1034" max="1034" width="3.28515625" style="122" customWidth="1"/>
    <col min="1035" max="1035" width="5.85546875" style="122" customWidth="1"/>
    <col min="1036" max="1036" width="6.5703125" style="122" customWidth="1"/>
    <col min="1037" max="1037" width="3.28515625" style="122" customWidth="1"/>
    <col min="1038" max="1038" width="5.85546875" style="122" customWidth="1"/>
    <col min="1039" max="1039" width="6.5703125" style="122" customWidth="1"/>
    <col min="1040" max="1040" width="9.42578125" style="122" customWidth="1"/>
    <col min="1041" max="1243" width="9.140625" style="122"/>
    <col min="1244" max="1244" width="4.85546875" style="122" customWidth="1"/>
    <col min="1245" max="1245" width="5.140625" style="122" customWidth="1"/>
    <col min="1246" max="1246" width="13.7109375" style="122" customWidth="1"/>
    <col min="1247" max="1247" width="9.42578125" style="122" customWidth="1"/>
    <col min="1248" max="1248" width="7.85546875" style="122" bestFit="1" customWidth="1"/>
    <col min="1249" max="1249" width="9.42578125" style="122" customWidth="1"/>
    <col min="1250" max="1250" width="7.42578125" style="122" customWidth="1"/>
    <col min="1251" max="1251" width="7.85546875" style="122" customWidth="1"/>
    <col min="1252" max="1252" width="11" style="122" customWidth="1"/>
    <col min="1253" max="1253" width="7.5703125" style="122" customWidth="1"/>
    <col min="1254" max="1254" width="3.28515625" style="122" customWidth="1"/>
    <col min="1255" max="1255" width="5.85546875" style="122" customWidth="1"/>
    <col min="1256" max="1256" width="6.5703125" style="122" customWidth="1"/>
    <col min="1257" max="1257" width="3.28515625" style="122" customWidth="1"/>
    <col min="1258" max="1258" width="5.85546875" style="122" customWidth="1"/>
    <col min="1259" max="1259" width="6.5703125" style="122" customWidth="1"/>
    <col min="1260" max="1260" width="3.28515625" style="122" customWidth="1"/>
    <col min="1261" max="1261" width="5.85546875" style="122" customWidth="1"/>
    <col min="1262" max="1262" width="6.5703125" style="122" customWidth="1"/>
    <col min="1263" max="1263" width="3.28515625" style="122" customWidth="1"/>
    <col min="1264" max="1264" width="5.85546875" style="122" customWidth="1"/>
    <col min="1265" max="1265" width="6.5703125" style="122" customWidth="1"/>
    <col min="1266" max="1266" width="3.28515625" style="122" customWidth="1"/>
    <col min="1267" max="1267" width="5.85546875" style="122" customWidth="1"/>
    <col min="1268" max="1268" width="6.5703125" style="122" customWidth="1"/>
    <col min="1269" max="1269" width="3.28515625" style="122" customWidth="1"/>
    <col min="1270" max="1270" width="5.85546875" style="122" customWidth="1"/>
    <col min="1271" max="1271" width="6.5703125" style="122" customWidth="1"/>
    <col min="1272" max="1272" width="3.28515625" style="122" customWidth="1"/>
    <col min="1273" max="1273" width="5.85546875" style="122" customWidth="1"/>
    <col min="1274" max="1274" width="6.5703125" style="122" customWidth="1"/>
    <col min="1275" max="1275" width="3.28515625" style="122" customWidth="1"/>
    <col min="1276" max="1276" width="5.85546875" style="122" customWidth="1"/>
    <col min="1277" max="1277" width="6.5703125" style="122" customWidth="1"/>
    <col min="1278" max="1278" width="3.28515625" style="122" customWidth="1"/>
    <col min="1279" max="1279" width="5.85546875" style="122" customWidth="1"/>
    <col min="1280" max="1280" width="6.5703125" style="122" customWidth="1"/>
    <col min="1281" max="1281" width="3.28515625" style="122" customWidth="1"/>
    <col min="1282" max="1282" width="5.85546875" style="122" customWidth="1"/>
    <col min="1283" max="1283" width="6.5703125" style="122" customWidth="1"/>
    <col min="1284" max="1284" width="3.28515625" style="122" customWidth="1"/>
    <col min="1285" max="1285" width="5.85546875" style="122" customWidth="1"/>
    <col min="1286" max="1286" width="6.5703125" style="122" customWidth="1"/>
    <col min="1287" max="1287" width="3.28515625" style="122" customWidth="1"/>
    <col min="1288" max="1288" width="5.85546875" style="122" customWidth="1"/>
    <col min="1289" max="1289" width="6.5703125" style="122" customWidth="1"/>
    <col min="1290" max="1290" width="3.28515625" style="122" customWidth="1"/>
    <col min="1291" max="1291" width="5.85546875" style="122" customWidth="1"/>
    <col min="1292" max="1292" width="6.5703125" style="122" customWidth="1"/>
    <col min="1293" max="1293" width="3.28515625" style="122" customWidth="1"/>
    <col min="1294" max="1294" width="5.85546875" style="122" customWidth="1"/>
    <col min="1295" max="1295" width="6.5703125" style="122" customWidth="1"/>
    <col min="1296" max="1296" width="9.42578125" style="122" customWidth="1"/>
    <col min="1297" max="1499" width="9.140625" style="122"/>
    <col min="1500" max="1500" width="4.85546875" style="122" customWidth="1"/>
    <col min="1501" max="1501" width="5.140625" style="122" customWidth="1"/>
    <col min="1502" max="1502" width="13.7109375" style="122" customWidth="1"/>
    <col min="1503" max="1503" width="9.42578125" style="122" customWidth="1"/>
    <col min="1504" max="1504" width="7.85546875" style="122" bestFit="1" customWidth="1"/>
    <col min="1505" max="1505" width="9.42578125" style="122" customWidth="1"/>
    <col min="1506" max="1506" width="7.42578125" style="122" customWidth="1"/>
    <col min="1507" max="1507" width="7.85546875" style="122" customWidth="1"/>
    <col min="1508" max="1508" width="11" style="122" customWidth="1"/>
    <col min="1509" max="1509" width="7.5703125" style="122" customWidth="1"/>
    <col min="1510" max="1510" width="3.28515625" style="122" customWidth="1"/>
    <col min="1511" max="1511" width="5.85546875" style="122" customWidth="1"/>
    <col min="1512" max="1512" width="6.5703125" style="122" customWidth="1"/>
    <col min="1513" max="1513" width="3.28515625" style="122" customWidth="1"/>
    <col min="1514" max="1514" width="5.85546875" style="122" customWidth="1"/>
    <col min="1515" max="1515" width="6.5703125" style="122" customWidth="1"/>
    <col min="1516" max="1516" width="3.28515625" style="122" customWidth="1"/>
    <col min="1517" max="1517" width="5.85546875" style="122" customWidth="1"/>
    <col min="1518" max="1518" width="6.5703125" style="122" customWidth="1"/>
    <col min="1519" max="1519" width="3.28515625" style="122" customWidth="1"/>
    <col min="1520" max="1520" width="5.85546875" style="122" customWidth="1"/>
    <col min="1521" max="1521" width="6.5703125" style="122" customWidth="1"/>
    <col min="1522" max="1522" width="3.28515625" style="122" customWidth="1"/>
    <col min="1523" max="1523" width="5.85546875" style="122" customWidth="1"/>
    <col min="1524" max="1524" width="6.5703125" style="122" customWidth="1"/>
    <col min="1525" max="1525" width="3.28515625" style="122" customWidth="1"/>
    <col min="1526" max="1526" width="5.85546875" style="122" customWidth="1"/>
    <col min="1527" max="1527" width="6.5703125" style="122" customWidth="1"/>
    <col min="1528" max="1528" width="3.28515625" style="122" customWidth="1"/>
    <col min="1529" max="1529" width="5.85546875" style="122" customWidth="1"/>
    <col min="1530" max="1530" width="6.5703125" style="122" customWidth="1"/>
    <col min="1531" max="1531" width="3.28515625" style="122" customWidth="1"/>
    <col min="1532" max="1532" width="5.85546875" style="122" customWidth="1"/>
    <col min="1533" max="1533" width="6.5703125" style="122" customWidth="1"/>
    <col min="1534" max="1534" width="3.28515625" style="122" customWidth="1"/>
    <col min="1535" max="1535" width="5.85546875" style="122" customWidth="1"/>
    <col min="1536" max="1536" width="6.5703125" style="122" customWidth="1"/>
    <col min="1537" max="1537" width="3.28515625" style="122" customWidth="1"/>
    <col min="1538" max="1538" width="5.85546875" style="122" customWidth="1"/>
    <col min="1539" max="1539" width="6.5703125" style="122" customWidth="1"/>
    <col min="1540" max="1540" width="3.28515625" style="122" customWidth="1"/>
    <col min="1541" max="1541" width="5.85546875" style="122" customWidth="1"/>
    <col min="1542" max="1542" width="6.5703125" style="122" customWidth="1"/>
    <col min="1543" max="1543" width="3.28515625" style="122" customWidth="1"/>
    <col min="1544" max="1544" width="5.85546875" style="122" customWidth="1"/>
    <col min="1545" max="1545" width="6.5703125" style="122" customWidth="1"/>
    <col min="1546" max="1546" width="3.28515625" style="122" customWidth="1"/>
    <col min="1547" max="1547" width="5.85546875" style="122" customWidth="1"/>
    <col min="1548" max="1548" width="6.5703125" style="122" customWidth="1"/>
    <col min="1549" max="1549" width="3.28515625" style="122" customWidth="1"/>
    <col min="1550" max="1550" width="5.85546875" style="122" customWidth="1"/>
    <col min="1551" max="1551" width="6.5703125" style="122" customWidth="1"/>
    <col min="1552" max="1552" width="9.42578125" style="122" customWidth="1"/>
    <col min="1553" max="1755" width="9.140625" style="122"/>
    <col min="1756" max="1756" width="4.85546875" style="122" customWidth="1"/>
    <col min="1757" max="1757" width="5.140625" style="122" customWidth="1"/>
    <col min="1758" max="1758" width="13.7109375" style="122" customWidth="1"/>
    <col min="1759" max="1759" width="9.42578125" style="122" customWidth="1"/>
    <col min="1760" max="1760" width="7.85546875" style="122" bestFit="1" customWidth="1"/>
    <col min="1761" max="1761" width="9.42578125" style="122" customWidth="1"/>
    <col min="1762" max="1762" width="7.42578125" style="122" customWidth="1"/>
    <col min="1763" max="1763" width="7.85546875" style="122" customWidth="1"/>
    <col min="1764" max="1764" width="11" style="122" customWidth="1"/>
    <col min="1765" max="1765" width="7.5703125" style="122" customWidth="1"/>
    <col min="1766" max="1766" width="3.28515625" style="122" customWidth="1"/>
    <col min="1767" max="1767" width="5.85546875" style="122" customWidth="1"/>
    <col min="1768" max="1768" width="6.5703125" style="122" customWidth="1"/>
    <col min="1769" max="1769" width="3.28515625" style="122" customWidth="1"/>
    <col min="1770" max="1770" width="5.85546875" style="122" customWidth="1"/>
    <col min="1771" max="1771" width="6.5703125" style="122" customWidth="1"/>
    <col min="1772" max="1772" width="3.28515625" style="122" customWidth="1"/>
    <col min="1773" max="1773" width="5.85546875" style="122" customWidth="1"/>
    <col min="1774" max="1774" width="6.5703125" style="122" customWidth="1"/>
    <col min="1775" max="1775" width="3.28515625" style="122" customWidth="1"/>
    <col min="1776" max="1776" width="5.85546875" style="122" customWidth="1"/>
    <col min="1777" max="1777" width="6.5703125" style="122" customWidth="1"/>
    <col min="1778" max="1778" width="3.28515625" style="122" customWidth="1"/>
    <col min="1779" max="1779" width="5.85546875" style="122" customWidth="1"/>
    <col min="1780" max="1780" width="6.5703125" style="122" customWidth="1"/>
    <col min="1781" max="1781" width="3.28515625" style="122" customWidth="1"/>
    <col min="1782" max="1782" width="5.85546875" style="122" customWidth="1"/>
    <col min="1783" max="1783" width="6.5703125" style="122" customWidth="1"/>
    <col min="1784" max="1784" width="3.28515625" style="122" customWidth="1"/>
    <col min="1785" max="1785" width="5.85546875" style="122" customWidth="1"/>
    <col min="1786" max="1786" width="6.5703125" style="122" customWidth="1"/>
    <col min="1787" max="1787" width="3.28515625" style="122" customWidth="1"/>
    <col min="1788" max="1788" width="5.85546875" style="122" customWidth="1"/>
    <col min="1789" max="1789" width="6.5703125" style="122" customWidth="1"/>
    <col min="1790" max="1790" width="3.28515625" style="122" customWidth="1"/>
    <col min="1791" max="1791" width="5.85546875" style="122" customWidth="1"/>
    <col min="1792" max="1792" width="6.5703125" style="122" customWidth="1"/>
    <col min="1793" max="1793" width="3.28515625" style="122" customWidth="1"/>
    <col min="1794" max="1794" width="5.85546875" style="122" customWidth="1"/>
    <col min="1795" max="1795" width="6.5703125" style="122" customWidth="1"/>
    <col min="1796" max="1796" width="3.28515625" style="122" customWidth="1"/>
    <col min="1797" max="1797" width="5.85546875" style="122" customWidth="1"/>
    <col min="1798" max="1798" width="6.5703125" style="122" customWidth="1"/>
    <col min="1799" max="1799" width="3.28515625" style="122" customWidth="1"/>
    <col min="1800" max="1800" width="5.85546875" style="122" customWidth="1"/>
    <col min="1801" max="1801" width="6.5703125" style="122" customWidth="1"/>
    <col min="1802" max="1802" width="3.28515625" style="122" customWidth="1"/>
    <col min="1803" max="1803" width="5.85546875" style="122" customWidth="1"/>
    <col min="1804" max="1804" width="6.5703125" style="122" customWidth="1"/>
    <col min="1805" max="1805" width="3.28515625" style="122" customWidth="1"/>
    <col min="1806" max="1806" width="5.85546875" style="122" customWidth="1"/>
    <col min="1807" max="1807" width="6.5703125" style="122" customWidth="1"/>
    <col min="1808" max="1808" width="9.42578125" style="122" customWidth="1"/>
    <col min="1809" max="2011" width="9.140625" style="122"/>
    <col min="2012" max="2012" width="4.85546875" style="122" customWidth="1"/>
    <col min="2013" max="2013" width="5.140625" style="122" customWidth="1"/>
    <col min="2014" max="2014" width="13.7109375" style="122" customWidth="1"/>
    <col min="2015" max="2015" width="9.42578125" style="122" customWidth="1"/>
    <col min="2016" max="2016" width="7.85546875" style="122" bestFit="1" customWidth="1"/>
    <col min="2017" max="2017" width="9.42578125" style="122" customWidth="1"/>
    <col min="2018" max="2018" width="7.42578125" style="122" customWidth="1"/>
    <col min="2019" max="2019" width="7.85546875" style="122" customWidth="1"/>
    <col min="2020" max="2020" width="11" style="122" customWidth="1"/>
    <col min="2021" max="2021" width="7.5703125" style="122" customWidth="1"/>
    <col min="2022" max="2022" width="3.28515625" style="122" customWidth="1"/>
    <col min="2023" max="2023" width="5.85546875" style="122" customWidth="1"/>
    <col min="2024" max="2024" width="6.5703125" style="122" customWidth="1"/>
    <col min="2025" max="2025" width="3.28515625" style="122" customWidth="1"/>
    <col min="2026" max="2026" width="5.85546875" style="122" customWidth="1"/>
    <col min="2027" max="2027" width="6.5703125" style="122" customWidth="1"/>
    <col min="2028" max="2028" width="3.28515625" style="122" customWidth="1"/>
    <col min="2029" max="2029" width="5.85546875" style="122" customWidth="1"/>
    <col min="2030" max="2030" width="6.5703125" style="122" customWidth="1"/>
    <col min="2031" max="2031" width="3.28515625" style="122" customWidth="1"/>
    <col min="2032" max="2032" width="5.85546875" style="122" customWidth="1"/>
    <col min="2033" max="2033" width="6.5703125" style="122" customWidth="1"/>
    <col min="2034" max="2034" width="3.28515625" style="122" customWidth="1"/>
    <col min="2035" max="2035" width="5.85546875" style="122" customWidth="1"/>
    <col min="2036" max="2036" width="6.5703125" style="122" customWidth="1"/>
    <col min="2037" max="2037" width="3.28515625" style="122" customWidth="1"/>
    <col min="2038" max="2038" width="5.85546875" style="122" customWidth="1"/>
    <col min="2039" max="2039" width="6.5703125" style="122" customWidth="1"/>
    <col min="2040" max="2040" width="3.28515625" style="122" customWidth="1"/>
    <col min="2041" max="2041" width="5.85546875" style="122" customWidth="1"/>
    <col min="2042" max="2042" width="6.5703125" style="122" customWidth="1"/>
    <col min="2043" max="2043" width="3.28515625" style="122" customWidth="1"/>
    <col min="2044" max="2044" width="5.85546875" style="122" customWidth="1"/>
    <col min="2045" max="2045" width="6.5703125" style="122" customWidth="1"/>
    <col min="2046" max="2046" width="3.28515625" style="122" customWidth="1"/>
    <col min="2047" max="2047" width="5.85546875" style="122" customWidth="1"/>
    <col min="2048" max="2048" width="6.5703125" style="122" customWidth="1"/>
    <col min="2049" max="2049" width="3.28515625" style="122" customWidth="1"/>
    <col min="2050" max="2050" width="5.85546875" style="122" customWidth="1"/>
    <col min="2051" max="2051" width="6.5703125" style="122" customWidth="1"/>
    <col min="2052" max="2052" width="3.28515625" style="122" customWidth="1"/>
    <col min="2053" max="2053" width="5.85546875" style="122" customWidth="1"/>
    <col min="2054" max="2054" width="6.5703125" style="122" customWidth="1"/>
    <col min="2055" max="2055" width="3.28515625" style="122" customWidth="1"/>
    <col min="2056" max="2056" width="5.85546875" style="122" customWidth="1"/>
    <col min="2057" max="2057" width="6.5703125" style="122" customWidth="1"/>
    <col min="2058" max="2058" width="3.28515625" style="122" customWidth="1"/>
    <col min="2059" max="2059" width="5.85546875" style="122" customWidth="1"/>
    <col min="2060" max="2060" width="6.5703125" style="122" customWidth="1"/>
    <col min="2061" max="2061" width="3.28515625" style="122" customWidth="1"/>
    <col min="2062" max="2062" width="5.85546875" style="122" customWidth="1"/>
    <col min="2063" max="2063" width="6.5703125" style="122" customWidth="1"/>
    <col min="2064" max="2064" width="9.42578125" style="122" customWidth="1"/>
    <col min="2065" max="2267" width="9.140625" style="122"/>
    <col min="2268" max="2268" width="4.85546875" style="122" customWidth="1"/>
    <col min="2269" max="2269" width="5.140625" style="122" customWidth="1"/>
    <col min="2270" max="2270" width="13.7109375" style="122" customWidth="1"/>
    <col min="2271" max="2271" width="9.42578125" style="122" customWidth="1"/>
    <col min="2272" max="2272" width="7.85546875" style="122" bestFit="1" customWidth="1"/>
    <col min="2273" max="2273" width="9.42578125" style="122" customWidth="1"/>
    <col min="2274" max="2274" width="7.42578125" style="122" customWidth="1"/>
    <col min="2275" max="2275" width="7.85546875" style="122" customWidth="1"/>
    <col min="2276" max="2276" width="11" style="122" customWidth="1"/>
    <col min="2277" max="2277" width="7.5703125" style="122" customWidth="1"/>
    <col min="2278" max="2278" width="3.28515625" style="122" customWidth="1"/>
    <col min="2279" max="2279" width="5.85546875" style="122" customWidth="1"/>
    <col min="2280" max="2280" width="6.5703125" style="122" customWidth="1"/>
    <col min="2281" max="2281" width="3.28515625" style="122" customWidth="1"/>
    <col min="2282" max="2282" width="5.85546875" style="122" customWidth="1"/>
    <col min="2283" max="2283" width="6.5703125" style="122" customWidth="1"/>
    <col min="2284" max="2284" width="3.28515625" style="122" customWidth="1"/>
    <col min="2285" max="2285" width="5.85546875" style="122" customWidth="1"/>
    <col min="2286" max="2286" width="6.5703125" style="122" customWidth="1"/>
    <col min="2287" max="2287" width="3.28515625" style="122" customWidth="1"/>
    <col min="2288" max="2288" width="5.85546875" style="122" customWidth="1"/>
    <col min="2289" max="2289" width="6.5703125" style="122" customWidth="1"/>
    <col min="2290" max="2290" width="3.28515625" style="122" customWidth="1"/>
    <col min="2291" max="2291" width="5.85546875" style="122" customWidth="1"/>
    <col min="2292" max="2292" width="6.5703125" style="122" customWidth="1"/>
    <col min="2293" max="2293" width="3.28515625" style="122" customWidth="1"/>
    <col min="2294" max="2294" width="5.85546875" style="122" customWidth="1"/>
    <col min="2295" max="2295" width="6.5703125" style="122" customWidth="1"/>
    <col min="2296" max="2296" width="3.28515625" style="122" customWidth="1"/>
    <col min="2297" max="2297" width="5.85546875" style="122" customWidth="1"/>
    <col min="2298" max="2298" width="6.5703125" style="122" customWidth="1"/>
    <col min="2299" max="2299" width="3.28515625" style="122" customWidth="1"/>
    <col min="2300" max="2300" width="5.85546875" style="122" customWidth="1"/>
    <col min="2301" max="2301" width="6.5703125" style="122" customWidth="1"/>
    <col min="2302" max="2302" width="3.28515625" style="122" customWidth="1"/>
    <col min="2303" max="2303" width="5.85546875" style="122" customWidth="1"/>
    <col min="2304" max="2304" width="6.5703125" style="122" customWidth="1"/>
    <col min="2305" max="2305" width="3.28515625" style="122" customWidth="1"/>
    <col min="2306" max="2306" width="5.85546875" style="122" customWidth="1"/>
    <col min="2307" max="2307" width="6.5703125" style="122" customWidth="1"/>
    <col min="2308" max="2308" width="3.28515625" style="122" customWidth="1"/>
    <col min="2309" max="2309" width="5.85546875" style="122" customWidth="1"/>
    <col min="2310" max="2310" width="6.5703125" style="122" customWidth="1"/>
    <col min="2311" max="2311" width="3.28515625" style="122" customWidth="1"/>
    <col min="2312" max="2312" width="5.85546875" style="122" customWidth="1"/>
    <col min="2313" max="2313" width="6.5703125" style="122" customWidth="1"/>
    <col min="2314" max="2314" width="3.28515625" style="122" customWidth="1"/>
    <col min="2315" max="2315" width="5.85546875" style="122" customWidth="1"/>
    <col min="2316" max="2316" width="6.5703125" style="122" customWidth="1"/>
    <col min="2317" max="2317" width="3.28515625" style="122" customWidth="1"/>
    <col min="2318" max="2318" width="5.85546875" style="122" customWidth="1"/>
    <col min="2319" max="2319" width="6.5703125" style="122" customWidth="1"/>
    <col min="2320" max="2320" width="9.42578125" style="122" customWidth="1"/>
    <col min="2321" max="2523" width="9.140625" style="122"/>
    <col min="2524" max="2524" width="4.85546875" style="122" customWidth="1"/>
    <col min="2525" max="2525" width="5.140625" style="122" customWidth="1"/>
    <col min="2526" max="2526" width="13.7109375" style="122" customWidth="1"/>
    <col min="2527" max="2527" width="9.42578125" style="122" customWidth="1"/>
    <col min="2528" max="2528" width="7.85546875" style="122" bestFit="1" customWidth="1"/>
    <col min="2529" max="2529" width="9.42578125" style="122" customWidth="1"/>
    <col min="2530" max="2530" width="7.42578125" style="122" customWidth="1"/>
    <col min="2531" max="2531" width="7.85546875" style="122" customWidth="1"/>
    <col min="2532" max="2532" width="11" style="122" customWidth="1"/>
    <col min="2533" max="2533" width="7.5703125" style="122" customWidth="1"/>
    <col min="2534" max="2534" width="3.28515625" style="122" customWidth="1"/>
    <col min="2535" max="2535" width="5.85546875" style="122" customWidth="1"/>
    <col min="2536" max="2536" width="6.5703125" style="122" customWidth="1"/>
    <col min="2537" max="2537" width="3.28515625" style="122" customWidth="1"/>
    <col min="2538" max="2538" width="5.85546875" style="122" customWidth="1"/>
    <col min="2539" max="2539" width="6.5703125" style="122" customWidth="1"/>
    <col min="2540" max="2540" width="3.28515625" style="122" customWidth="1"/>
    <col min="2541" max="2541" width="5.85546875" style="122" customWidth="1"/>
    <col min="2542" max="2542" width="6.5703125" style="122" customWidth="1"/>
    <col min="2543" max="2543" width="3.28515625" style="122" customWidth="1"/>
    <col min="2544" max="2544" width="5.85546875" style="122" customWidth="1"/>
    <col min="2545" max="2545" width="6.5703125" style="122" customWidth="1"/>
    <col min="2546" max="2546" width="3.28515625" style="122" customWidth="1"/>
    <col min="2547" max="2547" width="5.85546875" style="122" customWidth="1"/>
    <col min="2548" max="2548" width="6.5703125" style="122" customWidth="1"/>
    <col min="2549" max="2549" width="3.28515625" style="122" customWidth="1"/>
    <col min="2550" max="2550" width="5.85546875" style="122" customWidth="1"/>
    <col min="2551" max="2551" width="6.5703125" style="122" customWidth="1"/>
    <col min="2552" max="2552" width="3.28515625" style="122" customWidth="1"/>
    <col min="2553" max="2553" width="5.85546875" style="122" customWidth="1"/>
    <col min="2554" max="2554" width="6.5703125" style="122" customWidth="1"/>
    <col min="2555" max="2555" width="3.28515625" style="122" customWidth="1"/>
    <col min="2556" max="2556" width="5.85546875" style="122" customWidth="1"/>
    <col min="2557" max="2557" width="6.5703125" style="122" customWidth="1"/>
    <col min="2558" max="2558" width="3.28515625" style="122" customWidth="1"/>
    <col min="2559" max="2559" width="5.85546875" style="122" customWidth="1"/>
    <col min="2560" max="2560" width="6.5703125" style="122" customWidth="1"/>
    <col min="2561" max="2561" width="3.28515625" style="122" customWidth="1"/>
    <col min="2562" max="2562" width="5.85546875" style="122" customWidth="1"/>
    <col min="2563" max="2563" width="6.5703125" style="122" customWidth="1"/>
    <col min="2564" max="2564" width="3.28515625" style="122" customWidth="1"/>
    <col min="2565" max="2565" width="5.85546875" style="122" customWidth="1"/>
    <col min="2566" max="2566" width="6.5703125" style="122" customWidth="1"/>
    <col min="2567" max="2567" width="3.28515625" style="122" customWidth="1"/>
    <col min="2568" max="2568" width="5.85546875" style="122" customWidth="1"/>
    <col min="2569" max="2569" width="6.5703125" style="122" customWidth="1"/>
    <col min="2570" max="2570" width="3.28515625" style="122" customWidth="1"/>
    <col min="2571" max="2571" width="5.85546875" style="122" customWidth="1"/>
    <col min="2572" max="2572" width="6.5703125" style="122" customWidth="1"/>
    <col min="2573" max="2573" width="3.28515625" style="122" customWidth="1"/>
    <col min="2574" max="2574" width="5.85546875" style="122" customWidth="1"/>
    <col min="2575" max="2575" width="6.5703125" style="122" customWidth="1"/>
    <col min="2576" max="2576" width="9.42578125" style="122" customWidth="1"/>
    <col min="2577" max="2779" width="9.140625" style="122"/>
    <col min="2780" max="2780" width="4.85546875" style="122" customWidth="1"/>
    <col min="2781" max="2781" width="5.140625" style="122" customWidth="1"/>
    <col min="2782" max="2782" width="13.7109375" style="122" customWidth="1"/>
    <col min="2783" max="2783" width="9.42578125" style="122" customWidth="1"/>
    <col min="2784" max="2784" width="7.85546875" style="122" bestFit="1" customWidth="1"/>
    <col min="2785" max="2785" width="9.42578125" style="122" customWidth="1"/>
    <col min="2786" max="2786" width="7.42578125" style="122" customWidth="1"/>
    <col min="2787" max="2787" width="7.85546875" style="122" customWidth="1"/>
    <col min="2788" max="2788" width="11" style="122" customWidth="1"/>
    <col min="2789" max="2789" width="7.5703125" style="122" customWidth="1"/>
    <col min="2790" max="2790" width="3.28515625" style="122" customWidth="1"/>
    <col min="2791" max="2791" width="5.85546875" style="122" customWidth="1"/>
    <col min="2792" max="2792" width="6.5703125" style="122" customWidth="1"/>
    <col min="2793" max="2793" width="3.28515625" style="122" customWidth="1"/>
    <col min="2794" max="2794" width="5.85546875" style="122" customWidth="1"/>
    <col min="2795" max="2795" width="6.5703125" style="122" customWidth="1"/>
    <col min="2796" max="2796" width="3.28515625" style="122" customWidth="1"/>
    <col min="2797" max="2797" width="5.85546875" style="122" customWidth="1"/>
    <col min="2798" max="2798" width="6.5703125" style="122" customWidth="1"/>
    <col min="2799" max="2799" width="3.28515625" style="122" customWidth="1"/>
    <col min="2800" max="2800" width="5.85546875" style="122" customWidth="1"/>
    <col min="2801" max="2801" width="6.5703125" style="122" customWidth="1"/>
    <col min="2802" max="2802" width="3.28515625" style="122" customWidth="1"/>
    <col min="2803" max="2803" width="5.85546875" style="122" customWidth="1"/>
    <col min="2804" max="2804" width="6.5703125" style="122" customWidth="1"/>
    <col min="2805" max="2805" width="3.28515625" style="122" customWidth="1"/>
    <col min="2806" max="2806" width="5.85546875" style="122" customWidth="1"/>
    <col min="2807" max="2807" width="6.5703125" style="122" customWidth="1"/>
    <col min="2808" max="2808" width="3.28515625" style="122" customWidth="1"/>
    <col min="2809" max="2809" width="5.85546875" style="122" customWidth="1"/>
    <col min="2810" max="2810" width="6.5703125" style="122" customWidth="1"/>
    <col min="2811" max="2811" width="3.28515625" style="122" customWidth="1"/>
    <col min="2812" max="2812" width="5.85546875" style="122" customWidth="1"/>
    <col min="2813" max="2813" width="6.5703125" style="122" customWidth="1"/>
    <col min="2814" max="2814" width="3.28515625" style="122" customWidth="1"/>
    <col min="2815" max="2815" width="5.85546875" style="122" customWidth="1"/>
    <col min="2816" max="2816" width="6.5703125" style="122" customWidth="1"/>
    <col min="2817" max="2817" width="3.28515625" style="122" customWidth="1"/>
    <col min="2818" max="2818" width="5.85546875" style="122" customWidth="1"/>
    <col min="2819" max="2819" width="6.5703125" style="122" customWidth="1"/>
    <col min="2820" max="2820" width="3.28515625" style="122" customWidth="1"/>
    <col min="2821" max="2821" width="5.85546875" style="122" customWidth="1"/>
    <col min="2822" max="2822" width="6.5703125" style="122" customWidth="1"/>
    <col min="2823" max="2823" width="3.28515625" style="122" customWidth="1"/>
    <col min="2824" max="2824" width="5.85546875" style="122" customWidth="1"/>
    <col min="2825" max="2825" width="6.5703125" style="122" customWidth="1"/>
    <col min="2826" max="2826" width="3.28515625" style="122" customWidth="1"/>
    <col min="2827" max="2827" width="5.85546875" style="122" customWidth="1"/>
    <col min="2828" max="2828" width="6.5703125" style="122" customWidth="1"/>
    <col min="2829" max="2829" width="3.28515625" style="122" customWidth="1"/>
    <col min="2830" max="2830" width="5.85546875" style="122" customWidth="1"/>
    <col min="2831" max="2831" width="6.5703125" style="122" customWidth="1"/>
    <col min="2832" max="2832" width="9.42578125" style="122" customWidth="1"/>
    <col min="2833" max="3035" width="9.140625" style="122"/>
    <col min="3036" max="3036" width="4.85546875" style="122" customWidth="1"/>
    <col min="3037" max="3037" width="5.140625" style="122" customWidth="1"/>
    <col min="3038" max="3038" width="13.7109375" style="122" customWidth="1"/>
    <col min="3039" max="3039" width="9.42578125" style="122" customWidth="1"/>
    <col min="3040" max="3040" width="7.85546875" style="122" bestFit="1" customWidth="1"/>
    <col min="3041" max="3041" width="9.42578125" style="122" customWidth="1"/>
    <col min="3042" max="3042" width="7.42578125" style="122" customWidth="1"/>
    <col min="3043" max="3043" width="7.85546875" style="122" customWidth="1"/>
    <col min="3044" max="3044" width="11" style="122" customWidth="1"/>
    <col min="3045" max="3045" width="7.5703125" style="122" customWidth="1"/>
    <col min="3046" max="3046" width="3.28515625" style="122" customWidth="1"/>
    <col min="3047" max="3047" width="5.85546875" style="122" customWidth="1"/>
    <col min="3048" max="3048" width="6.5703125" style="122" customWidth="1"/>
    <col min="3049" max="3049" width="3.28515625" style="122" customWidth="1"/>
    <col min="3050" max="3050" width="5.85546875" style="122" customWidth="1"/>
    <col min="3051" max="3051" width="6.5703125" style="122" customWidth="1"/>
    <col min="3052" max="3052" width="3.28515625" style="122" customWidth="1"/>
    <col min="3053" max="3053" width="5.85546875" style="122" customWidth="1"/>
    <col min="3054" max="3054" width="6.5703125" style="122" customWidth="1"/>
    <col min="3055" max="3055" width="3.28515625" style="122" customWidth="1"/>
    <col min="3056" max="3056" width="5.85546875" style="122" customWidth="1"/>
    <col min="3057" max="3057" width="6.5703125" style="122" customWidth="1"/>
    <col min="3058" max="3058" width="3.28515625" style="122" customWidth="1"/>
    <col min="3059" max="3059" width="5.85546875" style="122" customWidth="1"/>
    <col min="3060" max="3060" width="6.5703125" style="122" customWidth="1"/>
    <col min="3061" max="3061" width="3.28515625" style="122" customWidth="1"/>
    <col min="3062" max="3062" width="5.85546875" style="122" customWidth="1"/>
    <col min="3063" max="3063" width="6.5703125" style="122" customWidth="1"/>
    <col min="3064" max="3064" width="3.28515625" style="122" customWidth="1"/>
    <col min="3065" max="3065" width="5.85546875" style="122" customWidth="1"/>
    <col min="3066" max="3066" width="6.5703125" style="122" customWidth="1"/>
    <col min="3067" max="3067" width="3.28515625" style="122" customWidth="1"/>
    <col min="3068" max="3068" width="5.85546875" style="122" customWidth="1"/>
    <col min="3069" max="3069" width="6.5703125" style="122" customWidth="1"/>
    <col min="3070" max="3070" width="3.28515625" style="122" customWidth="1"/>
    <col min="3071" max="3071" width="5.85546875" style="122" customWidth="1"/>
    <col min="3072" max="3072" width="6.5703125" style="122" customWidth="1"/>
    <col min="3073" max="3073" width="3.28515625" style="122" customWidth="1"/>
    <col min="3074" max="3074" width="5.85546875" style="122" customWidth="1"/>
    <col min="3075" max="3075" width="6.5703125" style="122" customWidth="1"/>
    <col min="3076" max="3076" width="3.28515625" style="122" customWidth="1"/>
    <col min="3077" max="3077" width="5.85546875" style="122" customWidth="1"/>
    <col min="3078" max="3078" width="6.5703125" style="122" customWidth="1"/>
    <col min="3079" max="3079" width="3.28515625" style="122" customWidth="1"/>
    <col min="3080" max="3080" width="5.85546875" style="122" customWidth="1"/>
    <col min="3081" max="3081" width="6.5703125" style="122" customWidth="1"/>
    <col min="3082" max="3082" width="3.28515625" style="122" customWidth="1"/>
    <col min="3083" max="3083" width="5.85546875" style="122" customWidth="1"/>
    <col min="3084" max="3084" width="6.5703125" style="122" customWidth="1"/>
    <col min="3085" max="3085" width="3.28515625" style="122" customWidth="1"/>
    <col min="3086" max="3086" width="5.85546875" style="122" customWidth="1"/>
    <col min="3087" max="3087" width="6.5703125" style="122" customWidth="1"/>
    <col min="3088" max="3088" width="9.42578125" style="122" customWidth="1"/>
    <col min="3089" max="3291" width="9.140625" style="122"/>
    <col min="3292" max="3292" width="4.85546875" style="122" customWidth="1"/>
    <col min="3293" max="3293" width="5.140625" style="122" customWidth="1"/>
    <col min="3294" max="3294" width="13.7109375" style="122" customWidth="1"/>
    <col min="3295" max="3295" width="9.42578125" style="122" customWidth="1"/>
    <col min="3296" max="3296" width="7.85546875" style="122" bestFit="1" customWidth="1"/>
    <col min="3297" max="3297" width="9.42578125" style="122" customWidth="1"/>
    <col min="3298" max="3298" width="7.42578125" style="122" customWidth="1"/>
    <col min="3299" max="3299" width="7.85546875" style="122" customWidth="1"/>
    <col min="3300" max="3300" width="11" style="122" customWidth="1"/>
    <col min="3301" max="3301" width="7.5703125" style="122" customWidth="1"/>
    <col min="3302" max="3302" width="3.28515625" style="122" customWidth="1"/>
    <col min="3303" max="3303" width="5.85546875" style="122" customWidth="1"/>
    <col min="3304" max="3304" width="6.5703125" style="122" customWidth="1"/>
    <col min="3305" max="3305" width="3.28515625" style="122" customWidth="1"/>
    <col min="3306" max="3306" width="5.85546875" style="122" customWidth="1"/>
    <col min="3307" max="3307" width="6.5703125" style="122" customWidth="1"/>
    <col min="3308" max="3308" width="3.28515625" style="122" customWidth="1"/>
    <col min="3309" max="3309" width="5.85546875" style="122" customWidth="1"/>
    <col min="3310" max="3310" width="6.5703125" style="122" customWidth="1"/>
    <col min="3311" max="3311" width="3.28515625" style="122" customWidth="1"/>
    <col min="3312" max="3312" width="5.85546875" style="122" customWidth="1"/>
    <col min="3313" max="3313" width="6.5703125" style="122" customWidth="1"/>
    <col min="3314" max="3314" width="3.28515625" style="122" customWidth="1"/>
    <col min="3315" max="3315" width="5.85546875" style="122" customWidth="1"/>
    <col min="3316" max="3316" width="6.5703125" style="122" customWidth="1"/>
    <col min="3317" max="3317" width="3.28515625" style="122" customWidth="1"/>
    <col min="3318" max="3318" width="5.85546875" style="122" customWidth="1"/>
    <col min="3319" max="3319" width="6.5703125" style="122" customWidth="1"/>
    <col min="3320" max="3320" width="3.28515625" style="122" customWidth="1"/>
    <col min="3321" max="3321" width="5.85546875" style="122" customWidth="1"/>
    <col min="3322" max="3322" width="6.5703125" style="122" customWidth="1"/>
    <col min="3323" max="3323" width="3.28515625" style="122" customWidth="1"/>
    <col min="3324" max="3324" width="5.85546875" style="122" customWidth="1"/>
    <col min="3325" max="3325" width="6.5703125" style="122" customWidth="1"/>
    <col min="3326" max="3326" width="3.28515625" style="122" customWidth="1"/>
    <col min="3327" max="3327" width="5.85546875" style="122" customWidth="1"/>
    <col min="3328" max="3328" width="6.5703125" style="122" customWidth="1"/>
    <col min="3329" max="3329" width="3.28515625" style="122" customWidth="1"/>
    <col min="3330" max="3330" width="5.85546875" style="122" customWidth="1"/>
    <col min="3331" max="3331" width="6.5703125" style="122" customWidth="1"/>
    <col min="3332" max="3332" width="3.28515625" style="122" customWidth="1"/>
    <col min="3333" max="3333" width="5.85546875" style="122" customWidth="1"/>
    <col min="3334" max="3334" width="6.5703125" style="122" customWidth="1"/>
    <col min="3335" max="3335" width="3.28515625" style="122" customWidth="1"/>
    <col min="3336" max="3336" width="5.85546875" style="122" customWidth="1"/>
    <col min="3337" max="3337" width="6.5703125" style="122" customWidth="1"/>
    <col min="3338" max="3338" width="3.28515625" style="122" customWidth="1"/>
    <col min="3339" max="3339" width="5.85546875" style="122" customWidth="1"/>
    <col min="3340" max="3340" width="6.5703125" style="122" customWidth="1"/>
    <col min="3341" max="3341" width="3.28515625" style="122" customWidth="1"/>
    <col min="3342" max="3342" width="5.85546875" style="122" customWidth="1"/>
    <col min="3343" max="3343" width="6.5703125" style="122" customWidth="1"/>
    <col min="3344" max="3344" width="9.42578125" style="122" customWidth="1"/>
    <col min="3345" max="3547" width="9.140625" style="122"/>
    <col min="3548" max="3548" width="4.85546875" style="122" customWidth="1"/>
    <col min="3549" max="3549" width="5.140625" style="122" customWidth="1"/>
    <col min="3550" max="3550" width="13.7109375" style="122" customWidth="1"/>
    <col min="3551" max="3551" width="9.42578125" style="122" customWidth="1"/>
    <col min="3552" max="3552" width="7.85546875" style="122" bestFit="1" customWidth="1"/>
    <col min="3553" max="3553" width="9.42578125" style="122" customWidth="1"/>
    <col min="3554" max="3554" width="7.42578125" style="122" customWidth="1"/>
    <col min="3555" max="3555" width="7.85546875" style="122" customWidth="1"/>
    <col min="3556" max="3556" width="11" style="122" customWidth="1"/>
    <col min="3557" max="3557" width="7.5703125" style="122" customWidth="1"/>
    <col min="3558" max="3558" width="3.28515625" style="122" customWidth="1"/>
    <col min="3559" max="3559" width="5.85546875" style="122" customWidth="1"/>
    <col min="3560" max="3560" width="6.5703125" style="122" customWidth="1"/>
    <col min="3561" max="3561" width="3.28515625" style="122" customWidth="1"/>
    <col min="3562" max="3562" width="5.85546875" style="122" customWidth="1"/>
    <col min="3563" max="3563" width="6.5703125" style="122" customWidth="1"/>
    <col min="3564" max="3564" width="3.28515625" style="122" customWidth="1"/>
    <col min="3565" max="3565" width="5.85546875" style="122" customWidth="1"/>
    <col min="3566" max="3566" width="6.5703125" style="122" customWidth="1"/>
    <col min="3567" max="3567" width="3.28515625" style="122" customWidth="1"/>
    <col min="3568" max="3568" width="5.85546875" style="122" customWidth="1"/>
    <col min="3569" max="3569" width="6.5703125" style="122" customWidth="1"/>
    <col min="3570" max="3570" width="3.28515625" style="122" customWidth="1"/>
    <col min="3571" max="3571" width="5.85546875" style="122" customWidth="1"/>
    <col min="3572" max="3572" width="6.5703125" style="122" customWidth="1"/>
    <col min="3573" max="3573" width="3.28515625" style="122" customWidth="1"/>
    <col min="3574" max="3574" width="5.85546875" style="122" customWidth="1"/>
    <col min="3575" max="3575" width="6.5703125" style="122" customWidth="1"/>
    <col min="3576" max="3576" width="3.28515625" style="122" customWidth="1"/>
    <col min="3577" max="3577" width="5.85546875" style="122" customWidth="1"/>
    <col min="3578" max="3578" width="6.5703125" style="122" customWidth="1"/>
    <col min="3579" max="3579" width="3.28515625" style="122" customWidth="1"/>
    <col min="3580" max="3580" width="5.85546875" style="122" customWidth="1"/>
    <col min="3581" max="3581" width="6.5703125" style="122" customWidth="1"/>
    <col min="3582" max="3582" width="3.28515625" style="122" customWidth="1"/>
    <col min="3583" max="3583" width="5.85546875" style="122" customWidth="1"/>
    <col min="3584" max="3584" width="6.5703125" style="122" customWidth="1"/>
    <col min="3585" max="3585" width="3.28515625" style="122" customWidth="1"/>
    <col min="3586" max="3586" width="5.85546875" style="122" customWidth="1"/>
    <col min="3587" max="3587" width="6.5703125" style="122" customWidth="1"/>
    <col min="3588" max="3588" width="3.28515625" style="122" customWidth="1"/>
    <col min="3589" max="3589" width="5.85546875" style="122" customWidth="1"/>
    <col min="3590" max="3590" width="6.5703125" style="122" customWidth="1"/>
    <col min="3591" max="3591" width="3.28515625" style="122" customWidth="1"/>
    <col min="3592" max="3592" width="5.85546875" style="122" customWidth="1"/>
    <col min="3593" max="3593" width="6.5703125" style="122" customWidth="1"/>
    <col min="3594" max="3594" width="3.28515625" style="122" customWidth="1"/>
    <col min="3595" max="3595" width="5.85546875" style="122" customWidth="1"/>
    <col min="3596" max="3596" width="6.5703125" style="122" customWidth="1"/>
    <col min="3597" max="3597" width="3.28515625" style="122" customWidth="1"/>
    <col min="3598" max="3598" width="5.85546875" style="122" customWidth="1"/>
    <col min="3599" max="3599" width="6.5703125" style="122" customWidth="1"/>
    <col min="3600" max="3600" width="9.42578125" style="122" customWidth="1"/>
    <col min="3601" max="3803" width="9.140625" style="122"/>
    <col min="3804" max="3804" width="4.85546875" style="122" customWidth="1"/>
    <col min="3805" max="3805" width="5.140625" style="122" customWidth="1"/>
    <col min="3806" max="3806" width="13.7109375" style="122" customWidth="1"/>
    <col min="3807" max="3807" width="9.42578125" style="122" customWidth="1"/>
    <col min="3808" max="3808" width="7.85546875" style="122" bestFit="1" customWidth="1"/>
    <col min="3809" max="3809" width="9.42578125" style="122" customWidth="1"/>
    <col min="3810" max="3810" width="7.42578125" style="122" customWidth="1"/>
    <col min="3811" max="3811" width="7.85546875" style="122" customWidth="1"/>
    <col min="3812" max="3812" width="11" style="122" customWidth="1"/>
    <col min="3813" max="3813" width="7.5703125" style="122" customWidth="1"/>
    <col min="3814" max="3814" width="3.28515625" style="122" customWidth="1"/>
    <col min="3815" max="3815" width="5.85546875" style="122" customWidth="1"/>
    <col min="3816" max="3816" width="6.5703125" style="122" customWidth="1"/>
    <col min="3817" max="3817" width="3.28515625" style="122" customWidth="1"/>
    <col min="3818" max="3818" width="5.85546875" style="122" customWidth="1"/>
    <col min="3819" max="3819" width="6.5703125" style="122" customWidth="1"/>
    <col min="3820" max="3820" width="3.28515625" style="122" customWidth="1"/>
    <col min="3821" max="3821" width="5.85546875" style="122" customWidth="1"/>
    <col min="3822" max="3822" width="6.5703125" style="122" customWidth="1"/>
    <col min="3823" max="3823" width="3.28515625" style="122" customWidth="1"/>
    <col min="3824" max="3824" width="5.85546875" style="122" customWidth="1"/>
    <col min="3825" max="3825" width="6.5703125" style="122" customWidth="1"/>
    <col min="3826" max="3826" width="3.28515625" style="122" customWidth="1"/>
    <col min="3827" max="3827" width="5.85546875" style="122" customWidth="1"/>
    <col min="3828" max="3828" width="6.5703125" style="122" customWidth="1"/>
    <col min="3829" max="3829" width="3.28515625" style="122" customWidth="1"/>
    <col min="3830" max="3830" width="5.85546875" style="122" customWidth="1"/>
    <col min="3831" max="3831" width="6.5703125" style="122" customWidth="1"/>
    <col min="3832" max="3832" width="3.28515625" style="122" customWidth="1"/>
    <col min="3833" max="3833" width="5.85546875" style="122" customWidth="1"/>
    <col min="3834" max="3834" width="6.5703125" style="122" customWidth="1"/>
    <col min="3835" max="3835" width="3.28515625" style="122" customWidth="1"/>
    <col min="3836" max="3836" width="5.85546875" style="122" customWidth="1"/>
    <col min="3837" max="3837" width="6.5703125" style="122" customWidth="1"/>
    <col min="3838" max="3838" width="3.28515625" style="122" customWidth="1"/>
    <col min="3839" max="3839" width="5.85546875" style="122" customWidth="1"/>
    <col min="3840" max="3840" width="6.5703125" style="122" customWidth="1"/>
    <col min="3841" max="3841" width="3.28515625" style="122" customWidth="1"/>
    <col min="3842" max="3842" width="5.85546875" style="122" customWidth="1"/>
    <col min="3843" max="3843" width="6.5703125" style="122" customWidth="1"/>
    <col min="3844" max="3844" width="3.28515625" style="122" customWidth="1"/>
    <col min="3845" max="3845" width="5.85546875" style="122" customWidth="1"/>
    <col min="3846" max="3846" width="6.5703125" style="122" customWidth="1"/>
    <col min="3847" max="3847" width="3.28515625" style="122" customWidth="1"/>
    <col min="3848" max="3848" width="5.85546875" style="122" customWidth="1"/>
    <col min="3849" max="3849" width="6.5703125" style="122" customWidth="1"/>
    <col min="3850" max="3850" width="3.28515625" style="122" customWidth="1"/>
    <col min="3851" max="3851" width="5.85546875" style="122" customWidth="1"/>
    <col min="3852" max="3852" width="6.5703125" style="122" customWidth="1"/>
    <col min="3853" max="3853" width="3.28515625" style="122" customWidth="1"/>
    <col min="3854" max="3854" width="5.85546875" style="122" customWidth="1"/>
    <col min="3855" max="3855" width="6.5703125" style="122" customWidth="1"/>
    <col min="3856" max="3856" width="9.42578125" style="122" customWidth="1"/>
    <col min="3857" max="4059" width="9.140625" style="122"/>
    <col min="4060" max="4060" width="4.85546875" style="122" customWidth="1"/>
    <col min="4061" max="4061" width="5.140625" style="122" customWidth="1"/>
    <col min="4062" max="4062" width="13.7109375" style="122" customWidth="1"/>
    <col min="4063" max="4063" width="9.42578125" style="122" customWidth="1"/>
    <col min="4064" max="4064" width="7.85546875" style="122" bestFit="1" customWidth="1"/>
    <col min="4065" max="4065" width="9.42578125" style="122" customWidth="1"/>
    <col min="4066" max="4066" width="7.42578125" style="122" customWidth="1"/>
    <col min="4067" max="4067" width="7.85546875" style="122" customWidth="1"/>
    <col min="4068" max="4068" width="11" style="122" customWidth="1"/>
    <col min="4069" max="4069" width="7.5703125" style="122" customWidth="1"/>
    <col min="4070" max="4070" width="3.28515625" style="122" customWidth="1"/>
    <col min="4071" max="4071" width="5.85546875" style="122" customWidth="1"/>
    <col min="4072" max="4072" width="6.5703125" style="122" customWidth="1"/>
    <col min="4073" max="4073" width="3.28515625" style="122" customWidth="1"/>
    <col min="4074" max="4074" width="5.85546875" style="122" customWidth="1"/>
    <col min="4075" max="4075" width="6.5703125" style="122" customWidth="1"/>
    <col min="4076" max="4076" width="3.28515625" style="122" customWidth="1"/>
    <col min="4077" max="4077" width="5.85546875" style="122" customWidth="1"/>
    <col min="4078" max="4078" width="6.5703125" style="122" customWidth="1"/>
    <col min="4079" max="4079" width="3.28515625" style="122" customWidth="1"/>
    <col min="4080" max="4080" width="5.85546875" style="122" customWidth="1"/>
    <col min="4081" max="4081" width="6.5703125" style="122" customWidth="1"/>
    <col min="4082" max="4082" width="3.28515625" style="122" customWidth="1"/>
    <col min="4083" max="4083" width="5.85546875" style="122" customWidth="1"/>
    <col min="4084" max="4084" width="6.5703125" style="122" customWidth="1"/>
    <col min="4085" max="4085" width="3.28515625" style="122" customWidth="1"/>
    <col min="4086" max="4086" width="5.85546875" style="122" customWidth="1"/>
    <col min="4087" max="4087" width="6.5703125" style="122" customWidth="1"/>
    <col min="4088" max="4088" width="3.28515625" style="122" customWidth="1"/>
    <col min="4089" max="4089" width="5.85546875" style="122" customWidth="1"/>
    <col min="4090" max="4090" width="6.5703125" style="122" customWidth="1"/>
    <col min="4091" max="4091" width="3.28515625" style="122" customWidth="1"/>
    <col min="4092" max="4092" width="5.85546875" style="122" customWidth="1"/>
    <col min="4093" max="4093" width="6.5703125" style="122" customWidth="1"/>
    <col min="4094" max="4094" width="3.28515625" style="122" customWidth="1"/>
    <col min="4095" max="4095" width="5.85546875" style="122" customWidth="1"/>
    <col min="4096" max="4096" width="6.5703125" style="122" customWidth="1"/>
    <col min="4097" max="4097" width="3.28515625" style="122" customWidth="1"/>
    <col min="4098" max="4098" width="5.85546875" style="122" customWidth="1"/>
    <col min="4099" max="4099" width="6.5703125" style="122" customWidth="1"/>
    <col min="4100" max="4100" width="3.28515625" style="122" customWidth="1"/>
    <col min="4101" max="4101" width="5.85546875" style="122" customWidth="1"/>
    <col min="4102" max="4102" width="6.5703125" style="122" customWidth="1"/>
    <col min="4103" max="4103" width="3.28515625" style="122" customWidth="1"/>
    <col min="4104" max="4104" width="5.85546875" style="122" customWidth="1"/>
    <col min="4105" max="4105" width="6.5703125" style="122" customWidth="1"/>
    <col min="4106" max="4106" width="3.28515625" style="122" customWidth="1"/>
    <col min="4107" max="4107" width="5.85546875" style="122" customWidth="1"/>
    <col min="4108" max="4108" width="6.5703125" style="122" customWidth="1"/>
    <col min="4109" max="4109" width="3.28515625" style="122" customWidth="1"/>
    <col min="4110" max="4110" width="5.85546875" style="122" customWidth="1"/>
    <col min="4111" max="4111" width="6.5703125" style="122" customWidth="1"/>
    <col min="4112" max="4112" width="9.42578125" style="122" customWidth="1"/>
    <col min="4113" max="4315" width="9.140625" style="122"/>
    <col min="4316" max="4316" width="4.85546875" style="122" customWidth="1"/>
    <col min="4317" max="4317" width="5.140625" style="122" customWidth="1"/>
    <col min="4318" max="4318" width="13.7109375" style="122" customWidth="1"/>
    <col min="4319" max="4319" width="9.42578125" style="122" customWidth="1"/>
    <col min="4320" max="4320" width="7.85546875" style="122" bestFit="1" customWidth="1"/>
    <col min="4321" max="4321" width="9.42578125" style="122" customWidth="1"/>
    <col min="4322" max="4322" width="7.42578125" style="122" customWidth="1"/>
    <col min="4323" max="4323" width="7.85546875" style="122" customWidth="1"/>
    <col min="4324" max="4324" width="11" style="122" customWidth="1"/>
    <col min="4325" max="4325" width="7.5703125" style="122" customWidth="1"/>
    <col min="4326" max="4326" width="3.28515625" style="122" customWidth="1"/>
    <col min="4327" max="4327" width="5.85546875" style="122" customWidth="1"/>
    <col min="4328" max="4328" width="6.5703125" style="122" customWidth="1"/>
    <col min="4329" max="4329" width="3.28515625" style="122" customWidth="1"/>
    <col min="4330" max="4330" width="5.85546875" style="122" customWidth="1"/>
    <col min="4331" max="4331" width="6.5703125" style="122" customWidth="1"/>
    <col min="4332" max="4332" width="3.28515625" style="122" customWidth="1"/>
    <col min="4333" max="4333" width="5.85546875" style="122" customWidth="1"/>
    <col min="4334" max="4334" width="6.5703125" style="122" customWidth="1"/>
    <col min="4335" max="4335" width="3.28515625" style="122" customWidth="1"/>
    <col min="4336" max="4336" width="5.85546875" style="122" customWidth="1"/>
    <col min="4337" max="4337" width="6.5703125" style="122" customWidth="1"/>
    <col min="4338" max="4338" width="3.28515625" style="122" customWidth="1"/>
    <col min="4339" max="4339" width="5.85546875" style="122" customWidth="1"/>
    <col min="4340" max="4340" width="6.5703125" style="122" customWidth="1"/>
    <col min="4341" max="4341" width="3.28515625" style="122" customWidth="1"/>
    <col min="4342" max="4342" width="5.85546875" style="122" customWidth="1"/>
    <col min="4343" max="4343" width="6.5703125" style="122" customWidth="1"/>
    <col min="4344" max="4344" width="3.28515625" style="122" customWidth="1"/>
    <col min="4345" max="4345" width="5.85546875" style="122" customWidth="1"/>
    <col min="4346" max="4346" width="6.5703125" style="122" customWidth="1"/>
    <col min="4347" max="4347" width="3.28515625" style="122" customWidth="1"/>
    <col min="4348" max="4348" width="5.85546875" style="122" customWidth="1"/>
    <col min="4349" max="4349" width="6.5703125" style="122" customWidth="1"/>
    <col min="4350" max="4350" width="3.28515625" style="122" customWidth="1"/>
    <col min="4351" max="4351" width="5.85546875" style="122" customWidth="1"/>
    <col min="4352" max="4352" width="6.5703125" style="122" customWidth="1"/>
    <col min="4353" max="4353" width="3.28515625" style="122" customWidth="1"/>
    <col min="4354" max="4354" width="5.85546875" style="122" customWidth="1"/>
    <col min="4355" max="4355" width="6.5703125" style="122" customWidth="1"/>
    <col min="4356" max="4356" width="3.28515625" style="122" customWidth="1"/>
    <col min="4357" max="4357" width="5.85546875" style="122" customWidth="1"/>
    <col min="4358" max="4358" width="6.5703125" style="122" customWidth="1"/>
    <col min="4359" max="4359" width="3.28515625" style="122" customWidth="1"/>
    <col min="4360" max="4360" width="5.85546875" style="122" customWidth="1"/>
    <col min="4361" max="4361" width="6.5703125" style="122" customWidth="1"/>
    <col min="4362" max="4362" width="3.28515625" style="122" customWidth="1"/>
    <col min="4363" max="4363" width="5.85546875" style="122" customWidth="1"/>
    <col min="4364" max="4364" width="6.5703125" style="122" customWidth="1"/>
    <col min="4365" max="4365" width="3.28515625" style="122" customWidth="1"/>
    <col min="4366" max="4366" width="5.85546875" style="122" customWidth="1"/>
    <col min="4367" max="4367" width="6.5703125" style="122" customWidth="1"/>
    <col min="4368" max="4368" width="9.42578125" style="122" customWidth="1"/>
    <col min="4369" max="4571" width="9.140625" style="122"/>
    <col min="4572" max="4572" width="4.85546875" style="122" customWidth="1"/>
    <col min="4573" max="4573" width="5.140625" style="122" customWidth="1"/>
    <col min="4574" max="4574" width="13.7109375" style="122" customWidth="1"/>
    <col min="4575" max="4575" width="9.42578125" style="122" customWidth="1"/>
    <col min="4576" max="4576" width="7.85546875" style="122" bestFit="1" customWidth="1"/>
    <col min="4577" max="4577" width="9.42578125" style="122" customWidth="1"/>
    <col min="4578" max="4578" width="7.42578125" style="122" customWidth="1"/>
    <col min="4579" max="4579" width="7.85546875" style="122" customWidth="1"/>
    <col min="4580" max="4580" width="11" style="122" customWidth="1"/>
    <col min="4581" max="4581" width="7.5703125" style="122" customWidth="1"/>
    <col min="4582" max="4582" width="3.28515625" style="122" customWidth="1"/>
    <col min="4583" max="4583" width="5.85546875" style="122" customWidth="1"/>
    <col min="4584" max="4584" width="6.5703125" style="122" customWidth="1"/>
    <col min="4585" max="4585" width="3.28515625" style="122" customWidth="1"/>
    <col min="4586" max="4586" width="5.85546875" style="122" customWidth="1"/>
    <col min="4587" max="4587" width="6.5703125" style="122" customWidth="1"/>
    <col min="4588" max="4588" width="3.28515625" style="122" customWidth="1"/>
    <col min="4589" max="4589" width="5.85546875" style="122" customWidth="1"/>
    <col min="4590" max="4590" width="6.5703125" style="122" customWidth="1"/>
    <col min="4591" max="4591" width="3.28515625" style="122" customWidth="1"/>
    <col min="4592" max="4592" width="5.85546875" style="122" customWidth="1"/>
    <col min="4593" max="4593" width="6.5703125" style="122" customWidth="1"/>
    <col min="4594" max="4594" width="3.28515625" style="122" customWidth="1"/>
    <col min="4595" max="4595" width="5.85546875" style="122" customWidth="1"/>
    <col min="4596" max="4596" width="6.5703125" style="122" customWidth="1"/>
    <col min="4597" max="4597" width="3.28515625" style="122" customWidth="1"/>
    <col min="4598" max="4598" width="5.85546875" style="122" customWidth="1"/>
    <col min="4599" max="4599" width="6.5703125" style="122" customWidth="1"/>
    <col min="4600" max="4600" width="3.28515625" style="122" customWidth="1"/>
    <col min="4601" max="4601" width="5.85546875" style="122" customWidth="1"/>
    <col min="4602" max="4602" width="6.5703125" style="122" customWidth="1"/>
    <col min="4603" max="4603" width="3.28515625" style="122" customWidth="1"/>
    <col min="4604" max="4604" width="5.85546875" style="122" customWidth="1"/>
    <col min="4605" max="4605" width="6.5703125" style="122" customWidth="1"/>
    <col min="4606" max="4606" width="3.28515625" style="122" customWidth="1"/>
    <col min="4607" max="4607" width="5.85546875" style="122" customWidth="1"/>
    <col min="4608" max="4608" width="6.5703125" style="122" customWidth="1"/>
    <col min="4609" max="4609" width="3.28515625" style="122" customWidth="1"/>
    <col min="4610" max="4610" width="5.85546875" style="122" customWidth="1"/>
    <col min="4611" max="4611" width="6.5703125" style="122" customWidth="1"/>
    <col min="4612" max="4612" width="3.28515625" style="122" customWidth="1"/>
    <col min="4613" max="4613" width="5.85546875" style="122" customWidth="1"/>
    <col min="4614" max="4614" width="6.5703125" style="122" customWidth="1"/>
    <col min="4615" max="4615" width="3.28515625" style="122" customWidth="1"/>
    <col min="4616" max="4616" width="5.85546875" style="122" customWidth="1"/>
    <col min="4617" max="4617" width="6.5703125" style="122" customWidth="1"/>
    <col min="4618" max="4618" width="3.28515625" style="122" customWidth="1"/>
    <col min="4619" max="4619" width="5.85546875" style="122" customWidth="1"/>
    <col min="4620" max="4620" width="6.5703125" style="122" customWidth="1"/>
    <col min="4621" max="4621" width="3.28515625" style="122" customWidth="1"/>
    <col min="4622" max="4622" width="5.85546875" style="122" customWidth="1"/>
    <col min="4623" max="4623" width="6.5703125" style="122" customWidth="1"/>
    <col min="4624" max="4624" width="9.42578125" style="122" customWidth="1"/>
    <col min="4625" max="4827" width="9.140625" style="122"/>
    <col min="4828" max="4828" width="4.85546875" style="122" customWidth="1"/>
    <col min="4829" max="4829" width="5.140625" style="122" customWidth="1"/>
    <col min="4830" max="4830" width="13.7109375" style="122" customWidth="1"/>
    <col min="4831" max="4831" width="9.42578125" style="122" customWidth="1"/>
    <col min="4832" max="4832" width="7.85546875" style="122" bestFit="1" customWidth="1"/>
    <col min="4833" max="4833" width="9.42578125" style="122" customWidth="1"/>
    <col min="4834" max="4834" width="7.42578125" style="122" customWidth="1"/>
    <col min="4835" max="4835" width="7.85546875" style="122" customWidth="1"/>
    <col min="4836" max="4836" width="11" style="122" customWidth="1"/>
    <col min="4837" max="4837" width="7.5703125" style="122" customWidth="1"/>
    <col min="4838" max="4838" width="3.28515625" style="122" customWidth="1"/>
    <col min="4839" max="4839" width="5.85546875" style="122" customWidth="1"/>
    <col min="4840" max="4840" width="6.5703125" style="122" customWidth="1"/>
    <col min="4841" max="4841" width="3.28515625" style="122" customWidth="1"/>
    <col min="4842" max="4842" width="5.85546875" style="122" customWidth="1"/>
    <col min="4843" max="4843" width="6.5703125" style="122" customWidth="1"/>
    <col min="4844" max="4844" width="3.28515625" style="122" customWidth="1"/>
    <col min="4845" max="4845" width="5.85546875" style="122" customWidth="1"/>
    <col min="4846" max="4846" width="6.5703125" style="122" customWidth="1"/>
    <col min="4847" max="4847" width="3.28515625" style="122" customWidth="1"/>
    <col min="4848" max="4848" width="5.85546875" style="122" customWidth="1"/>
    <col min="4849" max="4849" width="6.5703125" style="122" customWidth="1"/>
    <col min="4850" max="4850" width="3.28515625" style="122" customWidth="1"/>
    <col min="4851" max="4851" width="5.85546875" style="122" customWidth="1"/>
    <col min="4852" max="4852" width="6.5703125" style="122" customWidth="1"/>
    <col min="4853" max="4853" width="3.28515625" style="122" customWidth="1"/>
    <col min="4854" max="4854" width="5.85546875" style="122" customWidth="1"/>
    <col min="4855" max="4855" width="6.5703125" style="122" customWidth="1"/>
    <col min="4856" max="4856" width="3.28515625" style="122" customWidth="1"/>
    <col min="4857" max="4857" width="5.85546875" style="122" customWidth="1"/>
    <col min="4858" max="4858" width="6.5703125" style="122" customWidth="1"/>
    <col min="4859" max="4859" width="3.28515625" style="122" customWidth="1"/>
    <col min="4860" max="4860" width="5.85546875" style="122" customWidth="1"/>
    <col min="4861" max="4861" width="6.5703125" style="122" customWidth="1"/>
    <col min="4862" max="4862" width="3.28515625" style="122" customWidth="1"/>
    <col min="4863" max="4863" width="5.85546875" style="122" customWidth="1"/>
    <col min="4864" max="4864" width="6.5703125" style="122" customWidth="1"/>
    <col min="4865" max="4865" width="3.28515625" style="122" customWidth="1"/>
    <col min="4866" max="4866" width="5.85546875" style="122" customWidth="1"/>
    <col min="4867" max="4867" width="6.5703125" style="122" customWidth="1"/>
    <col min="4868" max="4868" width="3.28515625" style="122" customWidth="1"/>
    <col min="4869" max="4869" width="5.85546875" style="122" customWidth="1"/>
    <col min="4870" max="4870" width="6.5703125" style="122" customWidth="1"/>
    <col min="4871" max="4871" width="3.28515625" style="122" customWidth="1"/>
    <col min="4872" max="4872" width="5.85546875" style="122" customWidth="1"/>
    <col min="4873" max="4873" width="6.5703125" style="122" customWidth="1"/>
    <col min="4874" max="4874" width="3.28515625" style="122" customWidth="1"/>
    <col min="4875" max="4875" width="5.85546875" style="122" customWidth="1"/>
    <col min="4876" max="4876" width="6.5703125" style="122" customWidth="1"/>
    <col min="4877" max="4877" width="3.28515625" style="122" customWidth="1"/>
    <col min="4878" max="4878" width="5.85546875" style="122" customWidth="1"/>
    <col min="4879" max="4879" width="6.5703125" style="122" customWidth="1"/>
    <col min="4880" max="4880" width="9.42578125" style="122" customWidth="1"/>
    <col min="4881" max="5083" width="9.140625" style="122"/>
    <col min="5084" max="5084" width="4.85546875" style="122" customWidth="1"/>
    <col min="5085" max="5085" width="5.140625" style="122" customWidth="1"/>
    <col min="5086" max="5086" width="13.7109375" style="122" customWidth="1"/>
    <col min="5087" max="5087" width="9.42578125" style="122" customWidth="1"/>
    <col min="5088" max="5088" width="7.85546875" style="122" bestFit="1" customWidth="1"/>
    <col min="5089" max="5089" width="9.42578125" style="122" customWidth="1"/>
    <col min="5090" max="5090" width="7.42578125" style="122" customWidth="1"/>
    <col min="5091" max="5091" width="7.85546875" style="122" customWidth="1"/>
    <col min="5092" max="5092" width="11" style="122" customWidth="1"/>
    <col min="5093" max="5093" width="7.5703125" style="122" customWidth="1"/>
    <col min="5094" max="5094" width="3.28515625" style="122" customWidth="1"/>
    <col min="5095" max="5095" width="5.85546875" style="122" customWidth="1"/>
    <col min="5096" max="5096" width="6.5703125" style="122" customWidth="1"/>
    <col min="5097" max="5097" width="3.28515625" style="122" customWidth="1"/>
    <col min="5098" max="5098" width="5.85546875" style="122" customWidth="1"/>
    <col min="5099" max="5099" width="6.5703125" style="122" customWidth="1"/>
    <col min="5100" max="5100" width="3.28515625" style="122" customWidth="1"/>
    <col min="5101" max="5101" width="5.85546875" style="122" customWidth="1"/>
    <col min="5102" max="5102" width="6.5703125" style="122" customWidth="1"/>
    <col min="5103" max="5103" width="3.28515625" style="122" customWidth="1"/>
    <col min="5104" max="5104" width="5.85546875" style="122" customWidth="1"/>
    <col min="5105" max="5105" width="6.5703125" style="122" customWidth="1"/>
    <col min="5106" max="5106" width="3.28515625" style="122" customWidth="1"/>
    <col min="5107" max="5107" width="5.85546875" style="122" customWidth="1"/>
    <col min="5108" max="5108" width="6.5703125" style="122" customWidth="1"/>
    <col min="5109" max="5109" width="3.28515625" style="122" customWidth="1"/>
    <col min="5110" max="5110" width="5.85546875" style="122" customWidth="1"/>
    <col min="5111" max="5111" width="6.5703125" style="122" customWidth="1"/>
    <col min="5112" max="5112" width="3.28515625" style="122" customWidth="1"/>
    <col min="5113" max="5113" width="5.85546875" style="122" customWidth="1"/>
    <col min="5114" max="5114" width="6.5703125" style="122" customWidth="1"/>
    <col min="5115" max="5115" width="3.28515625" style="122" customWidth="1"/>
    <col min="5116" max="5116" width="5.85546875" style="122" customWidth="1"/>
    <col min="5117" max="5117" width="6.5703125" style="122" customWidth="1"/>
    <col min="5118" max="5118" width="3.28515625" style="122" customWidth="1"/>
    <col min="5119" max="5119" width="5.85546875" style="122" customWidth="1"/>
    <col min="5120" max="5120" width="6.5703125" style="122" customWidth="1"/>
    <col min="5121" max="5121" width="3.28515625" style="122" customWidth="1"/>
    <col min="5122" max="5122" width="5.85546875" style="122" customWidth="1"/>
    <col min="5123" max="5123" width="6.5703125" style="122" customWidth="1"/>
    <col min="5124" max="5124" width="3.28515625" style="122" customWidth="1"/>
    <col min="5125" max="5125" width="5.85546875" style="122" customWidth="1"/>
    <col min="5126" max="5126" width="6.5703125" style="122" customWidth="1"/>
    <col min="5127" max="5127" width="3.28515625" style="122" customWidth="1"/>
    <col min="5128" max="5128" width="5.85546875" style="122" customWidth="1"/>
    <col min="5129" max="5129" width="6.5703125" style="122" customWidth="1"/>
    <col min="5130" max="5130" width="3.28515625" style="122" customWidth="1"/>
    <col min="5131" max="5131" width="5.85546875" style="122" customWidth="1"/>
    <col min="5132" max="5132" width="6.5703125" style="122" customWidth="1"/>
    <col min="5133" max="5133" width="3.28515625" style="122" customWidth="1"/>
    <col min="5134" max="5134" width="5.85546875" style="122" customWidth="1"/>
    <col min="5135" max="5135" width="6.5703125" style="122" customWidth="1"/>
    <col min="5136" max="5136" width="9.42578125" style="122" customWidth="1"/>
    <col min="5137" max="5339" width="9.140625" style="122"/>
    <col min="5340" max="5340" width="4.85546875" style="122" customWidth="1"/>
    <col min="5341" max="5341" width="5.140625" style="122" customWidth="1"/>
    <col min="5342" max="5342" width="13.7109375" style="122" customWidth="1"/>
    <col min="5343" max="5343" width="9.42578125" style="122" customWidth="1"/>
    <col min="5344" max="5344" width="7.85546875" style="122" bestFit="1" customWidth="1"/>
    <col min="5345" max="5345" width="9.42578125" style="122" customWidth="1"/>
    <col min="5346" max="5346" width="7.42578125" style="122" customWidth="1"/>
    <col min="5347" max="5347" width="7.85546875" style="122" customWidth="1"/>
    <col min="5348" max="5348" width="11" style="122" customWidth="1"/>
    <col min="5349" max="5349" width="7.5703125" style="122" customWidth="1"/>
    <col min="5350" max="5350" width="3.28515625" style="122" customWidth="1"/>
    <col min="5351" max="5351" width="5.85546875" style="122" customWidth="1"/>
    <col min="5352" max="5352" width="6.5703125" style="122" customWidth="1"/>
    <col min="5353" max="5353" width="3.28515625" style="122" customWidth="1"/>
    <col min="5354" max="5354" width="5.85546875" style="122" customWidth="1"/>
    <col min="5355" max="5355" width="6.5703125" style="122" customWidth="1"/>
    <col min="5356" max="5356" width="3.28515625" style="122" customWidth="1"/>
    <col min="5357" max="5357" width="5.85546875" style="122" customWidth="1"/>
    <col min="5358" max="5358" width="6.5703125" style="122" customWidth="1"/>
    <col min="5359" max="5359" width="3.28515625" style="122" customWidth="1"/>
    <col min="5360" max="5360" width="5.85546875" style="122" customWidth="1"/>
    <col min="5361" max="5361" width="6.5703125" style="122" customWidth="1"/>
    <col min="5362" max="5362" width="3.28515625" style="122" customWidth="1"/>
    <col min="5363" max="5363" width="5.85546875" style="122" customWidth="1"/>
    <col min="5364" max="5364" width="6.5703125" style="122" customWidth="1"/>
    <col min="5365" max="5365" width="3.28515625" style="122" customWidth="1"/>
    <col min="5366" max="5366" width="5.85546875" style="122" customWidth="1"/>
    <col min="5367" max="5367" width="6.5703125" style="122" customWidth="1"/>
    <col min="5368" max="5368" width="3.28515625" style="122" customWidth="1"/>
    <col min="5369" max="5369" width="5.85546875" style="122" customWidth="1"/>
    <col min="5370" max="5370" width="6.5703125" style="122" customWidth="1"/>
    <col min="5371" max="5371" width="3.28515625" style="122" customWidth="1"/>
    <col min="5372" max="5372" width="5.85546875" style="122" customWidth="1"/>
    <col min="5373" max="5373" width="6.5703125" style="122" customWidth="1"/>
    <col min="5374" max="5374" width="3.28515625" style="122" customWidth="1"/>
    <col min="5375" max="5375" width="5.85546875" style="122" customWidth="1"/>
    <col min="5376" max="5376" width="6.5703125" style="122" customWidth="1"/>
    <col min="5377" max="5377" width="3.28515625" style="122" customWidth="1"/>
    <col min="5378" max="5378" width="5.85546875" style="122" customWidth="1"/>
    <col min="5379" max="5379" width="6.5703125" style="122" customWidth="1"/>
    <col min="5380" max="5380" width="3.28515625" style="122" customWidth="1"/>
    <col min="5381" max="5381" width="5.85546875" style="122" customWidth="1"/>
    <col min="5382" max="5382" width="6.5703125" style="122" customWidth="1"/>
    <col min="5383" max="5383" width="3.28515625" style="122" customWidth="1"/>
    <col min="5384" max="5384" width="5.85546875" style="122" customWidth="1"/>
    <col min="5385" max="5385" width="6.5703125" style="122" customWidth="1"/>
    <col min="5386" max="5386" width="3.28515625" style="122" customWidth="1"/>
    <col min="5387" max="5387" width="5.85546875" style="122" customWidth="1"/>
    <col min="5388" max="5388" width="6.5703125" style="122" customWidth="1"/>
    <col min="5389" max="5389" width="3.28515625" style="122" customWidth="1"/>
    <col min="5390" max="5390" width="5.85546875" style="122" customWidth="1"/>
    <col min="5391" max="5391" width="6.5703125" style="122" customWidth="1"/>
    <col min="5392" max="5392" width="9.42578125" style="122" customWidth="1"/>
    <col min="5393" max="5595" width="9.140625" style="122"/>
    <col min="5596" max="5596" width="4.85546875" style="122" customWidth="1"/>
    <col min="5597" max="5597" width="5.140625" style="122" customWidth="1"/>
    <col min="5598" max="5598" width="13.7109375" style="122" customWidth="1"/>
    <col min="5599" max="5599" width="9.42578125" style="122" customWidth="1"/>
    <col min="5600" max="5600" width="7.85546875" style="122" bestFit="1" customWidth="1"/>
    <col min="5601" max="5601" width="9.42578125" style="122" customWidth="1"/>
    <col min="5602" max="5602" width="7.42578125" style="122" customWidth="1"/>
    <col min="5603" max="5603" width="7.85546875" style="122" customWidth="1"/>
    <col min="5604" max="5604" width="11" style="122" customWidth="1"/>
    <col min="5605" max="5605" width="7.5703125" style="122" customWidth="1"/>
    <col min="5606" max="5606" width="3.28515625" style="122" customWidth="1"/>
    <col min="5607" max="5607" width="5.85546875" style="122" customWidth="1"/>
    <col min="5608" max="5608" width="6.5703125" style="122" customWidth="1"/>
    <col min="5609" max="5609" width="3.28515625" style="122" customWidth="1"/>
    <col min="5610" max="5610" width="5.85546875" style="122" customWidth="1"/>
    <col min="5611" max="5611" width="6.5703125" style="122" customWidth="1"/>
    <col min="5612" max="5612" width="3.28515625" style="122" customWidth="1"/>
    <col min="5613" max="5613" width="5.85546875" style="122" customWidth="1"/>
    <col min="5614" max="5614" width="6.5703125" style="122" customWidth="1"/>
    <col min="5615" max="5615" width="3.28515625" style="122" customWidth="1"/>
    <col min="5616" max="5616" width="5.85546875" style="122" customWidth="1"/>
    <col min="5617" max="5617" width="6.5703125" style="122" customWidth="1"/>
    <col min="5618" max="5618" width="3.28515625" style="122" customWidth="1"/>
    <col min="5619" max="5619" width="5.85546875" style="122" customWidth="1"/>
    <col min="5620" max="5620" width="6.5703125" style="122" customWidth="1"/>
    <col min="5621" max="5621" width="3.28515625" style="122" customWidth="1"/>
    <col min="5622" max="5622" width="5.85546875" style="122" customWidth="1"/>
    <col min="5623" max="5623" width="6.5703125" style="122" customWidth="1"/>
    <col min="5624" max="5624" width="3.28515625" style="122" customWidth="1"/>
    <col min="5625" max="5625" width="5.85546875" style="122" customWidth="1"/>
    <col min="5626" max="5626" width="6.5703125" style="122" customWidth="1"/>
    <col min="5627" max="5627" width="3.28515625" style="122" customWidth="1"/>
    <col min="5628" max="5628" width="5.85546875" style="122" customWidth="1"/>
    <col min="5629" max="5629" width="6.5703125" style="122" customWidth="1"/>
    <col min="5630" max="5630" width="3.28515625" style="122" customWidth="1"/>
    <col min="5631" max="5631" width="5.85546875" style="122" customWidth="1"/>
    <col min="5632" max="5632" width="6.5703125" style="122" customWidth="1"/>
    <col min="5633" max="5633" width="3.28515625" style="122" customWidth="1"/>
    <col min="5634" max="5634" width="5.85546875" style="122" customWidth="1"/>
    <col min="5635" max="5635" width="6.5703125" style="122" customWidth="1"/>
    <col min="5636" max="5636" width="3.28515625" style="122" customWidth="1"/>
    <col min="5637" max="5637" width="5.85546875" style="122" customWidth="1"/>
    <col min="5638" max="5638" width="6.5703125" style="122" customWidth="1"/>
    <col min="5639" max="5639" width="3.28515625" style="122" customWidth="1"/>
    <col min="5640" max="5640" width="5.85546875" style="122" customWidth="1"/>
    <col min="5641" max="5641" width="6.5703125" style="122" customWidth="1"/>
    <col min="5642" max="5642" width="3.28515625" style="122" customWidth="1"/>
    <col min="5643" max="5643" width="5.85546875" style="122" customWidth="1"/>
    <col min="5644" max="5644" width="6.5703125" style="122" customWidth="1"/>
    <col min="5645" max="5645" width="3.28515625" style="122" customWidth="1"/>
    <col min="5646" max="5646" width="5.85546875" style="122" customWidth="1"/>
    <col min="5647" max="5647" width="6.5703125" style="122" customWidth="1"/>
    <col min="5648" max="5648" width="9.42578125" style="122" customWidth="1"/>
    <col min="5649" max="5851" width="9.140625" style="122"/>
    <col min="5852" max="5852" width="4.85546875" style="122" customWidth="1"/>
    <col min="5853" max="5853" width="5.140625" style="122" customWidth="1"/>
    <col min="5854" max="5854" width="13.7109375" style="122" customWidth="1"/>
    <col min="5855" max="5855" width="9.42578125" style="122" customWidth="1"/>
    <col min="5856" max="5856" width="7.85546875" style="122" bestFit="1" customWidth="1"/>
    <col min="5857" max="5857" width="9.42578125" style="122" customWidth="1"/>
    <col min="5858" max="5858" width="7.42578125" style="122" customWidth="1"/>
    <col min="5859" max="5859" width="7.85546875" style="122" customWidth="1"/>
    <col min="5860" max="5860" width="11" style="122" customWidth="1"/>
    <col min="5861" max="5861" width="7.5703125" style="122" customWidth="1"/>
    <col min="5862" max="5862" width="3.28515625" style="122" customWidth="1"/>
    <col min="5863" max="5863" width="5.85546875" style="122" customWidth="1"/>
    <col min="5864" max="5864" width="6.5703125" style="122" customWidth="1"/>
    <col min="5865" max="5865" width="3.28515625" style="122" customWidth="1"/>
    <col min="5866" max="5866" width="5.85546875" style="122" customWidth="1"/>
    <col min="5867" max="5867" width="6.5703125" style="122" customWidth="1"/>
    <col min="5868" max="5868" width="3.28515625" style="122" customWidth="1"/>
    <col min="5869" max="5869" width="5.85546875" style="122" customWidth="1"/>
    <col min="5870" max="5870" width="6.5703125" style="122" customWidth="1"/>
    <col min="5871" max="5871" width="3.28515625" style="122" customWidth="1"/>
    <col min="5872" max="5872" width="5.85546875" style="122" customWidth="1"/>
    <col min="5873" max="5873" width="6.5703125" style="122" customWidth="1"/>
    <col min="5874" max="5874" width="3.28515625" style="122" customWidth="1"/>
    <col min="5875" max="5875" width="5.85546875" style="122" customWidth="1"/>
    <col min="5876" max="5876" width="6.5703125" style="122" customWidth="1"/>
    <col min="5877" max="5877" width="3.28515625" style="122" customWidth="1"/>
    <col min="5878" max="5878" width="5.85546875" style="122" customWidth="1"/>
    <col min="5879" max="5879" width="6.5703125" style="122" customWidth="1"/>
    <col min="5880" max="5880" width="3.28515625" style="122" customWidth="1"/>
    <col min="5881" max="5881" width="5.85546875" style="122" customWidth="1"/>
    <col min="5882" max="5882" width="6.5703125" style="122" customWidth="1"/>
    <col min="5883" max="5883" width="3.28515625" style="122" customWidth="1"/>
    <col min="5884" max="5884" width="5.85546875" style="122" customWidth="1"/>
    <col min="5885" max="5885" width="6.5703125" style="122" customWidth="1"/>
    <col min="5886" max="5886" width="3.28515625" style="122" customWidth="1"/>
    <col min="5887" max="5887" width="5.85546875" style="122" customWidth="1"/>
    <col min="5888" max="5888" width="6.5703125" style="122" customWidth="1"/>
    <col min="5889" max="5889" width="3.28515625" style="122" customWidth="1"/>
    <col min="5890" max="5890" width="5.85546875" style="122" customWidth="1"/>
    <col min="5891" max="5891" width="6.5703125" style="122" customWidth="1"/>
    <col min="5892" max="5892" width="3.28515625" style="122" customWidth="1"/>
    <col min="5893" max="5893" width="5.85546875" style="122" customWidth="1"/>
    <col min="5894" max="5894" width="6.5703125" style="122" customWidth="1"/>
    <col min="5895" max="5895" width="3.28515625" style="122" customWidth="1"/>
    <col min="5896" max="5896" width="5.85546875" style="122" customWidth="1"/>
    <col min="5897" max="5897" width="6.5703125" style="122" customWidth="1"/>
    <col min="5898" max="5898" width="3.28515625" style="122" customWidth="1"/>
    <col min="5899" max="5899" width="5.85546875" style="122" customWidth="1"/>
    <col min="5900" max="5900" width="6.5703125" style="122" customWidth="1"/>
    <col min="5901" max="5901" width="3.28515625" style="122" customWidth="1"/>
    <col min="5902" max="5902" width="5.85546875" style="122" customWidth="1"/>
    <col min="5903" max="5903" width="6.5703125" style="122" customWidth="1"/>
    <col min="5904" max="5904" width="9.42578125" style="122" customWidth="1"/>
    <col min="5905" max="6107" width="9.140625" style="122"/>
    <col min="6108" max="6108" width="4.85546875" style="122" customWidth="1"/>
    <col min="6109" max="6109" width="5.140625" style="122" customWidth="1"/>
    <col min="6110" max="6110" width="13.7109375" style="122" customWidth="1"/>
    <col min="6111" max="6111" width="9.42578125" style="122" customWidth="1"/>
    <col min="6112" max="6112" width="7.85546875" style="122" bestFit="1" customWidth="1"/>
    <col min="6113" max="6113" width="9.42578125" style="122" customWidth="1"/>
    <col min="6114" max="6114" width="7.42578125" style="122" customWidth="1"/>
    <col min="6115" max="6115" width="7.85546875" style="122" customWidth="1"/>
    <col min="6116" max="6116" width="11" style="122" customWidth="1"/>
    <col min="6117" max="6117" width="7.5703125" style="122" customWidth="1"/>
    <col min="6118" max="6118" width="3.28515625" style="122" customWidth="1"/>
    <col min="6119" max="6119" width="5.85546875" style="122" customWidth="1"/>
    <col min="6120" max="6120" width="6.5703125" style="122" customWidth="1"/>
    <col min="6121" max="6121" width="3.28515625" style="122" customWidth="1"/>
    <col min="6122" max="6122" width="5.85546875" style="122" customWidth="1"/>
    <col min="6123" max="6123" width="6.5703125" style="122" customWidth="1"/>
    <col min="6124" max="6124" width="3.28515625" style="122" customWidth="1"/>
    <col min="6125" max="6125" width="5.85546875" style="122" customWidth="1"/>
    <col min="6126" max="6126" width="6.5703125" style="122" customWidth="1"/>
    <col min="6127" max="6127" width="3.28515625" style="122" customWidth="1"/>
    <col min="6128" max="6128" width="5.85546875" style="122" customWidth="1"/>
    <col min="6129" max="6129" width="6.5703125" style="122" customWidth="1"/>
    <col min="6130" max="6130" width="3.28515625" style="122" customWidth="1"/>
    <col min="6131" max="6131" width="5.85546875" style="122" customWidth="1"/>
    <col min="6132" max="6132" width="6.5703125" style="122" customWidth="1"/>
    <col min="6133" max="6133" width="3.28515625" style="122" customWidth="1"/>
    <col min="6134" max="6134" width="5.85546875" style="122" customWidth="1"/>
    <col min="6135" max="6135" width="6.5703125" style="122" customWidth="1"/>
    <col min="6136" max="6136" width="3.28515625" style="122" customWidth="1"/>
    <col min="6137" max="6137" width="5.85546875" style="122" customWidth="1"/>
    <col min="6138" max="6138" width="6.5703125" style="122" customWidth="1"/>
    <col min="6139" max="6139" width="3.28515625" style="122" customWidth="1"/>
    <col min="6140" max="6140" width="5.85546875" style="122" customWidth="1"/>
    <col min="6141" max="6141" width="6.5703125" style="122" customWidth="1"/>
    <col min="6142" max="6142" width="3.28515625" style="122" customWidth="1"/>
    <col min="6143" max="6143" width="5.85546875" style="122" customWidth="1"/>
    <col min="6144" max="6144" width="6.5703125" style="122" customWidth="1"/>
    <col min="6145" max="6145" width="3.28515625" style="122" customWidth="1"/>
    <col min="6146" max="6146" width="5.85546875" style="122" customWidth="1"/>
    <col min="6147" max="6147" width="6.5703125" style="122" customWidth="1"/>
    <col min="6148" max="6148" width="3.28515625" style="122" customWidth="1"/>
    <col min="6149" max="6149" width="5.85546875" style="122" customWidth="1"/>
    <col min="6150" max="6150" width="6.5703125" style="122" customWidth="1"/>
    <col min="6151" max="6151" width="3.28515625" style="122" customWidth="1"/>
    <col min="6152" max="6152" width="5.85546875" style="122" customWidth="1"/>
    <col min="6153" max="6153" width="6.5703125" style="122" customWidth="1"/>
    <col min="6154" max="6154" width="3.28515625" style="122" customWidth="1"/>
    <col min="6155" max="6155" width="5.85546875" style="122" customWidth="1"/>
    <col min="6156" max="6156" width="6.5703125" style="122" customWidth="1"/>
    <col min="6157" max="6157" width="3.28515625" style="122" customWidth="1"/>
    <col min="6158" max="6158" width="5.85546875" style="122" customWidth="1"/>
    <col min="6159" max="6159" width="6.5703125" style="122" customWidth="1"/>
    <col min="6160" max="6160" width="9.42578125" style="122" customWidth="1"/>
    <col min="6161" max="6363" width="9.140625" style="122"/>
    <col min="6364" max="6364" width="4.85546875" style="122" customWidth="1"/>
    <col min="6365" max="6365" width="5.140625" style="122" customWidth="1"/>
    <col min="6366" max="6366" width="13.7109375" style="122" customWidth="1"/>
    <col min="6367" max="6367" width="9.42578125" style="122" customWidth="1"/>
    <col min="6368" max="6368" width="7.85546875" style="122" bestFit="1" customWidth="1"/>
    <col min="6369" max="6369" width="9.42578125" style="122" customWidth="1"/>
    <col min="6370" max="6370" width="7.42578125" style="122" customWidth="1"/>
    <col min="6371" max="6371" width="7.85546875" style="122" customWidth="1"/>
    <col min="6372" max="6372" width="11" style="122" customWidth="1"/>
    <col min="6373" max="6373" width="7.5703125" style="122" customWidth="1"/>
    <col min="6374" max="6374" width="3.28515625" style="122" customWidth="1"/>
    <col min="6375" max="6375" width="5.85546875" style="122" customWidth="1"/>
    <col min="6376" max="6376" width="6.5703125" style="122" customWidth="1"/>
    <col min="6377" max="6377" width="3.28515625" style="122" customWidth="1"/>
    <col min="6378" max="6378" width="5.85546875" style="122" customWidth="1"/>
    <col min="6379" max="6379" width="6.5703125" style="122" customWidth="1"/>
    <col min="6380" max="6380" width="3.28515625" style="122" customWidth="1"/>
    <col min="6381" max="6381" width="5.85546875" style="122" customWidth="1"/>
    <col min="6382" max="6382" width="6.5703125" style="122" customWidth="1"/>
    <col min="6383" max="6383" width="3.28515625" style="122" customWidth="1"/>
    <col min="6384" max="6384" width="5.85546875" style="122" customWidth="1"/>
    <col min="6385" max="6385" width="6.5703125" style="122" customWidth="1"/>
    <col min="6386" max="6386" width="3.28515625" style="122" customWidth="1"/>
    <col min="6387" max="6387" width="5.85546875" style="122" customWidth="1"/>
    <col min="6388" max="6388" width="6.5703125" style="122" customWidth="1"/>
    <col min="6389" max="6389" width="3.28515625" style="122" customWidth="1"/>
    <col min="6390" max="6390" width="5.85546875" style="122" customWidth="1"/>
    <col min="6391" max="6391" width="6.5703125" style="122" customWidth="1"/>
    <col min="6392" max="6392" width="3.28515625" style="122" customWidth="1"/>
    <col min="6393" max="6393" width="5.85546875" style="122" customWidth="1"/>
    <col min="6394" max="6394" width="6.5703125" style="122" customWidth="1"/>
    <col min="6395" max="6395" width="3.28515625" style="122" customWidth="1"/>
    <col min="6396" max="6396" width="5.85546875" style="122" customWidth="1"/>
    <col min="6397" max="6397" width="6.5703125" style="122" customWidth="1"/>
    <col min="6398" max="6398" width="3.28515625" style="122" customWidth="1"/>
    <col min="6399" max="6399" width="5.85546875" style="122" customWidth="1"/>
    <col min="6400" max="6400" width="6.5703125" style="122" customWidth="1"/>
    <col min="6401" max="6401" width="3.28515625" style="122" customWidth="1"/>
    <col min="6402" max="6402" width="5.85546875" style="122" customWidth="1"/>
    <col min="6403" max="6403" width="6.5703125" style="122" customWidth="1"/>
    <col min="6404" max="6404" width="3.28515625" style="122" customWidth="1"/>
    <col min="6405" max="6405" width="5.85546875" style="122" customWidth="1"/>
    <col min="6406" max="6406" width="6.5703125" style="122" customWidth="1"/>
    <col min="6407" max="6407" width="3.28515625" style="122" customWidth="1"/>
    <col min="6408" max="6408" width="5.85546875" style="122" customWidth="1"/>
    <col min="6409" max="6409" width="6.5703125" style="122" customWidth="1"/>
    <col min="6410" max="6410" width="3.28515625" style="122" customWidth="1"/>
    <col min="6411" max="6411" width="5.85546875" style="122" customWidth="1"/>
    <col min="6412" max="6412" width="6.5703125" style="122" customWidth="1"/>
    <col min="6413" max="6413" width="3.28515625" style="122" customWidth="1"/>
    <col min="6414" max="6414" width="5.85546875" style="122" customWidth="1"/>
    <col min="6415" max="6415" width="6.5703125" style="122" customWidth="1"/>
    <col min="6416" max="6416" width="9.42578125" style="122" customWidth="1"/>
    <col min="6417" max="6619" width="9.140625" style="122"/>
    <col min="6620" max="6620" width="4.85546875" style="122" customWidth="1"/>
    <col min="6621" max="6621" width="5.140625" style="122" customWidth="1"/>
    <col min="6622" max="6622" width="13.7109375" style="122" customWidth="1"/>
    <col min="6623" max="6623" width="9.42578125" style="122" customWidth="1"/>
    <col min="6624" max="6624" width="7.85546875" style="122" bestFit="1" customWidth="1"/>
    <col min="6625" max="6625" width="9.42578125" style="122" customWidth="1"/>
    <col min="6626" max="6626" width="7.42578125" style="122" customWidth="1"/>
    <col min="6627" max="6627" width="7.85546875" style="122" customWidth="1"/>
    <col min="6628" max="6628" width="11" style="122" customWidth="1"/>
    <col min="6629" max="6629" width="7.5703125" style="122" customWidth="1"/>
    <col min="6630" max="6630" width="3.28515625" style="122" customWidth="1"/>
    <col min="6631" max="6631" width="5.85546875" style="122" customWidth="1"/>
    <col min="6632" max="6632" width="6.5703125" style="122" customWidth="1"/>
    <col min="6633" max="6633" width="3.28515625" style="122" customWidth="1"/>
    <col min="6634" max="6634" width="5.85546875" style="122" customWidth="1"/>
    <col min="6635" max="6635" width="6.5703125" style="122" customWidth="1"/>
    <col min="6636" max="6636" width="3.28515625" style="122" customWidth="1"/>
    <col min="6637" max="6637" width="5.85546875" style="122" customWidth="1"/>
    <col min="6638" max="6638" width="6.5703125" style="122" customWidth="1"/>
    <col min="6639" max="6639" width="3.28515625" style="122" customWidth="1"/>
    <col min="6640" max="6640" width="5.85546875" style="122" customWidth="1"/>
    <col min="6641" max="6641" width="6.5703125" style="122" customWidth="1"/>
    <col min="6642" max="6642" width="3.28515625" style="122" customWidth="1"/>
    <col min="6643" max="6643" width="5.85546875" style="122" customWidth="1"/>
    <col min="6644" max="6644" width="6.5703125" style="122" customWidth="1"/>
    <col min="6645" max="6645" width="3.28515625" style="122" customWidth="1"/>
    <col min="6646" max="6646" width="5.85546875" style="122" customWidth="1"/>
    <col min="6647" max="6647" width="6.5703125" style="122" customWidth="1"/>
    <col min="6648" max="6648" width="3.28515625" style="122" customWidth="1"/>
    <col min="6649" max="6649" width="5.85546875" style="122" customWidth="1"/>
    <col min="6650" max="6650" width="6.5703125" style="122" customWidth="1"/>
    <col min="6651" max="6651" width="3.28515625" style="122" customWidth="1"/>
    <col min="6652" max="6652" width="5.85546875" style="122" customWidth="1"/>
    <col min="6653" max="6653" width="6.5703125" style="122" customWidth="1"/>
    <col min="6654" max="6654" width="3.28515625" style="122" customWidth="1"/>
    <col min="6655" max="6655" width="5.85546875" style="122" customWidth="1"/>
    <col min="6656" max="6656" width="6.5703125" style="122" customWidth="1"/>
    <col min="6657" max="6657" width="3.28515625" style="122" customWidth="1"/>
    <col min="6658" max="6658" width="5.85546875" style="122" customWidth="1"/>
    <col min="6659" max="6659" width="6.5703125" style="122" customWidth="1"/>
    <col min="6660" max="6660" width="3.28515625" style="122" customWidth="1"/>
    <col min="6661" max="6661" width="5.85546875" style="122" customWidth="1"/>
    <col min="6662" max="6662" width="6.5703125" style="122" customWidth="1"/>
    <col min="6663" max="6663" width="3.28515625" style="122" customWidth="1"/>
    <col min="6664" max="6664" width="5.85546875" style="122" customWidth="1"/>
    <col min="6665" max="6665" width="6.5703125" style="122" customWidth="1"/>
    <col min="6666" max="6666" width="3.28515625" style="122" customWidth="1"/>
    <col min="6667" max="6667" width="5.85546875" style="122" customWidth="1"/>
    <col min="6668" max="6668" width="6.5703125" style="122" customWidth="1"/>
    <col min="6669" max="6669" width="3.28515625" style="122" customWidth="1"/>
    <col min="6670" max="6670" width="5.85546875" style="122" customWidth="1"/>
    <col min="6671" max="6671" width="6.5703125" style="122" customWidth="1"/>
    <col min="6672" max="6672" width="9.42578125" style="122" customWidth="1"/>
    <col min="6673" max="6875" width="9.140625" style="122"/>
    <col min="6876" max="6876" width="4.85546875" style="122" customWidth="1"/>
    <col min="6877" max="6877" width="5.140625" style="122" customWidth="1"/>
    <col min="6878" max="6878" width="13.7109375" style="122" customWidth="1"/>
    <col min="6879" max="6879" width="9.42578125" style="122" customWidth="1"/>
    <col min="6880" max="6880" width="7.85546875" style="122" bestFit="1" customWidth="1"/>
    <col min="6881" max="6881" width="9.42578125" style="122" customWidth="1"/>
    <col min="6882" max="6882" width="7.42578125" style="122" customWidth="1"/>
    <col min="6883" max="6883" width="7.85546875" style="122" customWidth="1"/>
    <col min="6884" max="6884" width="11" style="122" customWidth="1"/>
    <col min="6885" max="6885" width="7.5703125" style="122" customWidth="1"/>
    <col min="6886" max="6886" width="3.28515625" style="122" customWidth="1"/>
    <col min="6887" max="6887" width="5.85546875" style="122" customWidth="1"/>
    <col min="6888" max="6888" width="6.5703125" style="122" customWidth="1"/>
    <col min="6889" max="6889" width="3.28515625" style="122" customWidth="1"/>
    <col min="6890" max="6890" width="5.85546875" style="122" customWidth="1"/>
    <col min="6891" max="6891" width="6.5703125" style="122" customWidth="1"/>
    <col min="6892" max="6892" width="3.28515625" style="122" customWidth="1"/>
    <col min="6893" max="6893" width="5.85546875" style="122" customWidth="1"/>
    <col min="6894" max="6894" width="6.5703125" style="122" customWidth="1"/>
    <col min="6895" max="6895" width="3.28515625" style="122" customWidth="1"/>
    <col min="6896" max="6896" width="5.85546875" style="122" customWidth="1"/>
    <col min="6897" max="6897" width="6.5703125" style="122" customWidth="1"/>
    <col min="6898" max="6898" width="3.28515625" style="122" customWidth="1"/>
    <col min="6899" max="6899" width="5.85546875" style="122" customWidth="1"/>
    <col min="6900" max="6900" width="6.5703125" style="122" customWidth="1"/>
    <col min="6901" max="6901" width="3.28515625" style="122" customWidth="1"/>
    <col min="6902" max="6902" width="5.85546875" style="122" customWidth="1"/>
    <col min="6903" max="6903" width="6.5703125" style="122" customWidth="1"/>
    <col min="6904" max="6904" width="3.28515625" style="122" customWidth="1"/>
    <col min="6905" max="6905" width="5.85546875" style="122" customWidth="1"/>
    <col min="6906" max="6906" width="6.5703125" style="122" customWidth="1"/>
    <col min="6907" max="6907" width="3.28515625" style="122" customWidth="1"/>
    <col min="6908" max="6908" width="5.85546875" style="122" customWidth="1"/>
    <col min="6909" max="6909" width="6.5703125" style="122" customWidth="1"/>
    <col min="6910" max="6910" width="3.28515625" style="122" customWidth="1"/>
    <col min="6911" max="6911" width="5.85546875" style="122" customWidth="1"/>
    <col min="6912" max="6912" width="6.5703125" style="122" customWidth="1"/>
    <col min="6913" max="6913" width="3.28515625" style="122" customWidth="1"/>
    <col min="6914" max="6914" width="5.85546875" style="122" customWidth="1"/>
    <col min="6915" max="6915" width="6.5703125" style="122" customWidth="1"/>
    <col min="6916" max="6916" width="3.28515625" style="122" customWidth="1"/>
    <col min="6917" max="6917" width="5.85546875" style="122" customWidth="1"/>
    <col min="6918" max="6918" width="6.5703125" style="122" customWidth="1"/>
    <col min="6919" max="6919" width="3.28515625" style="122" customWidth="1"/>
    <col min="6920" max="6920" width="5.85546875" style="122" customWidth="1"/>
    <col min="6921" max="6921" width="6.5703125" style="122" customWidth="1"/>
    <col min="6922" max="6922" width="3.28515625" style="122" customWidth="1"/>
    <col min="6923" max="6923" width="5.85546875" style="122" customWidth="1"/>
    <col min="6924" max="6924" width="6.5703125" style="122" customWidth="1"/>
    <col min="6925" max="6925" width="3.28515625" style="122" customWidth="1"/>
    <col min="6926" max="6926" width="5.85546875" style="122" customWidth="1"/>
    <col min="6927" max="6927" width="6.5703125" style="122" customWidth="1"/>
    <col min="6928" max="6928" width="9.42578125" style="122" customWidth="1"/>
    <col min="6929" max="7131" width="9.140625" style="122"/>
    <col min="7132" max="7132" width="4.85546875" style="122" customWidth="1"/>
    <col min="7133" max="7133" width="5.140625" style="122" customWidth="1"/>
    <col min="7134" max="7134" width="13.7109375" style="122" customWidth="1"/>
    <col min="7135" max="7135" width="9.42578125" style="122" customWidth="1"/>
    <col min="7136" max="7136" width="7.85546875" style="122" bestFit="1" customWidth="1"/>
    <col min="7137" max="7137" width="9.42578125" style="122" customWidth="1"/>
    <col min="7138" max="7138" width="7.42578125" style="122" customWidth="1"/>
    <col min="7139" max="7139" width="7.85546875" style="122" customWidth="1"/>
    <col min="7140" max="7140" width="11" style="122" customWidth="1"/>
    <col min="7141" max="7141" width="7.5703125" style="122" customWidth="1"/>
    <col min="7142" max="7142" width="3.28515625" style="122" customWidth="1"/>
    <col min="7143" max="7143" width="5.85546875" style="122" customWidth="1"/>
    <col min="7144" max="7144" width="6.5703125" style="122" customWidth="1"/>
    <col min="7145" max="7145" width="3.28515625" style="122" customWidth="1"/>
    <col min="7146" max="7146" width="5.85546875" style="122" customWidth="1"/>
    <col min="7147" max="7147" width="6.5703125" style="122" customWidth="1"/>
    <col min="7148" max="7148" width="3.28515625" style="122" customWidth="1"/>
    <col min="7149" max="7149" width="5.85546875" style="122" customWidth="1"/>
    <col min="7150" max="7150" width="6.5703125" style="122" customWidth="1"/>
    <col min="7151" max="7151" width="3.28515625" style="122" customWidth="1"/>
    <col min="7152" max="7152" width="5.85546875" style="122" customWidth="1"/>
    <col min="7153" max="7153" width="6.5703125" style="122" customWidth="1"/>
    <col min="7154" max="7154" width="3.28515625" style="122" customWidth="1"/>
    <col min="7155" max="7155" width="5.85546875" style="122" customWidth="1"/>
    <col min="7156" max="7156" width="6.5703125" style="122" customWidth="1"/>
    <col min="7157" max="7157" width="3.28515625" style="122" customWidth="1"/>
    <col min="7158" max="7158" width="5.85546875" style="122" customWidth="1"/>
    <col min="7159" max="7159" width="6.5703125" style="122" customWidth="1"/>
    <col min="7160" max="7160" width="3.28515625" style="122" customWidth="1"/>
    <col min="7161" max="7161" width="5.85546875" style="122" customWidth="1"/>
    <col min="7162" max="7162" width="6.5703125" style="122" customWidth="1"/>
    <col min="7163" max="7163" width="3.28515625" style="122" customWidth="1"/>
    <col min="7164" max="7164" width="5.85546875" style="122" customWidth="1"/>
    <col min="7165" max="7165" width="6.5703125" style="122" customWidth="1"/>
    <col min="7166" max="7166" width="3.28515625" style="122" customWidth="1"/>
    <col min="7167" max="7167" width="5.85546875" style="122" customWidth="1"/>
    <col min="7168" max="7168" width="6.5703125" style="122" customWidth="1"/>
    <col min="7169" max="7169" width="3.28515625" style="122" customWidth="1"/>
    <col min="7170" max="7170" width="5.85546875" style="122" customWidth="1"/>
    <col min="7171" max="7171" width="6.5703125" style="122" customWidth="1"/>
    <col min="7172" max="7172" width="3.28515625" style="122" customWidth="1"/>
    <col min="7173" max="7173" width="5.85546875" style="122" customWidth="1"/>
    <col min="7174" max="7174" width="6.5703125" style="122" customWidth="1"/>
    <col min="7175" max="7175" width="3.28515625" style="122" customWidth="1"/>
    <col min="7176" max="7176" width="5.85546875" style="122" customWidth="1"/>
    <col min="7177" max="7177" width="6.5703125" style="122" customWidth="1"/>
    <col min="7178" max="7178" width="3.28515625" style="122" customWidth="1"/>
    <col min="7179" max="7179" width="5.85546875" style="122" customWidth="1"/>
    <col min="7180" max="7180" width="6.5703125" style="122" customWidth="1"/>
    <col min="7181" max="7181" width="3.28515625" style="122" customWidth="1"/>
    <col min="7182" max="7182" width="5.85546875" style="122" customWidth="1"/>
    <col min="7183" max="7183" width="6.5703125" style="122" customWidth="1"/>
    <col min="7184" max="7184" width="9.42578125" style="122" customWidth="1"/>
    <col min="7185" max="7387" width="9.140625" style="122"/>
    <col min="7388" max="7388" width="4.85546875" style="122" customWidth="1"/>
    <col min="7389" max="7389" width="5.140625" style="122" customWidth="1"/>
    <col min="7390" max="7390" width="13.7109375" style="122" customWidth="1"/>
    <col min="7391" max="7391" width="9.42578125" style="122" customWidth="1"/>
    <col min="7392" max="7392" width="7.85546875" style="122" bestFit="1" customWidth="1"/>
    <col min="7393" max="7393" width="9.42578125" style="122" customWidth="1"/>
    <col min="7394" max="7394" width="7.42578125" style="122" customWidth="1"/>
    <col min="7395" max="7395" width="7.85546875" style="122" customWidth="1"/>
    <col min="7396" max="7396" width="11" style="122" customWidth="1"/>
    <col min="7397" max="7397" width="7.5703125" style="122" customWidth="1"/>
    <col min="7398" max="7398" width="3.28515625" style="122" customWidth="1"/>
    <col min="7399" max="7399" width="5.85546875" style="122" customWidth="1"/>
    <col min="7400" max="7400" width="6.5703125" style="122" customWidth="1"/>
    <col min="7401" max="7401" width="3.28515625" style="122" customWidth="1"/>
    <col min="7402" max="7402" width="5.85546875" style="122" customWidth="1"/>
    <col min="7403" max="7403" width="6.5703125" style="122" customWidth="1"/>
    <col min="7404" max="7404" width="3.28515625" style="122" customWidth="1"/>
    <col min="7405" max="7405" width="5.85546875" style="122" customWidth="1"/>
    <col min="7406" max="7406" width="6.5703125" style="122" customWidth="1"/>
    <col min="7407" max="7407" width="3.28515625" style="122" customWidth="1"/>
    <col min="7408" max="7408" width="5.85546875" style="122" customWidth="1"/>
    <col min="7409" max="7409" width="6.5703125" style="122" customWidth="1"/>
    <col min="7410" max="7410" width="3.28515625" style="122" customWidth="1"/>
    <col min="7411" max="7411" width="5.85546875" style="122" customWidth="1"/>
    <col min="7412" max="7412" width="6.5703125" style="122" customWidth="1"/>
    <col min="7413" max="7413" width="3.28515625" style="122" customWidth="1"/>
    <col min="7414" max="7414" width="5.85546875" style="122" customWidth="1"/>
    <col min="7415" max="7415" width="6.5703125" style="122" customWidth="1"/>
    <col min="7416" max="7416" width="3.28515625" style="122" customWidth="1"/>
    <col min="7417" max="7417" width="5.85546875" style="122" customWidth="1"/>
    <col min="7418" max="7418" width="6.5703125" style="122" customWidth="1"/>
    <col min="7419" max="7419" width="3.28515625" style="122" customWidth="1"/>
    <col min="7420" max="7420" width="5.85546875" style="122" customWidth="1"/>
    <col min="7421" max="7421" width="6.5703125" style="122" customWidth="1"/>
    <col min="7422" max="7422" width="3.28515625" style="122" customWidth="1"/>
    <col min="7423" max="7423" width="5.85546875" style="122" customWidth="1"/>
    <col min="7424" max="7424" width="6.5703125" style="122" customWidth="1"/>
    <col min="7425" max="7425" width="3.28515625" style="122" customWidth="1"/>
    <col min="7426" max="7426" width="5.85546875" style="122" customWidth="1"/>
    <col min="7427" max="7427" width="6.5703125" style="122" customWidth="1"/>
    <col min="7428" max="7428" width="3.28515625" style="122" customWidth="1"/>
    <col min="7429" max="7429" width="5.85546875" style="122" customWidth="1"/>
    <col min="7430" max="7430" width="6.5703125" style="122" customWidth="1"/>
    <col min="7431" max="7431" width="3.28515625" style="122" customWidth="1"/>
    <col min="7432" max="7432" width="5.85546875" style="122" customWidth="1"/>
    <col min="7433" max="7433" width="6.5703125" style="122" customWidth="1"/>
    <col min="7434" max="7434" width="3.28515625" style="122" customWidth="1"/>
    <col min="7435" max="7435" width="5.85546875" style="122" customWidth="1"/>
    <col min="7436" max="7436" width="6.5703125" style="122" customWidth="1"/>
    <col min="7437" max="7437" width="3.28515625" style="122" customWidth="1"/>
    <col min="7438" max="7438" width="5.85546875" style="122" customWidth="1"/>
    <col min="7439" max="7439" width="6.5703125" style="122" customWidth="1"/>
    <col min="7440" max="7440" width="9.42578125" style="122" customWidth="1"/>
    <col min="7441" max="7643" width="9.140625" style="122"/>
    <col min="7644" max="7644" width="4.85546875" style="122" customWidth="1"/>
    <col min="7645" max="7645" width="5.140625" style="122" customWidth="1"/>
    <col min="7646" max="7646" width="13.7109375" style="122" customWidth="1"/>
    <col min="7647" max="7647" width="9.42578125" style="122" customWidth="1"/>
    <col min="7648" max="7648" width="7.85546875" style="122" bestFit="1" customWidth="1"/>
    <col min="7649" max="7649" width="9.42578125" style="122" customWidth="1"/>
    <col min="7650" max="7650" width="7.42578125" style="122" customWidth="1"/>
    <col min="7651" max="7651" width="7.85546875" style="122" customWidth="1"/>
    <col min="7652" max="7652" width="11" style="122" customWidth="1"/>
    <col min="7653" max="7653" width="7.5703125" style="122" customWidth="1"/>
    <col min="7654" max="7654" width="3.28515625" style="122" customWidth="1"/>
    <col min="7655" max="7655" width="5.85546875" style="122" customWidth="1"/>
    <col min="7656" max="7656" width="6.5703125" style="122" customWidth="1"/>
    <col min="7657" max="7657" width="3.28515625" style="122" customWidth="1"/>
    <col min="7658" max="7658" width="5.85546875" style="122" customWidth="1"/>
    <col min="7659" max="7659" width="6.5703125" style="122" customWidth="1"/>
    <col min="7660" max="7660" width="3.28515625" style="122" customWidth="1"/>
    <col min="7661" max="7661" width="5.85546875" style="122" customWidth="1"/>
    <col min="7662" max="7662" width="6.5703125" style="122" customWidth="1"/>
    <col min="7663" max="7663" width="3.28515625" style="122" customWidth="1"/>
    <col min="7664" max="7664" width="5.85546875" style="122" customWidth="1"/>
    <col min="7665" max="7665" width="6.5703125" style="122" customWidth="1"/>
    <col min="7666" max="7666" width="3.28515625" style="122" customWidth="1"/>
    <col min="7667" max="7667" width="5.85546875" style="122" customWidth="1"/>
    <col min="7668" max="7668" width="6.5703125" style="122" customWidth="1"/>
    <col min="7669" max="7669" width="3.28515625" style="122" customWidth="1"/>
    <col min="7670" max="7670" width="5.85546875" style="122" customWidth="1"/>
    <col min="7671" max="7671" width="6.5703125" style="122" customWidth="1"/>
    <col min="7672" max="7672" width="3.28515625" style="122" customWidth="1"/>
    <col min="7673" max="7673" width="5.85546875" style="122" customWidth="1"/>
    <col min="7674" max="7674" width="6.5703125" style="122" customWidth="1"/>
    <col min="7675" max="7675" width="3.28515625" style="122" customWidth="1"/>
    <col min="7676" max="7676" width="5.85546875" style="122" customWidth="1"/>
    <col min="7677" max="7677" width="6.5703125" style="122" customWidth="1"/>
    <col min="7678" max="7678" width="3.28515625" style="122" customWidth="1"/>
    <col min="7679" max="7679" width="5.85546875" style="122" customWidth="1"/>
    <col min="7680" max="7680" width="6.5703125" style="122" customWidth="1"/>
    <col min="7681" max="7681" width="3.28515625" style="122" customWidth="1"/>
    <col min="7682" max="7682" width="5.85546875" style="122" customWidth="1"/>
    <col min="7683" max="7683" width="6.5703125" style="122" customWidth="1"/>
    <col min="7684" max="7684" width="3.28515625" style="122" customWidth="1"/>
    <col min="7685" max="7685" width="5.85546875" style="122" customWidth="1"/>
    <col min="7686" max="7686" width="6.5703125" style="122" customWidth="1"/>
    <col min="7687" max="7687" width="3.28515625" style="122" customWidth="1"/>
    <col min="7688" max="7688" width="5.85546875" style="122" customWidth="1"/>
    <col min="7689" max="7689" width="6.5703125" style="122" customWidth="1"/>
    <col min="7690" max="7690" width="3.28515625" style="122" customWidth="1"/>
    <col min="7691" max="7691" width="5.85546875" style="122" customWidth="1"/>
    <col min="7692" max="7692" width="6.5703125" style="122" customWidth="1"/>
    <col min="7693" max="7693" width="3.28515625" style="122" customWidth="1"/>
    <col min="7694" max="7694" width="5.85546875" style="122" customWidth="1"/>
    <col min="7695" max="7695" width="6.5703125" style="122" customWidth="1"/>
    <col min="7696" max="7696" width="9.42578125" style="122" customWidth="1"/>
    <col min="7697" max="7899" width="9.140625" style="122"/>
    <col min="7900" max="7900" width="4.85546875" style="122" customWidth="1"/>
    <col min="7901" max="7901" width="5.140625" style="122" customWidth="1"/>
    <col min="7902" max="7902" width="13.7109375" style="122" customWidth="1"/>
    <col min="7903" max="7903" width="9.42578125" style="122" customWidth="1"/>
    <col min="7904" max="7904" width="7.85546875" style="122" bestFit="1" customWidth="1"/>
    <col min="7905" max="7905" width="9.42578125" style="122" customWidth="1"/>
    <col min="7906" max="7906" width="7.42578125" style="122" customWidth="1"/>
    <col min="7907" max="7907" width="7.85546875" style="122" customWidth="1"/>
    <col min="7908" max="7908" width="11" style="122" customWidth="1"/>
    <col min="7909" max="7909" width="7.5703125" style="122" customWidth="1"/>
    <col min="7910" max="7910" width="3.28515625" style="122" customWidth="1"/>
    <col min="7911" max="7911" width="5.85546875" style="122" customWidth="1"/>
    <col min="7912" max="7912" width="6.5703125" style="122" customWidth="1"/>
    <col min="7913" max="7913" width="3.28515625" style="122" customWidth="1"/>
    <col min="7914" max="7914" width="5.85546875" style="122" customWidth="1"/>
    <col min="7915" max="7915" width="6.5703125" style="122" customWidth="1"/>
    <col min="7916" max="7916" width="3.28515625" style="122" customWidth="1"/>
    <col min="7917" max="7917" width="5.85546875" style="122" customWidth="1"/>
    <col min="7918" max="7918" width="6.5703125" style="122" customWidth="1"/>
    <col min="7919" max="7919" width="3.28515625" style="122" customWidth="1"/>
    <col min="7920" max="7920" width="5.85546875" style="122" customWidth="1"/>
    <col min="7921" max="7921" width="6.5703125" style="122" customWidth="1"/>
    <col min="7922" max="7922" width="3.28515625" style="122" customWidth="1"/>
    <col min="7923" max="7923" width="5.85546875" style="122" customWidth="1"/>
    <col min="7924" max="7924" width="6.5703125" style="122" customWidth="1"/>
    <col min="7925" max="7925" width="3.28515625" style="122" customWidth="1"/>
    <col min="7926" max="7926" width="5.85546875" style="122" customWidth="1"/>
    <col min="7927" max="7927" width="6.5703125" style="122" customWidth="1"/>
    <col min="7928" max="7928" width="3.28515625" style="122" customWidth="1"/>
    <col min="7929" max="7929" width="5.85546875" style="122" customWidth="1"/>
    <col min="7930" max="7930" width="6.5703125" style="122" customWidth="1"/>
    <col min="7931" max="7931" width="3.28515625" style="122" customWidth="1"/>
    <col min="7932" max="7932" width="5.85546875" style="122" customWidth="1"/>
    <col min="7933" max="7933" width="6.5703125" style="122" customWidth="1"/>
    <col min="7934" max="7934" width="3.28515625" style="122" customWidth="1"/>
    <col min="7935" max="7935" width="5.85546875" style="122" customWidth="1"/>
    <col min="7936" max="7936" width="6.5703125" style="122" customWidth="1"/>
    <col min="7937" max="7937" width="3.28515625" style="122" customWidth="1"/>
    <col min="7938" max="7938" width="5.85546875" style="122" customWidth="1"/>
    <col min="7939" max="7939" width="6.5703125" style="122" customWidth="1"/>
    <col min="7940" max="7940" width="3.28515625" style="122" customWidth="1"/>
    <col min="7941" max="7941" width="5.85546875" style="122" customWidth="1"/>
    <col min="7942" max="7942" width="6.5703125" style="122" customWidth="1"/>
    <col min="7943" max="7943" width="3.28515625" style="122" customWidth="1"/>
    <col min="7944" max="7944" width="5.85546875" style="122" customWidth="1"/>
    <col min="7945" max="7945" width="6.5703125" style="122" customWidth="1"/>
    <col min="7946" max="7946" width="3.28515625" style="122" customWidth="1"/>
    <col min="7947" max="7947" width="5.85546875" style="122" customWidth="1"/>
    <col min="7948" max="7948" width="6.5703125" style="122" customWidth="1"/>
    <col min="7949" max="7949" width="3.28515625" style="122" customWidth="1"/>
    <col min="7950" max="7950" width="5.85546875" style="122" customWidth="1"/>
    <col min="7951" max="7951" width="6.5703125" style="122" customWidth="1"/>
    <col min="7952" max="7952" width="9.42578125" style="122" customWidth="1"/>
    <col min="7953" max="8155" width="9.140625" style="122"/>
    <col min="8156" max="8156" width="4.85546875" style="122" customWidth="1"/>
    <col min="8157" max="8157" width="5.140625" style="122" customWidth="1"/>
    <col min="8158" max="8158" width="13.7109375" style="122" customWidth="1"/>
    <col min="8159" max="8159" width="9.42578125" style="122" customWidth="1"/>
    <col min="8160" max="8160" width="7.85546875" style="122" bestFit="1" customWidth="1"/>
    <col min="8161" max="8161" width="9.42578125" style="122" customWidth="1"/>
    <col min="8162" max="8162" width="7.42578125" style="122" customWidth="1"/>
    <col min="8163" max="8163" width="7.85546875" style="122" customWidth="1"/>
    <col min="8164" max="8164" width="11" style="122" customWidth="1"/>
    <col min="8165" max="8165" width="7.5703125" style="122" customWidth="1"/>
    <col min="8166" max="8166" width="3.28515625" style="122" customWidth="1"/>
    <col min="8167" max="8167" width="5.85546875" style="122" customWidth="1"/>
    <col min="8168" max="8168" width="6.5703125" style="122" customWidth="1"/>
    <col min="8169" max="8169" width="3.28515625" style="122" customWidth="1"/>
    <col min="8170" max="8170" width="5.85546875" style="122" customWidth="1"/>
    <col min="8171" max="8171" width="6.5703125" style="122" customWidth="1"/>
    <col min="8172" max="8172" width="3.28515625" style="122" customWidth="1"/>
    <col min="8173" max="8173" width="5.85546875" style="122" customWidth="1"/>
    <col min="8174" max="8174" width="6.5703125" style="122" customWidth="1"/>
    <col min="8175" max="8175" width="3.28515625" style="122" customWidth="1"/>
    <col min="8176" max="8176" width="5.85546875" style="122" customWidth="1"/>
    <col min="8177" max="8177" width="6.5703125" style="122" customWidth="1"/>
    <col min="8178" max="8178" width="3.28515625" style="122" customWidth="1"/>
    <col min="8179" max="8179" width="5.85546875" style="122" customWidth="1"/>
    <col min="8180" max="8180" width="6.5703125" style="122" customWidth="1"/>
    <col min="8181" max="8181" width="3.28515625" style="122" customWidth="1"/>
    <col min="8182" max="8182" width="5.85546875" style="122" customWidth="1"/>
    <col min="8183" max="8183" width="6.5703125" style="122" customWidth="1"/>
    <col min="8184" max="8184" width="3.28515625" style="122" customWidth="1"/>
    <col min="8185" max="8185" width="5.85546875" style="122" customWidth="1"/>
    <col min="8186" max="8186" width="6.5703125" style="122" customWidth="1"/>
    <col min="8187" max="8187" width="3.28515625" style="122" customWidth="1"/>
    <col min="8188" max="8188" width="5.85546875" style="122" customWidth="1"/>
    <col min="8189" max="8189" width="6.5703125" style="122" customWidth="1"/>
    <col min="8190" max="8190" width="3.28515625" style="122" customWidth="1"/>
    <col min="8191" max="8191" width="5.85546875" style="122" customWidth="1"/>
    <col min="8192" max="8192" width="6.5703125" style="122" customWidth="1"/>
    <col min="8193" max="8193" width="3.28515625" style="122" customWidth="1"/>
    <col min="8194" max="8194" width="5.85546875" style="122" customWidth="1"/>
    <col min="8195" max="8195" width="6.5703125" style="122" customWidth="1"/>
    <col min="8196" max="8196" width="3.28515625" style="122" customWidth="1"/>
    <col min="8197" max="8197" width="5.85546875" style="122" customWidth="1"/>
    <col min="8198" max="8198" width="6.5703125" style="122" customWidth="1"/>
    <col min="8199" max="8199" width="3.28515625" style="122" customWidth="1"/>
    <col min="8200" max="8200" width="5.85546875" style="122" customWidth="1"/>
    <col min="8201" max="8201" width="6.5703125" style="122" customWidth="1"/>
    <col min="8202" max="8202" width="3.28515625" style="122" customWidth="1"/>
    <col min="8203" max="8203" width="5.85546875" style="122" customWidth="1"/>
    <col min="8204" max="8204" width="6.5703125" style="122" customWidth="1"/>
    <col min="8205" max="8205" width="3.28515625" style="122" customWidth="1"/>
    <col min="8206" max="8206" width="5.85546875" style="122" customWidth="1"/>
    <col min="8207" max="8207" width="6.5703125" style="122" customWidth="1"/>
    <col min="8208" max="8208" width="9.42578125" style="122" customWidth="1"/>
    <col min="8209" max="8411" width="9.140625" style="122"/>
    <col min="8412" max="8412" width="4.85546875" style="122" customWidth="1"/>
    <col min="8413" max="8413" width="5.140625" style="122" customWidth="1"/>
    <col min="8414" max="8414" width="13.7109375" style="122" customWidth="1"/>
    <col min="8415" max="8415" width="9.42578125" style="122" customWidth="1"/>
    <col min="8416" max="8416" width="7.85546875" style="122" bestFit="1" customWidth="1"/>
    <col min="8417" max="8417" width="9.42578125" style="122" customWidth="1"/>
    <col min="8418" max="8418" width="7.42578125" style="122" customWidth="1"/>
    <col min="8419" max="8419" width="7.85546875" style="122" customWidth="1"/>
    <col min="8420" max="8420" width="11" style="122" customWidth="1"/>
    <col min="8421" max="8421" width="7.5703125" style="122" customWidth="1"/>
    <col min="8422" max="8422" width="3.28515625" style="122" customWidth="1"/>
    <col min="8423" max="8423" width="5.85546875" style="122" customWidth="1"/>
    <col min="8424" max="8424" width="6.5703125" style="122" customWidth="1"/>
    <col min="8425" max="8425" width="3.28515625" style="122" customWidth="1"/>
    <col min="8426" max="8426" width="5.85546875" style="122" customWidth="1"/>
    <col min="8427" max="8427" width="6.5703125" style="122" customWidth="1"/>
    <col min="8428" max="8428" width="3.28515625" style="122" customWidth="1"/>
    <col min="8429" max="8429" width="5.85546875" style="122" customWidth="1"/>
    <col min="8430" max="8430" width="6.5703125" style="122" customWidth="1"/>
    <col min="8431" max="8431" width="3.28515625" style="122" customWidth="1"/>
    <col min="8432" max="8432" width="5.85546875" style="122" customWidth="1"/>
    <col min="8433" max="8433" width="6.5703125" style="122" customWidth="1"/>
    <col min="8434" max="8434" width="3.28515625" style="122" customWidth="1"/>
    <col min="8435" max="8435" width="5.85546875" style="122" customWidth="1"/>
    <col min="8436" max="8436" width="6.5703125" style="122" customWidth="1"/>
    <col min="8437" max="8437" width="3.28515625" style="122" customWidth="1"/>
    <col min="8438" max="8438" width="5.85546875" style="122" customWidth="1"/>
    <col min="8439" max="8439" width="6.5703125" style="122" customWidth="1"/>
    <col min="8440" max="8440" width="3.28515625" style="122" customWidth="1"/>
    <col min="8441" max="8441" width="5.85546875" style="122" customWidth="1"/>
    <col min="8442" max="8442" width="6.5703125" style="122" customWidth="1"/>
    <col min="8443" max="8443" width="3.28515625" style="122" customWidth="1"/>
    <col min="8444" max="8444" width="5.85546875" style="122" customWidth="1"/>
    <col min="8445" max="8445" width="6.5703125" style="122" customWidth="1"/>
    <col min="8446" max="8446" width="3.28515625" style="122" customWidth="1"/>
    <col min="8447" max="8447" width="5.85546875" style="122" customWidth="1"/>
    <col min="8448" max="8448" width="6.5703125" style="122" customWidth="1"/>
    <col min="8449" max="8449" width="3.28515625" style="122" customWidth="1"/>
    <col min="8450" max="8450" width="5.85546875" style="122" customWidth="1"/>
    <col min="8451" max="8451" width="6.5703125" style="122" customWidth="1"/>
    <col min="8452" max="8452" width="3.28515625" style="122" customWidth="1"/>
    <col min="8453" max="8453" width="5.85546875" style="122" customWidth="1"/>
    <col min="8454" max="8454" width="6.5703125" style="122" customWidth="1"/>
    <col min="8455" max="8455" width="3.28515625" style="122" customWidth="1"/>
    <col min="8456" max="8456" width="5.85546875" style="122" customWidth="1"/>
    <col min="8457" max="8457" width="6.5703125" style="122" customWidth="1"/>
    <col min="8458" max="8458" width="3.28515625" style="122" customWidth="1"/>
    <col min="8459" max="8459" width="5.85546875" style="122" customWidth="1"/>
    <col min="8460" max="8460" width="6.5703125" style="122" customWidth="1"/>
    <col min="8461" max="8461" width="3.28515625" style="122" customWidth="1"/>
    <col min="8462" max="8462" width="5.85546875" style="122" customWidth="1"/>
    <col min="8463" max="8463" width="6.5703125" style="122" customWidth="1"/>
    <col min="8464" max="8464" width="9.42578125" style="122" customWidth="1"/>
    <col min="8465" max="8667" width="9.140625" style="122"/>
    <col min="8668" max="8668" width="4.85546875" style="122" customWidth="1"/>
    <col min="8669" max="8669" width="5.140625" style="122" customWidth="1"/>
    <col min="8670" max="8670" width="13.7109375" style="122" customWidth="1"/>
    <col min="8671" max="8671" width="9.42578125" style="122" customWidth="1"/>
    <col min="8672" max="8672" width="7.85546875" style="122" bestFit="1" customWidth="1"/>
    <col min="8673" max="8673" width="9.42578125" style="122" customWidth="1"/>
    <col min="8674" max="8674" width="7.42578125" style="122" customWidth="1"/>
    <col min="8675" max="8675" width="7.85546875" style="122" customWidth="1"/>
    <col min="8676" max="8676" width="11" style="122" customWidth="1"/>
    <col min="8677" max="8677" width="7.5703125" style="122" customWidth="1"/>
    <col min="8678" max="8678" width="3.28515625" style="122" customWidth="1"/>
    <col min="8679" max="8679" width="5.85546875" style="122" customWidth="1"/>
    <col min="8680" max="8680" width="6.5703125" style="122" customWidth="1"/>
    <col min="8681" max="8681" width="3.28515625" style="122" customWidth="1"/>
    <col min="8682" max="8682" width="5.85546875" style="122" customWidth="1"/>
    <col min="8683" max="8683" width="6.5703125" style="122" customWidth="1"/>
    <col min="8684" max="8684" width="3.28515625" style="122" customWidth="1"/>
    <col min="8685" max="8685" width="5.85546875" style="122" customWidth="1"/>
    <col min="8686" max="8686" width="6.5703125" style="122" customWidth="1"/>
    <col min="8687" max="8687" width="3.28515625" style="122" customWidth="1"/>
    <col min="8688" max="8688" width="5.85546875" style="122" customWidth="1"/>
    <col min="8689" max="8689" width="6.5703125" style="122" customWidth="1"/>
    <col min="8690" max="8690" width="3.28515625" style="122" customWidth="1"/>
    <col min="8691" max="8691" width="5.85546875" style="122" customWidth="1"/>
    <col min="8692" max="8692" width="6.5703125" style="122" customWidth="1"/>
    <col min="8693" max="8693" width="3.28515625" style="122" customWidth="1"/>
    <col min="8694" max="8694" width="5.85546875" style="122" customWidth="1"/>
    <col min="8695" max="8695" width="6.5703125" style="122" customWidth="1"/>
    <col min="8696" max="8696" width="3.28515625" style="122" customWidth="1"/>
    <col min="8697" max="8697" width="5.85546875" style="122" customWidth="1"/>
    <col min="8698" max="8698" width="6.5703125" style="122" customWidth="1"/>
    <col min="8699" max="8699" width="3.28515625" style="122" customWidth="1"/>
    <col min="8700" max="8700" width="5.85546875" style="122" customWidth="1"/>
    <col min="8701" max="8701" width="6.5703125" style="122" customWidth="1"/>
    <col min="8702" max="8702" width="3.28515625" style="122" customWidth="1"/>
    <col min="8703" max="8703" width="5.85546875" style="122" customWidth="1"/>
    <col min="8704" max="8704" width="6.5703125" style="122" customWidth="1"/>
    <col min="8705" max="8705" width="3.28515625" style="122" customWidth="1"/>
    <col min="8706" max="8706" width="5.85546875" style="122" customWidth="1"/>
    <col min="8707" max="8707" width="6.5703125" style="122" customWidth="1"/>
    <col min="8708" max="8708" width="3.28515625" style="122" customWidth="1"/>
    <col min="8709" max="8709" width="5.85546875" style="122" customWidth="1"/>
    <col min="8710" max="8710" width="6.5703125" style="122" customWidth="1"/>
    <col min="8711" max="8711" width="3.28515625" style="122" customWidth="1"/>
    <col min="8712" max="8712" width="5.85546875" style="122" customWidth="1"/>
    <col min="8713" max="8713" width="6.5703125" style="122" customWidth="1"/>
    <col min="8714" max="8714" width="3.28515625" style="122" customWidth="1"/>
    <col min="8715" max="8715" width="5.85546875" style="122" customWidth="1"/>
    <col min="8716" max="8716" width="6.5703125" style="122" customWidth="1"/>
    <col min="8717" max="8717" width="3.28515625" style="122" customWidth="1"/>
    <col min="8718" max="8718" width="5.85546875" style="122" customWidth="1"/>
    <col min="8719" max="8719" width="6.5703125" style="122" customWidth="1"/>
    <col min="8720" max="8720" width="9.42578125" style="122" customWidth="1"/>
    <col min="8721" max="8923" width="9.140625" style="122"/>
    <col min="8924" max="8924" width="4.85546875" style="122" customWidth="1"/>
    <col min="8925" max="8925" width="5.140625" style="122" customWidth="1"/>
    <col min="8926" max="8926" width="13.7109375" style="122" customWidth="1"/>
    <col min="8927" max="8927" width="9.42578125" style="122" customWidth="1"/>
    <col min="8928" max="8928" width="7.85546875" style="122" bestFit="1" customWidth="1"/>
    <col min="8929" max="8929" width="9.42578125" style="122" customWidth="1"/>
    <col min="8930" max="8930" width="7.42578125" style="122" customWidth="1"/>
    <col min="8931" max="8931" width="7.85546875" style="122" customWidth="1"/>
    <col min="8932" max="8932" width="11" style="122" customWidth="1"/>
    <col min="8933" max="8933" width="7.5703125" style="122" customWidth="1"/>
    <col min="8934" max="8934" width="3.28515625" style="122" customWidth="1"/>
    <col min="8935" max="8935" width="5.85546875" style="122" customWidth="1"/>
    <col min="8936" max="8936" width="6.5703125" style="122" customWidth="1"/>
    <col min="8937" max="8937" width="3.28515625" style="122" customWidth="1"/>
    <col min="8938" max="8938" width="5.85546875" style="122" customWidth="1"/>
    <col min="8939" max="8939" width="6.5703125" style="122" customWidth="1"/>
    <col min="8940" max="8940" width="3.28515625" style="122" customWidth="1"/>
    <col min="8941" max="8941" width="5.85546875" style="122" customWidth="1"/>
    <col min="8942" max="8942" width="6.5703125" style="122" customWidth="1"/>
    <col min="8943" max="8943" width="3.28515625" style="122" customWidth="1"/>
    <col min="8944" max="8944" width="5.85546875" style="122" customWidth="1"/>
    <col min="8945" max="8945" width="6.5703125" style="122" customWidth="1"/>
    <col min="8946" max="8946" width="3.28515625" style="122" customWidth="1"/>
    <col min="8947" max="8947" width="5.85546875" style="122" customWidth="1"/>
    <col min="8948" max="8948" width="6.5703125" style="122" customWidth="1"/>
    <col min="8949" max="8949" width="3.28515625" style="122" customWidth="1"/>
    <col min="8950" max="8950" width="5.85546875" style="122" customWidth="1"/>
    <col min="8951" max="8951" width="6.5703125" style="122" customWidth="1"/>
    <col min="8952" max="8952" width="3.28515625" style="122" customWidth="1"/>
    <col min="8953" max="8953" width="5.85546875" style="122" customWidth="1"/>
    <col min="8954" max="8954" width="6.5703125" style="122" customWidth="1"/>
    <col min="8955" max="8955" width="3.28515625" style="122" customWidth="1"/>
    <col min="8956" max="8956" width="5.85546875" style="122" customWidth="1"/>
    <col min="8957" max="8957" width="6.5703125" style="122" customWidth="1"/>
    <col min="8958" max="8958" width="3.28515625" style="122" customWidth="1"/>
    <col min="8959" max="8959" width="5.85546875" style="122" customWidth="1"/>
    <col min="8960" max="8960" width="6.5703125" style="122" customWidth="1"/>
    <col min="8961" max="8961" width="3.28515625" style="122" customWidth="1"/>
    <col min="8962" max="8962" width="5.85546875" style="122" customWidth="1"/>
    <col min="8963" max="8963" width="6.5703125" style="122" customWidth="1"/>
    <col min="8964" max="8964" width="3.28515625" style="122" customWidth="1"/>
    <col min="8965" max="8965" width="5.85546875" style="122" customWidth="1"/>
    <col min="8966" max="8966" width="6.5703125" style="122" customWidth="1"/>
    <col min="8967" max="8967" width="3.28515625" style="122" customWidth="1"/>
    <col min="8968" max="8968" width="5.85546875" style="122" customWidth="1"/>
    <col min="8969" max="8969" width="6.5703125" style="122" customWidth="1"/>
    <col min="8970" max="8970" width="3.28515625" style="122" customWidth="1"/>
    <col min="8971" max="8971" width="5.85546875" style="122" customWidth="1"/>
    <col min="8972" max="8972" width="6.5703125" style="122" customWidth="1"/>
    <col min="8973" max="8973" width="3.28515625" style="122" customWidth="1"/>
    <col min="8974" max="8974" width="5.85546875" style="122" customWidth="1"/>
    <col min="8975" max="8975" width="6.5703125" style="122" customWidth="1"/>
    <col min="8976" max="8976" width="9.42578125" style="122" customWidth="1"/>
    <col min="8977" max="9179" width="9.140625" style="122"/>
    <col min="9180" max="9180" width="4.85546875" style="122" customWidth="1"/>
    <col min="9181" max="9181" width="5.140625" style="122" customWidth="1"/>
    <col min="9182" max="9182" width="13.7109375" style="122" customWidth="1"/>
    <col min="9183" max="9183" width="9.42578125" style="122" customWidth="1"/>
    <col min="9184" max="9184" width="7.85546875" style="122" bestFit="1" customWidth="1"/>
    <col min="9185" max="9185" width="9.42578125" style="122" customWidth="1"/>
    <col min="9186" max="9186" width="7.42578125" style="122" customWidth="1"/>
    <col min="9187" max="9187" width="7.85546875" style="122" customWidth="1"/>
    <col min="9188" max="9188" width="11" style="122" customWidth="1"/>
    <col min="9189" max="9189" width="7.5703125" style="122" customWidth="1"/>
    <col min="9190" max="9190" width="3.28515625" style="122" customWidth="1"/>
    <col min="9191" max="9191" width="5.85546875" style="122" customWidth="1"/>
    <col min="9192" max="9192" width="6.5703125" style="122" customWidth="1"/>
    <col min="9193" max="9193" width="3.28515625" style="122" customWidth="1"/>
    <col min="9194" max="9194" width="5.85546875" style="122" customWidth="1"/>
    <col min="9195" max="9195" width="6.5703125" style="122" customWidth="1"/>
    <col min="9196" max="9196" width="3.28515625" style="122" customWidth="1"/>
    <col min="9197" max="9197" width="5.85546875" style="122" customWidth="1"/>
    <col min="9198" max="9198" width="6.5703125" style="122" customWidth="1"/>
    <col min="9199" max="9199" width="3.28515625" style="122" customWidth="1"/>
    <col min="9200" max="9200" width="5.85546875" style="122" customWidth="1"/>
    <col min="9201" max="9201" width="6.5703125" style="122" customWidth="1"/>
    <col min="9202" max="9202" width="3.28515625" style="122" customWidth="1"/>
    <col min="9203" max="9203" width="5.85546875" style="122" customWidth="1"/>
    <col min="9204" max="9204" width="6.5703125" style="122" customWidth="1"/>
    <col min="9205" max="9205" width="3.28515625" style="122" customWidth="1"/>
    <col min="9206" max="9206" width="5.85546875" style="122" customWidth="1"/>
    <col min="9207" max="9207" width="6.5703125" style="122" customWidth="1"/>
    <col min="9208" max="9208" width="3.28515625" style="122" customWidth="1"/>
    <col min="9209" max="9209" width="5.85546875" style="122" customWidth="1"/>
    <col min="9210" max="9210" width="6.5703125" style="122" customWidth="1"/>
    <col min="9211" max="9211" width="3.28515625" style="122" customWidth="1"/>
    <col min="9212" max="9212" width="5.85546875" style="122" customWidth="1"/>
    <col min="9213" max="9213" width="6.5703125" style="122" customWidth="1"/>
    <col min="9214" max="9214" width="3.28515625" style="122" customWidth="1"/>
    <col min="9215" max="9215" width="5.85546875" style="122" customWidth="1"/>
    <col min="9216" max="9216" width="6.5703125" style="122" customWidth="1"/>
    <col min="9217" max="9217" width="3.28515625" style="122" customWidth="1"/>
    <col min="9218" max="9218" width="5.85546875" style="122" customWidth="1"/>
    <col min="9219" max="9219" width="6.5703125" style="122" customWidth="1"/>
    <col min="9220" max="9220" width="3.28515625" style="122" customWidth="1"/>
    <col min="9221" max="9221" width="5.85546875" style="122" customWidth="1"/>
    <col min="9222" max="9222" width="6.5703125" style="122" customWidth="1"/>
    <col min="9223" max="9223" width="3.28515625" style="122" customWidth="1"/>
    <col min="9224" max="9224" width="5.85546875" style="122" customWidth="1"/>
    <col min="9225" max="9225" width="6.5703125" style="122" customWidth="1"/>
    <col min="9226" max="9226" width="3.28515625" style="122" customWidth="1"/>
    <col min="9227" max="9227" width="5.85546875" style="122" customWidth="1"/>
    <col min="9228" max="9228" width="6.5703125" style="122" customWidth="1"/>
    <col min="9229" max="9229" width="3.28515625" style="122" customWidth="1"/>
    <col min="9230" max="9230" width="5.85546875" style="122" customWidth="1"/>
    <col min="9231" max="9231" width="6.5703125" style="122" customWidth="1"/>
    <col min="9232" max="9232" width="9.42578125" style="122" customWidth="1"/>
    <col min="9233" max="9435" width="9.140625" style="122"/>
    <col min="9436" max="9436" width="4.85546875" style="122" customWidth="1"/>
    <col min="9437" max="9437" width="5.140625" style="122" customWidth="1"/>
    <col min="9438" max="9438" width="13.7109375" style="122" customWidth="1"/>
    <col min="9439" max="9439" width="9.42578125" style="122" customWidth="1"/>
    <col min="9440" max="9440" width="7.85546875" style="122" bestFit="1" customWidth="1"/>
    <col min="9441" max="9441" width="9.42578125" style="122" customWidth="1"/>
    <col min="9442" max="9442" width="7.42578125" style="122" customWidth="1"/>
    <col min="9443" max="9443" width="7.85546875" style="122" customWidth="1"/>
    <col min="9444" max="9444" width="11" style="122" customWidth="1"/>
    <col min="9445" max="9445" width="7.5703125" style="122" customWidth="1"/>
    <col min="9446" max="9446" width="3.28515625" style="122" customWidth="1"/>
    <col min="9447" max="9447" width="5.85546875" style="122" customWidth="1"/>
    <col min="9448" max="9448" width="6.5703125" style="122" customWidth="1"/>
    <col min="9449" max="9449" width="3.28515625" style="122" customWidth="1"/>
    <col min="9450" max="9450" width="5.85546875" style="122" customWidth="1"/>
    <col min="9451" max="9451" width="6.5703125" style="122" customWidth="1"/>
    <col min="9452" max="9452" width="3.28515625" style="122" customWidth="1"/>
    <col min="9453" max="9453" width="5.85546875" style="122" customWidth="1"/>
    <col min="9454" max="9454" width="6.5703125" style="122" customWidth="1"/>
    <col min="9455" max="9455" width="3.28515625" style="122" customWidth="1"/>
    <col min="9456" max="9456" width="5.85546875" style="122" customWidth="1"/>
    <col min="9457" max="9457" width="6.5703125" style="122" customWidth="1"/>
    <col min="9458" max="9458" width="3.28515625" style="122" customWidth="1"/>
    <col min="9459" max="9459" width="5.85546875" style="122" customWidth="1"/>
    <col min="9460" max="9460" width="6.5703125" style="122" customWidth="1"/>
    <col min="9461" max="9461" width="3.28515625" style="122" customWidth="1"/>
    <col min="9462" max="9462" width="5.85546875" style="122" customWidth="1"/>
    <col min="9463" max="9463" width="6.5703125" style="122" customWidth="1"/>
    <col min="9464" max="9464" width="3.28515625" style="122" customWidth="1"/>
    <col min="9465" max="9465" width="5.85546875" style="122" customWidth="1"/>
    <col min="9466" max="9466" width="6.5703125" style="122" customWidth="1"/>
    <col min="9467" max="9467" width="3.28515625" style="122" customWidth="1"/>
    <col min="9468" max="9468" width="5.85546875" style="122" customWidth="1"/>
    <col min="9469" max="9469" width="6.5703125" style="122" customWidth="1"/>
    <col min="9470" max="9470" width="3.28515625" style="122" customWidth="1"/>
    <col min="9471" max="9471" width="5.85546875" style="122" customWidth="1"/>
    <col min="9472" max="9472" width="6.5703125" style="122" customWidth="1"/>
    <col min="9473" max="9473" width="3.28515625" style="122" customWidth="1"/>
    <col min="9474" max="9474" width="5.85546875" style="122" customWidth="1"/>
    <col min="9475" max="9475" width="6.5703125" style="122" customWidth="1"/>
    <col min="9476" max="9476" width="3.28515625" style="122" customWidth="1"/>
    <col min="9477" max="9477" width="5.85546875" style="122" customWidth="1"/>
    <col min="9478" max="9478" width="6.5703125" style="122" customWidth="1"/>
    <col min="9479" max="9479" width="3.28515625" style="122" customWidth="1"/>
    <col min="9480" max="9480" width="5.85546875" style="122" customWidth="1"/>
    <col min="9481" max="9481" width="6.5703125" style="122" customWidth="1"/>
    <col min="9482" max="9482" width="3.28515625" style="122" customWidth="1"/>
    <col min="9483" max="9483" width="5.85546875" style="122" customWidth="1"/>
    <col min="9484" max="9484" width="6.5703125" style="122" customWidth="1"/>
    <col min="9485" max="9485" width="3.28515625" style="122" customWidth="1"/>
    <col min="9486" max="9486" width="5.85546875" style="122" customWidth="1"/>
    <col min="9487" max="9487" width="6.5703125" style="122" customWidth="1"/>
    <col min="9488" max="9488" width="9.42578125" style="122" customWidth="1"/>
    <col min="9489" max="9691" width="9.140625" style="122"/>
    <col min="9692" max="9692" width="4.85546875" style="122" customWidth="1"/>
    <col min="9693" max="9693" width="5.140625" style="122" customWidth="1"/>
    <col min="9694" max="9694" width="13.7109375" style="122" customWidth="1"/>
    <col min="9695" max="9695" width="9.42578125" style="122" customWidth="1"/>
    <col min="9696" max="9696" width="7.85546875" style="122" bestFit="1" customWidth="1"/>
    <col min="9697" max="9697" width="9.42578125" style="122" customWidth="1"/>
    <col min="9698" max="9698" width="7.42578125" style="122" customWidth="1"/>
    <col min="9699" max="9699" width="7.85546875" style="122" customWidth="1"/>
    <col min="9700" max="9700" width="11" style="122" customWidth="1"/>
    <col min="9701" max="9701" width="7.5703125" style="122" customWidth="1"/>
    <col min="9702" max="9702" width="3.28515625" style="122" customWidth="1"/>
    <col min="9703" max="9703" width="5.85546875" style="122" customWidth="1"/>
    <col min="9704" max="9704" width="6.5703125" style="122" customWidth="1"/>
    <col min="9705" max="9705" width="3.28515625" style="122" customWidth="1"/>
    <col min="9706" max="9706" width="5.85546875" style="122" customWidth="1"/>
    <col min="9707" max="9707" width="6.5703125" style="122" customWidth="1"/>
    <col min="9708" max="9708" width="3.28515625" style="122" customWidth="1"/>
    <col min="9709" max="9709" width="5.85546875" style="122" customWidth="1"/>
    <col min="9710" max="9710" width="6.5703125" style="122" customWidth="1"/>
    <col min="9711" max="9711" width="3.28515625" style="122" customWidth="1"/>
    <col min="9712" max="9712" width="5.85546875" style="122" customWidth="1"/>
    <col min="9713" max="9713" width="6.5703125" style="122" customWidth="1"/>
    <col min="9714" max="9714" width="3.28515625" style="122" customWidth="1"/>
    <col min="9715" max="9715" width="5.85546875" style="122" customWidth="1"/>
    <col min="9716" max="9716" width="6.5703125" style="122" customWidth="1"/>
    <col min="9717" max="9717" width="3.28515625" style="122" customWidth="1"/>
    <col min="9718" max="9718" width="5.85546875" style="122" customWidth="1"/>
    <col min="9719" max="9719" width="6.5703125" style="122" customWidth="1"/>
    <col min="9720" max="9720" width="3.28515625" style="122" customWidth="1"/>
    <col min="9721" max="9721" width="5.85546875" style="122" customWidth="1"/>
    <col min="9722" max="9722" width="6.5703125" style="122" customWidth="1"/>
    <col min="9723" max="9723" width="3.28515625" style="122" customWidth="1"/>
    <col min="9724" max="9724" width="5.85546875" style="122" customWidth="1"/>
    <col min="9725" max="9725" width="6.5703125" style="122" customWidth="1"/>
    <col min="9726" max="9726" width="3.28515625" style="122" customWidth="1"/>
    <col min="9727" max="9727" width="5.85546875" style="122" customWidth="1"/>
    <col min="9728" max="9728" width="6.5703125" style="122" customWidth="1"/>
    <col min="9729" max="9729" width="3.28515625" style="122" customWidth="1"/>
    <col min="9730" max="9730" width="5.85546875" style="122" customWidth="1"/>
    <col min="9731" max="9731" width="6.5703125" style="122" customWidth="1"/>
    <col min="9732" max="9732" width="3.28515625" style="122" customWidth="1"/>
    <col min="9733" max="9733" width="5.85546875" style="122" customWidth="1"/>
    <col min="9734" max="9734" width="6.5703125" style="122" customWidth="1"/>
    <col min="9735" max="9735" width="3.28515625" style="122" customWidth="1"/>
    <col min="9736" max="9736" width="5.85546875" style="122" customWidth="1"/>
    <col min="9737" max="9737" width="6.5703125" style="122" customWidth="1"/>
    <col min="9738" max="9738" width="3.28515625" style="122" customWidth="1"/>
    <col min="9739" max="9739" width="5.85546875" style="122" customWidth="1"/>
    <col min="9740" max="9740" width="6.5703125" style="122" customWidth="1"/>
    <col min="9741" max="9741" width="3.28515625" style="122" customWidth="1"/>
    <col min="9742" max="9742" width="5.85546875" style="122" customWidth="1"/>
    <col min="9743" max="9743" width="6.5703125" style="122" customWidth="1"/>
    <col min="9744" max="9744" width="9.42578125" style="122" customWidth="1"/>
    <col min="9745" max="9947" width="9.140625" style="122"/>
    <col min="9948" max="9948" width="4.85546875" style="122" customWidth="1"/>
    <col min="9949" max="9949" width="5.140625" style="122" customWidth="1"/>
    <col min="9950" max="9950" width="13.7109375" style="122" customWidth="1"/>
    <col min="9951" max="9951" width="9.42578125" style="122" customWidth="1"/>
    <col min="9952" max="9952" width="7.85546875" style="122" bestFit="1" customWidth="1"/>
    <col min="9953" max="9953" width="9.42578125" style="122" customWidth="1"/>
    <col min="9954" max="9954" width="7.42578125" style="122" customWidth="1"/>
    <col min="9955" max="9955" width="7.85546875" style="122" customWidth="1"/>
    <col min="9956" max="9956" width="11" style="122" customWidth="1"/>
    <col min="9957" max="9957" width="7.5703125" style="122" customWidth="1"/>
    <col min="9958" max="9958" width="3.28515625" style="122" customWidth="1"/>
    <col min="9959" max="9959" width="5.85546875" style="122" customWidth="1"/>
    <col min="9960" max="9960" width="6.5703125" style="122" customWidth="1"/>
    <col min="9961" max="9961" width="3.28515625" style="122" customWidth="1"/>
    <col min="9962" max="9962" width="5.85546875" style="122" customWidth="1"/>
    <col min="9963" max="9963" width="6.5703125" style="122" customWidth="1"/>
    <col min="9964" max="9964" width="3.28515625" style="122" customWidth="1"/>
    <col min="9965" max="9965" width="5.85546875" style="122" customWidth="1"/>
    <col min="9966" max="9966" width="6.5703125" style="122" customWidth="1"/>
    <col min="9967" max="9967" width="3.28515625" style="122" customWidth="1"/>
    <col min="9968" max="9968" width="5.85546875" style="122" customWidth="1"/>
    <col min="9969" max="9969" width="6.5703125" style="122" customWidth="1"/>
    <col min="9970" max="9970" width="3.28515625" style="122" customWidth="1"/>
    <col min="9971" max="9971" width="5.85546875" style="122" customWidth="1"/>
    <col min="9972" max="9972" width="6.5703125" style="122" customWidth="1"/>
    <col min="9973" max="9973" width="3.28515625" style="122" customWidth="1"/>
    <col min="9974" max="9974" width="5.85546875" style="122" customWidth="1"/>
    <col min="9975" max="9975" width="6.5703125" style="122" customWidth="1"/>
    <col min="9976" max="9976" width="3.28515625" style="122" customWidth="1"/>
    <col min="9977" max="9977" width="5.85546875" style="122" customWidth="1"/>
    <col min="9978" max="9978" width="6.5703125" style="122" customWidth="1"/>
    <col min="9979" max="9979" width="3.28515625" style="122" customWidth="1"/>
    <col min="9980" max="9980" width="5.85546875" style="122" customWidth="1"/>
    <col min="9981" max="9981" width="6.5703125" style="122" customWidth="1"/>
    <col min="9982" max="9982" width="3.28515625" style="122" customWidth="1"/>
    <col min="9983" max="9983" width="5.85546875" style="122" customWidth="1"/>
    <col min="9984" max="9984" width="6.5703125" style="122" customWidth="1"/>
    <col min="9985" max="9985" width="3.28515625" style="122" customWidth="1"/>
    <col min="9986" max="9986" width="5.85546875" style="122" customWidth="1"/>
    <col min="9987" max="9987" width="6.5703125" style="122" customWidth="1"/>
    <col min="9988" max="9988" width="3.28515625" style="122" customWidth="1"/>
    <col min="9989" max="9989" width="5.85546875" style="122" customWidth="1"/>
    <col min="9990" max="9990" width="6.5703125" style="122" customWidth="1"/>
    <col min="9991" max="9991" width="3.28515625" style="122" customWidth="1"/>
    <col min="9992" max="9992" width="5.85546875" style="122" customWidth="1"/>
    <col min="9993" max="9993" width="6.5703125" style="122" customWidth="1"/>
    <col min="9994" max="9994" width="3.28515625" style="122" customWidth="1"/>
    <col min="9995" max="9995" width="5.85546875" style="122" customWidth="1"/>
    <col min="9996" max="9996" width="6.5703125" style="122" customWidth="1"/>
    <col min="9997" max="9997" width="3.28515625" style="122" customWidth="1"/>
    <col min="9998" max="9998" width="5.85546875" style="122" customWidth="1"/>
    <col min="9999" max="9999" width="6.5703125" style="122" customWidth="1"/>
    <col min="10000" max="10000" width="9.42578125" style="122" customWidth="1"/>
    <col min="10001" max="10203" width="9.140625" style="122"/>
    <col min="10204" max="10204" width="4.85546875" style="122" customWidth="1"/>
    <col min="10205" max="10205" width="5.140625" style="122" customWidth="1"/>
    <col min="10206" max="10206" width="13.7109375" style="122" customWidth="1"/>
    <col min="10207" max="10207" width="9.42578125" style="122" customWidth="1"/>
    <col min="10208" max="10208" width="7.85546875" style="122" bestFit="1" customWidth="1"/>
    <col min="10209" max="10209" width="9.42578125" style="122" customWidth="1"/>
    <col min="10210" max="10210" width="7.42578125" style="122" customWidth="1"/>
    <col min="10211" max="10211" width="7.85546875" style="122" customWidth="1"/>
    <col min="10212" max="10212" width="11" style="122" customWidth="1"/>
    <col min="10213" max="10213" width="7.5703125" style="122" customWidth="1"/>
    <col min="10214" max="10214" width="3.28515625" style="122" customWidth="1"/>
    <col min="10215" max="10215" width="5.85546875" style="122" customWidth="1"/>
    <col min="10216" max="10216" width="6.5703125" style="122" customWidth="1"/>
    <col min="10217" max="10217" width="3.28515625" style="122" customWidth="1"/>
    <col min="10218" max="10218" width="5.85546875" style="122" customWidth="1"/>
    <col min="10219" max="10219" width="6.5703125" style="122" customWidth="1"/>
    <col min="10220" max="10220" width="3.28515625" style="122" customWidth="1"/>
    <col min="10221" max="10221" width="5.85546875" style="122" customWidth="1"/>
    <col min="10222" max="10222" width="6.5703125" style="122" customWidth="1"/>
    <col min="10223" max="10223" width="3.28515625" style="122" customWidth="1"/>
    <col min="10224" max="10224" width="5.85546875" style="122" customWidth="1"/>
    <col min="10225" max="10225" width="6.5703125" style="122" customWidth="1"/>
    <col min="10226" max="10226" width="3.28515625" style="122" customWidth="1"/>
    <col min="10227" max="10227" width="5.85546875" style="122" customWidth="1"/>
    <col min="10228" max="10228" width="6.5703125" style="122" customWidth="1"/>
    <col min="10229" max="10229" width="3.28515625" style="122" customWidth="1"/>
    <col min="10230" max="10230" width="5.85546875" style="122" customWidth="1"/>
    <col min="10231" max="10231" width="6.5703125" style="122" customWidth="1"/>
    <col min="10232" max="10232" width="3.28515625" style="122" customWidth="1"/>
    <col min="10233" max="10233" width="5.85546875" style="122" customWidth="1"/>
    <col min="10234" max="10234" width="6.5703125" style="122" customWidth="1"/>
    <col min="10235" max="10235" width="3.28515625" style="122" customWidth="1"/>
    <col min="10236" max="10236" width="5.85546875" style="122" customWidth="1"/>
    <col min="10237" max="10237" width="6.5703125" style="122" customWidth="1"/>
    <col min="10238" max="10238" width="3.28515625" style="122" customWidth="1"/>
    <col min="10239" max="10239" width="5.85546875" style="122" customWidth="1"/>
    <col min="10240" max="10240" width="6.5703125" style="122" customWidth="1"/>
    <col min="10241" max="10241" width="3.28515625" style="122" customWidth="1"/>
    <col min="10242" max="10242" width="5.85546875" style="122" customWidth="1"/>
    <col min="10243" max="10243" width="6.5703125" style="122" customWidth="1"/>
    <col min="10244" max="10244" width="3.28515625" style="122" customWidth="1"/>
    <col min="10245" max="10245" width="5.85546875" style="122" customWidth="1"/>
    <col min="10246" max="10246" width="6.5703125" style="122" customWidth="1"/>
    <col min="10247" max="10247" width="3.28515625" style="122" customWidth="1"/>
    <col min="10248" max="10248" width="5.85546875" style="122" customWidth="1"/>
    <col min="10249" max="10249" width="6.5703125" style="122" customWidth="1"/>
    <col min="10250" max="10250" width="3.28515625" style="122" customWidth="1"/>
    <col min="10251" max="10251" width="5.85546875" style="122" customWidth="1"/>
    <col min="10252" max="10252" width="6.5703125" style="122" customWidth="1"/>
    <col min="10253" max="10253" width="3.28515625" style="122" customWidth="1"/>
    <col min="10254" max="10254" width="5.85546875" style="122" customWidth="1"/>
    <col min="10255" max="10255" width="6.5703125" style="122" customWidth="1"/>
    <col min="10256" max="10256" width="9.42578125" style="122" customWidth="1"/>
    <col min="10257" max="10459" width="9.140625" style="122"/>
    <col min="10460" max="10460" width="4.85546875" style="122" customWidth="1"/>
    <col min="10461" max="10461" width="5.140625" style="122" customWidth="1"/>
    <col min="10462" max="10462" width="13.7109375" style="122" customWidth="1"/>
    <col min="10463" max="10463" width="9.42578125" style="122" customWidth="1"/>
    <col min="10464" max="10464" width="7.85546875" style="122" bestFit="1" customWidth="1"/>
    <col min="10465" max="10465" width="9.42578125" style="122" customWidth="1"/>
    <col min="10466" max="10466" width="7.42578125" style="122" customWidth="1"/>
    <col min="10467" max="10467" width="7.85546875" style="122" customWidth="1"/>
    <col min="10468" max="10468" width="11" style="122" customWidth="1"/>
    <col min="10469" max="10469" width="7.5703125" style="122" customWidth="1"/>
    <col min="10470" max="10470" width="3.28515625" style="122" customWidth="1"/>
    <col min="10471" max="10471" width="5.85546875" style="122" customWidth="1"/>
    <col min="10472" max="10472" width="6.5703125" style="122" customWidth="1"/>
    <col min="10473" max="10473" width="3.28515625" style="122" customWidth="1"/>
    <col min="10474" max="10474" width="5.85546875" style="122" customWidth="1"/>
    <col min="10475" max="10475" width="6.5703125" style="122" customWidth="1"/>
    <col min="10476" max="10476" width="3.28515625" style="122" customWidth="1"/>
    <col min="10477" max="10477" width="5.85546875" style="122" customWidth="1"/>
    <col min="10478" max="10478" width="6.5703125" style="122" customWidth="1"/>
    <col min="10479" max="10479" width="3.28515625" style="122" customWidth="1"/>
    <col min="10480" max="10480" width="5.85546875" style="122" customWidth="1"/>
    <col min="10481" max="10481" width="6.5703125" style="122" customWidth="1"/>
    <col min="10482" max="10482" width="3.28515625" style="122" customWidth="1"/>
    <col min="10483" max="10483" width="5.85546875" style="122" customWidth="1"/>
    <col min="10484" max="10484" width="6.5703125" style="122" customWidth="1"/>
    <col min="10485" max="10485" width="3.28515625" style="122" customWidth="1"/>
    <col min="10486" max="10486" width="5.85546875" style="122" customWidth="1"/>
    <col min="10487" max="10487" width="6.5703125" style="122" customWidth="1"/>
    <col min="10488" max="10488" width="3.28515625" style="122" customWidth="1"/>
    <col min="10489" max="10489" width="5.85546875" style="122" customWidth="1"/>
    <col min="10490" max="10490" width="6.5703125" style="122" customWidth="1"/>
    <col min="10491" max="10491" width="3.28515625" style="122" customWidth="1"/>
    <col min="10492" max="10492" width="5.85546875" style="122" customWidth="1"/>
    <col min="10493" max="10493" width="6.5703125" style="122" customWidth="1"/>
    <col min="10494" max="10494" width="3.28515625" style="122" customWidth="1"/>
    <col min="10495" max="10495" width="5.85546875" style="122" customWidth="1"/>
    <col min="10496" max="10496" width="6.5703125" style="122" customWidth="1"/>
    <col min="10497" max="10497" width="3.28515625" style="122" customWidth="1"/>
    <col min="10498" max="10498" width="5.85546875" style="122" customWidth="1"/>
    <col min="10499" max="10499" width="6.5703125" style="122" customWidth="1"/>
    <col min="10500" max="10500" width="3.28515625" style="122" customWidth="1"/>
    <col min="10501" max="10501" width="5.85546875" style="122" customWidth="1"/>
    <col min="10502" max="10502" width="6.5703125" style="122" customWidth="1"/>
    <col min="10503" max="10503" width="3.28515625" style="122" customWidth="1"/>
    <col min="10504" max="10504" width="5.85546875" style="122" customWidth="1"/>
    <col min="10505" max="10505" width="6.5703125" style="122" customWidth="1"/>
    <col min="10506" max="10506" width="3.28515625" style="122" customWidth="1"/>
    <col min="10507" max="10507" width="5.85546875" style="122" customWidth="1"/>
    <col min="10508" max="10508" width="6.5703125" style="122" customWidth="1"/>
    <col min="10509" max="10509" width="3.28515625" style="122" customWidth="1"/>
    <col min="10510" max="10510" width="5.85546875" style="122" customWidth="1"/>
    <col min="10511" max="10511" width="6.5703125" style="122" customWidth="1"/>
    <col min="10512" max="10512" width="9.42578125" style="122" customWidth="1"/>
    <col min="10513" max="10715" width="9.140625" style="122"/>
    <col min="10716" max="10716" width="4.85546875" style="122" customWidth="1"/>
    <col min="10717" max="10717" width="5.140625" style="122" customWidth="1"/>
    <col min="10718" max="10718" width="13.7109375" style="122" customWidth="1"/>
    <col min="10719" max="10719" width="9.42578125" style="122" customWidth="1"/>
    <col min="10720" max="10720" width="7.85546875" style="122" bestFit="1" customWidth="1"/>
    <col min="10721" max="10721" width="9.42578125" style="122" customWidth="1"/>
    <col min="10722" max="10722" width="7.42578125" style="122" customWidth="1"/>
    <col min="10723" max="10723" width="7.85546875" style="122" customWidth="1"/>
    <col min="10724" max="10724" width="11" style="122" customWidth="1"/>
    <col min="10725" max="10725" width="7.5703125" style="122" customWidth="1"/>
    <col min="10726" max="10726" width="3.28515625" style="122" customWidth="1"/>
    <col min="10727" max="10727" width="5.85546875" style="122" customWidth="1"/>
    <col min="10728" max="10728" width="6.5703125" style="122" customWidth="1"/>
    <col min="10729" max="10729" width="3.28515625" style="122" customWidth="1"/>
    <col min="10730" max="10730" width="5.85546875" style="122" customWidth="1"/>
    <col min="10731" max="10731" width="6.5703125" style="122" customWidth="1"/>
    <col min="10732" max="10732" width="3.28515625" style="122" customWidth="1"/>
    <col min="10733" max="10733" width="5.85546875" style="122" customWidth="1"/>
    <col min="10734" max="10734" width="6.5703125" style="122" customWidth="1"/>
    <col min="10735" max="10735" width="3.28515625" style="122" customWidth="1"/>
    <col min="10736" max="10736" width="5.85546875" style="122" customWidth="1"/>
    <col min="10737" max="10737" width="6.5703125" style="122" customWidth="1"/>
    <col min="10738" max="10738" width="3.28515625" style="122" customWidth="1"/>
    <col min="10739" max="10739" width="5.85546875" style="122" customWidth="1"/>
    <col min="10740" max="10740" width="6.5703125" style="122" customWidth="1"/>
    <col min="10741" max="10741" width="3.28515625" style="122" customWidth="1"/>
    <col min="10742" max="10742" width="5.85546875" style="122" customWidth="1"/>
    <col min="10743" max="10743" width="6.5703125" style="122" customWidth="1"/>
    <col min="10744" max="10744" width="3.28515625" style="122" customWidth="1"/>
    <col min="10745" max="10745" width="5.85546875" style="122" customWidth="1"/>
    <col min="10746" max="10746" width="6.5703125" style="122" customWidth="1"/>
    <col min="10747" max="10747" width="3.28515625" style="122" customWidth="1"/>
    <col min="10748" max="10748" width="5.85546875" style="122" customWidth="1"/>
    <col min="10749" max="10749" width="6.5703125" style="122" customWidth="1"/>
    <col min="10750" max="10750" width="3.28515625" style="122" customWidth="1"/>
    <col min="10751" max="10751" width="5.85546875" style="122" customWidth="1"/>
    <col min="10752" max="10752" width="6.5703125" style="122" customWidth="1"/>
    <col min="10753" max="10753" width="3.28515625" style="122" customWidth="1"/>
    <col min="10754" max="10754" width="5.85546875" style="122" customWidth="1"/>
    <col min="10755" max="10755" width="6.5703125" style="122" customWidth="1"/>
    <col min="10756" max="10756" width="3.28515625" style="122" customWidth="1"/>
    <col min="10757" max="10757" width="5.85546875" style="122" customWidth="1"/>
    <col min="10758" max="10758" width="6.5703125" style="122" customWidth="1"/>
    <col min="10759" max="10759" width="3.28515625" style="122" customWidth="1"/>
    <col min="10760" max="10760" width="5.85546875" style="122" customWidth="1"/>
    <col min="10761" max="10761" width="6.5703125" style="122" customWidth="1"/>
    <col min="10762" max="10762" width="3.28515625" style="122" customWidth="1"/>
    <col min="10763" max="10763" width="5.85546875" style="122" customWidth="1"/>
    <col min="10764" max="10764" width="6.5703125" style="122" customWidth="1"/>
    <col min="10765" max="10765" width="3.28515625" style="122" customWidth="1"/>
    <col min="10766" max="10766" width="5.85546875" style="122" customWidth="1"/>
    <col min="10767" max="10767" width="6.5703125" style="122" customWidth="1"/>
    <col min="10768" max="10768" width="9.42578125" style="122" customWidth="1"/>
    <col min="10769" max="10971" width="9.140625" style="122"/>
    <col min="10972" max="10972" width="4.85546875" style="122" customWidth="1"/>
    <col min="10973" max="10973" width="5.140625" style="122" customWidth="1"/>
    <col min="10974" max="10974" width="13.7109375" style="122" customWidth="1"/>
    <col min="10975" max="10975" width="9.42578125" style="122" customWidth="1"/>
    <col min="10976" max="10976" width="7.85546875" style="122" bestFit="1" customWidth="1"/>
    <col min="10977" max="10977" width="9.42578125" style="122" customWidth="1"/>
    <col min="10978" max="10978" width="7.42578125" style="122" customWidth="1"/>
    <col min="10979" max="10979" width="7.85546875" style="122" customWidth="1"/>
    <col min="10980" max="10980" width="11" style="122" customWidth="1"/>
    <col min="10981" max="10981" width="7.5703125" style="122" customWidth="1"/>
    <col min="10982" max="10982" width="3.28515625" style="122" customWidth="1"/>
    <col min="10983" max="10983" width="5.85546875" style="122" customWidth="1"/>
    <col min="10984" max="10984" width="6.5703125" style="122" customWidth="1"/>
    <col min="10985" max="10985" width="3.28515625" style="122" customWidth="1"/>
    <col min="10986" max="10986" width="5.85546875" style="122" customWidth="1"/>
    <col min="10987" max="10987" width="6.5703125" style="122" customWidth="1"/>
    <col min="10988" max="10988" width="3.28515625" style="122" customWidth="1"/>
    <col min="10989" max="10989" width="5.85546875" style="122" customWidth="1"/>
    <col min="10990" max="10990" width="6.5703125" style="122" customWidth="1"/>
    <col min="10991" max="10991" width="3.28515625" style="122" customWidth="1"/>
    <col min="10992" max="10992" width="5.85546875" style="122" customWidth="1"/>
    <col min="10993" max="10993" width="6.5703125" style="122" customWidth="1"/>
    <col min="10994" max="10994" width="3.28515625" style="122" customWidth="1"/>
    <col min="10995" max="10995" width="5.85546875" style="122" customWidth="1"/>
    <col min="10996" max="10996" width="6.5703125" style="122" customWidth="1"/>
    <col min="10997" max="10997" width="3.28515625" style="122" customWidth="1"/>
    <col min="10998" max="10998" width="5.85546875" style="122" customWidth="1"/>
    <col min="10999" max="10999" width="6.5703125" style="122" customWidth="1"/>
    <col min="11000" max="11000" width="3.28515625" style="122" customWidth="1"/>
    <col min="11001" max="11001" width="5.85546875" style="122" customWidth="1"/>
    <col min="11002" max="11002" width="6.5703125" style="122" customWidth="1"/>
    <col min="11003" max="11003" width="3.28515625" style="122" customWidth="1"/>
    <col min="11004" max="11004" width="5.85546875" style="122" customWidth="1"/>
    <col min="11005" max="11005" width="6.5703125" style="122" customWidth="1"/>
    <col min="11006" max="11006" width="3.28515625" style="122" customWidth="1"/>
    <col min="11007" max="11007" width="5.85546875" style="122" customWidth="1"/>
    <col min="11008" max="11008" width="6.5703125" style="122" customWidth="1"/>
    <col min="11009" max="11009" width="3.28515625" style="122" customWidth="1"/>
    <col min="11010" max="11010" width="5.85546875" style="122" customWidth="1"/>
    <col min="11011" max="11011" width="6.5703125" style="122" customWidth="1"/>
    <col min="11012" max="11012" width="3.28515625" style="122" customWidth="1"/>
    <col min="11013" max="11013" width="5.85546875" style="122" customWidth="1"/>
    <col min="11014" max="11014" width="6.5703125" style="122" customWidth="1"/>
    <col min="11015" max="11015" width="3.28515625" style="122" customWidth="1"/>
    <col min="11016" max="11016" width="5.85546875" style="122" customWidth="1"/>
    <col min="11017" max="11017" width="6.5703125" style="122" customWidth="1"/>
    <col min="11018" max="11018" width="3.28515625" style="122" customWidth="1"/>
    <col min="11019" max="11019" width="5.85546875" style="122" customWidth="1"/>
    <col min="11020" max="11020" width="6.5703125" style="122" customWidth="1"/>
    <col min="11021" max="11021" width="3.28515625" style="122" customWidth="1"/>
    <col min="11022" max="11022" width="5.85546875" style="122" customWidth="1"/>
    <col min="11023" max="11023" width="6.5703125" style="122" customWidth="1"/>
    <col min="11024" max="11024" width="9.42578125" style="122" customWidth="1"/>
    <col min="11025" max="11227" width="9.140625" style="122"/>
    <col min="11228" max="11228" width="4.85546875" style="122" customWidth="1"/>
    <col min="11229" max="11229" width="5.140625" style="122" customWidth="1"/>
    <col min="11230" max="11230" width="13.7109375" style="122" customWidth="1"/>
    <col min="11231" max="11231" width="9.42578125" style="122" customWidth="1"/>
    <col min="11232" max="11232" width="7.85546875" style="122" bestFit="1" customWidth="1"/>
    <col min="11233" max="11233" width="9.42578125" style="122" customWidth="1"/>
    <col min="11234" max="11234" width="7.42578125" style="122" customWidth="1"/>
    <col min="11235" max="11235" width="7.85546875" style="122" customWidth="1"/>
    <col min="11236" max="11236" width="11" style="122" customWidth="1"/>
    <col min="11237" max="11237" width="7.5703125" style="122" customWidth="1"/>
    <col min="11238" max="11238" width="3.28515625" style="122" customWidth="1"/>
    <col min="11239" max="11239" width="5.85546875" style="122" customWidth="1"/>
    <col min="11240" max="11240" width="6.5703125" style="122" customWidth="1"/>
    <col min="11241" max="11241" width="3.28515625" style="122" customWidth="1"/>
    <col min="11242" max="11242" width="5.85546875" style="122" customWidth="1"/>
    <col min="11243" max="11243" width="6.5703125" style="122" customWidth="1"/>
    <col min="11244" max="11244" width="3.28515625" style="122" customWidth="1"/>
    <col min="11245" max="11245" width="5.85546875" style="122" customWidth="1"/>
    <col min="11246" max="11246" width="6.5703125" style="122" customWidth="1"/>
    <col min="11247" max="11247" width="3.28515625" style="122" customWidth="1"/>
    <col min="11248" max="11248" width="5.85546875" style="122" customWidth="1"/>
    <col min="11249" max="11249" width="6.5703125" style="122" customWidth="1"/>
    <col min="11250" max="11250" width="3.28515625" style="122" customWidth="1"/>
    <col min="11251" max="11251" width="5.85546875" style="122" customWidth="1"/>
    <col min="11252" max="11252" width="6.5703125" style="122" customWidth="1"/>
    <col min="11253" max="11253" width="3.28515625" style="122" customWidth="1"/>
    <col min="11254" max="11254" width="5.85546875" style="122" customWidth="1"/>
    <col min="11255" max="11255" width="6.5703125" style="122" customWidth="1"/>
    <col min="11256" max="11256" width="3.28515625" style="122" customWidth="1"/>
    <col min="11257" max="11257" width="5.85546875" style="122" customWidth="1"/>
    <col min="11258" max="11258" width="6.5703125" style="122" customWidth="1"/>
    <col min="11259" max="11259" width="3.28515625" style="122" customWidth="1"/>
    <col min="11260" max="11260" width="5.85546875" style="122" customWidth="1"/>
    <col min="11261" max="11261" width="6.5703125" style="122" customWidth="1"/>
    <col min="11262" max="11262" width="3.28515625" style="122" customWidth="1"/>
    <col min="11263" max="11263" width="5.85546875" style="122" customWidth="1"/>
    <col min="11264" max="11264" width="6.5703125" style="122" customWidth="1"/>
    <col min="11265" max="11265" width="3.28515625" style="122" customWidth="1"/>
    <col min="11266" max="11266" width="5.85546875" style="122" customWidth="1"/>
    <col min="11267" max="11267" width="6.5703125" style="122" customWidth="1"/>
    <col min="11268" max="11268" width="3.28515625" style="122" customWidth="1"/>
    <col min="11269" max="11269" width="5.85546875" style="122" customWidth="1"/>
    <col min="11270" max="11270" width="6.5703125" style="122" customWidth="1"/>
    <col min="11271" max="11271" width="3.28515625" style="122" customWidth="1"/>
    <col min="11272" max="11272" width="5.85546875" style="122" customWidth="1"/>
    <col min="11273" max="11273" width="6.5703125" style="122" customWidth="1"/>
    <col min="11274" max="11274" width="3.28515625" style="122" customWidth="1"/>
    <col min="11275" max="11275" width="5.85546875" style="122" customWidth="1"/>
    <col min="11276" max="11276" width="6.5703125" style="122" customWidth="1"/>
    <col min="11277" max="11277" width="3.28515625" style="122" customWidth="1"/>
    <col min="11278" max="11278" width="5.85546875" style="122" customWidth="1"/>
    <col min="11279" max="11279" width="6.5703125" style="122" customWidth="1"/>
    <col min="11280" max="11280" width="9.42578125" style="122" customWidth="1"/>
    <col min="11281" max="11483" width="9.140625" style="122"/>
    <col min="11484" max="11484" width="4.85546875" style="122" customWidth="1"/>
    <col min="11485" max="11485" width="5.140625" style="122" customWidth="1"/>
    <col min="11486" max="11486" width="13.7109375" style="122" customWidth="1"/>
    <col min="11487" max="11487" width="9.42578125" style="122" customWidth="1"/>
    <col min="11488" max="11488" width="7.85546875" style="122" bestFit="1" customWidth="1"/>
    <col min="11489" max="11489" width="9.42578125" style="122" customWidth="1"/>
    <col min="11490" max="11490" width="7.42578125" style="122" customWidth="1"/>
    <col min="11491" max="11491" width="7.85546875" style="122" customWidth="1"/>
    <col min="11492" max="11492" width="11" style="122" customWidth="1"/>
    <col min="11493" max="11493" width="7.5703125" style="122" customWidth="1"/>
    <col min="11494" max="11494" width="3.28515625" style="122" customWidth="1"/>
    <col min="11495" max="11495" width="5.85546875" style="122" customWidth="1"/>
    <col min="11496" max="11496" width="6.5703125" style="122" customWidth="1"/>
    <col min="11497" max="11497" width="3.28515625" style="122" customWidth="1"/>
    <col min="11498" max="11498" width="5.85546875" style="122" customWidth="1"/>
    <col min="11499" max="11499" width="6.5703125" style="122" customWidth="1"/>
    <col min="11500" max="11500" width="3.28515625" style="122" customWidth="1"/>
    <col min="11501" max="11501" width="5.85546875" style="122" customWidth="1"/>
    <col min="11502" max="11502" width="6.5703125" style="122" customWidth="1"/>
    <col min="11503" max="11503" width="3.28515625" style="122" customWidth="1"/>
    <col min="11504" max="11504" width="5.85546875" style="122" customWidth="1"/>
    <col min="11505" max="11505" width="6.5703125" style="122" customWidth="1"/>
    <col min="11506" max="11506" width="3.28515625" style="122" customWidth="1"/>
    <col min="11507" max="11507" width="5.85546875" style="122" customWidth="1"/>
    <col min="11508" max="11508" width="6.5703125" style="122" customWidth="1"/>
    <col min="11509" max="11509" width="3.28515625" style="122" customWidth="1"/>
    <col min="11510" max="11510" width="5.85546875" style="122" customWidth="1"/>
    <col min="11511" max="11511" width="6.5703125" style="122" customWidth="1"/>
    <col min="11512" max="11512" width="3.28515625" style="122" customWidth="1"/>
    <col min="11513" max="11513" width="5.85546875" style="122" customWidth="1"/>
    <col min="11514" max="11514" width="6.5703125" style="122" customWidth="1"/>
    <col min="11515" max="11515" width="3.28515625" style="122" customWidth="1"/>
    <col min="11516" max="11516" width="5.85546875" style="122" customWidth="1"/>
    <col min="11517" max="11517" width="6.5703125" style="122" customWidth="1"/>
    <col min="11518" max="11518" width="3.28515625" style="122" customWidth="1"/>
    <col min="11519" max="11519" width="5.85546875" style="122" customWidth="1"/>
    <col min="11520" max="11520" width="6.5703125" style="122" customWidth="1"/>
    <col min="11521" max="11521" width="3.28515625" style="122" customWidth="1"/>
    <col min="11522" max="11522" width="5.85546875" style="122" customWidth="1"/>
    <col min="11523" max="11523" width="6.5703125" style="122" customWidth="1"/>
    <col min="11524" max="11524" width="3.28515625" style="122" customWidth="1"/>
    <col min="11525" max="11525" width="5.85546875" style="122" customWidth="1"/>
    <col min="11526" max="11526" width="6.5703125" style="122" customWidth="1"/>
    <col min="11527" max="11527" width="3.28515625" style="122" customWidth="1"/>
    <col min="11528" max="11528" width="5.85546875" style="122" customWidth="1"/>
    <col min="11529" max="11529" width="6.5703125" style="122" customWidth="1"/>
    <col min="11530" max="11530" width="3.28515625" style="122" customWidth="1"/>
    <col min="11531" max="11531" width="5.85546875" style="122" customWidth="1"/>
    <col min="11532" max="11532" width="6.5703125" style="122" customWidth="1"/>
    <col min="11533" max="11533" width="3.28515625" style="122" customWidth="1"/>
    <col min="11534" max="11534" width="5.85546875" style="122" customWidth="1"/>
    <col min="11535" max="11535" width="6.5703125" style="122" customWidth="1"/>
    <col min="11536" max="11536" width="9.42578125" style="122" customWidth="1"/>
    <col min="11537" max="11739" width="9.140625" style="122"/>
    <col min="11740" max="11740" width="4.85546875" style="122" customWidth="1"/>
    <col min="11741" max="11741" width="5.140625" style="122" customWidth="1"/>
    <col min="11742" max="11742" width="13.7109375" style="122" customWidth="1"/>
    <col min="11743" max="11743" width="9.42578125" style="122" customWidth="1"/>
    <col min="11744" max="11744" width="7.85546875" style="122" bestFit="1" customWidth="1"/>
    <col min="11745" max="11745" width="9.42578125" style="122" customWidth="1"/>
    <col min="11746" max="11746" width="7.42578125" style="122" customWidth="1"/>
    <col min="11747" max="11747" width="7.85546875" style="122" customWidth="1"/>
    <col min="11748" max="11748" width="11" style="122" customWidth="1"/>
    <col min="11749" max="11749" width="7.5703125" style="122" customWidth="1"/>
    <col min="11750" max="11750" width="3.28515625" style="122" customWidth="1"/>
    <col min="11751" max="11751" width="5.85546875" style="122" customWidth="1"/>
    <col min="11752" max="11752" width="6.5703125" style="122" customWidth="1"/>
    <col min="11753" max="11753" width="3.28515625" style="122" customWidth="1"/>
    <col min="11754" max="11754" width="5.85546875" style="122" customWidth="1"/>
    <col min="11755" max="11755" width="6.5703125" style="122" customWidth="1"/>
    <col min="11756" max="11756" width="3.28515625" style="122" customWidth="1"/>
    <col min="11757" max="11757" width="5.85546875" style="122" customWidth="1"/>
    <col min="11758" max="11758" width="6.5703125" style="122" customWidth="1"/>
    <col min="11759" max="11759" width="3.28515625" style="122" customWidth="1"/>
    <col min="11760" max="11760" width="5.85546875" style="122" customWidth="1"/>
    <col min="11761" max="11761" width="6.5703125" style="122" customWidth="1"/>
    <col min="11762" max="11762" width="3.28515625" style="122" customWidth="1"/>
    <col min="11763" max="11763" width="5.85546875" style="122" customWidth="1"/>
    <col min="11764" max="11764" width="6.5703125" style="122" customWidth="1"/>
    <col min="11765" max="11765" width="3.28515625" style="122" customWidth="1"/>
    <col min="11766" max="11766" width="5.85546875" style="122" customWidth="1"/>
    <col min="11767" max="11767" width="6.5703125" style="122" customWidth="1"/>
    <col min="11768" max="11768" width="3.28515625" style="122" customWidth="1"/>
    <col min="11769" max="11769" width="5.85546875" style="122" customWidth="1"/>
    <col min="11770" max="11770" width="6.5703125" style="122" customWidth="1"/>
    <col min="11771" max="11771" width="3.28515625" style="122" customWidth="1"/>
    <col min="11772" max="11772" width="5.85546875" style="122" customWidth="1"/>
    <col min="11773" max="11773" width="6.5703125" style="122" customWidth="1"/>
    <col min="11774" max="11774" width="3.28515625" style="122" customWidth="1"/>
    <col min="11775" max="11775" width="5.85546875" style="122" customWidth="1"/>
    <col min="11776" max="11776" width="6.5703125" style="122" customWidth="1"/>
    <col min="11777" max="11777" width="3.28515625" style="122" customWidth="1"/>
    <col min="11778" max="11778" width="5.85546875" style="122" customWidth="1"/>
    <col min="11779" max="11779" width="6.5703125" style="122" customWidth="1"/>
    <col min="11780" max="11780" width="3.28515625" style="122" customWidth="1"/>
    <col min="11781" max="11781" width="5.85546875" style="122" customWidth="1"/>
    <col min="11782" max="11782" width="6.5703125" style="122" customWidth="1"/>
    <col min="11783" max="11783" width="3.28515625" style="122" customWidth="1"/>
    <col min="11784" max="11784" width="5.85546875" style="122" customWidth="1"/>
    <col min="11785" max="11785" width="6.5703125" style="122" customWidth="1"/>
    <col min="11786" max="11786" width="3.28515625" style="122" customWidth="1"/>
    <col min="11787" max="11787" width="5.85546875" style="122" customWidth="1"/>
    <col min="11788" max="11788" width="6.5703125" style="122" customWidth="1"/>
    <col min="11789" max="11789" width="3.28515625" style="122" customWidth="1"/>
    <col min="11790" max="11790" width="5.85546875" style="122" customWidth="1"/>
    <col min="11791" max="11791" width="6.5703125" style="122" customWidth="1"/>
    <col min="11792" max="11792" width="9.42578125" style="122" customWidth="1"/>
    <col min="11793" max="11995" width="9.140625" style="122"/>
    <col min="11996" max="11996" width="4.85546875" style="122" customWidth="1"/>
    <col min="11997" max="11997" width="5.140625" style="122" customWidth="1"/>
    <col min="11998" max="11998" width="13.7109375" style="122" customWidth="1"/>
    <col min="11999" max="11999" width="9.42578125" style="122" customWidth="1"/>
    <col min="12000" max="12000" width="7.85546875" style="122" bestFit="1" customWidth="1"/>
    <col min="12001" max="12001" width="9.42578125" style="122" customWidth="1"/>
    <col min="12002" max="12002" width="7.42578125" style="122" customWidth="1"/>
    <col min="12003" max="12003" width="7.85546875" style="122" customWidth="1"/>
    <col min="12004" max="12004" width="11" style="122" customWidth="1"/>
    <col min="12005" max="12005" width="7.5703125" style="122" customWidth="1"/>
    <col min="12006" max="12006" width="3.28515625" style="122" customWidth="1"/>
    <col min="12007" max="12007" width="5.85546875" style="122" customWidth="1"/>
    <col min="12008" max="12008" width="6.5703125" style="122" customWidth="1"/>
    <col min="12009" max="12009" width="3.28515625" style="122" customWidth="1"/>
    <col min="12010" max="12010" width="5.85546875" style="122" customWidth="1"/>
    <col min="12011" max="12011" width="6.5703125" style="122" customWidth="1"/>
    <col min="12012" max="12012" width="3.28515625" style="122" customWidth="1"/>
    <col min="12013" max="12013" width="5.85546875" style="122" customWidth="1"/>
    <col min="12014" max="12014" width="6.5703125" style="122" customWidth="1"/>
    <col min="12015" max="12015" width="3.28515625" style="122" customWidth="1"/>
    <col min="12016" max="12016" width="5.85546875" style="122" customWidth="1"/>
    <col min="12017" max="12017" width="6.5703125" style="122" customWidth="1"/>
    <col min="12018" max="12018" width="3.28515625" style="122" customWidth="1"/>
    <col min="12019" max="12019" width="5.85546875" style="122" customWidth="1"/>
    <col min="12020" max="12020" width="6.5703125" style="122" customWidth="1"/>
    <col min="12021" max="12021" width="3.28515625" style="122" customWidth="1"/>
    <col min="12022" max="12022" width="5.85546875" style="122" customWidth="1"/>
    <col min="12023" max="12023" width="6.5703125" style="122" customWidth="1"/>
    <col min="12024" max="12024" width="3.28515625" style="122" customWidth="1"/>
    <col min="12025" max="12025" width="5.85546875" style="122" customWidth="1"/>
    <col min="12026" max="12026" width="6.5703125" style="122" customWidth="1"/>
    <col min="12027" max="12027" width="3.28515625" style="122" customWidth="1"/>
    <col min="12028" max="12028" width="5.85546875" style="122" customWidth="1"/>
    <col min="12029" max="12029" width="6.5703125" style="122" customWidth="1"/>
    <col min="12030" max="12030" width="3.28515625" style="122" customWidth="1"/>
    <col min="12031" max="12031" width="5.85546875" style="122" customWidth="1"/>
    <col min="12032" max="12032" width="6.5703125" style="122" customWidth="1"/>
    <col min="12033" max="12033" width="3.28515625" style="122" customWidth="1"/>
    <col min="12034" max="12034" width="5.85546875" style="122" customWidth="1"/>
    <col min="12035" max="12035" width="6.5703125" style="122" customWidth="1"/>
    <col min="12036" max="12036" width="3.28515625" style="122" customWidth="1"/>
    <col min="12037" max="12037" width="5.85546875" style="122" customWidth="1"/>
    <col min="12038" max="12038" width="6.5703125" style="122" customWidth="1"/>
    <col min="12039" max="12039" width="3.28515625" style="122" customWidth="1"/>
    <col min="12040" max="12040" width="5.85546875" style="122" customWidth="1"/>
    <col min="12041" max="12041" width="6.5703125" style="122" customWidth="1"/>
    <col min="12042" max="12042" width="3.28515625" style="122" customWidth="1"/>
    <col min="12043" max="12043" width="5.85546875" style="122" customWidth="1"/>
    <col min="12044" max="12044" width="6.5703125" style="122" customWidth="1"/>
    <col min="12045" max="12045" width="3.28515625" style="122" customWidth="1"/>
    <col min="12046" max="12046" width="5.85546875" style="122" customWidth="1"/>
    <col min="12047" max="12047" width="6.5703125" style="122" customWidth="1"/>
    <col min="12048" max="12048" width="9.42578125" style="122" customWidth="1"/>
    <col min="12049" max="12251" width="9.140625" style="122"/>
    <col min="12252" max="12252" width="4.85546875" style="122" customWidth="1"/>
    <col min="12253" max="12253" width="5.140625" style="122" customWidth="1"/>
    <col min="12254" max="12254" width="13.7109375" style="122" customWidth="1"/>
    <col min="12255" max="12255" width="9.42578125" style="122" customWidth="1"/>
    <col min="12256" max="12256" width="7.85546875" style="122" bestFit="1" customWidth="1"/>
    <col min="12257" max="12257" width="9.42578125" style="122" customWidth="1"/>
    <col min="12258" max="12258" width="7.42578125" style="122" customWidth="1"/>
    <col min="12259" max="12259" width="7.85546875" style="122" customWidth="1"/>
    <col min="12260" max="12260" width="11" style="122" customWidth="1"/>
    <col min="12261" max="12261" width="7.5703125" style="122" customWidth="1"/>
    <col min="12262" max="12262" width="3.28515625" style="122" customWidth="1"/>
    <col min="12263" max="12263" width="5.85546875" style="122" customWidth="1"/>
    <col min="12264" max="12264" width="6.5703125" style="122" customWidth="1"/>
    <col min="12265" max="12265" width="3.28515625" style="122" customWidth="1"/>
    <col min="12266" max="12266" width="5.85546875" style="122" customWidth="1"/>
    <col min="12267" max="12267" width="6.5703125" style="122" customWidth="1"/>
    <col min="12268" max="12268" width="3.28515625" style="122" customWidth="1"/>
    <col min="12269" max="12269" width="5.85546875" style="122" customWidth="1"/>
    <col min="12270" max="12270" width="6.5703125" style="122" customWidth="1"/>
    <col min="12271" max="12271" width="3.28515625" style="122" customWidth="1"/>
    <col min="12272" max="12272" width="5.85546875" style="122" customWidth="1"/>
    <col min="12273" max="12273" width="6.5703125" style="122" customWidth="1"/>
    <col min="12274" max="12274" width="3.28515625" style="122" customWidth="1"/>
    <col min="12275" max="12275" width="5.85546875" style="122" customWidth="1"/>
    <col min="12276" max="12276" width="6.5703125" style="122" customWidth="1"/>
    <col min="12277" max="12277" width="3.28515625" style="122" customWidth="1"/>
    <col min="12278" max="12278" width="5.85546875" style="122" customWidth="1"/>
    <col min="12279" max="12279" width="6.5703125" style="122" customWidth="1"/>
    <col min="12280" max="12280" width="3.28515625" style="122" customWidth="1"/>
    <col min="12281" max="12281" width="5.85546875" style="122" customWidth="1"/>
    <col min="12282" max="12282" width="6.5703125" style="122" customWidth="1"/>
    <col min="12283" max="12283" width="3.28515625" style="122" customWidth="1"/>
    <col min="12284" max="12284" width="5.85546875" style="122" customWidth="1"/>
    <col min="12285" max="12285" width="6.5703125" style="122" customWidth="1"/>
    <col min="12286" max="12286" width="3.28515625" style="122" customWidth="1"/>
    <col min="12287" max="12287" width="5.85546875" style="122" customWidth="1"/>
    <col min="12288" max="12288" width="6.5703125" style="122" customWidth="1"/>
    <col min="12289" max="12289" width="3.28515625" style="122" customWidth="1"/>
    <col min="12290" max="12290" width="5.85546875" style="122" customWidth="1"/>
    <col min="12291" max="12291" width="6.5703125" style="122" customWidth="1"/>
    <col min="12292" max="12292" width="3.28515625" style="122" customWidth="1"/>
    <col min="12293" max="12293" width="5.85546875" style="122" customWidth="1"/>
    <col min="12294" max="12294" width="6.5703125" style="122" customWidth="1"/>
    <col min="12295" max="12295" width="3.28515625" style="122" customWidth="1"/>
    <col min="12296" max="12296" width="5.85546875" style="122" customWidth="1"/>
    <col min="12297" max="12297" width="6.5703125" style="122" customWidth="1"/>
    <col min="12298" max="12298" width="3.28515625" style="122" customWidth="1"/>
    <col min="12299" max="12299" width="5.85546875" style="122" customWidth="1"/>
    <col min="12300" max="12300" width="6.5703125" style="122" customWidth="1"/>
    <col min="12301" max="12301" width="3.28515625" style="122" customWidth="1"/>
    <col min="12302" max="12302" width="5.85546875" style="122" customWidth="1"/>
    <col min="12303" max="12303" width="6.5703125" style="122" customWidth="1"/>
    <col min="12304" max="12304" width="9.42578125" style="122" customWidth="1"/>
    <col min="12305" max="12507" width="9.140625" style="122"/>
    <col min="12508" max="12508" width="4.85546875" style="122" customWidth="1"/>
    <col min="12509" max="12509" width="5.140625" style="122" customWidth="1"/>
    <col min="12510" max="12510" width="13.7109375" style="122" customWidth="1"/>
    <col min="12511" max="12511" width="9.42578125" style="122" customWidth="1"/>
    <col min="12512" max="12512" width="7.85546875" style="122" bestFit="1" customWidth="1"/>
    <col min="12513" max="12513" width="9.42578125" style="122" customWidth="1"/>
    <col min="12514" max="12514" width="7.42578125" style="122" customWidth="1"/>
    <col min="12515" max="12515" width="7.85546875" style="122" customWidth="1"/>
    <col min="12516" max="12516" width="11" style="122" customWidth="1"/>
    <col min="12517" max="12517" width="7.5703125" style="122" customWidth="1"/>
    <col min="12518" max="12518" width="3.28515625" style="122" customWidth="1"/>
    <col min="12519" max="12519" width="5.85546875" style="122" customWidth="1"/>
    <col min="12520" max="12520" width="6.5703125" style="122" customWidth="1"/>
    <col min="12521" max="12521" width="3.28515625" style="122" customWidth="1"/>
    <col min="12522" max="12522" width="5.85546875" style="122" customWidth="1"/>
    <col min="12523" max="12523" width="6.5703125" style="122" customWidth="1"/>
    <col min="12524" max="12524" width="3.28515625" style="122" customWidth="1"/>
    <col min="12525" max="12525" width="5.85546875" style="122" customWidth="1"/>
    <col min="12526" max="12526" width="6.5703125" style="122" customWidth="1"/>
    <col min="12527" max="12527" width="3.28515625" style="122" customWidth="1"/>
    <col min="12528" max="12528" width="5.85546875" style="122" customWidth="1"/>
    <col min="12529" max="12529" width="6.5703125" style="122" customWidth="1"/>
    <col min="12530" max="12530" width="3.28515625" style="122" customWidth="1"/>
    <col min="12531" max="12531" width="5.85546875" style="122" customWidth="1"/>
    <col min="12532" max="12532" width="6.5703125" style="122" customWidth="1"/>
    <col min="12533" max="12533" width="3.28515625" style="122" customWidth="1"/>
    <col min="12534" max="12534" width="5.85546875" style="122" customWidth="1"/>
    <col min="12535" max="12535" width="6.5703125" style="122" customWidth="1"/>
    <col min="12536" max="12536" width="3.28515625" style="122" customWidth="1"/>
    <col min="12537" max="12537" width="5.85546875" style="122" customWidth="1"/>
    <col min="12538" max="12538" width="6.5703125" style="122" customWidth="1"/>
    <col min="12539" max="12539" width="3.28515625" style="122" customWidth="1"/>
    <col min="12540" max="12540" width="5.85546875" style="122" customWidth="1"/>
    <col min="12541" max="12541" width="6.5703125" style="122" customWidth="1"/>
    <col min="12542" max="12542" width="3.28515625" style="122" customWidth="1"/>
    <col min="12543" max="12543" width="5.85546875" style="122" customWidth="1"/>
    <col min="12544" max="12544" width="6.5703125" style="122" customWidth="1"/>
    <col min="12545" max="12545" width="3.28515625" style="122" customWidth="1"/>
    <col min="12546" max="12546" width="5.85546875" style="122" customWidth="1"/>
    <col min="12547" max="12547" width="6.5703125" style="122" customWidth="1"/>
    <col min="12548" max="12548" width="3.28515625" style="122" customWidth="1"/>
    <col min="12549" max="12549" width="5.85546875" style="122" customWidth="1"/>
    <col min="12550" max="12550" width="6.5703125" style="122" customWidth="1"/>
    <col min="12551" max="12551" width="3.28515625" style="122" customWidth="1"/>
    <col min="12552" max="12552" width="5.85546875" style="122" customWidth="1"/>
    <col min="12553" max="12553" width="6.5703125" style="122" customWidth="1"/>
    <col min="12554" max="12554" width="3.28515625" style="122" customWidth="1"/>
    <col min="12555" max="12555" width="5.85546875" style="122" customWidth="1"/>
    <col min="12556" max="12556" width="6.5703125" style="122" customWidth="1"/>
    <col min="12557" max="12557" width="3.28515625" style="122" customWidth="1"/>
    <col min="12558" max="12558" width="5.85546875" style="122" customWidth="1"/>
    <col min="12559" max="12559" width="6.5703125" style="122" customWidth="1"/>
    <col min="12560" max="12560" width="9.42578125" style="122" customWidth="1"/>
    <col min="12561" max="12763" width="9.140625" style="122"/>
    <col min="12764" max="12764" width="4.85546875" style="122" customWidth="1"/>
    <col min="12765" max="12765" width="5.140625" style="122" customWidth="1"/>
    <col min="12766" max="12766" width="13.7109375" style="122" customWidth="1"/>
    <col min="12767" max="12767" width="9.42578125" style="122" customWidth="1"/>
    <col min="12768" max="12768" width="7.85546875" style="122" bestFit="1" customWidth="1"/>
    <col min="12769" max="12769" width="9.42578125" style="122" customWidth="1"/>
    <col min="12770" max="12770" width="7.42578125" style="122" customWidth="1"/>
    <col min="12771" max="12771" width="7.85546875" style="122" customWidth="1"/>
    <col min="12772" max="12772" width="11" style="122" customWidth="1"/>
    <col min="12773" max="12773" width="7.5703125" style="122" customWidth="1"/>
    <col min="12774" max="12774" width="3.28515625" style="122" customWidth="1"/>
    <col min="12775" max="12775" width="5.85546875" style="122" customWidth="1"/>
    <col min="12776" max="12776" width="6.5703125" style="122" customWidth="1"/>
    <col min="12777" max="12777" width="3.28515625" style="122" customWidth="1"/>
    <col min="12778" max="12778" width="5.85546875" style="122" customWidth="1"/>
    <col min="12779" max="12779" width="6.5703125" style="122" customWidth="1"/>
    <col min="12780" max="12780" width="3.28515625" style="122" customWidth="1"/>
    <col min="12781" max="12781" width="5.85546875" style="122" customWidth="1"/>
    <col min="12782" max="12782" width="6.5703125" style="122" customWidth="1"/>
    <col min="12783" max="12783" width="3.28515625" style="122" customWidth="1"/>
    <col min="12784" max="12784" width="5.85546875" style="122" customWidth="1"/>
    <col min="12785" max="12785" width="6.5703125" style="122" customWidth="1"/>
    <col min="12786" max="12786" width="3.28515625" style="122" customWidth="1"/>
    <col min="12787" max="12787" width="5.85546875" style="122" customWidth="1"/>
    <col min="12788" max="12788" width="6.5703125" style="122" customWidth="1"/>
    <col min="12789" max="12789" width="3.28515625" style="122" customWidth="1"/>
    <col min="12790" max="12790" width="5.85546875" style="122" customWidth="1"/>
    <col min="12791" max="12791" width="6.5703125" style="122" customWidth="1"/>
    <col min="12792" max="12792" width="3.28515625" style="122" customWidth="1"/>
    <col min="12793" max="12793" width="5.85546875" style="122" customWidth="1"/>
    <col min="12794" max="12794" width="6.5703125" style="122" customWidth="1"/>
    <col min="12795" max="12795" width="3.28515625" style="122" customWidth="1"/>
    <col min="12796" max="12796" width="5.85546875" style="122" customWidth="1"/>
    <col min="12797" max="12797" width="6.5703125" style="122" customWidth="1"/>
    <col min="12798" max="12798" width="3.28515625" style="122" customWidth="1"/>
    <col min="12799" max="12799" width="5.85546875" style="122" customWidth="1"/>
    <col min="12800" max="12800" width="6.5703125" style="122" customWidth="1"/>
    <col min="12801" max="12801" width="3.28515625" style="122" customWidth="1"/>
    <col min="12802" max="12802" width="5.85546875" style="122" customWidth="1"/>
    <col min="12803" max="12803" width="6.5703125" style="122" customWidth="1"/>
    <col min="12804" max="12804" width="3.28515625" style="122" customWidth="1"/>
    <col min="12805" max="12805" width="5.85546875" style="122" customWidth="1"/>
    <col min="12806" max="12806" width="6.5703125" style="122" customWidth="1"/>
    <col min="12807" max="12807" width="3.28515625" style="122" customWidth="1"/>
    <col min="12808" max="12808" width="5.85546875" style="122" customWidth="1"/>
    <col min="12809" max="12809" width="6.5703125" style="122" customWidth="1"/>
    <col min="12810" max="12810" width="3.28515625" style="122" customWidth="1"/>
    <col min="12811" max="12811" width="5.85546875" style="122" customWidth="1"/>
    <col min="12812" max="12812" width="6.5703125" style="122" customWidth="1"/>
    <col min="12813" max="12813" width="3.28515625" style="122" customWidth="1"/>
    <col min="12814" max="12814" width="5.85546875" style="122" customWidth="1"/>
    <col min="12815" max="12815" width="6.5703125" style="122" customWidth="1"/>
    <col min="12816" max="12816" width="9.42578125" style="122" customWidth="1"/>
    <col min="12817" max="13019" width="9.140625" style="122"/>
    <col min="13020" max="13020" width="4.85546875" style="122" customWidth="1"/>
    <col min="13021" max="13021" width="5.140625" style="122" customWidth="1"/>
    <col min="13022" max="13022" width="13.7109375" style="122" customWidth="1"/>
    <col min="13023" max="13023" width="9.42578125" style="122" customWidth="1"/>
    <col min="13024" max="13024" width="7.85546875" style="122" bestFit="1" customWidth="1"/>
    <col min="13025" max="13025" width="9.42578125" style="122" customWidth="1"/>
    <col min="13026" max="13026" width="7.42578125" style="122" customWidth="1"/>
    <col min="13027" max="13027" width="7.85546875" style="122" customWidth="1"/>
    <col min="13028" max="13028" width="11" style="122" customWidth="1"/>
    <col min="13029" max="13029" width="7.5703125" style="122" customWidth="1"/>
    <col min="13030" max="13030" width="3.28515625" style="122" customWidth="1"/>
    <col min="13031" max="13031" width="5.85546875" style="122" customWidth="1"/>
    <col min="13032" max="13032" width="6.5703125" style="122" customWidth="1"/>
    <col min="13033" max="13033" width="3.28515625" style="122" customWidth="1"/>
    <col min="13034" max="13034" width="5.85546875" style="122" customWidth="1"/>
    <col min="13035" max="13035" width="6.5703125" style="122" customWidth="1"/>
    <col min="13036" max="13036" width="3.28515625" style="122" customWidth="1"/>
    <col min="13037" max="13037" width="5.85546875" style="122" customWidth="1"/>
    <col min="13038" max="13038" width="6.5703125" style="122" customWidth="1"/>
    <col min="13039" max="13039" width="3.28515625" style="122" customWidth="1"/>
    <col min="13040" max="13040" width="5.85546875" style="122" customWidth="1"/>
    <col min="13041" max="13041" width="6.5703125" style="122" customWidth="1"/>
    <col min="13042" max="13042" width="3.28515625" style="122" customWidth="1"/>
    <col min="13043" max="13043" width="5.85546875" style="122" customWidth="1"/>
    <col min="13044" max="13044" width="6.5703125" style="122" customWidth="1"/>
    <col min="13045" max="13045" width="3.28515625" style="122" customWidth="1"/>
    <col min="13046" max="13046" width="5.85546875" style="122" customWidth="1"/>
    <col min="13047" max="13047" width="6.5703125" style="122" customWidth="1"/>
    <col min="13048" max="13048" width="3.28515625" style="122" customWidth="1"/>
    <col min="13049" max="13049" width="5.85546875" style="122" customWidth="1"/>
    <col min="13050" max="13050" width="6.5703125" style="122" customWidth="1"/>
    <col min="13051" max="13051" width="3.28515625" style="122" customWidth="1"/>
    <col min="13052" max="13052" width="5.85546875" style="122" customWidth="1"/>
    <col min="13053" max="13053" width="6.5703125" style="122" customWidth="1"/>
    <col min="13054" max="13054" width="3.28515625" style="122" customWidth="1"/>
    <col min="13055" max="13055" width="5.85546875" style="122" customWidth="1"/>
    <col min="13056" max="13056" width="6.5703125" style="122" customWidth="1"/>
    <col min="13057" max="13057" width="3.28515625" style="122" customWidth="1"/>
    <col min="13058" max="13058" width="5.85546875" style="122" customWidth="1"/>
    <col min="13059" max="13059" width="6.5703125" style="122" customWidth="1"/>
    <col min="13060" max="13060" width="3.28515625" style="122" customWidth="1"/>
    <col min="13061" max="13061" width="5.85546875" style="122" customWidth="1"/>
    <col min="13062" max="13062" width="6.5703125" style="122" customWidth="1"/>
    <col min="13063" max="13063" width="3.28515625" style="122" customWidth="1"/>
    <col min="13064" max="13064" width="5.85546875" style="122" customWidth="1"/>
    <col min="13065" max="13065" width="6.5703125" style="122" customWidth="1"/>
    <col min="13066" max="13066" width="3.28515625" style="122" customWidth="1"/>
    <col min="13067" max="13067" width="5.85546875" style="122" customWidth="1"/>
    <col min="13068" max="13068" width="6.5703125" style="122" customWidth="1"/>
    <col min="13069" max="13069" width="3.28515625" style="122" customWidth="1"/>
    <col min="13070" max="13070" width="5.85546875" style="122" customWidth="1"/>
    <col min="13071" max="13071" width="6.5703125" style="122" customWidth="1"/>
    <col min="13072" max="13072" width="9.42578125" style="122" customWidth="1"/>
    <col min="13073" max="13275" width="9.140625" style="122"/>
    <col min="13276" max="13276" width="4.85546875" style="122" customWidth="1"/>
    <col min="13277" max="13277" width="5.140625" style="122" customWidth="1"/>
    <col min="13278" max="13278" width="13.7109375" style="122" customWidth="1"/>
    <col min="13279" max="13279" width="9.42578125" style="122" customWidth="1"/>
    <col min="13280" max="13280" width="7.85546875" style="122" bestFit="1" customWidth="1"/>
    <col min="13281" max="13281" width="9.42578125" style="122" customWidth="1"/>
    <col min="13282" max="13282" width="7.42578125" style="122" customWidth="1"/>
    <col min="13283" max="13283" width="7.85546875" style="122" customWidth="1"/>
    <col min="13284" max="13284" width="11" style="122" customWidth="1"/>
    <col min="13285" max="13285" width="7.5703125" style="122" customWidth="1"/>
    <col min="13286" max="13286" width="3.28515625" style="122" customWidth="1"/>
    <col min="13287" max="13287" width="5.85546875" style="122" customWidth="1"/>
    <col min="13288" max="13288" width="6.5703125" style="122" customWidth="1"/>
    <col min="13289" max="13289" width="3.28515625" style="122" customWidth="1"/>
    <col min="13290" max="13290" width="5.85546875" style="122" customWidth="1"/>
    <col min="13291" max="13291" width="6.5703125" style="122" customWidth="1"/>
    <col min="13292" max="13292" width="3.28515625" style="122" customWidth="1"/>
    <col min="13293" max="13293" width="5.85546875" style="122" customWidth="1"/>
    <col min="13294" max="13294" width="6.5703125" style="122" customWidth="1"/>
    <col min="13295" max="13295" width="3.28515625" style="122" customWidth="1"/>
    <col min="13296" max="13296" width="5.85546875" style="122" customWidth="1"/>
    <col min="13297" max="13297" width="6.5703125" style="122" customWidth="1"/>
    <col min="13298" max="13298" width="3.28515625" style="122" customWidth="1"/>
    <col min="13299" max="13299" width="5.85546875" style="122" customWidth="1"/>
    <col min="13300" max="13300" width="6.5703125" style="122" customWidth="1"/>
    <col min="13301" max="13301" width="3.28515625" style="122" customWidth="1"/>
    <col min="13302" max="13302" width="5.85546875" style="122" customWidth="1"/>
    <col min="13303" max="13303" width="6.5703125" style="122" customWidth="1"/>
    <col min="13304" max="13304" width="3.28515625" style="122" customWidth="1"/>
    <col min="13305" max="13305" width="5.85546875" style="122" customWidth="1"/>
    <col min="13306" max="13306" width="6.5703125" style="122" customWidth="1"/>
    <col min="13307" max="13307" width="3.28515625" style="122" customWidth="1"/>
    <col min="13308" max="13308" width="5.85546875" style="122" customWidth="1"/>
    <col min="13309" max="13309" width="6.5703125" style="122" customWidth="1"/>
    <col min="13310" max="13310" width="3.28515625" style="122" customWidth="1"/>
    <col min="13311" max="13311" width="5.85546875" style="122" customWidth="1"/>
    <col min="13312" max="13312" width="6.5703125" style="122" customWidth="1"/>
    <col min="13313" max="13313" width="3.28515625" style="122" customWidth="1"/>
    <col min="13314" max="13314" width="5.85546875" style="122" customWidth="1"/>
    <col min="13315" max="13315" width="6.5703125" style="122" customWidth="1"/>
    <col min="13316" max="13316" width="3.28515625" style="122" customWidth="1"/>
    <col min="13317" max="13317" width="5.85546875" style="122" customWidth="1"/>
    <col min="13318" max="13318" width="6.5703125" style="122" customWidth="1"/>
    <col min="13319" max="13319" width="3.28515625" style="122" customWidth="1"/>
    <col min="13320" max="13320" width="5.85546875" style="122" customWidth="1"/>
    <col min="13321" max="13321" width="6.5703125" style="122" customWidth="1"/>
    <col min="13322" max="13322" width="3.28515625" style="122" customWidth="1"/>
    <col min="13323" max="13323" width="5.85546875" style="122" customWidth="1"/>
    <col min="13324" max="13324" width="6.5703125" style="122" customWidth="1"/>
    <col min="13325" max="13325" width="3.28515625" style="122" customWidth="1"/>
    <col min="13326" max="13326" width="5.85546875" style="122" customWidth="1"/>
    <col min="13327" max="13327" width="6.5703125" style="122" customWidth="1"/>
    <col min="13328" max="13328" width="9.42578125" style="122" customWidth="1"/>
    <col min="13329" max="13531" width="9.140625" style="122"/>
    <col min="13532" max="13532" width="4.85546875" style="122" customWidth="1"/>
    <col min="13533" max="13533" width="5.140625" style="122" customWidth="1"/>
    <col min="13534" max="13534" width="13.7109375" style="122" customWidth="1"/>
    <col min="13535" max="13535" width="9.42578125" style="122" customWidth="1"/>
    <col min="13536" max="13536" width="7.85546875" style="122" bestFit="1" customWidth="1"/>
    <col min="13537" max="13537" width="9.42578125" style="122" customWidth="1"/>
    <col min="13538" max="13538" width="7.42578125" style="122" customWidth="1"/>
    <col min="13539" max="13539" width="7.85546875" style="122" customWidth="1"/>
    <col min="13540" max="13540" width="11" style="122" customWidth="1"/>
    <col min="13541" max="13541" width="7.5703125" style="122" customWidth="1"/>
    <col min="13542" max="13542" width="3.28515625" style="122" customWidth="1"/>
    <col min="13543" max="13543" width="5.85546875" style="122" customWidth="1"/>
    <col min="13544" max="13544" width="6.5703125" style="122" customWidth="1"/>
    <col min="13545" max="13545" width="3.28515625" style="122" customWidth="1"/>
    <col min="13546" max="13546" width="5.85546875" style="122" customWidth="1"/>
    <col min="13547" max="13547" width="6.5703125" style="122" customWidth="1"/>
    <col min="13548" max="13548" width="3.28515625" style="122" customWidth="1"/>
    <col min="13549" max="13549" width="5.85546875" style="122" customWidth="1"/>
    <col min="13550" max="13550" width="6.5703125" style="122" customWidth="1"/>
    <col min="13551" max="13551" width="3.28515625" style="122" customWidth="1"/>
    <col min="13552" max="13552" width="5.85546875" style="122" customWidth="1"/>
    <col min="13553" max="13553" width="6.5703125" style="122" customWidth="1"/>
    <col min="13554" max="13554" width="3.28515625" style="122" customWidth="1"/>
    <col min="13555" max="13555" width="5.85546875" style="122" customWidth="1"/>
    <col min="13556" max="13556" width="6.5703125" style="122" customWidth="1"/>
    <col min="13557" max="13557" width="3.28515625" style="122" customWidth="1"/>
    <col min="13558" max="13558" width="5.85546875" style="122" customWidth="1"/>
    <col min="13559" max="13559" width="6.5703125" style="122" customWidth="1"/>
    <col min="13560" max="13560" width="3.28515625" style="122" customWidth="1"/>
    <col min="13561" max="13561" width="5.85546875" style="122" customWidth="1"/>
    <col min="13562" max="13562" width="6.5703125" style="122" customWidth="1"/>
    <col min="13563" max="13563" width="3.28515625" style="122" customWidth="1"/>
    <col min="13564" max="13564" width="5.85546875" style="122" customWidth="1"/>
    <col min="13565" max="13565" width="6.5703125" style="122" customWidth="1"/>
    <col min="13566" max="13566" width="3.28515625" style="122" customWidth="1"/>
    <col min="13567" max="13567" width="5.85546875" style="122" customWidth="1"/>
    <col min="13568" max="13568" width="6.5703125" style="122" customWidth="1"/>
    <col min="13569" max="13569" width="3.28515625" style="122" customWidth="1"/>
    <col min="13570" max="13570" width="5.85546875" style="122" customWidth="1"/>
    <col min="13571" max="13571" width="6.5703125" style="122" customWidth="1"/>
    <col min="13572" max="13572" width="3.28515625" style="122" customWidth="1"/>
    <col min="13573" max="13573" width="5.85546875" style="122" customWidth="1"/>
    <col min="13574" max="13574" width="6.5703125" style="122" customWidth="1"/>
    <col min="13575" max="13575" width="3.28515625" style="122" customWidth="1"/>
    <col min="13576" max="13576" width="5.85546875" style="122" customWidth="1"/>
    <col min="13577" max="13577" width="6.5703125" style="122" customWidth="1"/>
    <col min="13578" max="13578" width="3.28515625" style="122" customWidth="1"/>
    <col min="13579" max="13579" width="5.85546875" style="122" customWidth="1"/>
    <col min="13580" max="13580" width="6.5703125" style="122" customWidth="1"/>
    <col min="13581" max="13581" width="3.28515625" style="122" customWidth="1"/>
    <col min="13582" max="13582" width="5.85546875" style="122" customWidth="1"/>
    <col min="13583" max="13583" width="6.5703125" style="122" customWidth="1"/>
    <col min="13584" max="13584" width="9.42578125" style="122" customWidth="1"/>
    <col min="13585" max="13787" width="9.140625" style="122"/>
    <col min="13788" max="13788" width="4.85546875" style="122" customWidth="1"/>
    <col min="13789" max="13789" width="5.140625" style="122" customWidth="1"/>
    <col min="13790" max="13790" width="13.7109375" style="122" customWidth="1"/>
    <col min="13791" max="13791" width="9.42578125" style="122" customWidth="1"/>
    <col min="13792" max="13792" width="7.85546875" style="122" bestFit="1" customWidth="1"/>
    <col min="13793" max="13793" width="9.42578125" style="122" customWidth="1"/>
    <col min="13794" max="13794" width="7.42578125" style="122" customWidth="1"/>
    <col min="13795" max="13795" width="7.85546875" style="122" customWidth="1"/>
    <col min="13796" max="13796" width="11" style="122" customWidth="1"/>
    <col min="13797" max="13797" width="7.5703125" style="122" customWidth="1"/>
    <col min="13798" max="13798" width="3.28515625" style="122" customWidth="1"/>
    <col min="13799" max="13799" width="5.85546875" style="122" customWidth="1"/>
    <col min="13800" max="13800" width="6.5703125" style="122" customWidth="1"/>
    <col min="13801" max="13801" width="3.28515625" style="122" customWidth="1"/>
    <col min="13802" max="13802" width="5.85546875" style="122" customWidth="1"/>
    <col min="13803" max="13803" width="6.5703125" style="122" customWidth="1"/>
    <col min="13804" max="13804" width="3.28515625" style="122" customWidth="1"/>
    <col min="13805" max="13805" width="5.85546875" style="122" customWidth="1"/>
    <col min="13806" max="13806" width="6.5703125" style="122" customWidth="1"/>
    <col min="13807" max="13807" width="3.28515625" style="122" customWidth="1"/>
    <col min="13808" max="13808" width="5.85546875" style="122" customWidth="1"/>
    <col min="13809" max="13809" width="6.5703125" style="122" customWidth="1"/>
    <col min="13810" max="13810" width="3.28515625" style="122" customWidth="1"/>
    <col min="13811" max="13811" width="5.85546875" style="122" customWidth="1"/>
    <col min="13812" max="13812" width="6.5703125" style="122" customWidth="1"/>
    <col min="13813" max="13813" width="3.28515625" style="122" customWidth="1"/>
    <col min="13814" max="13814" width="5.85546875" style="122" customWidth="1"/>
    <col min="13815" max="13815" width="6.5703125" style="122" customWidth="1"/>
    <col min="13816" max="13816" width="3.28515625" style="122" customWidth="1"/>
    <col min="13817" max="13817" width="5.85546875" style="122" customWidth="1"/>
    <col min="13818" max="13818" width="6.5703125" style="122" customWidth="1"/>
    <col min="13819" max="13819" width="3.28515625" style="122" customWidth="1"/>
    <col min="13820" max="13820" width="5.85546875" style="122" customWidth="1"/>
    <col min="13821" max="13821" width="6.5703125" style="122" customWidth="1"/>
    <col min="13822" max="13822" width="3.28515625" style="122" customWidth="1"/>
    <col min="13823" max="13823" width="5.85546875" style="122" customWidth="1"/>
    <col min="13824" max="13824" width="6.5703125" style="122" customWidth="1"/>
    <col min="13825" max="13825" width="3.28515625" style="122" customWidth="1"/>
    <col min="13826" max="13826" width="5.85546875" style="122" customWidth="1"/>
    <col min="13827" max="13827" width="6.5703125" style="122" customWidth="1"/>
    <col min="13828" max="13828" width="3.28515625" style="122" customWidth="1"/>
    <col min="13829" max="13829" width="5.85546875" style="122" customWidth="1"/>
    <col min="13830" max="13830" width="6.5703125" style="122" customWidth="1"/>
    <col min="13831" max="13831" width="3.28515625" style="122" customWidth="1"/>
    <col min="13832" max="13832" width="5.85546875" style="122" customWidth="1"/>
    <col min="13833" max="13833" width="6.5703125" style="122" customWidth="1"/>
    <col min="13834" max="13834" width="3.28515625" style="122" customWidth="1"/>
    <col min="13835" max="13835" width="5.85546875" style="122" customWidth="1"/>
    <col min="13836" max="13836" width="6.5703125" style="122" customWidth="1"/>
    <col min="13837" max="13837" width="3.28515625" style="122" customWidth="1"/>
    <col min="13838" max="13838" width="5.85546875" style="122" customWidth="1"/>
    <col min="13839" max="13839" width="6.5703125" style="122" customWidth="1"/>
    <col min="13840" max="13840" width="9.42578125" style="122" customWidth="1"/>
    <col min="13841" max="14043" width="9.140625" style="122"/>
    <col min="14044" max="14044" width="4.85546875" style="122" customWidth="1"/>
    <col min="14045" max="14045" width="5.140625" style="122" customWidth="1"/>
    <col min="14046" max="14046" width="13.7109375" style="122" customWidth="1"/>
    <col min="14047" max="14047" width="9.42578125" style="122" customWidth="1"/>
    <col min="14048" max="14048" width="7.85546875" style="122" bestFit="1" customWidth="1"/>
    <col min="14049" max="14049" width="9.42578125" style="122" customWidth="1"/>
    <col min="14050" max="14050" width="7.42578125" style="122" customWidth="1"/>
    <col min="14051" max="14051" width="7.85546875" style="122" customWidth="1"/>
    <col min="14052" max="14052" width="11" style="122" customWidth="1"/>
    <col min="14053" max="14053" width="7.5703125" style="122" customWidth="1"/>
    <col min="14054" max="14054" width="3.28515625" style="122" customWidth="1"/>
    <col min="14055" max="14055" width="5.85546875" style="122" customWidth="1"/>
    <col min="14056" max="14056" width="6.5703125" style="122" customWidth="1"/>
    <col min="14057" max="14057" width="3.28515625" style="122" customWidth="1"/>
    <col min="14058" max="14058" width="5.85546875" style="122" customWidth="1"/>
    <col min="14059" max="14059" width="6.5703125" style="122" customWidth="1"/>
    <col min="14060" max="14060" width="3.28515625" style="122" customWidth="1"/>
    <col min="14061" max="14061" width="5.85546875" style="122" customWidth="1"/>
    <col min="14062" max="14062" width="6.5703125" style="122" customWidth="1"/>
    <col min="14063" max="14063" width="3.28515625" style="122" customWidth="1"/>
    <col min="14064" max="14064" width="5.85546875" style="122" customWidth="1"/>
    <col min="14065" max="14065" width="6.5703125" style="122" customWidth="1"/>
    <col min="14066" max="14066" width="3.28515625" style="122" customWidth="1"/>
    <col min="14067" max="14067" width="5.85546875" style="122" customWidth="1"/>
    <col min="14068" max="14068" width="6.5703125" style="122" customWidth="1"/>
    <col min="14069" max="14069" width="3.28515625" style="122" customWidth="1"/>
    <col min="14070" max="14070" width="5.85546875" style="122" customWidth="1"/>
    <col min="14071" max="14071" width="6.5703125" style="122" customWidth="1"/>
    <col min="14072" max="14072" width="3.28515625" style="122" customWidth="1"/>
    <col min="14073" max="14073" width="5.85546875" style="122" customWidth="1"/>
    <col min="14074" max="14074" width="6.5703125" style="122" customWidth="1"/>
    <col min="14075" max="14075" width="3.28515625" style="122" customWidth="1"/>
    <col min="14076" max="14076" width="5.85546875" style="122" customWidth="1"/>
    <col min="14077" max="14077" width="6.5703125" style="122" customWidth="1"/>
    <col min="14078" max="14078" width="3.28515625" style="122" customWidth="1"/>
    <col min="14079" max="14079" width="5.85546875" style="122" customWidth="1"/>
    <col min="14080" max="14080" width="6.5703125" style="122" customWidth="1"/>
    <col min="14081" max="14081" width="3.28515625" style="122" customWidth="1"/>
    <col min="14082" max="14082" width="5.85546875" style="122" customWidth="1"/>
    <col min="14083" max="14083" width="6.5703125" style="122" customWidth="1"/>
    <col min="14084" max="14084" width="3.28515625" style="122" customWidth="1"/>
    <col min="14085" max="14085" width="5.85546875" style="122" customWidth="1"/>
    <col min="14086" max="14086" width="6.5703125" style="122" customWidth="1"/>
    <col min="14087" max="14087" width="3.28515625" style="122" customWidth="1"/>
    <col min="14088" max="14088" width="5.85546875" style="122" customWidth="1"/>
    <col min="14089" max="14089" width="6.5703125" style="122" customWidth="1"/>
    <col min="14090" max="14090" width="3.28515625" style="122" customWidth="1"/>
    <col min="14091" max="14091" width="5.85546875" style="122" customWidth="1"/>
    <col min="14092" max="14092" width="6.5703125" style="122" customWidth="1"/>
    <col min="14093" max="14093" width="3.28515625" style="122" customWidth="1"/>
    <col min="14094" max="14094" width="5.85546875" style="122" customWidth="1"/>
    <col min="14095" max="14095" width="6.5703125" style="122" customWidth="1"/>
    <col min="14096" max="14096" width="9.42578125" style="122" customWidth="1"/>
    <col min="14097" max="14299" width="9.140625" style="122"/>
    <col min="14300" max="14300" width="4.85546875" style="122" customWidth="1"/>
    <col min="14301" max="14301" width="5.140625" style="122" customWidth="1"/>
    <col min="14302" max="14302" width="13.7109375" style="122" customWidth="1"/>
    <col min="14303" max="14303" width="9.42578125" style="122" customWidth="1"/>
    <col min="14304" max="14304" width="7.85546875" style="122" bestFit="1" customWidth="1"/>
    <col min="14305" max="14305" width="9.42578125" style="122" customWidth="1"/>
    <col min="14306" max="14306" width="7.42578125" style="122" customWidth="1"/>
    <col min="14307" max="14307" width="7.85546875" style="122" customWidth="1"/>
    <col min="14308" max="14308" width="11" style="122" customWidth="1"/>
    <col min="14309" max="14309" width="7.5703125" style="122" customWidth="1"/>
    <col min="14310" max="14310" width="3.28515625" style="122" customWidth="1"/>
    <col min="14311" max="14311" width="5.85546875" style="122" customWidth="1"/>
    <col min="14312" max="14312" width="6.5703125" style="122" customWidth="1"/>
    <col min="14313" max="14313" width="3.28515625" style="122" customWidth="1"/>
    <col min="14314" max="14314" width="5.85546875" style="122" customWidth="1"/>
    <col min="14315" max="14315" width="6.5703125" style="122" customWidth="1"/>
    <col min="14316" max="14316" width="3.28515625" style="122" customWidth="1"/>
    <col min="14317" max="14317" width="5.85546875" style="122" customWidth="1"/>
    <col min="14318" max="14318" width="6.5703125" style="122" customWidth="1"/>
    <col min="14319" max="14319" width="3.28515625" style="122" customWidth="1"/>
    <col min="14320" max="14320" width="5.85546875" style="122" customWidth="1"/>
    <col min="14321" max="14321" width="6.5703125" style="122" customWidth="1"/>
    <col min="14322" max="14322" width="3.28515625" style="122" customWidth="1"/>
    <col min="14323" max="14323" width="5.85546875" style="122" customWidth="1"/>
    <col min="14324" max="14324" width="6.5703125" style="122" customWidth="1"/>
    <col min="14325" max="14325" width="3.28515625" style="122" customWidth="1"/>
    <col min="14326" max="14326" width="5.85546875" style="122" customWidth="1"/>
    <col min="14327" max="14327" width="6.5703125" style="122" customWidth="1"/>
    <col min="14328" max="14328" width="3.28515625" style="122" customWidth="1"/>
    <col min="14329" max="14329" width="5.85546875" style="122" customWidth="1"/>
    <col min="14330" max="14330" width="6.5703125" style="122" customWidth="1"/>
    <col min="14331" max="14331" width="3.28515625" style="122" customWidth="1"/>
    <col min="14332" max="14332" width="5.85546875" style="122" customWidth="1"/>
    <col min="14333" max="14333" width="6.5703125" style="122" customWidth="1"/>
    <col min="14334" max="14334" width="3.28515625" style="122" customWidth="1"/>
    <col min="14335" max="14335" width="5.85546875" style="122" customWidth="1"/>
    <col min="14336" max="14336" width="6.5703125" style="122" customWidth="1"/>
    <col min="14337" max="14337" width="3.28515625" style="122" customWidth="1"/>
    <col min="14338" max="14338" width="5.85546875" style="122" customWidth="1"/>
    <col min="14339" max="14339" width="6.5703125" style="122" customWidth="1"/>
    <col min="14340" max="14340" width="3.28515625" style="122" customWidth="1"/>
    <col min="14341" max="14341" width="5.85546875" style="122" customWidth="1"/>
    <col min="14342" max="14342" width="6.5703125" style="122" customWidth="1"/>
    <col min="14343" max="14343" width="3.28515625" style="122" customWidth="1"/>
    <col min="14344" max="14344" width="5.85546875" style="122" customWidth="1"/>
    <col min="14345" max="14345" width="6.5703125" style="122" customWidth="1"/>
    <col min="14346" max="14346" width="3.28515625" style="122" customWidth="1"/>
    <col min="14347" max="14347" width="5.85546875" style="122" customWidth="1"/>
    <col min="14348" max="14348" width="6.5703125" style="122" customWidth="1"/>
    <col min="14349" max="14349" width="3.28515625" style="122" customWidth="1"/>
    <col min="14350" max="14350" width="5.85546875" style="122" customWidth="1"/>
    <col min="14351" max="14351" width="6.5703125" style="122" customWidth="1"/>
    <col min="14352" max="14352" width="9.42578125" style="122" customWidth="1"/>
    <col min="14353" max="14555" width="9.140625" style="122"/>
    <col min="14556" max="14556" width="4.85546875" style="122" customWidth="1"/>
    <col min="14557" max="14557" width="5.140625" style="122" customWidth="1"/>
    <col min="14558" max="14558" width="13.7109375" style="122" customWidth="1"/>
    <col min="14559" max="14559" width="9.42578125" style="122" customWidth="1"/>
    <col min="14560" max="14560" width="7.85546875" style="122" bestFit="1" customWidth="1"/>
    <col min="14561" max="14561" width="9.42578125" style="122" customWidth="1"/>
    <col min="14562" max="14562" width="7.42578125" style="122" customWidth="1"/>
    <col min="14563" max="14563" width="7.85546875" style="122" customWidth="1"/>
    <col min="14564" max="14564" width="11" style="122" customWidth="1"/>
    <col min="14565" max="14565" width="7.5703125" style="122" customWidth="1"/>
    <col min="14566" max="14566" width="3.28515625" style="122" customWidth="1"/>
    <col min="14567" max="14567" width="5.85546875" style="122" customWidth="1"/>
    <col min="14568" max="14568" width="6.5703125" style="122" customWidth="1"/>
    <col min="14569" max="14569" width="3.28515625" style="122" customWidth="1"/>
    <col min="14570" max="14570" width="5.85546875" style="122" customWidth="1"/>
    <col min="14571" max="14571" width="6.5703125" style="122" customWidth="1"/>
    <col min="14572" max="14572" width="3.28515625" style="122" customWidth="1"/>
    <col min="14573" max="14573" width="5.85546875" style="122" customWidth="1"/>
    <col min="14574" max="14574" width="6.5703125" style="122" customWidth="1"/>
    <col min="14575" max="14575" width="3.28515625" style="122" customWidth="1"/>
    <col min="14576" max="14576" width="5.85546875" style="122" customWidth="1"/>
    <col min="14577" max="14577" width="6.5703125" style="122" customWidth="1"/>
    <col min="14578" max="14578" width="3.28515625" style="122" customWidth="1"/>
    <col min="14579" max="14579" width="5.85546875" style="122" customWidth="1"/>
    <col min="14580" max="14580" width="6.5703125" style="122" customWidth="1"/>
    <col min="14581" max="14581" width="3.28515625" style="122" customWidth="1"/>
    <col min="14582" max="14582" width="5.85546875" style="122" customWidth="1"/>
    <col min="14583" max="14583" width="6.5703125" style="122" customWidth="1"/>
    <col min="14584" max="14584" width="3.28515625" style="122" customWidth="1"/>
    <col min="14585" max="14585" width="5.85546875" style="122" customWidth="1"/>
    <col min="14586" max="14586" width="6.5703125" style="122" customWidth="1"/>
    <col min="14587" max="14587" width="3.28515625" style="122" customWidth="1"/>
    <col min="14588" max="14588" width="5.85546875" style="122" customWidth="1"/>
    <col min="14589" max="14589" width="6.5703125" style="122" customWidth="1"/>
    <col min="14590" max="14590" width="3.28515625" style="122" customWidth="1"/>
    <col min="14591" max="14591" width="5.85546875" style="122" customWidth="1"/>
    <col min="14592" max="14592" width="6.5703125" style="122" customWidth="1"/>
    <col min="14593" max="14593" width="3.28515625" style="122" customWidth="1"/>
    <col min="14594" max="14594" width="5.85546875" style="122" customWidth="1"/>
    <col min="14595" max="14595" width="6.5703125" style="122" customWidth="1"/>
    <col min="14596" max="14596" width="3.28515625" style="122" customWidth="1"/>
    <col min="14597" max="14597" width="5.85546875" style="122" customWidth="1"/>
    <col min="14598" max="14598" width="6.5703125" style="122" customWidth="1"/>
    <col min="14599" max="14599" width="3.28515625" style="122" customWidth="1"/>
    <col min="14600" max="14600" width="5.85546875" style="122" customWidth="1"/>
    <col min="14601" max="14601" width="6.5703125" style="122" customWidth="1"/>
    <col min="14602" max="14602" width="3.28515625" style="122" customWidth="1"/>
    <col min="14603" max="14603" width="5.85546875" style="122" customWidth="1"/>
    <col min="14604" max="14604" width="6.5703125" style="122" customWidth="1"/>
    <col min="14605" max="14605" width="3.28515625" style="122" customWidth="1"/>
    <col min="14606" max="14606" width="5.85546875" style="122" customWidth="1"/>
    <col min="14607" max="14607" width="6.5703125" style="122" customWidth="1"/>
    <col min="14608" max="14608" width="9.42578125" style="122" customWidth="1"/>
    <col min="14609" max="14811" width="9.140625" style="122"/>
    <col min="14812" max="14812" width="4.85546875" style="122" customWidth="1"/>
    <col min="14813" max="14813" width="5.140625" style="122" customWidth="1"/>
    <col min="14814" max="14814" width="13.7109375" style="122" customWidth="1"/>
    <col min="14815" max="14815" width="9.42578125" style="122" customWidth="1"/>
    <col min="14816" max="14816" width="7.85546875" style="122" bestFit="1" customWidth="1"/>
    <col min="14817" max="14817" width="9.42578125" style="122" customWidth="1"/>
    <col min="14818" max="14818" width="7.42578125" style="122" customWidth="1"/>
    <col min="14819" max="14819" width="7.85546875" style="122" customWidth="1"/>
    <col min="14820" max="14820" width="11" style="122" customWidth="1"/>
    <col min="14821" max="14821" width="7.5703125" style="122" customWidth="1"/>
    <col min="14822" max="14822" width="3.28515625" style="122" customWidth="1"/>
    <col min="14823" max="14823" width="5.85546875" style="122" customWidth="1"/>
    <col min="14824" max="14824" width="6.5703125" style="122" customWidth="1"/>
    <col min="14825" max="14825" width="3.28515625" style="122" customWidth="1"/>
    <col min="14826" max="14826" width="5.85546875" style="122" customWidth="1"/>
    <col min="14827" max="14827" width="6.5703125" style="122" customWidth="1"/>
    <col min="14828" max="14828" width="3.28515625" style="122" customWidth="1"/>
    <col min="14829" max="14829" width="5.85546875" style="122" customWidth="1"/>
    <col min="14830" max="14830" width="6.5703125" style="122" customWidth="1"/>
    <col min="14831" max="14831" width="3.28515625" style="122" customWidth="1"/>
    <col min="14832" max="14832" width="5.85546875" style="122" customWidth="1"/>
    <col min="14833" max="14833" width="6.5703125" style="122" customWidth="1"/>
    <col min="14834" max="14834" width="3.28515625" style="122" customWidth="1"/>
    <col min="14835" max="14835" width="5.85546875" style="122" customWidth="1"/>
    <col min="14836" max="14836" width="6.5703125" style="122" customWidth="1"/>
    <col min="14837" max="14837" width="3.28515625" style="122" customWidth="1"/>
    <col min="14838" max="14838" width="5.85546875" style="122" customWidth="1"/>
    <col min="14839" max="14839" width="6.5703125" style="122" customWidth="1"/>
    <col min="14840" max="14840" width="3.28515625" style="122" customWidth="1"/>
    <col min="14841" max="14841" width="5.85546875" style="122" customWidth="1"/>
    <col min="14842" max="14842" width="6.5703125" style="122" customWidth="1"/>
    <col min="14843" max="14843" width="3.28515625" style="122" customWidth="1"/>
    <col min="14844" max="14844" width="5.85546875" style="122" customWidth="1"/>
    <col min="14845" max="14845" width="6.5703125" style="122" customWidth="1"/>
    <col min="14846" max="14846" width="3.28515625" style="122" customWidth="1"/>
    <col min="14847" max="14847" width="5.85546875" style="122" customWidth="1"/>
    <col min="14848" max="14848" width="6.5703125" style="122" customWidth="1"/>
    <col min="14849" max="14849" width="3.28515625" style="122" customWidth="1"/>
    <col min="14850" max="14850" width="5.85546875" style="122" customWidth="1"/>
    <col min="14851" max="14851" width="6.5703125" style="122" customWidth="1"/>
    <col min="14852" max="14852" width="3.28515625" style="122" customWidth="1"/>
    <col min="14853" max="14853" width="5.85546875" style="122" customWidth="1"/>
    <col min="14854" max="14854" width="6.5703125" style="122" customWidth="1"/>
    <col min="14855" max="14855" width="3.28515625" style="122" customWidth="1"/>
    <col min="14856" max="14856" width="5.85546875" style="122" customWidth="1"/>
    <col min="14857" max="14857" width="6.5703125" style="122" customWidth="1"/>
    <col min="14858" max="14858" width="3.28515625" style="122" customWidth="1"/>
    <col min="14859" max="14859" width="5.85546875" style="122" customWidth="1"/>
    <col min="14860" max="14860" width="6.5703125" style="122" customWidth="1"/>
    <col min="14861" max="14861" width="3.28515625" style="122" customWidth="1"/>
    <col min="14862" max="14862" width="5.85546875" style="122" customWidth="1"/>
    <col min="14863" max="14863" width="6.5703125" style="122" customWidth="1"/>
    <col min="14864" max="14864" width="9.42578125" style="122" customWidth="1"/>
    <col min="14865" max="15067" width="9.140625" style="122"/>
    <col min="15068" max="15068" width="4.85546875" style="122" customWidth="1"/>
    <col min="15069" max="15069" width="5.140625" style="122" customWidth="1"/>
    <col min="15070" max="15070" width="13.7109375" style="122" customWidth="1"/>
    <col min="15071" max="15071" width="9.42578125" style="122" customWidth="1"/>
    <col min="15072" max="15072" width="7.85546875" style="122" bestFit="1" customWidth="1"/>
    <col min="15073" max="15073" width="9.42578125" style="122" customWidth="1"/>
    <col min="15074" max="15074" width="7.42578125" style="122" customWidth="1"/>
    <col min="15075" max="15075" width="7.85546875" style="122" customWidth="1"/>
    <col min="15076" max="15076" width="11" style="122" customWidth="1"/>
    <col min="15077" max="15077" width="7.5703125" style="122" customWidth="1"/>
    <col min="15078" max="15078" width="3.28515625" style="122" customWidth="1"/>
    <col min="15079" max="15079" width="5.85546875" style="122" customWidth="1"/>
    <col min="15080" max="15080" width="6.5703125" style="122" customWidth="1"/>
    <col min="15081" max="15081" width="3.28515625" style="122" customWidth="1"/>
    <col min="15082" max="15082" width="5.85546875" style="122" customWidth="1"/>
    <col min="15083" max="15083" width="6.5703125" style="122" customWidth="1"/>
    <col min="15084" max="15084" width="3.28515625" style="122" customWidth="1"/>
    <col min="15085" max="15085" width="5.85546875" style="122" customWidth="1"/>
    <col min="15086" max="15086" width="6.5703125" style="122" customWidth="1"/>
    <col min="15087" max="15087" width="3.28515625" style="122" customWidth="1"/>
    <col min="15088" max="15088" width="5.85546875" style="122" customWidth="1"/>
    <col min="15089" max="15089" width="6.5703125" style="122" customWidth="1"/>
    <col min="15090" max="15090" width="3.28515625" style="122" customWidth="1"/>
    <col min="15091" max="15091" width="5.85546875" style="122" customWidth="1"/>
    <col min="15092" max="15092" width="6.5703125" style="122" customWidth="1"/>
    <col min="15093" max="15093" width="3.28515625" style="122" customWidth="1"/>
    <col min="15094" max="15094" width="5.85546875" style="122" customWidth="1"/>
    <col min="15095" max="15095" width="6.5703125" style="122" customWidth="1"/>
    <col min="15096" max="15096" width="3.28515625" style="122" customWidth="1"/>
    <col min="15097" max="15097" width="5.85546875" style="122" customWidth="1"/>
    <col min="15098" max="15098" width="6.5703125" style="122" customWidth="1"/>
    <col min="15099" max="15099" width="3.28515625" style="122" customWidth="1"/>
    <col min="15100" max="15100" width="5.85546875" style="122" customWidth="1"/>
    <col min="15101" max="15101" width="6.5703125" style="122" customWidth="1"/>
    <col min="15102" max="15102" width="3.28515625" style="122" customWidth="1"/>
    <col min="15103" max="15103" width="5.85546875" style="122" customWidth="1"/>
    <col min="15104" max="15104" width="6.5703125" style="122" customWidth="1"/>
    <col min="15105" max="15105" width="3.28515625" style="122" customWidth="1"/>
    <col min="15106" max="15106" width="5.85546875" style="122" customWidth="1"/>
    <col min="15107" max="15107" width="6.5703125" style="122" customWidth="1"/>
    <col min="15108" max="15108" width="3.28515625" style="122" customWidth="1"/>
    <col min="15109" max="15109" width="5.85546875" style="122" customWidth="1"/>
    <col min="15110" max="15110" width="6.5703125" style="122" customWidth="1"/>
    <col min="15111" max="15111" width="3.28515625" style="122" customWidth="1"/>
    <col min="15112" max="15112" width="5.85546875" style="122" customWidth="1"/>
    <col min="15113" max="15113" width="6.5703125" style="122" customWidth="1"/>
    <col min="15114" max="15114" width="3.28515625" style="122" customWidth="1"/>
    <col min="15115" max="15115" width="5.85546875" style="122" customWidth="1"/>
    <col min="15116" max="15116" width="6.5703125" style="122" customWidth="1"/>
    <col min="15117" max="15117" width="3.28515625" style="122" customWidth="1"/>
    <col min="15118" max="15118" width="5.85546875" style="122" customWidth="1"/>
    <col min="15119" max="15119" width="6.5703125" style="122" customWidth="1"/>
    <col min="15120" max="15120" width="9.42578125" style="122" customWidth="1"/>
    <col min="15121" max="15323" width="9.140625" style="122"/>
    <col min="15324" max="15324" width="4.85546875" style="122" customWidth="1"/>
    <col min="15325" max="15325" width="5.140625" style="122" customWidth="1"/>
    <col min="15326" max="15326" width="13.7109375" style="122" customWidth="1"/>
    <col min="15327" max="15327" width="9.42578125" style="122" customWidth="1"/>
    <col min="15328" max="15328" width="7.85546875" style="122" bestFit="1" customWidth="1"/>
    <col min="15329" max="15329" width="9.42578125" style="122" customWidth="1"/>
    <col min="15330" max="15330" width="7.42578125" style="122" customWidth="1"/>
    <col min="15331" max="15331" width="7.85546875" style="122" customWidth="1"/>
    <col min="15332" max="15332" width="11" style="122" customWidth="1"/>
    <col min="15333" max="15333" width="7.5703125" style="122" customWidth="1"/>
    <col min="15334" max="15334" width="3.28515625" style="122" customWidth="1"/>
    <col min="15335" max="15335" width="5.85546875" style="122" customWidth="1"/>
    <col min="15336" max="15336" width="6.5703125" style="122" customWidth="1"/>
    <col min="15337" max="15337" width="3.28515625" style="122" customWidth="1"/>
    <col min="15338" max="15338" width="5.85546875" style="122" customWidth="1"/>
    <col min="15339" max="15339" width="6.5703125" style="122" customWidth="1"/>
    <col min="15340" max="15340" width="3.28515625" style="122" customWidth="1"/>
    <col min="15341" max="15341" width="5.85546875" style="122" customWidth="1"/>
    <col min="15342" max="15342" width="6.5703125" style="122" customWidth="1"/>
    <col min="15343" max="15343" width="3.28515625" style="122" customWidth="1"/>
    <col min="15344" max="15344" width="5.85546875" style="122" customWidth="1"/>
    <col min="15345" max="15345" width="6.5703125" style="122" customWidth="1"/>
    <col min="15346" max="15346" width="3.28515625" style="122" customWidth="1"/>
    <col min="15347" max="15347" width="5.85546875" style="122" customWidth="1"/>
    <col min="15348" max="15348" width="6.5703125" style="122" customWidth="1"/>
    <col min="15349" max="15349" width="3.28515625" style="122" customWidth="1"/>
    <col min="15350" max="15350" width="5.85546875" style="122" customWidth="1"/>
    <col min="15351" max="15351" width="6.5703125" style="122" customWidth="1"/>
    <col min="15352" max="15352" width="3.28515625" style="122" customWidth="1"/>
    <col min="15353" max="15353" width="5.85546875" style="122" customWidth="1"/>
    <col min="15354" max="15354" width="6.5703125" style="122" customWidth="1"/>
    <col min="15355" max="15355" width="3.28515625" style="122" customWidth="1"/>
    <col min="15356" max="15356" width="5.85546875" style="122" customWidth="1"/>
    <col min="15357" max="15357" width="6.5703125" style="122" customWidth="1"/>
    <col min="15358" max="15358" width="3.28515625" style="122" customWidth="1"/>
    <col min="15359" max="15359" width="5.85546875" style="122" customWidth="1"/>
    <col min="15360" max="15360" width="6.5703125" style="122" customWidth="1"/>
    <col min="15361" max="15361" width="3.28515625" style="122" customWidth="1"/>
    <col min="15362" max="15362" width="5.85546875" style="122" customWidth="1"/>
    <col min="15363" max="15363" width="6.5703125" style="122" customWidth="1"/>
    <col min="15364" max="15364" width="3.28515625" style="122" customWidth="1"/>
    <col min="15365" max="15365" width="5.85546875" style="122" customWidth="1"/>
    <col min="15366" max="15366" width="6.5703125" style="122" customWidth="1"/>
    <col min="15367" max="15367" width="3.28515625" style="122" customWidth="1"/>
    <col min="15368" max="15368" width="5.85546875" style="122" customWidth="1"/>
    <col min="15369" max="15369" width="6.5703125" style="122" customWidth="1"/>
    <col min="15370" max="15370" width="3.28515625" style="122" customWidth="1"/>
    <col min="15371" max="15371" width="5.85546875" style="122" customWidth="1"/>
    <col min="15372" max="15372" width="6.5703125" style="122" customWidth="1"/>
    <col min="15373" max="15373" width="3.28515625" style="122" customWidth="1"/>
    <col min="15374" max="15374" width="5.85546875" style="122" customWidth="1"/>
    <col min="15375" max="15375" width="6.5703125" style="122" customWidth="1"/>
    <col min="15376" max="15376" width="9.42578125" style="122" customWidth="1"/>
    <col min="15377" max="15579" width="9.140625" style="122"/>
    <col min="15580" max="15580" width="4.85546875" style="122" customWidth="1"/>
    <col min="15581" max="15581" width="5.140625" style="122" customWidth="1"/>
    <col min="15582" max="15582" width="13.7109375" style="122" customWidth="1"/>
    <col min="15583" max="15583" width="9.42578125" style="122" customWidth="1"/>
    <col min="15584" max="15584" width="7.85546875" style="122" bestFit="1" customWidth="1"/>
    <col min="15585" max="15585" width="9.42578125" style="122" customWidth="1"/>
    <col min="15586" max="15586" width="7.42578125" style="122" customWidth="1"/>
    <col min="15587" max="15587" width="7.85546875" style="122" customWidth="1"/>
    <col min="15588" max="15588" width="11" style="122" customWidth="1"/>
    <col min="15589" max="15589" width="7.5703125" style="122" customWidth="1"/>
    <col min="15590" max="15590" width="3.28515625" style="122" customWidth="1"/>
    <col min="15591" max="15591" width="5.85546875" style="122" customWidth="1"/>
    <col min="15592" max="15592" width="6.5703125" style="122" customWidth="1"/>
    <col min="15593" max="15593" width="3.28515625" style="122" customWidth="1"/>
    <col min="15594" max="15594" width="5.85546875" style="122" customWidth="1"/>
    <col min="15595" max="15595" width="6.5703125" style="122" customWidth="1"/>
    <col min="15596" max="15596" width="3.28515625" style="122" customWidth="1"/>
    <col min="15597" max="15597" width="5.85546875" style="122" customWidth="1"/>
    <col min="15598" max="15598" width="6.5703125" style="122" customWidth="1"/>
    <col min="15599" max="15599" width="3.28515625" style="122" customWidth="1"/>
    <col min="15600" max="15600" width="5.85546875" style="122" customWidth="1"/>
    <col min="15601" max="15601" width="6.5703125" style="122" customWidth="1"/>
    <col min="15602" max="15602" width="3.28515625" style="122" customWidth="1"/>
    <col min="15603" max="15603" width="5.85546875" style="122" customWidth="1"/>
    <col min="15604" max="15604" width="6.5703125" style="122" customWidth="1"/>
    <col min="15605" max="15605" width="3.28515625" style="122" customWidth="1"/>
    <col min="15606" max="15606" width="5.85546875" style="122" customWidth="1"/>
    <col min="15607" max="15607" width="6.5703125" style="122" customWidth="1"/>
    <col min="15608" max="15608" width="3.28515625" style="122" customWidth="1"/>
    <col min="15609" max="15609" width="5.85546875" style="122" customWidth="1"/>
    <col min="15610" max="15610" width="6.5703125" style="122" customWidth="1"/>
    <col min="15611" max="15611" width="3.28515625" style="122" customWidth="1"/>
    <col min="15612" max="15612" width="5.85546875" style="122" customWidth="1"/>
    <col min="15613" max="15613" width="6.5703125" style="122" customWidth="1"/>
    <col min="15614" max="15614" width="3.28515625" style="122" customWidth="1"/>
    <col min="15615" max="15615" width="5.85546875" style="122" customWidth="1"/>
    <col min="15616" max="15616" width="6.5703125" style="122" customWidth="1"/>
    <col min="15617" max="15617" width="3.28515625" style="122" customWidth="1"/>
    <col min="15618" max="15618" width="5.85546875" style="122" customWidth="1"/>
    <col min="15619" max="15619" width="6.5703125" style="122" customWidth="1"/>
    <col min="15620" max="15620" width="3.28515625" style="122" customWidth="1"/>
    <col min="15621" max="15621" width="5.85546875" style="122" customWidth="1"/>
    <col min="15622" max="15622" width="6.5703125" style="122" customWidth="1"/>
    <col min="15623" max="15623" width="3.28515625" style="122" customWidth="1"/>
    <col min="15624" max="15624" width="5.85546875" style="122" customWidth="1"/>
    <col min="15625" max="15625" width="6.5703125" style="122" customWidth="1"/>
    <col min="15626" max="15626" width="3.28515625" style="122" customWidth="1"/>
    <col min="15627" max="15627" width="5.85546875" style="122" customWidth="1"/>
    <col min="15628" max="15628" width="6.5703125" style="122" customWidth="1"/>
    <col min="15629" max="15629" width="3.28515625" style="122" customWidth="1"/>
    <col min="15630" max="15630" width="5.85546875" style="122" customWidth="1"/>
    <col min="15631" max="15631" width="6.5703125" style="122" customWidth="1"/>
    <col min="15632" max="15632" width="9.42578125" style="122" customWidth="1"/>
    <col min="15633" max="15835" width="9.140625" style="122"/>
    <col min="15836" max="15836" width="4.85546875" style="122" customWidth="1"/>
    <col min="15837" max="15837" width="5.140625" style="122" customWidth="1"/>
    <col min="15838" max="15838" width="13.7109375" style="122" customWidth="1"/>
    <col min="15839" max="15839" width="9.42578125" style="122" customWidth="1"/>
    <col min="15840" max="15840" width="7.85546875" style="122" bestFit="1" customWidth="1"/>
    <col min="15841" max="15841" width="9.42578125" style="122" customWidth="1"/>
    <col min="15842" max="15842" width="7.42578125" style="122" customWidth="1"/>
    <col min="15843" max="15843" width="7.85546875" style="122" customWidth="1"/>
    <col min="15844" max="15844" width="11" style="122" customWidth="1"/>
    <col min="15845" max="15845" width="7.5703125" style="122" customWidth="1"/>
    <col min="15846" max="15846" width="3.28515625" style="122" customWidth="1"/>
    <col min="15847" max="15847" width="5.85546875" style="122" customWidth="1"/>
    <col min="15848" max="15848" width="6.5703125" style="122" customWidth="1"/>
    <col min="15849" max="15849" width="3.28515625" style="122" customWidth="1"/>
    <col min="15850" max="15850" width="5.85546875" style="122" customWidth="1"/>
    <col min="15851" max="15851" width="6.5703125" style="122" customWidth="1"/>
    <col min="15852" max="15852" width="3.28515625" style="122" customWidth="1"/>
    <col min="15853" max="15853" width="5.85546875" style="122" customWidth="1"/>
    <col min="15854" max="15854" width="6.5703125" style="122" customWidth="1"/>
    <col min="15855" max="15855" width="3.28515625" style="122" customWidth="1"/>
    <col min="15856" max="15856" width="5.85546875" style="122" customWidth="1"/>
    <col min="15857" max="15857" width="6.5703125" style="122" customWidth="1"/>
    <col min="15858" max="15858" width="3.28515625" style="122" customWidth="1"/>
    <col min="15859" max="15859" width="5.85546875" style="122" customWidth="1"/>
    <col min="15860" max="15860" width="6.5703125" style="122" customWidth="1"/>
    <col min="15861" max="15861" width="3.28515625" style="122" customWidth="1"/>
    <col min="15862" max="15862" width="5.85546875" style="122" customWidth="1"/>
    <col min="15863" max="15863" width="6.5703125" style="122" customWidth="1"/>
    <col min="15864" max="15864" width="3.28515625" style="122" customWidth="1"/>
    <col min="15865" max="15865" width="5.85546875" style="122" customWidth="1"/>
    <col min="15866" max="15866" width="6.5703125" style="122" customWidth="1"/>
    <col min="15867" max="15867" width="3.28515625" style="122" customWidth="1"/>
    <col min="15868" max="15868" width="5.85546875" style="122" customWidth="1"/>
    <col min="15869" max="15869" width="6.5703125" style="122" customWidth="1"/>
    <col min="15870" max="15870" width="3.28515625" style="122" customWidth="1"/>
    <col min="15871" max="15871" width="5.85546875" style="122" customWidth="1"/>
    <col min="15872" max="15872" width="6.5703125" style="122" customWidth="1"/>
    <col min="15873" max="15873" width="3.28515625" style="122" customWidth="1"/>
    <col min="15874" max="15874" width="5.85546875" style="122" customWidth="1"/>
    <col min="15875" max="15875" width="6.5703125" style="122" customWidth="1"/>
    <col min="15876" max="15876" width="3.28515625" style="122" customWidth="1"/>
    <col min="15877" max="15877" width="5.85546875" style="122" customWidth="1"/>
    <col min="15878" max="15878" width="6.5703125" style="122" customWidth="1"/>
    <col min="15879" max="15879" width="3.28515625" style="122" customWidth="1"/>
    <col min="15880" max="15880" width="5.85546875" style="122" customWidth="1"/>
    <col min="15881" max="15881" width="6.5703125" style="122" customWidth="1"/>
    <col min="15882" max="15882" width="3.28515625" style="122" customWidth="1"/>
    <col min="15883" max="15883" width="5.85546875" style="122" customWidth="1"/>
    <col min="15884" max="15884" width="6.5703125" style="122" customWidth="1"/>
    <col min="15885" max="15885" width="3.28515625" style="122" customWidth="1"/>
    <col min="15886" max="15886" width="5.85546875" style="122" customWidth="1"/>
    <col min="15887" max="15887" width="6.5703125" style="122" customWidth="1"/>
    <col min="15888" max="15888" width="9.42578125" style="122" customWidth="1"/>
    <col min="15889" max="16091" width="9.140625" style="122"/>
    <col min="16092" max="16092" width="4.85546875" style="122" customWidth="1"/>
    <col min="16093" max="16093" width="5.140625" style="122" customWidth="1"/>
    <col min="16094" max="16094" width="13.7109375" style="122" customWidth="1"/>
    <col min="16095" max="16095" width="9.42578125" style="122" customWidth="1"/>
    <col min="16096" max="16096" width="7.85546875" style="122" bestFit="1" customWidth="1"/>
    <col min="16097" max="16097" width="9.42578125" style="122" customWidth="1"/>
    <col min="16098" max="16098" width="7.42578125" style="122" customWidth="1"/>
    <col min="16099" max="16099" width="7.85546875" style="122" customWidth="1"/>
    <col min="16100" max="16100" width="11" style="122" customWidth="1"/>
    <col min="16101" max="16101" width="7.5703125" style="122" customWidth="1"/>
    <col min="16102" max="16102" width="3.28515625" style="122" customWidth="1"/>
    <col min="16103" max="16103" width="5.85546875" style="122" customWidth="1"/>
    <col min="16104" max="16104" width="6.5703125" style="122" customWidth="1"/>
    <col min="16105" max="16105" width="3.28515625" style="122" customWidth="1"/>
    <col min="16106" max="16106" width="5.85546875" style="122" customWidth="1"/>
    <col min="16107" max="16107" width="6.5703125" style="122" customWidth="1"/>
    <col min="16108" max="16108" width="3.28515625" style="122" customWidth="1"/>
    <col min="16109" max="16109" width="5.85546875" style="122" customWidth="1"/>
    <col min="16110" max="16110" width="6.5703125" style="122" customWidth="1"/>
    <col min="16111" max="16111" width="3.28515625" style="122" customWidth="1"/>
    <col min="16112" max="16112" width="5.85546875" style="122" customWidth="1"/>
    <col min="16113" max="16113" width="6.5703125" style="122" customWidth="1"/>
    <col min="16114" max="16114" width="3.28515625" style="122" customWidth="1"/>
    <col min="16115" max="16115" width="5.85546875" style="122" customWidth="1"/>
    <col min="16116" max="16116" width="6.5703125" style="122" customWidth="1"/>
    <col min="16117" max="16117" width="3.28515625" style="122" customWidth="1"/>
    <col min="16118" max="16118" width="5.85546875" style="122" customWidth="1"/>
    <col min="16119" max="16119" width="6.5703125" style="122" customWidth="1"/>
    <col min="16120" max="16120" width="3.28515625" style="122" customWidth="1"/>
    <col min="16121" max="16121" width="5.85546875" style="122" customWidth="1"/>
    <col min="16122" max="16122" width="6.5703125" style="122" customWidth="1"/>
    <col min="16123" max="16123" width="3.28515625" style="122" customWidth="1"/>
    <col min="16124" max="16124" width="5.85546875" style="122" customWidth="1"/>
    <col min="16125" max="16125" width="6.5703125" style="122" customWidth="1"/>
    <col min="16126" max="16126" width="3.28515625" style="122" customWidth="1"/>
    <col min="16127" max="16127" width="5.85546875" style="122" customWidth="1"/>
    <col min="16128" max="16128" width="6.5703125" style="122" customWidth="1"/>
    <col min="16129" max="16129" width="3.28515625" style="122" customWidth="1"/>
    <col min="16130" max="16130" width="5.85546875" style="122" customWidth="1"/>
    <col min="16131" max="16131" width="6.5703125" style="122" customWidth="1"/>
    <col min="16132" max="16132" width="3.28515625" style="122" customWidth="1"/>
    <col min="16133" max="16133" width="5.85546875" style="122" customWidth="1"/>
    <col min="16134" max="16134" width="6.5703125" style="122" customWidth="1"/>
    <col min="16135" max="16135" width="3.28515625" style="122" customWidth="1"/>
    <col min="16136" max="16136" width="5.85546875" style="122" customWidth="1"/>
    <col min="16137" max="16137" width="6.5703125" style="122" customWidth="1"/>
    <col min="16138" max="16138" width="3.28515625" style="122" customWidth="1"/>
    <col min="16139" max="16139" width="5.85546875" style="122" customWidth="1"/>
    <col min="16140" max="16140" width="6.5703125" style="122" customWidth="1"/>
    <col min="16141" max="16141" width="3.28515625" style="122" customWidth="1"/>
    <col min="16142" max="16142" width="5.85546875" style="122" customWidth="1"/>
    <col min="16143" max="16143" width="6.5703125" style="122" customWidth="1"/>
    <col min="16144" max="16144" width="9.42578125" style="122" customWidth="1"/>
    <col min="16145" max="16384" width="9.140625" style="122"/>
  </cols>
  <sheetData>
    <row r="1" spans="1:16">
      <c r="A1" s="292" t="s">
        <v>661</v>
      </c>
      <c r="B1" s="292"/>
      <c r="C1" s="292"/>
      <c r="D1" s="292"/>
      <c r="E1" s="292"/>
      <c r="F1" s="292"/>
      <c r="G1" s="292"/>
      <c r="H1" s="292"/>
    </row>
    <row r="2" spans="1:16" s="124" customFormat="1" ht="30" customHeight="1">
      <c r="A2" s="293" t="s">
        <v>662</v>
      </c>
      <c r="B2" s="293"/>
      <c r="C2" s="293"/>
      <c r="D2" s="293"/>
      <c r="E2" s="293"/>
      <c r="F2" s="293"/>
      <c r="G2" s="293"/>
      <c r="H2" s="293"/>
      <c r="I2" s="123"/>
      <c r="J2" s="123"/>
      <c r="K2" s="123"/>
      <c r="L2" s="123"/>
      <c r="M2" s="123"/>
      <c r="N2" s="123"/>
      <c r="O2" s="123"/>
      <c r="P2" s="123"/>
    </row>
    <row r="3" spans="1:16" s="124" customFormat="1" ht="52.5" customHeight="1">
      <c r="A3" s="125" t="s">
        <v>641</v>
      </c>
      <c r="B3" s="125" t="s">
        <v>642</v>
      </c>
      <c r="C3" s="126" t="s">
        <v>643</v>
      </c>
      <c r="D3" s="126" t="s">
        <v>644</v>
      </c>
      <c r="E3" s="126" t="s">
        <v>645</v>
      </c>
      <c r="F3" s="126" t="s">
        <v>646</v>
      </c>
      <c r="G3" s="126" t="s">
        <v>647</v>
      </c>
      <c r="H3" s="126" t="s">
        <v>648</v>
      </c>
    </row>
    <row r="4" spans="1:16" s="124" customFormat="1">
      <c r="A4" s="125">
        <v>1</v>
      </c>
      <c r="B4" s="125">
        <v>2</v>
      </c>
      <c r="C4" s="125">
        <v>3</v>
      </c>
      <c r="D4" s="125">
        <v>4</v>
      </c>
      <c r="E4" s="125">
        <v>5</v>
      </c>
      <c r="F4" s="125">
        <v>6</v>
      </c>
      <c r="G4" s="125">
        <v>7</v>
      </c>
      <c r="H4" s="125">
        <v>8</v>
      </c>
    </row>
    <row r="5" spans="1:16" s="124" customFormat="1" ht="77.25" customHeight="1">
      <c r="A5" s="125">
        <v>1</v>
      </c>
      <c r="B5" s="127" t="s">
        <v>649</v>
      </c>
      <c r="C5" s="186" t="s">
        <v>1169</v>
      </c>
      <c r="D5" s="192" t="s">
        <v>1165</v>
      </c>
      <c r="E5" s="192" t="s">
        <v>1166</v>
      </c>
      <c r="F5" s="192" t="s">
        <v>1166</v>
      </c>
      <c r="G5" s="192" t="s">
        <v>1166</v>
      </c>
      <c r="H5" s="192" t="s">
        <v>1166</v>
      </c>
    </row>
    <row r="6" spans="1:16" s="124" customFormat="1" ht="24" customHeight="1">
      <c r="B6" s="129"/>
    </row>
    <row r="7" spans="1:16" s="124" customFormat="1" ht="24" customHeight="1">
      <c r="B7" s="129"/>
    </row>
    <row r="8" spans="1:16" s="72" customFormat="1" ht="18.75" customHeight="1">
      <c r="A8" s="294" t="s">
        <v>650</v>
      </c>
      <c r="B8" s="294"/>
      <c r="C8" s="294"/>
      <c r="D8" s="294"/>
      <c r="E8" s="130"/>
      <c r="F8" s="131"/>
      <c r="G8" s="136" t="s">
        <v>127</v>
      </c>
      <c r="H8" s="131"/>
      <c r="I8" s="131"/>
      <c r="J8" s="130"/>
    </row>
    <row r="9" spans="1:16" s="72" customFormat="1" ht="21" customHeight="1">
      <c r="A9" s="206" t="s">
        <v>164</v>
      </c>
      <c r="B9" s="206"/>
      <c r="C9" s="206"/>
      <c r="D9" s="206"/>
      <c r="F9" s="105"/>
      <c r="G9" s="132" t="s">
        <v>128</v>
      </c>
      <c r="H9" s="105"/>
      <c r="I9" s="105"/>
    </row>
    <row r="10" spans="1:16" s="73" customFormat="1" ht="15"/>
    <row r="11" spans="1:16" s="73" customFormat="1" ht="15"/>
    <row r="12" spans="1:16" s="73" customFormat="1" ht="15"/>
    <row r="13" spans="1:16" s="73" customFormat="1" ht="15">
      <c r="C13" s="51"/>
    </row>
    <row r="14" spans="1:16" s="73" customFormat="1" ht="15">
      <c r="C14" s="51"/>
    </row>
  </sheetData>
  <mergeCells count="4">
    <mergeCell ref="A1:H1"/>
    <mergeCell ref="A2:H2"/>
    <mergeCell ref="A8:D8"/>
    <mergeCell ref="A9:D9"/>
  </mergeCells>
  <pageMargins left="0.81" right="0.15" top="0.46" bottom="0.39" header="0.3" footer="0.16"/>
  <pageSetup paperSize="5" orientation="landscape" r:id="rId1"/>
  <headerFooter>
    <oddFooter>&amp;L&amp;Z&amp;F&amp;R&amp;P to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92D050"/>
  </sheetPr>
  <dimension ref="A1:N45"/>
  <sheetViews>
    <sheetView view="pageBreakPreview" topLeftCell="A10" zoomScale="85" zoomScaleSheetLayoutView="85" workbookViewId="0">
      <selection activeCell="E16" sqref="E16"/>
    </sheetView>
  </sheetViews>
  <sheetFormatPr defaultRowHeight="15.75"/>
  <cols>
    <col min="1" max="1" width="6.28515625" style="122" bestFit="1" customWidth="1"/>
    <col min="2" max="2" width="27.42578125" style="133" customWidth="1"/>
    <col min="3" max="3" width="25.140625" style="122" customWidth="1"/>
    <col min="4" max="4" width="29.5703125" style="122" customWidth="1"/>
    <col min="5" max="5" width="18.28515625" style="122" customWidth="1"/>
    <col min="6" max="6" width="20" style="122" customWidth="1"/>
    <col min="7" max="7" width="6.85546875" style="122" bestFit="1" customWidth="1"/>
    <col min="8" max="8" width="7.5703125" style="122" bestFit="1" customWidth="1"/>
    <col min="9" max="9" width="8.42578125" style="122" customWidth="1"/>
    <col min="10" max="11" width="9.42578125" style="122" customWidth="1"/>
    <col min="12" max="12" width="6.85546875" style="122" bestFit="1" customWidth="1"/>
    <col min="13" max="13" width="9.42578125" style="122" customWidth="1"/>
    <col min="14" max="14" width="10.28515625" style="122" customWidth="1"/>
    <col min="15" max="217" width="9.140625" style="122"/>
    <col min="218" max="218" width="4.85546875" style="122" customWidth="1"/>
    <col min="219" max="219" width="5.140625" style="122" customWidth="1"/>
    <col min="220" max="220" width="13.7109375" style="122" customWidth="1"/>
    <col min="221" max="221" width="9.42578125" style="122" customWidth="1"/>
    <col min="222" max="222" width="7.85546875" style="122" bestFit="1" customWidth="1"/>
    <col min="223" max="223" width="9.42578125" style="122" customWidth="1"/>
    <col min="224" max="224" width="7.42578125" style="122" customWidth="1"/>
    <col min="225" max="225" width="7.85546875" style="122" customWidth="1"/>
    <col min="226" max="226" width="11" style="122" customWidth="1"/>
    <col min="227" max="227" width="7.5703125" style="122" customWidth="1"/>
    <col min="228" max="228" width="3.28515625" style="122" customWidth="1"/>
    <col min="229" max="229" width="5.85546875" style="122" customWidth="1"/>
    <col min="230" max="230" width="6.5703125" style="122" customWidth="1"/>
    <col min="231" max="231" width="3.28515625" style="122" customWidth="1"/>
    <col min="232" max="232" width="5.85546875" style="122" customWidth="1"/>
    <col min="233" max="233" width="6.5703125" style="122" customWidth="1"/>
    <col min="234" max="234" width="3.28515625" style="122" customWidth="1"/>
    <col min="235" max="235" width="5.85546875" style="122" customWidth="1"/>
    <col min="236" max="236" width="6.5703125" style="122" customWidth="1"/>
    <col min="237" max="237" width="3.28515625" style="122" customWidth="1"/>
    <col min="238" max="238" width="5.85546875" style="122" customWidth="1"/>
    <col min="239" max="239" width="6.5703125" style="122" customWidth="1"/>
    <col min="240" max="240" width="3.28515625" style="122" customWidth="1"/>
    <col min="241" max="241" width="5.85546875" style="122" customWidth="1"/>
    <col min="242" max="242" width="6.5703125" style="122" customWidth="1"/>
    <col min="243" max="243" width="3.28515625" style="122" customWidth="1"/>
    <col min="244" max="244" width="5.85546875" style="122" customWidth="1"/>
    <col min="245" max="245" width="6.5703125" style="122" customWidth="1"/>
    <col min="246" max="246" width="3.28515625" style="122" customWidth="1"/>
    <col min="247" max="247" width="5.85546875" style="122" customWidth="1"/>
    <col min="248" max="248" width="6.5703125" style="122" customWidth="1"/>
    <col min="249" max="249" width="3.28515625" style="122" customWidth="1"/>
    <col min="250" max="250" width="5.85546875" style="122" customWidth="1"/>
    <col min="251" max="251" width="6.5703125" style="122" customWidth="1"/>
    <col min="252" max="252" width="3.28515625" style="122" customWidth="1"/>
    <col min="253" max="253" width="5.85546875" style="122" customWidth="1"/>
    <col min="254" max="254" width="6.5703125" style="122" customWidth="1"/>
    <col min="255" max="255" width="3.28515625" style="122" customWidth="1"/>
    <col min="256" max="256" width="5.85546875" style="122" customWidth="1"/>
    <col min="257" max="257" width="6.5703125" style="122" customWidth="1"/>
    <col min="258" max="258" width="3.28515625" style="122" customWidth="1"/>
    <col min="259" max="259" width="5.85546875" style="122" customWidth="1"/>
    <col min="260" max="260" width="6.5703125" style="122" customWidth="1"/>
    <col min="261" max="261" width="3.28515625" style="122" customWidth="1"/>
    <col min="262" max="262" width="5.85546875" style="122" customWidth="1"/>
    <col min="263" max="263" width="6.5703125" style="122" customWidth="1"/>
    <col min="264" max="264" width="3.28515625" style="122" customWidth="1"/>
    <col min="265" max="265" width="5.85546875" style="122" customWidth="1"/>
    <col min="266" max="266" width="6.5703125" style="122" customWidth="1"/>
    <col min="267" max="267" width="3.28515625" style="122" customWidth="1"/>
    <col min="268" max="268" width="5.85546875" style="122" customWidth="1"/>
    <col min="269" max="269" width="6.5703125" style="122" customWidth="1"/>
    <col min="270" max="270" width="9.42578125" style="122" customWidth="1"/>
    <col min="271" max="473" width="9.140625" style="122"/>
    <col min="474" max="474" width="4.85546875" style="122" customWidth="1"/>
    <col min="475" max="475" width="5.140625" style="122" customWidth="1"/>
    <col min="476" max="476" width="13.7109375" style="122" customWidth="1"/>
    <col min="477" max="477" width="9.42578125" style="122" customWidth="1"/>
    <col min="478" max="478" width="7.85546875" style="122" bestFit="1" customWidth="1"/>
    <col min="479" max="479" width="9.42578125" style="122" customWidth="1"/>
    <col min="480" max="480" width="7.42578125" style="122" customWidth="1"/>
    <col min="481" max="481" width="7.85546875" style="122" customWidth="1"/>
    <col min="482" max="482" width="11" style="122" customWidth="1"/>
    <col min="483" max="483" width="7.5703125" style="122" customWidth="1"/>
    <col min="484" max="484" width="3.28515625" style="122" customWidth="1"/>
    <col min="485" max="485" width="5.85546875" style="122" customWidth="1"/>
    <col min="486" max="486" width="6.5703125" style="122" customWidth="1"/>
    <col min="487" max="487" width="3.28515625" style="122" customWidth="1"/>
    <col min="488" max="488" width="5.85546875" style="122" customWidth="1"/>
    <col min="489" max="489" width="6.5703125" style="122" customWidth="1"/>
    <col min="490" max="490" width="3.28515625" style="122" customWidth="1"/>
    <col min="491" max="491" width="5.85546875" style="122" customWidth="1"/>
    <col min="492" max="492" width="6.5703125" style="122" customWidth="1"/>
    <col min="493" max="493" width="3.28515625" style="122" customWidth="1"/>
    <col min="494" max="494" width="5.85546875" style="122" customWidth="1"/>
    <col min="495" max="495" width="6.5703125" style="122" customWidth="1"/>
    <col min="496" max="496" width="3.28515625" style="122" customWidth="1"/>
    <col min="497" max="497" width="5.85546875" style="122" customWidth="1"/>
    <col min="498" max="498" width="6.5703125" style="122" customWidth="1"/>
    <col min="499" max="499" width="3.28515625" style="122" customWidth="1"/>
    <col min="500" max="500" width="5.85546875" style="122" customWidth="1"/>
    <col min="501" max="501" width="6.5703125" style="122" customWidth="1"/>
    <col min="502" max="502" width="3.28515625" style="122" customWidth="1"/>
    <col min="503" max="503" width="5.85546875" style="122" customWidth="1"/>
    <col min="504" max="504" width="6.5703125" style="122" customWidth="1"/>
    <col min="505" max="505" width="3.28515625" style="122" customWidth="1"/>
    <col min="506" max="506" width="5.85546875" style="122" customWidth="1"/>
    <col min="507" max="507" width="6.5703125" style="122" customWidth="1"/>
    <col min="508" max="508" width="3.28515625" style="122" customWidth="1"/>
    <col min="509" max="509" width="5.85546875" style="122" customWidth="1"/>
    <col min="510" max="510" width="6.5703125" style="122" customWidth="1"/>
    <col min="511" max="511" width="3.28515625" style="122" customWidth="1"/>
    <col min="512" max="512" width="5.85546875" style="122" customWidth="1"/>
    <col min="513" max="513" width="6.5703125" style="122" customWidth="1"/>
    <col min="514" max="514" width="3.28515625" style="122" customWidth="1"/>
    <col min="515" max="515" width="5.85546875" style="122" customWidth="1"/>
    <col min="516" max="516" width="6.5703125" style="122" customWidth="1"/>
    <col min="517" max="517" width="3.28515625" style="122" customWidth="1"/>
    <col min="518" max="518" width="5.85546875" style="122" customWidth="1"/>
    <col min="519" max="519" width="6.5703125" style="122" customWidth="1"/>
    <col min="520" max="520" width="3.28515625" style="122" customWidth="1"/>
    <col min="521" max="521" width="5.85546875" style="122" customWidth="1"/>
    <col min="522" max="522" width="6.5703125" style="122" customWidth="1"/>
    <col min="523" max="523" width="3.28515625" style="122" customWidth="1"/>
    <col min="524" max="524" width="5.85546875" style="122" customWidth="1"/>
    <col min="525" max="525" width="6.5703125" style="122" customWidth="1"/>
    <col min="526" max="526" width="9.42578125" style="122" customWidth="1"/>
    <col min="527" max="729" width="9.140625" style="122"/>
    <col min="730" max="730" width="4.85546875" style="122" customWidth="1"/>
    <col min="731" max="731" width="5.140625" style="122" customWidth="1"/>
    <col min="732" max="732" width="13.7109375" style="122" customWidth="1"/>
    <col min="733" max="733" width="9.42578125" style="122" customWidth="1"/>
    <col min="734" max="734" width="7.85546875" style="122" bestFit="1" customWidth="1"/>
    <col min="735" max="735" width="9.42578125" style="122" customWidth="1"/>
    <col min="736" max="736" width="7.42578125" style="122" customWidth="1"/>
    <col min="737" max="737" width="7.85546875" style="122" customWidth="1"/>
    <col min="738" max="738" width="11" style="122" customWidth="1"/>
    <col min="739" max="739" width="7.5703125" style="122" customWidth="1"/>
    <col min="740" max="740" width="3.28515625" style="122" customWidth="1"/>
    <col min="741" max="741" width="5.85546875" style="122" customWidth="1"/>
    <col min="742" max="742" width="6.5703125" style="122" customWidth="1"/>
    <col min="743" max="743" width="3.28515625" style="122" customWidth="1"/>
    <col min="744" max="744" width="5.85546875" style="122" customWidth="1"/>
    <col min="745" max="745" width="6.5703125" style="122" customWidth="1"/>
    <col min="746" max="746" width="3.28515625" style="122" customWidth="1"/>
    <col min="747" max="747" width="5.85546875" style="122" customWidth="1"/>
    <col min="748" max="748" width="6.5703125" style="122" customWidth="1"/>
    <col min="749" max="749" width="3.28515625" style="122" customWidth="1"/>
    <col min="750" max="750" width="5.85546875" style="122" customWidth="1"/>
    <col min="751" max="751" width="6.5703125" style="122" customWidth="1"/>
    <col min="752" max="752" width="3.28515625" style="122" customWidth="1"/>
    <col min="753" max="753" width="5.85546875" style="122" customWidth="1"/>
    <col min="754" max="754" width="6.5703125" style="122" customWidth="1"/>
    <col min="755" max="755" width="3.28515625" style="122" customWidth="1"/>
    <col min="756" max="756" width="5.85546875" style="122" customWidth="1"/>
    <col min="757" max="757" width="6.5703125" style="122" customWidth="1"/>
    <col min="758" max="758" width="3.28515625" style="122" customWidth="1"/>
    <col min="759" max="759" width="5.85546875" style="122" customWidth="1"/>
    <col min="760" max="760" width="6.5703125" style="122" customWidth="1"/>
    <col min="761" max="761" width="3.28515625" style="122" customWidth="1"/>
    <col min="762" max="762" width="5.85546875" style="122" customWidth="1"/>
    <col min="763" max="763" width="6.5703125" style="122" customWidth="1"/>
    <col min="764" max="764" width="3.28515625" style="122" customWidth="1"/>
    <col min="765" max="765" width="5.85546875" style="122" customWidth="1"/>
    <col min="766" max="766" width="6.5703125" style="122" customWidth="1"/>
    <col min="767" max="767" width="3.28515625" style="122" customWidth="1"/>
    <col min="768" max="768" width="5.85546875" style="122" customWidth="1"/>
    <col min="769" max="769" width="6.5703125" style="122" customWidth="1"/>
    <col min="770" max="770" width="3.28515625" style="122" customWidth="1"/>
    <col min="771" max="771" width="5.85546875" style="122" customWidth="1"/>
    <col min="772" max="772" width="6.5703125" style="122" customWidth="1"/>
    <col min="773" max="773" width="3.28515625" style="122" customWidth="1"/>
    <col min="774" max="774" width="5.85546875" style="122" customWidth="1"/>
    <col min="775" max="775" width="6.5703125" style="122" customWidth="1"/>
    <col min="776" max="776" width="3.28515625" style="122" customWidth="1"/>
    <col min="777" max="777" width="5.85546875" style="122" customWidth="1"/>
    <col min="778" max="778" width="6.5703125" style="122" customWidth="1"/>
    <col min="779" max="779" width="3.28515625" style="122" customWidth="1"/>
    <col min="780" max="780" width="5.85546875" style="122" customWidth="1"/>
    <col min="781" max="781" width="6.5703125" style="122" customWidth="1"/>
    <col min="782" max="782" width="9.42578125" style="122" customWidth="1"/>
    <col min="783" max="985" width="9.140625" style="122"/>
    <col min="986" max="986" width="4.85546875" style="122" customWidth="1"/>
    <col min="987" max="987" width="5.140625" style="122" customWidth="1"/>
    <col min="988" max="988" width="13.7109375" style="122" customWidth="1"/>
    <col min="989" max="989" width="9.42578125" style="122" customWidth="1"/>
    <col min="990" max="990" width="7.85546875" style="122" bestFit="1" customWidth="1"/>
    <col min="991" max="991" width="9.42578125" style="122" customWidth="1"/>
    <col min="992" max="992" width="7.42578125" style="122" customWidth="1"/>
    <col min="993" max="993" width="7.85546875" style="122" customWidth="1"/>
    <col min="994" max="994" width="11" style="122" customWidth="1"/>
    <col min="995" max="995" width="7.5703125" style="122" customWidth="1"/>
    <col min="996" max="996" width="3.28515625" style="122" customWidth="1"/>
    <col min="997" max="997" width="5.85546875" style="122" customWidth="1"/>
    <col min="998" max="998" width="6.5703125" style="122" customWidth="1"/>
    <col min="999" max="999" width="3.28515625" style="122" customWidth="1"/>
    <col min="1000" max="1000" width="5.85546875" style="122" customWidth="1"/>
    <col min="1001" max="1001" width="6.5703125" style="122" customWidth="1"/>
    <col min="1002" max="1002" width="3.28515625" style="122" customWidth="1"/>
    <col min="1003" max="1003" width="5.85546875" style="122" customWidth="1"/>
    <col min="1004" max="1004" width="6.5703125" style="122" customWidth="1"/>
    <col min="1005" max="1005" width="3.28515625" style="122" customWidth="1"/>
    <col min="1006" max="1006" width="5.85546875" style="122" customWidth="1"/>
    <col min="1007" max="1007" width="6.5703125" style="122" customWidth="1"/>
    <col min="1008" max="1008" width="3.28515625" style="122" customWidth="1"/>
    <col min="1009" max="1009" width="5.85546875" style="122" customWidth="1"/>
    <col min="1010" max="1010" width="6.5703125" style="122" customWidth="1"/>
    <col min="1011" max="1011" width="3.28515625" style="122" customWidth="1"/>
    <col min="1012" max="1012" width="5.85546875" style="122" customWidth="1"/>
    <col min="1013" max="1013" width="6.5703125" style="122" customWidth="1"/>
    <col min="1014" max="1014" width="3.28515625" style="122" customWidth="1"/>
    <col min="1015" max="1015" width="5.85546875" style="122" customWidth="1"/>
    <col min="1016" max="1016" width="6.5703125" style="122" customWidth="1"/>
    <col min="1017" max="1017" width="3.28515625" style="122" customWidth="1"/>
    <col min="1018" max="1018" width="5.85546875" style="122" customWidth="1"/>
    <col min="1019" max="1019" width="6.5703125" style="122" customWidth="1"/>
    <col min="1020" max="1020" width="3.28515625" style="122" customWidth="1"/>
    <col min="1021" max="1021" width="5.85546875" style="122" customWidth="1"/>
    <col min="1022" max="1022" width="6.5703125" style="122" customWidth="1"/>
    <col min="1023" max="1023" width="3.28515625" style="122" customWidth="1"/>
    <col min="1024" max="1024" width="5.85546875" style="122" customWidth="1"/>
    <col min="1025" max="1025" width="6.5703125" style="122" customWidth="1"/>
    <col min="1026" max="1026" width="3.28515625" style="122" customWidth="1"/>
    <col min="1027" max="1027" width="5.85546875" style="122" customWidth="1"/>
    <col min="1028" max="1028" width="6.5703125" style="122" customWidth="1"/>
    <col min="1029" max="1029" width="3.28515625" style="122" customWidth="1"/>
    <col min="1030" max="1030" width="5.85546875" style="122" customWidth="1"/>
    <col min="1031" max="1031" width="6.5703125" style="122" customWidth="1"/>
    <col min="1032" max="1032" width="3.28515625" style="122" customWidth="1"/>
    <col min="1033" max="1033" width="5.85546875" style="122" customWidth="1"/>
    <col min="1034" max="1034" width="6.5703125" style="122" customWidth="1"/>
    <col min="1035" max="1035" width="3.28515625" style="122" customWidth="1"/>
    <col min="1036" max="1036" width="5.85546875" style="122" customWidth="1"/>
    <col min="1037" max="1037" width="6.5703125" style="122" customWidth="1"/>
    <col min="1038" max="1038" width="9.42578125" style="122" customWidth="1"/>
    <col min="1039" max="1241" width="9.140625" style="122"/>
    <col min="1242" max="1242" width="4.85546875" style="122" customWidth="1"/>
    <col min="1243" max="1243" width="5.140625" style="122" customWidth="1"/>
    <col min="1244" max="1244" width="13.7109375" style="122" customWidth="1"/>
    <col min="1245" max="1245" width="9.42578125" style="122" customWidth="1"/>
    <col min="1246" max="1246" width="7.85546875" style="122" bestFit="1" customWidth="1"/>
    <col min="1247" max="1247" width="9.42578125" style="122" customWidth="1"/>
    <col min="1248" max="1248" width="7.42578125" style="122" customWidth="1"/>
    <col min="1249" max="1249" width="7.85546875" style="122" customWidth="1"/>
    <col min="1250" max="1250" width="11" style="122" customWidth="1"/>
    <col min="1251" max="1251" width="7.5703125" style="122" customWidth="1"/>
    <col min="1252" max="1252" width="3.28515625" style="122" customWidth="1"/>
    <col min="1253" max="1253" width="5.85546875" style="122" customWidth="1"/>
    <col min="1254" max="1254" width="6.5703125" style="122" customWidth="1"/>
    <col min="1255" max="1255" width="3.28515625" style="122" customWidth="1"/>
    <col min="1256" max="1256" width="5.85546875" style="122" customWidth="1"/>
    <col min="1257" max="1257" width="6.5703125" style="122" customWidth="1"/>
    <col min="1258" max="1258" width="3.28515625" style="122" customWidth="1"/>
    <col min="1259" max="1259" width="5.85546875" style="122" customWidth="1"/>
    <col min="1260" max="1260" width="6.5703125" style="122" customWidth="1"/>
    <col min="1261" max="1261" width="3.28515625" style="122" customWidth="1"/>
    <col min="1262" max="1262" width="5.85546875" style="122" customWidth="1"/>
    <col min="1263" max="1263" width="6.5703125" style="122" customWidth="1"/>
    <col min="1264" max="1264" width="3.28515625" style="122" customWidth="1"/>
    <col min="1265" max="1265" width="5.85546875" style="122" customWidth="1"/>
    <col min="1266" max="1266" width="6.5703125" style="122" customWidth="1"/>
    <col min="1267" max="1267" width="3.28515625" style="122" customWidth="1"/>
    <col min="1268" max="1268" width="5.85546875" style="122" customWidth="1"/>
    <col min="1269" max="1269" width="6.5703125" style="122" customWidth="1"/>
    <col min="1270" max="1270" width="3.28515625" style="122" customWidth="1"/>
    <col min="1271" max="1271" width="5.85546875" style="122" customWidth="1"/>
    <col min="1272" max="1272" width="6.5703125" style="122" customWidth="1"/>
    <col min="1273" max="1273" width="3.28515625" style="122" customWidth="1"/>
    <col min="1274" max="1274" width="5.85546875" style="122" customWidth="1"/>
    <col min="1275" max="1275" width="6.5703125" style="122" customWidth="1"/>
    <col min="1276" max="1276" width="3.28515625" style="122" customWidth="1"/>
    <col min="1277" max="1277" width="5.85546875" style="122" customWidth="1"/>
    <col min="1278" max="1278" width="6.5703125" style="122" customWidth="1"/>
    <col min="1279" max="1279" width="3.28515625" style="122" customWidth="1"/>
    <col min="1280" max="1280" width="5.85546875" style="122" customWidth="1"/>
    <col min="1281" max="1281" width="6.5703125" style="122" customWidth="1"/>
    <col min="1282" max="1282" width="3.28515625" style="122" customWidth="1"/>
    <col min="1283" max="1283" width="5.85546875" style="122" customWidth="1"/>
    <col min="1284" max="1284" width="6.5703125" style="122" customWidth="1"/>
    <col min="1285" max="1285" width="3.28515625" style="122" customWidth="1"/>
    <col min="1286" max="1286" width="5.85546875" style="122" customWidth="1"/>
    <col min="1287" max="1287" width="6.5703125" style="122" customWidth="1"/>
    <col min="1288" max="1288" width="3.28515625" style="122" customWidth="1"/>
    <col min="1289" max="1289" width="5.85546875" style="122" customWidth="1"/>
    <col min="1290" max="1290" width="6.5703125" style="122" customWidth="1"/>
    <col min="1291" max="1291" width="3.28515625" style="122" customWidth="1"/>
    <col min="1292" max="1292" width="5.85546875" style="122" customWidth="1"/>
    <col min="1293" max="1293" width="6.5703125" style="122" customWidth="1"/>
    <col min="1294" max="1294" width="9.42578125" style="122" customWidth="1"/>
    <col min="1295" max="1497" width="9.140625" style="122"/>
    <col min="1498" max="1498" width="4.85546875" style="122" customWidth="1"/>
    <col min="1499" max="1499" width="5.140625" style="122" customWidth="1"/>
    <col min="1500" max="1500" width="13.7109375" style="122" customWidth="1"/>
    <col min="1501" max="1501" width="9.42578125" style="122" customWidth="1"/>
    <col min="1502" max="1502" width="7.85546875" style="122" bestFit="1" customWidth="1"/>
    <col min="1503" max="1503" width="9.42578125" style="122" customWidth="1"/>
    <col min="1504" max="1504" width="7.42578125" style="122" customWidth="1"/>
    <col min="1505" max="1505" width="7.85546875" style="122" customWidth="1"/>
    <col min="1506" max="1506" width="11" style="122" customWidth="1"/>
    <col min="1507" max="1507" width="7.5703125" style="122" customWidth="1"/>
    <col min="1508" max="1508" width="3.28515625" style="122" customWidth="1"/>
    <col min="1509" max="1509" width="5.85546875" style="122" customWidth="1"/>
    <col min="1510" max="1510" width="6.5703125" style="122" customWidth="1"/>
    <col min="1511" max="1511" width="3.28515625" style="122" customWidth="1"/>
    <col min="1512" max="1512" width="5.85546875" style="122" customWidth="1"/>
    <col min="1513" max="1513" width="6.5703125" style="122" customWidth="1"/>
    <col min="1514" max="1514" width="3.28515625" style="122" customWidth="1"/>
    <col min="1515" max="1515" width="5.85546875" style="122" customWidth="1"/>
    <col min="1516" max="1516" width="6.5703125" style="122" customWidth="1"/>
    <col min="1517" max="1517" width="3.28515625" style="122" customWidth="1"/>
    <col min="1518" max="1518" width="5.85546875" style="122" customWidth="1"/>
    <col min="1519" max="1519" width="6.5703125" style="122" customWidth="1"/>
    <col min="1520" max="1520" width="3.28515625" style="122" customWidth="1"/>
    <col min="1521" max="1521" width="5.85546875" style="122" customWidth="1"/>
    <col min="1522" max="1522" width="6.5703125" style="122" customWidth="1"/>
    <col min="1523" max="1523" width="3.28515625" style="122" customWidth="1"/>
    <col min="1524" max="1524" width="5.85546875" style="122" customWidth="1"/>
    <col min="1525" max="1525" width="6.5703125" style="122" customWidth="1"/>
    <col min="1526" max="1526" width="3.28515625" style="122" customWidth="1"/>
    <col min="1527" max="1527" width="5.85546875" style="122" customWidth="1"/>
    <col min="1528" max="1528" width="6.5703125" style="122" customWidth="1"/>
    <col min="1529" max="1529" width="3.28515625" style="122" customWidth="1"/>
    <col min="1530" max="1530" width="5.85546875" style="122" customWidth="1"/>
    <col min="1531" max="1531" width="6.5703125" style="122" customWidth="1"/>
    <col min="1532" max="1532" width="3.28515625" style="122" customWidth="1"/>
    <col min="1533" max="1533" width="5.85546875" style="122" customWidth="1"/>
    <col min="1534" max="1534" width="6.5703125" style="122" customWidth="1"/>
    <col min="1535" max="1535" width="3.28515625" style="122" customWidth="1"/>
    <col min="1536" max="1536" width="5.85546875" style="122" customWidth="1"/>
    <col min="1537" max="1537" width="6.5703125" style="122" customWidth="1"/>
    <col min="1538" max="1538" width="3.28515625" style="122" customWidth="1"/>
    <col min="1539" max="1539" width="5.85546875" style="122" customWidth="1"/>
    <col min="1540" max="1540" width="6.5703125" style="122" customWidth="1"/>
    <col min="1541" max="1541" width="3.28515625" style="122" customWidth="1"/>
    <col min="1542" max="1542" width="5.85546875" style="122" customWidth="1"/>
    <col min="1543" max="1543" width="6.5703125" style="122" customWidth="1"/>
    <col min="1544" max="1544" width="3.28515625" style="122" customWidth="1"/>
    <col min="1545" max="1545" width="5.85546875" style="122" customWidth="1"/>
    <col min="1546" max="1546" width="6.5703125" style="122" customWidth="1"/>
    <col min="1547" max="1547" width="3.28515625" style="122" customWidth="1"/>
    <col min="1548" max="1548" width="5.85546875" style="122" customWidth="1"/>
    <col min="1549" max="1549" width="6.5703125" style="122" customWidth="1"/>
    <col min="1550" max="1550" width="9.42578125" style="122" customWidth="1"/>
    <col min="1551" max="1753" width="9.140625" style="122"/>
    <col min="1754" max="1754" width="4.85546875" style="122" customWidth="1"/>
    <col min="1755" max="1755" width="5.140625" style="122" customWidth="1"/>
    <col min="1756" max="1756" width="13.7109375" style="122" customWidth="1"/>
    <col min="1757" max="1757" width="9.42578125" style="122" customWidth="1"/>
    <col min="1758" max="1758" width="7.85546875" style="122" bestFit="1" customWidth="1"/>
    <col min="1759" max="1759" width="9.42578125" style="122" customWidth="1"/>
    <col min="1760" max="1760" width="7.42578125" style="122" customWidth="1"/>
    <col min="1761" max="1761" width="7.85546875" style="122" customWidth="1"/>
    <col min="1762" max="1762" width="11" style="122" customWidth="1"/>
    <col min="1763" max="1763" width="7.5703125" style="122" customWidth="1"/>
    <col min="1764" max="1764" width="3.28515625" style="122" customWidth="1"/>
    <col min="1765" max="1765" width="5.85546875" style="122" customWidth="1"/>
    <col min="1766" max="1766" width="6.5703125" style="122" customWidth="1"/>
    <col min="1767" max="1767" width="3.28515625" style="122" customWidth="1"/>
    <col min="1768" max="1768" width="5.85546875" style="122" customWidth="1"/>
    <col min="1769" max="1769" width="6.5703125" style="122" customWidth="1"/>
    <col min="1770" max="1770" width="3.28515625" style="122" customWidth="1"/>
    <col min="1771" max="1771" width="5.85546875" style="122" customWidth="1"/>
    <col min="1772" max="1772" width="6.5703125" style="122" customWidth="1"/>
    <col min="1773" max="1773" width="3.28515625" style="122" customWidth="1"/>
    <col min="1774" max="1774" width="5.85546875" style="122" customWidth="1"/>
    <col min="1775" max="1775" width="6.5703125" style="122" customWidth="1"/>
    <col min="1776" max="1776" width="3.28515625" style="122" customWidth="1"/>
    <col min="1777" max="1777" width="5.85546875" style="122" customWidth="1"/>
    <col min="1778" max="1778" width="6.5703125" style="122" customWidth="1"/>
    <col min="1779" max="1779" width="3.28515625" style="122" customWidth="1"/>
    <col min="1780" max="1780" width="5.85546875" style="122" customWidth="1"/>
    <col min="1781" max="1781" width="6.5703125" style="122" customWidth="1"/>
    <col min="1782" max="1782" width="3.28515625" style="122" customWidth="1"/>
    <col min="1783" max="1783" width="5.85546875" style="122" customWidth="1"/>
    <col min="1784" max="1784" width="6.5703125" style="122" customWidth="1"/>
    <col min="1785" max="1785" width="3.28515625" style="122" customWidth="1"/>
    <col min="1786" max="1786" width="5.85546875" style="122" customWidth="1"/>
    <col min="1787" max="1787" width="6.5703125" style="122" customWidth="1"/>
    <col min="1788" max="1788" width="3.28515625" style="122" customWidth="1"/>
    <col min="1789" max="1789" width="5.85546875" style="122" customWidth="1"/>
    <col min="1790" max="1790" width="6.5703125" style="122" customWidth="1"/>
    <col min="1791" max="1791" width="3.28515625" style="122" customWidth="1"/>
    <col min="1792" max="1792" width="5.85546875" style="122" customWidth="1"/>
    <col min="1793" max="1793" width="6.5703125" style="122" customWidth="1"/>
    <col min="1794" max="1794" width="3.28515625" style="122" customWidth="1"/>
    <col min="1795" max="1795" width="5.85546875" style="122" customWidth="1"/>
    <col min="1796" max="1796" width="6.5703125" style="122" customWidth="1"/>
    <col min="1797" max="1797" width="3.28515625" style="122" customWidth="1"/>
    <col min="1798" max="1798" width="5.85546875" style="122" customWidth="1"/>
    <col min="1799" max="1799" width="6.5703125" style="122" customWidth="1"/>
    <col min="1800" max="1800" width="3.28515625" style="122" customWidth="1"/>
    <col min="1801" max="1801" width="5.85546875" style="122" customWidth="1"/>
    <col min="1802" max="1802" width="6.5703125" style="122" customWidth="1"/>
    <col min="1803" max="1803" width="3.28515625" style="122" customWidth="1"/>
    <col min="1804" max="1804" width="5.85546875" style="122" customWidth="1"/>
    <col min="1805" max="1805" width="6.5703125" style="122" customWidth="1"/>
    <col min="1806" max="1806" width="9.42578125" style="122" customWidth="1"/>
    <col min="1807" max="2009" width="9.140625" style="122"/>
    <col min="2010" max="2010" width="4.85546875" style="122" customWidth="1"/>
    <col min="2011" max="2011" width="5.140625" style="122" customWidth="1"/>
    <col min="2012" max="2012" width="13.7109375" style="122" customWidth="1"/>
    <col min="2013" max="2013" width="9.42578125" style="122" customWidth="1"/>
    <col min="2014" max="2014" width="7.85546875" style="122" bestFit="1" customWidth="1"/>
    <col min="2015" max="2015" width="9.42578125" style="122" customWidth="1"/>
    <col min="2016" max="2016" width="7.42578125" style="122" customWidth="1"/>
    <col min="2017" max="2017" width="7.85546875" style="122" customWidth="1"/>
    <col min="2018" max="2018" width="11" style="122" customWidth="1"/>
    <col min="2019" max="2019" width="7.5703125" style="122" customWidth="1"/>
    <col min="2020" max="2020" width="3.28515625" style="122" customWidth="1"/>
    <col min="2021" max="2021" width="5.85546875" style="122" customWidth="1"/>
    <col min="2022" max="2022" width="6.5703125" style="122" customWidth="1"/>
    <col min="2023" max="2023" width="3.28515625" style="122" customWidth="1"/>
    <col min="2024" max="2024" width="5.85546875" style="122" customWidth="1"/>
    <col min="2025" max="2025" width="6.5703125" style="122" customWidth="1"/>
    <col min="2026" max="2026" width="3.28515625" style="122" customWidth="1"/>
    <col min="2027" max="2027" width="5.85546875" style="122" customWidth="1"/>
    <col min="2028" max="2028" width="6.5703125" style="122" customWidth="1"/>
    <col min="2029" max="2029" width="3.28515625" style="122" customWidth="1"/>
    <col min="2030" max="2030" width="5.85546875" style="122" customWidth="1"/>
    <col min="2031" max="2031" width="6.5703125" style="122" customWidth="1"/>
    <col min="2032" max="2032" width="3.28515625" style="122" customWidth="1"/>
    <col min="2033" max="2033" width="5.85546875" style="122" customWidth="1"/>
    <col min="2034" max="2034" width="6.5703125" style="122" customWidth="1"/>
    <col min="2035" max="2035" width="3.28515625" style="122" customWidth="1"/>
    <col min="2036" max="2036" width="5.85546875" style="122" customWidth="1"/>
    <col min="2037" max="2037" width="6.5703125" style="122" customWidth="1"/>
    <col min="2038" max="2038" width="3.28515625" style="122" customWidth="1"/>
    <col min="2039" max="2039" width="5.85546875" style="122" customWidth="1"/>
    <col min="2040" max="2040" width="6.5703125" style="122" customWidth="1"/>
    <col min="2041" max="2041" width="3.28515625" style="122" customWidth="1"/>
    <col min="2042" max="2042" width="5.85546875" style="122" customWidth="1"/>
    <col min="2043" max="2043" width="6.5703125" style="122" customWidth="1"/>
    <col min="2044" max="2044" width="3.28515625" style="122" customWidth="1"/>
    <col min="2045" max="2045" width="5.85546875" style="122" customWidth="1"/>
    <col min="2046" max="2046" width="6.5703125" style="122" customWidth="1"/>
    <col min="2047" max="2047" width="3.28515625" style="122" customWidth="1"/>
    <col min="2048" max="2048" width="5.85546875" style="122" customWidth="1"/>
    <col min="2049" max="2049" width="6.5703125" style="122" customWidth="1"/>
    <col min="2050" max="2050" width="3.28515625" style="122" customWidth="1"/>
    <col min="2051" max="2051" width="5.85546875" style="122" customWidth="1"/>
    <col min="2052" max="2052" width="6.5703125" style="122" customWidth="1"/>
    <col min="2053" max="2053" width="3.28515625" style="122" customWidth="1"/>
    <col min="2054" max="2054" width="5.85546875" style="122" customWidth="1"/>
    <col min="2055" max="2055" width="6.5703125" style="122" customWidth="1"/>
    <col min="2056" max="2056" width="3.28515625" style="122" customWidth="1"/>
    <col min="2057" max="2057" width="5.85546875" style="122" customWidth="1"/>
    <col min="2058" max="2058" width="6.5703125" style="122" customWidth="1"/>
    <col min="2059" max="2059" width="3.28515625" style="122" customWidth="1"/>
    <col min="2060" max="2060" width="5.85546875" style="122" customWidth="1"/>
    <col min="2061" max="2061" width="6.5703125" style="122" customWidth="1"/>
    <col min="2062" max="2062" width="9.42578125" style="122" customWidth="1"/>
    <col min="2063" max="2265" width="9.140625" style="122"/>
    <col min="2266" max="2266" width="4.85546875" style="122" customWidth="1"/>
    <col min="2267" max="2267" width="5.140625" style="122" customWidth="1"/>
    <col min="2268" max="2268" width="13.7109375" style="122" customWidth="1"/>
    <col min="2269" max="2269" width="9.42578125" style="122" customWidth="1"/>
    <col min="2270" max="2270" width="7.85546875" style="122" bestFit="1" customWidth="1"/>
    <col min="2271" max="2271" width="9.42578125" style="122" customWidth="1"/>
    <col min="2272" max="2272" width="7.42578125" style="122" customWidth="1"/>
    <col min="2273" max="2273" width="7.85546875" style="122" customWidth="1"/>
    <col min="2274" max="2274" width="11" style="122" customWidth="1"/>
    <col min="2275" max="2275" width="7.5703125" style="122" customWidth="1"/>
    <col min="2276" max="2276" width="3.28515625" style="122" customWidth="1"/>
    <col min="2277" max="2277" width="5.85546875" style="122" customWidth="1"/>
    <col min="2278" max="2278" width="6.5703125" style="122" customWidth="1"/>
    <col min="2279" max="2279" width="3.28515625" style="122" customWidth="1"/>
    <col min="2280" max="2280" width="5.85546875" style="122" customWidth="1"/>
    <col min="2281" max="2281" width="6.5703125" style="122" customWidth="1"/>
    <col min="2282" max="2282" width="3.28515625" style="122" customWidth="1"/>
    <col min="2283" max="2283" width="5.85546875" style="122" customWidth="1"/>
    <col min="2284" max="2284" width="6.5703125" style="122" customWidth="1"/>
    <col min="2285" max="2285" width="3.28515625" style="122" customWidth="1"/>
    <col min="2286" max="2286" width="5.85546875" style="122" customWidth="1"/>
    <col min="2287" max="2287" width="6.5703125" style="122" customWidth="1"/>
    <col min="2288" max="2288" width="3.28515625" style="122" customWidth="1"/>
    <col min="2289" max="2289" width="5.85546875" style="122" customWidth="1"/>
    <col min="2290" max="2290" width="6.5703125" style="122" customWidth="1"/>
    <col min="2291" max="2291" width="3.28515625" style="122" customWidth="1"/>
    <col min="2292" max="2292" width="5.85546875" style="122" customWidth="1"/>
    <col min="2293" max="2293" width="6.5703125" style="122" customWidth="1"/>
    <col min="2294" max="2294" width="3.28515625" style="122" customWidth="1"/>
    <col min="2295" max="2295" width="5.85546875" style="122" customWidth="1"/>
    <col min="2296" max="2296" width="6.5703125" style="122" customWidth="1"/>
    <col min="2297" max="2297" width="3.28515625" style="122" customWidth="1"/>
    <col min="2298" max="2298" width="5.85546875" style="122" customWidth="1"/>
    <col min="2299" max="2299" width="6.5703125" style="122" customWidth="1"/>
    <col min="2300" max="2300" width="3.28515625" style="122" customWidth="1"/>
    <col min="2301" max="2301" width="5.85546875" style="122" customWidth="1"/>
    <col min="2302" max="2302" width="6.5703125" style="122" customWidth="1"/>
    <col min="2303" max="2303" width="3.28515625" style="122" customWidth="1"/>
    <col min="2304" max="2304" width="5.85546875" style="122" customWidth="1"/>
    <col min="2305" max="2305" width="6.5703125" style="122" customWidth="1"/>
    <col min="2306" max="2306" width="3.28515625" style="122" customWidth="1"/>
    <col min="2307" max="2307" width="5.85546875" style="122" customWidth="1"/>
    <col min="2308" max="2308" width="6.5703125" style="122" customWidth="1"/>
    <col min="2309" max="2309" width="3.28515625" style="122" customWidth="1"/>
    <col min="2310" max="2310" width="5.85546875" style="122" customWidth="1"/>
    <col min="2311" max="2311" width="6.5703125" style="122" customWidth="1"/>
    <col min="2312" max="2312" width="3.28515625" style="122" customWidth="1"/>
    <col min="2313" max="2313" width="5.85546875" style="122" customWidth="1"/>
    <col min="2314" max="2314" width="6.5703125" style="122" customWidth="1"/>
    <col min="2315" max="2315" width="3.28515625" style="122" customWidth="1"/>
    <col min="2316" max="2316" width="5.85546875" style="122" customWidth="1"/>
    <col min="2317" max="2317" width="6.5703125" style="122" customWidth="1"/>
    <col min="2318" max="2318" width="9.42578125" style="122" customWidth="1"/>
    <col min="2319" max="2521" width="9.140625" style="122"/>
    <col min="2522" max="2522" width="4.85546875" style="122" customWidth="1"/>
    <col min="2523" max="2523" width="5.140625" style="122" customWidth="1"/>
    <col min="2524" max="2524" width="13.7109375" style="122" customWidth="1"/>
    <col min="2525" max="2525" width="9.42578125" style="122" customWidth="1"/>
    <col min="2526" max="2526" width="7.85546875" style="122" bestFit="1" customWidth="1"/>
    <col min="2527" max="2527" width="9.42578125" style="122" customWidth="1"/>
    <col min="2528" max="2528" width="7.42578125" style="122" customWidth="1"/>
    <col min="2529" max="2529" width="7.85546875" style="122" customWidth="1"/>
    <col min="2530" max="2530" width="11" style="122" customWidth="1"/>
    <col min="2531" max="2531" width="7.5703125" style="122" customWidth="1"/>
    <col min="2532" max="2532" width="3.28515625" style="122" customWidth="1"/>
    <col min="2533" max="2533" width="5.85546875" style="122" customWidth="1"/>
    <col min="2534" max="2534" width="6.5703125" style="122" customWidth="1"/>
    <col min="2535" max="2535" width="3.28515625" style="122" customWidth="1"/>
    <col min="2536" max="2536" width="5.85546875" style="122" customWidth="1"/>
    <col min="2537" max="2537" width="6.5703125" style="122" customWidth="1"/>
    <col min="2538" max="2538" width="3.28515625" style="122" customWidth="1"/>
    <col min="2539" max="2539" width="5.85546875" style="122" customWidth="1"/>
    <col min="2540" max="2540" width="6.5703125" style="122" customWidth="1"/>
    <col min="2541" max="2541" width="3.28515625" style="122" customWidth="1"/>
    <col min="2542" max="2542" width="5.85546875" style="122" customWidth="1"/>
    <col min="2543" max="2543" width="6.5703125" style="122" customWidth="1"/>
    <col min="2544" max="2544" width="3.28515625" style="122" customWidth="1"/>
    <col min="2545" max="2545" width="5.85546875" style="122" customWidth="1"/>
    <col min="2546" max="2546" width="6.5703125" style="122" customWidth="1"/>
    <col min="2547" max="2547" width="3.28515625" style="122" customWidth="1"/>
    <col min="2548" max="2548" width="5.85546875" style="122" customWidth="1"/>
    <col min="2549" max="2549" width="6.5703125" style="122" customWidth="1"/>
    <col min="2550" max="2550" width="3.28515625" style="122" customWidth="1"/>
    <col min="2551" max="2551" width="5.85546875" style="122" customWidth="1"/>
    <col min="2552" max="2552" width="6.5703125" style="122" customWidth="1"/>
    <col min="2553" max="2553" width="3.28515625" style="122" customWidth="1"/>
    <col min="2554" max="2554" width="5.85546875" style="122" customWidth="1"/>
    <col min="2555" max="2555" width="6.5703125" style="122" customWidth="1"/>
    <col min="2556" max="2556" width="3.28515625" style="122" customWidth="1"/>
    <col min="2557" max="2557" width="5.85546875" style="122" customWidth="1"/>
    <col min="2558" max="2558" width="6.5703125" style="122" customWidth="1"/>
    <col min="2559" max="2559" width="3.28515625" style="122" customWidth="1"/>
    <col min="2560" max="2560" width="5.85546875" style="122" customWidth="1"/>
    <col min="2561" max="2561" width="6.5703125" style="122" customWidth="1"/>
    <col min="2562" max="2562" width="3.28515625" style="122" customWidth="1"/>
    <col min="2563" max="2563" width="5.85546875" style="122" customWidth="1"/>
    <col min="2564" max="2564" width="6.5703125" style="122" customWidth="1"/>
    <col min="2565" max="2565" width="3.28515625" style="122" customWidth="1"/>
    <col min="2566" max="2566" width="5.85546875" style="122" customWidth="1"/>
    <col min="2567" max="2567" width="6.5703125" style="122" customWidth="1"/>
    <col min="2568" max="2568" width="3.28515625" style="122" customWidth="1"/>
    <col min="2569" max="2569" width="5.85546875" style="122" customWidth="1"/>
    <col min="2570" max="2570" width="6.5703125" style="122" customWidth="1"/>
    <col min="2571" max="2571" width="3.28515625" style="122" customWidth="1"/>
    <col min="2572" max="2572" width="5.85546875" style="122" customWidth="1"/>
    <col min="2573" max="2573" width="6.5703125" style="122" customWidth="1"/>
    <col min="2574" max="2574" width="9.42578125" style="122" customWidth="1"/>
    <col min="2575" max="2777" width="9.140625" style="122"/>
    <col min="2778" max="2778" width="4.85546875" style="122" customWidth="1"/>
    <col min="2779" max="2779" width="5.140625" style="122" customWidth="1"/>
    <col min="2780" max="2780" width="13.7109375" style="122" customWidth="1"/>
    <col min="2781" max="2781" width="9.42578125" style="122" customWidth="1"/>
    <col min="2782" max="2782" width="7.85546875" style="122" bestFit="1" customWidth="1"/>
    <col min="2783" max="2783" width="9.42578125" style="122" customWidth="1"/>
    <col min="2784" max="2784" width="7.42578125" style="122" customWidth="1"/>
    <col min="2785" max="2785" width="7.85546875" style="122" customWidth="1"/>
    <col min="2786" max="2786" width="11" style="122" customWidth="1"/>
    <col min="2787" max="2787" width="7.5703125" style="122" customWidth="1"/>
    <col min="2788" max="2788" width="3.28515625" style="122" customWidth="1"/>
    <col min="2789" max="2789" width="5.85546875" style="122" customWidth="1"/>
    <col min="2790" max="2790" width="6.5703125" style="122" customWidth="1"/>
    <col min="2791" max="2791" width="3.28515625" style="122" customWidth="1"/>
    <col min="2792" max="2792" width="5.85546875" style="122" customWidth="1"/>
    <col min="2793" max="2793" width="6.5703125" style="122" customWidth="1"/>
    <col min="2794" max="2794" width="3.28515625" style="122" customWidth="1"/>
    <col min="2795" max="2795" width="5.85546875" style="122" customWidth="1"/>
    <col min="2796" max="2796" width="6.5703125" style="122" customWidth="1"/>
    <col min="2797" max="2797" width="3.28515625" style="122" customWidth="1"/>
    <col min="2798" max="2798" width="5.85546875" style="122" customWidth="1"/>
    <col min="2799" max="2799" width="6.5703125" style="122" customWidth="1"/>
    <col min="2800" max="2800" width="3.28515625" style="122" customWidth="1"/>
    <col min="2801" max="2801" width="5.85546875" style="122" customWidth="1"/>
    <col min="2802" max="2802" width="6.5703125" style="122" customWidth="1"/>
    <col min="2803" max="2803" width="3.28515625" style="122" customWidth="1"/>
    <col min="2804" max="2804" width="5.85546875" style="122" customWidth="1"/>
    <col min="2805" max="2805" width="6.5703125" style="122" customWidth="1"/>
    <col min="2806" max="2806" width="3.28515625" style="122" customWidth="1"/>
    <col min="2807" max="2807" width="5.85546875" style="122" customWidth="1"/>
    <col min="2808" max="2808" width="6.5703125" style="122" customWidth="1"/>
    <col min="2809" max="2809" width="3.28515625" style="122" customWidth="1"/>
    <col min="2810" max="2810" width="5.85546875" style="122" customWidth="1"/>
    <col min="2811" max="2811" width="6.5703125" style="122" customWidth="1"/>
    <col min="2812" max="2812" width="3.28515625" style="122" customWidth="1"/>
    <col min="2813" max="2813" width="5.85546875" style="122" customWidth="1"/>
    <col min="2814" max="2814" width="6.5703125" style="122" customWidth="1"/>
    <col min="2815" max="2815" width="3.28515625" style="122" customWidth="1"/>
    <col min="2816" max="2816" width="5.85546875" style="122" customWidth="1"/>
    <col min="2817" max="2817" width="6.5703125" style="122" customWidth="1"/>
    <col min="2818" max="2818" width="3.28515625" style="122" customWidth="1"/>
    <col min="2819" max="2819" width="5.85546875" style="122" customWidth="1"/>
    <col min="2820" max="2820" width="6.5703125" style="122" customWidth="1"/>
    <col min="2821" max="2821" width="3.28515625" style="122" customWidth="1"/>
    <col min="2822" max="2822" width="5.85546875" style="122" customWidth="1"/>
    <col min="2823" max="2823" width="6.5703125" style="122" customWidth="1"/>
    <col min="2824" max="2824" width="3.28515625" style="122" customWidth="1"/>
    <col min="2825" max="2825" width="5.85546875" style="122" customWidth="1"/>
    <col min="2826" max="2826" width="6.5703125" style="122" customWidth="1"/>
    <col min="2827" max="2827" width="3.28515625" style="122" customWidth="1"/>
    <col min="2828" max="2828" width="5.85546875" style="122" customWidth="1"/>
    <col min="2829" max="2829" width="6.5703125" style="122" customWidth="1"/>
    <col min="2830" max="2830" width="9.42578125" style="122" customWidth="1"/>
    <col min="2831" max="3033" width="9.140625" style="122"/>
    <col min="3034" max="3034" width="4.85546875" style="122" customWidth="1"/>
    <col min="3035" max="3035" width="5.140625" style="122" customWidth="1"/>
    <col min="3036" max="3036" width="13.7109375" style="122" customWidth="1"/>
    <col min="3037" max="3037" width="9.42578125" style="122" customWidth="1"/>
    <col min="3038" max="3038" width="7.85546875" style="122" bestFit="1" customWidth="1"/>
    <col min="3039" max="3039" width="9.42578125" style="122" customWidth="1"/>
    <col min="3040" max="3040" width="7.42578125" style="122" customWidth="1"/>
    <col min="3041" max="3041" width="7.85546875" style="122" customWidth="1"/>
    <col min="3042" max="3042" width="11" style="122" customWidth="1"/>
    <col min="3043" max="3043" width="7.5703125" style="122" customWidth="1"/>
    <col min="3044" max="3044" width="3.28515625" style="122" customWidth="1"/>
    <col min="3045" max="3045" width="5.85546875" style="122" customWidth="1"/>
    <col min="3046" max="3046" width="6.5703125" style="122" customWidth="1"/>
    <col min="3047" max="3047" width="3.28515625" style="122" customWidth="1"/>
    <col min="3048" max="3048" width="5.85546875" style="122" customWidth="1"/>
    <col min="3049" max="3049" width="6.5703125" style="122" customWidth="1"/>
    <col min="3050" max="3050" width="3.28515625" style="122" customWidth="1"/>
    <col min="3051" max="3051" width="5.85546875" style="122" customWidth="1"/>
    <col min="3052" max="3052" width="6.5703125" style="122" customWidth="1"/>
    <col min="3053" max="3053" width="3.28515625" style="122" customWidth="1"/>
    <col min="3054" max="3054" width="5.85546875" style="122" customWidth="1"/>
    <col min="3055" max="3055" width="6.5703125" style="122" customWidth="1"/>
    <col min="3056" max="3056" width="3.28515625" style="122" customWidth="1"/>
    <col min="3057" max="3057" width="5.85546875" style="122" customWidth="1"/>
    <col min="3058" max="3058" width="6.5703125" style="122" customWidth="1"/>
    <col min="3059" max="3059" width="3.28515625" style="122" customWidth="1"/>
    <col min="3060" max="3060" width="5.85546875" style="122" customWidth="1"/>
    <col min="3061" max="3061" width="6.5703125" style="122" customWidth="1"/>
    <col min="3062" max="3062" width="3.28515625" style="122" customWidth="1"/>
    <col min="3063" max="3063" width="5.85546875" style="122" customWidth="1"/>
    <col min="3064" max="3064" width="6.5703125" style="122" customWidth="1"/>
    <col min="3065" max="3065" width="3.28515625" style="122" customWidth="1"/>
    <col min="3066" max="3066" width="5.85546875" style="122" customWidth="1"/>
    <col min="3067" max="3067" width="6.5703125" style="122" customWidth="1"/>
    <col min="3068" max="3068" width="3.28515625" style="122" customWidth="1"/>
    <col min="3069" max="3069" width="5.85546875" style="122" customWidth="1"/>
    <col min="3070" max="3070" width="6.5703125" style="122" customWidth="1"/>
    <col min="3071" max="3071" width="3.28515625" style="122" customWidth="1"/>
    <col min="3072" max="3072" width="5.85546875" style="122" customWidth="1"/>
    <col min="3073" max="3073" width="6.5703125" style="122" customWidth="1"/>
    <col min="3074" max="3074" width="3.28515625" style="122" customWidth="1"/>
    <col min="3075" max="3075" width="5.85546875" style="122" customWidth="1"/>
    <col min="3076" max="3076" width="6.5703125" style="122" customWidth="1"/>
    <col min="3077" max="3077" width="3.28515625" style="122" customWidth="1"/>
    <col min="3078" max="3078" width="5.85546875" style="122" customWidth="1"/>
    <col min="3079" max="3079" width="6.5703125" style="122" customWidth="1"/>
    <col min="3080" max="3080" width="3.28515625" style="122" customWidth="1"/>
    <col min="3081" max="3081" width="5.85546875" style="122" customWidth="1"/>
    <col min="3082" max="3082" width="6.5703125" style="122" customWidth="1"/>
    <col min="3083" max="3083" width="3.28515625" style="122" customWidth="1"/>
    <col min="3084" max="3084" width="5.85546875" style="122" customWidth="1"/>
    <col min="3085" max="3085" width="6.5703125" style="122" customWidth="1"/>
    <col min="3086" max="3086" width="9.42578125" style="122" customWidth="1"/>
    <col min="3087" max="3289" width="9.140625" style="122"/>
    <col min="3290" max="3290" width="4.85546875" style="122" customWidth="1"/>
    <col min="3291" max="3291" width="5.140625" style="122" customWidth="1"/>
    <col min="3292" max="3292" width="13.7109375" style="122" customWidth="1"/>
    <col min="3293" max="3293" width="9.42578125" style="122" customWidth="1"/>
    <col min="3294" max="3294" width="7.85546875" style="122" bestFit="1" customWidth="1"/>
    <col min="3295" max="3295" width="9.42578125" style="122" customWidth="1"/>
    <col min="3296" max="3296" width="7.42578125" style="122" customWidth="1"/>
    <col min="3297" max="3297" width="7.85546875" style="122" customWidth="1"/>
    <col min="3298" max="3298" width="11" style="122" customWidth="1"/>
    <col min="3299" max="3299" width="7.5703125" style="122" customWidth="1"/>
    <col min="3300" max="3300" width="3.28515625" style="122" customWidth="1"/>
    <col min="3301" max="3301" width="5.85546875" style="122" customWidth="1"/>
    <col min="3302" max="3302" width="6.5703125" style="122" customWidth="1"/>
    <col min="3303" max="3303" width="3.28515625" style="122" customWidth="1"/>
    <col min="3304" max="3304" width="5.85546875" style="122" customWidth="1"/>
    <col min="3305" max="3305" width="6.5703125" style="122" customWidth="1"/>
    <col min="3306" max="3306" width="3.28515625" style="122" customWidth="1"/>
    <col min="3307" max="3307" width="5.85546875" style="122" customWidth="1"/>
    <col min="3308" max="3308" width="6.5703125" style="122" customWidth="1"/>
    <col min="3309" max="3309" width="3.28515625" style="122" customWidth="1"/>
    <col min="3310" max="3310" width="5.85546875" style="122" customWidth="1"/>
    <col min="3311" max="3311" width="6.5703125" style="122" customWidth="1"/>
    <col min="3312" max="3312" width="3.28515625" style="122" customWidth="1"/>
    <col min="3313" max="3313" width="5.85546875" style="122" customWidth="1"/>
    <col min="3314" max="3314" width="6.5703125" style="122" customWidth="1"/>
    <col min="3315" max="3315" width="3.28515625" style="122" customWidth="1"/>
    <col min="3316" max="3316" width="5.85546875" style="122" customWidth="1"/>
    <col min="3317" max="3317" width="6.5703125" style="122" customWidth="1"/>
    <col min="3318" max="3318" width="3.28515625" style="122" customWidth="1"/>
    <col min="3319" max="3319" width="5.85546875" style="122" customWidth="1"/>
    <col min="3320" max="3320" width="6.5703125" style="122" customWidth="1"/>
    <col min="3321" max="3321" width="3.28515625" style="122" customWidth="1"/>
    <col min="3322" max="3322" width="5.85546875" style="122" customWidth="1"/>
    <col min="3323" max="3323" width="6.5703125" style="122" customWidth="1"/>
    <col min="3324" max="3324" width="3.28515625" style="122" customWidth="1"/>
    <col min="3325" max="3325" width="5.85546875" style="122" customWidth="1"/>
    <col min="3326" max="3326" width="6.5703125" style="122" customWidth="1"/>
    <col min="3327" max="3327" width="3.28515625" style="122" customWidth="1"/>
    <col min="3328" max="3328" width="5.85546875" style="122" customWidth="1"/>
    <col min="3329" max="3329" width="6.5703125" style="122" customWidth="1"/>
    <col min="3330" max="3330" width="3.28515625" style="122" customWidth="1"/>
    <col min="3331" max="3331" width="5.85546875" style="122" customWidth="1"/>
    <col min="3332" max="3332" width="6.5703125" style="122" customWidth="1"/>
    <col min="3333" max="3333" width="3.28515625" style="122" customWidth="1"/>
    <col min="3334" max="3334" width="5.85546875" style="122" customWidth="1"/>
    <col min="3335" max="3335" width="6.5703125" style="122" customWidth="1"/>
    <col min="3336" max="3336" width="3.28515625" style="122" customWidth="1"/>
    <col min="3337" max="3337" width="5.85546875" style="122" customWidth="1"/>
    <col min="3338" max="3338" width="6.5703125" style="122" customWidth="1"/>
    <col min="3339" max="3339" width="3.28515625" style="122" customWidth="1"/>
    <col min="3340" max="3340" width="5.85546875" style="122" customWidth="1"/>
    <col min="3341" max="3341" width="6.5703125" style="122" customWidth="1"/>
    <col min="3342" max="3342" width="9.42578125" style="122" customWidth="1"/>
    <col min="3343" max="3545" width="9.140625" style="122"/>
    <col min="3546" max="3546" width="4.85546875" style="122" customWidth="1"/>
    <col min="3547" max="3547" width="5.140625" style="122" customWidth="1"/>
    <col min="3548" max="3548" width="13.7109375" style="122" customWidth="1"/>
    <col min="3549" max="3549" width="9.42578125" style="122" customWidth="1"/>
    <col min="3550" max="3550" width="7.85546875" style="122" bestFit="1" customWidth="1"/>
    <col min="3551" max="3551" width="9.42578125" style="122" customWidth="1"/>
    <col min="3552" max="3552" width="7.42578125" style="122" customWidth="1"/>
    <col min="3553" max="3553" width="7.85546875" style="122" customWidth="1"/>
    <col min="3554" max="3554" width="11" style="122" customWidth="1"/>
    <col min="3555" max="3555" width="7.5703125" style="122" customWidth="1"/>
    <col min="3556" max="3556" width="3.28515625" style="122" customWidth="1"/>
    <col min="3557" max="3557" width="5.85546875" style="122" customWidth="1"/>
    <col min="3558" max="3558" width="6.5703125" style="122" customWidth="1"/>
    <col min="3559" max="3559" width="3.28515625" style="122" customWidth="1"/>
    <col min="3560" max="3560" width="5.85546875" style="122" customWidth="1"/>
    <col min="3561" max="3561" width="6.5703125" style="122" customWidth="1"/>
    <col min="3562" max="3562" width="3.28515625" style="122" customWidth="1"/>
    <col min="3563" max="3563" width="5.85546875" style="122" customWidth="1"/>
    <col min="3564" max="3564" width="6.5703125" style="122" customWidth="1"/>
    <col min="3565" max="3565" width="3.28515625" style="122" customWidth="1"/>
    <col min="3566" max="3566" width="5.85546875" style="122" customWidth="1"/>
    <col min="3567" max="3567" width="6.5703125" style="122" customWidth="1"/>
    <col min="3568" max="3568" width="3.28515625" style="122" customWidth="1"/>
    <col min="3569" max="3569" width="5.85546875" style="122" customWidth="1"/>
    <col min="3570" max="3570" width="6.5703125" style="122" customWidth="1"/>
    <col min="3571" max="3571" width="3.28515625" style="122" customWidth="1"/>
    <col min="3572" max="3572" width="5.85546875" style="122" customWidth="1"/>
    <col min="3573" max="3573" width="6.5703125" style="122" customWidth="1"/>
    <col min="3574" max="3574" width="3.28515625" style="122" customWidth="1"/>
    <col min="3575" max="3575" width="5.85546875" style="122" customWidth="1"/>
    <col min="3576" max="3576" width="6.5703125" style="122" customWidth="1"/>
    <col min="3577" max="3577" width="3.28515625" style="122" customWidth="1"/>
    <col min="3578" max="3578" width="5.85546875" style="122" customWidth="1"/>
    <col min="3579" max="3579" width="6.5703125" style="122" customWidth="1"/>
    <col min="3580" max="3580" width="3.28515625" style="122" customWidth="1"/>
    <col min="3581" max="3581" width="5.85546875" style="122" customWidth="1"/>
    <col min="3582" max="3582" width="6.5703125" style="122" customWidth="1"/>
    <col min="3583" max="3583" width="3.28515625" style="122" customWidth="1"/>
    <col min="3584" max="3584" width="5.85546875" style="122" customWidth="1"/>
    <col min="3585" max="3585" width="6.5703125" style="122" customWidth="1"/>
    <col min="3586" max="3586" width="3.28515625" style="122" customWidth="1"/>
    <col min="3587" max="3587" width="5.85546875" style="122" customWidth="1"/>
    <col min="3588" max="3588" width="6.5703125" style="122" customWidth="1"/>
    <col min="3589" max="3589" width="3.28515625" style="122" customWidth="1"/>
    <col min="3590" max="3590" width="5.85546875" style="122" customWidth="1"/>
    <col min="3591" max="3591" width="6.5703125" style="122" customWidth="1"/>
    <col min="3592" max="3592" width="3.28515625" style="122" customWidth="1"/>
    <col min="3593" max="3593" width="5.85546875" style="122" customWidth="1"/>
    <col min="3594" max="3594" width="6.5703125" style="122" customWidth="1"/>
    <col min="3595" max="3595" width="3.28515625" style="122" customWidth="1"/>
    <col min="3596" max="3596" width="5.85546875" style="122" customWidth="1"/>
    <col min="3597" max="3597" width="6.5703125" style="122" customWidth="1"/>
    <col min="3598" max="3598" width="9.42578125" style="122" customWidth="1"/>
    <col min="3599" max="3801" width="9.140625" style="122"/>
    <col min="3802" max="3802" width="4.85546875" style="122" customWidth="1"/>
    <col min="3803" max="3803" width="5.140625" style="122" customWidth="1"/>
    <col min="3804" max="3804" width="13.7109375" style="122" customWidth="1"/>
    <col min="3805" max="3805" width="9.42578125" style="122" customWidth="1"/>
    <col min="3806" max="3806" width="7.85546875" style="122" bestFit="1" customWidth="1"/>
    <col min="3807" max="3807" width="9.42578125" style="122" customWidth="1"/>
    <col min="3808" max="3808" width="7.42578125" style="122" customWidth="1"/>
    <col min="3809" max="3809" width="7.85546875" style="122" customWidth="1"/>
    <col min="3810" max="3810" width="11" style="122" customWidth="1"/>
    <col min="3811" max="3811" width="7.5703125" style="122" customWidth="1"/>
    <col min="3812" max="3812" width="3.28515625" style="122" customWidth="1"/>
    <col min="3813" max="3813" width="5.85546875" style="122" customWidth="1"/>
    <col min="3814" max="3814" width="6.5703125" style="122" customWidth="1"/>
    <col min="3815" max="3815" width="3.28515625" style="122" customWidth="1"/>
    <col min="3816" max="3816" width="5.85546875" style="122" customWidth="1"/>
    <col min="3817" max="3817" width="6.5703125" style="122" customWidth="1"/>
    <col min="3818" max="3818" width="3.28515625" style="122" customWidth="1"/>
    <col min="3819" max="3819" width="5.85546875" style="122" customWidth="1"/>
    <col min="3820" max="3820" width="6.5703125" style="122" customWidth="1"/>
    <col min="3821" max="3821" width="3.28515625" style="122" customWidth="1"/>
    <col min="3822" max="3822" width="5.85546875" style="122" customWidth="1"/>
    <col min="3823" max="3823" width="6.5703125" style="122" customWidth="1"/>
    <col min="3824" max="3824" width="3.28515625" style="122" customWidth="1"/>
    <col min="3825" max="3825" width="5.85546875" style="122" customWidth="1"/>
    <col min="3826" max="3826" width="6.5703125" style="122" customWidth="1"/>
    <col min="3827" max="3827" width="3.28515625" style="122" customWidth="1"/>
    <col min="3828" max="3828" width="5.85546875" style="122" customWidth="1"/>
    <col min="3829" max="3829" width="6.5703125" style="122" customWidth="1"/>
    <col min="3830" max="3830" width="3.28515625" style="122" customWidth="1"/>
    <col min="3831" max="3831" width="5.85546875" style="122" customWidth="1"/>
    <col min="3832" max="3832" width="6.5703125" style="122" customWidth="1"/>
    <col min="3833" max="3833" width="3.28515625" style="122" customWidth="1"/>
    <col min="3834" max="3834" width="5.85546875" style="122" customWidth="1"/>
    <col min="3835" max="3835" width="6.5703125" style="122" customWidth="1"/>
    <col min="3836" max="3836" width="3.28515625" style="122" customWidth="1"/>
    <col min="3837" max="3837" width="5.85546875" style="122" customWidth="1"/>
    <col min="3838" max="3838" width="6.5703125" style="122" customWidth="1"/>
    <col min="3839" max="3839" width="3.28515625" style="122" customWidth="1"/>
    <col min="3840" max="3840" width="5.85546875" style="122" customWidth="1"/>
    <col min="3841" max="3841" width="6.5703125" style="122" customWidth="1"/>
    <col min="3842" max="3842" width="3.28515625" style="122" customWidth="1"/>
    <col min="3843" max="3843" width="5.85546875" style="122" customWidth="1"/>
    <col min="3844" max="3844" width="6.5703125" style="122" customWidth="1"/>
    <col min="3845" max="3845" width="3.28515625" style="122" customWidth="1"/>
    <col min="3846" max="3846" width="5.85546875" style="122" customWidth="1"/>
    <col min="3847" max="3847" width="6.5703125" style="122" customWidth="1"/>
    <col min="3848" max="3848" width="3.28515625" style="122" customWidth="1"/>
    <col min="3849" max="3849" width="5.85546875" style="122" customWidth="1"/>
    <col min="3850" max="3850" width="6.5703125" style="122" customWidth="1"/>
    <col min="3851" max="3851" width="3.28515625" style="122" customWidth="1"/>
    <col min="3852" max="3852" width="5.85546875" style="122" customWidth="1"/>
    <col min="3853" max="3853" width="6.5703125" style="122" customWidth="1"/>
    <col min="3854" max="3854" width="9.42578125" style="122" customWidth="1"/>
    <col min="3855" max="4057" width="9.140625" style="122"/>
    <col min="4058" max="4058" width="4.85546875" style="122" customWidth="1"/>
    <col min="4059" max="4059" width="5.140625" style="122" customWidth="1"/>
    <col min="4060" max="4060" width="13.7109375" style="122" customWidth="1"/>
    <col min="4061" max="4061" width="9.42578125" style="122" customWidth="1"/>
    <col min="4062" max="4062" width="7.85546875" style="122" bestFit="1" customWidth="1"/>
    <col min="4063" max="4063" width="9.42578125" style="122" customWidth="1"/>
    <col min="4064" max="4064" width="7.42578125" style="122" customWidth="1"/>
    <col min="4065" max="4065" width="7.85546875" style="122" customWidth="1"/>
    <col min="4066" max="4066" width="11" style="122" customWidth="1"/>
    <col min="4067" max="4067" width="7.5703125" style="122" customWidth="1"/>
    <col min="4068" max="4068" width="3.28515625" style="122" customWidth="1"/>
    <col min="4069" max="4069" width="5.85546875" style="122" customWidth="1"/>
    <col min="4070" max="4070" width="6.5703125" style="122" customWidth="1"/>
    <col min="4071" max="4071" width="3.28515625" style="122" customWidth="1"/>
    <col min="4072" max="4072" width="5.85546875" style="122" customWidth="1"/>
    <col min="4073" max="4073" width="6.5703125" style="122" customWidth="1"/>
    <col min="4074" max="4074" width="3.28515625" style="122" customWidth="1"/>
    <col min="4075" max="4075" width="5.85546875" style="122" customWidth="1"/>
    <col min="4076" max="4076" width="6.5703125" style="122" customWidth="1"/>
    <col min="4077" max="4077" width="3.28515625" style="122" customWidth="1"/>
    <col min="4078" max="4078" width="5.85546875" style="122" customWidth="1"/>
    <col min="4079" max="4079" width="6.5703125" style="122" customWidth="1"/>
    <col min="4080" max="4080" width="3.28515625" style="122" customWidth="1"/>
    <col min="4081" max="4081" width="5.85546875" style="122" customWidth="1"/>
    <col min="4082" max="4082" width="6.5703125" style="122" customWidth="1"/>
    <col min="4083" max="4083" width="3.28515625" style="122" customWidth="1"/>
    <col min="4084" max="4084" width="5.85546875" style="122" customWidth="1"/>
    <col min="4085" max="4085" width="6.5703125" style="122" customWidth="1"/>
    <col min="4086" max="4086" width="3.28515625" style="122" customWidth="1"/>
    <col min="4087" max="4087" width="5.85546875" style="122" customWidth="1"/>
    <col min="4088" max="4088" width="6.5703125" style="122" customWidth="1"/>
    <col min="4089" max="4089" width="3.28515625" style="122" customWidth="1"/>
    <col min="4090" max="4090" width="5.85546875" style="122" customWidth="1"/>
    <col min="4091" max="4091" width="6.5703125" style="122" customWidth="1"/>
    <col min="4092" max="4092" width="3.28515625" style="122" customWidth="1"/>
    <col min="4093" max="4093" width="5.85546875" style="122" customWidth="1"/>
    <col min="4094" max="4094" width="6.5703125" style="122" customWidth="1"/>
    <col min="4095" max="4095" width="3.28515625" style="122" customWidth="1"/>
    <col min="4096" max="4096" width="5.85546875" style="122" customWidth="1"/>
    <col min="4097" max="4097" width="6.5703125" style="122" customWidth="1"/>
    <col min="4098" max="4098" width="3.28515625" style="122" customWidth="1"/>
    <col min="4099" max="4099" width="5.85546875" style="122" customWidth="1"/>
    <col min="4100" max="4100" width="6.5703125" style="122" customWidth="1"/>
    <col min="4101" max="4101" width="3.28515625" style="122" customWidth="1"/>
    <col min="4102" max="4102" width="5.85546875" style="122" customWidth="1"/>
    <col min="4103" max="4103" width="6.5703125" style="122" customWidth="1"/>
    <col min="4104" max="4104" width="3.28515625" style="122" customWidth="1"/>
    <col min="4105" max="4105" width="5.85546875" style="122" customWidth="1"/>
    <col min="4106" max="4106" width="6.5703125" style="122" customWidth="1"/>
    <col min="4107" max="4107" width="3.28515625" style="122" customWidth="1"/>
    <col min="4108" max="4108" width="5.85546875" style="122" customWidth="1"/>
    <col min="4109" max="4109" width="6.5703125" style="122" customWidth="1"/>
    <col min="4110" max="4110" width="9.42578125" style="122" customWidth="1"/>
    <col min="4111" max="4313" width="9.140625" style="122"/>
    <col min="4314" max="4314" width="4.85546875" style="122" customWidth="1"/>
    <col min="4315" max="4315" width="5.140625" style="122" customWidth="1"/>
    <col min="4316" max="4316" width="13.7109375" style="122" customWidth="1"/>
    <col min="4317" max="4317" width="9.42578125" style="122" customWidth="1"/>
    <col min="4318" max="4318" width="7.85546875" style="122" bestFit="1" customWidth="1"/>
    <col min="4319" max="4319" width="9.42578125" style="122" customWidth="1"/>
    <col min="4320" max="4320" width="7.42578125" style="122" customWidth="1"/>
    <col min="4321" max="4321" width="7.85546875" style="122" customWidth="1"/>
    <col min="4322" max="4322" width="11" style="122" customWidth="1"/>
    <col min="4323" max="4323" width="7.5703125" style="122" customWidth="1"/>
    <col min="4324" max="4324" width="3.28515625" style="122" customWidth="1"/>
    <col min="4325" max="4325" width="5.85546875" style="122" customWidth="1"/>
    <col min="4326" max="4326" width="6.5703125" style="122" customWidth="1"/>
    <col min="4327" max="4327" width="3.28515625" style="122" customWidth="1"/>
    <col min="4328" max="4328" width="5.85546875" style="122" customWidth="1"/>
    <col min="4329" max="4329" width="6.5703125" style="122" customWidth="1"/>
    <col min="4330" max="4330" width="3.28515625" style="122" customWidth="1"/>
    <col min="4331" max="4331" width="5.85546875" style="122" customWidth="1"/>
    <col min="4332" max="4332" width="6.5703125" style="122" customWidth="1"/>
    <col min="4333" max="4333" width="3.28515625" style="122" customWidth="1"/>
    <col min="4334" max="4334" width="5.85546875" style="122" customWidth="1"/>
    <col min="4335" max="4335" width="6.5703125" style="122" customWidth="1"/>
    <col min="4336" max="4336" width="3.28515625" style="122" customWidth="1"/>
    <col min="4337" max="4337" width="5.85546875" style="122" customWidth="1"/>
    <col min="4338" max="4338" width="6.5703125" style="122" customWidth="1"/>
    <col min="4339" max="4339" width="3.28515625" style="122" customWidth="1"/>
    <col min="4340" max="4340" width="5.85546875" style="122" customWidth="1"/>
    <col min="4341" max="4341" width="6.5703125" style="122" customWidth="1"/>
    <col min="4342" max="4342" width="3.28515625" style="122" customWidth="1"/>
    <col min="4343" max="4343" width="5.85546875" style="122" customWidth="1"/>
    <col min="4344" max="4344" width="6.5703125" style="122" customWidth="1"/>
    <col min="4345" max="4345" width="3.28515625" style="122" customWidth="1"/>
    <col min="4346" max="4346" width="5.85546875" style="122" customWidth="1"/>
    <col min="4347" max="4347" width="6.5703125" style="122" customWidth="1"/>
    <col min="4348" max="4348" width="3.28515625" style="122" customWidth="1"/>
    <col min="4349" max="4349" width="5.85546875" style="122" customWidth="1"/>
    <col min="4350" max="4350" width="6.5703125" style="122" customWidth="1"/>
    <col min="4351" max="4351" width="3.28515625" style="122" customWidth="1"/>
    <col min="4352" max="4352" width="5.85546875" style="122" customWidth="1"/>
    <col min="4353" max="4353" width="6.5703125" style="122" customWidth="1"/>
    <col min="4354" max="4354" width="3.28515625" style="122" customWidth="1"/>
    <col min="4355" max="4355" width="5.85546875" style="122" customWidth="1"/>
    <col min="4356" max="4356" width="6.5703125" style="122" customWidth="1"/>
    <col min="4357" max="4357" width="3.28515625" style="122" customWidth="1"/>
    <col min="4358" max="4358" width="5.85546875" style="122" customWidth="1"/>
    <col min="4359" max="4359" width="6.5703125" style="122" customWidth="1"/>
    <col min="4360" max="4360" width="3.28515625" style="122" customWidth="1"/>
    <col min="4361" max="4361" width="5.85546875" style="122" customWidth="1"/>
    <col min="4362" max="4362" width="6.5703125" style="122" customWidth="1"/>
    <col min="4363" max="4363" width="3.28515625" style="122" customWidth="1"/>
    <col min="4364" max="4364" width="5.85546875" style="122" customWidth="1"/>
    <col min="4365" max="4365" width="6.5703125" style="122" customWidth="1"/>
    <col min="4366" max="4366" width="9.42578125" style="122" customWidth="1"/>
    <col min="4367" max="4569" width="9.140625" style="122"/>
    <col min="4570" max="4570" width="4.85546875" style="122" customWidth="1"/>
    <col min="4571" max="4571" width="5.140625" style="122" customWidth="1"/>
    <col min="4572" max="4572" width="13.7109375" style="122" customWidth="1"/>
    <col min="4573" max="4573" width="9.42578125" style="122" customWidth="1"/>
    <col min="4574" max="4574" width="7.85546875" style="122" bestFit="1" customWidth="1"/>
    <col min="4575" max="4575" width="9.42578125" style="122" customWidth="1"/>
    <col min="4576" max="4576" width="7.42578125" style="122" customWidth="1"/>
    <col min="4577" max="4577" width="7.85546875" style="122" customWidth="1"/>
    <col min="4578" max="4578" width="11" style="122" customWidth="1"/>
    <col min="4579" max="4579" width="7.5703125" style="122" customWidth="1"/>
    <col min="4580" max="4580" width="3.28515625" style="122" customWidth="1"/>
    <col min="4581" max="4581" width="5.85546875" style="122" customWidth="1"/>
    <col min="4582" max="4582" width="6.5703125" style="122" customWidth="1"/>
    <col min="4583" max="4583" width="3.28515625" style="122" customWidth="1"/>
    <col min="4584" max="4584" width="5.85546875" style="122" customWidth="1"/>
    <col min="4585" max="4585" width="6.5703125" style="122" customWidth="1"/>
    <col min="4586" max="4586" width="3.28515625" style="122" customWidth="1"/>
    <col min="4587" max="4587" width="5.85546875" style="122" customWidth="1"/>
    <col min="4588" max="4588" width="6.5703125" style="122" customWidth="1"/>
    <col min="4589" max="4589" width="3.28515625" style="122" customWidth="1"/>
    <col min="4590" max="4590" width="5.85546875" style="122" customWidth="1"/>
    <col min="4591" max="4591" width="6.5703125" style="122" customWidth="1"/>
    <col min="4592" max="4592" width="3.28515625" style="122" customWidth="1"/>
    <col min="4593" max="4593" width="5.85546875" style="122" customWidth="1"/>
    <col min="4594" max="4594" width="6.5703125" style="122" customWidth="1"/>
    <col min="4595" max="4595" width="3.28515625" style="122" customWidth="1"/>
    <col min="4596" max="4596" width="5.85546875" style="122" customWidth="1"/>
    <col min="4597" max="4597" width="6.5703125" style="122" customWidth="1"/>
    <col min="4598" max="4598" width="3.28515625" style="122" customWidth="1"/>
    <col min="4599" max="4599" width="5.85546875" style="122" customWidth="1"/>
    <col min="4600" max="4600" width="6.5703125" style="122" customWidth="1"/>
    <col min="4601" max="4601" width="3.28515625" style="122" customWidth="1"/>
    <col min="4602" max="4602" width="5.85546875" style="122" customWidth="1"/>
    <col min="4603" max="4603" width="6.5703125" style="122" customWidth="1"/>
    <col min="4604" max="4604" width="3.28515625" style="122" customWidth="1"/>
    <col min="4605" max="4605" width="5.85546875" style="122" customWidth="1"/>
    <col min="4606" max="4606" width="6.5703125" style="122" customWidth="1"/>
    <col min="4607" max="4607" width="3.28515625" style="122" customWidth="1"/>
    <col min="4608" max="4608" width="5.85546875" style="122" customWidth="1"/>
    <col min="4609" max="4609" width="6.5703125" style="122" customWidth="1"/>
    <col min="4610" max="4610" width="3.28515625" style="122" customWidth="1"/>
    <col min="4611" max="4611" width="5.85546875" style="122" customWidth="1"/>
    <col min="4612" max="4612" width="6.5703125" style="122" customWidth="1"/>
    <col min="4613" max="4613" width="3.28515625" style="122" customWidth="1"/>
    <col min="4614" max="4614" width="5.85546875" style="122" customWidth="1"/>
    <col min="4615" max="4615" width="6.5703125" style="122" customWidth="1"/>
    <col min="4616" max="4616" width="3.28515625" style="122" customWidth="1"/>
    <col min="4617" max="4617" width="5.85546875" style="122" customWidth="1"/>
    <col min="4618" max="4618" width="6.5703125" style="122" customWidth="1"/>
    <col min="4619" max="4619" width="3.28515625" style="122" customWidth="1"/>
    <col min="4620" max="4620" width="5.85546875" style="122" customWidth="1"/>
    <col min="4621" max="4621" width="6.5703125" style="122" customWidth="1"/>
    <col min="4622" max="4622" width="9.42578125" style="122" customWidth="1"/>
    <col min="4623" max="4825" width="9.140625" style="122"/>
    <col min="4826" max="4826" width="4.85546875" style="122" customWidth="1"/>
    <col min="4827" max="4827" width="5.140625" style="122" customWidth="1"/>
    <col min="4828" max="4828" width="13.7109375" style="122" customWidth="1"/>
    <col min="4829" max="4829" width="9.42578125" style="122" customWidth="1"/>
    <col min="4830" max="4830" width="7.85546875" style="122" bestFit="1" customWidth="1"/>
    <col min="4831" max="4831" width="9.42578125" style="122" customWidth="1"/>
    <col min="4832" max="4832" width="7.42578125" style="122" customWidth="1"/>
    <col min="4833" max="4833" width="7.85546875" style="122" customWidth="1"/>
    <col min="4834" max="4834" width="11" style="122" customWidth="1"/>
    <col min="4835" max="4835" width="7.5703125" style="122" customWidth="1"/>
    <col min="4836" max="4836" width="3.28515625" style="122" customWidth="1"/>
    <col min="4837" max="4837" width="5.85546875" style="122" customWidth="1"/>
    <col min="4838" max="4838" width="6.5703125" style="122" customWidth="1"/>
    <col min="4839" max="4839" width="3.28515625" style="122" customWidth="1"/>
    <col min="4840" max="4840" width="5.85546875" style="122" customWidth="1"/>
    <col min="4841" max="4841" width="6.5703125" style="122" customWidth="1"/>
    <col min="4842" max="4842" width="3.28515625" style="122" customWidth="1"/>
    <col min="4843" max="4843" width="5.85546875" style="122" customWidth="1"/>
    <col min="4844" max="4844" width="6.5703125" style="122" customWidth="1"/>
    <col min="4845" max="4845" width="3.28515625" style="122" customWidth="1"/>
    <col min="4846" max="4846" width="5.85546875" style="122" customWidth="1"/>
    <col min="4847" max="4847" width="6.5703125" style="122" customWidth="1"/>
    <col min="4848" max="4848" width="3.28515625" style="122" customWidth="1"/>
    <col min="4849" max="4849" width="5.85546875" style="122" customWidth="1"/>
    <col min="4850" max="4850" width="6.5703125" style="122" customWidth="1"/>
    <col min="4851" max="4851" width="3.28515625" style="122" customWidth="1"/>
    <col min="4852" max="4852" width="5.85546875" style="122" customWidth="1"/>
    <col min="4853" max="4853" width="6.5703125" style="122" customWidth="1"/>
    <col min="4854" max="4854" width="3.28515625" style="122" customWidth="1"/>
    <col min="4855" max="4855" width="5.85546875" style="122" customWidth="1"/>
    <col min="4856" max="4856" width="6.5703125" style="122" customWidth="1"/>
    <col min="4857" max="4857" width="3.28515625" style="122" customWidth="1"/>
    <col min="4858" max="4858" width="5.85546875" style="122" customWidth="1"/>
    <col min="4859" max="4859" width="6.5703125" style="122" customWidth="1"/>
    <col min="4860" max="4860" width="3.28515625" style="122" customWidth="1"/>
    <col min="4861" max="4861" width="5.85546875" style="122" customWidth="1"/>
    <col min="4862" max="4862" width="6.5703125" style="122" customWidth="1"/>
    <col min="4863" max="4863" width="3.28515625" style="122" customWidth="1"/>
    <col min="4864" max="4864" width="5.85546875" style="122" customWidth="1"/>
    <col min="4865" max="4865" width="6.5703125" style="122" customWidth="1"/>
    <col min="4866" max="4866" width="3.28515625" style="122" customWidth="1"/>
    <col min="4867" max="4867" width="5.85546875" style="122" customWidth="1"/>
    <col min="4868" max="4868" width="6.5703125" style="122" customWidth="1"/>
    <col min="4869" max="4869" width="3.28515625" style="122" customWidth="1"/>
    <col min="4870" max="4870" width="5.85546875" style="122" customWidth="1"/>
    <col min="4871" max="4871" width="6.5703125" style="122" customWidth="1"/>
    <col min="4872" max="4872" width="3.28515625" style="122" customWidth="1"/>
    <col min="4873" max="4873" width="5.85546875" style="122" customWidth="1"/>
    <col min="4874" max="4874" width="6.5703125" style="122" customWidth="1"/>
    <col min="4875" max="4875" width="3.28515625" style="122" customWidth="1"/>
    <col min="4876" max="4876" width="5.85546875" style="122" customWidth="1"/>
    <col min="4877" max="4877" width="6.5703125" style="122" customWidth="1"/>
    <col min="4878" max="4878" width="9.42578125" style="122" customWidth="1"/>
    <col min="4879" max="5081" width="9.140625" style="122"/>
    <col min="5082" max="5082" width="4.85546875" style="122" customWidth="1"/>
    <col min="5083" max="5083" width="5.140625" style="122" customWidth="1"/>
    <col min="5084" max="5084" width="13.7109375" style="122" customWidth="1"/>
    <col min="5085" max="5085" width="9.42578125" style="122" customWidth="1"/>
    <col min="5086" max="5086" width="7.85546875" style="122" bestFit="1" customWidth="1"/>
    <col min="5087" max="5087" width="9.42578125" style="122" customWidth="1"/>
    <col min="5088" max="5088" width="7.42578125" style="122" customWidth="1"/>
    <col min="5089" max="5089" width="7.85546875" style="122" customWidth="1"/>
    <col min="5090" max="5090" width="11" style="122" customWidth="1"/>
    <col min="5091" max="5091" width="7.5703125" style="122" customWidth="1"/>
    <col min="5092" max="5092" width="3.28515625" style="122" customWidth="1"/>
    <col min="5093" max="5093" width="5.85546875" style="122" customWidth="1"/>
    <col min="5094" max="5094" width="6.5703125" style="122" customWidth="1"/>
    <col min="5095" max="5095" width="3.28515625" style="122" customWidth="1"/>
    <col min="5096" max="5096" width="5.85546875" style="122" customWidth="1"/>
    <col min="5097" max="5097" width="6.5703125" style="122" customWidth="1"/>
    <col min="5098" max="5098" width="3.28515625" style="122" customWidth="1"/>
    <col min="5099" max="5099" width="5.85546875" style="122" customWidth="1"/>
    <col min="5100" max="5100" width="6.5703125" style="122" customWidth="1"/>
    <col min="5101" max="5101" width="3.28515625" style="122" customWidth="1"/>
    <col min="5102" max="5102" width="5.85546875" style="122" customWidth="1"/>
    <col min="5103" max="5103" width="6.5703125" style="122" customWidth="1"/>
    <col min="5104" max="5104" width="3.28515625" style="122" customWidth="1"/>
    <col min="5105" max="5105" width="5.85546875" style="122" customWidth="1"/>
    <col min="5106" max="5106" width="6.5703125" style="122" customWidth="1"/>
    <col min="5107" max="5107" width="3.28515625" style="122" customWidth="1"/>
    <col min="5108" max="5108" width="5.85546875" style="122" customWidth="1"/>
    <col min="5109" max="5109" width="6.5703125" style="122" customWidth="1"/>
    <col min="5110" max="5110" width="3.28515625" style="122" customWidth="1"/>
    <col min="5111" max="5111" width="5.85546875" style="122" customWidth="1"/>
    <col min="5112" max="5112" width="6.5703125" style="122" customWidth="1"/>
    <col min="5113" max="5113" width="3.28515625" style="122" customWidth="1"/>
    <col min="5114" max="5114" width="5.85546875" style="122" customWidth="1"/>
    <col min="5115" max="5115" width="6.5703125" style="122" customWidth="1"/>
    <col min="5116" max="5116" width="3.28515625" style="122" customWidth="1"/>
    <col min="5117" max="5117" width="5.85546875" style="122" customWidth="1"/>
    <col min="5118" max="5118" width="6.5703125" style="122" customWidth="1"/>
    <col min="5119" max="5119" width="3.28515625" style="122" customWidth="1"/>
    <col min="5120" max="5120" width="5.85546875" style="122" customWidth="1"/>
    <col min="5121" max="5121" width="6.5703125" style="122" customWidth="1"/>
    <col min="5122" max="5122" width="3.28515625" style="122" customWidth="1"/>
    <col min="5123" max="5123" width="5.85546875" style="122" customWidth="1"/>
    <col min="5124" max="5124" width="6.5703125" style="122" customWidth="1"/>
    <col min="5125" max="5125" width="3.28515625" style="122" customWidth="1"/>
    <col min="5126" max="5126" width="5.85546875" style="122" customWidth="1"/>
    <col min="5127" max="5127" width="6.5703125" style="122" customWidth="1"/>
    <col min="5128" max="5128" width="3.28515625" style="122" customWidth="1"/>
    <col min="5129" max="5129" width="5.85546875" style="122" customWidth="1"/>
    <col min="5130" max="5130" width="6.5703125" style="122" customWidth="1"/>
    <col min="5131" max="5131" width="3.28515625" style="122" customWidth="1"/>
    <col min="5132" max="5132" width="5.85546875" style="122" customWidth="1"/>
    <col min="5133" max="5133" width="6.5703125" style="122" customWidth="1"/>
    <col min="5134" max="5134" width="9.42578125" style="122" customWidth="1"/>
    <col min="5135" max="5337" width="9.140625" style="122"/>
    <col min="5338" max="5338" width="4.85546875" style="122" customWidth="1"/>
    <col min="5339" max="5339" width="5.140625" style="122" customWidth="1"/>
    <col min="5340" max="5340" width="13.7109375" style="122" customWidth="1"/>
    <col min="5341" max="5341" width="9.42578125" style="122" customWidth="1"/>
    <col min="5342" max="5342" width="7.85546875" style="122" bestFit="1" customWidth="1"/>
    <col min="5343" max="5343" width="9.42578125" style="122" customWidth="1"/>
    <col min="5344" max="5344" width="7.42578125" style="122" customWidth="1"/>
    <col min="5345" max="5345" width="7.85546875" style="122" customWidth="1"/>
    <col min="5346" max="5346" width="11" style="122" customWidth="1"/>
    <col min="5347" max="5347" width="7.5703125" style="122" customWidth="1"/>
    <col min="5348" max="5348" width="3.28515625" style="122" customWidth="1"/>
    <col min="5349" max="5349" width="5.85546875" style="122" customWidth="1"/>
    <col min="5350" max="5350" width="6.5703125" style="122" customWidth="1"/>
    <col min="5351" max="5351" width="3.28515625" style="122" customWidth="1"/>
    <col min="5352" max="5352" width="5.85546875" style="122" customWidth="1"/>
    <col min="5353" max="5353" width="6.5703125" style="122" customWidth="1"/>
    <col min="5354" max="5354" width="3.28515625" style="122" customWidth="1"/>
    <col min="5355" max="5355" width="5.85546875" style="122" customWidth="1"/>
    <col min="5356" max="5356" width="6.5703125" style="122" customWidth="1"/>
    <col min="5357" max="5357" width="3.28515625" style="122" customWidth="1"/>
    <col min="5358" max="5358" width="5.85546875" style="122" customWidth="1"/>
    <col min="5359" max="5359" width="6.5703125" style="122" customWidth="1"/>
    <col min="5360" max="5360" width="3.28515625" style="122" customWidth="1"/>
    <col min="5361" max="5361" width="5.85546875" style="122" customWidth="1"/>
    <col min="5362" max="5362" width="6.5703125" style="122" customWidth="1"/>
    <col min="5363" max="5363" width="3.28515625" style="122" customWidth="1"/>
    <col min="5364" max="5364" width="5.85546875" style="122" customWidth="1"/>
    <col min="5365" max="5365" width="6.5703125" style="122" customWidth="1"/>
    <col min="5366" max="5366" width="3.28515625" style="122" customWidth="1"/>
    <col min="5367" max="5367" width="5.85546875" style="122" customWidth="1"/>
    <col min="5368" max="5368" width="6.5703125" style="122" customWidth="1"/>
    <col min="5369" max="5369" width="3.28515625" style="122" customWidth="1"/>
    <col min="5370" max="5370" width="5.85546875" style="122" customWidth="1"/>
    <col min="5371" max="5371" width="6.5703125" style="122" customWidth="1"/>
    <col min="5372" max="5372" width="3.28515625" style="122" customWidth="1"/>
    <col min="5373" max="5373" width="5.85546875" style="122" customWidth="1"/>
    <col min="5374" max="5374" width="6.5703125" style="122" customWidth="1"/>
    <col min="5375" max="5375" width="3.28515625" style="122" customWidth="1"/>
    <col min="5376" max="5376" width="5.85546875" style="122" customWidth="1"/>
    <col min="5377" max="5377" width="6.5703125" style="122" customWidth="1"/>
    <col min="5378" max="5378" width="3.28515625" style="122" customWidth="1"/>
    <col min="5379" max="5379" width="5.85546875" style="122" customWidth="1"/>
    <col min="5380" max="5380" width="6.5703125" style="122" customWidth="1"/>
    <col min="5381" max="5381" width="3.28515625" style="122" customWidth="1"/>
    <col min="5382" max="5382" width="5.85546875" style="122" customWidth="1"/>
    <col min="5383" max="5383" width="6.5703125" style="122" customWidth="1"/>
    <col min="5384" max="5384" width="3.28515625" style="122" customWidth="1"/>
    <col min="5385" max="5385" width="5.85546875" style="122" customWidth="1"/>
    <col min="5386" max="5386" width="6.5703125" style="122" customWidth="1"/>
    <col min="5387" max="5387" width="3.28515625" style="122" customWidth="1"/>
    <col min="5388" max="5388" width="5.85546875" style="122" customWidth="1"/>
    <col min="5389" max="5389" width="6.5703125" style="122" customWidth="1"/>
    <col min="5390" max="5390" width="9.42578125" style="122" customWidth="1"/>
    <col min="5391" max="5593" width="9.140625" style="122"/>
    <col min="5594" max="5594" width="4.85546875" style="122" customWidth="1"/>
    <col min="5595" max="5595" width="5.140625" style="122" customWidth="1"/>
    <col min="5596" max="5596" width="13.7109375" style="122" customWidth="1"/>
    <col min="5597" max="5597" width="9.42578125" style="122" customWidth="1"/>
    <col min="5598" max="5598" width="7.85546875" style="122" bestFit="1" customWidth="1"/>
    <col min="5599" max="5599" width="9.42578125" style="122" customWidth="1"/>
    <col min="5600" max="5600" width="7.42578125" style="122" customWidth="1"/>
    <col min="5601" max="5601" width="7.85546875" style="122" customWidth="1"/>
    <col min="5602" max="5602" width="11" style="122" customWidth="1"/>
    <col min="5603" max="5603" width="7.5703125" style="122" customWidth="1"/>
    <col min="5604" max="5604" width="3.28515625" style="122" customWidth="1"/>
    <col min="5605" max="5605" width="5.85546875" style="122" customWidth="1"/>
    <col min="5606" max="5606" width="6.5703125" style="122" customWidth="1"/>
    <col min="5607" max="5607" width="3.28515625" style="122" customWidth="1"/>
    <col min="5608" max="5608" width="5.85546875" style="122" customWidth="1"/>
    <col min="5609" max="5609" width="6.5703125" style="122" customWidth="1"/>
    <col min="5610" max="5610" width="3.28515625" style="122" customWidth="1"/>
    <col min="5611" max="5611" width="5.85546875" style="122" customWidth="1"/>
    <col min="5612" max="5612" width="6.5703125" style="122" customWidth="1"/>
    <col min="5613" max="5613" width="3.28515625" style="122" customWidth="1"/>
    <col min="5614" max="5614" width="5.85546875" style="122" customWidth="1"/>
    <col min="5615" max="5615" width="6.5703125" style="122" customWidth="1"/>
    <col min="5616" max="5616" width="3.28515625" style="122" customWidth="1"/>
    <col min="5617" max="5617" width="5.85546875" style="122" customWidth="1"/>
    <col min="5618" max="5618" width="6.5703125" style="122" customWidth="1"/>
    <col min="5619" max="5619" width="3.28515625" style="122" customWidth="1"/>
    <col min="5620" max="5620" width="5.85546875" style="122" customWidth="1"/>
    <col min="5621" max="5621" width="6.5703125" style="122" customWidth="1"/>
    <col min="5622" max="5622" width="3.28515625" style="122" customWidth="1"/>
    <col min="5623" max="5623" width="5.85546875" style="122" customWidth="1"/>
    <col min="5624" max="5624" width="6.5703125" style="122" customWidth="1"/>
    <col min="5625" max="5625" width="3.28515625" style="122" customWidth="1"/>
    <col min="5626" max="5626" width="5.85546875" style="122" customWidth="1"/>
    <col min="5627" max="5627" width="6.5703125" style="122" customWidth="1"/>
    <col min="5628" max="5628" width="3.28515625" style="122" customWidth="1"/>
    <col min="5629" max="5629" width="5.85546875" style="122" customWidth="1"/>
    <col min="5630" max="5630" width="6.5703125" style="122" customWidth="1"/>
    <col min="5631" max="5631" width="3.28515625" style="122" customWidth="1"/>
    <col min="5632" max="5632" width="5.85546875" style="122" customWidth="1"/>
    <col min="5633" max="5633" width="6.5703125" style="122" customWidth="1"/>
    <col min="5634" max="5634" width="3.28515625" style="122" customWidth="1"/>
    <col min="5635" max="5635" width="5.85546875" style="122" customWidth="1"/>
    <col min="5636" max="5636" width="6.5703125" style="122" customWidth="1"/>
    <col min="5637" max="5637" width="3.28515625" style="122" customWidth="1"/>
    <col min="5638" max="5638" width="5.85546875" style="122" customWidth="1"/>
    <col min="5639" max="5639" width="6.5703125" style="122" customWidth="1"/>
    <col min="5640" max="5640" width="3.28515625" style="122" customWidth="1"/>
    <col min="5641" max="5641" width="5.85546875" style="122" customWidth="1"/>
    <col min="5642" max="5642" width="6.5703125" style="122" customWidth="1"/>
    <col min="5643" max="5643" width="3.28515625" style="122" customWidth="1"/>
    <col min="5644" max="5644" width="5.85546875" style="122" customWidth="1"/>
    <col min="5645" max="5645" width="6.5703125" style="122" customWidth="1"/>
    <col min="5646" max="5646" width="9.42578125" style="122" customWidth="1"/>
    <col min="5647" max="5849" width="9.140625" style="122"/>
    <col min="5850" max="5850" width="4.85546875" style="122" customWidth="1"/>
    <col min="5851" max="5851" width="5.140625" style="122" customWidth="1"/>
    <col min="5852" max="5852" width="13.7109375" style="122" customWidth="1"/>
    <col min="5853" max="5853" width="9.42578125" style="122" customWidth="1"/>
    <col min="5854" max="5854" width="7.85546875" style="122" bestFit="1" customWidth="1"/>
    <col min="5855" max="5855" width="9.42578125" style="122" customWidth="1"/>
    <col min="5856" max="5856" width="7.42578125" style="122" customWidth="1"/>
    <col min="5857" max="5857" width="7.85546875" style="122" customWidth="1"/>
    <col min="5858" max="5858" width="11" style="122" customWidth="1"/>
    <col min="5859" max="5859" width="7.5703125" style="122" customWidth="1"/>
    <col min="5860" max="5860" width="3.28515625" style="122" customWidth="1"/>
    <col min="5861" max="5861" width="5.85546875" style="122" customWidth="1"/>
    <col min="5862" max="5862" width="6.5703125" style="122" customWidth="1"/>
    <col min="5863" max="5863" width="3.28515625" style="122" customWidth="1"/>
    <col min="5864" max="5864" width="5.85546875" style="122" customWidth="1"/>
    <col min="5865" max="5865" width="6.5703125" style="122" customWidth="1"/>
    <col min="5866" max="5866" width="3.28515625" style="122" customWidth="1"/>
    <col min="5867" max="5867" width="5.85546875" style="122" customWidth="1"/>
    <col min="5868" max="5868" width="6.5703125" style="122" customWidth="1"/>
    <col min="5869" max="5869" width="3.28515625" style="122" customWidth="1"/>
    <col min="5870" max="5870" width="5.85546875" style="122" customWidth="1"/>
    <col min="5871" max="5871" width="6.5703125" style="122" customWidth="1"/>
    <col min="5872" max="5872" width="3.28515625" style="122" customWidth="1"/>
    <col min="5873" max="5873" width="5.85546875" style="122" customWidth="1"/>
    <col min="5874" max="5874" width="6.5703125" style="122" customWidth="1"/>
    <col min="5875" max="5875" width="3.28515625" style="122" customWidth="1"/>
    <col min="5876" max="5876" width="5.85546875" style="122" customWidth="1"/>
    <col min="5877" max="5877" width="6.5703125" style="122" customWidth="1"/>
    <col min="5878" max="5878" width="3.28515625" style="122" customWidth="1"/>
    <col min="5879" max="5879" width="5.85546875" style="122" customWidth="1"/>
    <col min="5880" max="5880" width="6.5703125" style="122" customWidth="1"/>
    <col min="5881" max="5881" width="3.28515625" style="122" customWidth="1"/>
    <col min="5882" max="5882" width="5.85546875" style="122" customWidth="1"/>
    <col min="5883" max="5883" width="6.5703125" style="122" customWidth="1"/>
    <col min="5884" max="5884" width="3.28515625" style="122" customWidth="1"/>
    <col min="5885" max="5885" width="5.85546875" style="122" customWidth="1"/>
    <col min="5886" max="5886" width="6.5703125" style="122" customWidth="1"/>
    <col min="5887" max="5887" width="3.28515625" style="122" customWidth="1"/>
    <col min="5888" max="5888" width="5.85546875" style="122" customWidth="1"/>
    <col min="5889" max="5889" width="6.5703125" style="122" customWidth="1"/>
    <col min="5890" max="5890" width="3.28515625" style="122" customWidth="1"/>
    <col min="5891" max="5891" width="5.85546875" style="122" customWidth="1"/>
    <col min="5892" max="5892" width="6.5703125" style="122" customWidth="1"/>
    <col min="5893" max="5893" width="3.28515625" style="122" customWidth="1"/>
    <col min="5894" max="5894" width="5.85546875" style="122" customWidth="1"/>
    <col min="5895" max="5895" width="6.5703125" style="122" customWidth="1"/>
    <col min="5896" max="5896" width="3.28515625" style="122" customWidth="1"/>
    <col min="5897" max="5897" width="5.85546875" style="122" customWidth="1"/>
    <col min="5898" max="5898" width="6.5703125" style="122" customWidth="1"/>
    <col min="5899" max="5899" width="3.28515625" style="122" customWidth="1"/>
    <col min="5900" max="5900" width="5.85546875" style="122" customWidth="1"/>
    <col min="5901" max="5901" width="6.5703125" style="122" customWidth="1"/>
    <col min="5902" max="5902" width="9.42578125" style="122" customWidth="1"/>
    <col min="5903" max="6105" width="9.140625" style="122"/>
    <col min="6106" max="6106" width="4.85546875" style="122" customWidth="1"/>
    <col min="6107" max="6107" width="5.140625" style="122" customWidth="1"/>
    <col min="6108" max="6108" width="13.7109375" style="122" customWidth="1"/>
    <col min="6109" max="6109" width="9.42578125" style="122" customWidth="1"/>
    <col min="6110" max="6110" width="7.85546875" style="122" bestFit="1" customWidth="1"/>
    <col min="6111" max="6111" width="9.42578125" style="122" customWidth="1"/>
    <col min="6112" max="6112" width="7.42578125" style="122" customWidth="1"/>
    <col min="6113" max="6113" width="7.85546875" style="122" customWidth="1"/>
    <col min="6114" max="6114" width="11" style="122" customWidth="1"/>
    <col min="6115" max="6115" width="7.5703125" style="122" customWidth="1"/>
    <col min="6116" max="6116" width="3.28515625" style="122" customWidth="1"/>
    <col min="6117" max="6117" width="5.85546875" style="122" customWidth="1"/>
    <col min="6118" max="6118" width="6.5703125" style="122" customWidth="1"/>
    <col min="6119" max="6119" width="3.28515625" style="122" customWidth="1"/>
    <col min="6120" max="6120" width="5.85546875" style="122" customWidth="1"/>
    <col min="6121" max="6121" width="6.5703125" style="122" customWidth="1"/>
    <col min="6122" max="6122" width="3.28515625" style="122" customWidth="1"/>
    <col min="6123" max="6123" width="5.85546875" style="122" customWidth="1"/>
    <col min="6124" max="6124" width="6.5703125" style="122" customWidth="1"/>
    <col min="6125" max="6125" width="3.28515625" style="122" customWidth="1"/>
    <col min="6126" max="6126" width="5.85546875" style="122" customWidth="1"/>
    <col min="6127" max="6127" width="6.5703125" style="122" customWidth="1"/>
    <col min="6128" max="6128" width="3.28515625" style="122" customWidth="1"/>
    <col min="6129" max="6129" width="5.85546875" style="122" customWidth="1"/>
    <col min="6130" max="6130" width="6.5703125" style="122" customWidth="1"/>
    <col min="6131" max="6131" width="3.28515625" style="122" customWidth="1"/>
    <col min="6132" max="6132" width="5.85546875" style="122" customWidth="1"/>
    <col min="6133" max="6133" width="6.5703125" style="122" customWidth="1"/>
    <col min="6134" max="6134" width="3.28515625" style="122" customWidth="1"/>
    <col min="6135" max="6135" width="5.85546875" style="122" customWidth="1"/>
    <col min="6136" max="6136" width="6.5703125" style="122" customWidth="1"/>
    <col min="6137" max="6137" width="3.28515625" style="122" customWidth="1"/>
    <col min="6138" max="6138" width="5.85546875" style="122" customWidth="1"/>
    <col min="6139" max="6139" width="6.5703125" style="122" customWidth="1"/>
    <col min="6140" max="6140" width="3.28515625" style="122" customWidth="1"/>
    <col min="6141" max="6141" width="5.85546875" style="122" customWidth="1"/>
    <col min="6142" max="6142" width="6.5703125" style="122" customWidth="1"/>
    <col min="6143" max="6143" width="3.28515625" style="122" customWidth="1"/>
    <col min="6144" max="6144" width="5.85546875" style="122" customWidth="1"/>
    <col min="6145" max="6145" width="6.5703125" style="122" customWidth="1"/>
    <col min="6146" max="6146" width="3.28515625" style="122" customWidth="1"/>
    <col min="6147" max="6147" width="5.85546875" style="122" customWidth="1"/>
    <col min="6148" max="6148" width="6.5703125" style="122" customWidth="1"/>
    <col min="6149" max="6149" width="3.28515625" style="122" customWidth="1"/>
    <col min="6150" max="6150" width="5.85546875" style="122" customWidth="1"/>
    <col min="6151" max="6151" width="6.5703125" style="122" customWidth="1"/>
    <col min="6152" max="6152" width="3.28515625" style="122" customWidth="1"/>
    <col min="6153" max="6153" width="5.85546875" style="122" customWidth="1"/>
    <col min="6154" max="6154" width="6.5703125" style="122" customWidth="1"/>
    <col min="6155" max="6155" width="3.28515625" style="122" customWidth="1"/>
    <col min="6156" max="6156" width="5.85546875" style="122" customWidth="1"/>
    <col min="6157" max="6157" width="6.5703125" style="122" customWidth="1"/>
    <col min="6158" max="6158" width="9.42578125" style="122" customWidth="1"/>
    <col min="6159" max="6361" width="9.140625" style="122"/>
    <col min="6362" max="6362" width="4.85546875" style="122" customWidth="1"/>
    <col min="6363" max="6363" width="5.140625" style="122" customWidth="1"/>
    <col min="6364" max="6364" width="13.7109375" style="122" customWidth="1"/>
    <col min="6365" max="6365" width="9.42578125" style="122" customWidth="1"/>
    <col min="6366" max="6366" width="7.85546875" style="122" bestFit="1" customWidth="1"/>
    <col min="6367" max="6367" width="9.42578125" style="122" customWidth="1"/>
    <col min="6368" max="6368" width="7.42578125" style="122" customWidth="1"/>
    <col min="6369" max="6369" width="7.85546875" style="122" customWidth="1"/>
    <col min="6370" max="6370" width="11" style="122" customWidth="1"/>
    <col min="6371" max="6371" width="7.5703125" style="122" customWidth="1"/>
    <col min="6372" max="6372" width="3.28515625" style="122" customWidth="1"/>
    <col min="6373" max="6373" width="5.85546875" style="122" customWidth="1"/>
    <col min="6374" max="6374" width="6.5703125" style="122" customWidth="1"/>
    <col min="6375" max="6375" width="3.28515625" style="122" customWidth="1"/>
    <col min="6376" max="6376" width="5.85546875" style="122" customWidth="1"/>
    <col min="6377" max="6377" width="6.5703125" style="122" customWidth="1"/>
    <col min="6378" max="6378" width="3.28515625" style="122" customWidth="1"/>
    <col min="6379" max="6379" width="5.85546875" style="122" customWidth="1"/>
    <col min="6380" max="6380" width="6.5703125" style="122" customWidth="1"/>
    <col min="6381" max="6381" width="3.28515625" style="122" customWidth="1"/>
    <col min="6382" max="6382" width="5.85546875" style="122" customWidth="1"/>
    <col min="6383" max="6383" width="6.5703125" style="122" customWidth="1"/>
    <col min="6384" max="6384" width="3.28515625" style="122" customWidth="1"/>
    <col min="6385" max="6385" width="5.85546875" style="122" customWidth="1"/>
    <col min="6386" max="6386" width="6.5703125" style="122" customWidth="1"/>
    <col min="6387" max="6387" width="3.28515625" style="122" customWidth="1"/>
    <col min="6388" max="6388" width="5.85546875" style="122" customWidth="1"/>
    <col min="6389" max="6389" width="6.5703125" style="122" customWidth="1"/>
    <col min="6390" max="6390" width="3.28515625" style="122" customWidth="1"/>
    <col min="6391" max="6391" width="5.85546875" style="122" customWidth="1"/>
    <col min="6392" max="6392" width="6.5703125" style="122" customWidth="1"/>
    <col min="6393" max="6393" width="3.28515625" style="122" customWidth="1"/>
    <col min="6394" max="6394" width="5.85546875" style="122" customWidth="1"/>
    <col min="6395" max="6395" width="6.5703125" style="122" customWidth="1"/>
    <col min="6396" max="6396" width="3.28515625" style="122" customWidth="1"/>
    <col min="6397" max="6397" width="5.85546875" style="122" customWidth="1"/>
    <col min="6398" max="6398" width="6.5703125" style="122" customWidth="1"/>
    <col min="6399" max="6399" width="3.28515625" style="122" customWidth="1"/>
    <col min="6400" max="6400" width="5.85546875" style="122" customWidth="1"/>
    <col min="6401" max="6401" width="6.5703125" style="122" customWidth="1"/>
    <col min="6402" max="6402" width="3.28515625" style="122" customWidth="1"/>
    <col min="6403" max="6403" width="5.85546875" style="122" customWidth="1"/>
    <col min="6404" max="6404" width="6.5703125" style="122" customWidth="1"/>
    <col min="6405" max="6405" width="3.28515625" style="122" customWidth="1"/>
    <col min="6406" max="6406" width="5.85546875" style="122" customWidth="1"/>
    <col min="6407" max="6407" width="6.5703125" style="122" customWidth="1"/>
    <col min="6408" max="6408" width="3.28515625" style="122" customWidth="1"/>
    <col min="6409" max="6409" width="5.85546875" style="122" customWidth="1"/>
    <col min="6410" max="6410" width="6.5703125" style="122" customWidth="1"/>
    <col min="6411" max="6411" width="3.28515625" style="122" customWidth="1"/>
    <col min="6412" max="6412" width="5.85546875" style="122" customWidth="1"/>
    <col min="6413" max="6413" width="6.5703125" style="122" customWidth="1"/>
    <col min="6414" max="6414" width="9.42578125" style="122" customWidth="1"/>
    <col min="6415" max="6617" width="9.140625" style="122"/>
    <col min="6618" max="6618" width="4.85546875" style="122" customWidth="1"/>
    <col min="6619" max="6619" width="5.140625" style="122" customWidth="1"/>
    <col min="6620" max="6620" width="13.7109375" style="122" customWidth="1"/>
    <col min="6621" max="6621" width="9.42578125" style="122" customWidth="1"/>
    <col min="6622" max="6622" width="7.85546875" style="122" bestFit="1" customWidth="1"/>
    <col min="6623" max="6623" width="9.42578125" style="122" customWidth="1"/>
    <col min="6624" max="6624" width="7.42578125" style="122" customWidth="1"/>
    <col min="6625" max="6625" width="7.85546875" style="122" customWidth="1"/>
    <col min="6626" max="6626" width="11" style="122" customWidth="1"/>
    <col min="6627" max="6627" width="7.5703125" style="122" customWidth="1"/>
    <col min="6628" max="6628" width="3.28515625" style="122" customWidth="1"/>
    <col min="6629" max="6629" width="5.85546875" style="122" customWidth="1"/>
    <col min="6630" max="6630" width="6.5703125" style="122" customWidth="1"/>
    <col min="6631" max="6631" width="3.28515625" style="122" customWidth="1"/>
    <col min="6632" max="6632" width="5.85546875" style="122" customWidth="1"/>
    <col min="6633" max="6633" width="6.5703125" style="122" customWidth="1"/>
    <col min="6634" max="6634" width="3.28515625" style="122" customWidth="1"/>
    <col min="6635" max="6635" width="5.85546875" style="122" customWidth="1"/>
    <col min="6636" max="6636" width="6.5703125" style="122" customWidth="1"/>
    <col min="6637" max="6637" width="3.28515625" style="122" customWidth="1"/>
    <col min="6638" max="6638" width="5.85546875" style="122" customWidth="1"/>
    <col min="6639" max="6639" width="6.5703125" style="122" customWidth="1"/>
    <col min="6640" max="6640" width="3.28515625" style="122" customWidth="1"/>
    <col min="6641" max="6641" width="5.85546875" style="122" customWidth="1"/>
    <col min="6642" max="6642" width="6.5703125" style="122" customWidth="1"/>
    <col min="6643" max="6643" width="3.28515625" style="122" customWidth="1"/>
    <col min="6644" max="6644" width="5.85546875" style="122" customWidth="1"/>
    <col min="6645" max="6645" width="6.5703125" style="122" customWidth="1"/>
    <col min="6646" max="6646" width="3.28515625" style="122" customWidth="1"/>
    <col min="6647" max="6647" width="5.85546875" style="122" customWidth="1"/>
    <col min="6648" max="6648" width="6.5703125" style="122" customWidth="1"/>
    <col min="6649" max="6649" width="3.28515625" style="122" customWidth="1"/>
    <col min="6650" max="6650" width="5.85546875" style="122" customWidth="1"/>
    <col min="6651" max="6651" width="6.5703125" style="122" customWidth="1"/>
    <col min="6652" max="6652" width="3.28515625" style="122" customWidth="1"/>
    <col min="6653" max="6653" width="5.85546875" style="122" customWidth="1"/>
    <col min="6654" max="6654" width="6.5703125" style="122" customWidth="1"/>
    <col min="6655" max="6655" width="3.28515625" style="122" customWidth="1"/>
    <col min="6656" max="6656" width="5.85546875" style="122" customWidth="1"/>
    <col min="6657" max="6657" width="6.5703125" style="122" customWidth="1"/>
    <col min="6658" max="6658" width="3.28515625" style="122" customWidth="1"/>
    <col min="6659" max="6659" width="5.85546875" style="122" customWidth="1"/>
    <col min="6660" max="6660" width="6.5703125" style="122" customWidth="1"/>
    <col min="6661" max="6661" width="3.28515625" style="122" customWidth="1"/>
    <col min="6662" max="6662" width="5.85546875" style="122" customWidth="1"/>
    <col min="6663" max="6663" width="6.5703125" style="122" customWidth="1"/>
    <col min="6664" max="6664" width="3.28515625" style="122" customWidth="1"/>
    <col min="6665" max="6665" width="5.85546875" style="122" customWidth="1"/>
    <col min="6666" max="6666" width="6.5703125" style="122" customWidth="1"/>
    <col min="6667" max="6667" width="3.28515625" style="122" customWidth="1"/>
    <col min="6668" max="6668" width="5.85546875" style="122" customWidth="1"/>
    <col min="6669" max="6669" width="6.5703125" style="122" customWidth="1"/>
    <col min="6670" max="6670" width="9.42578125" style="122" customWidth="1"/>
    <col min="6671" max="6873" width="9.140625" style="122"/>
    <col min="6874" max="6874" width="4.85546875" style="122" customWidth="1"/>
    <col min="6875" max="6875" width="5.140625" style="122" customWidth="1"/>
    <col min="6876" max="6876" width="13.7109375" style="122" customWidth="1"/>
    <col min="6877" max="6877" width="9.42578125" style="122" customWidth="1"/>
    <col min="6878" max="6878" width="7.85546875" style="122" bestFit="1" customWidth="1"/>
    <col min="6879" max="6879" width="9.42578125" style="122" customWidth="1"/>
    <col min="6880" max="6880" width="7.42578125" style="122" customWidth="1"/>
    <col min="6881" max="6881" width="7.85546875" style="122" customWidth="1"/>
    <col min="6882" max="6882" width="11" style="122" customWidth="1"/>
    <col min="6883" max="6883" width="7.5703125" style="122" customWidth="1"/>
    <col min="6884" max="6884" width="3.28515625" style="122" customWidth="1"/>
    <col min="6885" max="6885" width="5.85546875" style="122" customWidth="1"/>
    <col min="6886" max="6886" width="6.5703125" style="122" customWidth="1"/>
    <col min="6887" max="6887" width="3.28515625" style="122" customWidth="1"/>
    <col min="6888" max="6888" width="5.85546875" style="122" customWidth="1"/>
    <col min="6889" max="6889" width="6.5703125" style="122" customWidth="1"/>
    <col min="6890" max="6890" width="3.28515625" style="122" customWidth="1"/>
    <col min="6891" max="6891" width="5.85546875" style="122" customWidth="1"/>
    <col min="6892" max="6892" width="6.5703125" style="122" customWidth="1"/>
    <col min="6893" max="6893" width="3.28515625" style="122" customWidth="1"/>
    <col min="6894" max="6894" width="5.85546875" style="122" customWidth="1"/>
    <col min="6895" max="6895" width="6.5703125" style="122" customWidth="1"/>
    <col min="6896" max="6896" width="3.28515625" style="122" customWidth="1"/>
    <col min="6897" max="6897" width="5.85546875" style="122" customWidth="1"/>
    <col min="6898" max="6898" width="6.5703125" style="122" customWidth="1"/>
    <col min="6899" max="6899" width="3.28515625" style="122" customWidth="1"/>
    <col min="6900" max="6900" width="5.85546875" style="122" customWidth="1"/>
    <col min="6901" max="6901" width="6.5703125" style="122" customWidth="1"/>
    <col min="6902" max="6902" width="3.28515625" style="122" customWidth="1"/>
    <col min="6903" max="6903" width="5.85546875" style="122" customWidth="1"/>
    <col min="6904" max="6904" width="6.5703125" style="122" customWidth="1"/>
    <col min="6905" max="6905" width="3.28515625" style="122" customWidth="1"/>
    <col min="6906" max="6906" width="5.85546875" style="122" customWidth="1"/>
    <col min="6907" max="6907" width="6.5703125" style="122" customWidth="1"/>
    <col min="6908" max="6908" width="3.28515625" style="122" customWidth="1"/>
    <col min="6909" max="6909" width="5.85546875" style="122" customWidth="1"/>
    <col min="6910" max="6910" width="6.5703125" style="122" customWidth="1"/>
    <col min="6911" max="6911" width="3.28515625" style="122" customWidth="1"/>
    <col min="6912" max="6912" width="5.85546875" style="122" customWidth="1"/>
    <col min="6913" max="6913" width="6.5703125" style="122" customWidth="1"/>
    <col min="6914" max="6914" width="3.28515625" style="122" customWidth="1"/>
    <col min="6915" max="6915" width="5.85546875" style="122" customWidth="1"/>
    <col min="6916" max="6916" width="6.5703125" style="122" customWidth="1"/>
    <col min="6917" max="6917" width="3.28515625" style="122" customWidth="1"/>
    <col min="6918" max="6918" width="5.85546875" style="122" customWidth="1"/>
    <col min="6919" max="6919" width="6.5703125" style="122" customWidth="1"/>
    <col min="6920" max="6920" width="3.28515625" style="122" customWidth="1"/>
    <col min="6921" max="6921" width="5.85546875" style="122" customWidth="1"/>
    <col min="6922" max="6922" width="6.5703125" style="122" customWidth="1"/>
    <col min="6923" max="6923" width="3.28515625" style="122" customWidth="1"/>
    <col min="6924" max="6924" width="5.85546875" style="122" customWidth="1"/>
    <col min="6925" max="6925" width="6.5703125" style="122" customWidth="1"/>
    <col min="6926" max="6926" width="9.42578125" style="122" customWidth="1"/>
    <col min="6927" max="7129" width="9.140625" style="122"/>
    <col min="7130" max="7130" width="4.85546875" style="122" customWidth="1"/>
    <col min="7131" max="7131" width="5.140625" style="122" customWidth="1"/>
    <col min="7132" max="7132" width="13.7109375" style="122" customWidth="1"/>
    <col min="7133" max="7133" width="9.42578125" style="122" customWidth="1"/>
    <col min="7134" max="7134" width="7.85546875" style="122" bestFit="1" customWidth="1"/>
    <col min="7135" max="7135" width="9.42578125" style="122" customWidth="1"/>
    <col min="7136" max="7136" width="7.42578125" style="122" customWidth="1"/>
    <col min="7137" max="7137" width="7.85546875" style="122" customWidth="1"/>
    <col min="7138" max="7138" width="11" style="122" customWidth="1"/>
    <col min="7139" max="7139" width="7.5703125" style="122" customWidth="1"/>
    <col min="7140" max="7140" width="3.28515625" style="122" customWidth="1"/>
    <col min="7141" max="7141" width="5.85546875" style="122" customWidth="1"/>
    <col min="7142" max="7142" width="6.5703125" style="122" customWidth="1"/>
    <col min="7143" max="7143" width="3.28515625" style="122" customWidth="1"/>
    <col min="7144" max="7144" width="5.85546875" style="122" customWidth="1"/>
    <col min="7145" max="7145" width="6.5703125" style="122" customWidth="1"/>
    <col min="7146" max="7146" width="3.28515625" style="122" customWidth="1"/>
    <col min="7147" max="7147" width="5.85546875" style="122" customWidth="1"/>
    <col min="7148" max="7148" width="6.5703125" style="122" customWidth="1"/>
    <col min="7149" max="7149" width="3.28515625" style="122" customWidth="1"/>
    <col min="7150" max="7150" width="5.85546875" style="122" customWidth="1"/>
    <col min="7151" max="7151" width="6.5703125" style="122" customWidth="1"/>
    <col min="7152" max="7152" width="3.28515625" style="122" customWidth="1"/>
    <col min="7153" max="7153" width="5.85546875" style="122" customWidth="1"/>
    <col min="7154" max="7154" width="6.5703125" style="122" customWidth="1"/>
    <col min="7155" max="7155" width="3.28515625" style="122" customWidth="1"/>
    <col min="7156" max="7156" width="5.85546875" style="122" customWidth="1"/>
    <col min="7157" max="7157" width="6.5703125" style="122" customWidth="1"/>
    <col min="7158" max="7158" width="3.28515625" style="122" customWidth="1"/>
    <col min="7159" max="7159" width="5.85546875" style="122" customWidth="1"/>
    <col min="7160" max="7160" width="6.5703125" style="122" customWidth="1"/>
    <col min="7161" max="7161" width="3.28515625" style="122" customWidth="1"/>
    <col min="7162" max="7162" width="5.85546875" style="122" customWidth="1"/>
    <col min="7163" max="7163" width="6.5703125" style="122" customWidth="1"/>
    <col min="7164" max="7164" width="3.28515625" style="122" customWidth="1"/>
    <col min="7165" max="7165" width="5.85546875" style="122" customWidth="1"/>
    <col min="7166" max="7166" width="6.5703125" style="122" customWidth="1"/>
    <col min="7167" max="7167" width="3.28515625" style="122" customWidth="1"/>
    <col min="7168" max="7168" width="5.85546875" style="122" customWidth="1"/>
    <col min="7169" max="7169" width="6.5703125" style="122" customWidth="1"/>
    <col min="7170" max="7170" width="3.28515625" style="122" customWidth="1"/>
    <col min="7171" max="7171" width="5.85546875" style="122" customWidth="1"/>
    <col min="7172" max="7172" width="6.5703125" style="122" customWidth="1"/>
    <col min="7173" max="7173" width="3.28515625" style="122" customWidth="1"/>
    <col min="7174" max="7174" width="5.85546875" style="122" customWidth="1"/>
    <col min="7175" max="7175" width="6.5703125" style="122" customWidth="1"/>
    <col min="7176" max="7176" width="3.28515625" style="122" customWidth="1"/>
    <col min="7177" max="7177" width="5.85546875" style="122" customWidth="1"/>
    <col min="7178" max="7178" width="6.5703125" style="122" customWidth="1"/>
    <col min="7179" max="7179" width="3.28515625" style="122" customWidth="1"/>
    <col min="7180" max="7180" width="5.85546875" style="122" customWidth="1"/>
    <col min="7181" max="7181" width="6.5703125" style="122" customWidth="1"/>
    <col min="7182" max="7182" width="9.42578125" style="122" customWidth="1"/>
    <col min="7183" max="7385" width="9.140625" style="122"/>
    <col min="7386" max="7386" width="4.85546875" style="122" customWidth="1"/>
    <col min="7387" max="7387" width="5.140625" style="122" customWidth="1"/>
    <col min="7388" max="7388" width="13.7109375" style="122" customWidth="1"/>
    <col min="7389" max="7389" width="9.42578125" style="122" customWidth="1"/>
    <col min="7390" max="7390" width="7.85546875" style="122" bestFit="1" customWidth="1"/>
    <col min="7391" max="7391" width="9.42578125" style="122" customWidth="1"/>
    <col min="7392" max="7392" width="7.42578125" style="122" customWidth="1"/>
    <col min="7393" max="7393" width="7.85546875" style="122" customWidth="1"/>
    <col min="7394" max="7394" width="11" style="122" customWidth="1"/>
    <col min="7395" max="7395" width="7.5703125" style="122" customWidth="1"/>
    <col min="7396" max="7396" width="3.28515625" style="122" customWidth="1"/>
    <col min="7397" max="7397" width="5.85546875" style="122" customWidth="1"/>
    <col min="7398" max="7398" width="6.5703125" style="122" customWidth="1"/>
    <col min="7399" max="7399" width="3.28515625" style="122" customWidth="1"/>
    <col min="7400" max="7400" width="5.85546875" style="122" customWidth="1"/>
    <col min="7401" max="7401" width="6.5703125" style="122" customWidth="1"/>
    <col min="7402" max="7402" width="3.28515625" style="122" customWidth="1"/>
    <col min="7403" max="7403" width="5.85546875" style="122" customWidth="1"/>
    <col min="7404" max="7404" width="6.5703125" style="122" customWidth="1"/>
    <col min="7405" max="7405" width="3.28515625" style="122" customWidth="1"/>
    <col min="7406" max="7406" width="5.85546875" style="122" customWidth="1"/>
    <col min="7407" max="7407" width="6.5703125" style="122" customWidth="1"/>
    <col min="7408" max="7408" width="3.28515625" style="122" customWidth="1"/>
    <col min="7409" max="7409" width="5.85546875" style="122" customWidth="1"/>
    <col min="7410" max="7410" width="6.5703125" style="122" customWidth="1"/>
    <col min="7411" max="7411" width="3.28515625" style="122" customWidth="1"/>
    <col min="7412" max="7412" width="5.85546875" style="122" customWidth="1"/>
    <col min="7413" max="7413" width="6.5703125" style="122" customWidth="1"/>
    <col min="7414" max="7414" width="3.28515625" style="122" customWidth="1"/>
    <col min="7415" max="7415" width="5.85546875" style="122" customWidth="1"/>
    <col min="7416" max="7416" width="6.5703125" style="122" customWidth="1"/>
    <col min="7417" max="7417" width="3.28515625" style="122" customWidth="1"/>
    <col min="7418" max="7418" width="5.85546875" style="122" customWidth="1"/>
    <col min="7419" max="7419" width="6.5703125" style="122" customWidth="1"/>
    <col min="7420" max="7420" width="3.28515625" style="122" customWidth="1"/>
    <col min="7421" max="7421" width="5.85546875" style="122" customWidth="1"/>
    <col min="7422" max="7422" width="6.5703125" style="122" customWidth="1"/>
    <col min="7423" max="7423" width="3.28515625" style="122" customWidth="1"/>
    <col min="7424" max="7424" width="5.85546875" style="122" customWidth="1"/>
    <col min="7425" max="7425" width="6.5703125" style="122" customWidth="1"/>
    <col min="7426" max="7426" width="3.28515625" style="122" customWidth="1"/>
    <col min="7427" max="7427" width="5.85546875" style="122" customWidth="1"/>
    <col min="7428" max="7428" width="6.5703125" style="122" customWidth="1"/>
    <col min="7429" max="7429" width="3.28515625" style="122" customWidth="1"/>
    <col min="7430" max="7430" width="5.85546875" style="122" customWidth="1"/>
    <col min="7431" max="7431" width="6.5703125" style="122" customWidth="1"/>
    <col min="7432" max="7432" width="3.28515625" style="122" customWidth="1"/>
    <col min="7433" max="7433" width="5.85546875" style="122" customWidth="1"/>
    <col min="7434" max="7434" width="6.5703125" style="122" customWidth="1"/>
    <col min="7435" max="7435" width="3.28515625" style="122" customWidth="1"/>
    <col min="7436" max="7436" width="5.85546875" style="122" customWidth="1"/>
    <col min="7437" max="7437" width="6.5703125" style="122" customWidth="1"/>
    <col min="7438" max="7438" width="9.42578125" style="122" customWidth="1"/>
    <col min="7439" max="7641" width="9.140625" style="122"/>
    <col min="7642" max="7642" width="4.85546875" style="122" customWidth="1"/>
    <col min="7643" max="7643" width="5.140625" style="122" customWidth="1"/>
    <col min="7644" max="7644" width="13.7109375" style="122" customWidth="1"/>
    <col min="7645" max="7645" width="9.42578125" style="122" customWidth="1"/>
    <col min="7646" max="7646" width="7.85546875" style="122" bestFit="1" customWidth="1"/>
    <col min="7647" max="7647" width="9.42578125" style="122" customWidth="1"/>
    <col min="7648" max="7648" width="7.42578125" style="122" customWidth="1"/>
    <col min="7649" max="7649" width="7.85546875" style="122" customWidth="1"/>
    <col min="7650" max="7650" width="11" style="122" customWidth="1"/>
    <col min="7651" max="7651" width="7.5703125" style="122" customWidth="1"/>
    <col min="7652" max="7652" width="3.28515625" style="122" customWidth="1"/>
    <col min="7653" max="7653" width="5.85546875" style="122" customWidth="1"/>
    <col min="7654" max="7654" width="6.5703125" style="122" customWidth="1"/>
    <col min="7655" max="7655" width="3.28515625" style="122" customWidth="1"/>
    <col min="7656" max="7656" width="5.85546875" style="122" customWidth="1"/>
    <col min="7657" max="7657" width="6.5703125" style="122" customWidth="1"/>
    <col min="7658" max="7658" width="3.28515625" style="122" customWidth="1"/>
    <col min="7659" max="7659" width="5.85546875" style="122" customWidth="1"/>
    <col min="7660" max="7660" width="6.5703125" style="122" customWidth="1"/>
    <col min="7661" max="7661" width="3.28515625" style="122" customWidth="1"/>
    <col min="7662" max="7662" width="5.85546875" style="122" customWidth="1"/>
    <col min="7663" max="7663" width="6.5703125" style="122" customWidth="1"/>
    <col min="7664" max="7664" width="3.28515625" style="122" customWidth="1"/>
    <col min="7665" max="7665" width="5.85546875" style="122" customWidth="1"/>
    <col min="7666" max="7666" width="6.5703125" style="122" customWidth="1"/>
    <col min="7667" max="7667" width="3.28515625" style="122" customWidth="1"/>
    <col min="7668" max="7668" width="5.85546875" style="122" customWidth="1"/>
    <col min="7669" max="7669" width="6.5703125" style="122" customWidth="1"/>
    <col min="7670" max="7670" width="3.28515625" style="122" customWidth="1"/>
    <col min="7671" max="7671" width="5.85546875" style="122" customWidth="1"/>
    <col min="7672" max="7672" width="6.5703125" style="122" customWidth="1"/>
    <col min="7673" max="7673" width="3.28515625" style="122" customWidth="1"/>
    <col min="7674" max="7674" width="5.85546875" style="122" customWidth="1"/>
    <col min="7675" max="7675" width="6.5703125" style="122" customWidth="1"/>
    <col min="7676" max="7676" width="3.28515625" style="122" customWidth="1"/>
    <col min="7677" max="7677" width="5.85546875" style="122" customWidth="1"/>
    <col min="7678" max="7678" width="6.5703125" style="122" customWidth="1"/>
    <col min="7679" max="7679" width="3.28515625" style="122" customWidth="1"/>
    <col min="7680" max="7680" width="5.85546875" style="122" customWidth="1"/>
    <col min="7681" max="7681" width="6.5703125" style="122" customWidth="1"/>
    <col min="7682" max="7682" width="3.28515625" style="122" customWidth="1"/>
    <col min="7683" max="7683" width="5.85546875" style="122" customWidth="1"/>
    <col min="7684" max="7684" width="6.5703125" style="122" customWidth="1"/>
    <col min="7685" max="7685" width="3.28515625" style="122" customWidth="1"/>
    <col min="7686" max="7686" width="5.85546875" style="122" customWidth="1"/>
    <col min="7687" max="7687" width="6.5703125" style="122" customWidth="1"/>
    <col min="7688" max="7688" width="3.28515625" style="122" customWidth="1"/>
    <col min="7689" max="7689" width="5.85546875" style="122" customWidth="1"/>
    <col min="7690" max="7690" width="6.5703125" style="122" customWidth="1"/>
    <col min="7691" max="7691" width="3.28515625" style="122" customWidth="1"/>
    <col min="7692" max="7692" width="5.85546875" style="122" customWidth="1"/>
    <col min="7693" max="7693" width="6.5703125" style="122" customWidth="1"/>
    <col min="7694" max="7694" width="9.42578125" style="122" customWidth="1"/>
    <col min="7695" max="7897" width="9.140625" style="122"/>
    <col min="7898" max="7898" width="4.85546875" style="122" customWidth="1"/>
    <col min="7899" max="7899" width="5.140625" style="122" customWidth="1"/>
    <col min="7900" max="7900" width="13.7109375" style="122" customWidth="1"/>
    <col min="7901" max="7901" width="9.42578125" style="122" customWidth="1"/>
    <col min="7902" max="7902" width="7.85546875" style="122" bestFit="1" customWidth="1"/>
    <col min="7903" max="7903" width="9.42578125" style="122" customWidth="1"/>
    <col min="7904" max="7904" width="7.42578125" style="122" customWidth="1"/>
    <col min="7905" max="7905" width="7.85546875" style="122" customWidth="1"/>
    <col min="7906" max="7906" width="11" style="122" customWidth="1"/>
    <col min="7907" max="7907" width="7.5703125" style="122" customWidth="1"/>
    <col min="7908" max="7908" width="3.28515625" style="122" customWidth="1"/>
    <col min="7909" max="7909" width="5.85546875" style="122" customWidth="1"/>
    <col min="7910" max="7910" width="6.5703125" style="122" customWidth="1"/>
    <col min="7911" max="7911" width="3.28515625" style="122" customWidth="1"/>
    <col min="7912" max="7912" width="5.85546875" style="122" customWidth="1"/>
    <col min="7913" max="7913" width="6.5703125" style="122" customWidth="1"/>
    <col min="7914" max="7914" width="3.28515625" style="122" customWidth="1"/>
    <col min="7915" max="7915" width="5.85546875" style="122" customWidth="1"/>
    <col min="7916" max="7916" width="6.5703125" style="122" customWidth="1"/>
    <col min="7917" max="7917" width="3.28515625" style="122" customWidth="1"/>
    <col min="7918" max="7918" width="5.85546875" style="122" customWidth="1"/>
    <col min="7919" max="7919" width="6.5703125" style="122" customWidth="1"/>
    <col min="7920" max="7920" width="3.28515625" style="122" customWidth="1"/>
    <col min="7921" max="7921" width="5.85546875" style="122" customWidth="1"/>
    <col min="7922" max="7922" width="6.5703125" style="122" customWidth="1"/>
    <col min="7923" max="7923" width="3.28515625" style="122" customWidth="1"/>
    <col min="7924" max="7924" width="5.85546875" style="122" customWidth="1"/>
    <col min="7925" max="7925" width="6.5703125" style="122" customWidth="1"/>
    <col min="7926" max="7926" width="3.28515625" style="122" customWidth="1"/>
    <col min="7927" max="7927" width="5.85546875" style="122" customWidth="1"/>
    <col min="7928" max="7928" width="6.5703125" style="122" customWidth="1"/>
    <col min="7929" max="7929" width="3.28515625" style="122" customWidth="1"/>
    <col min="7930" max="7930" width="5.85546875" style="122" customWidth="1"/>
    <col min="7931" max="7931" width="6.5703125" style="122" customWidth="1"/>
    <col min="7932" max="7932" width="3.28515625" style="122" customWidth="1"/>
    <col min="7933" max="7933" width="5.85546875" style="122" customWidth="1"/>
    <col min="7934" max="7934" width="6.5703125" style="122" customWidth="1"/>
    <col min="7935" max="7935" width="3.28515625" style="122" customWidth="1"/>
    <col min="7936" max="7936" width="5.85546875" style="122" customWidth="1"/>
    <col min="7937" max="7937" width="6.5703125" style="122" customWidth="1"/>
    <col min="7938" max="7938" width="3.28515625" style="122" customWidth="1"/>
    <col min="7939" max="7939" width="5.85546875" style="122" customWidth="1"/>
    <col min="7940" max="7940" width="6.5703125" style="122" customWidth="1"/>
    <col min="7941" max="7941" width="3.28515625" style="122" customWidth="1"/>
    <col min="7942" max="7942" width="5.85546875" style="122" customWidth="1"/>
    <col min="7943" max="7943" width="6.5703125" style="122" customWidth="1"/>
    <col min="7944" max="7944" width="3.28515625" style="122" customWidth="1"/>
    <col min="7945" max="7945" width="5.85546875" style="122" customWidth="1"/>
    <col min="7946" max="7946" width="6.5703125" style="122" customWidth="1"/>
    <col min="7947" max="7947" width="3.28515625" style="122" customWidth="1"/>
    <col min="7948" max="7948" width="5.85546875" style="122" customWidth="1"/>
    <col min="7949" max="7949" width="6.5703125" style="122" customWidth="1"/>
    <col min="7950" max="7950" width="9.42578125" style="122" customWidth="1"/>
    <col min="7951" max="8153" width="9.140625" style="122"/>
    <col min="8154" max="8154" width="4.85546875" style="122" customWidth="1"/>
    <col min="8155" max="8155" width="5.140625" style="122" customWidth="1"/>
    <col min="8156" max="8156" width="13.7109375" style="122" customWidth="1"/>
    <col min="8157" max="8157" width="9.42578125" style="122" customWidth="1"/>
    <col min="8158" max="8158" width="7.85546875" style="122" bestFit="1" customWidth="1"/>
    <col min="8159" max="8159" width="9.42578125" style="122" customWidth="1"/>
    <col min="8160" max="8160" width="7.42578125" style="122" customWidth="1"/>
    <col min="8161" max="8161" width="7.85546875" style="122" customWidth="1"/>
    <col min="8162" max="8162" width="11" style="122" customWidth="1"/>
    <col min="8163" max="8163" width="7.5703125" style="122" customWidth="1"/>
    <col min="8164" max="8164" width="3.28515625" style="122" customWidth="1"/>
    <col min="8165" max="8165" width="5.85546875" style="122" customWidth="1"/>
    <col min="8166" max="8166" width="6.5703125" style="122" customWidth="1"/>
    <col min="8167" max="8167" width="3.28515625" style="122" customWidth="1"/>
    <col min="8168" max="8168" width="5.85546875" style="122" customWidth="1"/>
    <col min="8169" max="8169" width="6.5703125" style="122" customWidth="1"/>
    <col min="8170" max="8170" width="3.28515625" style="122" customWidth="1"/>
    <col min="8171" max="8171" width="5.85546875" style="122" customWidth="1"/>
    <col min="8172" max="8172" width="6.5703125" style="122" customWidth="1"/>
    <col min="8173" max="8173" width="3.28515625" style="122" customWidth="1"/>
    <col min="8174" max="8174" width="5.85546875" style="122" customWidth="1"/>
    <col min="8175" max="8175" width="6.5703125" style="122" customWidth="1"/>
    <col min="8176" max="8176" width="3.28515625" style="122" customWidth="1"/>
    <col min="8177" max="8177" width="5.85546875" style="122" customWidth="1"/>
    <col min="8178" max="8178" width="6.5703125" style="122" customWidth="1"/>
    <col min="8179" max="8179" width="3.28515625" style="122" customWidth="1"/>
    <col min="8180" max="8180" width="5.85546875" style="122" customWidth="1"/>
    <col min="8181" max="8181" width="6.5703125" style="122" customWidth="1"/>
    <col min="8182" max="8182" width="3.28515625" style="122" customWidth="1"/>
    <col min="8183" max="8183" width="5.85546875" style="122" customWidth="1"/>
    <col min="8184" max="8184" width="6.5703125" style="122" customWidth="1"/>
    <col min="8185" max="8185" width="3.28515625" style="122" customWidth="1"/>
    <col min="8186" max="8186" width="5.85546875" style="122" customWidth="1"/>
    <col min="8187" max="8187" width="6.5703125" style="122" customWidth="1"/>
    <col min="8188" max="8188" width="3.28515625" style="122" customWidth="1"/>
    <col min="8189" max="8189" width="5.85546875" style="122" customWidth="1"/>
    <col min="8190" max="8190" width="6.5703125" style="122" customWidth="1"/>
    <col min="8191" max="8191" width="3.28515625" style="122" customWidth="1"/>
    <col min="8192" max="8192" width="5.85546875" style="122" customWidth="1"/>
    <col min="8193" max="8193" width="6.5703125" style="122" customWidth="1"/>
    <col min="8194" max="8194" width="3.28515625" style="122" customWidth="1"/>
    <col min="8195" max="8195" width="5.85546875" style="122" customWidth="1"/>
    <col min="8196" max="8196" width="6.5703125" style="122" customWidth="1"/>
    <col min="8197" max="8197" width="3.28515625" style="122" customWidth="1"/>
    <col min="8198" max="8198" width="5.85546875" style="122" customWidth="1"/>
    <col min="8199" max="8199" width="6.5703125" style="122" customWidth="1"/>
    <col min="8200" max="8200" width="3.28515625" style="122" customWidth="1"/>
    <col min="8201" max="8201" width="5.85546875" style="122" customWidth="1"/>
    <col min="8202" max="8202" width="6.5703125" style="122" customWidth="1"/>
    <col min="8203" max="8203" width="3.28515625" style="122" customWidth="1"/>
    <col min="8204" max="8204" width="5.85546875" style="122" customWidth="1"/>
    <col min="8205" max="8205" width="6.5703125" style="122" customWidth="1"/>
    <col min="8206" max="8206" width="9.42578125" style="122" customWidth="1"/>
    <col min="8207" max="8409" width="9.140625" style="122"/>
    <col min="8410" max="8410" width="4.85546875" style="122" customWidth="1"/>
    <col min="8411" max="8411" width="5.140625" style="122" customWidth="1"/>
    <col min="8412" max="8412" width="13.7109375" style="122" customWidth="1"/>
    <col min="8413" max="8413" width="9.42578125" style="122" customWidth="1"/>
    <col min="8414" max="8414" width="7.85546875" style="122" bestFit="1" customWidth="1"/>
    <col min="8415" max="8415" width="9.42578125" style="122" customWidth="1"/>
    <col min="8416" max="8416" width="7.42578125" style="122" customWidth="1"/>
    <col min="8417" max="8417" width="7.85546875" style="122" customWidth="1"/>
    <col min="8418" max="8418" width="11" style="122" customWidth="1"/>
    <col min="8419" max="8419" width="7.5703125" style="122" customWidth="1"/>
    <col min="8420" max="8420" width="3.28515625" style="122" customWidth="1"/>
    <col min="8421" max="8421" width="5.85546875" style="122" customWidth="1"/>
    <col min="8422" max="8422" width="6.5703125" style="122" customWidth="1"/>
    <col min="8423" max="8423" width="3.28515625" style="122" customWidth="1"/>
    <col min="8424" max="8424" width="5.85546875" style="122" customWidth="1"/>
    <col min="8425" max="8425" width="6.5703125" style="122" customWidth="1"/>
    <col min="8426" max="8426" width="3.28515625" style="122" customWidth="1"/>
    <col min="8427" max="8427" width="5.85546875" style="122" customWidth="1"/>
    <col min="8428" max="8428" width="6.5703125" style="122" customWidth="1"/>
    <col min="8429" max="8429" width="3.28515625" style="122" customWidth="1"/>
    <col min="8430" max="8430" width="5.85546875" style="122" customWidth="1"/>
    <col min="8431" max="8431" width="6.5703125" style="122" customWidth="1"/>
    <col min="8432" max="8432" width="3.28515625" style="122" customWidth="1"/>
    <col min="8433" max="8433" width="5.85546875" style="122" customWidth="1"/>
    <col min="8434" max="8434" width="6.5703125" style="122" customWidth="1"/>
    <col min="8435" max="8435" width="3.28515625" style="122" customWidth="1"/>
    <col min="8436" max="8436" width="5.85546875" style="122" customWidth="1"/>
    <col min="8437" max="8437" width="6.5703125" style="122" customWidth="1"/>
    <col min="8438" max="8438" width="3.28515625" style="122" customWidth="1"/>
    <col min="8439" max="8439" width="5.85546875" style="122" customWidth="1"/>
    <col min="8440" max="8440" width="6.5703125" style="122" customWidth="1"/>
    <col min="8441" max="8441" width="3.28515625" style="122" customWidth="1"/>
    <col min="8442" max="8442" width="5.85546875" style="122" customWidth="1"/>
    <col min="8443" max="8443" width="6.5703125" style="122" customWidth="1"/>
    <col min="8444" max="8444" width="3.28515625" style="122" customWidth="1"/>
    <col min="8445" max="8445" width="5.85546875" style="122" customWidth="1"/>
    <col min="8446" max="8446" width="6.5703125" style="122" customWidth="1"/>
    <col min="8447" max="8447" width="3.28515625" style="122" customWidth="1"/>
    <col min="8448" max="8448" width="5.85546875" style="122" customWidth="1"/>
    <col min="8449" max="8449" width="6.5703125" style="122" customWidth="1"/>
    <col min="8450" max="8450" width="3.28515625" style="122" customWidth="1"/>
    <col min="8451" max="8451" width="5.85546875" style="122" customWidth="1"/>
    <col min="8452" max="8452" width="6.5703125" style="122" customWidth="1"/>
    <col min="8453" max="8453" width="3.28515625" style="122" customWidth="1"/>
    <col min="8454" max="8454" width="5.85546875" style="122" customWidth="1"/>
    <col min="8455" max="8455" width="6.5703125" style="122" customWidth="1"/>
    <col min="8456" max="8456" width="3.28515625" style="122" customWidth="1"/>
    <col min="8457" max="8457" width="5.85546875" style="122" customWidth="1"/>
    <col min="8458" max="8458" width="6.5703125" style="122" customWidth="1"/>
    <col min="8459" max="8459" width="3.28515625" style="122" customWidth="1"/>
    <col min="8460" max="8460" width="5.85546875" style="122" customWidth="1"/>
    <col min="8461" max="8461" width="6.5703125" style="122" customWidth="1"/>
    <col min="8462" max="8462" width="9.42578125" style="122" customWidth="1"/>
    <col min="8463" max="8665" width="9.140625" style="122"/>
    <col min="8666" max="8666" width="4.85546875" style="122" customWidth="1"/>
    <col min="8667" max="8667" width="5.140625" style="122" customWidth="1"/>
    <col min="8668" max="8668" width="13.7109375" style="122" customWidth="1"/>
    <col min="8669" max="8669" width="9.42578125" style="122" customWidth="1"/>
    <col min="8670" max="8670" width="7.85546875" style="122" bestFit="1" customWidth="1"/>
    <col min="8671" max="8671" width="9.42578125" style="122" customWidth="1"/>
    <col min="8672" max="8672" width="7.42578125" style="122" customWidth="1"/>
    <col min="8673" max="8673" width="7.85546875" style="122" customWidth="1"/>
    <col min="8674" max="8674" width="11" style="122" customWidth="1"/>
    <col min="8675" max="8675" width="7.5703125" style="122" customWidth="1"/>
    <col min="8676" max="8676" width="3.28515625" style="122" customWidth="1"/>
    <col min="8677" max="8677" width="5.85546875" style="122" customWidth="1"/>
    <col min="8678" max="8678" width="6.5703125" style="122" customWidth="1"/>
    <col min="8679" max="8679" width="3.28515625" style="122" customWidth="1"/>
    <col min="8680" max="8680" width="5.85546875" style="122" customWidth="1"/>
    <col min="8681" max="8681" width="6.5703125" style="122" customWidth="1"/>
    <col min="8682" max="8682" width="3.28515625" style="122" customWidth="1"/>
    <col min="8683" max="8683" width="5.85546875" style="122" customWidth="1"/>
    <col min="8684" max="8684" width="6.5703125" style="122" customWidth="1"/>
    <col min="8685" max="8685" width="3.28515625" style="122" customWidth="1"/>
    <col min="8686" max="8686" width="5.85546875" style="122" customWidth="1"/>
    <col min="8687" max="8687" width="6.5703125" style="122" customWidth="1"/>
    <col min="8688" max="8688" width="3.28515625" style="122" customWidth="1"/>
    <col min="8689" max="8689" width="5.85546875" style="122" customWidth="1"/>
    <col min="8690" max="8690" width="6.5703125" style="122" customWidth="1"/>
    <col min="8691" max="8691" width="3.28515625" style="122" customWidth="1"/>
    <col min="8692" max="8692" width="5.85546875" style="122" customWidth="1"/>
    <col min="8693" max="8693" width="6.5703125" style="122" customWidth="1"/>
    <col min="8694" max="8694" width="3.28515625" style="122" customWidth="1"/>
    <col min="8695" max="8695" width="5.85546875" style="122" customWidth="1"/>
    <col min="8696" max="8696" width="6.5703125" style="122" customWidth="1"/>
    <col min="8697" max="8697" width="3.28515625" style="122" customWidth="1"/>
    <col min="8698" max="8698" width="5.85546875" style="122" customWidth="1"/>
    <col min="8699" max="8699" width="6.5703125" style="122" customWidth="1"/>
    <col min="8700" max="8700" width="3.28515625" style="122" customWidth="1"/>
    <col min="8701" max="8701" width="5.85546875" style="122" customWidth="1"/>
    <col min="8702" max="8702" width="6.5703125" style="122" customWidth="1"/>
    <col min="8703" max="8703" width="3.28515625" style="122" customWidth="1"/>
    <col min="8704" max="8704" width="5.85546875" style="122" customWidth="1"/>
    <col min="8705" max="8705" width="6.5703125" style="122" customWidth="1"/>
    <col min="8706" max="8706" width="3.28515625" style="122" customWidth="1"/>
    <col min="8707" max="8707" width="5.85546875" style="122" customWidth="1"/>
    <col min="8708" max="8708" width="6.5703125" style="122" customWidth="1"/>
    <col min="8709" max="8709" width="3.28515625" style="122" customWidth="1"/>
    <col min="8710" max="8710" width="5.85546875" style="122" customWidth="1"/>
    <col min="8711" max="8711" width="6.5703125" style="122" customWidth="1"/>
    <col min="8712" max="8712" width="3.28515625" style="122" customWidth="1"/>
    <col min="8713" max="8713" width="5.85546875" style="122" customWidth="1"/>
    <col min="8714" max="8714" width="6.5703125" style="122" customWidth="1"/>
    <col min="8715" max="8715" width="3.28515625" style="122" customWidth="1"/>
    <col min="8716" max="8716" width="5.85546875" style="122" customWidth="1"/>
    <col min="8717" max="8717" width="6.5703125" style="122" customWidth="1"/>
    <col min="8718" max="8718" width="9.42578125" style="122" customWidth="1"/>
    <col min="8719" max="8921" width="9.140625" style="122"/>
    <col min="8922" max="8922" width="4.85546875" style="122" customWidth="1"/>
    <col min="8923" max="8923" width="5.140625" style="122" customWidth="1"/>
    <col min="8924" max="8924" width="13.7109375" style="122" customWidth="1"/>
    <col min="8925" max="8925" width="9.42578125" style="122" customWidth="1"/>
    <col min="8926" max="8926" width="7.85546875" style="122" bestFit="1" customWidth="1"/>
    <col min="8927" max="8927" width="9.42578125" style="122" customWidth="1"/>
    <col min="8928" max="8928" width="7.42578125" style="122" customWidth="1"/>
    <col min="8929" max="8929" width="7.85546875" style="122" customWidth="1"/>
    <col min="8930" max="8930" width="11" style="122" customWidth="1"/>
    <col min="8931" max="8931" width="7.5703125" style="122" customWidth="1"/>
    <col min="8932" max="8932" width="3.28515625" style="122" customWidth="1"/>
    <col min="8933" max="8933" width="5.85546875" style="122" customWidth="1"/>
    <col min="8934" max="8934" width="6.5703125" style="122" customWidth="1"/>
    <col min="8935" max="8935" width="3.28515625" style="122" customWidth="1"/>
    <col min="8936" max="8936" width="5.85546875" style="122" customWidth="1"/>
    <col min="8937" max="8937" width="6.5703125" style="122" customWidth="1"/>
    <col min="8938" max="8938" width="3.28515625" style="122" customWidth="1"/>
    <col min="8939" max="8939" width="5.85546875" style="122" customWidth="1"/>
    <col min="8940" max="8940" width="6.5703125" style="122" customWidth="1"/>
    <col min="8941" max="8941" width="3.28515625" style="122" customWidth="1"/>
    <col min="8942" max="8942" width="5.85546875" style="122" customWidth="1"/>
    <col min="8943" max="8943" width="6.5703125" style="122" customWidth="1"/>
    <col min="8944" max="8944" width="3.28515625" style="122" customWidth="1"/>
    <col min="8945" max="8945" width="5.85546875" style="122" customWidth="1"/>
    <col min="8946" max="8946" width="6.5703125" style="122" customWidth="1"/>
    <col min="8947" max="8947" width="3.28515625" style="122" customWidth="1"/>
    <col min="8948" max="8948" width="5.85546875" style="122" customWidth="1"/>
    <col min="8949" max="8949" width="6.5703125" style="122" customWidth="1"/>
    <col min="8950" max="8950" width="3.28515625" style="122" customWidth="1"/>
    <col min="8951" max="8951" width="5.85546875" style="122" customWidth="1"/>
    <col min="8952" max="8952" width="6.5703125" style="122" customWidth="1"/>
    <col min="8953" max="8953" width="3.28515625" style="122" customWidth="1"/>
    <col min="8954" max="8954" width="5.85546875" style="122" customWidth="1"/>
    <col min="8955" max="8955" width="6.5703125" style="122" customWidth="1"/>
    <col min="8956" max="8956" width="3.28515625" style="122" customWidth="1"/>
    <col min="8957" max="8957" width="5.85546875" style="122" customWidth="1"/>
    <col min="8958" max="8958" width="6.5703125" style="122" customWidth="1"/>
    <col min="8959" max="8959" width="3.28515625" style="122" customWidth="1"/>
    <col min="8960" max="8960" width="5.85546875" style="122" customWidth="1"/>
    <col min="8961" max="8961" width="6.5703125" style="122" customWidth="1"/>
    <col min="8962" max="8962" width="3.28515625" style="122" customWidth="1"/>
    <col min="8963" max="8963" width="5.85546875" style="122" customWidth="1"/>
    <col min="8964" max="8964" width="6.5703125" style="122" customWidth="1"/>
    <col min="8965" max="8965" width="3.28515625" style="122" customWidth="1"/>
    <col min="8966" max="8966" width="5.85546875" style="122" customWidth="1"/>
    <col min="8967" max="8967" width="6.5703125" style="122" customWidth="1"/>
    <col min="8968" max="8968" width="3.28515625" style="122" customWidth="1"/>
    <col min="8969" max="8969" width="5.85546875" style="122" customWidth="1"/>
    <col min="8970" max="8970" width="6.5703125" style="122" customWidth="1"/>
    <col min="8971" max="8971" width="3.28515625" style="122" customWidth="1"/>
    <col min="8972" max="8972" width="5.85546875" style="122" customWidth="1"/>
    <col min="8973" max="8973" width="6.5703125" style="122" customWidth="1"/>
    <col min="8974" max="8974" width="9.42578125" style="122" customWidth="1"/>
    <col min="8975" max="9177" width="9.140625" style="122"/>
    <col min="9178" max="9178" width="4.85546875" style="122" customWidth="1"/>
    <col min="9179" max="9179" width="5.140625" style="122" customWidth="1"/>
    <col min="9180" max="9180" width="13.7109375" style="122" customWidth="1"/>
    <col min="9181" max="9181" width="9.42578125" style="122" customWidth="1"/>
    <col min="9182" max="9182" width="7.85546875" style="122" bestFit="1" customWidth="1"/>
    <col min="9183" max="9183" width="9.42578125" style="122" customWidth="1"/>
    <col min="9184" max="9184" width="7.42578125" style="122" customWidth="1"/>
    <col min="9185" max="9185" width="7.85546875" style="122" customWidth="1"/>
    <col min="9186" max="9186" width="11" style="122" customWidth="1"/>
    <col min="9187" max="9187" width="7.5703125" style="122" customWidth="1"/>
    <col min="9188" max="9188" width="3.28515625" style="122" customWidth="1"/>
    <col min="9189" max="9189" width="5.85546875" style="122" customWidth="1"/>
    <col min="9190" max="9190" width="6.5703125" style="122" customWidth="1"/>
    <col min="9191" max="9191" width="3.28515625" style="122" customWidth="1"/>
    <col min="9192" max="9192" width="5.85546875" style="122" customWidth="1"/>
    <col min="9193" max="9193" width="6.5703125" style="122" customWidth="1"/>
    <col min="9194" max="9194" width="3.28515625" style="122" customWidth="1"/>
    <col min="9195" max="9195" width="5.85546875" style="122" customWidth="1"/>
    <col min="9196" max="9196" width="6.5703125" style="122" customWidth="1"/>
    <col min="9197" max="9197" width="3.28515625" style="122" customWidth="1"/>
    <col min="9198" max="9198" width="5.85546875" style="122" customWidth="1"/>
    <col min="9199" max="9199" width="6.5703125" style="122" customWidth="1"/>
    <col min="9200" max="9200" width="3.28515625" style="122" customWidth="1"/>
    <col min="9201" max="9201" width="5.85546875" style="122" customWidth="1"/>
    <col min="9202" max="9202" width="6.5703125" style="122" customWidth="1"/>
    <col min="9203" max="9203" width="3.28515625" style="122" customWidth="1"/>
    <col min="9204" max="9204" width="5.85546875" style="122" customWidth="1"/>
    <col min="9205" max="9205" width="6.5703125" style="122" customWidth="1"/>
    <col min="9206" max="9206" width="3.28515625" style="122" customWidth="1"/>
    <col min="9207" max="9207" width="5.85546875" style="122" customWidth="1"/>
    <col min="9208" max="9208" width="6.5703125" style="122" customWidth="1"/>
    <col min="9209" max="9209" width="3.28515625" style="122" customWidth="1"/>
    <col min="9210" max="9210" width="5.85546875" style="122" customWidth="1"/>
    <col min="9211" max="9211" width="6.5703125" style="122" customWidth="1"/>
    <col min="9212" max="9212" width="3.28515625" style="122" customWidth="1"/>
    <col min="9213" max="9213" width="5.85546875" style="122" customWidth="1"/>
    <col min="9214" max="9214" width="6.5703125" style="122" customWidth="1"/>
    <col min="9215" max="9215" width="3.28515625" style="122" customWidth="1"/>
    <col min="9216" max="9216" width="5.85546875" style="122" customWidth="1"/>
    <col min="9217" max="9217" width="6.5703125" style="122" customWidth="1"/>
    <col min="9218" max="9218" width="3.28515625" style="122" customWidth="1"/>
    <col min="9219" max="9219" width="5.85546875" style="122" customWidth="1"/>
    <col min="9220" max="9220" width="6.5703125" style="122" customWidth="1"/>
    <col min="9221" max="9221" width="3.28515625" style="122" customWidth="1"/>
    <col min="9222" max="9222" width="5.85546875" style="122" customWidth="1"/>
    <col min="9223" max="9223" width="6.5703125" style="122" customWidth="1"/>
    <col min="9224" max="9224" width="3.28515625" style="122" customWidth="1"/>
    <col min="9225" max="9225" width="5.85546875" style="122" customWidth="1"/>
    <col min="9226" max="9226" width="6.5703125" style="122" customWidth="1"/>
    <col min="9227" max="9227" width="3.28515625" style="122" customWidth="1"/>
    <col min="9228" max="9228" width="5.85546875" style="122" customWidth="1"/>
    <col min="9229" max="9229" width="6.5703125" style="122" customWidth="1"/>
    <col min="9230" max="9230" width="9.42578125" style="122" customWidth="1"/>
    <col min="9231" max="9433" width="9.140625" style="122"/>
    <col min="9434" max="9434" width="4.85546875" style="122" customWidth="1"/>
    <col min="9435" max="9435" width="5.140625" style="122" customWidth="1"/>
    <col min="9436" max="9436" width="13.7109375" style="122" customWidth="1"/>
    <col min="9437" max="9437" width="9.42578125" style="122" customWidth="1"/>
    <col min="9438" max="9438" width="7.85546875" style="122" bestFit="1" customWidth="1"/>
    <col min="9439" max="9439" width="9.42578125" style="122" customWidth="1"/>
    <col min="9440" max="9440" width="7.42578125" style="122" customWidth="1"/>
    <col min="9441" max="9441" width="7.85546875" style="122" customWidth="1"/>
    <col min="9442" max="9442" width="11" style="122" customWidth="1"/>
    <col min="9443" max="9443" width="7.5703125" style="122" customWidth="1"/>
    <col min="9444" max="9444" width="3.28515625" style="122" customWidth="1"/>
    <col min="9445" max="9445" width="5.85546875" style="122" customWidth="1"/>
    <col min="9446" max="9446" width="6.5703125" style="122" customWidth="1"/>
    <col min="9447" max="9447" width="3.28515625" style="122" customWidth="1"/>
    <col min="9448" max="9448" width="5.85546875" style="122" customWidth="1"/>
    <col min="9449" max="9449" width="6.5703125" style="122" customWidth="1"/>
    <col min="9450" max="9450" width="3.28515625" style="122" customWidth="1"/>
    <col min="9451" max="9451" width="5.85546875" style="122" customWidth="1"/>
    <col min="9452" max="9452" width="6.5703125" style="122" customWidth="1"/>
    <col min="9453" max="9453" width="3.28515625" style="122" customWidth="1"/>
    <col min="9454" max="9454" width="5.85546875" style="122" customWidth="1"/>
    <col min="9455" max="9455" width="6.5703125" style="122" customWidth="1"/>
    <col min="9456" max="9456" width="3.28515625" style="122" customWidth="1"/>
    <col min="9457" max="9457" width="5.85546875" style="122" customWidth="1"/>
    <col min="9458" max="9458" width="6.5703125" style="122" customWidth="1"/>
    <col min="9459" max="9459" width="3.28515625" style="122" customWidth="1"/>
    <col min="9460" max="9460" width="5.85546875" style="122" customWidth="1"/>
    <col min="9461" max="9461" width="6.5703125" style="122" customWidth="1"/>
    <col min="9462" max="9462" width="3.28515625" style="122" customWidth="1"/>
    <col min="9463" max="9463" width="5.85546875" style="122" customWidth="1"/>
    <col min="9464" max="9464" width="6.5703125" style="122" customWidth="1"/>
    <col min="9465" max="9465" width="3.28515625" style="122" customWidth="1"/>
    <col min="9466" max="9466" width="5.85546875" style="122" customWidth="1"/>
    <col min="9467" max="9467" width="6.5703125" style="122" customWidth="1"/>
    <col min="9468" max="9468" width="3.28515625" style="122" customWidth="1"/>
    <col min="9469" max="9469" width="5.85546875" style="122" customWidth="1"/>
    <col min="9470" max="9470" width="6.5703125" style="122" customWidth="1"/>
    <col min="9471" max="9471" width="3.28515625" style="122" customWidth="1"/>
    <col min="9472" max="9472" width="5.85546875" style="122" customWidth="1"/>
    <col min="9473" max="9473" width="6.5703125" style="122" customWidth="1"/>
    <col min="9474" max="9474" width="3.28515625" style="122" customWidth="1"/>
    <col min="9475" max="9475" width="5.85546875" style="122" customWidth="1"/>
    <col min="9476" max="9476" width="6.5703125" style="122" customWidth="1"/>
    <col min="9477" max="9477" width="3.28515625" style="122" customWidth="1"/>
    <col min="9478" max="9478" width="5.85546875" style="122" customWidth="1"/>
    <col min="9479" max="9479" width="6.5703125" style="122" customWidth="1"/>
    <col min="9480" max="9480" width="3.28515625" style="122" customWidth="1"/>
    <col min="9481" max="9481" width="5.85546875" style="122" customWidth="1"/>
    <col min="9482" max="9482" width="6.5703125" style="122" customWidth="1"/>
    <col min="9483" max="9483" width="3.28515625" style="122" customWidth="1"/>
    <col min="9484" max="9484" width="5.85546875" style="122" customWidth="1"/>
    <col min="9485" max="9485" width="6.5703125" style="122" customWidth="1"/>
    <col min="9486" max="9486" width="9.42578125" style="122" customWidth="1"/>
    <col min="9487" max="9689" width="9.140625" style="122"/>
    <col min="9690" max="9690" width="4.85546875" style="122" customWidth="1"/>
    <col min="9691" max="9691" width="5.140625" style="122" customWidth="1"/>
    <col min="9692" max="9692" width="13.7109375" style="122" customWidth="1"/>
    <col min="9693" max="9693" width="9.42578125" style="122" customWidth="1"/>
    <col min="9694" max="9694" width="7.85546875" style="122" bestFit="1" customWidth="1"/>
    <col min="9695" max="9695" width="9.42578125" style="122" customWidth="1"/>
    <col min="9696" max="9696" width="7.42578125" style="122" customWidth="1"/>
    <col min="9697" max="9697" width="7.85546875" style="122" customWidth="1"/>
    <col min="9698" max="9698" width="11" style="122" customWidth="1"/>
    <col min="9699" max="9699" width="7.5703125" style="122" customWidth="1"/>
    <col min="9700" max="9700" width="3.28515625" style="122" customWidth="1"/>
    <col min="9701" max="9701" width="5.85546875" style="122" customWidth="1"/>
    <col min="9702" max="9702" width="6.5703125" style="122" customWidth="1"/>
    <col min="9703" max="9703" width="3.28515625" style="122" customWidth="1"/>
    <col min="9704" max="9704" width="5.85546875" style="122" customWidth="1"/>
    <col min="9705" max="9705" width="6.5703125" style="122" customWidth="1"/>
    <col min="9706" max="9706" width="3.28515625" style="122" customWidth="1"/>
    <col min="9707" max="9707" width="5.85546875" style="122" customWidth="1"/>
    <col min="9708" max="9708" width="6.5703125" style="122" customWidth="1"/>
    <col min="9709" max="9709" width="3.28515625" style="122" customWidth="1"/>
    <col min="9710" max="9710" width="5.85546875" style="122" customWidth="1"/>
    <col min="9711" max="9711" width="6.5703125" style="122" customWidth="1"/>
    <col min="9712" max="9712" width="3.28515625" style="122" customWidth="1"/>
    <col min="9713" max="9713" width="5.85546875" style="122" customWidth="1"/>
    <col min="9714" max="9714" width="6.5703125" style="122" customWidth="1"/>
    <col min="9715" max="9715" width="3.28515625" style="122" customWidth="1"/>
    <col min="9716" max="9716" width="5.85546875" style="122" customWidth="1"/>
    <col min="9717" max="9717" width="6.5703125" style="122" customWidth="1"/>
    <col min="9718" max="9718" width="3.28515625" style="122" customWidth="1"/>
    <col min="9719" max="9719" width="5.85546875" style="122" customWidth="1"/>
    <col min="9720" max="9720" width="6.5703125" style="122" customWidth="1"/>
    <col min="9721" max="9721" width="3.28515625" style="122" customWidth="1"/>
    <col min="9722" max="9722" width="5.85546875" style="122" customWidth="1"/>
    <col min="9723" max="9723" width="6.5703125" style="122" customWidth="1"/>
    <col min="9724" max="9724" width="3.28515625" style="122" customWidth="1"/>
    <col min="9725" max="9725" width="5.85546875" style="122" customWidth="1"/>
    <col min="9726" max="9726" width="6.5703125" style="122" customWidth="1"/>
    <col min="9727" max="9727" width="3.28515625" style="122" customWidth="1"/>
    <col min="9728" max="9728" width="5.85546875" style="122" customWidth="1"/>
    <col min="9729" max="9729" width="6.5703125" style="122" customWidth="1"/>
    <col min="9730" max="9730" width="3.28515625" style="122" customWidth="1"/>
    <col min="9731" max="9731" width="5.85546875" style="122" customWidth="1"/>
    <col min="9732" max="9732" width="6.5703125" style="122" customWidth="1"/>
    <col min="9733" max="9733" width="3.28515625" style="122" customWidth="1"/>
    <col min="9734" max="9734" width="5.85546875" style="122" customWidth="1"/>
    <col min="9735" max="9735" width="6.5703125" style="122" customWidth="1"/>
    <col min="9736" max="9736" width="3.28515625" style="122" customWidth="1"/>
    <col min="9737" max="9737" width="5.85546875" style="122" customWidth="1"/>
    <col min="9738" max="9738" width="6.5703125" style="122" customWidth="1"/>
    <col min="9739" max="9739" width="3.28515625" style="122" customWidth="1"/>
    <col min="9740" max="9740" width="5.85546875" style="122" customWidth="1"/>
    <col min="9741" max="9741" width="6.5703125" style="122" customWidth="1"/>
    <col min="9742" max="9742" width="9.42578125" style="122" customWidth="1"/>
    <col min="9743" max="9945" width="9.140625" style="122"/>
    <col min="9946" max="9946" width="4.85546875" style="122" customWidth="1"/>
    <col min="9947" max="9947" width="5.140625" style="122" customWidth="1"/>
    <col min="9948" max="9948" width="13.7109375" style="122" customWidth="1"/>
    <col min="9949" max="9949" width="9.42578125" style="122" customWidth="1"/>
    <col min="9950" max="9950" width="7.85546875" style="122" bestFit="1" customWidth="1"/>
    <col min="9951" max="9951" width="9.42578125" style="122" customWidth="1"/>
    <col min="9952" max="9952" width="7.42578125" style="122" customWidth="1"/>
    <col min="9953" max="9953" width="7.85546875" style="122" customWidth="1"/>
    <col min="9954" max="9954" width="11" style="122" customWidth="1"/>
    <col min="9955" max="9955" width="7.5703125" style="122" customWidth="1"/>
    <col min="9956" max="9956" width="3.28515625" style="122" customWidth="1"/>
    <col min="9957" max="9957" width="5.85546875" style="122" customWidth="1"/>
    <col min="9958" max="9958" width="6.5703125" style="122" customWidth="1"/>
    <col min="9959" max="9959" width="3.28515625" style="122" customWidth="1"/>
    <col min="9960" max="9960" width="5.85546875" style="122" customWidth="1"/>
    <col min="9961" max="9961" width="6.5703125" style="122" customWidth="1"/>
    <col min="9962" max="9962" width="3.28515625" style="122" customWidth="1"/>
    <col min="9963" max="9963" width="5.85546875" style="122" customWidth="1"/>
    <col min="9964" max="9964" width="6.5703125" style="122" customWidth="1"/>
    <col min="9965" max="9965" width="3.28515625" style="122" customWidth="1"/>
    <col min="9966" max="9966" width="5.85546875" style="122" customWidth="1"/>
    <col min="9967" max="9967" width="6.5703125" style="122" customWidth="1"/>
    <col min="9968" max="9968" width="3.28515625" style="122" customWidth="1"/>
    <col min="9969" max="9969" width="5.85546875" style="122" customWidth="1"/>
    <col min="9970" max="9970" width="6.5703125" style="122" customWidth="1"/>
    <col min="9971" max="9971" width="3.28515625" style="122" customWidth="1"/>
    <col min="9972" max="9972" width="5.85546875" style="122" customWidth="1"/>
    <col min="9973" max="9973" width="6.5703125" style="122" customWidth="1"/>
    <col min="9974" max="9974" width="3.28515625" style="122" customWidth="1"/>
    <col min="9975" max="9975" width="5.85546875" style="122" customWidth="1"/>
    <col min="9976" max="9976" width="6.5703125" style="122" customWidth="1"/>
    <col min="9977" max="9977" width="3.28515625" style="122" customWidth="1"/>
    <col min="9978" max="9978" width="5.85546875" style="122" customWidth="1"/>
    <col min="9979" max="9979" width="6.5703125" style="122" customWidth="1"/>
    <col min="9980" max="9980" width="3.28515625" style="122" customWidth="1"/>
    <col min="9981" max="9981" width="5.85546875" style="122" customWidth="1"/>
    <col min="9982" max="9982" width="6.5703125" style="122" customWidth="1"/>
    <col min="9983" max="9983" width="3.28515625" style="122" customWidth="1"/>
    <col min="9984" max="9984" width="5.85546875" style="122" customWidth="1"/>
    <col min="9985" max="9985" width="6.5703125" style="122" customWidth="1"/>
    <col min="9986" max="9986" width="3.28515625" style="122" customWidth="1"/>
    <col min="9987" max="9987" width="5.85546875" style="122" customWidth="1"/>
    <col min="9988" max="9988" width="6.5703125" style="122" customWidth="1"/>
    <col min="9989" max="9989" width="3.28515625" style="122" customWidth="1"/>
    <col min="9990" max="9990" width="5.85546875" style="122" customWidth="1"/>
    <col min="9991" max="9991" width="6.5703125" style="122" customWidth="1"/>
    <col min="9992" max="9992" width="3.28515625" style="122" customWidth="1"/>
    <col min="9993" max="9993" width="5.85546875" style="122" customWidth="1"/>
    <col min="9994" max="9994" width="6.5703125" style="122" customWidth="1"/>
    <col min="9995" max="9995" width="3.28515625" style="122" customWidth="1"/>
    <col min="9996" max="9996" width="5.85546875" style="122" customWidth="1"/>
    <col min="9997" max="9997" width="6.5703125" style="122" customWidth="1"/>
    <col min="9998" max="9998" width="9.42578125" style="122" customWidth="1"/>
    <col min="9999" max="10201" width="9.140625" style="122"/>
    <col min="10202" max="10202" width="4.85546875" style="122" customWidth="1"/>
    <col min="10203" max="10203" width="5.140625" style="122" customWidth="1"/>
    <col min="10204" max="10204" width="13.7109375" style="122" customWidth="1"/>
    <col min="10205" max="10205" width="9.42578125" style="122" customWidth="1"/>
    <col min="10206" max="10206" width="7.85546875" style="122" bestFit="1" customWidth="1"/>
    <col min="10207" max="10207" width="9.42578125" style="122" customWidth="1"/>
    <col min="10208" max="10208" width="7.42578125" style="122" customWidth="1"/>
    <col min="10209" max="10209" width="7.85546875" style="122" customWidth="1"/>
    <col min="10210" max="10210" width="11" style="122" customWidth="1"/>
    <col min="10211" max="10211" width="7.5703125" style="122" customWidth="1"/>
    <col min="10212" max="10212" width="3.28515625" style="122" customWidth="1"/>
    <col min="10213" max="10213" width="5.85546875" style="122" customWidth="1"/>
    <col min="10214" max="10214" width="6.5703125" style="122" customWidth="1"/>
    <col min="10215" max="10215" width="3.28515625" style="122" customWidth="1"/>
    <col min="10216" max="10216" width="5.85546875" style="122" customWidth="1"/>
    <col min="10217" max="10217" width="6.5703125" style="122" customWidth="1"/>
    <col min="10218" max="10218" width="3.28515625" style="122" customWidth="1"/>
    <col min="10219" max="10219" width="5.85546875" style="122" customWidth="1"/>
    <col min="10220" max="10220" width="6.5703125" style="122" customWidth="1"/>
    <col min="10221" max="10221" width="3.28515625" style="122" customWidth="1"/>
    <col min="10222" max="10222" width="5.85546875" style="122" customWidth="1"/>
    <col min="10223" max="10223" width="6.5703125" style="122" customWidth="1"/>
    <col min="10224" max="10224" width="3.28515625" style="122" customWidth="1"/>
    <col min="10225" max="10225" width="5.85546875" style="122" customWidth="1"/>
    <col min="10226" max="10226" width="6.5703125" style="122" customWidth="1"/>
    <col min="10227" max="10227" width="3.28515625" style="122" customWidth="1"/>
    <col min="10228" max="10228" width="5.85546875" style="122" customWidth="1"/>
    <col min="10229" max="10229" width="6.5703125" style="122" customWidth="1"/>
    <col min="10230" max="10230" width="3.28515625" style="122" customWidth="1"/>
    <col min="10231" max="10231" width="5.85546875" style="122" customWidth="1"/>
    <col min="10232" max="10232" width="6.5703125" style="122" customWidth="1"/>
    <col min="10233" max="10233" width="3.28515625" style="122" customWidth="1"/>
    <col min="10234" max="10234" width="5.85546875" style="122" customWidth="1"/>
    <col min="10235" max="10235" width="6.5703125" style="122" customWidth="1"/>
    <col min="10236" max="10236" width="3.28515625" style="122" customWidth="1"/>
    <col min="10237" max="10237" width="5.85546875" style="122" customWidth="1"/>
    <col min="10238" max="10238" width="6.5703125" style="122" customWidth="1"/>
    <col min="10239" max="10239" width="3.28515625" style="122" customWidth="1"/>
    <col min="10240" max="10240" width="5.85546875" style="122" customWidth="1"/>
    <col min="10241" max="10241" width="6.5703125" style="122" customWidth="1"/>
    <col min="10242" max="10242" width="3.28515625" style="122" customWidth="1"/>
    <col min="10243" max="10243" width="5.85546875" style="122" customWidth="1"/>
    <col min="10244" max="10244" width="6.5703125" style="122" customWidth="1"/>
    <col min="10245" max="10245" width="3.28515625" style="122" customWidth="1"/>
    <col min="10246" max="10246" width="5.85546875" style="122" customWidth="1"/>
    <col min="10247" max="10247" width="6.5703125" style="122" customWidth="1"/>
    <col min="10248" max="10248" width="3.28515625" style="122" customWidth="1"/>
    <col min="10249" max="10249" width="5.85546875" style="122" customWidth="1"/>
    <col min="10250" max="10250" width="6.5703125" style="122" customWidth="1"/>
    <col min="10251" max="10251" width="3.28515625" style="122" customWidth="1"/>
    <col min="10252" max="10252" width="5.85546875" style="122" customWidth="1"/>
    <col min="10253" max="10253" width="6.5703125" style="122" customWidth="1"/>
    <col min="10254" max="10254" width="9.42578125" style="122" customWidth="1"/>
    <col min="10255" max="10457" width="9.140625" style="122"/>
    <col min="10458" max="10458" width="4.85546875" style="122" customWidth="1"/>
    <col min="10459" max="10459" width="5.140625" style="122" customWidth="1"/>
    <col min="10460" max="10460" width="13.7109375" style="122" customWidth="1"/>
    <col min="10461" max="10461" width="9.42578125" style="122" customWidth="1"/>
    <col min="10462" max="10462" width="7.85546875" style="122" bestFit="1" customWidth="1"/>
    <col min="10463" max="10463" width="9.42578125" style="122" customWidth="1"/>
    <col min="10464" max="10464" width="7.42578125" style="122" customWidth="1"/>
    <col min="10465" max="10465" width="7.85546875" style="122" customWidth="1"/>
    <col min="10466" max="10466" width="11" style="122" customWidth="1"/>
    <col min="10467" max="10467" width="7.5703125" style="122" customWidth="1"/>
    <col min="10468" max="10468" width="3.28515625" style="122" customWidth="1"/>
    <col min="10469" max="10469" width="5.85546875" style="122" customWidth="1"/>
    <col min="10470" max="10470" width="6.5703125" style="122" customWidth="1"/>
    <col min="10471" max="10471" width="3.28515625" style="122" customWidth="1"/>
    <col min="10472" max="10472" width="5.85546875" style="122" customWidth="1"/>
    <col min="10473" max="10473" width="6.5703125" style="122" customWidth="1"/>
    <col min="10474" max="10474" width="3.28515625" style="122" customWidth="1"/>
    <col min="10475" max="10475" width="5.85546875" style="122" customWidth="1"/>
    <col min="10476" max="10476" width="6.5703125" style="122" customWidth="1"/>
    <col min="10477" max="10477" width="3.28515625" style="122" customWidth="1"/>
    <col min="10478" max="10478" width="5.85546875" style="122" customWidth="1"/>
    <col min="10479" max="10479" width="6.5703125" style="122" customWidth="1"/>
    <col min="10480" max="10480" width="3.28515625" style="122" customWidth="1"/>
    <col min="10481" max="10481" width="5.85546875" style="122" customWidth="1"/>
    <col min="10482" max="10482" width="6.5703125" style="122" customWidth="1"/>
    <col min="10483" max="10483" width="3.28515625" style="122" customWidth="1"/>
    <col min="10484" max="10484" width="5.85546875" style="122" customWidth="1"/>
    <col min="10485" max="10485" width="6.5703125" style="122" customWidth="1"/>
    <col min="10486" max="10486" width="3.28515625" style="122" customWidth="1"/>
    <col min="10487" max="10487" width="5.85546875" style="122" customWidth="1"/>
    <col min="10488" max="10488" width="6.5703125" style="122" customWidth="1"/>
    <col min="10489" max="10489" width="3.28515625" style="122" customWidth="1"/>
    <col min="10490" max="10490" width="5.85546875" style="122" customWidth="1"/>
    <col min="10491" max="10491" width="6.5703125" style="122" customWidth="1"/>
    <col min="10492" max="10492" width="3.28515625" style="122" customWidth="1"/>
    <col min="10493" max="10493" width="5.85546875" style="122" customWidth="1"/>
    <col min="10494" max="10494" width="6.5703125" style="122" customWidth="1"/>
    <col min="10495" max="10495" width="3.28515625" style="122" customWidth="1"/>
    <col min="10496" max="10496" width="5.85546875" style="122" customWidth="1"/>
    <col min="10497" max="10497" width="6.5703125" style="122" customWidth="1"/>
    <col min="10498" max="10498" width="3.28515625" style="122" customWidth="1"/>
    <col min="10499" max="10499" width="5.85546875" style="122" customWidth="1"/>
    <col min="10500" max="10500" width="6.5703125" style="122" customWidth="1"/>
    <col min="10501" max="10501" width="3.28515625" style="122" customWidth="1"/>
    <col min="10502" max="10502" width="5.85546875" style="122" customWidth="1"/>
    <col min="10503" max="10503" width="6.5703125" style="122" customWidth="1"/>
    <col min="10504" max="10504" width="3.28515625" style="122" customWidth="1"/>
    <col min="10505" max="10505" width="5.85546875" style="122" customWidth="1"/>
    <col min="10506" max="10506" width="6.5703125" style="122" customWidth="1"/>
    <col min="10507" max="10507" width="3.28515625" style="122" customWidth="1"/>
    <col min="10508" max="10508" width="5.85546875" style="122" customWidth="1"/>
    <col min="10509" max="10509" width="6.5703125" style="122" customWidth="1"/>
    <col min="10510" max="10510" width="9.42578125" style="122" customWidth="1"/>
    <col min="10511" max="10713" width="9.140625" style="122"/>
    <col min="10714" max="10714" width="4.85546875" style="122" customWidth="1"/>
    <col min="10715" max="10715" width="5.140625" style="122" customWidth="1"/>
    <col min="10716" max="10716" width="13.7109375" style="122" customWidth="1"/>
    <col min="10717" max="10717" width="9.42578125" style="122" customWidth="1"/>
    <col min="10718" max="10718" width="7.85546875" style="122" bestFit="1" customWidth="1"/>
    <col min="10719" max="10719" width="9.42578125" style="122" customWidth="1"/>
    <col min="10720" max="10720" width="7.42578125" style="122" customWidth="1"/>
    <col min="10721" max="10721" width="7.85546875" style="122" customWidth="1"/>
    <col min="10722" max="10722" width="11" style="122" customWidth="1"/>
    <col min="10723" max="10723" width="7.5703125" style="122" customWidth="1"/>
    <col min="10724" max="10724" width="3.28515625" style="122" customWidth="1"/>
    <col min="10725" max="10725" width="5.85546875" style="122" customWidth="1"/>
    <col min="10726" max="10726" width="6.5703125" style="122" customWidth="1"/>
    <col min="10727" max="10727" width="3.28515625" style="122" customWidth="1"/>
    <col min="10728" max="10728" width="5.85546875" style="122" customWidth="1"/>
    <col min="10729" max="10729" width="6.5703125" style="122" customWidth="1"/>
    <col min="10730" max="10730" width="3.28515625" style="122" customWidth="1"/>
    <col min="10731" max="10731" width="5.85546875" style="122" customWidth="1"/>
    <col min="10732" max="10732" width="6.5703125" style="122" customWidth="1"/>
    <col min="10733" max="10733" width="3.28515625" style="122" customWidth="1"/>
    <col min="10734" max="10734" width="5.85546875" style="122" customWidth="1"/>
    <col min="10735" max="10735" width="6.5703125" style="122" customWidth="1"/>
    <col min="10736" max="10736" width="3.28515625" style="122" customWidth="1"/>
    <col min="10737" max="10737" width="5.85546875" style="122" customWidth="1"/>
    <col min="10738" max="10738" width="6.5703125" style="122" customWidth="1"/>
    <col min="10739" max="10739" width="3.28515625" style="122" customWidth="1"/>
    <col min="10740" max="10740" width="5.85546875" style="122" customWidth="1"/>
    <col min="10741" max="10741" width="6.5703125" style="122" customWidth="1"/>
    <col min="10742" max="10742" width="3.28515625" style="122" customWidth="1"/>
    <col min="10743" max="10743" width="5.85546875" style="122" customWidth="1"/>
    <col min="10744" max="10744" width="6.5703125" style="122" customWidth="1"/>
    <col min="10745" max="10745" width="3.28515625" style="122" customWidth="1"/>
    <col min="10746" max="10746" width="5.85546875" style="122" customWidth="1"/>
    <col min="10747" max="10747" width="6.5703125" style="122" customWidth="1"/>
    <col min="10748" max="10748" width="3.28515625" style="122" customWidth="1"/>
    <col min="10749" max="10749" width="5.85546875" style="122" customWidth="1"/>
    <col min="10750" max="10750" width="6.5703125" style="122" customWidth="1"/>
    <col min="10751" max="10751" width="3.28515625" style="122" customWidth="1"/>
    <col min="10752" max="10752" width="5.85546875" style="122" customWidth="1"/>
    <col min="10753" max="10753" width="6.5703125" style="122" customWidth="1"/>
    <col min="10754" max="10754" width="3.28515625" style="122" customWidth="1"/>
    <col min="10755" max="10755" width="5.85546875" style="122" customWidth="1"/>
    <col min="10756" max="10756" width="6.5703125" style="122" customWidth="1"/>
    <col min="10757" max="10757" width="3.28515625" style="122" customWidth="1"/>
    <col min="10758" max="10758" width="5.85546875" style="122" customWidth="1"/>
    <col min="10759" max="10759" width="6.5703125" style="122" customWidth="1"/>
    <col min="10760" max="10760" width="3.28515625" style="122" customWidth="1"/>
    <col min="10761" max="10761" width="5.85546875" style="122" customWidth="1"/>
    <col min="10762" max="10762" width="6.5703125" style="122" customWidth="1"/>
    <col min="10763" max="10763" width="3.28515625" style="122" customWidth="1"/>
    <col min="10764" max="10764" width="5.85546875" style="122" customWidth="1"/>
    <col min="10765" max="10765" width="6.5703125" style="122" customWidth="1"/>
    <col min="10766" max="10766" width="9.42578125" style="122" customWidth="1"/>
    <col min="10767" max="10969" width="9.140625" style="122"/>
    <col min="10970" max="10970" width="4.85546875" style="122" customWidth="1"/>
    <col min="10971" max="10971" width="5.140625" style="122" customWidth="1"/>
    <col min="10972" max="10972" width="13.7109375" style="122" customWidth="1"/>
    <col min="10973" max="10973" width="9.42578125" style="122" customWidth="1"/>
    <col min="10974" max="10974" width="7.85546875" style="122" bestFit="1" customWidth="1"/>
    <col min="10975" max="10975" width="9.42578125" style="122" customWidth="1"/>
    <col min="10976" max="10976" width="7.42578125" style="122" customWidth="1"/>
    <col min="10977" max="10977" width="7.85546875" style="122" customWidth="1"/>
    <col min="10978" max="10978" width="11" style="122" customWidth="1"/>
    <col min="10979" max="10979" width="7.5703125" style="122" customWidth="1"/>
    <col min="10980" max="10980" width="3.28515625" style="122" customWidth="1"/>
    <col min="10981" max="10981" width="5.85546875" style="122" customWidth="1"/>
    <col min="10982" max="10982" width="6.5703125" style="122" customWidth="1"/>
    <col min="10983" max="10983" width="3.28515625" style="122" customWidth="1"/>
    <col min="10984" max="10984" width="5.85546875" style="122" customWidth="1"/>
    <col min="10985" max="10985" width="6.5703125" style="122" customWidth="1"/>
    <col min="10986" max="10986" width="3.28515625" style="122" customWidth="1"/>
    <col min="10987" max="10987" width="5.85546875" style="122" customWidth="1"/>
    <col min="10988" max="10988" width="6.5703125" style="122" customWidth="1"/>
    <col min="10989" max="10989" width="3.28515625" style="122" customWidth="1"/>
    <col min="10990" max="10990" width="5.85546875" style="122" customWidth="1"/>
    <col min="10991" max="10991" width="6.5703125" style="122" customWidth="1"/>
    <col min="10992" max="10992" width="3.28515625" style="122" customWidth="1"/>
    <col min="10993" max="10993" width="5.85546875" style="122" customWidth="1"/>
    <col min="10994" max="10994" width="6.5703125" style="122" customWidth="1"/>
    <col min="10995" max="10995" width="3.28515625" style="122" customWidth="1"/>
    <col min="10996" max="10996" width="5.85546875" style="122" customWidth="1"/>
    <col min="10997" max="10997" width="6.5703125" style="122" customWidth="1"/>
    <col min="10998" max="10998" width="3.28515625" style="122" customWidth="1"/>
    <col min="10999" max="10999" width="5.85546875" style="122" customWidth="1"/>
    <col min="11000" max="11000" width="6.5703125" style="122" customWidth="1"/>
    <col min="11001" max="11001" width="3.28515625" style="122" customWidth="1"/>
    <col min="11002" max="11002" width="5.85546875" style="122" customWidth="1"/>
    <col min="11003" max="11003" width="6.5703125" style="122" customWidth="1"/>
    <col min="11004" max="11004" width="3.28515625" style="122" customWidth="1"/>
    <col min="11005" max="11005" width="5.85546875" style="122" customWidth="1"/>
    <col min="11006" max="11006" width="6.5703125" style="122" customWidth="1"/>
    <col min="11007" max="11007" width="3.28515625" style="122" customWidth="1"/>
    <col min="11008" max="11008" width="5.85546875" style="122" customWidth="1"/>
    <col min="11009" max="11009" width="6.5703125" style="122" customWidth="1"/>
    <col min="11010" max="11010" width="3.28515625" style="122" customWidth="1"/>
    <col min="11011" max="11011" width="5.85546875" style="122" customWidth="1"/>
    <col min="11012" max="11012" width="6.5703125" style="122" customWidth="1"/>
    <col min="11013" max="11013" width="3.28515625" style="122" customWidth="1"/>
    <col min="11014" max="11014" width="5.85546875" style="122" customWidth="1"/>
    <col min="11015" max="11015" width="6.5703125" style="122" customWidth="1"/>
    <col min="11016" max="11016" width="3.28515625" style="122" customWidth="1"/>
    <col min="11017" max="11017" width="5.85546875" style="122" customWidth="1"/>
    <col min="11018" max="11018" width="6.5703125" style="122" customWidth="1"/>
    <col min="11019" max="11019" width="3.28515625" style="122" customWidth="1"/>
    <col min="11020" max="11020" width="5.85546875" style="122" customWidth="1"/>
    <col min="11021" max="11021" width="6.5703125" style="122" customWidth="1"/>
    <col min="11022" max="11022" width="9.42578125" style="122" customWidth="1"/>
    <col min="11023" max="11225" width="9.140625" style="122"/>
    <col min="11226" max="11226" width="4.85546875" style="122" customWidth="1"/>
    <col min="11227" max="11227" width="5.140625" style="122" customWidth="1"/>
    <col min="11228" max="11228" width="13.7109375" style="122" customWidth="1"/>
    <col min="11229" max="11229" width="9.42578125" style="122" customWidth="1"/>
    <col min="11230" max="11230" width="7.85546875" style="122" bestFit="1" customWidth="1"/>
    <col min="11231" max="11231" width="9.42578125" style="122" customWidth="1"/>
    <col min="11232" max="11232" width="7.42578125" style="122" customWidth="1"/>
    <col min="11233" max="11233" width="7.85546875" style="122" customWidth="1"/>
    <col min="11234" max="11234" width="11" style="122" customWidth="1"/>
    <col min="11235" max="11235" width="7.5703125" style="122" customWidth="1"/>
    <col min="11236" max="11236" width="3.28515625" style="122" customWidth="1"/>
    <col min="11237" max="11237" width="5.85546875" style="122" customWidth="1"/>
    <col min="11238" max="11238" width="6.5703125" style="122" customWidth="1"/>
    <col min="11239" max="11239" width="3.28515625" style="122" customWidth="1"/>
    <col min="11240" max="11240" width="5.85546875" style="122" customWidth="1"/>
    <col min="11241" max="11241" width="6.5703125" style="122" customWidth="1"/>
    <col min="11242" max="11242" width="3.28515625" style="122" customWidth="1"/>
    <col min="11243" max="11243" width="5.85546875" style="122" customWidth="1"/>
    <col min="11244" max="11244" width="6.5703125" style="122" customWidth="1"/>
    <col min="11245" max="11245" width="3.28515625" style="122" customWidth="1"/>
    <col min="11246" max="11246" width="5.85546875" style="122" customWidth="1"/>
    <col min="11247" max="11247" width="6.5703125" style="122" customWidth="1"/>
    <col min="11248" max="11248" width="3.28515625" style="122" customWidth="1"/>
    <col min="11249" max="11249" width="5.85546875" style="122" customWidth="1"/>
    <col min="11250" max="11250" width="6.5703125" style="122" customWidth="1"/>
    <col min="11251" max="11251" width="3.28515625" style="122" customWidth="1"/>
    <col min="11252" max="11252" width="5.85546875" style="122" customWidth="1"/>
    <col min="11253" max="11253" width="6.5703125" style="122" customWidth="1"/>
    <col min="11254" max="11254" width="3.28515625" style="122" customWidth="1"/>
    <col min="11255" max="11255" width="5.85546875" style="122" customWidth="1"/>
    <col min="11256" max="11256" width="6.5703125" style="122" customWidth="1"/>
    <col min="11257" max="11257" width="3.28515625" style="122" customWidth="1"/>
    <col min="11258" max="11258" width="5.85546875" style="122" customWidth="1"/>
    <col min="11259" max="11259" width="6.5703125" style="122" customWidth="1"/>
    <col min="11260" max="11260" width="3.28515625" style="122" customWidth="1"/>
    <col min="11261" max="11261" width="5.85546875" style="122" customWidth="1"/>
    <col min="11262" max="11262" width="6.5703125" style="122" customWidth="1"/>
    <col min="11263" max="11263" width="3.28515625" style="122" customWidth="1"/>
    <col min="11264" max="11264" width="5.85546875" style="122" customWidth="1"/>
    <col min="11265" max="11265" width="6.5703125" style="122" customWidth="1"/>
    <col min="11266" max="11266" width="3.28515625" style="122" customWidth="1"/>
    <col min="11267" max="11267" width="5.85546875" style="122" customWidth="1"/>
    <col min="11268" max="11268" width="6.5703125" style="122" customWidth="1"/>
    <col min="11269" max="11269" width="3.28515625" style="122" customWidth="1"/>
    <col min="11270" max="11270" width="5.85546875" style="122" customWidth="1"/>
    <col min="11271" max="11271" width="6.5703125" style="122" customWidth="1"/>
    <col min="11272" max="11272" width="3.28515625" style="122" customWidth="1"/>
    <col min="11273" max="11273" width="5.85546875" style="122" customWidth="1"/>
    <col min="11274" max="11274" width="6.5703125" style="122" customWidth="1"/>
    <col min="11275" max="11275" width="3.28515625" style="122" customWidth="1"/>
    <col min="11276" max="11276" width="5.85546875" style="122" customWidth="1"/>
    <col min="11277" max="11277" width="6.5703125" style="122" customWidth="1"/>
    <col min="11278" max="11278" width="9.42578125" style="122" customWidth="1"/>
    <col min="11279" max="11481" width="9.140625" style="122"/>
    <col min="11482" max="11482" width="4.85546875" style="122" customWidth="1"/>
    <col min="11483" max="11483" width="5.140625" style="122" customWidth="1"/>
    <col min="11484" max="11484" width="13.7109375" style="122" customWidth="1"/>
    <col min="11485" max="11485" width="9.42578125" style="122" customWidth="1"/>
    <col min="11486" max="11486" width="7.85546875" style="122" bestFit="1" customWidth="1"/>
    <col min="11487" max="11487" width="9.42578125" style="122" customWidth="1"/>
    <col min="11488" max="11488" width="7.42578125" style="122" customWidth="1"/>
    <col min="11489" max="11489" width="7.85546875" style="122" customWidth="1"/>
    <col min="11490" max="11490" width="11" style="122" customWidth="1"/>
    <col min="11491" max="11491" width="7.5703125" style="122" customWidth="1"/>
    <col min="11492" max="11492" width="3.28515625" style="122" customWidth="1"/>
    <col min="11493" max="11493" width="5.85546875" style="122" customWidth="1"/>
    <col min="11494" max="11494" width="6.5703125" style="122" customWidth="1"/>
    <col min="11495" max="11495" width="3.28515625" style="122" customWidth="1"/>
    <col min="11496" max="11496" width="5.85546875" style="122" customWidth="1"/>
    <col min="11497" max="11497" width="6.5703125" style="122" customWidth="1"/>
    <col min="11498" max="11498" width="3.28515625" style="122" customWidth="1"/>
    <col min="11499" max="11499" width="5.85546875" style="122" customWidth="1"/>
    <col min="11500" max="11500" width="6.5703125" style="122" customWidth="1"/>
    <col min="11501" max="11501" width="3.28515625" style="122" customWidth="1"/>
    <col min="11502" max="11502" width="5.85546875" style="122" customWidth="1"/>
    <col min="11503" max="11503" width="6.5703125" style="122" customWidth="1"/>
    <col min="11504" max="11504" width="3.28515625" style="122" customWidth="1"/>
    <col min="11505" max="11505" width="5.85546875" style="122" customWidth="1"/>
    <col min="11506" max="11506" width="6.5703125" style="122" customWidth="1"/>
    <col min="11507" max="11507" width="3.28515625" style="122" customWidth="1"/>
    <col min="11508" max="11508" width="5.85546875" style="122" customWidth="1"/>
    <col min="11509" max="11509" width="6.5703125" style="122" customWidth="1"/>
    <col min="11510" max="11510" width="3.28515625" style="122" customWidth="1"/>
    <col min="11511" max="11511" width="5.85546875" style="122" customWidth="1"/>
    <col min="11512" max="11512" width="6.5703125" style="122" customWidth="1"/>
    <col min="11513" max="11513" width="3.28515625" style="122" customWidth="1"/>
    <col min="11514" max="11514" width="5.85546875" style="122" customWidth="1"/>
    <col min="11515" max="11515" width="6.5703125" style="122" customWidth="1"/>
    <col min="11516" max="11516" width="3.28515625" style="122" customWidth="1"/>
    <col min="11517" max="11517" width="5.85546875" style="122" customWidth="1"/>
    <col min="11518" max="11518" width="6.5703125" style="122" customWidth="1"/>
    <col min="11519" max="11519" width="3.28515625" style="122" customWidth="1"/>
    <col min="11520" max="11520" width="5.85546875" style="122" customWidth="1"/>
    <col min="11521" max="11521" width="6.5703125" style="122" customWidth="1"/>
    <col min="11522" max="11522" width="3.28515625" style="122" customWidth="1"/>
    <col min="11523" max="11523" width="5.85546875" style="122" customWidth="1"/>
    <col min="11524" max="11524" width="6.5703125" style="122" customWidth="1"/>
    <col min="11525" max="11525" width="3.28515625" style="122" customWidth="1"/>
    <col min="11526" max="11526" width="5.85546875" style="122" customWidth="1"/>
    <col min="11527" max="11527" width="6.5703125" style="122" customWidth="1"/>
    <col min="11528" max="11528" width="3.28515625" style="122" customWidth="1"/>
    <col min="11529" max="11529" width="5.85546875" style="122" customWidth="1"/>
    <col min="11530" max="11530" width="6.5703125" style="122" customWidth="1"/>
    <col min="11531" max="11531" width="3.28515625" style="122" customWidth="1"/>
    <col min="11532" max="11532" width="5.85546875" style="122" customWidth="1"/>
    <col min="11533" max="11533" width="6.5703125" style="122" customWidth="1"/>
    <col min="11534" max="11534" width="9.42578125" style="122" customWidth="1"/>
    <col min="11535" max="11737" width="9.140625" style="122"/>
    <col min="11738" max="11738" width="4.85546875" style="122" customWidth="1"/>
    <col min="11739" max="11739" width="5.140625" style="122" customWidth="1"/>
    <col min="11740" max="11740" width="13.7109375" style="122" customWidth="1"/>
    <col min="11741" max="11741" width="9.42578125" style="122" customWidth="1"/>
    <col min="11742" max="11742" width="7.85546875" style="122" bestFit="1" customWidth="1"/>
    <col min="11743" max="11743" width="9.42578125" style="122" customWidth="1"/>
    <col min="11744" max="11744" width="7.42578125" style="122" customWidth="1"/>
    <col min="11745" max="11745" width="7.85546875" style="122" customWidth="1"/>
    <col min="11746" max="11746" width="11" style="122" customWidth="1"/>
    <col min="11747" max="11747" width="7.5703125" style="122" customWidth="1"/>
    <col min="11748" max="11748" width="3.28515625" style="122" customWidth="1"/>
    <col min="11749" max="11749" width="5.85546875" style="122" customWidth="1"/>
    <col min="11750" max="11750" width="6.5703125" style="122" customWidth="1"/>
    <col min="11751" max="11751" width="3.28515625" style="122" customWidth="1"/>
    <col min="11752" max="11752" width="5.85546875" style="122" customWidth="1"/>
    <col min="11753" max="11753" width="6.5703125" style="122" customWidth="1"/>
    <col min="11754" max="11754" width="3.28515625" style="122" customWidth="1"/>
    <col min="11755" max="11755" width="5.85546875" style="122" customWidth="1"/>
    <col min="11756" max="11756" width="6.5703125" style="122" customWidth="1"/>
    <col min="11757" max="11757" width="3.28515625" style="122" customWidth="1"/>
    <col min="11758" max="11758" width="5.85546875" style="122" customWidth="1"/>
    <col min="11759" max="11759" width="6.5703125" style="122" customWidth="1"/>
    <col min="11760" max="11760" width="3.28515625" style="122" customWidth="1"/>
    <col min="11761" max="11761" width="5.85546875" style="122" customWidth="1"/>
    <col min="11762" max="11762" width="6.5703125" style="122" customWidth="1"/>
    <col min="11763" max="11763" width="3.28515625" style="122" customWidth="1"/>
    <col min="11764" max="11764" width="5.85546875" style="122" customWidth="1"/>
    <col min="11765" max="11765" width="6.5703125" style="122" customWidth="1"/>
    <col min="11766" max="11766" width="3.28515625" style="122" customWidth="1"/>
    <col min="11767" max="11767" width="5.85546875" style="122" customWidth="1"/>
    <col min="11768" max="11768" width="6.5703125" style="122" customWidth="1"/>
    <col min="11769" max="11769" width="3.28515625" style="122" customWidth="1"/>
    <col min="11770" max="11770" width="5.85546875" style="122" customWidth="1"/>
    <col min="11771" max="11771" width="6.5703125" style="122" customWidth="1"/>
    <col min="11772" max="11772" width="3.28515625" style="122" customWidth="1"/>
    <col min="11773" max="11773" width="5.85546875" style="122" customWidth="1"/>
    <col min="11774" max="11774" width="6.5703125" style="122" customWidth="1"/>
    <col min="11775" max="11775" width="3.28515625" style="122" customWidth="1"/>
    <col min="11776" max="11776" width="5.85546875" style="122" customWidth="1"/>
    <col min="11777" max="11777" width="6.5703125" style="122" customWidth="1"/>
    <col min="11778" max="11778" width="3.28515625" style="122" customWidth="1"/>
    <col min="11779" max="11779" width="5.85546875" style="122" customWidth="1"/>
    <col min="11780" max="11780" width="6.5703125" style="122" customWidth="1"/>
    <col min="11781" max="11781" width="3.28515625" style="122" customWidth="1"/>
    <col min="11782" max="11782" width="5.85546875" style="122" customWidth="1"/>
    <col min="11783" max="11783" width="6.5703125" style="122" customWidth="1"/>
    <col min="11784" max="11784" width="3.28515625" style="122" customWidth="1"/>
    <col min="11785" max="11785" width="5.85546875" style="122" customWidth="1"/>
    <col min="11786" max="11786" width="6.5703125" style="122" customWidth="1"/>
    <col min="11787" max="11787" width="3.28515625" style="122" customWidth="1"/>
    <col min="11788" max="11788" width="5.85546875" style="122" customWidth="1"/>
    <col min="11789" max="11789" width="6.5703125" style="122" customWidth="1"/>
    <col min="11790" max="11790" width="9.42578125" style="122" customWidth="1"/>
    <col min="11791" max="11993" width="9.140625" style="122"/>
    <col min="11994" max="11994" width="4.85546875" style="122" customWidth="1"/>
    <col min="11995" max="11995" width="5.140625" style="122" customWidth="1"/>
    <col min="11996" max="11996" width="13.7109375" style="122" customWidth="1"/>
    <col min="11997" max="11997" width="9.42578125" style="122" customWidth="1"/>
    <col min="11998" max="11998" width="7.85546875" style="122" bestFit="1" customWidth="1"/>
    <col min="11999" max="11999" width="9.42578125" style="122" customWidth="1"/>
    <col min="12000" max="12000" width="7.42578125" style="122" customWidth="1"/>
    <col min="12001" max="12001" width="7.85546875" style="122" customWidth="1"/>
    <col min="12002" max="12002" width="11" style="122" customWidth="1"/>
    <col min="12003" max="12003" width="7.5703125" style="122" customWidth="1"/>
    <col min="12004" max="12004" width="3.28515625" style="122" customWidth="1"/>
    <col min="12005" max="12005" width="5.85546875" style="122" customWidth="1"/>
    <col min="12006" max="12006" width="6.5703125" style="122" customWidth="1"/>
    <col min="12007" max="12007" width="3.28515625" style="122" customWidth="1"/>
    <col min="12008" max="12008" width="5.85546875" style="122" customWidth="1"/>
    <col min="12009" max="12009" width="6.5703125" style="122" customWidth="1"/>
    <col min="12010" max="12010" width="3.28515625" style="122" customWidth="1"/>
    <col min="12011" max="12011" width="5.85546875" style="122" customWidth="1"/>
    <col min="12012" max="12012" width="6.5703125" style="122" customWidth="1"/>
    <col min="12013" max="12013" width="3.28515625" style="122" customWidth="1"/>
    <col min="12014" max="12014" width="5.85546875" style="122" customWidth="1"/>
    <col min="12015" max="12015" width="6.5703125" style="122" customWidth="1"/>
    <col min="12016" max="12016" width="3.28515625" style="122" customWidth="1"/>
    <col min="12017" max="12017" width="5.85546875" style="122" customWidth="1"/>
    <col min="12018" max="12018" width="6.5703125" style="122" customWidth="1"/>
    <col min="12019" max="12019" width="3.28515625" style="122" customWidth="1"/>
    <col min="12020" max="12020" width="5.85546875" style="122" customWidth="1"/>
    <col min="12021" max="12021" width="6.5703125" style="122" customWidth="1"/>
    <col min="12022" max="12022" width="3.28515625" style="122" customWidth="1"/>
    <col min="12023" max="12023" width="5.85546875" style="122" customWidth="1"/>
    <col min="12024" max="12024" width="6.5703125" style="122" customWidth="1"/>
    <col min="12025" max="12025" width="3.28515625" style="122" customWidth="1"/>
    <col min="12026" max="12026" width="5.85546875" style="122" customWidth="1"/>
    <col min="12027" max="12027" width="6.5703125" style="122" customWidth="1"/>
    <col min="12028" max="12028" width="3.28515625" style="122" customWidth="1"/>
    <col min="12029" max="12029" width="5.85546875" style="122" customWidth="1"/>
    <col min="12030" max="12030" width="6.5703125" style="122" customWidth="1"/>
    <col min="12031" max="12031" width="3.28515625" style="122" customWidth="1"/>
    <col min="12032" max="12032" width="5.85546875" style="122" customWidth="1"/>
    <col min="12033" max="12033" width="6.5703125" style="122" customWidth="1"/>
    <col min="12034" max="12034" width="3.28515625" style="122" customWidth="1"/>
    <col min="12035" max="12035" width="5.85546875" style="122" customWidth="1"/>
    <col min="12036" max="12036" width="6.5703125" style="122" customWidth="1"/>
    <col min="12037" max="12037" width="3.28515625" style="122" customWidth="1"/>
    <col min="12038" max="12038" width="5.85546875" style="122" customWidth="1"/>
    <col min="12039" max="12039" width="6.5703125" style="122" customWidth="1"/>
    <col min="12040" max="12040" width="3.28515625" style="122" customWidth="1"/>
    <col min="12041" max="12041" width="5.85546875" style="122" customWidth="1"/>
    <col min="12042" max="12042" width="6.5703125" style="122" customWidth="1"/>
    <col min="12043" max="12043" width="3.28515625" style="122" customWidth="1"/>
    <col min="12044" max="12044" width="5.85546875" style="122" customWidth="1"/>
    <col min="12045" max="12045" width="6.5703125" style="122" customWidth="1"/>
    <col min="12046" max="12046" width="9.42578125" style="122" customWidth="1"/>
    <col min="12047" max="12249" width="9.140625" style="122"/>
    <col min="12250" max="12250" width="4.85546875" style="122" customWidth="1"/>
    <col min="12251" max="12251" width="5.140625" style="122" customWidth="1"/>
    <col min="12252" max="12252" width="13.7109375" style="122" customWidth="1"/>
    <col min="12253" max="12253" width="9.42578125" style="122" customWidth="1"/>
    <col min="12254" max="12254" width="7.85546875" style="122" bestFit="1" customWidth="1"/>
    <col min="12255" max="12255" width="9.42578125" style="122" customWidth="1"/>
    <col min="12256" max="12256" width="7.42578125" style="122" customWidth="1"/>
    <col min="12257" max="12257" width="7.85546875" style="122" customWidth="1"/>
    <col min="12258" max="12258" width="11" style="122" customWidth="1"/>
    <col min="12259" max="12259" width="7.5703125" style="122" customWidth="1"/>
    <col min="12260" max="12260" width="3.28515625" style="122" customWidth="1"/>
    <col min="12261" max="12261" width="5.85546875" style="122" customWidth="1"/>
    <col min="12262" max="12262" width="6.5703125" style="122" customWidth="1"/>
    <col min="12263" max="12263" width="3.28515625" style="122" customWidth="1"/>
    <col min="12264" max="12264" width="5.85546875" style="122" customWidth="1"/>
    <col min="12265" max="12265" width="6.5703125" style="122" customWidth="1"/>
    <col min="12266" max="12266" width="3.28515625" style="122" customWidth="1"/>
    <col min="12267" max="12267" width="5.85546875" style="122" customWidth="1"/>
    <col min="12268" max="12268" width="6.5703125" style="122" customWidth="1"/>
    <col min="12269" max="12269" width="3.28515625" style="122" customWidth="1"/>
    <col min="12270" max="12270" width="5.85546875" style="122" customWidth="1"/>
    <col min="12271" max="12271" width="6.5703125" style="122" customWidth="1"/>
    <col min="12272" max="12272" width="3.28515625" style="122" customWidth="1"/>
    <col min="12273" max="12273" width="5.85546875" style="122" customWidth="1"/>
    <col min="12274" max="12274" width="6.5703125" style="122" customWidth="1"/>
    <col min="12275" max="12275" width="3.28515625" style="122" customWidth="1"/>
    <col min="12276" max="12276" width="5.85546875" style="122" customWidth="1"/>
    <col min="12277" max="12277" width="6.5703125" style="122" customWidth="1"/>
    <col min="12278" max="12278" width="3.28515625" style="122" customWidth="1"/>
    <col min="12279" max="12279" width="5.85546875" style="122" customWidth="1"/>
    <col min="12280" max="12280" width="6.5703125" style="122" customWidth="1"/>
    <col min="12281" max="12281" width="3.28515625" style="122" customWidth="1"/>
    <col min="12282" max="12282" width="5.85546875" style="122" customWidth="1"/>
    <col min="12283" max="12283" width="6.5703125" style="122" customWidth="1"/>
    <col min="12284" max="12284" width="3.28515625" style="122" customWidth="1"/>
    <col min="12285" max="12285" width="5.85546875" style="122" customWidth="1"/>
    <col min="12286" max="12286" width="6.5703125" style="122" customWidth="1"/>
    <col min="12287" max="12287" width="3.28515625" style="122" customWidth="1"/>
    <col min="12288" max="12288" width="5.85546875" style="122" customWidth="1"/>
    <col min="12289" max="12289" width="6.5703125" style="122" customWidth="1"/>
    <col min="12290" max="12290" width="3.28515625" style="122" customWidth="1"/>
    <col min="12291" max="12291" width="5.85546875" style="122" customWidth="1"/>
    <col min="12292" max="12292" width="6.5703125" style="122" customWidth="1"/>
    <col min="12293" max="12293" width="3.28515625" style="122" customWidth="1"/>
    <col min="12294" max="12294" width="5.85546875" style="122" customWidth="1"/>
    <col min="12295" max="12295" width="6.5703125" style="122" customWidth="1"/>
    <col min="12296" max="12296" width="3.28515625" style="122" customWidth="1"/>
    <col min="12297" max="12297" width="5.85546875" style="122" customWidth="1"/>
    <col min="12298" max="12298" width="6.5703125" style="122" customWidth="1"/>
    <col min="12299" max="12299" width="3.28515625" style="122" customWidth="1"/>
    <col min="12300" max="12300" width="5.85546875" style="122" customWidth="1"/>
    <col min="12301" max="12301" width="6.5703125" style="122" customWidth="1"/>
    <col min="12302" max="12302" width="9.42578125" style="122" customWidth="1"/>
    <col min="12303" max="12505" width="9.140625" style="122"/>
    <col min="12506" max="12506" width="4.85546875" style="122" customWidth="1"/>
    <col min="12507" max="12507" width="5.140625" style="122" customWidth="1"/>
    <col min="12508" max="12508" width="13.7109375" style="122" customWidth="1"/>
    <col min="12509" max="12509" width="9.42578125" style="122" customWidth="1"/>
    <col min="12510" max="12510" width="7.85546875" style="122" bestFit="1" customWidth="1"/>
    <col min="12511" max="12511" width="9.42578125" style="122" customWidth="1"/>
    <col min="12512" max="12512" width="7.42578125" style="122" customWidth="1"/>
    <col min="12513" max="12513" width="7.85546875" style="122" customWidth="1"/>
    <col min="12514" max="12514" width="11" style="122" customWidth="1"/>
    <col min="12515" max="12515" width="7.5703125" style="122" customWidth="1"/>
    <col min="12516" max="12516" width="3.28515625" style="122" customWidth="1"/>
    <col min="12517" max="12517" width="5.85546875" style="122" customWidth="1"/>
    <col min="12518" max="12518" width="6.5703125" style="122" customWidth="1"/>
    <col min="12519" max="12519" width="3.28515625" style="122" customWidth="1"/>
    <col min="12520" max="12520" width="5.85546875" style="122" customWidth="1"/>
    <col min="12521" max="12521" width="6.5703125" style="122" customWidth="1"/>
    <col min="12522" max="12522" width="3.28515625" style="122" customWidth="1"/>
    <col min="12523" max="12523" width="5.85546875" style="122" customWidth="1"/>
    <col min="12524" max="12524" width="6.5703125" style="122" customWidth="1"/>
    <col min="12525" max="12525" width="3.28515625" style="122" customWidth="1"/>
    <col min="12526" max="12526" width="5.85546875" style="122" customWidth="1"/>
    <col min="12527" max="12527" width="6.5703125" style="122" customWidth="1"/>
    <col min="12528" max="12528" width="3.28515625" style="122" customWidth="1"/>
    <col min="12529" max="12529" width="5.85546875" style="122" customWidth="1"/>
    <col min="12530" max="12530" width="6.5703125" style="122" customWidth="1"/>
    <col min="12531" max="12531" width="3.28515625" style="122" customWidth="1"/>
    <col min="12532" max="12532" width="5.85546875" style="122" customWidth="1"/>
    <col min="12533" max="12533" width="6.5703125" style="122" customWidth="1"/>
    <col min="12534" max="12534" width="3.28515625" style="122" customWidth="1"/>
    <col min="12535" max="12535" width="5.85546875" style="122" customWidth="1"/>
    <col min="12536" max="12536" width="6.5703125" style="122" customWidth="1"/>
    <col min="12537" max="12537" width="3.28515625" style="122" customWidth="1"/>
    <col min="12538" max="12538" width="5.85546875" style="122" customWidth="1"/>
    <col min="12539" max="12539" width="6.5703125" style="122" customWidth="1"/>
    <col min="12540" max="12540" width="3.28515625" style="122" customWidth="1"/>
    <col min="12541" max="12541" width="5.85546875" style="122" customWidth="1"/>
    <col min="12542" max="12542" width="6.5703125" style="122" customWidth="1"/>
    <col min="12543" max="12543" width="3.28515625" style="122" customWidth="1"/>
    <col min="12544" max="12544" width="5.85546875" style="122" customWidth="1"/>
    <col min="12545" max="12545" width="6.5703125" style="122" customWidth="1"/>
    <col min="12546" max="12546" width="3.28515625" style="122" customWidth="1"/>
    <col min="12547" max="12547" width="5.85546875" style="122" customWidth="1"/>
    <col min="12548" max="12548" width="6.5703125" style="122" customWidth="1"/>
    <col min="12549" max="12549" width="3.28515625" style="122" customWidth="1"/>
    <col min="12550" max="12550" width="5.85546875" style="122" customWidth="1"/>
    <col min="12551" max="12551" width="6.5703125" style="122" customWidth="1"/>
    <col min="12552" max="12552" width="3.28515625" style="122" customWidth="1"/>
    <col min="12553" max="12553" width="5.85546875" style="122" customWidth="1"/>
    <col min="12554" max="12554" width="6.5703125" style="122" customWidth="1"/>
    <col min="12555" max="12555" width="3.28515625" style="122" customWidth="1"/>
    <col min="12556" max="12556" width="5.85546875" style="122" customWidth="1"/>
    <col min="12557" max="12557" width="6.5703125" style="122" customWidth="1"/>
    <col min="12558" max="12558" width="9.42578125" style="122" customWidth="1"/>
    <col min="12559" max="12761" width="9.140625" style="122"/>
    <col min="12762" max="12762" width="4.85546875" style="122" customWidth="1"/>
    <col min="12763" max="12763" width="5.140625" style="122" customWidth="1"/>
    <col min="12764" max="12764" width="13.7109375" style="122" customWidth="1"/>
    <col min="12765" max="12765" width="9.42578125" style="122" customWidth="1"/>
    <col min="12766" max="12766" width="7.85546875" style="122" bestFit="1" customWidth="1"/>
    <col min="12767" max="12767" width="9.42578125" style="122" customWidth="1"/>
    <col min="12768" max="12768" width="7.42578125" style="122" customWidth="1"/>
    <col min="12769" max="12769" width="7.85546875" style="122" customWidth="1"/>
    <col min="12770" max="12770" width="11" style="122" customWidth="1"/>
    <col min="12771" max="12771" width="7.5703125" style="122" customWidth="1"/>
    <col min="12772" max="12772" width="3.28515625" style="122" customWidth="1"/>
    <col min="12773" max="12773" width="5.85546875" style="122" customWidth="1"/>
    <col min="12774" max="12774" width="6.5703125" style="122" customWidth="1"/>
    <col min="12775" max="12775" width="3.28515625" style="122" customWidth="1"/>
    <col min="12776" max="12776" width="5.85546875" style="122" customWidth="1"/>
    <col min="12777" max="12777" width="6.5703125" style="122" customWidth="1"/>
    <col min="12778" max="12778" width="3.28515625" style="122" customWidth="1"/>
    <col min="12779" max="12779" width="5.85546875" style="122" customWidth="1"/>
    <col min="12780" max="12780" width="6.5703125" style="122" customWidth="1"/>
    <col min="12781" max="12781" width="3.28515625" style="122" customWidth="1"/>
    <col min="12782" max="12782" width="5.85546875" style="122" customWidth="1"/>
    <col min="12783" max="12783" width="6.5703125" style="122" customWidth="1"/>
    <col min="12784" max="12784" width="3.28515625" style="122" customWidth="1"/>
    <col min="12785" max="12785" width="5.85546875" style="122" customWidth="1"/>
    <col min="12786" max="12786" width="6.5703125" style="122" customWidth="1"/>
    <col min="12787" max="12787" width="3.28515625" style="122" customWidth="1"/>
    <col min="12788" max="12788" width="5.85546875" style="122" customWidth="1"/>
    <col min="12789" max="12789" width="6.5703125" style="122" customWidth="1"/>
    <col min="12790" max="12790" width="3.28515625" style="122" customWidth="1"/>
    <col min="12791" max="12791" width="5.85546875" style="122" customWidth="1"/>
    <col min="12792" max="12792" width="6.5703125" style="122" customWidth="1"/>
    <col min="12793" max="12793" width="3.28515625" style="122" customWidth="1"/>
    <col min="12794" max="12794" width="5.85546875" style="122" customWidth="1"/>
    <col min="12795" max="12795" width="6.5703125" style="122" customWidth="1"/>
    <col min="12796" max="12796" width="3.28515625" style="122" customWidth="1"/>
    <col min="12797" max="12797" width="5.85546875" style="122" customWidth="1"/>
    <col min="12798" max="12798" width="6.5703125" style="122" customWidth="1"/>
    <col min="12799" max="12799" width="3.28515625" style="122" customWidth="1"/>
    <col min="12800" max="12800" width="5.85546875" style="122" customWidth="1"/>
    <col min="12801" max="12801" width="6.5703125" style="122" customWidth="1"/>
    <col min="12802" max="12802" width="3.28515625" style="122" customWidth="1"/>
    <col min="12803" max="12803" width="5.85546875" style="122" customWidth="1"/>
    <col min="12804" max="12804" width="6.5703125" style="122" customWidth="1"/>
    <col min="12805" max="12805" width="3.28515625" style="122" customWidth="1"/>
    <col min="12806" max="12806" width="5.85546875" style="122" customWidth="1"/>
    <col min="12807" max="12807" width="6.5703125" style="122" customWidth="1"/>
    <col min="12808" max="12808" width="3.28515625" style="122" customWidth="1"/>
    <col min="12809" max="12809" width="5.85546875" style="122" customWidth="1"/>
    <col min="12810" max="12810" width="6.5703125" style="122" customWidth="1"/>
    <col min="12811" max="12811" width="3.28515625" style="122" customWidth="1"/>
    <col min="12812" max="12812" width="5.85546875" style="122" customWidth="1"/>
    <col min="12813" max="12813" width="6.5703125" style="122" customWidth="1"/>
    <col min="12814" max="12814" width="9.42578125" style="122" customWidth="1"/>
    <col min="12815" max="13017" width="9.140625" style="122"/>
    <col min="13018" max="13018" width="4.85546875" style="122" customWidth="1"/>
    <col min="13019" max="13019" width="5.140625" style="122" customWidth="1"/>
    <col min="13020" max="13020" width="13.7109375" style="122" customWidth="1"/>
    <col min="13021" max="13021" width="9.42578125" style="122" customWidth="1"/>
    <col min="13022" max="13022" width="7.85546875" style="122" bestFit="1" customWidth="1"/>
    <col min="13023" max="13023" width="9.42578125" style="122" customWidth="1"/>
    <col min="13024" max="13024" width="7.42578125" style="122" customWidth="1"/>
    <col min="13025" max="13025" width="7.85546875" style="122" customWidth="1"/>
    <col min="13026" max="13026" width="11" style="122" customWidth="1"/>
    <col min="13027" max="13027" width="7.5703125" style="122" customWidth="1"/>
    <col min="13028" max="13028" width="3.28515625" style="122" customWidth="1"/>
    <col min="13029" max="13029" width="5.85546875" style="122" customWidth="1"/>
    <col min="13030" max="13030" width="6.5703125" style="122" customWidth="1"/>
    <col min="13031" max="13031" width="3.28515625" style="122" customWidth="1"/>
    <col min="13032" max="13032" width="5.85546875" style="122" customWidth="1"/>
    <col min="13033" max="13033" width="6.5703125" style="122" customWidth="1"/>
    <col min="13034" max="13034" width="3.28515625" style="122" customWidth="1"/>
    <col min="13035" max="13035" width="5.85546875" style="122" customWidth="1"/>
    <col min="13036" max="13036" width="6.5703125" style="122" customWidth="1"/>
    <col min="13037" max="13037" width="3.28515625" style="122" customWidth="1"/>
    <col min="13038" max="13038" width="5.85546875" style="122" customWidth="1"/>
    <col min="13039" max="13039" width="6.5703125" style="122" customWidth="1"/>
    <col min="13040" max="13040" width="3.28515625" style="122" customWidth="1"/>
    <col min="13041" max="13041" width="5.85546875" style="122" customWidth="1"/>
    <col min="13042" max="13042" width="6.5703125" style="122" customWidth="1"/>
    <col min="13043" max="13043" width="3.28515625" style="122" customWidth="1"/>
    <col min="13044" max="13044" width="5.85546875" style="122" customWidth="1"/>
    <col min="13045" max="13045" width="6.5703125" style="122" customWidth="1"/>
    <col min="13046" max="13046" width="3.28515625" style="122" customWidth="1"/>
    <col min="13047" max="13047" width="5.85546875" style="122" customWidth="1"/>
    <col min="13048" max="13048" width="6.5703125" style="122" customWidth="1"/>
    <col min="13049" max="13049" width="3.28515625" style="122" customWidth="1"/>
    <col min="13050" max="13050" width="5.85546875" style="122" customWidth="1"/>
    <col min="13051" max="13051" width="6.5703125" style="122" customWidth="1"/>
    <col min="13052" max="13052" width="3.28515625" style="122" customWidth="1"/>
    <col min="13053" max="13053" width="5.85546875" style="122" customWidth="1"/>
    <col min="13054" max="13054" width="6.5703125" style="122" customWidth="1"/>
    <col min="13055" max="13055" width="3.28515625" style="122" customWidth="1"/>
    <col min="13056" max="13056" width="5.85546875" style="122" customWidth="1"/>
    <col min="13057" max="13057" width="6.5703125" style="122" customWidth="1"/>
    <col min="13058" max="13058" width="3.28515625" style="122" customWidth="1"/>
    <col min="13059" max="13059" width="5.85546875" style="122" customWidth="1"/>
    <col min="13060" max="13060" width="6.5703125" style="122" customWidth="1"/>
    <col min="13061" max="13061" width="3.28515625" style="122" customWidth="1"/>
    <col min="13062" max="13062" width="5.85546875" style="122" customWidth="1"/>
    <col min="13063" max="13063" width="6.5703125" style="122" customWidth="1"/>
    <col min="13064" max="13064" width="3.28515625" style="122" customWidth="1"/>
    <col min="13065" max="13065" width="5.85546875" style="122" customWidth="1"/>
    <col min="13066" max="13066" width="6.5703125" style="122" customWidth="1"/>
    <col min="13067" max="13067" width="3.28515625" style="122" customWidth="1"/>
    <col min="13068" max="13068" width="5.85546875" style="122" customWidth="1"/>
    <col min="13069" max="13069" width="6.5703125" style="122" customWidth="1"/>
    <col min="13070" max="13070" width="9.42578125" style="122" customWidth="1"/>
    <col min="13071" max="13273" width="9.140625" style="122"/>
    <col min="13274" max="13274" width="4.85546875" style="122" customWidth="1"/>
    <col min="13275" max="13275" width="5.140625" style="122" customWidth="1"/>
    <col min="13276" max="13276" width="13.7109375" style="122" customWidth="1"/>
    <col min="13277" max="13277" width="9.42578125" style="122" customWidth="1"/>
    <col min="13278" max="13278" width="7.85546875" style="122" bestFit="1" customWidth="1"/>
    <col min="13279" max="13279" width="9.42578125" style="122" customWidth="1"/>
    <col min="13280" max="13280" width="7.42578125" style="122" customWidth="1"/>
    <col min="13281" max="13281" width="7.85546875" style="122" customWidth="1"/>
    <col min="13282" max="13282" width="11" style="122" customWidth="1"/>
    <col min="13283" max="13283" width="7.5703125" style="122" customWidth="1"/>
    <col min="13284" max="13284" width="3.28515625" style="122" customWidth="1"/>
    <col min="13285" max="13285" width="5.85546875" style="122" customWidth="1"/>
    <col min="13286" max="13286" width="6.5703125" style="122" customWidth="1"/>
    <col min="13287" max="13287" width="3.28515625" style="122" customWidth="1"/>
    <col min="13288" max="13288" width="5.85546875" style="122" customWidth="1"/>
    <col min="13289" max="13289" width="6.5703125" style="122" customWidth="1"/>
    <col min="13290" max="13290" width="3.28515625" style="122" customWidth="1"/>
    <col min="13291" max="13291" width="5.85546875" style="122" customWidth="1"/>
    <col min="13292" max="13292" width="6.5703125" style="122" customWidth="1"/>
    <col min="13293" max="13293" width="3.28515625" style="122" customWidth="1"/>
    <col min="13294" max="13294" width="5.85546875" style="122" customWidth="1"/>
    <col min="13295" max="13295" width="6.5703125" style="122" customWidth="1"/>
    <col min="13296" max="13296" width="3.28515625" style="122" customWidth="1"/>
    <col min="13297" max="13297" width="5.85546875" style="122" customWidth="1"/>
    <col min="13298" max="13298" width="6.5703125" style="122" customWidth="1"/>
    <col min="13299" max="13299" width="3.28515625" style="122" customWidth="1"/>
    <col min="13300" max="13300" width="5.85546875" style="122" customWidth="1"/>
    <col min="13301" max="13301" width="6.5703125" style="122" customWidth="1"/>
    <col min="13302" max="13302" width="3.28515625" style="122" customWidth="1"/>
    <col min="13303" max="13303" width="5.85546875" style="122" customWidth="1"/>
    <col min="13304" max="13304" width="6.5703125" style="122" customWidth="1"/>
    <col min="13305" max="13305" width="3.28515625" style="122" customWidth="1"/>
    <col min="13306" max="13306" width="5.85546875" style="122" customWidth="1"/>
    <col min="13307" max="13307" width="6.5703125" style="122" customWidth="1"/>
    <col min="13308" max="13308" width="3.28515625" style="122" customWidth="1"/>
    <col min="13309" max="13309" width="5.85546875" style="122" customWidth="1"/>
    <col min="13310" max="13310" width="6.5703125" style="122" customWidth="1"/>
    <col min="13311" max="13311" width="3.28515625" style="122" customWidth="1"/>
    <col min="13312" max="13312" width="5.85546875" style="122" customWidth="1"/>
    <col min="13313" max="13313" width="6.5703125" style="122" customWidth="1"/>
    <col min="13314" max="13314" width="3.28515625" style="122" customWidth="1"/>
    <col min="13315" max="13315" width="5.85546875" style="122" customWidth="1"/>
    <col min="13316" max="13316" width="6.5703125" style="122" customWidth="1"/>
    <col min="13317" max="13317" width="3.28515625" style="122" customWidth="1"/>
    <col min="13318" max="13318" width="5.85546875" style="122" customWidth="1"/>
    <col min="13319" max="13319" width="6.5703125" style="122" customWidth="1"/>
    <col min="13320" max="13320" width="3.28515625" style="122" customWidth="1"/>
    <col min="13321" max="13321" width="5.85546875" style="122" customWidth="1"/>
    <col min="13322" max="13322" width="6.5703125" style="122" customWidth="1"/>
    <col min="13323" max="13323" width="3.28515625" style="122" customWidth="1"/>
    <col min="13324" max="13324" width="5.85546875" style="122" customWidth="1"/>
    <col min="13325" max="13325" width="6.5703125" style="122" customWidth="1"/>
    <col min="13326" max="13326" width="9.42578125" style="122" customWidth="1"/>
    <col min="13327" max="13529" width="9.140625" style="122"/>
    <col min="13530" max="13530" width="4.85546875" style="122" customWidth="1"/>
    <col min="13531" max="13531" width="5.140625" style="122" customWidth="1"/>
    <col min="13532" max="13532" width="13.7109375" style="122" customWidth="1"/>
    <col min="13533" max="13533" width="9.42578125" style="122" customWidth="1"/>
    <col min="13534" max="13534" width="7.85546875" style="122" bestFit="1" customWidth="1"/>
    <col min="13535" max="13535" width="9.42578125" style="122" customWidth="1"/>
    <col min="13536" max="13536" width="7.42578125" style="122" customWidth="1"/>
    <col min="13537" max="13537" width="7.85546875" style="122" customWidth="1"/>
    <col min="13538" max="13538" width="11" style="122" customWidth="1"/>
    <col min="13539" max="13539" width="7.5703125" style="122" customWidth="1"/>
    <col min="13540" max="13540" width="3.28515625" style="122" customWidth="1"/>
    <col min="13541" max="13541" width="5.85546875" style="122" customWidth="1"/>
    <col min="13542" max="13542" width="6.5703125" style="122" customWidth="1"/>
    <col min="13543" max="13543" width="3.28515625" style="122" customWidth="1"/>
    <col min="13544" max="13544" width="5.85546875" style="122" customWidth="1"/>
    <col min="13545" max="13545" width="6.5703125" style="122" customWidth="1"/>
    <col min="13546" max="13546" width="3.28515625" style="122" customWidth="1"/>
    <col min="13547" max="13547" width="5.85546875" style="122" customWidth="1"/>
    <col min="13548" max="13548" width="6.5703125" style="122" customWidth="1"/>
    <col min="13549" max="13549" width="3.28515625" style="122" customWidth="1"/>
    <col min="13550" max="13550" width="5.85546875" style="122" customWidth="1"/>
    <col min="13551" max="13551" width="6.5703125" style="122" customWidth="1"/>
    <col min="13552" max="13552" width="3.28515625" style="122" customWidth="1"/>
    <col min="13553" max="13553" width="5.85546875" style="122" customWidth="1"/>
    <col min="13554" max="13554" width="6.5703125" style="122" customWidth="1"/>
    <col min="13555" max="13555" width="3.28515625" style="122" customWidth="1"/>
    <col min="13556" max="13556" width="5.85546875" style="122" customWidth="1"/>
    <col min="13557" max="13557" width="6.5703125" style="122" customWidth="1"/>
    <col min="13558" max="13558" width="3.28515625" style="122" customWidth="1"/>
    <col min="13559" max="13559" width="5.85546875" style="122" customWidth="1"/>
    <col min="13560" max="13560" width="6.5703125" style="122" customWidth="1"/>
    <col min="13561" max="13561" width="3.28515625" style="122" customWidth="1"/>
    <col min="13562" max="13562" width="5.85546875" style="122" customWidth="1"/>
    <col min="13563" max="13563" width="6.5703125" style="122" customWidth="1"/>
    <col min="13564" max="13564" width="3.28515625" style="122" customWidth="1"/>
    <col min="13565" max="13565" width="5.85546875" style="122" customWidth="1"/>
    <col min="13566" max="13566" width="6.5703125" style="122" customWidth="1"/>
    <col min="13567" max="13567" width="3.28515625" style="122" customWidth="1"/>
    <col min="13568" max="13568" width="5.85546875" style="122" customWidth="1"/>
    <col min="13569" max="13569" width="6.5703125" style="122" customWidth="1"/>
    <col min="13570" max="13570" width="3.28515625" style="122" customWidth="1"/>
    <col min="13571" max="13571" width="5.85546875" style="122" customWidth="1"/>
    <col min="13572" max="13572" width="6.5703125" style="122" customWidth="1"/>
    <col min="13573" max="13573" width="3.28515625" style="122" customWidth="1"/>
    <col min="13574" max="13574" width="5.85546875" style="122" customWidth="1"/>
    <col min="13575" max="13575" width="6.5703125" style="122" customWidth="1"/>
    <col min="13576" max="13576" width="3.28515625" style="122" customWidth="1"/>
    <col min="13577" max="13577" width="5.85546875" style="122" customWidth="1"/>
    <col min="13578" max="13578" width="6.5703125" style="122" customWidth="1"/>
    <col min="13579" max="13579" width="3.28515625" style="122" customWidth="1"/>
    <col min="13580" max="13580" width="5.85546875" style="122" customWidth="1"/>
    <col min="13581" max="13581" width="6.5703125" style="122" customWidth="1"/>
    <col min="13582" max="13582" width="9.42578125" style="122" customWidth="1"/>
    <col min="13583" max="13785" width="9.140625" style="122"/>
    <col min="13786" max="13786" width="4.85546875" style="122" customWidth="1"/>
    <col min="13787" max="13787" width="5.140625" style="122" customWidth="1"/>
    <col min="13788" max="13788" width="13.7109375" style="122" customWidth="1"/>
    <col min="13789" max="13789" width="9.42578125" style="122" customWidth="1"/>
    <col min="13790" max="13790" width="7.85546875" style="122" bestFit="1" customWidth="1"/>
    <col min="13791" max="13791" width="9.42578125" style="122" customWidth="1"/>
    <col min="13792" max="13792" width="7.42578125" style="122" customWidth="1"/>
    <col min="13793" max="13793" width="7.85546875" style="122" customWidth="1"/>
    <col min="13794" max="13794" width="11" style="122" customWidth="1"/>
    <col min="13795" max="13795" width="7.5703125" style="122" customWidth="1"/>
    <col min="13796" max="13796" width="3.28515625" style="122" customWidth="1"/>
    <col min="13797" max="13797" width="5.85546875" style="122" customWidth="1"/>
    <col min="13798" max="13798" width="6.5703125" style="122" customWidth="1"/>
    <col min="13799" max="13799" width="3.28515625" style="122" customWidth="1"/>
    <col min="13800" max="13800" width="5.85546875" style="122" customWidth="1"/>
    <col min="13801" max="13801" width="6.5703125" style="122" customWidth="1"/>
    <col min="13802" max="13802" width="3.28515625" style="122" customWidth="1"/>
    <col min="13803" max="13803" width="5.85546875" style="122" customWidth="1"/>
    <col min="13804" max="13804" width="6.5703125" style="122" customWidth="1"/>
    <col min="13805" max="13805" width="3.28515625" style="122" customWidth="1"/>
    <col min="13806" max="13806" width="5.85546875" style="122" customWidth="1"/>
    <col min="13807" max="13807" width="6.5703125" style="122" customWidth="1"/>
    <col min="13808" max="13808" width="3.28515625" style="122" customWidth="1"/>
    <col min="13809" max="13809" width="5.85546875" style="122" customWidth="1"/>
    <col min="13810" max="13810" width="6.5703125" style="122" customWidth="1"/>
    <col min="13811" max="13811" width="3.28515625" style="122" customWidth="1"/>
    <col min="13812" max="13812" width="5.85546875" style="122" customWidth="1"/>
    <col min="13813" max="13813" width="6.5703125" style="122" customWidth="1"/>
    <col min="13814" max="13814" width="3.28515625" style="122" customWidth="1"/>
    <col min="13815" max="13815" width="5.85546875" style="122" customWidth="1"/>
    <col min="13816" max="13816" width="6.5703125" style="122" customWidth="1"/>
    <col min="13817" max="13817" width="3.28515625" style="122" customWidth="1"/>
    <col min="13818" max="13818" width="5.85546875" style="122" customWidth="1"/>
    <col min="13819" max="13819" width="6.5703125" style="122" customWidth="1"/>
    <col min="13820" max="13820" width="3.28515625" style="122" customWidth="1"/>
    <col min="13821" max="13821" width="5.85546875" style="122" customWidth="1"/>
    <col min="13822" max="13822" width="6.5703125" style="122" customWidth="1"/>
    <col min="13823" max="13823" width="3.28515625" style="122" customWidth="1"/>
    <col min="13824" max="13824" width="5.85546875" style="122" customWidth="1"/>
    <col min="13825" max="13825" width="6.5703125" style="122" customWidth="1"/>
    <col min="13826" max="13826" width="3.28515625" style="122" customWidth="1"/>
    <col min="13827" max="13827" width="5.85546875" style="122" customWidth="1"/>
    <col min="13828" max="13828" width="6.5703125" style="122" customWidth="1"/>
    <col min="13829" max="13829" width="3.28515625" style="122" customWidth="1"/>
    <col min="13830" max="13830" width="5.85546875" style="122" customWidth="1"/>
    <col min="13831" max="13831" width="6.5703125" style="122" customWidth="1"/>
    <col min="13832" max="13832" width="3.28515625" style="122" customWidth="1"/>
    <col min="13833" max="13833" width="5.85546875" style="122" customWidth="1"/>
    <col min="13834" max="13834" width="6.5703125" style="122" customWidth="1"/>
    <col min="13835" max="13835" width="3.28515625" style="122" customWidth="1"/>
    <col min="13836" max="13836" width="5.85546875" style="122" customWidth="1"/>
    <col min="13837" max="13837" width="6.5703125" style="122" customWidth="1"/>
    <col min="13838" max="13838" width="9.42578125" style="122" customWidth="1"/>
    <col min="13839" max="14041" width="9.140625" style="122"/>
    <col min="14042" max="14042" width="4.85546875" style="122" customWidth="1"/>
    <col min="14043" max="14043" width="5.140625" style="122" customWidth="1"/>
    <col min="14044" max="14044" width="13.7109375" style="122" customWidth="1"/>
    <col min="14045" max="14045" width="9.42578125" style="122" customWidth="1"/>
    <col min="14046" max="14046" width="7.85546875" style="122" bestFit="1" customWidth="1"/>
    <col min="14047" max="14047" width="9.42578125" style="122" customWidth="1"/>
    <col min="14048" max="14048" width="7.42578125" style="122" customWidth="1"/>
    <col min="14049" max="14049" width="7.85546875" style="122" customWidth="1"/>
    <col min="14050" max="14050" width="11" style="122" customWidth="1"/>
    <col min="14051" max="14051" width="7.5703125" style="122" customWidth="1"/>
    <col min="14052" max="14052" width="3.28515625" style="122" customWidth="1"/>
    <col min="14053" max="14053" width="5.85546875" style="122" customWidth="1"/>
    <col min="14054" max="14054" width="6.5703125" style="122" customWidth="1"/>
    <col min="14055" max="14055" width="3.28515625" style="122" customWidth="1"/>
    <col min="14056" max="14056" width="5.85546875" style="122" customWidth="1"/>
    <col min="14057" max="14057" width="6.5703125" style="122" customWidth="1"/>
    <col min="14058" max="14058" width="3.28515625" style="122" customWidth="1"/>
    <col min="14059" max="14059" width="5.85546875" style="122" customWidth="1"/>
    <col min="14060" max="14060" width="6.5703125" style="122" customWidth="1"/>
    <col min="14061" max="14061" width="3.28515625" style="122" customWidth="1"/>
    <col min="14062" max="14062" width="5.85546875" style="122" customWidth="1"/>
    <col min="14063" max="14063" width="6.5703125" style="122" customWidth="1"/>
    <col min="14064" max="14064" width="3.28515625" style="122" customWidth="1"/>
    <col min="14065" max="14065" width="5.85546875" style="122" customWidth="1"/>
    <col min="14066" max="14066" width="6.5703125" style="122" customWidth="1"/>
    <col min="14067" max="14067" width="3.28515625" style="122" customWidth="1"/>
    <col min="14068" max="14068" width="5.85546875" style="122" customWidth="1"/>
    <col min="14069" max="14069" width="6.5703125" style="122" customWidth="1"/>
    <col min="14070" max="14070" width="3.28515625" style="122" customWidth="1"/>
    <col min="14071" max="14071" width="5.85546875" style="122" customWidth="1"/>
    <col min="14072" max="14072" width="6.5703125" style="122" customWidth="1"/>
    <col min="14073" max="14073" width="3.28515625" style="122" customWidth="1"/>
    <col min="14074" max="14074" width="5.85546875" style="122" customWidth="1"/>
    <col min="14075" max="14075" width="6.5703125" style="122" customWidth="1"/>
    <col min="14076" max="14076" width="3.28515625" style="122" customWidth="1"/>
    <col min="14077" max="14077" width="5.85546875" style="122" customWidth="1"/>
    <col min="14078" max="14078" width="6.5703125" style="122" customWidth="1"/>
    <col min="14079" max="14079" width="3.28515625" style="122" customWidth="1"/>
    <col min="14080" max="14080" width="5.85546875" style="122" customWidth="1"/>
    <col min="14081" max="14081" width="6.5703125" style="122" customWidth="1"/>
    <col min="14082" max="14082" width="3.28515625" style="122" customWidth="1"/>
    <col min="14083" max="14083" width="5.85546875" style="122" customWidth="1"/>
    <col min="14084" max="14084" width="6.5703125" style="122" customWidth="1"/>
    <col min="14085" max="14085" width="3.28515625" style="122" customWidth="1"/>
    <col min="14086" max="14086" width="5.85546875" style="122" customWidth="1"/>
    <col min="14087" max="14087" width="6.5703125" style="122" customWidth="1"/>
    <col min="14088" max="14088" width="3.28515625" style="122" customWidth="1"/>
    <col min="14089" max="14089" width="5.85546875" style="122" customWidth="1"/>
    <col min="14090" max="14090" width="6.5703125" style="122" customWidth="1"/>
    <col min="14091" max="14091" width="3.28515625" style="122" customWidth="1"/>
    <col min="14092" max="14092" width="5.85546875" style="122" customWidth="1"/>
    <col min="14093" max="14093" width="6.5703125" style="122" customWidth="1"/>
    <col min="14094" max="14094" width="9.42578125" style="122" customWidth="1"/>
    <col min="14095" max="14297" width="9.140625" style="122"/>
    <col min="14298" max="14298" width="4.85546875" style="122" customWidth="1"/>
    <col min="14299" max="14299" width="5.140625" style="122" customWidth="1"/>
    <col min="14300" max="14300" width="13.7109375" style="122" customWidth="1"/>
    <col min="14301" max="14301" width="9.42578125" style="122" customWidth="1"/>
    <col min="14302" max="14302" width="7.85546875" style="122" bestFit="1" customWidth="1"/>
    <col min="14303" max="14303" width="9.42578125" style="122" customWidth="1"/>
    <col min="14304" max="14304" width="7.42578125" style="122" customWidth="1"/>
    <col min="14305" max="14305" width="7.85546875" style="122" customWidth="1"/>
    <col min="14306" max="14306" width="11" style="122" customWidth="1"/>
    <col min="14307" max="14307" width="7.5703125" style="122" customWidth="1"/>
    <col min="14308" max="14308" width="3.28515625" style="122" customWidth="1"/>
    <col min="14309" max="14309" width="5.85546875" style="122" customWidth="1"/>
    <col min="14310" max="14310" width="6.5703125" style="122" customWidth="1"/>
    <col min="14311" max="14311" width="3.28515625" style="122" customWidth="1"/>
    <col min="14312" max="14312" width="5.85546875" style="122" customWidth="1"/>
    <col min="14313" max="14313" width="6.5703125" style="122" customWidth="1"/>
    <col min="14314" max="14314" width="3.28515625" style="122" customWidth="1"/>
    <col min="14315" max="14315" width="5.85546875" style="122" customWidth="1"/>
    <col min="14316" max="14316" width="6.5703125" style="122" customWidth="1"/>
    <col min="14317" max="14317" width="3.28515625" style="122" customWidth="1"/>
    <col min="14318" max="14318" width="5.85546875" style="122" customWidth="1"/>
    <col min="14319" max="14319" width="6.5703125" style="122" customWidth="1"/>
    <col min="14320" max="14320" width="3.28515625" style="122" customWidth="1"/>
    <col min="14321" max="14321" width="5.85546875" style="122" customWidth="1"/>
    <col min="14322" max="14322" width="6.5703125" style="122" customWidth="1"/>
    <col min="14323" max="14323" width="3.28515625" style="122" customWidth="1"/>
    <col min="14324" max="14324" width="5.85546875" style="122" customWidth="1"/>
    <col min="14325" max="14325" width="6.5703125" style="122" customWidth="1"/>
    <col min="14326" max="14326" width="3.28515625" style="122" customWidth="1"/>
    <col min="14327" max="14327" width="5.85546875" style="122" customWidth="1"/>
    <col min="14328" max="14328" width="6.5703125" style="122" customWidth="1"/>
    <col min="14329" max="14329" width="3.28515625" style="122" customWidth="1"/>
    <col min="14330" max="14330" width="5.85546875" style="122" customWidth="1"/>
    <col min="14331" max="14331" width="6.5703125" style="122" customWidth="1"/>
    <col min="14332" max="14332" width="3.28515625" style="122" customWidth="1"/>
    <col min="14333" max="14333" width="5.85546875" style="122" customWidth="1"/>
    <col min="14334" max="14334" width="6.5703125" style="122" customWidth="1"/>
    <col min="14335" max="14335" width="3.28515625" style="122" customWidth="1"/>
    <col min="14336" max="14336" width="5.85546875" style="122" customWidth="1"/>
    <col min="14337" max="14337" width="6.5703125" style="122" customWidth="1"/>
    <col min="14338" max="14338" width="3.28515625" style="122" customWidth="1"/>
    <col min="14339" max="14339" width="5.85546875" style="122" customWidth="1"/>
    <col min="14340" max="14340" width="6.5703125" style="122" customWidth="1"/>
    <col min="14341" max="14341" width="3.28515625" style="122" customWidth="1"/>
    <col min="14342" max="14342" width="5.85546875" style="122" customWidth="1"/>
    <col min="14343" max="14343" width="6.5703125" style="122" customWidth="1"/>
    <col min="14344" max="14344" width="3.28515625" style="122" customWidth="1"/>
    <col min="14345" max="14345" width="5.85546875" style="122" customWidth="1"/>
    <col min="14346" max="14346" width="6.5703125" style="122" customWidth="1"/>
    <col min="14347" max="14347" width="3.28515625" style="122" customWidth="1"/>
    <col min="14348" max="14348" width="5.85546875" style="122" customWidth="1"/>
    <col min="14349" max="14349" width="6.5703125" style="122" customWidth="1"/>
    <col min="14350" max="14350" width="9.42578125" style="122" customWidth="1"/>
    <col min="14351" max="14553" width="9.140625" style="122"/>
    <col min="14554" max="14554" width="4.85546875" style="122" customWidth="1"/>
    <col min="14555" max="14555" width="5.140625" style="122" customWidth="1"/>
    <col min="14556" max="14556" width="13.7109375" style="122" customWidth="1"/>
    <col min="14557" max="14557" width="9.42578125" style="122" customWidth="1"/>
    <col min="14558" max="14558" width="7.85546875" style="122" bestFit="1" customWidth="1"/>
    <col min="14559" max="14559" width="9.42578125" style="122" customWidth="1"/>
    <col min="14560" max="14560" width="7.42578125" style="122" customWidth="1"/>
    <col min="14561" max="14561" width="7.85546875" style="122" customWidth="1"/>
    <col min="14562" max="14562" width="11" style="122" customWidth="1"/>
    <col min="14563" max="14563" width="7.5703125" style="122" customWidth="1"/>
    <col min="14564" max="14564" width="3.28515625" style="122" customWidth="1"/>
    <col min="14565" max="14565" width="5.85546875" style="122" customWidth="1"/>
    <col min="14566" max="14566" width="6.5703125" style="122" customWidth="1"/>
    <col min="14567" max="14567" width="3.28515625" style="122" customWidth="1"/>
    <col min="14568" max="14568" width="5.85546875" style="122" customWidth="1"/>
    <col min="14569" max="14569" width="6.5703125" style="122" customWidth="1"/>
    <col min="14570" max="14570" width="3.28515625" style="122" customWidth="1"/>
    <col min="14571" max="14571" width="5.85546875" style="122" customWidth="1"/>
    <col min="14572" max="14572" width="6.5703125" style="122" customWidth="1"/>
    <col min="14573" max="14573" width="3.28515625" style="122" customWidth="1"/>
    <col min="14574" max="14574" width="5.85546875" style="122" customWidth="1"/>
    <col min="14575" max="14575" width="6.5703125" style="122" customWidth="1"/>
    <col min="14576" max="14576" width="3.28515625" style="122" customWidth="1"/>
    <col min="14577" max="14577" width="5.85546875" style="122" customWidth="1"/>
    <col min="14578" max="14578" width="6.5703125" style="122" customWidth="1"/>
    <col min="14579" max="14579" width="3.28515625" style="122" customWidth="1"/>
    <col min="14580" max="14580" width="5.85546875" style="122" customWidth="1"/>
    <col min="14581" max="14581" width="6.5703125" style="122" customWidth="1"/>
    <col min="14582" max="14582" width="3.28515625" style="122" customWidth="1"/>
    <col min="14583" max="14583" width="5.85546875" style="122" customWidth="1"/>
    <col min="14584" max="14584" width="6.5703125" style="122" customWidth="1"/>
    <col min="14585" max="14585" width="3.28515625" style="122" customWidth="1"/>
    <col min="14586" max="14586" width="5.85546875" style="122" customWidth="1"/>
    <col min="14587" max="14587" width="6.5703125" style="122" customWidth="1"/>
    <col min="14588" max="14588" width="3.28515625" style="122" customWidth="1"/>
    <col min="14589" max="14589" width="5.85546875" style="122" customWidth="1"/>
    <col min="14590" max="14590" width="6.5703125" style="122" customWidth="1"/>
    <col min="14591" max="14591" width="3.28515625" style="122" customWidth="1"/>
    <col min="14592" max="14592" width="5.85546875" style="122" customWidth="1"/>
    <col min="14593" max="14593" width="6.5703125" style="122" customWidth="1"/>
    <col min="14594" max="14594" width="3.28515625" style="122" customWidth="1"/>
    <col min="14595" max="14595" width="5.85546875" style="122" customWidth="1"/>
    <col min="14596" max="14596" width="6.5703125" style="122" customWidth="1"/>
    <col min="14597" max="14597" width="3.28515625" style="122" customWidth="1"/>
    <col min="14598" max="14598" width="5.85546875" style="122" customWidth="1"/>
    <col min="14599" max="14599" width="6.5703125" style="122" customWidth="1"/>
    <col min="14600" max="14600" width="3.28515625" style="122" customWidth="1"/>
    <col min="14601" max="14601" width="5.85546875" style="122" customWidth="1"/>
    <col min="14602" max="14602" width="6.5703125" style="122" customWidth="1"/>
    <col min="14603" max="14603" width="3.28515625" style="122" customWidth="1"/>
    <col min="14604" max="14604" width="5.85546875" style="122" customWidth="1"/>
    <col min="14605" max="14605" width="6.5703125" style="122" customWidth="1"/>
    <col min="14606" max="14606" width="9.42578125" style="122" customWidth="1"/>
    <col min="14607" max="14809" width="9.140625" style="122"/>
    <col min="14810" max="14810" width="4.85546875" style="122" customWidth="1"/>
    <col min="14811" max="14811" width="5.140625" style="122" customWidth="1"/>
    <col min="14812" max="14812" width="13.7109375" style="122" customWidth="1"/>
    <col min="14813" max="14813" width="9.42578125" style="122" customWidth="1"/>
    <col min="14814" max="14814" width="7.85546875" style="122" bestFit="1" customWidth="1"/>
    <col min="14815" max="14815" width="9.42578125" style="122" customWidth="1"/>
    <col min="14816" max="14816" width="7.42578125" style="122" customWidth="1"/>
    <col min="14817" max="14817" width="7.85546875" style="122" customWidth="1"/>
    <col min="14818" max="14818" width="11" style="122" customWidth="1"/>
    <col min="14819" max="14819" width="7.5703125" style="122" customWidth="1"/>
    <col min="14820" max="14820" width="3.28515625" style="122" customWidth="1"/>
    <col min="14821" max="14821" width="5.85546875" style="122" customWidth="1"/>
    <col min="14822" max="14822" width="6.5703125" style="122" customWidth="1"/>
    <col min="14823" max="14823" width="3.28515625" style="122" customWidth="1"/>
    <col min="14824" max="14824" width="5.85546875" style="122" customWidth="1"/>
    <col min="14825" max="14825" width="6.5703125" style="122" customWidth="1"/>
    <col min="14826" max="14826" width="3.28515625" style="122" customWidth="1"/>
    <col min="14827" max="14827" width="5.85546875" style="122" customWidth="1"/>
    <col min="14828" max="14828" width="6.5703125" style="122" customWidth="1"/>
    <col min="14829" max="14829" width="3.28515625" style="122" customWidth="1"/>
    <col min="14830" max="14830" width="5.85546875" style="122" customWidth="1"/>
    <col min="14831" max="14831" width="6.5703125" style="122" customWidth="1"/>
    <col min="14832" max="14832" width="3.28515625" style="122" customWidth="1"/>
    <col min="14833" max="14833" width="5.85546875" style="122" customWidth="1"/>
    <col min="14834" max="14834" width="6.5703125" style="122" customWidth="1"/>
    <col min="14835" max="14835" width="3.28515625" style="122" customWidth="1"/>
    <col min="14836" max="14836" width="5.85546875" style="122" customWidth="1"/>
    <col min="14837" max="14837" width="6.5703125" style="122" customWidth="1"/>
    <col min="14838" max="14838" width="3.28515625" style="122" customWidth="1"/>
    <col min="14839" max="14839" width="5.85546875" style="122" customWidth="1"/>
    <col min="14840" max="14840" width="6.5703125" style="122" customWidth="1"/>
    <col min="14841" max="14841" width="3.28515625" style="122" customWidth="1"/>
    <col min="14842" max="14842" width="5.85546875" style="122" customWidth="1"/>
    <col min="14843" max="14843" width="6.5703125" style="122" customWidth="1"/>
    <col min="14844" max="14844" width="3.28515625" style="122" customWidth="1"/>
    <col min="14845" max="14845" width="5.85546875" style="122" customWidth="1"/>
    <col min="14846" max="14846" width="6.5703125" style="122" customWidth="1"/>
    <col min="14847" max="14847" width="3.28515625" style="122" customWidth="1"/>
    <col min="14848" max="14848" width="5.85546875" style="122" customWidth="1"/>
    <col min="14849" max="14849" width="6.5703125" style="122" customWidth="1"/>
    <col min="14850" max="14850" width="3.28515625" style="122" customWidth="1"/>
    <col min="14851" max="14851" width="5.85546875" style="122" customWidth="1"/>
    <col min="14852" max="14852" width="6.5703125" style="122" customWidth="1"/>
    <col min="14853" max="14853" width="3.28515625" style="122" customWidth="1"/>
    <col min="14854" max="14854" width="5.85546875" style="122" customWidth="1"/>
    <col min="14855" max="14855" width="6.5703125" style="122" customWidth="1"/>
    <col min="14856" max="14856" width="3.28515625" style="122" customWidth="1"/>
    <col min="14857" max="14857" width="5.85546875" style="122" customWidth="1"/>
    <col min="14858" max="14858" width="6.5703125" style="122" customWidth="1"/>
    <col min="14859" max="14859" width="3.28515625" style="122" customWidth="1"/>
    <col min="14860" max="14860" width="5.85546875" style="122" customWidth="1"/>
    <col min="14861" max="14861" width="6.5703125" style="122" customWidth="1"/>
    <col min="14862" max="14862" width="9.42578125" style="122" customWidth="1"/>
    <col min="14863" max="15065" width="9.140625" style="122"/>
    <col min="15066" max="15066" width="4.85546875" style="122" customWidth="1"/>
    <col min="15067" max="15067" width="5.140625" style="122" customWidth="1"/>
    <col min="15068" max="15068" width="13.7109375" style="122" customWidth="1"/>
    <col min="15069" max="15069" width="9.42578125" style="122" customWidth="1"/>
    <col min="15070" max="15070" width="7.85546875" style="122" bestFit="1" customWidth="1"/>
    <col min="15071" max="15071" width="9.42578125" style="122" customWidth="1"/>
    <col min="15072" max="15072" width="7.42578125" style="122" customWidth="1"/>
    <col min="15073" max="15073" width="7.85546875" style="122" customWidth="1"/>
    <col min="15074" max="15074" width="11" style="122" customWidth="1"/>
    <col min="15075" max="15075" width="7.5703125" style="122" customWidth="1"/>
    <col min="15076" max="15076" width="3.28515625" style="122" customWidth="1"/>
    <col min="15077" max="15077" width="5.85546875" style="122" customWidth="1"/>
    <col min="15078" max="15078" width="6.5703125" style="122" customWidth="1"/>
    <col min="15079" max="15079" width="3.28515625" style="122" customWidth="1"/>
    <col min="15080" max="15080" width="5.85546875" style="122" customWidth="1"/>
    <col min="15081" max="15081" width="6.5703125" style="122" customWidth="1"/>
    <col min="15082" max="15082" width="3.28515625" style="122" customWidth="1"/>
    <col min="15083" max="15083" width="5.85546875" style="122" customWidth="1"/>
    <col min="15084" max="15084" width="6.5703125" style="122" customWidth="1"/>
    <col min="15085" max="15085" width="3.28515625" style="122" customWidth="1"/>
    <col min="15086" max="15086" width="5.85546875" style="122" customWidth="1"/>
    <col min="15087" max="15087" width="6.5703125" style="122" customWidth="1"/>
    <col min="15088" max="15088" width="3.28515625" style="122" customWidth="1"/>
    <col min="15089" max="15089" width="5.85546875" style="122" customWidth="1"/>
    <col min="15090" max="15090" width="6.5703125" style="122" customWidth="1"/>
    <col min="15091" max="15091" width="3.28515625" style="122" customWidth="1"/>
    <col min="15092" max="15092" width="5.85546875" style="122" customWidth="1"/>
    <col min="15093" max="15093" width="6.5703125" style="122" customWidth="1"/>
    <col min="15094" max="15094" width="3.28515625" style="122" customWidth="1"/>
    <col min="15095" max="15095" width="5.85546875" style="122" customWidth="1"/>
    <col min="15096" max="15096" width="6.5703125" style="122" customWidth="1"/>
    <col min="15097" max="15097" width="3.28515625" style="122" customWidth="1"/>
    <col min="15098" max="15098" width="5.85546875" style="122" customWidth="1"/>
    <col min="15099" max="15099" width="6.5703125" style="122" customWidth="1"/>
    <col min="15100" max="15100" width="3.28515625" style="122" customWidth="1"/>
    <col min="15101" max="15101" width="5.85546875" style="122" customWidth="1"/>
    <col min="15102" max="15102" width="6.5703125" style="122" customWidth="1"/>
    <col min="15103" max="15103" width="3.28515625" style="122" customWidth="1"/>
    <col min="15104" max="15104" width="5.85546875" style="122" customWidth="1"/>
    <col min="15105" max="15105" width="6.5703125" style="122" customWidth="1"/>
    <col min="15106" max="15106" width="3.28515625" style="122" customWidth="1"/>
    <col min="15107" max="15107" width="5.85546875" style="122" customWidth="1"/>
    <col min="15108" max="15108" width="6.5703125" style="122" customWidth="1"/>
    <col min="15109" max="15109" width="3.28515625" style="122" customWidth="1"/>
    <col min="15110" max="15110" width="5.85546875" style="122" customWidth="1"/>
    <col min="15111" max="15111" width="6.5703125" style="122" customWidth="1"/>
    <col min="15112" max="15112" width="3.28515625" style="122" customWidth="1"/>
    <col min="15113" max="15113" width="5.85546875" style="122" customWidth="1"/>
    <col min="15114" max="15114" width="6.5703125" style="122" customWidth="1"/>
    <col min="15115" max="15115" width="3.28515625" style="122" customWidth="1"/>
    <col min="15116" max="15116" width="5.85546875" style="122" customWidth="1"/>
    <col min="15117" max="15117" width="6.5703125" style="122" customWidth="1"/>
    <col min="15118" max="15118" width="9.42578125" style="122" customWidth="1"/>
    <col min="15119" max="15321" width="9.140625" style="122"/>
    <col min="15322" max="15322" width="4.85546875" style="122" customWidth="1"/>
    <col min="15323" max="15323" width="5.140625" style="122" customWidth="1"/>
    <col min="15324" max="15324" width="13.7109375" style="122" customWidth="1"/>
    <col min="15325" max="15325" width="9.42578125" style="122" customWidth="1"/>
    <col min="15326" max="15326" width="7.85546875" style="122" bestFit="1" customWidth="1"/>
    <col min="15327" max="15327" width="9.42578125" style="122" customWidth="1"/>
    <col min="15328" max="15328" width="7.42578125" style="122" customWidth="1"/>
    <col min="15329" max="15329" width="7.85546875" style="122" customWidth="1"/>
    <col min="15330" max="15330" width="11" style="122" customWidth="1"/>
    <col min="15331" max="15331" width="7.5703125" style="122" customWidth="1"/>
    <col min="15332" max="15332" width="3.28515625" style="122" customWidth="1"/>
    <col min="15333" max="15333" width="5.85546875" style="122" customWidth="1"/>
    <col min="15334" max="15334" width="6.5703125" style="122" customWidth="1"/>
    <col min="15335" max="15335" width="3.28515625" style="122" customWidth="1"/>
    <col min="15336" max="15336" width="5.85546875" style="122" customWidth="1"/>
    <col min="15337" max="15337" width="6.5703125" style="122" customWidth="1"/>
    <col min="15338" max="15338" width="3.28515625" style="122" customWidth="1"/>
    <col min="15339" max="15339" width="5.85546875" style="122" customWidth="1"/>
    <col min="15340" max="15340" width="6.5703125" style="122" customWidth="1"/>
    <col min="15341" max="15341" width="3.28515625" style="122" customWidth="1"/>
    <col min="15342" max="15342" width="5.85546875" style="122" customWidth="1"/>
    <col min="15343" max="15343" width="6.5703125" style="122" customWidth="1"/>
    <col min="15344" max="15344" width="3.28515625" style="122" customWidth="1"/>
    <col min="15345" max="15345" width="5.85546875" style="122" customWidth="1"/>
    <col min="15346" max="15346" width="6.5703125" style="122" customWidth="1"/>
    <col min="15347" max="15347" width="3.28515625" style="122" customWidth="1"/>
    <col min="15348" max="15348" width="5.85546875" style="122" customWidth="1"/>
    <col min="15349" max="15349" width="6.5703125" style="122" customWidth="1"/>
    <col min="15350" max="15350" width="3.28515625" style="122" customWidth="1"/>
    <col min="15351" max="15351" width="5.85546875" style="122" customWidth="1"/>
    <col min="15352" max="15352" width="6.5703125" style="122" customWidth="1"/>
    <col min="15353" max="15353" width="3.28515625" style="122" customWidth="1"/>
    <col min="15354" max="15354" width="5.85546875" style="122" customWidth="1"/>
    <col min="15355" max="15355" width="6.5703125" style="122" customWidth="1"/>
    <col min="15356" max="15356" width="3.28515625" style="122" customWidth="1"/>
    <col min="15357" max="15357" width="5.85546875" style="122" customWidth="1"/>
    <col min="15358" max="15358" width="6.5703125" style="122" customWidth="1"/>
    <col min="15359" max="15359" width="3.28515625" style="122" customWidth="1"/>
    <col min="15360" max="15360" width="5.85546875" style="122" customWidth="1"/>
    <col min="15361" max="15361" width="6.5703125" style="122" customWidth="1"/>
    <col min="15362" max="15362" width="3.28515625" style="122" customWidth="1"/>
    <col min="15363" max="15363" width="5.85546875" style="122" customWidth="1"/>
    <col min="15364" max="15364" width="6.5703125" style="122" customWidth="1"/>
    <col min="15365" max="15365" width="3.28515625" style="122" customWidth="1"/>
    <col min="15366" max="15366" width="5.85546875" style="122" customWidth="1"/>
    <col min="15367" max="15367" width="6.5703125" style="122" customWidth="1"/>
    <col min="15368" max="15368" width="3.28515625" style="122" customWidth="1"/>
    <col min="15369" max="15369" width="5.85546875" style="122" customWidth="1"/>
    <col min="15370" max="15370" width="6.5703125" style="122" customWidth="1"/>
    <col min="15371" max="15371" width="3.28515625" style="122" customWidth="1"/>
    <col min="15372" max="15372" width="5.85546875" style="122" customWidth="1"/>
    <col min="15373" max="15373" width="6.5703125" style="122" customWidth="1"/>
    <col min="15374" max="15374" width="9.42578125" style="122" customWidth="1"/>
    <col min="15375" max="15577" width="9.140625" style="122"/>
    <col min="15578" max="15578" width="4.85546875" style="122" customWidth="1"/>
    <col min="15579" max="15579" width="5.140625" style="122" customWidth="1"/>
    <col min="15580" max="15580" width="13.7109375" style="122" customWidth="1"/>
    <col min="15581" max="15581" width="9.42578125" style="122" customWidth="1"/>
    <col min="15582" max="15582" width="7.85546875" style="122" bestFit="1" customWidth="1"/>
    <col min="15583" max="15583" width="9.42578125" style="122" customWidth="1"/>
    <col min="15584" max="15584" width="7.42578125" style="122" customWidth="1"/>
    <col min="15585" max="15585" width="7.85546875" style="122" customWidth="1"/>
    <col min="15586" max="15586" width="11" style="122" customWidth="1"/>
    <col min="15587" max="15587" width="7.5703125" style="122" customWidth="1"/>
    <col min="15588" max="15588" width="3.28515625" style="122" customWidth="1"/>
    <col min="15589" max="15589" width="5.85546875" style="122" customWidth="1"/>
    <col min="15590" max="15590" width="6.5703125" style="122" customWidth="1"/>
    <col min="15591" max="15591" width="3.28515625" style="122" customWidth="1"/>
    <col min="15592" max="15592" width="5.85546875" style="122" customWidth="1"/>
    <col min="15593" max="15593" width="6.5703125" style="122" customWidth="1"/>
    <col min="15594" max="15594" width="3.28515625" style="122" customWidth="1"/>
    <col min="15595" max="15595" width="5.85546875" style="122" customWidth="1"/>
    <col min="15596" max="15596" width="6.5703125" style="122" customWidth="1"/>
    <col min="15597" max="15597" width="3.28515625" style="122" customWidth="1"/>
    <col min="15598" max="15598" width="5.85546875" style="122" customWidth="1"/>
    <col min="15599" max="15599" width="6.5703125" style="122" customWidth="1"/>
    <col min="15600" max="15600" width="3.28515625" style="122" customWidth="1"/>
    <col min="15601" max="15601" width="5.85546875" style="122" customWidth="1"/>
    <col min="15602" max="15602" width="6.5703125" style="122" customWidth="1"/>
    <col min="15603" max="15603" width="3.28515625" style="122" customWidth="1"/>
    <col min="15604" max="15604" width="5.85546875" style="122" customWidth="1"/>
    <col min="15605" max="15605" width="6.5703125" style="122" customWidth="1"/>
    <col min="15606" max="15606" width="3.28515625" style="122" customWidth="1"/>
    <col min="15607" max="15607" width="5.85546875" style="122" customWidth="1"/>
    <col min="15608" max="15608" width="6.5703125" style="122" customWidth="1"/>
    <col min="15609" max="15609" width="3.28515625" style="122" customWidth="1"/>
    <col min="15610" max="15610" width="5.85546875" style="122" customWidth="1"/>
    <col min="15611" max="15611" width="6.5703125" style="122" customWidth="1"/>
    <col min="15612" max="15612" width="3.28515625" style="122" customWidth="1"/>
    <col min="15613" max="15613" width="5.85546875" style="122" customWidth="1"/>
    <col min="15614" max="15614" width="6.5703125" style="122" customWidth="1"/>
    <col min="15615" max="15615" width="3.28515625" style="122" customWidth="1"/>
    <col min="15616" max="15616" width="5.85546875" style="122" customWidth="1"/>
    <col min="15617" max="15617" width="6.5703125" style="122" customWidth="1"/>
    <col min="15618" max="15618" width="3.28515625" style="122" customWidth="1"/>
    <col min="15619" max="15619" width="5.85546875" style="122" customWidth="1"/>
    <col min="15620" max="15620" width="6.5703125" style="122" customWidth="1"/>
    <col min="15621" max="15621" width="3.28515625" style="122" customWidth="1"/>
    <col min="15622" max="15622" width="5.85546875" style="122" customWidth="1"/>
    <col min="15623" max="15623" width="6.5703125" style="122" customWidth="1"/>
    <col min="15624" max="15624" width="3.28515625" style="122" customWidth="1"/>
    <col min="15625" max="15625" width="5.85546875" style="122" customWidth="1"/>
    <col min="15626" max="15626" width="6.5703125" style="122" customWidth="1"/>
    <col min="15627" max="15627" width="3.28515625" style="122" customWidth="1"/>
    <col min="15628" max="15628" width="5.85546875" style="122" customWidth="1"/>
    <col min="15629" max="15629" width="6.5703125" style="122" customWidth="1"/>
    <col min="15630" max="15630" width="9.42578125" style="122" customWidth="1"/>
    <col min="15631" max="15833" width="9.140625" style="122"/>
    <col min="15834" max="15834" width="4.85546875" style="122" customWidth="1"/>
    <col min="15835" max="15835" width="5.140625" style="122" customWidth="1"/>
    <col min="15836" max="15836" width="13.7109375" style="122" customWidth="1"/>
    <col min="15837" max="15837" width="9.42578125" style="122" customWidth="1"/>
    <col min="15838" max="15838" width="7.85546875" style="122" bestFit="1" customWidth="1"/>
    <col min="15839" max="15839" width="9.42578125" style="122" customWidth="1"/>
    <col min="15840" max="15840" width="7.42578125" style="122" customWidth="1"/>
    <col min="15841" max="15841" width="7.85546875" style="122" customWidth="1"/>
    <col min="15842" max="15842" width="11" style="122" customWidth="1"/>
    <col min="15843" max="15843" width="7.5703125" style="122" customWidth="1"/>
    <col min="15844" max="15844" width="3.28515625" style="122" customWidth="1"/>
    <col min="15845" max="15845" width="5.85546875" style="122" customWidth="1"/>
    <col min="15846" max="15846" width="6.5703125" style="122" customWidth="1"/>
    <col min="15847" max="15847" width="3.28515625" style="122" customWidth="1"/>
    <col min="15848" max="15848" width="5.85546875" style="122" customWidth="1"/>
    <col min="15849" max="15849" width="6.5703125" style="122" customWidth="1"/>
    <col min="15850" max="15850" width="3.28515625" style="122" customWidth="1"/>
    <col min="15851" max="15851" width="5.85546875" style="122" customWidth="1"/>
    <col min="15852" max="15852" width="6.5703125" style="122" customWidth="1"/>
    <col min="15853" max="15853" width="3.28515625" style="122" customWidth="1"/>
    <col min="15854" max="15854" width="5.85546875" style="122" customWidth="1"/>
    <col min="15855" max="15855" width="6.5703125" style="122" customWidth="1"/>
    <col min="15856" max="15856" width="3.28515625" style="122" customWidth="1"/>
    <col min="15857" max="15857" width="5.85546875" style="122" customWidth="1"/>
    <col min="15858" max="15858" width="6.5703125" style="122" customWidth="1"/>
    <col min="15859" max="15859" width="3.28515625" style="122" customWidth="1"/>
    <col min="15860" max="15860" width="5.85546875" style="122" customWidth="1"/>
    <col min="15861" max="15861" width="6.5703125" style="122" customWidth="1"/>
    <col min="15862" max="15862" width="3.28515625" style="122" customWidth="1"/>
    <col min="15863" max="15863" width="5.85546875" style="122" customWidth="1"/>
    <col min="15864" max="15864" width="6.5703125" style="122" customWidth="1"/>
    <col min="15865" max="15865" width="3.28515625" style="122" customWidth="1"/>
    <col min="15866" max="15866" width="5.85546875" style="122" customWidth="1"/>
    <col min="15867" max="15867" width="6.5703125" style="122" customWidth="1"/>
    <col min="15868" max="15868" width="3.28515625" style="122" customWidth="1"/>
    <col min="15869" max="15869" width="5.85546875" style="122" customWidth="1"/>
    <col min="15870" max="15870" width="6.5703125" style="122" customWidth="1"/>
    <col min="15871" max="15871" width="3.28515625" style="122" customWidth="1"/>
    <col min="15872" max="15872" width="5.85546875" style="122" customWidth="1"/>
    <col min="15873" max="15873" width="6.5703125" style="122" customWidth="1"/>
    <col min="15874" max="15874" width="3.28515625" style="122" customWidth="1"/>
    <col min="15875" max="15875" width="5.85546875" style="122" customWidth="1"/>
    <col min="15876" max="15876" width="6.5703125" style="122" customWidth="1"/>
    <col min="15877" max="15877" width="3.28515625" style="122" customWidth="1"/>
    <col min="15878" max="15878" width="5.85546875" style="122" customWidth="1"/>
    <col min="15879" max="15879" width="6.5703125" style="122" customWidth="1"/>
    <col min="15880" max="15880" width="3.28515625" style="122" customWidth="1"/>
    <col min="15881" max="15881" width="5.85546875" style="122" customWidth="1"/>
    <col min="15882" max="15882" width="6.5703125" style="122" customWidth="1"/>
    <col min="15883" max="15883" width="3.28515625" style="122" customWidth="1"/>
    <col min="15884" max="15884" width="5.85546875" style="122" customWidth="1"/>
    <col min="15885" max="15885" width="6.5703125" style="122" customWidth="1"/>
    <col min="15886" max="15886" width="9.42578125" style="122" customWidth="1"/>
    <col min="15887" max="16089" width="9.140625" style="122"/>
    <col min="16090" max="16090" width="4.85546875" style="122" customWidth="1"/>
    <col min="16091" max="16091" width="5.140625" style="122" customWidth="1"/>
    <col min="16092" max="16092" width="13.7109375" style="122" customWidth="1"/>
    <col min="16093" max="16093" width="9.42578125" style="122" customWidth="1"/>
    <col min="16094" max="16094" width="7.85546875" style="122" bestFit="1" customWidth="1"/>
    <col min="16095" max="16095" width="9.42578125" style="122" customWidth="1"/>
    <col min="16096" max="16096" width="7.42578125" style="122" customWidth="1"/>
    <col min="16097" max="16097" width="7.85546875" style="122" customWidth="1"/>
    <col min="16098" max="16098" width="11" style="122" customWidth="1"/>
    <col min="16099" max="16099" width="7.5703125" style="122" customWidth="1"/>
    <col min="16100" max="16100" width="3.28515625" style="122" customWidth="1"/>
    <col min="16101" max="16101" width="5.85546875" style="122" customWidth="1"/>
    <col min="16102" max="16102" width="6.5703125" style="122" customWidth="1"/>
    <col min="16103" max="16103" width="3.28515625" style="122" customWidth="1"/>
    <col min="16104" max="16104" width="5.85546875" style="122" customWidth="1"/>
    <col min="16105" max="16105" width="6.5703125" style="122" customWidth="1"/>
    <col min="16106" max="16106" width="3.28515625" style="122" customWidth="1"/>
    <col min="16107" max="16107" width="5.85546875" style="122" customWidth="1"/>
    <col min="16108" max="16108" width="6.5703125" style="122" customWidth="1"/>
    <col min="16109" max="16109" width="3.28515625" style="122" customWidth="1"/>
    <col min="16110" max="16110" width="5.85546875" style="122" customWidth="1"/>
    <col min="16111" max="16111" width="6.5703125" style="122" customWidth="1"/>
    <col min="16112" max="16112" width="3.28515625" style="122" customWidth="1"/>
    <col min="16113" max="16113" width="5.85546875" style="122" customWidth="1"/>
    <col min="16114" max="16114" width="6.5703125" style="122" customWidth="1"/>
    <col min="16115" max="16115" width="3.28515625" style="122" customWidth="1"/>
    <col min="16116" max="16116" width="5.85546875" style="122" customWidth="1"/>
    <col min="16117" max="16117" width="6.5703125" style="122" customWidth="1"/>
    <col min="16118" max="16118" width="3.28515625" style="122" customWidth="1"/>
    <col min="16119" max="16119" width="5.85546875" style="122" customWidth="1"/>
    <col min="16120" max="16120" width="6.5703125" style="122" customWidth="1"/>
    <col min="16121" max="16121" width="3.28515625" style="122" customWidth="1"/>
    <col min="16122" max="16122" width="5.85546875" style="122" customWidth="1"/>
    <col min="16123" max="16123" width="6.5703125" style="122" customWidth="1"/>
    <col min="16124" max="16124" width="3.28515625" style="122" customWidth="1"/>
    <col min="16125" max="16125" width="5.85546875" style="122" customWidth="1"/>
    <col min="16126" max="16126" width="6.5703125" style="122" customWidth="1"/>
    <col min="16127" max="16127" width="3.28515625" style="122" customWidth="1"/>
    <col min="16128" max="16128" width="5.85546875" style="122" customWidth="1"/>
    <col min="16129" max="16129" width="6.5703125" style="122" customWidth="1"/>
    <col min="16130" max="16130" width="3.28515625" style="122" customWidth="1"/>
    <col min="16131" max="16131" width="5.85546875" style="122" customWidth="1"/>
    <col min="16132" max="16132" width="6.5703125" style="122" customWidth="1"/>
    <col min="16133" max="16133" width="3.28515625" style="122" customWidth="1"/>
    <col min="16134" max="16134" width="5.85546875" style="122" customWidth="1"/>
    <col min="16135" max="16135" width="6.5703125" style="122" customWidth="1"/>
    <col min="16136" max="16136" width="3.28515625" style="122" customWidth="1"/>
    <col min="16137" max="16137" width="5.85546875" style="122" customWidth="1"/>
    <col min="16138" max="16138" width="6.5703125" style="122" customWidth="1"/>
    <col min="16139" max="16139" width="3.28515625" style="122" customWidth="1"/>
    <col min="16140" max="16140" width="5.85546875" style="122" customWidth="1"/>
    <col min="16141" max="16141" width="6.5703125" style="122" customWidth="1"/>
    <col min="16142" max="16142" width="9.42578125" style="122" customWidth="1"/>
    <col min="16143" max="16384" width="9.140625" style="122"/>
  </cols>
  <sheetData>
    <row r="1" spans="1:14" ht="15.75" customHeight="1">
      <c r="A1" s="299" t="s">
        <v>663</v>
      </c>
      <c r="B1" s="299"/>
      <c r="C1" s="299"/>
      <c r="D1" s="299"/>
      <c r="E1" s="299"/>
      <c r="F1" s="137"/>
    </row>
    <row r="2" spans="1:14" s="124" customFormat="1" ht="39" customHeight="1">
      <c r="A2" s="300" t="s">
        <v>664</v>
      </c>
      <c r="B2" s="300"/>
      <c r="C2" s="300"/>
      <c r="D2" s="300"/>
      <c r="E2" s="300"/>
      <c r="F2" s="123"/>
      <c r="G2" s="123"/>
      <c r="H2" s="123"/>
      <c r="I2" s="123"/>
      <c r="J2" s="123"/>
      <c r="K2" s="123"/>
      <c r="L2" s="123"/>
      <c r="M2" s="123"/>
      <c r="N2" s="123"/>
    </row>
    <row r="3" spans="1:14" s="124" customFormat="1" ht="20.25" customHeight="1">
      <c r="A3" s="300" t="s">
        <v>665</v>
      </c>
      <c r="B3" s="300"/>
      <c r="C3" s="300"/>
      <c r="D3" s="300"/>
      <c r="E3" s="300"/>
      <c r="F3" s="123"/>
      <c r="G3" s="123"/>
      <c r="H3" s="123"/>
      <c r="I3" s="123"/>
      <c r="J3" s="123"/>
      <c r="K3" s="123"/>
      <c r="L3" s="123"/>
      <c r="M3" s="123"/>
      <c r="N3" s="123"/>
    </row>
    <row r="4" spans="1:14" s="124" customFormat="1" ht="20.25" customHeight="1">
      <c r="A4" s="298" t="s">
        <v>666</v>
      </c>
      <c r="B4" s="298"/>
      <c r="C4" s="298"/>
      <c r="D4" s="298" t="s">
        <v>649</v>
      </c>
      <c r="E4" s="298"/>
      <c r="F4" s="138"/>
      <c r="G4" s="123"/>
      <c r="H4" s="123"/>
      <c r="I4" s="123"/>
      <c r="J4" s="123"/>
      <c r="K4" s="123"/>
      <c r="L4" s="123"/>
      <c r="M4" s="123"/>
      <c r="N4" s="123"/>
    </row>
    <row r="5" spans="1:14" s="124" customFormat="1" ht="20.25" customHeight="1">
      <c r="A5" s="297" t="s">
        <v>667</v>
      </c>
      <c r="B5" s="297"/>
      <c r="C5" s="297"/>
      <c r="D5" s="298" t="s">
        <v>668</v>
      </c>
      <c r="E5" s="298"/>
      <c r="F5" s="138"/>
      <c r="G5" s="123"/>
      <c r="H5" s="123"/>
      <c r="I5" s="123"/>
      <c r="J5" s="123"/>
      <c r="K5" s="123"/>
      <c r="L5" s="123"/>
      <c r="M5" s="123"/>
      <c r="N5" s="123"/>
    </row>
    <row r="6" spans="1:14" s="124" customFormat="1" ht="20.25" customHeight="1">
      <c r="A6" s="297" t="s">
        <v>669</v>
      </c>
      <c r="B6" s="297"/>
      <c r="C6" s="297"/>
      <c r="D6" s="298" t="s">
        <v>1065</v>
      </c>
      <c r="E6" s="298"/>
      <c r="F6" s="138"/>
      <c r="G6" s="123"/>
      <c r="H6" s="123"/>
      <c r="I6" s="123"/>
      <c r="J6" s="123"/>
      <c r="K6" s="123"/>
      <c r="L6" s="123"/>
      <c r="M6" s="123"/>
      <c r="N6" s="123"/>
    </row>
    <row r="7" spans="1:14" s="124" customFormat="1" ht="33.75" customHeight="1">
      <c r="A7" s="298" t="s">
        <v>1162</v>
      </c>
      <c r="B7" s="298"/>
      <c r="C7" s="298"/>
      <c r="D7" s="297" t="s">
        <v>1163</v>
      </c>
      <c r="E7" s="297"/>
      <c r="F7" s="138"/>
      <c r="G7" s="123"/>
      <c r="H7" s="123"/>
      <c r="I7" s="123"/>
      <c r="J7" s="123"/>
      <c r="K7" s="123"/>
      <c r="L7" s="123"/>
      <c r="M7" s="123"/>
      <c r="N7" s="123"/>
    </row>
    <row r="8" spans="1:14" s="124" customFormat="1" ht="20.25" customHeight="1">
      <c r="A8" s="298" t="s">
        <v>670</v>
      </c>
      <c r="B8" s="298"/>
      <c r="C8" s="298"/>
      <c r="D8" s="298" t="s">
        <v>608</v>
      </c>
      <c r="E8" s="298"/>
      <c r="F8" s="138"/>
      <c r="G8" s="123"/>
      <c r="H8" s="123"/>
      <c r="I8" s="123"/>
      <c r="J8" s="123"/>
      <c r="K8" s="123"/>
      <c r="L8" s="123"/>
      <c r="M8" s="123"/>
      <c r="N8" s="123"/>
    </row>
    <row r="9" spans="1:14" s="124" customFormat="1" ht="20.25" customHeight="1">
      <c r="A9" s="298" t="s">
        <v>671</v>
      </c>
      <c r="B9" s="298"/>
      <c r="C9" s="298"/>
      <c r="D9" s="298" t="s">
        <v>1164</v>
      </c>
      <c r="E9" s="298"/>
      <c r="F9" s="138"/>
      <c r="G9" s="123"/>
      <c r="H9" s="123"/>
      <c r="I9" s="123"/>
      <c r="J9" s="123"/>
      <c r="K9" s="123"/>
      <c r="L9" s="123"/>
      <c r="M9" s="123"/>
      <c r="N9" s="123"/>
    </row>
    <row r="10" spans="1:14" s="124" customFormat="1" ht="20.25" customHeight="1">
      <c r="A10" s="300"/>
      <c r="B10" s="300"/>
      <c r="C10" s="300"/>
      <c r="D10" s="300"/>
      <c r="E10" s="300"/>
      <c r="F10" s="138"/>
      <c r="G10" s="123"/>
      <c r="H10" s="123"/>
      <c r="I10" s="123"/>
      <c r="J10" s="123"/>
      <c r="K10" s="123"/>
      <c r="L10" s="123"/>
      <c r="M10" s="123"/>
      <c r="N10" s="123"/>
    </row>
    <row r="11" spans="1:14" s="124" customFormat="1" ht="61.5" customHeight="1">
      <c r="A11" s="293" t="s">
        <v>672</v>
      </c>
      <c r="B11" s="293"/>
      <c r="C11" s="293"/>
      <c r="D11" s="293"/>
      <c r="E11" s="293"/>
      <c r="F11" s="138"/>
      <c r="G11" s="123"/>
      <c r="H11" s="123"/>
      <c r="I11" s="123"/>
      <c r="J11" s="123"/>
      <c r="K11" s="123"/>
      <c r="L11" s="123"/>
      <c r="M11" s="123"/>
      <c r="N11" s="123"/>
    </row>
    <row r="12" spans="1:14" s="124" customFormat="1" ht="33.75" customHeight="1">
      <c r="A12" s="292" t="s">
        <v>673</v>
      </c>
      <c r="B12" s="292"/>
      <c r="C12" s="301" t="s">
        <v>1067</v>
      </c>
      <c r="D12" s="302"/>
      <c r="E12" s="303" t="s">
        <v>674</v>
      </c>
    </row>
    <row r="13" spans="1:14" s="124" customFormat="1" ht="31.5">
      <c r="A13" s="292"/>
      <c r="B13" s="292"/>
      <c r="C13" s="125" t="s">
        <v>675</v>
      </c>
      <c r="D13" s="126" t="s">
        <v>676</v>
      </c>
      <c r="E13" s="304"/>
    </row>
    <row r="14" spans="1:14" s="124" customFormat="1">
      <c r="A14" s="292">
        <v>1</v>
      </c>
      <c r="B14" s="292"/>
      <c r="C14" s="125">
        <v>2</v>
      </c>
      <c r="D14" s="125">
        <v>3</v>
      </c>
      <c r="E14" s="125">
        <v>4</v>
      </c>
    </row>
    <row r="15" spans="1:14" s="124" customFormat="1" ht="15.75" customHeight="1">
      <c r="A15" s="306" t="s">
        <v>85</v>
      </c>
      <c r="B15" s="307"/>
      <c r="C15" s="171">
        <v>71</v>
      </c>
      <c r="D15" s="171">
        <f>C15</f>
        <v>71</v>
      </c>
      <c r="E15" s="171" t="s">
        <v>9</v>
      </c>
    </row>
    <row r="16" spans="1:14" s="124" customFormat="1" ht="15.75" customHeight="1">
      <c r="A16" s="306" t="s">
        <v>156</v>
      </c>
      <c r="B16" s="307"/>
      <c r="C16" s="171">
        <v>548</v>
      </c>
      <c r="D16" s="186">
        <f t="shared" ref="D16:D23" si="0">C16</f>
        <v>548</v>
      </c>
      <c r="E16" s="171" t="s">
        <v>9</v>
      </c>
    </row>
    <row r="17" spans="1:5" s="124" customFormat="1" ht="15.75" customHeight="1">
      <c r="A17" s="306" t="s">
        <v>165</v>
      </c>
      <c r="B17" s="307"/>
      <c r="C17" s="171">
        <v>13</v>
      </c>
      <c r="D17" s="186">
        <f t="shared" si="0"/>
        <v>13</v>
      </c>
      <c r="E17" s="171" t="s">
        <v>9</v>
      </c>
    </row>
    <row r="18" spans="1:5" s="124" customFormat="1" ht="15.75" customHeight="1">
      <c r="A18" s="306" t="s">
        <v>158</v>
      </c>
      <c r="B18" s="307"/>
      <c r="C18" s="171">
        <v>5</v>
      </c>
      <c r="D18" s="186">
        <f t="shared" si="0"/>
        <v>5</v>
      </c>
      <c r="E18" s="171" t="s">
        <v>9</v>
      </c>
    </row>
    <row r="19" spans="1:5" s="124" customFormat="1" ht="15.75" customHeight="1">
      <c r="A19" s="306" t="s">
        <v>159</v>
      </c>
      <c r="B19" s="307"/>
      <c r="C19" s="171">
        <v>0</v>
      </c>
      <c r="D19" s="186">
        <f t="shared" si="0"/>
        <v>0</v>
      </c>
      <c r="E19" s="171" t="s">
        <v>9</v>
      </c>
    </row>
    <row r="20" spans="1:5" s="124" customFormat="1" ht="15.75" customHeight="1">
      <c r="A20" s="306" t="s">
        <v>160</v>
      </c>
      <c r="B20" s="307"/>
      <c r="C20" s="135">
        <v>3</v>
      </c>
      <c r="D20" s="186">
        <f t="shared" si="0"/>
        <v>3</v>
      </c>
      <c r="E20" s="171" t="s">
        <v>9</v>
      </c>
    </row>
    <row r="21" spans="1:5" s="124" customFormat="1">
      <c r="A21" s="306" t="s">
        <v>1066</v>
      </c>
      <c r="B21" s="307"/>
      <c r="C21" s="135">
        <v>0</v>
      </c>
      <c r="D21" s="186">
        <f t="shared" si="0"/>
        <v>0</v>
      </c>
      <c r="E21" s="171" t="s">
        <v>9</v>
      </c>
    </row>
    <row r="22" spans="1:5" s="124" customFormat="1" ht="15.75" customHeight="1">
      <c r="A22" s="306" t="s">
        <v>161</v>
      </c>
      <c r="B22" s="307"/>
      <c r="C22" s="135">
        <v>3</v>
      </c>
      <c r="D22" s="186">
        <f t="shared" si="0"/>
        <v>3</v>
      </c>
      <c r="E22" s="171" t="s">
        <v>9</v>
      </c>
    </row>
    <row r="23" spans="1:5" s="124" customFormat="1">
      <c r="A23" s="308" t="s">
        <v>10</v>
      </c>
      <c r="B23" s="308"/>
      <c r="C23" s="135">
        <v>1</v>
      </c>
      <c r="D23" s="186">
        <f t="shared" si="0"/>
        <v>1</v>
      </c>
      <c r="E23" s="171" t="s">
        <v>9</v>
      </c>
    </row>
    <row r="24" spans="1:5" s="124" customFormat="1" ht="24" customHeight="1">
      <c r="A24" s="305" t="s">
        <v>677</v>
      </c>
      <c r="B24" s="305"/>
      <c r="C24" s="171">
        <f>SUM(C15:C23)</f>
        <v>644</v>
      </c>
      <c r="D24" s="171">
        <f>SUM(D15:D23)</f>
        <v>644</v>
      </c>
      <c r="E24" s="171" t="s">
        <v>9</v>
      </c>
    </row>
    <row r="25" spans="1:5" s="124" customFormat="1" ht="24" customHeight="1">
      <c r="A25" s="139"/>
      <c r="B25" s="140"/>
      <c r="C25" s="141"/>
      <c r="D25" s="141"/>
    </row>
    <row r="26" spans="1:5" s="124" customFormat="1" ht="24" customHeight="1">
      <c r="A26" s="292" t="s">
        <v>678</v>
      </c>
      <c r="B26" s="292"/>
      <c r="C26" s="292"/>
      <c r="D26" s="292"/>
      <c r="E26" s="292"/>
    </row>
    <row r="27" spans="1:5" s="124" customFormat="1" ht="61.5" customHeight="1">
      <c r="A27" s="125" t="s">
        <v>641</v>
      </c>
      <c r="B27" s="125" t="s">
        <v>679</v>
      </c>
      <c r="C27" s="125" t="s">
        <v>680</v>
      </c>
      <c r="D27" s="126" t="s">
        <v>681</v>
      </c>
      <c r="E27" s="126" t="s">
        <v>682</v>
      </c>
    </row>
    <row r="28" spans="1:5" s="124" customFormat="1">
      <c r="A28" s="125">
        <v>1</v>
      </c>
      <c r="B28" s="125">
        <v>2</v>
      </c>
      <c r="C28" s="125">
        <v>3</v>
      </c>
      <c r="D28" s="125">
        <v>4</v>
      </c>
      <c r="E28" s="125">
        <v>5</v>
      </c>
    </row>
    <row r="29" spans="1:5" s="188" customFormat="1" ht="26.25" customHeight="1">
      <c r="A29" s="142">
        <v>1</v>
      </c>
      <c r="B29" s="189"/>
      <c r="C29" s="186"/>
      <c r="D29" s="190" t="s">
        <v>122</v>
      </c>
      <c r="E29" s="186"/>
    </row>
    <row r="30" spans="1:5" s="188" customFormat="1" ht="26.25" customHeight="1">
      <c r="A30" s="142">
        <v>2</v>
      </c>
      <c r="B30" s="189"/>
      <c r="C30" s="186"/>
      <c r="D30" s="190" t="s">
        <v>124</v>
      </c>
      <c r="E30" s="186"/>
    </row>
    <row r="31" spans="1:5" s="188" customFormat="1" ht="26.25" customHeight="1">
      <c r="A31" s="142">
        <v>3</v>
      </c>
      <c r="B31" s="189"/>
      <c r="C31" s="186"/>
      <c r="D31" s="190" t="s">
        <v>121</v>
      </c>
      <c r="E31" s="186"/>
    </row>
    <row r="32" spans="1:5" s="188" customFormat="1" ht="26.25" customHeight="1">
      <c r="A32" s="142">
        <v>4</v>
      </c>
      <c r="B32" s="189"/>
      <c r="C32" s="186"/>
      <c r="D32" s="190" t="s">
        <v>123</v>
      </c>
      <c r="E32" s="186"/>
    </row>
    <row r="33" spans="1:8" s="188" customFormat="1" ht="26.25" customHeight="1">
      <c r="A33" s="142">
        <v>5</v>
      </c>
      <c r="B33" s="189"/>
      <c r="C33" s="186"/>
      <c r="D33" s="190" t="s">
        <v>167</v>
      </c>
      <c r="E33" s="186"/>
    </row>
    <row r="34" spans="1:8" s="188" customFormat="1" ht="26.25" customHeight="1">
      <c r="A34" s="142">
        <v>6</v>
      </c>
      <c r="B34" s="189"/>
      <c r="C34" s="186"/>
      <c r="D34" s="190" t="s">
        <v>168</v>
      </c>
      <c r="E34" s="186"/>
    </row>
    <row r="35" spans="1:8" s="188" customFormat="1" ht="26.25" customHeight="1">
      <c r="A35" s="142">
        <v>7</v>
      </c>
      <c r="B35" s="189"/>
      <c r="C35" s="186"/>
      <c r="D35" s="190" t="s">
        <v>125</v>
      </c>
      <c r="E35" s="186"/>
    </row>
    <row r="36" spans="1:8" s="188" customFormat="1" ht="26.25" customHeight="1">
      <c r="A36" s="142">
        <v>8</v>
      </c>
      <c r="B36" s="189"/>
      <c r="C36" s="186"/>
      <c r="D36" s="190" t="s">
        <v>125</v>
      </c>
      <c r="E36" s="186"/>
    </row>
    <row r="37" spans="1:8" s="124" customFormat="1">
      <c r="A37" s="143"/>
      <c r="B37" s="143"/>
    </row>
    <row r="38" spans="1:8" s="124" customFormat="1">
      <c r="A38" s="143"/>
      <c r="B38" s="143"/>
    </row>
    <row r="39" spans="1:8" s="124" customFormat="1">
      <c r="A39" s="143"/>
      <c r="B39" s="143"/>
    </row>
    <row r="40" spans="1:8" s="72" customFormat="1" ht="18.75" customHeight="1">
      <c r="A40" s="310" t="s">
        <v>650</v>
      </c>
      <c r="B40" s="310"/>
      <c r="C40" s="310"/>
      <c r="D40" s="311" t="s">
        <v>683</v>
      </c>
      <c r="E40" s="311"/>
      <c r="F40" s="130"/>
      <c r="G40" s="131"/>
      <c r="H40" s="130"/>
    </row>
    <row r="41" spans="1:8" s="72" customFormat="1" ht="21" customHeight="1">
      <c r="A41" s="206" t="s">
        <v>164</v>
      </c>
      <c r="B41" s="206"/>
      <c r="C41" s="206"/>
      <c r="D41" s="312"/>
      <c r="E41" s="312"/>
      <c r="F41" s="131"/>
      <c r="G41" s="105"/>
    </row>
    <row r="42" spans="1:8" s="72" customFormat="1" ht="21" customHeight="1">
      <c r="A42" s="112"/>
      <c r="B42" s="112"/>
      <c r="C42" s="112"/>
      <c r="D42" s="144"/>
      <c r="E42" s="144"/>
      <c r="F42" s="131"/>
      <c r="G42" s="105"/>
    </row>
    <row r="43" spans="1:8" s="73" customFormat="1" ht="21">
      <c r="D43" s="313" t="s">
        <v>684</v>
      </c>
      <c r="E43" s="313"/>
    </row>
    <row r="44" spans="1:8" s="73" customFormat="1" ht="15"/>
    <row r="45" spans="1:8" ht="31.5" customHeight="1">
      <c r="C45" s="309" t="s">
        <v>685</v>
      </c>
      <c r="D45" s="309"/>
    </row>
  </sheetData>
  <mergeCells count="38">
    <mergeCell ref="C45:D45"/>
    <mergeCell ref="A26:E26"/>
    <mergeCell ref="A40:C40"/>
    <mergeCell ref="D40:E40"/>
    <mergeCell ref="A41:C41"/>
    <mergeCell ref="D41:E41"/>
    <mergeCell ref="D43:E43"/>
    <mergeCell ref="A24:B24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9:C9"/>
    <mergeCell ref="D9:E9"/>
    <mergeCell ref="A10:E10"/>
    <mergeCell ref="A11:E11"/>
    <mergeCell ref="A12:B13"/>
    <mergeCell ref="C12:D12"/>
    <mergeCell ref="E12:E13"/>
    <mergeCell ref="A6:C6"/>
    <mergeCell ref="D6:E6"/>
    <mergeCell ref="A7:C7"/>
    <mergeCell ref="D7:E7"/>
    <mergeCell ref="A8:C8"/>
    <mergeCell ref="D8:E8"/>
    <mergeCell ref="A5:C5"/>
    <mergeCell ref="D5:E5"/>
    <mergeCell ref="A1:E1"/>
    <mergeCell ref="A2:E2"/>
    <mergeCell ref="A3:E3"/>
    <mergeCell ref="A4:C4"/>
    <mergeCell ref="D4:E4"/>
  </mergeCells>
  <pageMargins left="0.56999999999999995" right="0.15" top="0.46" bottom="0.39" header="0.3" footer="0.16"/>
  <pageSetup paperSize="5" scale="92" orientation="portrait" r:id="rId1"/>
  <headerFooter>
    <oddFooter>&amp;L&amp;Z&amp;F&amp;R&amp;P to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FF0000"/>
  </sheetPr>
  <dimension ref="A1:N39"/>
  <sheetViews>
    <sheetView topLeftCell="A16" zoomScaleSheetLayoutView="100" workbookViewId="0">
      <selection activeCell="E8" sqref="E8"/>
    </sheetView>
  </sheetViews>
  <sheetFormatPr defaultRowHeight="15.75"/>
  <cols>
    <col min="1" max="1" width="11.42578125" style="122" customWidth="1"/>
    <col min="2" max="2" width="27.42578125" style="133" customWidth="1"/>
    <col min="3" max="3" width="25.140625" style="122" customWidth="1"/>
    <col min="4" max="4" width="29.5703125" style="122" customWidth="1"/>
    <col min="5" max="5" width="18.28515625" style="122" customWidth="1"/>
    <col min="6" max="6" width="20" style="122" customWidth="1"/>
    <col min="7" max="7" width="6.85546875" style="122" bestFit="1" customWidth="1"/>
    <col min="8" max="8" width="7.5703125" style="122" bestFit="1" customWidth="1"/>
    <col min="9" max="9" width="8.42578125" style="122" customWidth="1"/>
    <col min="10" max="11" width="9.42578125" style="122" customWidth="1"/>
    <col min="12" max="12" width="6.85546875" style="122" bestFit="1" customWidth="1"/>
    <col min="13" max="13" width="9.42578125" style="122" customWidth="1"/>
    <col min="14" max="14" width="10.28515625" style="122" customWidth="1"/>
    <col min="15" max="217" width="9.140625" style="122"/>
    <col min="218" max="218" width="4.85546875" style="122" customWidth="1"/>
    <col min="219" max="219" width="5.140625" style="122" customWidth="1"/>
    <col min="220" max="220" width="13.7109375" style="122" customWidth="1"/>
    <col min="221" max="221" width="9.42578125" style="122" customWidth="1"/>
    <col min="222" max="222" width="7.85546875" style="122" bestFit="1" customWidth="1"/>
    <col min="223" max="223" width="9.42578125" style="122" customWidth="1"/>
    <col min="224" max="224" width="7.42578125" style="122" customWidth="1"/>
    <col min="225" max="225" width="7.85546875" style="122" customWidth="1"/>
    <col min="226" max="226" width="11" style="122" customWidth="1"/>
    <col min="227" max="227" width="7.5703125" style="122" customWidth="1"/>
    <col min="228" max="228" width="3.28515625" style="122" customWidth="1"/>
    <col min="229" max="229" width="5.85546875" style="122" customWidth="1"/>
    <col min="230" max="230" width="6.5703125" style="122" customWidth="1"/>
    <col min="231" max="231" width="3.28515625" style="122" customWidth="1"/>
    <col min="232" max="232" width="5.85546875" style="122" customWidth="1"/>
    <col min="233" max="233" width="6.5703125" style="122" customWidth="1"/>
    <col min="234" max="234" width="3.28515625" style="122" customWidth="1"/>
    <col min="235" max="235" width="5.85546875" style="122" customWidth="1"/>
    <col min="236" max="236" width="6.5703125" style="122" customWidth="1"/>
    <col min="237" max="237" width="3.28515625" style="122" customWidth="1"/>
    <col min="238" max="238" width="5.85546875" style="122" customWidth="1"/>
    <col min="239" max="239" width="6.5703125" style="122" customWidth="1"/>
    <col min="240" max="240" width="3.28515625" style="122" customWidth="1"/>
    <col min="241" max="241" width="5.85546875" style="122" customWidth="1"/>
    <col min="242" max="242" width="6.5703125" style="122" customWidth="1"/>
    <col min="243" max="243" width="3.28515625" style="122" customWidth="1"/>
    <col min="244" max="244" width="5.85546875" style="122" customWidth="1"/>
    <col min="245" max="245" width="6.5703125" style="122" customWidth="1"/>
    <col min="246" max="246" width="3.28515625" style="122" customWidth="1"/>
    <col min="247" max="247" width="5.85546875" style="122" customWidth="1"/>
    <col min="248" max="248" width="6.5703125" style="122" customWidth="1"/>
    <col min="249" max="249" width="3.28515625" style="122" customWidth="1"/>
    <col min="250" max="250" width="5.85546875" style="122" customWidth="1"/>
    <col min="251" max="251" width="6.5703125" style="122" customWidth="1"/>
    <col min="252" max="252" width="3.28515625" style="122" customWidth="1"/>
    <col min="253" max="253" width="5.85546875" style="122" customWidth="1"/>
    <col min="254" max="254" width="6.5703125" style="122" customWidth="1"/>
    <col min="255" max="255" width="3.28515625" style="122" customWidth="1"/>
    <col min="256" max="256" width="5.85546875" style="122" customWidth="1"/>
    <col min="257" max="257" width="6.5703125" style="122" customWidth="1"/>
    <col min="258" max="258" width="3.28515625" style="122" customWidth="1"/>
    <col min="259" max="259" width="5.85546875" style="122" customWidth="1"/>
    <col min="260" max="260" width="6.5703125" style="122" customWidth="1"/>
    <col min="261" max="261" width="3.28515625" style="122" customWidth="1"/>
    <col min="262" max="262" width="5.85546875" style="122" customWidth="1"/>
    <col min="263" max="263" width="6.5703125" style="122" customWidth="1"/>
    <col min="264" max="264" width="3.28515625" style="122" customWidth="1"/>
    <col min="265" max="265" width="5.85546875" style="122" customWidth="1"/>
    <col min="266" max="266" width="6.5703125" style="122" customWidth="1"/>
    <col min="267" max="267" width="3.28515625" style="122" customWidth="1"/>
    <col min="268" max="268" width="5.85546875" style="122" customWidth="1"/>
    <col min="269" max="269" width="6.5703125" style="122" customWidth="1"/>
    <col min="270" max="270" width="9.42578125" style="122" customWidth="1"/>
    <col min="271" max="473" width="9.140625" style="122"/>
    <col min="474" max="474" width="4.85546875" style="122" customWidth="1"/>
    <col min="475" max="475" width="5.140625" style="122" customWidth="1"/>
    <col min="476" max="476" width="13.7109375" style="122" customWidth="1"/>
    <col min="477" max="477" width="9.42578125" style="122" customWidth="1"/>
    <col min="478" max="478" width="7.85546875" style="122" bestFit="1" customWidth="1"/>
    <col min="479" max="479" width="9.42578125" style="122" customWidth="1"/>
    <col min="480" max="480" width="7.42578125" style="122" customWidth="1"/>
    <col min="481" max="481" width="7.85546875" style="122" customWidth="1"/>
    <col min="482" max="482" width="11" style="122" customWidth="1"/>
    <col min="483" max="483" width="7.5703125" style="122" customWidth="1"/>
    <col min="484" max="484" width="3.28515625" style="122" customWidth="1"/>
    <col min="485" max="485" width="5.85546875" style="122" customWidth="1"/>
    <col min="486" max="486" width="6.5703125" style="122" customWidth="1"/>
    <col min="487" max="487" width="3.28515625" style="122" customWidth="1"/>
    <col min="488" max="488" width="5.85546875" style="122" customWidth="1"/>
    <col min="489" max="489" width="6.5703125" style="122" customWidth="1"/>
    <col min="490" max="490" width="3.28515625" style="122" customWidth="1"/>
    <col min="491" max="491" width="5.85546875" style="122" customWidth="1"/>
    <col min="492" max="492" width="6.5703125" style="122" customWidth="1"/>
    <col min="493" max="493" width="3.28515625" style="122" customWidth="1"/>
    <col min="494" max="494" width="5.85546875" style="122" customWidth="1"/>
    <col min="495" max="495" width="6.5703125" style="122" customWidth="1"/>
    <col min="496" max="496" width="3.28515625" style="122" customWidth="1"/>
    <col min="497" max="497" width="5.85546875" style="122" customWidth="1"/>
    <col min="498" max="498" width="6.5703125" style="122" customWidth="1"/>
    <col min="499" max="499" width="3.28515625" style="122" customWidth="1"/>
    <col min="500" max="500" width="5.85546875" style="122" customWidth="1"/>
    <col min="501" max="501" width="6.5703125" style="122" customWidth="1"/>
    <col min="502" max="502" width="3.28515625" style="122" customWidth="1"/>
    <col min="503" max="503" width="5.85546875" style="122" customWidth="1"/>
    <col min="504" max="504" width="6.5703125" style="122" customWidth="1"/>
    <col min="505" max="505" width="3.28515625" style="122" customWidth="1"/>
    <col min="506" max="506" width="5.85546875" style="122" customWidth="1"/>
    <col min="507" max="507" width="6.5703125" style="122" customWidth="1"/>
    <col min="508" max="508" width="3.28515625" style="122" customWidth="1"/>
    <col min="509" max="509" width="5.85546875" style="122" customWidth="1"/>
    <col min="510" max="510" width="6.5703125" style="122" customWidth="1"/>
    <col min="511" max="511" width="3.28515625" style="122" customWidth="1"/>
    <col min="512" max="512" width="5.85546875" style="122" customWidth="1"/>
    <col min="513" max="513" width="6.5703125" style="122" customWidth="1"/>
    <col min="514" max="514" width="3.28515625" style="122" customWidth="1"/>
    <col min="515" max="515" width="5.85546875" style="122" customWidth="1"/>
    <col min="516" max="516" width="6.5703125" style="122" customWidth="1"/>
    <col min="517" max="517" width="3.28515625" style="122" customWidth="1"/>
    <col min="518" max="518" width="5.85546875" style="122" customWidth="1"/>
    <col min="519" max="519" width="6.5703125" style="122" customWidth="1"/>
    <col min="520" max="520" width="3.28515625" style="122" customWidth="1"/>
    <col min="521" max="521" width="5.85546875" style="122" customWidth="1"/>
    <col min="522" max="522" width="6.5703125" style="122" customWidth="1"/>
    <col min="523" max="523" width="3.28515625" style="122" customWidth="1"/>
    <col min="524" max="524" width="5.85546875" style="122" customWidth="1"/>
    <col min="525" max="525" width="6.5703125" style="122" customWidth="1"/>
    <col min="526" max="526" width="9.42578125" style="122" customWidth="1"/>
    <col min="527" max="729" width="9.140625" style="122"/>
    <col min="730" max="730" width="4.85546875" style="122" customWidth="1"/>
    <col min="731" max="731" width="5.140625" style="122" customWidth="1"/>
    <col min="732" max="732" width="13.7109375" style="122" customWidth="1"/>
    <col min="733" max="733" width="9.42578125" style="122" customWidth="1"/>
    <col min="734" max="734" width="7.85546875" style="122" bestFit="1" customWidth="1"/>
    <col min="735" max="735" width="9.42578125" style="122" customWidth="1"/>
    <col min="736" max="736" width="7.42578125" style="122" customWidth="1"/>
    <col min="737" max="737" width="7.85546875" style="122" customWidth="1"/>
    <col min="738" max="738" width="11" style="122" customWidth="1"/>
    <col min="739" max="739" width="7.5703125" style="122" customWidth="1"/>
    <col min="740" max="740" width="3.28515625" style="122" customWidth="1"/>
    <col min="741" max="741" width="5.85546875" style="122" customWidth="1"/>
    <col min="742" max="742" width="6.5703125" style="122" customWidth="1"/>
    <col min="743" max="743" width="3.28515625" style="122" customWidth="1"/>
    <col min="744" max="744" width="5.85546875" style="122" customWidth="1"/>
    <col min="745" max="745" width="6.5703125" style="122" customWidth="1"/>
    <col min="746" max="746" width="3.28515625" style="122" customWidth="1"/>
    <col min="747" max="747" width="5.85546875" style="122" customWidth="1"/>
    <col min="748" max="748" width="6.5703125" style="122" customWidth="1"/>
    <col min="749" max="749" width="3.28515625" style="122" customWidth="1"/>
    <col min="750" max="750" width="5.85546875" style="122" customWidth="1"/>
    <col min="751" max="751" width="6.5703125" style="122" customWidth="1"/>
    <col min="752" max="752" width="3.28515625" style="122" customWidth="1"/>
    <col min="753" max="753" width="5.85546875" style="122" customWidth="1"/>
    <col min="754" max="754" width="6.5703125" style="122" customWidth="1"/>
    <col min="755" max="755" width="3.28515625" style="122" customWidth="1"/>
    <col min="756" max="756" width="5.85546875" style="122" customWidth="1"/>
    <col min="757" max="757" width="6.5703125" style="122" customWidth="1"/>
    <col min="758" max="758" width="3.28515625" style="122" customWidth="1"/>
    <col min="759" max="759" width="5.85546875" style="122" customWidth="1"/>
    <col min="760" max="760" width="6.5703125" style="122" customWidth="1"/>
    <col min="761" max="761" width="3.28515625" style="122" customWidth="1"/>
    <col min="762" max="762" width="5.85546875" style="122" customWidth="1"/>
    <col min="763" max="763" width="6.5703125" style="122" customWidth="1"/>
    <col min="764" max="764" width="3.28515625" style="122" customWidth="1"/>
    <col min="765" max="765" width="5.85546875" style="122" customWidth="1"/>
    <col min="766" max="766" width="6.5703125" style="122" customWidth="1"/>
    <col min="767" max="767" width="3.28515625" style="122" customWidth="1"/>
    <col min="768" max="768" width="5.85546875" style="122" customWidth="1"/>
    <col min="769" max="769" width="6.5703125" style="122" customWidth="1"/>
    <col min="770" max="770" width="3.28515625" style="122" customWidth="1"/>
    <col min="771" max="771" width="5.85546875" style="122" customWidth="1"/>
    <col min="772" max="772" width="6.5703125" style="122" customWidth="1"/>
    <col min="773" max="773" width="3.28515625" style="122" customWidth="1"/>
    <col min="774" max="774" width="5.85546875" style="122" customWidth="1"/>
    <col min="775" max="775" width="6.5703125" style="122" customWidth="1"/>
    <col min="776" max="776" width="3.28515625" style="122" customWidth="1"/>
    <col min="777" max="777" width="5.85546875" style="122" customWidth="1"/>
    <col min="778" max="778" width="6.5703125" style="122" customWidth="1"/>
    <col min="779" max="779" width="3.28515625" style="122" customWidth="1"/>
    <col min="780" max="780" width="5.85546875" style="122" customWidth="1"/>
    <col min="781" max="781" width="6.5703125" style="122" customWidth="1"/>
    <col min="782" max="782" width="9.42578125" style="122" customWidth="1"/>
    <col min="783" max="985" width="9.140625" style="122"/>
    <col min="986" max="986" width="4.85546875" style="122" customWidth="1"/>
    <col min="987" max="987" width="5.140625" style="122" customWidth="1"/>
    <col min="988" max="988" width="13.7109375" style="122" customWidth="1"/>
    <col min="989" max="989" width="9.42578125" style="122" customWidth="1"/>
    <col min="990" max="990" width="7.85546875" style="122" bestFit="1" customWidth="1"/>
    <col min="991" max="991" width="9.42578125" style="122" customWidth="1"/>
    <col min="992" max="992" width="7.42578125" style="122" customWidth="1"/>
    <col min="993" max="993" width="7.85546875" style="122" customWidth="1"/>
    <col min="994" max="994" width="11" style="122" customWidth="1"/>
    <col min="995" max="995" width="7.5703125" style="122" customWidth="1"/>
    <col min="996" max="996" width="3.28515625" style="122" customWidth="1"/>
    <col min="997" max="997" width="5.85546875" style="122" customWidth="1"/>
    <col min="998" max="998" width="6.5703125" style="122" customWidth="1"/>
    <col min="999" max="999" width="3.28515625" style="122" customWidth="1"/>
    <col min="1000" max="1000" width="5.85546875" style="122" customWidth="1"/>
    <col min="1001" max="1001" width="6.5703125" style="122" customWidth="1"/>
    <col min="1002" max="1002" width="3.28515625" style="122" customWidth="1"/>
    <col min="1003" max="1003" width="5.85546875" style="122" customWidth="1"/>
    <col min="1004" max="1004" width="6.5703125" style="122" customWidth="1"/>
    <col min="1005" max="1005" width="3.28515625" style="122" customWidth="1"/>
    <col min="1006" max="1006" width="5.85546875" style="122" customWidth="1"/>
    <col min="1007" max="1007" width="6.5703125" style="122" customWidth="1"/>
    <col min="1008" max="1008" width="3.28515625" style="122" customWidth="1"/>
    <col min="1009" max="1009" width="5.85546875" style="122" customWidth="1"/>
    <col min="1010" max="1010" width="6.5703125" style="122" customWidth="1"/>
    <col min="1011" max="1011" width="3.28515625" style="122" customWidth="1"/>
    <col min="1012" max="1012" width="5.85546875" style="122" customWidth="1"/>
    <col min="1013" max="1013" width="6.5703125" style="122" customWidth="1"/>
    <col min="1014" max="1014" width="3.28515625" style="122" customWidth="1"/>
    <col min="1015" max="1015" width="5.85546875" style="122" customWidth="1"/>
    <col min="1016" max="1016" width="6.5703125" style="122" customWidth="1"/>
    <col min="1017" max="1017" width="3.28515625" style="122" customWidth="1"/>
    <col min="1018" max="1018" width="5.85546875" style="122" customWidth="1"/>
    <col min="1019" max="1019" width="6.5703125" style="122" customWidth="1"/>
    <col min="1020" max="1020" width="3.28515625" style="122" customWidth="1"/>
    <col min="1021" max="1021" width="5.85546875" style="122" customWidth="1"/>
    <col min="1022" max="1022" width="6.5703125" style="122" customWidth="1"/>
    <col min="1023" max="1023" width="3.28515625" style="122" customWidth="1"/>
    <col min="1024" max="1024" width="5.85546875" style="122" customWidth="1"/>
    <col min="1025" max="1025" width="6.5703125" style="122" customWidth="1"/>
    <col min="1026" max="1026" width="3.28515625" style="122" customWidth="1"/>
    <col min="1027" max="1027" width="5.85546875" style="122" customWidth="1"/>
    <col min="1028" max="1028" width="6.5703125" style="122" customWidth="1"/>
    <col min="1029" max="1029" width="3.28515625" style="122" customWidth="1"/>
    <col min="1030" max="1030" width="5.85546875" style="122" customWidth="1"/>
    <col min="1031" max="1031" width="6.5703125" style="122" customWidth="1"/>
    <col min="1032" max="1032" width="3.28515625" style="122" customWidth="1"/>
    <col min="1033" max="1033" width="5.85546875" style="122" customWidth="1"/>
    <col min="1034" max="1034" width="6.5703125" style="122" customWidth="1"/>
    <col min="1035" max="1035" width="3.28515625" style="122" customWidth="1"/>
    <col min="1036" max="1036" width="5.85546875" style="122" customWidth="1"/>
    <col min="1037" max="1037" width="6.5703125" style="122" customWidth="1"/>
    <col min="1038" max="1038" width="9.42578125" style="122" customWidth="1"/>
    <col min="1039" max="1241" width="9.140625" style="122"/>
    <col min="1242" max="1242" width="4.85546875" style="122" customWidth="1"/>
    <col min="1243" max="1243" width="5.140625" style="122" customWidth="1"/>
    <col min="1244" max="1244" width="13.7109375" style="122" customWidth="1"/>
    <col min="1245" max="1245" width="9.42578125" style="122" customWidth="1"/>
    <col min="1246" max="1246" width="7.85546875" style="122" bestFit="1" customWidth="1"/>
    <col min="1247" max="1247" width="9.42578125" style="122" customWidth="1"/>
    <col min="1248" max="1248" width="7.42578125" style="122" customWidth="1"/>
    <col min="1249" max="1249" width="7.85546875" style="122" customWidth="1"/>
    <col min="1250" max="1250" width="11" style="122" customWidth="1"/>
    <col min="1251" max="1251" width="7.5703125" style="122" customWidth="1"/>
    <col min="1252" max="1252" width="3.28515625" style="122" customWidth="1"/>
    <col min="1253" max="1253" width="5.85546875" style="122" customWidth="1"/>
    <col min="1254" max="1254" width="6.5703125" style="122" customWidth="1"/>
    <col min="1255" max="1255" width="3.28515625" style="122" customWidth="1"/>
    <col min="1256" max="1256" width="5.85546875" style="122" customWidth="1"/>
    <col min="1257" max="1257" width="6.5703125" style="122" customWidth="1"/>
    <col min="1258" max="1258" width="3.28515625" style="122" customWidth="1"/>
    <col min="1259" max="1259" width="5.85546875" style="122" customWidth="1"/>
    <col min="1260" max="1260" width="6.5703125" style="122" customWidth="1"/>
    <col min="1261" max="1261" width="3.28515625" style="122" customWidth="1"/>
    <col min="1262" max="1262" width="5.85546875" style="122" customWidth="1"/>
    <col min="1263" max="1263" width="6.5703125" style="122" customWidth="1"/>
    <col min="1264" max="1264" width="3.28515625" style="122" customWidth="1"/>
    <col min="1265" max="1265" width="5.85546875" style="122" customWidth="1"/>
    <col min="1266" max="1266" width="6.5703125" style="122" customWidth="1"/>
    <col min="1267" max="1267" width="3.28515625" style="122" customWidth="1"/>
    <col min="1268" max="1268" width="5.85546875" style="122" customWidth="1"/>
    <col min="1269" max="1269" width="6.5703125" style="122" customWidth="1"/>
    <col min="1270" max="1270" width="3.28515625" style="122" customWidth="1"/>
    <col min="1271" max="1271" width="5.85546875" style="122" customWidth="1"/>
    <col min="1272" max="1272" width="6.5703125" style="122" customWidth="1"/>
    <col min="1273" max="1273" width="3.28515625" style="122" customWidth="1"/>
    <col min="1274" max="1274" width="5.85546875" style="122" customWidth="1"/>
    <col min="1275" max="1275" width="6.5703125" style="122" customWidth="1"/>
    <col min="1276" max="1276" width="3.28515625" style="122" customWidth="1"/>
    <col min="1277" max="1277" width="5.85546875" style="122" customWidth="1"/>
    <col min="1278" max="1278" width="6.5703125" style="122" customWidth="1"/>
    <col min="1279" max="1279" width="3.28515625" style="122" customWidth="1"/>
    <col min="1280" max="1280" width="5.85546875" style="122" customWidth="1"/>
    <col min="1281" max="1281" width="6.5703125" style="122" customWidth="1"/>
    <col min="1282" max="1282" width="3.28515625" style="122" customWidth="1"/>
    <col min="1283" max="1283" width="5.85546875" style="122" customWidth="1"/>
    <col min="1284" max="1284" width="6.5703125" style="122" customWidth="1"/>
    <col min="1285" max="1285" width="3.28515625" style="122" customWidth="1"/>
    <col min="1286" max="1286" width="5.85546875" style="122" customWidth="1"/>
    <col min="1287" max="1287" width="6.5703125" style="122" customWidth="1"/>
    <col min="1288" max="1288" width="3.28515625" style="122" customWidth="1"/>
    <col min="1289" max="1289" width="5.85546875" style="122" customWidth="1"/>
    <col min="1290" max="1290" width="6.5703125" style="122" customWidth="1"/>
    <col min="1291" max="1291" width="3.28515625" style="122" customWidth="1"/>
    <col min="1292" max="1292" width="5.85546875" style="122" customWidth="1"/>
    <col min="1293" max="1293" width="6.5703125" style="122" customWidth="1"/>
    <col min="1294" max="1294" width="9.42578125" style="122" customWidth="1"/>
    <col min="1295" max="1497" width="9.140625" style="122"/>
    <col min="1498" max="1498" width="4.85546875" style="122" customWidth="1"/>
    <col min="1499" max="1499" width="5.140625" style="122" customWidth="1"/>
    <col min="1500" max="1500" width="13.7109375" style="122" customWidth="1"/>
    <col min="1501" max="1501" width="9.42578125" style="122" customWidth="1"/>
    <col min="1502" max="1502" width="7.85546875" style="122" bestFit="1" customWidth="1"/>
    <col min="1503" max="1503" width="9.42578125" style="122" customWidth="1"/>
    <col min="1504" max="1504" width="7.42578125" style="122" customWidth="1"/>
    <col min="1505" max="1505" width="7.85546875" style="122" customWidth="1"/>
    <col min="1506" max="1506" width="11" style="122" customWidth="1"/>
    <col min="1507" max="1507" width="7.5703125" style="122" customWidth="1"/>
    <col min="1508" max="1508" width="3.28515625" style="122" customWidth="1"/>
    <col min="1509" max="1509" width="5.85546875" style="122" customWidth="1"/>
    <col min="1510" max="1510" width="6.5703125" style="122" customWidth="1"/>
    <col min="1511" max="1511" width="3.28515625" style="122" customWidth="1"/>
    <col min="1512" max="1512" width="5.85546875" style="122" customWidth="1"/>
    <col min="1513" max="1513" width="6.5703125" style="122" customWidth="1"/>
    <col min="1514" max="1514" width="3.28515625" style="122" customWidth="1"/>
    <col min="1515" max="1515" width="5.85546875" style="122" customWidth="1"/>
    <col min="1516" max="1516" width="6.5703125" style="122" customWidth="1"/>
    <col min="1517" max="1517" width="3.28515625" style="122" customWidth="1"/>
    <col min="1518" max="1518" width="5.85546875" style="122" customWidth="1"/>
    <col min="1519" max="1519" width="6.5703125" style="122" customWidth="1"/>
    <col min="1520" max="1520" width="3.28515625" style="122" customWidth="1"/>
    <col min="1521" max="1521" width="5.85546875" style="122" customWidth="1"/>
    <col min="1522" max="1522" width="6.5703125" style="122" customWidth="1"/>
    <col min="1523" max="1523" width="3.28515625" style="122" customWidth="1"/>
    <col min="1524" max="1524" width="5.85546875" style="122" customWidth="1"/>
    <col min="1525" max="1525" width="6.5703125" style="122" customWidth="1"/>
    <col min="1526" max="1526" width="3.28515625" style="122" customWidth="1"/>
    <col min="1527" max="1527" width="5.85546875" style="122" customWidth="1"/>
    <col min="1528" max="1528" width="6.5703125" style="122" customWidth="1"/>
    <col min="1529" max="1529" width="3.28515625" style="122" customWidth="1"/>
    <col min="1530" max="1530" width="5.85546875" style="122" customWidth="1"/>
    <col min="1531" max="1531" width="6.5703125" style="122" customWidth="1"/>
    <col min="1532" max="1532" width="3.28515625" style="122" customWidth="1"/>
    <col min="1533" max="1533" width="5.85546875" style="122" customWidth="1"/>
    <col min="1534" max="1534" width="6.5703125" style="122" customWidth="1"/>
    <col min="1535" max="1535" width="3.28515625" style="122" customWidth="1"/>
    <col min="1536" max="1536" width="5.85546875" style="122" customWidth="1"/>
    <col min="1537" max="1537" width="6.5703125" style="122" customWidth="1"/>
    <col min="1538" max="1538" width="3.28515625" style="122" customWidth="1"/>
    <col min="1539" max="1539" width="5.85546875" style="122" customWidth="1"/>
    <col min="1540" max="1540" width="6.5703125" style="122" customWidth="1"/>
    <col min="1541" max="1541" width="3.28515625" style="122" customWidth="1"/>
    <col min="1542" max="1542" width="5.85546875" style="122" customWidth="1"/>
    <col min="1543" max="1543" width="6.5703125" style="122" customWidth="1"/>
    <col min="1544" max="1544" width="3.28515625" style="122" customWidth="1"/>
    <col min="1545" max="1545" width="5.85546875" style="122" customWidth="1"/>
    <col min="1546" max="1546" width="6.5703125" style="122" customWidth="1"/>
    <col min="1547" max="1547" width="3.28515625" style="122" customWidth="1"/>
    <col min="1548" max="1548" width="5.85546875" style="122" customWidth="1"/>
    <col min="1549" max="1549" width="6.5703125" style="122" customWidth="1"/>
    <col min="1550" max="1550" width="9.42578125" style="122" customWidth="1"/>
    <col min="1551" max="1753" width="9.140625" style="122"/>
    <col min="1754" max="1754" width="4.85546875" style="122" customWidth="1"/>
    <col min="1755" max="1755" width="5.140625" style="122" customWidth="1"/>
    <col min="1756" max="1756" width="13.7109375" style="122" customWidth="1"/>
    <col min="1757" max="1757" width="9.42578125" style="122" customWidth="1"/>
    <col min="1758" max="1758" width="7.85546875" style="122" bestFit="1" customWidth="1"/>
    <col min="1759" max="1759" width="9.42578125" style="122" customWidth="1"/>
    <col min="1760" max="1760" width="7.42578125" style="122" customWidth="1"/>
    <col min="1761" max="1761" width="7.85546875" style="122" customWidth="1"/>
    <col min="1762" max="1762" width="11" style="122" customWidth="1"/>
    <col min="1763" max="1763" width="7.5703125" style="122" customWidth="1"/>
    <col min="1764" max="1764" width="3.28515625" style="122" customWidth="1"/>
    <col min="1765" max="1765" width="5.85546875" style="122" customWidth="1"/>
    <col min="1766" max="1766" width="6.5703125" style="122" customWidth="1"/>
    <col min="1767" max="1767" width="3.28515625" style="122" customWidth="1"/>
    <col min="1768" max="1768" width="5.85546875" style="122" customWidth="1"/>
    <col min="1769" max="1769" width="6.5703125" style="122" customWidth="1"/>
    <col min="1770" max="1770" width="3.28515625" style="122" customWidth="1"/>
    <col min="1771" max="1771" width="5.85546875" style="122" customWidth="1"/>
    <col min="1772" max="1772" width="6.5703125" style="122" customWidth="1"/>
    <col min="1773" max="1773" width="3.28515625" style="122" customWidth="1"/>
    <col min="1774" max="1774" width="5.85546875" style="122" customWidth="1"/>
    <col min="1775" max="1775" width="6.5703125" style="122" customWidth="1"/>
    <col min="1776" max="1776" width="3.28515625" style="122" customWidth="1"/>
    <col min="1777" max="1777" width="5.85546875" style="122" customWidth="1"/>
    <col min="1778" max="1778" width="6.5703125" style="122" customWidth="1"/>
    <col min="1779" max="1779" width="3.28515625" style="122" customWidth="1"/>
    <col min="1780" max="1780" width="5.85546875" style="122" customWidth="1"/>
    <col min="1781" max="1781" width="6.5703125" style="122" customWidth="1"/>
    <col min="1782" max="1782" width="3.28515625" style="122" customWidth="1"/>
    <col min="1783" max="1783" width="5.85546875" style="122" customWidth="1"/>
    <col min="1784" max="1784" width="6.5703125" style="122" customWidth="1"/>
    <col min="1785" max="1785" width="3.28515625" style="122" customWidth="1"/>
    <col min="1786" max="1786" width="5.85546875" style="122" customWidth="1"/>
    <col min="1787" max="1787" width="6.5703125" style="122" customWidth="1"/>
    <col min="1788" max="1788" width="3.28515625" style="122" customWidth="1"/>
    <col min="1789" max="1789" width="5.85546875" style="122" customWidth="1"/>
    <col min="1790" max="1790" width="6.5703125" style="122" customWidth="1"/>
    <col min="1791" max="1791" width="3.28515625" style="122" customWidth="1"/>
    <col min="1792" max="1792" width="5.85546875" style="122" customWidth="1"/>
    <col min="1793" max="1793" width="6.5703125" style="122" customWidth="1"/>
    <col min="1794" max="1794" width="3.28515625" style="122" customWidth="1"/>
    <col min="1795" max="1795" width="5.85546875" style="122" customWidth="1"/>
    <col min="1796" max="1796" width="6.5703125" style="122" customWidth="1"/>
    <col min="1797" max="1797" width="3.28515625" style="122" customWidth="1"/>
    <col min="1798" max="1798" width="5.85546875" style="122" customWidth="1"/>
    <col min="1799" max="1799" width="6.5703125" style="122" customWidth="1"/>
    <col min="1800" max="1800" width="3.28515625" style="122" customWidth="1"/>
    <col min="1801" max="1801" width="5.85546875" style="122" customWidth="1"/>
    <col min="1802" max="1802" width="6.5703125" style="122" customWidth="1"/>
    <col min="1803" max="1803" width="3.28515625" style="122" customWidth="1"/>
    <col min="1804" max="1804" width="5.85546875" style="122" customWidth="1"/>
    <col min="1805" max="1805" width="6.5703125" style="122" customWidth="1"/>
    <col min="1806" max="1806" width="9.42578125" style="122" customWidth="1"/>
    <col min="1807" max="2009" width="9.140625" style="122"/>
    <col min="2010" max="2010" width="4.85546875" style="122" customWidth="1"/>
    <col min="2011" max="2011" width="5.140625" style="122" customWidth="1"/>
    <col min="2012" max="2012" width="13.7109375" style="122" customWidth="1"/>
    <col min="2013" max="2013" width="9.42578125" style="122" customWidth="1"/>
    <col min="2014" max="2014" width="7.85546875" style="122" bestFit="1" customWidth="1"/>
    <col min="2015" max="2015" width="9.42578125" style="122" customWidth="1"/>
    <col min="2016" max="2016" width="7.42578125" style="122" customWidth="1"/>
    <col min="2017" max="2017" width="7.85546875" style="122" customWidth="1"/>
    <col min="2018" max="2018" width="11" style="122" customWidth="1"/>
    <col min="2019" max="2019" width="7.5703125" style="122" customWidth="1"/>
    <col min="2020" max="2020" width="3.28515625" style="122" customWidth="1"/>
    <col min="2021" max="2021" width="5.85546875" style="122" customWidth="1"/>
    <col min="2022" max="2022" width="6.5703125" style="122" customWidth="1"/>
    <col min="2023" max="2023" width="3.28515625" style="122" customWidth="1"/>
    <col min="2024" max="2024" width="5.85546875" style="122" customWidth="1"/>
    <col min="2025" max="2025" width="6.5703125" style="122" customWidth="1"/>
    <col min="2026" max="2026" width="3.28515625" style="122" customWidth="1"/>
    <col min="2027" max="2027" width="5.85546875" style="122" customWidth="1"/>
    <col min="2028" max="2028" width="6.5703125" style="122" customWidth="1"/>
    <col min="2029" max="2029" width="3.28515625" style="122" customWidth="1"/>
    <col min="2030" max="2030" width="5.85546875" style="122" customWidth="1"/>
    <col min="2031" max="2031" width="6.5703125" style="122" customWidth="1"/>
    <col min="2032" max="2032" width="3.28515625" style="122" customWidth="1"/>
    <col min="2033" max="2033" width="5.85546875" style="122" customWidth="1"/>
    <col min="2034" max="2034" width="6.5703125" style="122" customWidth="1"/>
    <col min="2035" max="2035" width="3.28515625" style="122" customWidth="1"/>
    <col min="2036" max="2036" width="5.85546875" style="122" customWidth="1"/>
    <col min="2037" max="2037" width="6.5703125" style="122" customWidth="1"/>
    <col min="2038" max="2038" width="3.28515625" style="122" customWidth="1"/>
    <col min="2039" max="2039" width="5.85546875" style="122" customWidth="1"/>
    <col min="2040" max="2040" width="6.5703125" style="122" customWidth="1"/>
    <col min="2041" max="2041" width="3.28515625" style="122" customWidth="1"/>
    <col min="2042" max="2042" width="5.85546875" style="122" customWidth="1"/>
    <col min="2043" max="2043" width="6.5703125" style="122" customWidth="1"/>
    <col min="2044" max="2044" width="3.28515625" style="122" customWidth="1"/>
    <col min="2045" max="2045" width="5.85546875" style="122" customWidth="1"/>
    <col min="2046" max="2046" width="6.5703125" style="122" customWidth="1"/>
    <col min="2047" max="2047" width="3.28515625" style="122" customWidth="1"/>
    <col min="2048" max="2048" width="5.85546875" style="122" customWidth="1"/>
    <col min="2049" max="2049" width="6.5703125" style="122" customWidth="1"/>
    <col min="2050" max="2050" width="3.28515625" style="122" customWidth="1"/>
    <col min="2051" max="2051" width="5.85546875" style="122" customWidth="1"/>
    <col min="2052" max="2052" width="6.5703125" style="122" customWidth="1"/>
    <col min="2053" max="2053" width="3.28515625" style="122" customWidth="1"/>
    <col min="2054" max="2054" width="5.85546875" style="122" customWidth="1"/>
    <col min="2055" max="2055" width="6.5703125" style="122" customWidth="1"/>
    <col min="2056" max="2056" width="3.28515625" style="122" customWidth="1"/>
    <col min="2057" max="2057" width="5.85546875" style="122" customWidth="1"/>
    <col min="2058" max="2058" width="6.5703125" style="122" customWidth="1"/>
    <col min="2059" max="2059" width="3.28515625" style="122" customWidth="1"/>
    <col min="2060" max="2060" width="5.85546875" style="122" customWidth="1"/>
    <col min="2061" max="2061" width="6.5703125" style="122" customWidth="1"/>
    <col min="2062" max="2062" width="9.42578125" style="122" customWidth="1"/>
    <col min="2063" max="2265" width="9.140625" style="122"/>
    <col min="2266" max="2266" width="4.85546875" style="122" customWidth="1"/>
    <col min="2267" max="2267" width="5.140625" style="122" customWidth="1"/>
    <col min="2268" max="2268" width="13.7109375" style="122" customWidth="1"/>
    <col min="2269" max="2269" width="9.42578125" style="122" customWidth="1"/>
    <col min="2270" max="2270" width="7.85546875" style="122" bestFit="1" customWidth="1"/>
    <col min="2271" max="2271" width="9.42578125" style="122" customWidth="1"/>
    <col min="2272" max="2272" width="7.42578125" style="122" customWidth="1"/>
    <col min="2273" max="2273" width="7.85546875" style="122" customWidth="1"/>
    <col min="2274" max="2274" width="11" style="122" customWidth="1"/>
    <col min="2275" max="2275" width="7.5703125" style="122" customWidth="1"/>
    <col min="2276" max="2276" width="3.28515625" style="122" customWidth="1"/>
    <col min="2277" max="2277" width="5.85546875" style="122" customWidth="1"/>
    <col min="2278" max="2278" width="6.5703125" style="122" customWidth="1"/>
    <col min="2279" max="2279" width="3.28515625" style="122" customWidth="1"/>
    <col min="2280" max="2280" width="5.85546875" style="122" customWidth="1"/>
    <col min="2281" max="2281" width="6.5703125" style="122" customWidth="1"/>
    <col min="2282" max="2282" width="3.28515625" style="122" customWidth="1"/>
    <col min="2283" max="2283" width="5.85546875" style="122" customWidth="1"/>
    <col min="2284" max="2284" width="6.5703125" style="122" customWidth="1"/>
    <col min="2285" max="2285" width="3.28515625" style="122" customWidth="1"/>
    <col min="2286" max="2286" width="5.85546875" style="122" customWidth="1"/>
    <col min="2287" max="2287" width="6.5703125" style="122" customWidth="1"/>
    <col min="2288" max="2288" width="3.28515625" style="122" customWidth="1"/>
    <col min="2289" max="2289" width="5.85546875" style="122" customWidth="1"/>
    <col min="2290" max="2290" width="6.5703125" style="122" customWidth="1"/>
    <col min="2291" max="2291" width="3.28515625" style="122" customWidth="1"/>
    <col min="2292" max="2292" width="5.85546875" style="122" customWidth="1"/>
    <col min="2293" max="2293" width="6.5703125" style="122" customWidth="1"/>
    <col min="2294" max="2294" width="3.28515625" style="122" customWidth="1"/>
    <col min="2295" max="2295" width="5.85546875" style="122" customWidth="1"/>
    <col min="2296" max="2296" width="6.5703125" style="122" customWidth="1"/>
    <col min="2297" max="2297" width="3.28515625" style="122" customWidth="1"/>
    <col min="2298" max="2298" width="5.85546875" style="122" customWidth="1"/>
    <col min="2299" max="2299" width="6.5703125" style="122" customWidth="1"/>
    <col min="2300" max="2300" width="3.28515625" style="122" customWidth="1"/>
    <col min="2301" max="2301" width="5.85546875" style="122" customWidth="1"/>
    <col min="2302" max="2302" width="6.5703125" style="122" customWidth="1"/>
    <col min="2303" max="2303" width="3.28515625" style="122" customWidth="1"/>
    <col min="2304" max="2304" width="5.85546875" style="122" customWidth="1"/>
    <col min="2305" max="2305" width="6.5703125" style="122" customWidth="1"/>
    <col min="2306" max="2306" width="3.28515625" style="122" customWidth="1"/>
    <col min="2307" max="2307" width="5.85546875" style="122" customWidth="1"/>
    <col min="2308" max="2308" width="6.5703125" style="122" customWidth="1"/>
    <col min="2309" max="2309" width="3.28515625" style="122" customWidth="1"/>
    <col min="2310" max="2310" width="5.85546875" style="122" customWidth="1"/>
    <col min="2311" max="2311" width="6.5703125" style="122" customWidth="1"/>
    <col min="2312" max="2312" width="3.28515625" style="122" customWidth="1"/>
    <col min="2313" max="2313" width="5.85546875" style="122" customWidth="1"/>
    <col min="2314" max="2314" width="6.5703125" style="122" customWidth="1"/>
    <col min="2315" max="2315" width="3.28515625" style="122" customWidth="1"/>
    <col min="2316" max="2316" width="5.85546875" style="122" customWidth="1"/>
    <col min="2317" max="2317" width="6.5703125" style="122" customWidth="1"/>
    <col min="2318" max="2318" width="9.42578125" style="122" customWidth="1"/>
    <col min="2319" max="2521" width="9.140625" style="122"/>
    <col min="2522" max="2522" width="4.85546875" style="122" customWidth="1"/>
    <col min="2523" max="2523" width="5.140625" style="122" customWidth="1"/>
    <col min="2524" max="2524" width="13.7109375" style="122" customWidth="1"/>
    <col min="2525" max="2525" width="9.42578125" style="122" customWidth="1"/>
    <col min="2526" max="2526" width="7.85546875" style="122" bestFit="1" customWidth="1"/>
    <col min="2527" max="2527" width="9.42578125" style="122" customWidth="1"/>
    <col min="2528" max="2528" width="7.42578125" style="122" customWidth="1"/>
    <col min="2529" max="2529" width="7.85546875" style="122" customWidth="1"/>
    <col min="2530" max="2530" width="11" style="122" customWidth="1"/>
    <col min="2531" max="2531" width="7.5703125" style="122" customWidth="1"/>
    <col min="2532" max="2532" width="3.28515625" style="122" customWidth="1"/>
    <col min="2533" max="2533" width="5.85546875" style="122" customWidth="1"/>
    <col min="2534" max="2534" width="6.5703125" style="122" customWidth="1"/>
    <col min="2535" max="2535" width="3.28515625" style="122" customWidth="1"/>
    <col min="2536" max="2536" width="5.85546875" style="122" customWidth="1"/>
    <col min="2537" max="2537" width="6.5703125" style="122" customWidth="1"/>
    <col min="2538" max="2538" width="3.28515625" style="122" customWidth="1"/>
    <col min="2539" max="2539" width="5.85546875" style="122" customWidth="1"/>
    <col min="2540" max="2540" width="6.5703125" style="122" customWidth="1"/>
    <col min="2541" max="2541" width="3.28515625" style="122" customWidth="1"/>
    <col min="2542" max="2542" width="5.85546875" style="122" customWidth="1"/>
    <col min="2543" max="2543" width="6.5703125" style="122" customWidth="1"/>
    <col min="2544" max="2544" width="3.28515625" style="122" customWidth="1"/>
    <col min="2545" max="2545" width="5.85546875" style="122" customWidth="1"/>
    <col min="2546" max="2546" width="6.5703125" style="122" customWidth="1"/>
    <col min="2547" max="2547" width="3.28515625" style="122" customWidth="1"/>
    <col min="2548" max="2548" width="5.85546875" style="122" customWidth="1"/>
    <col min="2549" max="2549" width="6.5703125" style="122" customWidth="1"/>
    <col min="2550" max="2550" width="3.28515625" style="122" customWidth="1"/>
    <col min="2551" max="2551" width="5.85546875" style="122" customWidth="1"/>
    <col min="2552" max="2552" width="6.5703125" style="122" customWidth="1"/>
    <col min="2553" max="2553" width="3.28515625" style="122" customWidth="1"/>
    <col min="2554" max="2554" width="5.85546875" style="122" customWidth="1"/>
    <col min="2555" max="2555" width="6.5703125" style="122" customWidth="1"/>
    <col min="2556" max="2556" width="3.28515625" style="122" customWidth="1"/>
    <col min="2557" max="2557" width="5.85546875" style="122" customWidth="1"/>
    <col min="2558" max="2558" width="6.5703125" style="122" customWidth="1"/>
    <col min="2559" max="2559" width="3.28515625" style="122" customWidth="1"/>
    <col min="2560" max="2560" width="5.85546875" style="122" customWidth="1"/>
    <col min="2561" max="2561" width="6.5703125" style="122" customWidth="1"/>
    <col min="2562" max="2562" width="3.28515625" style="122" customWidth="1"/>
    <col min="2563" max="2563" width="5.85546875" style="122" customWidth="1"/>
    <col min="2564" max="2564" width="6.5703125" style="122" customWidth="1"/>
    <col min="2565" max="2565" width="3.28515625" style="122" customWidth="1"/>
    <col min="2566" max="2566" width="5.85546875" style="122" customWidth="1"/>
    <col min="2567" max="2567" width="6.5703125" style="122" customWidth="1"/>
    <col min="2568" max="2568" width="3.28515625" style="122" customWidth="1"/>
    <col min="2569" max="2569" width="5.85546875" style="122" customWidth="1"/>
    <col min="2570" max="2570" width="6.5703125" style="122" customWidth="1"/>
    <col min="2571" max="2571" width="3.28515625" style="122" customWidth="1"/>
    <col min="2572" max="2572" width="5.85546875" style="122" customWidth="1"/>
    <col min="2573" max="2573" width="6.5703125" style="122" customWidth="1"/>
    <col min="2574" max="2574" width="9.42578125" style="122" customWidth="1"/>
    <col min="2575" max="2777" width="9.140625" style="122"/>
    <col min="2778" max="2778" width="4.85546875" style="122" customWidth="1"/>
    <col min="2779" max="2779" width="5.140625" style="122" customWidth="1"/>
    <col min="2780" max="2780" width="13.7109375" style="122" customWidth="1"/>
    <col min="2781" max="2781" width="9.42578125" style="122" customWidth="1"/>
    <col min="2782" max="2782" width="7.85546875" style="122" bestFit="1" customWidth="1"/>
    <col min="2783" max="2783" width="9.42578125" style="122" customWidth="1"/>
    <col min="2784" max="2784" width="7.42578125" style="122" customWidth="1"/>
    <col min="2785" max="2785" width="7.85546875" style="122" customWidth="1"/>
    <col min="2786" max="2786" width="11" style="122" customWidth="1"/>
    <col min="2787" max="2787" width="7.5703125" style="122" customWidth="1"/>
    <col min="2788" max="2788" width="3.28515625" style="122" customWidth="1"/>
    <col min="2789" max="2789" width="5.85546875" style="122" customWidth="1"/>
    <col min="2790" max="2790" width="6.5703125" style="122" customWidth="1"/>
    <col min="2791" max="2791" width="3.28515625" style="122" customWidth="1"/>
    <col min="2792" max="2792" width="5.85546875" style="122" customWidth="1"/>
    <col min="2793" max="2793" width="6.5703125" style="122" customWidth="1"/>
    <col min="2794" max="2794" width="3.28515625" style="122" customWidth="1"/>
    <col min="2795" max="2795" width="5.85546875" style="122" customWidth="1"/>
    <col min="2796" max="2796" width="6.5703125" style="122" customWidth="1"/>
    <col min="2797" max="2797" width="3.28515625" style="122" customWidth="1"/>
    <col min="2798" max="2798" width="5.85546875" style="122" customWidth="1"/>
    <col min="2799" max="2799" width="6.5703125" style="122" customWidth="1"/>
    <col min="2800" max="2800" width="3.28515625" style="122" customWidth="1"/>
    <col min="2801" max="2801" width="5.85546875" style="122" customWidth="1"/>
    <col min="2802" max="2802" width="6.5703125" style="122" customWidth="1"/>
    <col min="2803" max="2803" width="3.28515625" style="122" customWidth="1"/>
    <col min="2804" max="2804" width="5.85546875" style="122" customWidth="1"/>
    <col min="2805" max="2805" width="6.5703125" style="122" customWidth="1"/>
    <col min="2806" max="2806" width="3.28515625" style="122" customWidth="1"/>
    <col min="2807" max="2807" width="5.85546875" style="122" customWidth="1"/>
    <col min="2808" max="2808" width="6.5703125" style="122" customWidth="1"/>
    <col min="2809" max="2809" width="3.28515625" style="122" customWidth="1"/>
    <col min="2810" max="2810" width="5.85546875" style="122" customWidth="1"/>
    <col min="2811" max="2811" width="6.5703125" style="122" customWidth="1"/>
    <col min="2812" max="2812" width="3.28515625" style="122" customWidth="1"/>
    <col min="2813" max="2813" width="5.85546875" style="122" customWidth="1"/>
    <col min="2814" max="2814" width="6.5703125" style="122" customWidth="1"/>
    <col min="2815" max="2815" width="3.28515625" style="122" customWidth="1"/>
    <col min="2816" max="2816" width="5.85546875" style="122" customWidth="1"/>
    <col min="2817" max="2817" width="6.5703125" style="122" customWidth="1"/>
    <col min="2818" max="2818" width="3.28515625" style="122" customWidth="1"/>
    <col min="2819" max="2819" width="5.85546875" style="122" customWidth="1"/>
    <col min="2820" max="2820" width="6.5703125" style="122" customWidth="1"/>
    <col min="2821" max="2821" width="3.28515625" style="122" customWidth="1"/>
    <col min="2822" max="2822" width="5.85546875" style="122" customWidth="1"/>
    <col min="2823" max="2823" width="6.5703125" style="122" customWidth="1"/>
    <col min="2824" max="2824" width="3.28515625" style="122" customWidth="1"/>
    <col min="2825" max="2825" width="5.85546875" style="122" customWidth="1"/>
    <col min="2826" max="2826" width="6.5703125" style="122" customWidth="1"/>
    <col min="2827" max="2827" width="3.28515625" style="122" customWidth="1"/>
    <col min="2828" max="2828" width="5.85546875" style="122" customWidth="1"/>
    <col min="2829" max="2829" width="6.5703125" style="122" customWidth="1"/>
    <col min="2830" max="2830" width="9.42578125" style="122" customWidth="1"/>
    <col min="2831" max="3033" width="9.140625" style="122"/>
    <col min="3034" max="3034" width="4.85546875" style="122" customWidth="1"/>
    <col min="3035" max="3035" width="5.140625" style="122" customWidth="1"/>
    <col min="3036" max="3036" width="13.7109375" style="122" customWidth="1"/>
    <col min="3037" max="3037" width="9.42578125" style="122" customWidth="1"/>
    <col min="3038" max="3038" width="7.85546875" style="122" bestFit="1" customWidth="1"/>
    <col min="3039" max="3039" width="9.42578125" style="122" customWidth="1"/>
    <col min="3040" max="3040" width="7.42578125" style="122" customWidth="1"/>
    <col min="3041" max="3041" width="7.85546875" style="122" customWidth="1"/>
    <col min="3042" max="3042" width="11" style="122" customWidth="1"/>
    <col min="3043" max="3043" width="7.5703125" style="122" customWidth="1"/>
    <col min="3044" max="3044" width="3.28515625" style="122" customWidth="1"/>
    <col min="3045" max="3045" width="5.85546875" style="122" customWidth="1"/>
    <col min="3046" max="3046" width="6.5703125" style="122" customWidth="1"/>
    <col min="3047" max="3047" width="3.28515625" style="122" customWidth="1"/>
    <col min="3048" max="3048" width="5.85546875" style="122" customWidth="1"/>
    <col min="3049" max="3049" width="6.5703125" style="122" customWidth="1"/>
    <col min="3050" max="3050" width="3.28515625" style="122" customWidth="1"/>
    <col min="3051" max="3051" width="5.85546875" style="122" customWidth="1"/>
    <col min="3052" max="3052" width="6.5703125" style="122" customWidth="1"/>
    <col min="3053" max="3053" width="3.28515625" style="122" customWidth="1"/>
    <col min="3054" max="3054" width="5.85546875" style="122" customWidth="1"/>
    <col min="3055" max="3055" width="6.5703125" style="122" customWidth="1"/>
    <col min="3056" max="3056" width="3.28515625" style="122" customWidth="1"/>
    <col min="3057" max="3057" width="5.85546875" style="122" customWidth="1"/>
    <col min="3058" max="3058" width="6.5703125" style="122" customWidth="1"/>
    <col min="3059" max="3059" width="3.28515625" style="122" customWidth="1"/>
    <col min="3060" max="3060" width="5.85546875" style="122" customWidth="1"/>
    <col min="3061" max="3061" width="6.5703125" style="122" customWidth="1"/>
    <col min="3062" max="3062" width="3.28515625" style="122" customWidth="1"/>
    <col min="3063" max="3063" width="5.85546875" style="122" customWidth="1"/>
    <col min="3064" max="3064" width="6.5703125" style="122" customWidth="1"/>
    <col min="3065" max="3065" width="3.28515625" style="122" customWidth="1"/>
    <col min="3066" max="3066" width="5.85546875" style="122" customWidth="1"/>
    <col min="3067" max="3067" width="6.5703125" style="122" customWidth="1"/>
    <col min="3068" max="3068" width="3.28515625" style="122" customWidth="1"/>
    <col min="3069" max="3069" width="5.85546875" style="122" customWidth="1"/>
    <col min="3070" max="3070" width="6.5703125" style="122" customWidth="1"/>
    <col min="3071" max="3071" width="3.28515625" style="122" customWidth="1"/>
    <col min="3072" max="3072" width="5.85546875" style="122" customWidth="1"/>
    <col min="3073" max="3073" width="6.5703125" style="122" customWidth="1"/>
    <col min="3074" max="3074" width="3.28515625" style="122" customWidth="1"/>
    <col min="3075" max="3075" width="5.85546875" style="122" customWidth="1"/>
    <col min="3076" max="3076" width="6.5703125" style="122" customWidth="1"/>
    <col min="3077" max="3077" width="3.28515625" style="122" customWidth="1"/>
    <col min="3078" max="3078" width="5.85546875" style="122" customWidth="1"/>
    <col min="3079" max="3079" width="6.5703125" style="122" customWidth="1"/>
    <col min="3080" max="3080" width="3.28515625" style="122" customWidth="1"/>
    <col min="3081" max="3081" width="5.85546875" style="122" customWidth="1"/>
    <col min="3082" max="3082" width="6.5703125" style="122" customWidth="1"/>
    <col min="3083" max="3083" width="3.28515625" style="122" customWidth="1"/>
    <col min="3084" max="3084" width="5.85546875" style="122" customWidth="1"/>
    <col min="3085" max="3085" width="6.5703125" style="122" customWidth="1"/>
    <col min="3086" max="3086" width="9.42578125" style="122" customWidth="1"/>
    <col min="3087" max="3289" width="9.140625" style="122"/>
    <col min="3290" max="3290" width="4.85546875" style="122" customWidth="1"/>
    <col min="3291" max="3291" width="5.140625" style="122" customWidth="1"/>
    <col min="3292" max="3292" width="13.7109375" style="122" customWidth="1"/>
    <col min="3293" max="3293" width="9.42578125" style="122" customWidth="1"/>
    <col min="3294" max="3294" width="7.85546875" style="122" bestFit="1" customWidth="1"/>
    <col min="3295" max="3295" width="9.42578125" style="122" customWidth="1"/>
    <col min="3296" max="3296" width="7.42578125" style="122" customWidth="1"/>
    <col min="3297" max="3297" width="7.85546875" style="122" customWidth="1"/>
    <col min="3298" max="3298" width="11" style="122" customWidth="1"/>
    <col min="3299" max="3299" width="7.5703125" style="122" customWidth="1"/>
    <col min="3300" max="3300" width="3.28515625" style="122" customWidth="1"/>
    <col min="3301" max="3301" width="5.85546875" style="122" customWidth="1"/>
    <col min="3302" max="3302" width="6.5703125" style="122" customWidth="1"/>
    <col min="3303" max="3303" width="3.28515625" style="122" customWidth="1"/>
    <col min="3304" max="3304" width="5.85546875" style="122" customWidth="1"/>
    <col min="3305" max="3305" width="6.5703125" style="122" customWidth="1"/>
    <col min="3306" max="3306" width="3.28515625" style="122" customWidth="1"/>
    <col min="3307" max="3307" width="5.85546875" style="122" customWidth="1"/>
    <col min="3308" max="3308" width="6.5703125" style="122" customWidth="1"/>
    <col min="3309" max="3309" width="3.28515625" style="122" customWidth="1"/>
    <col min="3310" max="3310" width="5.85546875" style="122" customWidth="1"/>
    <col min="3311" max="3311" width="6.5703125" style="122" customWidth="1"/>
    <col min="3312" max="3312" width="3.28515625" style="122" customWidth="1"/>
    <col min="3313" max="3313" width="5.85546875" style="122" customWidth="1"/>
    <col min="3314" max="3314" width="6.5703125" style="122" customWidth="1"/>
    <col min="3315" max="3315" width="3.28515625" style="122" customWidth="1"/>
    <col min="3316" max="3316" width="5.85546875" style="122" customWidth="1"/>
    <col min="3317" max="3317" width="6.5703125" style="122" customWidth="1"/>
    <col min="3318" max="3318" width="3.28515625" style="122" customWidth="1"/>
    <col min="3319" max="3319" width="5.85546875" style="122" customWidth="1"/>
    <col min="3320" max="3320" width="6.5703125" style="122" customWidth="1"/>
    <col min="3321" max="3321" width="3.28515625" style="122" customWidth="1"/>
    <col min="3322" max="3322" width="5.85546875" style="122" customWidth="1"/>
    <col min="3323" max="3323" width="6.5703125" style="122" customWidth="1"/>
    <col min="3324" max="3324" width="3.28515625" style="122" customWidth="1"/>
    <col min="3325" max="3325" width="5.85546875" style="122" customWidth="1"/>
    <col min="3326" max="3326" width="6.5703125" style="122" customWidth="1"/>
    <col min="3327" max="3327" width="3.28515625" style="122" customWidth="1"/>
    <col min="3328" max="3328" width="5.85546875" style="122" customWidth="1"/>
    <col min="3329" max="3329" width="6.5703125" style="122" customWidth="1"/>
    <col min="3330" max="3330" width="3.28515625" style="122" customWidth="1"/>
    <col min="3331" max="3331" width="5.85546875" style="122" customWidth="1"/>
    <col min="3332" max="3332" width="6.5703125" style="122" customWidth="1"/>
    <col min="3333" max="3333" width="3.28515625" style="122" customWidth="1"/>
    <col min="3334" max="3334" width="5.85546875" style="122" customWidth="1"/>
    <col min="3335" max="3335" width="6.5703125" style="122" customWidth="1"/>
    <col min="3336" max="3336" width="3.28515625" style="122" customWidth="1"/>
    <col min="3337" max="3337" width="5.85546875" style="122" customWidth="1"/>
    <col min="3338" max="3338" width="6.5703125" style="122" customWidth="1"/>
    <col min="3339" max="3339" width="3.28515625" style="122" customWidth="1"/>
    <col min="3340" max="3340" width="5.85546875" style="122" customWidth="1"/>
    <col min="3341" max="3341" width="6.5703125" style="122" customWidth="1"/>
    <col min="3342" max="3342" width="9.42578125" style="122" customWidth="1"/>
    <col min="3343" max="3545" width="9.140625" style="122"/>
    <col min="3546" max="3546" width="4.85546875" style="122" customWidth="1"/>
    <col min="3547" max="3547" width="5.140625" style="122" customWidth="1"/>
    <col min="3548" max="3548" width="13.7109375" style="122" customWidth="1"/>
    <col min="3549" max="3549" width="9.42578125" style="122" customWidth="1"/>
    <col min="3550" max="3550" width="7.85546875" style="122" bestFit="1" customWidth="1"/>
    <col min="3551" max="3551" width="9.42578125" style="122" customWidth="1"/>
    <col min="3552" max="3552" width="7.42578125" style="122" customWidth="1"/>
    <col min="3553" max="3553" width="7.85546875" style="122" customWidth="1"/>
    <col min="3554" max="3554" width="11" style="122" customWidth="1"/>
    <col min="3555" max="3555" width="7.5703125" style="122" customWidth="1"/>
    <col min="3556" max="3556" width="3.28515625" style="122" customWidth="1"/>
    <col min="3557" max="3557" width="5.85546875" style="122" customWidth="1"/>
    <col min="3558" max="3558" width="6.5703125" style="122" customWidth="1"/>
    <col min="3559" max="3559" width="3.28515625" style="122" customWidth="1"/>
    <col min="3560" max="3560" width="5.85546875" style="122" customWidth="1"/>
    <col min="3561" max="3561" width="6.5703125" style="122" customWidth="1"/>
    <col min="3562" max="3562" width="3.28515625" style="122" customWidth="1"/>
    <col min="3563" max="3563" width="5.85546875" style="122" customWidth="1"/>
    <col min="3564" max="3564" width="6.5703125" style="122" customWidth="1"/>
    <col min="3565" max="3565" width="3.28515625" style="122" customWidth="1"/>
    <col min="3566" max="3566" width="5.85546875" style="122" customWidth="1"/>
    <col min="3567" max="3567" width="6.5703125" style="122" customWidth="1"/>
    <col min="3568" max="3568" width="3.28515625" style="122" customWidth="1"/>
    <col min="3569" max="3569" width="5.85546875" style="122" customWidth="1"/>
    <col min="3570" max="3570" width="6.5703125" style="122" customWidth="1"/>
    <col min="3571" max="3571" width="3.28515625" style="122" customWidth="1"/>
    <col min="3572" max="3572" width="5.85546875" style="122" customWidth="1"/>
    <col min="3573" max="3573" width="6.5703125" style="122" customWidth="1"/>
    <col min="3574" max="3574" width="3.28515625" style="122" customWidth="1"/>
    <col min="3575" max="3575" width="5.85546875" style="122" customWidth="1"/>
    <col min="3576" max="3576" width="6.5703125" style="122" customWidth="1"/>
    <col min="3577" max="3577" width="3.28515625" style="122" customWidth="1"/>
    <col min="3578" max="3578" width="5.85546875" style="122" customWidth="1"/>
    <col min="3579" max="3579" width="6.5703125" style="122" customWidth="1"/>
    <col min="3580" max="3580" width="3.28515625" style="122" customWidth="1"/>
    <col min="3581" max="3581" width="5.85546875" style="122" customWidth="1"/>
    <col min="3582" max="3582" width="6.5703125" style="122" customWidth="1"/>
    <col min="3583" max="3583" width="3.28515625" style="122" customWidth="1"/>
    <col min="3584" max="3584" width="5.85546875" style="122" customWidth="1"/>
    <col min="3585" max="3585" width="6.5703125" style="122" customWidth="1"/>
    <col min="3586" max="3586" width="3.28515625" style="122" customWidth="1"/>
    <col min="3587" max="3587" width="5.85546875" style="122" customWidth="1"/>
    <col min="3588" max="3588" width="6.5703125" style="122" customWidth="1"/>
    <col min="3589" max="3589" width="3.28515625" style="122" customWidth="1"/>
    <col min="3590" max="3590" width="5.85546875" style="122" customWidth="1"/>
    <col min="3591" max="3591" width="6.5703125" style="122" customWidth="1"/>
    <col min="3592" max="3592" width="3.28515625" style="122" customWidth="1"/>
    <col min="3593" max="3593" width="5.85546875" style="122" customWidth="1"/>
    <col min="3594" max="3594" width="6.5703125" style="122" customWidth="1"/>
    <col min="3595" max="3595" width="3.28515625" style="122" customWidth="1"/>
    <col min="3596" max="3596" width="5.85546875" style="122" customWidth="1"/>
    <col min="3597" max="3597" width="6.5703125" style="122" customWidth="1"/>
    <col min="3598" max="3598" width="9.42578125" style="122" customWidth="1"/>
    <col min="3599" max="3801" width="9.140625" style="122"/>
    <col min="3802" max="3802" width="4.85546875" style="122" customWidth="1"/>
    <col min="3803" max="3803" width="5.140625" style="122" customWidth="1"/>
    <col min="3804" max="3804" width="13.7109375" style="122" customWidth="1"/>
    <col min="3805" max="3805" width="9.42578125" style="122" customWidth="1"/>
    <col min="3806" max="3806" width="7.85546875" style="122" bestFit="1" customWidth="1"/>
    <col min="3807" max="3807" width="9.42578125" style="122" customWidth="1"/>
    <col min="3808" max="3808" width="7.42578125" style="122" customWidth="1"/>
    <col min="3809" max="3809" width="7.85546875" style="122" customWidth="1"/>
    <col min="3810" max="3810" width="11" style="122" customWidth="1"/>
    <col min="3811" max="3811" width="7.5703125" style="122" customWidth="1"/>
    <col min="3812" max="3812" width="3.28515625" style="122" customWidth="1"/>
    <col min="3813" max="3813" width="5.85546875" style="122" customWidth="1"/>
    <col min="3814" max="3814" width="6.5703125" style="122" customWidth="1"/>
    <col min="3815" max="3815" width="3.28515625" style="122" customWidth="1"/>
    <col min="3816" max="3816" width="5.85546875" style="122" customWidth="1"/>
    <col min="3817" max="3817" width="6.5703125" style="122" customWidth="1"/>
    <col min="3818" max="3818" width="3.28515625" style="122" customWidth="1"/>
    <col min="3819" max="3819" width="5.85546875" style="122" customWidth="1"/>
    <col min="3820" max="3820" width="6.5703125" style="122" customWidth="1"/>
    <col min="3821" max="3821" width="3.28515625" style="122" customWidth="1"/>
    <col min="3822" max="3822" width="5.85546875" style="122" customWidth="1"/>
    <col min="3823" max="3823" width="6.5703125" style="122" customWidth="1"/>
    <col min="3824" max="3824" width="3.28515625" style="122" customWidth="1"/>
    <col min="3825" max="3825" width="5.85546875" style="122" customWidth="1"/>
    <col min="3826" max="3826" width="6.5703125" style="122" customWidth="1"/>
    <col min="3827" max="3827" width="3.28515625" style="122" customWidth="1"/>
    <col min="3828" max="3828" width="5.85546875" style="122" customWidth="1"/>
    <col min="3829" max="3829" width="6.5703125" style="122" customWidth="1"/>
    <col min="3830" max="3830" width="3.28515625" style="122" customWidth="1"/>
    <col min="3831" max="3831" width="5.85546875" style="122" customWidth="1"/>
    <col min="3832" max="3832" width="6.5703125" style="122" customWidth="1"/>
    <col min="3833" max="3833" width="3.28515625" style="122" customWidth="1"/>
    <col min="3834" max="3834" width="5.85546875" style="122" customWidth="1"/>
    <col min="3835" max="3835" width="6.5703125" style="122" customWidth="1"/>
    <col min="3836" max="3836" width="3.28515625" style="122" customWidth="1"/>
    <col min="3837" max="3837" width="5.85546875" style="122" customWidth="1"/>
    <col min="3838" max="3838" width="6.5703125" style="122" customWidth="1"/>
    <col min="3839" max="3839" width="3.28515625" style="122" customWidth="1"/>
    <col min="3840" max="3840" width="5.85546875" style="122" customWidth="1"/>
    <col min="3841" max="3841" width="6.5703125" style="122" customWidth="1"/>
    <col min="3842" max="3842" width="3.28515625" style="122" customWidth="1"/>
    <col min="3843" max="3843" width="5.85546875" style="122" customWidth="1"/>
    <col min="3844" max="3844" width="6.5703125" style="122" customWidth="1"/>
    <col min="3845" max="3845" width="3.28515625" style="122" customWidth="1"/>
    <col min="3846" max="3846" width="5.85546875" style="122" customWidth="1"/>
    <col min="3847" max="3847" width="6.5703125" style="122" customWidth="1"/>
    <col min="3848" max="3848" width="3.28515625" style="122" customWidth="1"/>
    <col min="3849" max="3849" width="5.85546875" style="122" customWidth="1"/>
    <col min="3850" max="3850" width="6.5703125" style="122" customWidth="1"/>
    <col min="3851" max="3851" width="3.28515625" style="122" customWidth="1"/>
    <col min="3852" max="3852" width="5.85546875" style="122" customWidth="1"/>
    <col min="3853" max="3853" width="6.5703125" style="122" customWidth="1"/>
    <col min="3854" max="3854" width="9.42578125" style="122" customWidth="1"/>
    <col min="3855" max="4057" width="9.140625" style="122"/>
    <col min="4058" max="4058" width="4.85546875" style="122" customWidth="1"/>
    <col min="4059" max="4059" width="5.140625" style="122" customWidth="1"/>
    <col min="4060" max="4060" width="13.7109375" style="122" customWidth="1"/>
    <col min="4061" max="4061" width="9.42578125" style="122" customWidth="1"/>
    <col min="4062" max="4062" width="7.85546875" style="122" bestFit="1" customWidth="1"/>
    <col min="4063" max="4063" width="9.42578125" style="122" customWidth="1"/>
    <col min="4064" max="4064" width="7.42578125" style="122" customWidth="1"/>
    <col min="4065" max="4065" width="7.85546875" style="122" customWidth="1"/>
    <col min="4066" max="4066" width="11" style="122" customWidth="1"/>
    <col min="4067" max="4067" width="7.5703125" style="122" customWidth="1"/>
    <col min="4068" max="4068" width="3.28515625" style="122" customWidth="1"/>
    <col min="4069" max="4069" width="5.85546875" style="122" customWidth="1"/>
    <col min="4070" max="4070" width="6.5703125" style="122" customWidth="1"/>
    <col min="4071" max="4071" width="3.28515625" style="122" customWidth="1"/>
    <col min="4072" max="4072" width="5.85546875" style="122" customWidth="1"/>
    <col min="4073" max="4073" width="6.5703125" style="122" customWidth="1"/>
    <col min="4074" max="4074" width="3.28515625" style="122" customWidth="1"/>
    <col min="4075" max="4075" width="5.85546875" style="122" customWidth="1"/>
    <col min="4076" max="4076" width="6.5703125" style="122" customWidth="1"/>
    <col min="4077" max="4077" width="3.28515625" style="122" customWidth="1"/>
    <col min="4078" max="4078" width="5.85546875" style="122" customWidth="1"/>
    <col min="4079" max="4079" width="6.5703125" style="122" customWidth="1"/>
    <col min="4080" max="4080" width="3.28515625" style="122" customWidth="1"/>
    <col min="4081" max="4081" width="5.85546875" style="122" customWidth="1"/>
    <col min="4082" max="4082" width="6.5703125" style="122" customWidth="1"/>
    <col min="4083" max="4083" width="3.28515625" style="122" customWidth="1"/>
    <col min="4084" max="4084" width="5.85546875" style="122" customWidth="1"/>
    <col min="4085" max="4085" width="6.5703125" style="122" customWidth="1"/>
    <col min="4086" max="4086" width="3.28515625" style="122" customWidth="1"/>
    <col min="4087" max="4087" width="5.85546875" style="122" customWidth="1"/>
    <col min="4088" max="4088" width="6.5703125" style="122" customWidth="1"/>
    <col min="4089" max="4089" width="3.28515625" style="122" customWidth="1"/>
    <col min="4090" max="4090" width="5.85546875" style="122" customWidth="1"/>
    <col min="4091" max="4091" width="6.5703125" style="122" customWidth="1"/>
    <col min="4092" max="4092" width="3.28515625" style="122" customWidth="1"/>
    <col min="4093" max="4093" width="5.85546875" style="122" customWidth="1"/>
    <col min="4094" max="4094" width="6.5703125" style="122" customWidth="1"/>
    <col min="4095" max="4095" width="3.28515625" style="122" customWidth="1"/>
    <col min="4096" max="4096" width="5.85546875" style="122" customWidth="1"/>
    <col min="4097" max="4097" width="6.5703125" style="122" customWidth="1"/>
    <col min="4098" max="4098" width="3.28515625" style="122" customWidth="1"/>
    <col min="4099" max="4099" width="5.85546875" style="122" customWidth="1"/>
    <col min="4100" max="4100" width="6.5703125" style="122" customWidth="1"/>
    <col min="4101" max="4101" width="3.28515625" style="122" customWidth="1"/>
    <col min="4102" max="4102" width="5.85546875" style="122" customWidth="1"/>
    <col min="4103" max="4103" width="6.5703125" style="122" customWidth="1"/>
    <col min="4104" max="4104" width="3.28515625" style="122" customWidth="1"/>
    <col min="4105" max="4105" width="5.85546875" style="122" customWidth="1"/>
    <col min="4106" max="4106" width="6.5703125" style="122" customWidth="1"/>
    <col min="4107" max="4107" width="3.28515625" style="122" customWidth="1"/>
    <col min="4108" max="4108" width="5.85546875" style="122" customWidth="1"/>
    <col min="4109" max="4109" width="6.5703125" style="122" customWidth="1"/>
    <col min="4110" max="4110" width="9.42578125" style="122" customWidth="1"/>
    <col min="4111" max="4313" width="9.140625" style="122"/>
    <col min="4314" max="4314" width="4.85546875" style="122" customWidth="1"/>
    <col min="4315" max="4315" width="5.140625" style="122" customWidth="1"/>
    <col min="4316" max="4316" width="13.7109375" style="122" customWidth="1"/>
    <col min="4317" max="4317" width="9.42578125" style="122" customWidth="1"/>
    <col min="4318" max="4318" width="7.85546875" style="122" bestFit="1" customWidth="1"/>
    <col min="4319" max="4319" width="9.42578125" style="122" customWidth="1"/>
    <col min="4320" max="4320" width="7.42578125" style="122" customWidth="1"/>
    <col min="4321" max="4321" width="7.85546875" style="122" customWidth="1"/>
    <col min="4322" max="4322" width="11" style="122" customWidth="1"/>
    <col min="4323" max="4323" width="7.5703125" style="122" customWidth="1"/>
    <col min="4324" max="4324" width="3.28515625" style="122" customWidth="1"/>
    <col min="4325" max="4325" width="5.85546875" style="122" customWidth="1"/>
    <col min="4326" max="4326" width="6.5703125" style="122" customWidth="1"/>
    <col min="4327" max="4327" width="3.28515625" style="122" customWidth="1"/>
    <col min="4328" max="4328" width="5.85546875" style="122" customWidth="1"/>
    <col min="4329" max="4329" width="6.5703125" style="122" customWidth="1"/>
    <col min="4330" max="4330" width="3.28515625" style="122" customWidth="1"/>
    <col min="4331" max="4331" width="5.85546875" style="122" customWidth="1"/>
    <col min="4332" max="4332" width="6.5703125" style="122" customWidth="1"/>
    <col min="4333" max="4333" width="3.28515625" style="122" customWidth="1"/>
    <col min="4334" max="4334" width="5.85546875" style="122" customWidth="1"/>
    <col min="4335" max="4335" width="6.5703125" style="122" customWidth="1"/>
    <col min="4336" max="4336" width="3.28515625" style="122" customWidth="1"/>
    <col min="4337" max="4337" width="5.85546875" style="122" customWidth="1"/>
    <col min="4338" max="4338" width="6.5703125" style="122" customWidth="1"/>
    <col min="4339" max="4339" width="3.28515625" style="122" customWidth="1"/>
    <col min="4340" max="4340" width="5.85546875" style="122" customWidth="1"/>
    <col min="4341" max="4341" width="6.5703125" style="122" customWidth="1"/>
    <col min="4342" max="4342" width="3.28515625" style="122" customWidth="1"/>
    <col min="4343" max="4343" width="5.85546875" style="122" customWidth="1"/>
    <col min="4344" max="4344" width="6.5703125" style="122" customWidth="1"/>
    <col min="4345" max="4345" width="3.28515625" style="122" customWidth="1"/>
    <col min="4346" max="4346" width="5.85546875" style="122" customWidth="1"/>
    <col min="4347" max="4347" width="6.5703125" style="122" customWidth="1"/>
    <col min="4348" max="4348" width="3.28515625" style="122" customWidth="1"/>
    <col min="4349" max="4349" width="5.85546875" style="122" customWidth="1"/>
    <col min="4350" max="4350" width="6.5703125" style="122" customWidth="1"/>
    <col min="4351" max="4351" width="3.28515625" style="122" customWidth="1"/>
    <col min="4352" max="4352" width="5.85546875" style="122" customWidth="1"/>
    <col min="4353" max="4353" width="6.5703125" style="122" customWidth="1"/>
    <col min="4354" max="4354" width="3.28515625" style="122" customWidth="1"/>
    <col min="4355" max="4355" width="5.85546875" style="122" customWidth="1"/>
    <col min="4356" max="4356" width="6.5703125" style="122" customWidth="1"/>
    <col min="4357" max="4357" width="3.28515625" style="122" customWidth="1"/>
    <col min="4358" max="4358" width="5.85546875" style="122" customWidth="1"/>
    <col min="4359" max="4359" width="6.5703125" style="122" customWidth="1"/>
    <col min="4360" max="4360" width="3.28515625" style="122" customWidth="1"/>
    <col min="4361" max="4361" width="5.85546875" style="122" customWidth="1"/>
    <col min="4362" max="4362" width="6.5703125" style="122" customWidth="1"/>
    <col min="4363" max="4363" width="3.28515625" style="122" customWidth="1"/>
    <col min="4364" max="4364" width="5.85546875" style="122" customWidth="1"/>
    <col min="4365" max="4365" width="6.5703125" style="122" customWidth="1"/>
    <col min="4366" max="4366" width="9.42578125" style="122" customWidth="1"/>
    <col min="4367" max="4569" width="9.140625" style="122"/>
    <col min="4570" max="4570" width="4.85546875" style="122" customWidth="1"/>
    <col min="4571" max="4571" width="5.140625" style="122" customWidth="1"/>
    <col min="4572" max="4572" width="13.7109375" style="122" customWidth="1"/>
    <col min="4573" max="4573" width="9.42578125" style="122" customWidth="1"/>
    <col min="4574" max="4574" width="7.85546875" style="122" bestFit="1" customWidth="1"/>
    <col min="4575" max="4575" width="9.42578125" style="122" customWidth="1"/>
    <col min="4576" max="4576" width="7.42578125" style="122" customWidth="1"/>
    <col min="4577" max="4577" width="7.85546875" style="122" customWidth="1"/>
    <col min="4578" max="4578" width="11" style="122" customWidth="1"/>
    <col min="4579" max="4579" width="7.5703125" style="122" customWidth="1"/>
    <col min="4580" max="4580" width="3.28515625" style="122" customWidth="1"/>
    <col min="4581" max="4581" width="5.85546875" style="122" customWidth="1"/>
    <col min="4582" max="4582" width="6.5703125" style="122" customWidth="1"/>
    <col min="4583" max="4583" width="3.28515625" style="122" customWidth="1"/>
    <col min="4584" max="4584" width="5.85546875" style="122" customWidth="1"/>
    <col min="4585" max="4585" width="6.5703125" style="122" customWidth="1"/>
    <col min="4586" max="4586" width="3.28515625" style="122" customWidth="1"/>
    <col min="4587" max="4587" width="5.85546875" style="122" customWidth="1"/>
    <col min="4588" max="4588" width="6.5703125" style="122" customWidth="1"/>
    <col min="4589" max="4589" width="3.28515625" style="122" customWidth="1"/>
    <col min="4590" max="4590" width="5.85546875" style="122" customWidth="1"/>
    <col min="4591" max="4591" width="6.5703125" style="122" customWidth="1"/>
    <col min="4592" max="4592" width="3.28515625" style="122" customWidth="1"/>
    <col min="4593" max="4593" width="5.85546875" style="122" customWidth="1"/>
    <col min="4594" max="4594" width="6.5703125" style="122" customWidth="1"/>
    <col min="4595" max="4595" width="3.28515625" style="122" customWidth="1"/>
    <col min="4596" max="4596" width="5.85546875" style="122" customWidth="1"/>
    <col min="4597" max="4597" width="6.5703125" style="122" customWidth="1"/>
    <col min="4598" max="4598" width="3.28515625" style="122" customWidth="1"/>
    <col min="4599" max="4599" width="5.85546875" style="122" customWidth="1"/>
    <col min="4600" max="4600" width="6.5703125" style="122" customWidth="1"/>
    <col min="4601" max="4601" width="3.28515625" style="122" customWidth="1"/>
    <col min="4602" max="4602" width="5.85546875" style="122" customWidth="1"/>
    <col min="4603" max="4603" width="6.5703125" style="122" customWidth="1"/>
    <col min="4604" max="4604" width="3.28515625" style="122" customWidth="1"/>
    <col min="4605" max="4605" width="5.85546875" style="122" customWidth="1"/>
    <col min="4606" max="4606" width="6.5703125" style="122" customWidth="1"/>
    <col min="4607" max="4607" width="3.28515625" style="122" customWidth="1"/>
    <col min="4608" max="4608" width="5.85546875" style="122" customWidth="1"/>
    <col min="4609" max="4609" width="6.5703125" style="122" customWidth="1"/>
    <col min="4610" max="4610" width="3.28515625" style="122" customWidth="1"/>
    <col min="4611" max="4611" width="5.85546875" style="122" customWidth="1"/>
    <col min="4612" max="4612" width="6.5703125" style="122" customWidth="1"/>
    <col min="4613" max="4613" width="3.28515625" style="122" customWidth="1"/>
    <col min="4614" max="4614" width="5.85546875" style="122" customWidth="1"/>
    <col min="4615" max="4615" width="6.5703125" style="122" customWidth="1"/>
    <col min="4616" max="4616" width="3.28515625" style="122" customWidth="1"/>
    <col min="4617" max="4617" width="5.85546875" style="122" customWidth="1"/>
    <col min="4618" max="4618" width="6.5703125" style="122" customWidth="1"/>
    <col min="4619" max="4619" width="3.28515625" style="122" customWidth="1"/>
    <col min="4620" max="4620" width="5.85546875" style="122" customWidth="1"/>
    <col min="4621" max="4621" width="6.5703125" style="122" customWidth="1"/>
    <col min="4622" max="4622" width="9.42578125" style="122" customWidth="1"/>
    <col min="4623" max="4825" width="9.140625" style="122"/>
    <col min="4826" max="4826" width="4.85546875" style="122" customWidth="1"/>
    <col min="4827" max="4827" width="5.140625" style="122" customWidth="1"/>
    <col min="4828" max="4828" width="13.7109375" style="122" customWidth="1"/>
    <col min="4829" max="4829" width="9.42578125" style="122" customWidth="1"/>
    <col min="4830" max="4830" width="7.85546875" style="122" bestFit="1" customWidth="1"/>
    <col min="4831" max="4831" width="9.42578125" style="122" customWidth="1"/>
    <col min="4832" max="4832" width="7.42578125" style="122" customWidth="1"/>
    <col min="4833" max="4833" width="7.85546875" style="122" customWidth="1"/>
    <col min="4834" max="4834" width="11" style="122" customWidth="1"/>
    <col min="4835" max="4835" width="7.5703125" style="122" customWidth="1"/>
    <col min="4836" max="4836" width="3.28515625" style="122" customWidth="1"/>
    <col min="4837" max="4837" width="5.85546875" style="122" customWidth="1"/>
    <col min="4838" max="4838" width="6.5703125" style="122" customWidth="1"/>
    <col min="4839" max="4839" width="3.28515625" style="122" customWidth="1"/>
    <col min="4840" max="4840" width="5.85546875" style="122" customWidth="1"/>
    <col min="4841" max="4841" width="6.5703125" style="122" customWidth="1"/>
    <col min="4842" max="4842" width="3.28515625" style="122" customWidth="1"/>
    <col min="4843" max="4843" width="5.85546875" style="122" customWidth="1"/>
    <col min="4844" max="4844" width="6.5703125" style="122" customWidth="1"/>
    <col min="4845" max="4845" width="3.28515625" style="122" customWidth="1"/>
    <col min="4846" max="4846" width="5.85546875" style="122" customWidth="1"/>
    <col min="4847" max="4847" width="6.5703125" style="122" customWidth="1"/>
    <col min="4848" max="4848" width="3.28515625" style="122" customWidth="1"/>
    <col min="4849" max="4849" width="5.85546875" style="122" customWidth="1"/>
    <col min="4850" max="4850" width="6.5703125" style="122" customWidth="1"/>
    <col min="4851" max="4851" width="3.28515625" style="122" customWidth="1"/>
    <col min="4852" max="4852" width="5.85546875" style="122" customWidth="1"/>
    <col min="4853" max="4853" width="6.5703125" style="122" customWidth="1"/>
    <col min="4854" max="4854" width="3.28515625" style="122" customWidth="1"/>
    <col min="4855" max="4855" width="5.85546875" style="122" customWidth="1"/>
    <col min="4856" max="4856" width="6.5703125" style="122" customWidth="1"/>
    <col min="4857" max="4857" width="3.28515625" style="122" customWidth="1"/>
    <col min="4858" max="4858" width="5.85546875" style="122" customWidth="1"/>
    <col min="4859" max="4859" width="6.5703125" style="122" customWidth="1"/>
    <col min="4860" max="4860" width="3.28515625" style="122" customWidth="1"/>
    <col min="4861" max="4861" width="5.85546875" style="122" customWidth="1"/>
    <col min="4862" max="4862" width="6.5703125" style="122" customWidth="1"/>
    <col min="4863" max="4863" width="3.28515625" style="122" customWidth="1"/>
    <col min="4864" max="4864" width="5.85546875" style="122" customWidth="1"/>
    <col min="4865" max="4865" width="6.5703125" style="122" customWidth="1"/>
    <col min="4866" max="4866" width="3.28515625" style="122" customWidth="1"/>
    <col min="4867" max="4867" width="5.85546875" style="122" customWidth="1"/>
    <col min="4868" max="4868" width="6.5703125" style="122" customWidth="1"/>
    <col min="4869" max="4869" width="3.28515625" style="122" customWidth="1"/>
    <col min="4870" max="4870" width="5.85546875" style="122" customWidth="1"/>
    <col min="4871" max="4871" width="6.5703125" style="122" customWidth="1"/>
    <col min="4872" max="4872" width="3.28515625" style="122" customWidth="1"/>
    <col min="4873" max="4873" width="5.85546875" style="122" customWidth="1"/>
    <col min="4874" max="4874" width="6.5703125" style="122" customWidth="1"/>
    <col min="4875" max="4875" width="3.28515625" style="122" customWidth="1"/>
    <col min="4876" max="4876" width="5.85546875" style="122" customWidth="1"/>
    <col min="4877" max="4877" width="6.5703125" style="122" customWidth="1"/>
    <col min="4878" max="4878" width="9.42578125" style="122" customWidth="1"/>
    <col min="4879" max="5081" width="9.140625" style="122"/>
    <col min="5082" max="5082" width="4.85546875" style="122" customWidth="1"/>
    <col min="5083" max="5083" width="5.140625" style="122" customWidth="1"/>
    <col min="5084" max="5084" width="13.7109375" style="122" customWidth="1"/>
    <col min="5085" max="5085" width="9.42578125" style="122" customWidth="1"/>
    <col min="5086" max="5086" width="7.85546875" style="122" bestFit="1" customWidth="1"/>
    <col min="5087" max="5087" width="9.42578125" style="122" customWidth="1"/>
    <col min="5088" max="5088" width="7.42578125" style="122" customWidth="1"/>
    <col min="5089" max="5089" width="7.85546875" style="122" customWidth="1"/>
    <col min="5090" max="5090" width="11" style="122" customWidth="1"/>
    <col min="5091" max="5091" width="7.5703125" style="122" customWidth="1"/>
    <col min="5092" max="5092" width="3.28515625" style="122" customWidth="1"/>
    <col min="5093" max="5093" width="5.85546875" style="122" customWidth="1"/>
    <col min="5094" max="5094" width="6.5703125" style="122" customWidth="1"/>
    <col min="5095" max="5095" width="3.28515625" style="122" customWidth="1"/>
    <col min="5096" max="5096" width="5.85546875" style="122" customWidth="1"/>
    <col min="5097" max="5097" width="6.5703125" style="122" customWidth="1"/>
    <col min="5098" max="5098" width="3.28515625" style="122" customWidth="1"/>
    <col min="5099" max="5099" width="5.85546875" style="122" customWidth="1"/>
    <col min="5100" max="5100" width="6.5703125" style="122" customWidth="1"/>
    <col min="5101" max="5101" width="3.28515625" style="122" customWidth="1"/>
    <col min="5102" max="5102" width="5.85546875" style="122" customWidth="1"/>
    <col min="5103" max="5103" width="6.5703125" style="122" customWidth="1"/>
    <col min="5104" max="5104" width="3.28515625" style="122" customWidth="1"/>
    <col min="5105" max="5105" width="5.85546875" style="122" customWidth="1"/>
    <col min="5106" max="5106" width="6.5703125" style="122" customWidth="1"/>
    <col min="5107" max="5107" width="3.28515625" style="122" customWidth="1"/>
    <col min="5108" max="5108" width="5.85546875" style="122" customWidth="1"/>
    <col min="5109" max="5109" width="6.5703125" style="122" customWidth="1"/>
    <col min="5110" max="5110" width="3.28515625" style="122" customWidth="1"/>
    <col min="5111" max="5111" width="5.85546875" style="122" customWidth="1"/>
    <col min="5112" max="5112" width="6.5703125" style="122" customWidth="1"/>
    <col min="5113" max="5113" width="3.28515625" style="122" customWidth="1"/>
    <col min="5114" max="5114" width="5.85546875" style="122" customWidth="1"/>
    <col min="5115" max="5115" width="6.5703125" style="122" customWidth="1"/>
    <col min="5116" max="5116" width="3.28515625" style="122" customWidth="1"/>
    <col min="5117" max="5117" width="5.85546875" style="122" customWidth="1"/>
    <col min="5118" max="5118" width="6.5703125" style="122" customWidth="1"/>
    <col min="5119" max="5119" width="3.28515625" style="122" customWidth="1"/>
    <col min="5120" max="5120" width="5.85546875" style="122" customWidth="1"/>
    <col min="5121" max="5121" width="6.5703125" style="122" customWidth="1"/>
    <col min="5122" max="5122" width="3.28515625" style="122" customWidth="1"/>
    <col min="5123" max="5123" width="5.85546875" style="122" customWidth="1"/>
    <col min="5124" max="5124" width="6.5703125" style="122" customWidth="1"/>
    <col min="5125" max="5125" width="3.28515625" style="122" customWidth="1"/>
    <col min="5126" max="5126" width="5.85546875" style="122" customWidth="1"/>
    <col min="5127" max="5127" width="6.5703125" style="122" customWidth="1"/>
    <col min="5128" max="5128" width="3.28515625" style="122" customWidth="1"/>
    <col min="5129" max="5129" width="5.85546875" style="122" customWidth="1"/>
    <col min="5130" max="5130" width="6.5703125" style="122" customWidth="1"/>
    <col min="5131" max="5131" width="3.28515625" style="122" customWidth="1"/>
    <col min="5132" max="5132" width="5.85546875" style="122" customWidth="1"/>
    <col min="5133" max="5133" width="6.5703125" style="122" customWidth="1"/>
    <col min="5134" max="5134" width="9.42578125" style="122" customWidth="1"/>
    <col min="5135" max="5337" width="9.140625" style="122"/>
    <col min="5338" max="5338" width="4.85546875" style="122" customWidth="1"/>
    <col min="5339" max="5339" width="5.140625" style="122" customWidth="1"/>
    <col min="5340" max="5340" width="13.7109375" style="122" customWidth="1"/>
    <col min="5341" max="5341" width="9.42578125" style="122" customWidth="1"/>
    <col min="5342" max="5342" width="7.85546875" style="122" bestFit="1" customWidth="1"/>
    <col min="5343" max="5343" width="9.42578125" style="122" customWidth="1"/>
    <col min="5344" max="5344" width="7.42578125" style="122" customWidth="1"/>
    <col min="5345" max="5345" width="7.85546875" style="122" customWidth="1"/>
    <col min="5346" max="5346" width="11" style="122" customWidth="1"/>
    <col min="5347" max="5347" width="7.5703125" style="122" customWidth="1"/>
    <col min="5348" max="5348" width="3.28515625" style="122" customWidth="1"/>
    <col min="5349" max="5349" width="5.85546875" style="122" customWidth="1"/>
    <col min="5350" max="5350" width="6.5703125" style="122" customWidth="1"/>
    <col min="5351" max="5351" width="3.28515625" style="122" customWidth="1"/>
    <col min="5352" max="5352" width="5.85546875" style="122" customWidth="1"/>
    <col min="5353" max="5353" width="6.5703125" style="122" customWidth="1"/>
    <col min="5354" max="5354" width="3.28515625" style="122" customWidth="1"/>
    <col min="5355" max="5355" width="5.85546875" style="122" customWidth="1"/>
    <col min="5356" max="5356" width="6.5703125" style="122" customWidth="1"/>
    <col min="5357" max="5357" width="3.28515625" style="122" customWidth="1"/>
    <col min="5358" max="5358" width="5.85546875" style="122" customWidth="1"/>
    <col min="5359" max="5359" width="6.5703125" style="122" customWidth="1"/>
    <col min="5360" max="5360" width="3.28515625" style="122" customWidth="1"/>
    <col min="5361" max="5361" width="5.85546875" style="122" customWidth="1"/>
    <col min="5362" max="5362" width="6.5703125" style="122" customWidth="1"/>
    <col min="5363" max="5363" width="3.28515625" style="122" customWidth="1"/>
    <col min="5364" max="5364" width="5.85546875" style="122" customWidth="1"/>
    <col min="5365" max="5365" width="6.5703125" style="122" customWidth="1"/>
    <col min="5366" max="5366" width="3.28515625" style="122" customWidth="1"/>
    <col min="5367" max="5367" width="5.85546875" style="122" customWidth="1"/>
    <col min="5368" max="5368" width="6.5703125" style="122" customWidth="1"/>
    <col min="5369" max="5369" width="3.28515625" style="122" customWidth="1"/>
    <col min="5370" max="5370" width="5.85546875" style="122" customWidth="1"/>
    <col min="5371" max="5371" width="6.5703125" style="122" customWidth="1"/>
    <col min="5372" max="5372" width="3.28515625" style="122" customWidth="1"/>
    <col min="5373" max="5373" width="5.85546875" style="122" customWidth="1"/>
    <col min="5374" max="5374" width="6.5703125" style="122" customWidth="1"/>
    <col min="5375" max="5375" width="3.28515625" style="122" customWidth="1"/>
    <col min="5376" max="5376" width="5.85546875" style="122" customWidth="1"/>
    <col min="5377" max="5377" width="6.5703125" style="122" customWidth="1"/>
    <col min="5378" max="5378" width="3.28515625" style="122" customWidth="1"/>
    <col min="5379" max="5379" width="5.85546875" style="122" customWidth="1"/>
    <col min="5380" max="5380" width="6.5703125" style="122" customWidth="1"/>
    <col min="5381" max="5381" width="3.28515625" style="122" customWidth="1"/>
    <col min="5382" max="5382" width="5.85546875" style="122" customWidth="1"/>
    <col min="5383" max="5383" width="6.5703125" style="122" customWidth="1"/>
    <col min="5384" max="5384" width="3.28515625" style="122" customWidth="1"/>
    <col min="5385" max="5385" width="5.85546875" style="122" customWidth="1"/>
    <col min="5386" max="5386" width="6.5703125" style="122" customWidth="1"/>
    <col min="5387" max="5387" width="3.28515625" style="122" customWidth="1"/>
    <col min="5388" max="5388" width="5.85546875" style="122" customWidth="1"/>
    <col min="5389" max="5389" width="6.5703125" style="122" customWidth="1"/>
    <col min="5390" max="5390" width="9.42578125" style="122" customWidth="1"/>
    <col min="5391" max="5593" width="9.140625" style="122"/>
    <col min="5594" max="5594" width="4.85546875" style="122" customWidth="1"/>
    <col min="5595" max="5595" width="5.140625" style="122" customWidth="1"/>
    <col min="5596" max="5596" width="13.7109375" style="122" customWidth="1"/>
    <col min="5597" max="5597" width="9.42578125" style="122" customWidth="1"/>
    <col min="5598" max="5598" width="7.85546875" style="122" bestFit="1" customWidth="1"/>
    <col min="5599" max="5599" width="9.42578125" style="122" customWidth="1"/>
    <col min="5600" max="5600" width="7.42578125" style="122" customWidth="1"/>
    <col min="5601" max="5601" width="7.85546875" style="122" customWidth="1"/>
    <col min="5602" max="5602" width="11" style="122" customWidth="1"/>
    <col min="5603" max="5603" width="7.5703125" style="122" customWidth="1"/>
    <col min="5604" max="5604" width="3.28515625" style="122" customWidth="1"/>
    <col min="5605" max="5605" width="5.85546875" style="122" customWidth="1"/>
    <col min="5606" max="5606" width="6.5703125" style="122" customWidth="1"/>
    <col min="5607" max="5607" width="3.28515625" style="122" customWidth="1"/>
    <col min="5608" max="5608" width="5.85546875" style="122" customWidth="1"/>
    <col min="5609" max="5609" width="6.5703125" style="122" customWidth="1"/>
    <col min="5610" max="5610" width="3.28515625" style="122" customWidth="1"/>
    <col min="5611" max="5611" width="5.85546875" style="122" customWidth="1"/>
    <col min="5612" max="5612" width="6.5703125" style="122" customWidth="1"/>
    <col min="5613" max="5613" width="3.28515625" style="122" customWidth="1"/>
    <col min="5614" max="5614" width="5.85546875" style="122" customWidth="1"/>
    <col min="5615" max="5615" width="6.5703125" style="122" customWidth="1"/>
    <col min="5616" max="5616" width="3.28515625" style="122" customWidth="1"/>
    <col min="5617" max="5617" width="5.85546875" style="122" customWidth="1"/>
    <col min="5618" max="5618" width="6.5703125" style="122" customWidth="1"/>
    <col min="5619" max="5619" width="3.28515625" style="122" customWidth="1"/>
    <col min="5620" max="5620" width="5.85546875" style="122" customWidth="1"/>
    <col min="5621" max="5621" width="6.5703125" style="122" customWidth="1"/>
    <col min="5622" max="5622" width="3.28515625" style="122" customWidth="1"/>
    <col min="5623" max="5623" width="5.85546875" style="122" customWidth="1"/>
    <col min="5624" max="5624" width="6.5703125" style="122" customWidth="1"/>
    <col min="5625" max="5625" width="3.28515625" style="122" customWidth="1"/>
    <col min="5626" max="5626" width="5.85546875" style="122" customWidth="1"/>
    <col min="5627" max="5627" width="6.5703125" style="122" customWidth="1"/>
    <col min="5628" max="5628" width="3.28515625" style="122" customWidth="1"/>
    <col min="5629" max="5629" width="5.85546875" style="122" customWidth="1"/>
    <col min="5630" max="5630" width="6.5703125" style="122" customWidth="1"/>
    <col min="5631" max="5631" width="3.28515625" style="122" customWidth="1"/>
    <col min="5632" max="5632" width="5.85546875" style="122" customWidth="1"/>
    <col min="5633" max="5633" width="6.5703125" style="122" customWidth="1"/>
    <col min="5634" max="5634" width="3.28515625" style="122" customWidth="1"/>
    <col min="5635" max="5635" width="5.85546875" style="122" customWidth="1"/>
    <col min="5636" max="5636" width="6.5703125" style="122" customWidth="1"/>
    <col min="5637" max="5637" width="3.28515625" style="122" customWidth="1"/>
    <col min="5638" max="5638" width="5.85546875" style="122" customWidth="1"/>
    <col min="5639" max="5639" width="6.5703125" style="122" customWidth="1"/>
    <col min="5640" max="5640" width="3.28515625" style="122" customWidth="1"/>
    <col min="5641" max="5641" width="5.85546875" style="122" customWidth="1"/>
    <col min="5642" max="5642" width="6.5703125" style="122" customWidth="1"/>
    <col min="5643" max="5643" width="3.28515625" style="122" customWidth="1"/>
    <col min="5644" max="5644" width="5.85546875" style="122" customWidth="1"/>
    <col min="5645" max="5645" width="6.5703125" style="122" customWidth="1"/>
    <col min="5646" max="5646" width="9.42578125" style="122" customWidth="1"/>
    <col min="5647" max="5849" width="9.140625" style="122"/>
    <col min="5850" max="5850" width="4.85546875" style="122" customWidth="1"/>
    <col min="5851" max="5851" width="5.140625" style="122" customWidth="1"/>
    <col min="5852" max="5852" width="13.7109375" style="122" customWidth="1"/>
    <col min="5853" max="5853" width="9.42578125" style="122" customWidth="1"/>
    <col min="5854" max="5854" width="7.85546875" style="122" bestFit="1" customWidth="1"/>
    <col min="5855" max="5855" width="9.42578125" style="122" customWidth="1"/>
    <col min="5856" max="5856" width="7.42578125" style="122" customWidth="1"/>
    <col min="5857" max="5857" width="7.85546875" style="122" customWidth="1"/>
    <col min="5858" max="5858" width="11" style="122" customWidth="1"/>
    <col min="5859" max="5859" width="7.5703125" style="122" customWidth="1"/>
    <col min="5860" max="5860" width="3.28515625" style="122" customWidth="1"/>
    <col min="5861" max="5861" width="5.85546875" style="122" customWidth="1"/>
    <col min="5862" max="5862" width="6.5703125" style="122" customWidth="1"/>
    <col min="5863" max="5863" width="3.28515625" style="122" customWidth="1"/>
    <col min="5864" max="5864" width="5.85546875" style="122" customWidth="1"/>
    <col min="5865" max="5865" width="6.5703125" style="122" customWidth="1"/>
    <col min="5866" max="5866" width="3.28515625" style="122" customWidth="1"/>
    <col min="5867" max="5867" width="5.85546875" style="122" customWidth="1"/>
    <col min="5868" max="5868" width="6.5703125" style="122" customWidth="1"/>
    <col min="5869" max="5869" width="3.28515625" style="122" customWidth="1"/>
    <col min="5870" max="5870" width="5.85546875" style="122" customWidth="1"/>
    <col min="5871" max="5871" width="6.5703125" style="122" customWidth="1"/>
    <col min="5872" max="5872" width="3.28515625" style="122" customWidth="1"/>
    <col min="5873" max="5873" width="5.85546875" style="122" customWidth="1"/>
    <col min="5874" max="5874" width="6.5703125" style="122" customWidth="1"/>
    <col min="5875" max="5875" width="3.28515625" style="122" customWidth="1"/>
    <col min="5876" max="5876" width="5.85546875" style="122" customWidth="1"/>
    <col min="5877" max="5877" width="6.5703125" style="122" customWidth="1"/>
    <col min="5878" max="5878" width="3.28515625" style="122" customWidth="1"/>
    <col min="5879" max="5879" width="5.85546875" style="122" customWidth="1"/>
    <col min="5880" max="5880" width="6.5703125" style="122" customWidth="1"/>
    <col min="5881" max="5881" width="3.28515625" style="122" customWidth="1"/>
    <col min="5882" max="5882" width="5.85546875" style="122" customWidth="1"/>
    <col min="5883" max="5883" width="6.5703125" style="122" customWidth="1"/>
    <col min="5884" max="5884" width="3.28515625" style="122" customWidth="1"/>
    <col min="5885" max="5885" width="5.85546875" style="122" customWidth="1"/>
    <col min="5886" max="5886" width="6.5703125" style="122" customWidth="1"/>
    <col min="5887" max="5887" width="3.28515625" style="122" customWidth="1"/>
    <col min="5888" max="5888" width="5.85546875" style="122" customWidth="1"/>
    <col min="5889" max="5889" width="6.5703125" style="122" customWidth="1"/>
    <col min="5890" max="5890" width="3.28515625" style="122" customWidth="1"/>
    <col min="5891" max="5891" width="5.85546875" style="122" customWidth="1"/>
    <col min="5892" max="5892" width="6.5703125" style="122" customWidth="1"/>
    <col min="5893" max="5893" width="3.28515625" style="122" customWidth="1"/>
    <col min="5894" max="5894" width="5.85546875" style="122" customWidth="1"/>
    <col min="5895" max="5895" width="6.5703125" style="122" customWidth="1"/>
    <col min="5896" max="5896" width="3.28515625" style="122" customWidth="1"/>
    <col min="5897" max="5897" width="5.85546875" style="122" customWidth="1"/>
    <col min="5898" max="5898" width="6.5703125" style="122" customWidth="1"/>
    <col min="5899" max="5899" width="3.28515625" style="122" customWidth="1"/>
    <col min="5900" max="5900" width="5.85546875" style="122" customWidth="1"/>
    <col min="5901" max="5901" width="6.5703125" style="122" customWidth="1"/>
    <col min="5902" max="5902" width="9.42578125" style="122" customWidth="1"/>
    <col min="5903" max="6105" width="9.140625" style="122"/>
    <col min="6106" max="6106" width="4.85546875" style="122" customWidth="1"/>
    <col min="6107" max="6107" width="5.140625" style="122" customWidth="1"/>
    <col min="6108" max="6108" width="13.7109375" style="122" customWidth="1"/>
    <col min="6109" max="6109" width="9.42578125" style="122" customWidth="1"/>
    <col min="6110" max="6110" width="7.85546875" style="122" bestFit="1" customWidth="1"/>
    <col min="6111" max="6111" width="9.42578125" style="122" customWidth="1"/>
    <col min="6112" max="6112" width="7.42578125" style="122" customWidth="1"/>
    <col min="6113" max="6113" width="7.85546875" style="122" customWidth="1"/>
    <col min="6114" max="6114" width="11" style="122" customWidth="1"/>
    <col min="6115" max="6115" width="7.5703125" style="122" customWidth="1"/>
    <col min="6116" max="6116" width="3.28515625" style="122" customWidth="1"/>
    <col min="6117" max="6117" width="5.85546875" style="122" customWidth="1"/>
    <col min="6118" max="6118" width="6.5703125" style="122" customWidth="1"/>
    <col min="6119" max="6119" width="3.28515625" style="122" customWidth="1"/>
    <col min="6120" max="6120" width="5.85546875" style="122" customWidth="1"/>
    <col min="6121" max="6121" width="6.5703125" style="122" customWidth="1"/>
    <col min="6122" max="6122" width="3.28515625" style="122" customWidth="1"/>
    <col min="6123" max="6123" width="5.85546875" style="122" customWidth="1"/>
    <col min="6124" max="6124" width="6.5703125" style="122" customWidth="1"/>
    <col min="6125" max="6125" width="3.28515625" style="122" customWidth="1"/>
    <col min="6126" max="6126" width="5.85546875" style="122" customWidth="1"/>
    <col min="6127" max="6127" width="6.5703125" style="122" customWidth="1"/>
    <col min="6128" max="6128" width="3.28515625" style="122" customWidth="1"/>
    <col min="6129" max="6129" width="5.85546875" style="122" customWidth="1"/>
    <col min="6130" max="6130" width="6.5703125" style="122" customWidth="1"/>
    <col min="6131" max="6131" width="3.28515625" style="122" customWidth="1"/>
    <col min="6132" max="6132" width="5.85546875" style="122" customWidth="1"/>
    <col min="6133" max="6133" width="6.5703125" style="122" customWidth="1"/>
    <col min="6134" max="6134" width="3.28515625" style="122" customWidth="1"/>
    <col min="6135" max="6135" width="5.85546875" style="122" customWidth="1"/>
    <col min="6136" max="6136" width="6.5703125" style="122" customWidth="1"/>
    <col min="6137" max="6137" width="3.28515625" style="122" customWidth="1"/>
    <col min="6138" max="6138" width="5.85546875" style="122" customWidth="1"/>
    <col min="6139" max="6139" width="6.5703125" style="122" customWidth="1"/>
    <col min="6140" max="6140" width="3.28515625" style="122" customWidth="1"/>
    <col min="6141" max="6141" width="5.85546875" style="122" customWidth="1"/>
    <col min="6142" max="6142" width="6.5703125" style="122" customWidth="1"/>
    <col min="6143" max="6143" width="3.28515625" style="122" customWidth="1"/>
    <col min="6144" max="6144" width="5.85546875" style="122" customWidth="1"/>
    <col min="6145" max="6145" width="6.5703125" style="122" customWidth="1"/>
    <col min="6146" max="6146" width="3.28515625" style="122" customWidth="1"/>
    <col min="6147" max="6147" width="5.85546875" style="122" customWidth="1"/>
    <col min="6148" max="6148" width="6.5703125" style="122" customWidth="1"/>
    <col min="6149" max="6149" width="3.28515625" style="122" customWidth="1"/>
    <col min="6150" max="6150" width="5.85546875" style="122" customWidth="1"/>
    <col min="6151" max="6151" width="6.5703125" style="122" customWidth="1"/>
    <col min="6152" max="6152" width="3.28515625" style="122" customWidth="1"/>
    <col min="6153" max="6153" width="5.85546875" style="122" customWidth="1"/>
    <col min="6154" max="6154" width="6.5703125" style="122" customWidth="1"/>
    <col min="6155" max="6155" width="3.28515625" style="122" customWidth="1"/>
    <col min="6156" max="6156" width="5.85546875" style="122" customWidth="1"/>
    <col min="6157" max="6157" width="6.5703125" style="122" customWidth="1"/>
    <col min="6158" max="6158" width="9.42578125" style="122" customWidth="1"/>
    <col min="6159" max="6361" width="9.140625" style="122"/>
    <col min="6362" max="6362" width="4.85546875" style="122" customWidth="1"/>
    <col min="6363" max="6363" width="5.140625" style="122" customWidth="1"/>
    <col min="6364" max="6364" width="13.7109375" style="122" customWidth="1"/>
    <col min="6365" max="6365" width="9.42578125" style="122" customWidth="1"/>
    <col min="6366" max="6366" width="7.85546875" style="122" bestFit="1" customWidth="1"/>
    <col min="6367" max="6367" width="9.42578125" style="122" customWidth="1"/>
    <col min="6368" max="6368" width="7.42578125" style="122" customWidth="1"/>
    <col min="6369" max="6369" width="7.85546875" style="122" customWidth="1"/>
    <col min="6370" max="6370" width="11" style="122" customWidth="1"/>
    <col min="6371" max="6371" width="7.5703125" style="122" customWidth="1"/>
    <col min="6372" max="6372" width="3.28515625" style="122" customWidth="1"/>
    <col min="6373" max="6373" width="5.85546875" style="122" customWidth="1"/>
    <col min="6374" max="6374" width="6.5703125" style="122" customWidth="1"/>
    <col min="6375" max="6375" width="3.28515625" style="122" customWidth="1"/>
    <col min="6376" max="6376" width="5.85546875" style="122" customWidth="1"/>
    <col min="6377" max="6377" width="6.5703125" style="122" customWidth="1"/>
    <col min="6378" max="6378" width="3.28515625" style="122" customWidth="1"/>
    <col min="6379" max="6379" width="5.85546875" style="122" customWidth="1"/>
    <col min="6380" max="6380" width="6.5703125" style="122" customWidth="1"/>
    <col min="6381" max="6381" width="3.28515625" style="122" customWidth="1"/>
    <col min="6382" max="6382" width="5.85546875" style="122" customWidth="1"/>
    <col min="6383" max="6383" width="6.5703125" style="122" customWidth="1"/>
    <col min="6384" max="6384" width="3.28515625" style="122" customWidth="1"/>
    <col min="6385" max="6385" width="5.85546875" style="122" customWidth="1"/>
    <col min="6386" max="6386" width="6.5703125" style="122" customWidth="1"/>
    <col min="6387" max="6387" width="3.28515625" style="122" customWidth="1"/>
    <col min="6388" max="6388" width="5.85546875" style="122" customWidth="1"/>
    <col min="6389" max="6389" width="6.5703125" style="122" customWidth="1"/>
    <col min="6390" max="6390" width="3.28515625" style="122" customWidth="1"/>
    <col min="6391" max="6391" width="5.85546875" style="122" customWidth="1"/>
    <col min="6392" max="6392" width="6.5703125" style="122" customWidth="1"/>
    <col min="6393" max="6393" width="3.28515625" style="122" customWidth="1"/>
    <col min="6394" max="6394" width="5.85546875" style="122" customWidth="1"/>
    <col min="6395" max="6395" width="6.5703125" style="122" customWidth="1"/>
    <col min="6396" max="6396" width="3.28515625" style="122" customWidth="1"/>
    <col min="6397" max="6397" width="5.85546875" style="122" customWidth="1"/>
    <col min="6398" max="6398" width="6.5703125" style="122" customWidth="1"/>
    <col min="6399" max="6399" width="3.28515625" style="122" customWidth="1"/>
    <col min="6400" max="6400" width="5.85546875" style="122" customWidth="1"/>
    <col min="6401" max="6401" width="6.5703125" style="122" customWidth="1"/>
    <col min="6402" max="6402" width="3.28515625" style="122" customWidth="1"/>
    <col min="6403" max="6403" width="5.85546875" style="122" customWidth="1"/>
    <col min="6404" max="6404" width="6.5703125" style="122" customWidth="1"/>
    <col min="6405" max="6405" width="3.28515625" style="122" customWidth="1"/>
    <col min="6406" max="6406" width="5.85546875" style="122" customWidth="1"/>
    <col min="6407" max="6407" width="6.5703125" style="122" customWidth="1"/>
    <col min="6408" max="6408" width="3.28515625" style="122" customWidth="1"/>
    <col min="6409" max="6409" width="5.85546875" style="122" customWidth="1"/>
    <col min="6410" max="6410" width="6.5703125" style="122" customWidth="1"/>
    <col min="6411" max="6411" width="3.28515625" style="122" customWidth="1"/>
    <col min="6412" max="6412" width="5.85546875" style="122" customWidth="1"/>
    <col min="6413" max="6413" width="6.5703125" style="122" customWidth="1"/>
    <col min="6414" max="6414" width="9.42578125" style="122" customWidth="1"/>
    <col min="6415" max="6617" width="9.140625" style="122"/>
    <col min="6618" max="6618" width="4.85546875" style="122" customWidth="1"/>
    <col min="6619" max="6619" width="5.140625" style="122" customWidth="1"/>
    <col min="6620" max="6620" width="13.7109375" style="122" customWidth="1"/>
    <col min="6621" max="6621" width="9.42578125" style="122" customWidth="1"/>
    <col min="6622" max="6622" width="7.85546875" style="122" bestFit="1" customWidth="1"/>
    <col min="6623" max="6623" width="9.42578125" style="122" customWidth="1"/>
    <col min="6624" max="6624" width="7.42578125" style="122" customWidth="1"/>
    <col min="6625" max="6625" width="7.85546875" style="122" customWidth="1"/>
    <col min="6626" max="6626" width="11" style="122" customWidth="1"/>
    <col min="6627" max="6627" width="7.5703125" style="122" customWidth="1"/>
    <col min="6628" max="6628" width="3.28515625" style="122" customWidth="1"/>
    <col min="6629" max="6629" width="5.85546875" style="122" customWidth="1"/>
    <col min="6630" max="6630" width="6.5703125" style="122" customWidth="1"/>
    <col min="6631" max="6631" width="3.28515625" style="122" customWidth="1"/>
    <col min="6632" max="6632" width="5.85546875" style="122" customWidth="1"/>
    <col min="6633" max="6633" width="6.5703125" style="122" customWidth="1"/>
    <col min="6634" max="6634" width="3.28515625" style="122" customWidth="1"/>
    <col min="6635" max="6635" width="5.85546875" style="122" customWidth="1"/>
    <col min="6636" max="6636" width="6.5703125" style="122" customWidth="1"/>
    <col min="6637" max="6637" width="3.28515625" style="122" customWidth="1"/>
    <col min="6638" max="6638" width="5.85546875" style="122" customWidth="1"/>
    <col min="6639" max="6639" width="6.5703125" style="122" customWidth="1"/>
    <col min="6640" max="6640" width="3.28515625" style="122" customWidth="1"/>
    <col min="6641" max="6641" width="5.85546875" style="122" customWidth="1"/>
    <col min="6642" max="6642" width="6.5703125" style="122" customWidth="1"/>
    <col min="6643" max="6643" width="3.28515625" style="122" customWidth="1"/>
    <col min="6644" max="6644" width="5.85546875" style="122" customWidth="1"/>
    <col min="6645" max="6645" width="6.5703125" style="122" customWidth="1"/>
    <col min="6646" max="6646" width="3.28515625" style="122" customWidth="1"/>
    <col min="6647" max="6647" width="5.85546875" style="122" customWidth="1"/>
    <col min="6648" max="6648" width="6.5703125" style="122" customWidth="1"/>
    <col min="6649" max="6649" width="3.28515625" style="122" customWidth="1"/>
    <col min="6650" max="6650" width="5.85546875" style="122" customWidth="1"/>
    <col min="6651" max="6651" width="6.5703125" style="122" customWidth="1"/>
    <col min="6652" max="6652" width="3.28515625" style="122" customWidth="1"/>
    <col min="6653" max="6653" width="5.85546875" style="122" customWidth="1"/>
    <col min="6654" max="6654" width="6.5703125" style="122" customWidth="1"/>
    <col min="6655" max="6655" width="3.28515625" style="122" customWidth="1"/>
    <col min="6656" max="6656" width="5.85546875" style="122" customWidth="1"/>
    <col min="6657" max="6657" width="6.5703125" style="122" customWidth="1"/>
    <col min="6658" max="6658" width="3.28515625" style="122" customWidth="1"/>
    <col min="6659" max="6659" width="5.85546875" style="122" customWidth="1"/>
    <col min="6660" max="6660" width="6.5703125" style="122" customWidth="1"/>
    <col min="6661" max="6661" width="3.28515625" style="122" customWidth="1"/>
    <col min="6662" max="6662" width="5.85546875" style="122" customWidth="1"/>
    <col min="6663" max="6663" width="6.5703125" style="122" customWidth="1"/>
    <col min="6664" max="6664" width="3.28515625" style="122" customWidth="1"/>
    <col min="6665" max="6665" width="5.85546875" style="122" customWidth="1"/>
    <col min="6666" max="6666" width="6.5703125" style="122" customWidth="1"/>
    <col min="6667" max="6667" width="3.28515625" style="122" customWidth="1"/>
    <col min="6668" max="6668" width="5.85546875" style="122" customWidth="1"/>
    <col min="6669" max="6669" width="6.5703125" style="122" customWidth="1"/>
    <col min="6670" max="6670" width="9.42578125" style="122" customWidth="1"/>
    <col min="6671" max="6873" width="9.140625" style="122"/>
    <col min="6874" max="6874" width="4.85546875" style="122" customWidth="1"/>
    <col min="6875" max="6875" width="5.140625" style="122" customWidth="1"/>
    <col min="6876" max="6876" width="13.7109375" style="122" customWidth="1"/>
    <col min="6877" max="6877" width="9.42578125" style="122" customWidth="1"/>
    <col min="6878" max="6878" width="7.85546875" style="122" bestFit="1" customWidth="1"/>
    <col min="6879" max="6879" width="9.42578125" style="122" customWidth="1"/>
    <col min="6880" max="6880" width="7.42578125" style="122" customWidth="1"/>
    <col min="6881" max="6881" width="7.85546875" style="122" customWidth="1"/>
    <col min="6882" max="6882" width="11" style="122" customWidth="1"/>
    <col min="6883" max="6883" width="7.5703125" style="122" customWidth="1"/>
    <col min="6884" max="6884" width="3.28515625" style="122" customWidth="1"/>
    <col min="6885" max="6885" width="5.85546875" style="122" customWidth="1"/>
    <col min="6886" max="6886" width="6.5703125" style="122" customWidth="1"/>
    <col min="6887" max="6887" width="3.28515625" style="122" customWidth="1"/>
    <col min="6888" max="6888" width="5.85546875" style="122" customWidth="1"/>
    <col min="6889" max="6889" width="6.5703125" style="122" customWidth="1"/>
    <col min="6890" max="6890" width="3.28515625" style="122" customWidth="1"/>
    <col min="6891" max="6891" width="5.85546875" style="122" customWidth="1"/>
    <col min="6892" max="6892" width="6.5703125" style="122" customWidth="1"/>
    <col min="6893" max="6893" width="3.28515625" style="122" customWidth="1"/>
    <col min="6894" max="6894" width="5.85546875" style="122" customWidth="1"/>
    <col min="6895" max="6895" width="6.5703125" style="122" customWidth="1"/>
    <col min="6896" max="6896" width="3.28515625" style="122" customWidth="1"/>
    <col min="6897" max="6897" width="5.85546875" style="122" customWidth="1"/>
    <col min="6898" max="6898" width="6.5703125" style="122" customWidth="1"/>
    <col min="6899" max="6899" width="3.28515625" style="122" customWidth="1"/>
    <col min="6900" max="6900" width="5.85546875" style="122" customWidth="1"/>
    <col min="6901" max="6901" width="6.5703125" style="122" customWidth="1"/>
    <col min="6902" max="6902" width="3.28515625" style="122" customWidth="1"/>
    <col min="6903" max="6903" width="5.85546875" style="122" customWidth="1"/>
    <col min="6904" max="6904" width="6.5703125" style="122" customWidth="1"/>
    <col min="6905" max="6905" width="3.28515625" style="122" customWidth="1"/>
    <col min="6906" max="6906" width="5.85546875" style="122" customWidth="1"/>
    <col min="6907" max="6907" width="6.5703125" style="122" customWidth="1"/>
    <col min="6908" max="6908" width="3.28515625" style="122" customWidth="1"/>
    <col min="6909" max="6909" width="5.85546875" style="122" customWidth="1"/>
    <col min="6910" max="6910" width="6.5703125" style="122" customWidth="1"/>
    <col min="6911" max="6911" width="3.28515625" style="122" customWidth="1"/>
    <col min="6912" max="6912" width="5.85546875" style="122" customWidth="1"/>
    <col min="6913" max="6913" width="6.5703125" style="122" customWidth="1"/>
    <col min="6914" max="6914" width="3.28515625" style="122" customWidth="1"/>
    <col min="6915" max="6915" width="5.85546875" style="122" customWidth="1"/>
    <col min="6916" max="6916" width="6.5703125" style="122" customWidth="1"/>
    <col min="6917" max="6917" width="3.28515625" style="122" customWidth="1"/>
    <col min="6918" max="6918" width="5.85546875" style="122" customWidth="1"/>
    <col min="6919" max="6919" width="6.5703125" style="122" customWidth="1"/>
    <col min="6920" max="6920" width="3.28515625" style="122" customWidth="1"/>
    <col min="6921" max="6921" width="5.85546875" style="122" customWidth="1"/>
    <col min="6922" max="6922" width="6.5703125" style="122" customWidth="1"/>
    <col min="6923" max="6923" width="3.28515625" style="122" customWidth="1"/>
    <col min="6924" max="6924" width="5.85546875" style="122" customWidth="1"/>
    <col min="6925" max="6925" width="6.5703125" style="122" customWidth="1"/>
    <col min="6926" max="6926" width="9.42578125" style="122" customWidth="1"/>
    <col min="6927" max="7129" width="9.140625" style="122"/>
    <col min="7130" max="7130" width="4.85546875" style="122" customWidth="1"/>
    <col min="7131" max="7131" width="5.140625" style="122" customWidth="1"/>
    <col min="7132" max="7132" width="13.7109375" style="122" customWidth="1"/>
    <col min="7133" max="7133" width="9.42578125" style="122" customWidth="1"/>
    <col min="7134" max="7134" width="7.85546875" style="122" bestFit="1" customWidth="1"/>
    <col min="7135" max="7135" width="9.42578125" style="122" customWidth="1"/>
    <col min="7136" max="7136" width="7.42578125" style="122" customWidth="1"/>
    <col min="7137" max="7137" width="7.85546875" style="122" customWidth="1"/>
    <col min="7138" max="7138" width="11" style="122" customWidth="1"/>
    <col min="7139" max="7139" width="7.5703125" style="122" customWidth="1"/>
    <col min="7140" max="7140" width="3.28515625" style="122" customWidth="1"/>
    <col min="7141" max="7141" width="5.85546875" style="122" customWidth="1"/>
    <col min="7142" max="7142" width="6.5703125" style="122" customWidth="1"/>
    <col min="7143" max="7143" width="3.28515625" style="122" customWidth="1"/>
    <col min="7144" max="7144" width="5.85546875" style="122" customWidth="1"/>
    <col min="7145" max="7145" width="6.5703125" style="122" customWidth="1"/>
    <col min="7146" max="7146" width="3.28515625" style="122" customWidth="1"/>
    <col min="7147" max="7147" width="5.85546875" style="122" customWidth="1"/>
    <col min="7148" max="7148" width="6.5703125" style="122" customWidth="1"/>
    <col min="7149" max="7149" width="3.28515625" style="122" customWidth="1"/>
    <col min="7150" max="7150" width="5.85546875" style="122" customWidth="1"/>
    <col min="7151" max="7151" width="6.5703125" style="122" customWidth="1"/>
    <col min="7152" max="7152" width="3.28515625" style="122" customWidth="1"/>
    <col min="7153" max="7153" width="5.85546875" style="122" customWidth="1"/>
    <col min="7154" max="7154" width="6.5703125" style="122" customWidth="1"/>
    <col min="7155" max="7155" width="3.28515625" style="122" customWidth="1"/>
    <col min="7156" max="7156" width="5.85546875" style="122" customWidth="1"/>
    <col min="7157" max="7157" width="6.5703125" style="122" customWidth="1"/>
    <col min="7158" max="7158" width="3.28515625" style="122" customWidth="1"/>
    <col min="7159" max="7159" width="5.85546875" style="122" customWidth="1"/>
    <col min="7160" max="7160" width="6.5703125" style="122" customWidth="1"/>
    <col min="7161" max="7161" width="3.28515625" style="122" customWidth="1"/>
    <col min="7162" max="7162" width="5.85546875" style="122" customWidth="1"/>
    <col min="7163" max="7163" width="6.5703125" style="122" customWidth="1"/>
    <col min="7164" max="7164" width="3.28515625" style="122" customWidth="1"/>
    <col min="7165" max="7165" width="5.85546875" style="122" customWidth="1"/>
    <col min="7166" max="7166" width="6.5703125" style="122" customWidth="1"/>
    <col min="7167" max="7167" width="3.28515625" style="122" customWidth="1"/>
    <col min="7168" max="7168" width="5.85546875" style="122" customWidth="1"/>
    <col min="7169" max="7169" width="6.5703125" style="122" customWidth="1"/>
    <col min="7170" max="7170" width="3.28515625" style="122" customWidth="1"/>
    <col min="7171" max="7171" width="5.85546875" style="122" customWidth="1"/>
    <col min="7172" max="7172" width="6.5703125" style="122" customWidth="1"/>
    <col min="7173" max="7173" width="3.28515625" style="122" customWidth="1"/>
    <col min="7174" max="7174" width="5.85546875" style="122" customWidth="1"/>
    <col min="7175" max="7175" width="6.5703125" style="122" customWidth="1"/>
    <col min="7176" max="7176" width="3.28515625" style="122" customWidth="1"/>
    <col min="7177" max="7177" width="5.85546875" style="122" customWidth="1"/>
    <col min="7178" max="7178" width="6.5703125" style="122" customWidth="1"/>
    <col min="7179" max="7179" width="3.28515625" style="122" customWidth="1"/>
    <col min="7180" max="7180" width="5.85546875" style="122" customWidth="1"/>
    <col min="7181" max="7181" width="6.5703125" style="122" customWidth="1"/>
    <col min="7182" max="7182" width="9.42578125" style="122" customWidth="1"/>
    <col min="7183" max="7385" width="9.140625" style="122"/>
    <col min="7386" max="7386" width="4.85546875" style="122" customWidth="1"/>
    <col min="7387" max="7387" width="5.140625" style="122" customWidth="1"/>
    <col min="7388" max="7388" width="13.7109375" style="122" customWidth="1"/>
    <col min="7389" max="7389" width="9.42578125" style="122" customWidth="1"/>
    <col min="7390" max="7390" width="7.85546875" style="122" bestFit="1" customWidth="1"/>
    <col min="7391" max="7391" width="9.42578125" style="122" customWidth="1"/>
    <col min="7392" max="7392" width="7.42578125" style="122" customWidth="1"/>
    <col min="7393" max="7393" width="7.85546875" style="122" customWidth="1"/>
    <col min="7394" max="7394" width="11" style="122" customWidth="1"/>
    <col min="7395" max="7395" width="7.5703125" style="122" customWidth="1"/>
    <col min="7396" max="7396" width="3.28515625" style="122" customWidth="1"/>
    <col min="7397" max="7397" width="5.85546875" style="122" customWidth="1"/>
    <col min="7398" max="7398" width="6.5703125" style="122" customWidth="1"/>
    <col min="7399" max="7399" width="3.28515625" style="122" customWidth="1"/>
    <col min="7400" max="7400" width="5.85546875" style="122" customWidth="1"/>
    <col min="7401" max="7401" width="6.5703125" style="122" customWidth="1"/>
    <col min="7402" max="7402" width="3.28515625" style="122" customWidth="1"/>
    <col min="7403" max="7403" width="5.85546875" style="122" customWidth="1"/>
    <col min="7404" max="7404" width="6.5703125" style="122" customWidth="1"/>
    <col min="7405" max="7405" width="3.28515625" style="122" customWidth="1"/>
    <col min="7406" max="7406" width="5.85546875" style="122" customWidth="1"/>
    <col min="7407" max="7407" width="6.5703125" style="122" customWidth="1"/>
    <col min="7408" max="7408" width="3.28515625" style="122" customWidth="1"/>
    <col min="7409" max="7409" width="5.85546875" style="122" customWidth="1"/>
    <col min="7410" max="7410" width="6.5703125" style="122" customWidth="1"/>
    <col min="7411" max="7411" width="3.28515625" style="122" customWidth="1"/>
    <col min="7412" max="7412" width="5.85546875" style="122" customWidth="1"/>
    <col min="7413" max="7413" width="6.5703125" style="122" customWidth="1"/>
    <col min="7414" max="7414" width="3.28515625" style="122" customWidth="1"/>
    <col min="7415" max="7415" width="5.85546875" style="122" customWidth="1"/>
    <col min="7416" max="7416" width="6.5703125" style="122" customWidth="1"/>
    <col min="7417" max="7417" width="3.28515625" style="122" customWidth="1"/>
    <col min="7418" max="7418" width="5.85546875" style="122" customWidth="1"/>
    <col min="7419" max="7419" width="6.5703125" style="122" customWidth="1"/>
    <col min="7420" max="7420" width="3.28515625" style="122" customWidth="1"/>
    <col min="7421" max="7421" width="5.85546875" style="122" customWidth="1"/>
    <col min="7422" max="7422" width="6.5703125" style="122" customWidth="1"/>
    <col min="7423" max="7423" width="3.28515625" style="122" customWidth="1"/>
    <col min="7424" max="7424" width="5.85546875" style="122" customWidth="1"/>
    <col min="7425" max="7425" width="6.5703125" style="122" customWidth="1"/>
    <col min="7426" max="7426" width="3.28515625" style="122" customWidth="1"/>
    <col min="7427" max="7427" width="5.85546875" style="122" customWidth="1"/>
    <col min="7428" max="7428" width="6.5703125" style="122" customWidth="1"/>
    <col min="7429" max="7429" width="3.28515625" style="122" customWidth="1"/>
    <col min="7430" max="7430" width="5.85546875" style="122" customWidth="1"/>
    <col min="7431" max="7431" width="6.5703125" style="122" customWidth="1"/>
    <col min="7432" max="7432" width="3.28515625" style="122" customWidth="1"/>
    <col min="7433" max="7433" width="5.85546875" style="122" customWidth="1"/>
    <col min="7434" max="7434" width="6.5703125" style="122" customWidth="1"/>
    <col min="7435" max="7435" width="3.28515625" style="122" customWidth="1"/>
    <col min="7436" max="7436" width="5.85546875" style="122" customWidth="1"/>
    <col min="7437" max="7437" width="6.5703125" style="122" customWidth="1"/>
    <col min="7438" max="7438" width="9.42578125" style="122" customWidth="1"/>
    <col min="7439" max="7641" width="9.140625" style="122"/>
    <col min="7642" max="7642" width="4.85546875" style="122" customWidth="1"/>
    <col min="7643" max="7643" width="5.140625" style="122" customWidth="1"/>
    <col min="7644" max="7644" width="13.7109375" style="122" customWidth="1"/>
    <col min="7645" max="7645" width="9.42578125" style="122" customWidth="1"/>
    <col min="7646" max="7646" width="7.85546875" style="122" bestFit="1" customWidth="1"/>
    <col min="7647" max="7647" width="9.42578125" style="122" customWidth="1"/>
    <col min="7648" max="7648" width="7.42578125" style="122" customWidth="1"/>
    <col min="7649" max="7649" width="7.85546875" style="122" customWidth="1"/>
    <col min="7650" max="7650" width="11" style="122" customWidth="1"/>
    <col min="7651" max="7651" width="7.5703125" style="122" customWidth="1"/>
    <col min="7652" max="7652" width="3.28515625" style="122" customWidth="1"/>
    <col min="7653" max="7653" width="5.85546875" style="122" customWidth="1"/>
    <col min="7654" max="7654" width="6.5703125" style="122" customWidth="1"/>
    <col min="7655" max="7655" width="3.28515625" style="122" customWidth="1"/>
    <col min="7656" max="7656" width="5.85546875" style="122" customWidth="1"/>
    <col min="7657" max="7657" width="6.5703125" style="122" customWidth="1"/>
    <col min="7658" max="7658" width="3.28515625" style="122" customWidth="1"/>
    <col min="7659" max="7659" width="5.85546875" style="122" customWidth="1"/>
    <col min="7660" max="7660" width="6.5703125" style="122" customWidth="1"/>
    <col min="7661" max="7661" width="3.28515625" style="122" customWidth="1"/>
    <col min="7662" max="7662" width="5.85546875" style="122" customWidth="1"/>
    <col min="7663" max="7663" width="6.5703125" style="122" customWidth="1"/>
    <col min="7664" max="7664" width="3.28515625" style="122" customWidth="1"/>
    <col min="7665" max="7665" width="5.85546875" style="122" customWidth="1"/>
    <col min="7666" max="7666" width="6.5703125" style="122" customWidth="1"/>
    <col min="7667" max="7667" width="3.28515625" style="122" customWidth="1"/>
    <col min="7668" max="7668" width="5.85546875" style="122" customWidth="1"/>
    <col min="7669" max="7669" width="6.5703125" style="122" customWidth="1"/>
    <col min="7670" max="7670" width="3.28515625" style="122" customWidth="1"/>
    <col min="7671" max="7671" width="5.85546875" style="122" customWidth="1"/>
    <col min="7672" max="7672" width="6.5703125" style="122" customWidth="1"/>
    <col min="7673" max="7673" width="3.28515625" style="122" customWidth="1"/>
    <col min="7674" max="7674" width="5.85546875" style="122" customWidth="1"/>
    <col min="7675" max="7675" width="6.5703125" style="122" customWidth="1"/>
    <col min="7676" max="7676" width="3.28515625" style="122" customWidth="1"/>
    <col min="7677" max="7677" width="5.85546875" style="122" customWidth="1"/>
    <col min="7678" max="7678" width="6.5703125" style="122" customWidth="1"/>
    <col min="7679" max="7679" width="3.28515625" style="122" customWidth="1"/>
    <col min="7680" max="7680" width="5.85546875" style="122" customWidth="1"/>
    <col min="7681" max="7681" width="6.5703125" style="122" customWidth="1"/>
    <col min="7682" max="7682" width="3.28515625" style="122" customWidth="1"/>
    <col min="7683" max="7683" width="5.85546875" style="122" customWidth="1"/>
    <col min="7684" max="7684" width="6.5703125" style="122" customWidth="1"/>
    <col min="7685" max="7685" width="3.28515625" style="122" customWidth="1"/>
    <col min="7686" max="7686" width="5.85546875" style="122" customWidth="1"/>
    <col min="7687" max="7687" width="6.5703125" style="122" customWidth="1"/>
    <col min="7688" max="7688" width="3.28515625" style="122" customWidth="1"/>
    <col min="7689" max="7689" width="5.85546875" style="122" customWidth="1"/>
    <col min="7690" max="7690" width="6.5703125" style="122" customWidth="1"/>
    <col min="7691" max="7691" width="3.28515625" style="122" customWidth="1"/>
    <col min="7692" max="7692" width="5.85546875" style="122" customWidth="1"/>
    <col min="7693" max="7693" width="6.5703125" style="122" customWidth="1"/>
    <col min="7694" max="7694" width="9.42578125" style="122" customWidth="1"/>
    <col min="7695" max="7897" width="9.140625" style="122"/>
    <col min="7898" max="7898" width="4.85546875" style="122" customWidth="1"/>
    <col min="7899" max="7899" width="5.140625" style="122" customWidth="1"/>
    <col min="7900" max="7900" width="13.7109375" style="122" customWidth="1"/>
    <col min="7901" max="7901" width="9.42578125" style="122" customWidth="1"/>
    <col min="7902" max="7902" width="7.85546875" style="122" bestFit="1" customWidth="1"/>
    <col min="7903" max="7903" width="9.42578125" style="122" customWidth="1"/>
    <col min="7904" max="7904" width="7.42578125" style="122" customWidth="1"/>
    <col min="7905" max="7905" width="7.85546875" style="122" customWidth="1"/>
    <col min="7906" max="7906" width="11" style="122" customWidth="1"/>
    <col min="7907" max="7907" width="7.5703125" style="122" customWidth="1"/>
    <col min="7908" max="7908" width="3.28515625" style="122" customWidth="1"/>
    <col min="7909" max="7909" width="5.85546875" style="122" customWidth="1"/>
    <col min="7910" max="7910" width="6.5703125" style="122" customWidth="1"/>
    <col min="7911" max="7911" width="3.28515625" style="122" customWidth="1"/>
    <col min="7912" max="7912" width="5.85546875" style="122" customWidth="1"/>
    <col min="7913" max="7913" width="6.5703125" style="122" customWidth="1"/>
    <col min="7914" max="7914" width="3.28515625" style="122" customWidth="1"/>
    <col min="7915" max="7915" width="5.85546875" style="122" customWidth="1"/>
    <col min="7916" max="7916" width="6.5703125" style="122" customWidth="1"/>
    <col min="7917" max="7917" width="3.28515625" style="122" customWidth="1"/>
    <col min="7918" max="7918" width="5.85546875" style="122" customWidth="1"/>
    <col min="7919" max="7919" width="6.5703125" style="122" customWidth="1"/>
    <col min="7920" max="7920" width="3.28515625" style="122" customWidth="1"/>
    <col min="7921" max="7921" width="5.85546875" style="122" customWidth="1"/>
    <col min="7922" max="7922" width="6.5703125" style="122" customWidth="1"/>
    <col min="7923" max="7923" width="3.28515625" style="122" customWidth="1"/>
    <col min="7924" max="7924" width="5.85546875" style="122" customWidth="1"/>
    <col min="7925" max="7925" width="6.5703125" style="122" customWidth="1"/>
    <col min="7926" max="7926" width="3.28515625" style="122" customWidth="1"/>
    <col min="7927" max="7927" width="5.85546875" style="122" customWidth="1"/>
    <col min="7928" max="7928" width="6.5703125" style="122" customWidth="1"/>
    <col min="7929" max="7929" width="3.28515625" style="122" customWidth="1"/>
    <col min="7930" max="7930" width="5.85546875" style="122" customWidth="1"/>
    <col min="7931" max="7931" width="6.5703125" style="122" customWidth="1"/>
    <col min="7932" max="7932" width="3.28515625" style="122" customWidth="1"/>
    <col min="7933" max="7933" width="5.85546875" style="122" customWidth="1"/>
    <col min="7934" max="7934" width="6.5703125" style="122" customWidth="1"/>
    <col min="7935" max="7935" width="3.28515625" style="122" customWidth="1"/>
    <col min="7936" max="7936" width="5.85546875" style="122" customWidth="1"/>
    <col min="7937" max="7937" width="6.5703125" style="122" customWidth="1"/>
    <col min="7938" max="7938" width="3.28515625" style="122" customWidth="1"/>
    <col min="7939" max="7939" width="5.85546875" style="122" customWidth="1"/>
    <col min="7940" max="7940" width="6.5703125" style="122" customWidth="1"/>
    <col min="7941" max="7941" width="3.28515625" style="122" customWidth="1"/>
    <col min="7942" max="7942" width="5.85546875" style="122" customWidth="1"/>
    <col min="7943" max="7943" width="6.5703125" style="122" customWidth="1"/>
    <col min="7944" max="7944" width="3.28515625" style="122" customWidth="1"/>
    <col min="7945" max="7945" width="5.85546875" style="122" customWidth="1"/>
    <col min="7946" max="7946" width="6.5703125" style="122" customWidth="1"/>
    <col min="7947" max="7947" width="3.28515625" style="122" customWidth="1"/>
    <col min="7948" max="7948" width="5.85546875" style="122" customWidth="1"/>
    <col min="7949" max="7949" width="6.5703125" style="122" customWidth="1"/>
    <col min="7950" max="7950" width="9.42578125" style="122" customWidth="1"/>
    <col min="7951" max="8153" width="9.140625" style="122"/>
    <col min="8154" max="8154" width="4.85546875" style="122" customWidth="1"/>
    <col min="8155" max="8155" width="5.140625" style="122" customWidth="1"/>
    <col min="8156" max="8156" width="13.7109375" style="122" customWidth="1"/>
    <col min="8157" max="8157" width="9.42578125" style="122" customWidth="1"/>
    <col min="8158" max="8158" width="7.85546875" style="122" bestFit="1" customWidth="1"/>
    <col min="8159" max="8159" width="9.42578125" style="122" customWidth="1"/>
    <col min="8160" max="8160" width="7.42578125" style="122" customWidth="1"/>
    <col min="8161" max="8161" width="7.85546875" style="122" customWidth="1"/>
    <col min="8162" max="8162" width="11" style="122" customWidth="1"/>
    <col min="8163" max="8163" width="7.5703125" style="122" customWidth="1"/>
    <col min="8164" max="8164" width="3.28515625" style="122" customWidth="1"/>
    <col min="8165" max="8165" width="5.85546875" style="122" customWidth="1"/>
    <col min="8166" max="8166" width="6.5703125" style="122" customWidth="1"/>
    <col min="8167" max="8167" width="3.28515625" style="122" customWidth="1"/>
    <col min="8168" max="8168" width="5.85546875" style="122" customWidth="1"/>
    <col min="8169" max="8169" width="6.5703125" style="122" customWidth="1"/>
    <col min="8170" max="8170" width="3.28515625" style="122" customWidth="1"/>
    <col min="8171" max="8171" width="5.85546875" style="122" customWidth="1"/>
    <col min="8172" max="8172" width="6.5703125" style="122" customWidth="1"/>
    <col min="8173" max="8173" width="3.28515625" style="122" customWidth="1"/>
    <col min="8174" max="8174" width="5.85546875" style="122" customWidth="1"/>
    <col min="8175" max="8175" width="6.5703125" style="122" customWidth="1"/>
    <col min="8176" max="8176" width="3.28515625" style="122" customWidth="1"/>
    <col min="8177" max="8177" width="5.85546875" style="122" customWidth="1"/>
    <col min="8178" max="8178" width="6.5703125" style="122" customWidth="1"/>
    <col min="8179" max="8179" width="3.28515625" style="122" customWidth="1"/>
    <col min="8180" max="8180" width="5.85546875" style="122" customWidth="1"/>
    <col min="8181" max="8181" width="6.5703125" style="122" customWidth="1"/>
    <col min="8182" max="8182" width="3.28515625" style="122" customWidth="1"/>
    <col min="8183" max="8183" width="5.85546875" style="122" customWidth="1"/>
    <col min="8184" max="8184" width="6.5703125" style="122" customWidth="1"/>
    <col min="8185" max="8185" width="3.28515625" style="122" customWidth="1"/>
    <col min="8186" max="8186" width="5.85546875" style="122" customWidth="1"/>
    <col min="8187" max="8187" width="6.5703125" style="122" customWidth="1"/>
    <col min="8188" max="8188" width="3.28515625" style="122" customWidth="1"/>
    <col min="8189" max="8189" width="5.85546875" style="122" customWidth="1"/>
    <col min="8190" max="8190" width="6.5703125" style="122" customWidth="1"/>
    <col min="8191" max="8191" width="3.28515625" style="122" customWidth="1"/>
    <col min="8192" max="8192" width="5.85546875" style="122" customWidth="1"/>
    <col min="8193" max="8193" width="6.5703125" style="122" customWidth="1"/>
    <col min="8194" max="8194" width="3.28515625" style="122" customWidth="1"/>
    <col min="8195" max="8195" width="5.85546875" style="122" customWidth="1"/>
    <col min="8196" max="8196" width="6.5703125" style="122" customWidth="1"/>
    <col min="8197" max="8197" width="3.28515625" style="122" customWidth="1"/>
    <col min="8198" max="8198" width="5.85546875" style="122" customWidth="1"/>
    <col min="8199" max="8199" width="6.5703125" style="122" customWidth="1"/>
    <col min="8200" max="8200" width="3.28515625" style="122" customWidth="1"/>
    <col min="8201" max="8201" width="5.85546875" style="122" customWidth="1"/>
    <col min="8202" max="8202" width="6.5703125" style="122" customWidth="1"/>
    <col min="8203" max="8203" width="3.28515625" style="122" customWidth="1"/>
    <col min="8204" max="8204" width="5.85546875" style="122" customWidth="1"/>
    <col min="8205" max="8205" width="6.5703125" style="122" customWidth="1"/>
    <col min="8206" max="8206" width="9.42578125" style="122" customWidth="1"/>
    <col min="8207" max="8409" width="9.140625" style="122"/>
    <col min="8410" max="8410" width="4.85546875" style="122" customWidth="1"/>
    <col min="8411" max="8411" width="5.140625" style="122" customWidth="1"/>
    <col min="8412" max="8412" width="13.7109375" style="122" customWidth="1"/>
    <col min="8413" max="8413" width="9.42578125" style="122" customWidth="1"/>
    <col min="8414" max="8414" width="7.85546875" style="122" bestFit="1" customWidth="1"/>
    <col min="8415" max="8415" width="9.42578125" style="122" customWidth="1"/>
    <col min="8416" max="8416" width="7.42578125" style="122" customWidth="1"/>
    <col min="8417" max="8417" width="7.85546875" style="122" customWidth="1"/>
    <col min="8418" max="8418" width="11" style="122" customWidth="1"/>
    <col min="8419" max="8419" width="7.5703125" style="122" customWidth="1"/>
    <col min="8420" max="8420" width="3.28515625" style="122" customWidth="1"/>
    <col min="8421" max="8421" width="5.85546875" style="122" customWidth="1"/>
    <col min="8422" max="8422" width="6.5703125" style="122" customWidth="1"/>
    <col min="8423" max="8423" width="3.28515625" style="122" customWidth="1"/>
    <col min="8424" max="8424" width="5.85546875" style="122" customWidth="1"/>
    <col min="8425" max="8425" width="6.5703125" style="122" customWidth="1"/>
    <col min="8426" max="8426" width="3.28515625" style="122" customWidth="1"/>
    <col min="8427" max="8427" width="5.85546875" style="122" customWidth="1"/>
    <col min="8428" max="8428" width="6.5703125" style="122" customWidth="1"/>
    <col min="8429" max="8429" width="3.28515625" style="122" customWidth="1"/>
    <col min="8430" max="8430" width="5.85546875" style="122" customWidth="1"/>
    <col min="8431" max="8431" width="6.5703125" style="122" customWidth="1"/>
    <col min="8432" max="8432" width="3.28515625" style="122" customWidth="1"/>
    <col min="8433" max="8433" width="5.85546875" style="122" customWidth="1"/>
    <col min="8434" max="8434" width="6.5703125" style="122" customWidth="1"/>
    <col min="8435" max="8435" width="3.28515625" style="122" customWidth="1"/>
    <col min="8436" max="8436" width="5.85546875" style="122" customWidth="1"/>
    <col min="8437" max="8437" width="6.5703125" style="122" customWidth="1"/>
    <col min="8438" max="8438" width="3.28515625" style="122" customWidth="1"/>
    <col min="8439" max="8439" width="5.85546875" style="122" customWidth="1"/>
    <col min="8440" max="8440" width="6.5703125" style="122" customWidth="1"/>
    <col min="8441" max="8441" width="3.28515625" style="122" customWidth="1"/>
    <col min="8442" max="8442" width="5.85546875" style="122" customWidth="1"/>
    <col min="8443" max="8443" width="6.5703125" style="122" customWidth="1"/>
    <col min="8444" max="8444" width="3.28515625" style="122" customWidth="1"/>
    <col min="8445" max="8445" width="5.85546875" style="122" customWidth="1"/>
    <col min="8446" max="8446" width="6.5703125" style="122" customWidth="1"/>
    <col min="8447" max="8447" width="3.28515625" style="122" customWidth="1"/>
    <col min="8448" max="8448" width="5.85546875" style="122" customWidth="1"/>
    <col min="8449" max="8449" width="6.5703125" style="122" customWidth="1"/>
    <col min="8450" max="8450" width="3.28515625" style="122" customWidth="1"/>
    <col min="8451" max="8451" width="5.85546875" style="122" customWidth="1"/>
    <col min="8452" max="8452" width="6.5703125" style="122" customWidth="1"/>
    <col min="8453" max="8453" width="3.28515625" style="122" customWidth="1"/>
    <col min="8454" max="8454" width="5.85546875" style="122" customWidth="1"/>
    <col min="8455" max="8455" width="6.5703125" style="122" customWidth="1"/>
    <col min="8456" max="8456" width="3.28515625" style="122" customWidth="1"/>
    <col min="8457" max="8457" width="5.85546875" style="122" customWidth="1"/>
    <col min="8458" max="8458" width="6.5703125" style="122" customWidth="1"/>
    <col min="8459" max="8459" width="3.28515625" style="122" customWidth="1"/>
    <col min="8460" max="8460" width="5.85546875" style="122" customWidth="1"/>
    <col min="8461" max="8461" width="6.5703125" style="122" customWidth="1"/>
    <col min="8462" max="8462" width="9.42578125" style="122" customWidth="1"/>
    <col min="8463" max="8665" width="9.140625" style="122"/>
    <col min="8666" max="8666" width="4.85546875" style="122" customWidth="1"/>
    <col min="8667" max="8667" width="5.140625" style="122" customWidth="1"/>
    <col min="8668" max="8668" width="13.7109375" style="122" customWidth="1"/>
    <col min="8669" max="8669" width="9.42578125" style="122" customWidth="1"/>
    <col min="8670" max="8670" width="7.85546875" style="122" bestFit="1" customWidth="1"/>
    <col min="8671" max="8671" width="9.42578125" style="122" customWidth="1"/>
    <col min="8672" max="8672" width="7.42578125" style="122" customWidth="1"/>
    <col min="8673" max="8673" width="7.85546875" style="122" customWidth="1"/>
    <col min="8674" max="8674" width="11" style="122" customWidth="1"/>
    <col min="8675" max="8675" width="7.5703125" style="122" customWidth="1"/>
    <col min="8676" max="8676" width="3.28515625" style="122" customWidth="1"/>
    <col min="8677" max="8677" width="5.85546875" style="122" customWidth="1"/>
    <col min="8678" max="8678" width="6.5703125" style="122" customWidth="1"/>
    <col min="8679" max="8679" width="3.28515625" style="122" customWidth="1"/>
    <col min="8680" max="8680" width="5.85546875" style="122" customWidth="1"/>
    <col min="8681" max="8681" width="6.5703125" style="122" customWidth="1"/>
    <col min="8682" max="8682" width="3.28515625" style="122" customWidth="1"/>
    <col min="8683" max="8683" width="5.85546875" style="122" customWidth="1"/>
    <col min="8684" max="8684" width="6.5703125" style="122" customWidth="1"/>
    <col min="8685" max="8685" width="3.28515625" style="122" customWidth="1"/>
    <col min="8686" max="8686" width="5.85546875" style="122" customWidth="1"/>
    <col min="8687" max="8687" width="6.5703125" style="122" customWidth="1"/>
    <col min="8688" max="8688" width="3.28515625" style="122" customWidth="1"/>
    <col min="8689" max="8689" width="5.85546875" style="122" customWidth="1"/>
    <col min="8690" max="8690" width="6.5703125" style="122" customWidth="1"/>
    <col min="8691" max="8691" width="3.28515625" style="122" customWidth="1"/>
    <col min="8692" max="8692" width="5.85546875" style="122" customWidth="1"/>
    <col min="8693" max="8693" width="6.5703125" style="122" customWidth="1"/>
    <col min="8694" max="8694" width="3.28515625" style="122" customWidth="1"/>
    <col min="8695" max="8695" width="5.85546875" style="122" customWidth="1"/>
    <col min="8696" max="8696" width="6.5703125" style="122" customWidth="1"/>
    <col min="8697" max="8697" width="3.28515625" style="122" customWidth="1"/>
    <col min="8698" max="8698" width="5.85546875" style="122" customWidth="1"/>
    <col min="8699" max="8699" width="6.5703125" style="122" customWidth="1"/>
    <col min="8700" max="8700" width="3.28515625" style="122" customWidth="1"/>
    <col min="8701" max="8701" width="5.85546875" style="122" customWidth="1"/>
    <col min="8702" max="8702" width="6.5703125" style="122" customWidth="1"/>
    <col min="8703" max="8703" width="3.28515625" style="122" customWidth="1"/>
    <col min="8704" max="8704" width="5.85546875" style="122" customWidth="1"/>
    <col min="8705" max="8705" width="6.5703125" style="122" customWidth="1"/>
    <col min="8706" max="8706" width="3.28515625" style="122" customWidth="1"/>
    <col min="8707" max="8707" width="5.85546875" style="122" customWidth="1"/>
    <col min="8708" max="8708" width="6.5703125" style="122" customWidth="1"/>
    <col min="8709" max="8709" width="3.28515625" style="122" customWidth="1"/>
    <col min="8710" max="8710" width="5.85546875" style="122" customWidth="1"/>
    <col min="8711" max="8711" width="6.5703125" style="122" customWidth="1"/>
    <col min="8712" max="8712" width="3.28515625" style="122" customWidth="1"/>
    <col min="8713" max="8713" width="5.85546875" style="122" customWidth="1"/>
    <col min="8714" max="8714" width="6.5703125" style="122" customWidth="1"/>
    <col min="8715" max="8715" width="3.28515625" style="122" customWidth="1"/>
    <col min="8716" max="8716" width="5.85546875" style="122" customWidth="1"/>
    <col min="8717" max="8717" width="6.5703125" style="122" customWidth="1"/>
    <col min="8718" max="8718" width="9.42578125" style="122" customWidth="1"/>
    <col min="8719" max="8921" width="9.140625" style="122"/>
    <col min="8922" max="8922" width="4.85546875" style="122" customWidth="1"/>
    <col min="8923" max="8923" width="5.140625" style="122" customWidth="1"/>
    <col min="8924" max="8924" width="13.7109375" style="122" customWidth="1"/>
    <col min="8925" max="8925" width="9.42578125" style="122" customWidth="1"/>
    <col min="8926" max="8926" width="7.85546875" style="122" bestFit="1" customWidth="1"/>
    <col min="8927" max="8927" width="9.42578125" style="122" customWidth="1"/>
    <col min="8928" max="8928" width="7.42578125" style="122" customWidth="1"/>
    <col min="8929" max="8929" width="7.85546875" style="122" customWidth="1"/>
    <col min="8930" max="8930" width="11" style="122" customWidth="1"/>
    <col min="8931" max="8931" width="7.5703125" style="122" customWidth="1"/>
    <col min="8932" max="8932" width="3.28515625" style="122" customWidth="1"/>
    <col min="8933" max="8933" width="5.85546875" style="122" customWidth="1"/>
    <col min="8934" max="8934" width="6.5703125" style="122" customWidth="1"/>
    <col min="8935" max="8935" width="3.28515625" style="122" customWidth="1"/>
    <col min="8936" max="8936" width="5.85546875" style="122" customWidth="1"/>
    <col min="8937" max="8937" width="6.5703125" style="122" customWidth="1"/>
    <col min="8938" max="8938" width="3.28515625" style="122" customWidth="1"/>
    <col min="8939" max="8939" width="5.85546875" style="122" customWidth="1"/>
    <col min="8940" max="8940" width="6.5703125" style="122" customWidth="1"/>
    <col min="8941" max="8941" width="3.28515625" style="122" customWidth="1"/>
    <col min="8942" max="8942" width="5.85546875" style="122" customWidth="1"/>
    <col min="8943" max="8943" width="6.5703125" style="122" customWidth="1"/>
    <col min="8944" max="8944" width="3.28515625" style="122" customWidth="1"/>
    <col min="8945" max="8945" width="5.85546875" style="122" customWidth="1"/>
    <col min="8946" max="8946" width="6.5703125" style="122" customWidth="1"/>
    <col min="8947" max="8947" width="3.28515625" style="122" customWidth="1"/>
    <col min="8948" max="8948" width="5.85546875" style="122" customWidth="1"/>
    <col min="8949" max="8949" width="6.5703125" style="122" customWidth="1"/>
    <col min="8950" max="8950" width="3.28515625" style="122" customWidth="1"/>
    <col min="8951" max="8951" width="5.85546875" style="122" customWidth="1"/>
    <col min="8952" max="8952" width="6.5703125" style="122" customWidth="1"/>
    <col min="8953" max="8953" width="3.28515625" style="122" customWidth="1"/>
    <col min="8954" max="8954" width="5.85546875" style="122" customWidth="1"/>
    <col min="8955" max="8955" width="6.5703125" style="122" customWidth="1"/>
    <col min="8956" max="8956" width="3.28515625" style="122" customWidth="1"/>
    <col min="8957" max="8957" width="5.85546875" style="122" customWidth="1"/>
    <col min="8958" max="8958" width="6.5703125" style="122" customWidth="1"/>
    <col min="8959" max="8959" width="3.28515625" style="122" customWidth="1"/>
    <col min="8960" max="8960" width="5.85546875" style="122" customWidth="1"/>
    <col min="8961" max="8961" width="6.5703125" style="122" customWidth="1"/>
    <col min="8962" max="8962" width="3.28515625" style="122" customWidth="1"/>
    <col min="8963" max="8963" width="5.85546875" style="122" customWidth="1"/>
    <col min="8964" max="8964" width="6.5703125" style="122" customWidth="1"/>
    <col min="8965" max="8965" width="3.28515625" style="122" customWidth="1"/>
    <col min="8966" max="8966" width="5.85546875" style="122" customWidth="1"/>
    <col min="8967" max="8967" width="6.5703125" style="122" customWidth="1"/>
    <col min="8968" max="8968" width="3.28515625" style="122" customWidth="1"/>
    <col min="8969" max="8969" width="5.85546875" style="122" customWidth="1"/>
    <col min="8970" max="8970" width="6.5703125" style="122" customWidth="1"/>
    <col min="8971" max="8971" width="3.28515625" style="122" customWidth="1"/>
    <col min="8972" max="8972" width="5.85546875" style="122" customWidth="1"/>
    <col min="8973" max="8973" width="6.5703125" style="122" customWidth="1"/>
    <col min="8974" max="8974" width="9.42578125" style="122" customWidth="1"/>
    <col min="8975" max="9177" width="9.140625" style="122"/>
    <col min="9178" max="9178" width="4.85546875" style="122" customWidth="1"/>
    <col min="9179" max="9179" width="5.140625" style="122" customWidth="1"/>
    <col min="9180" max="9180" width="13.7109375" style="122" customWidth="1"/>
    <col min="9181" max="9181" width="9.42578125" style="122" customWidth="1"/>
    <col min="9182" max="9182" width="7.85546875" style="122" bestFit="1" customWidth="1"/>
    <col min="9183" max="9183" width="9.42578125" style="122" customWidth="1"/>
    <col min="9184" max="9184" width="7.42578125" style="122" customWidth="1"/>
    <col min="9185" max="9185" width="7.85546875" style="122" customWidth="1"/>
    <col min="9186" max="9186" width="11" style="122" customWidth="1"/>
    <col min="9187" max="9187" width="7.5703125" style="122" customWidth="1"/>
    <col min="9188" max="9188" width="3.28515625" style="122" customWidth="1"/>
    <col min="9189" max="9189" width="5.85546875" style="122" customWidth="1"/>
    <col min="9190" max="9190" width="6.5703125" style="122" customWidth="1"/>
    <col min="9191" max="9191" width="3.28515625" style="122" customWidth="1"/>
    <col min="9192" max="9192" width="5.85546875" style="122" customWidth="1"/>
    <col min="9193" max="9193" width="6.5703125" style="122" customWidth="1"/>
    <col min="9194" max="9194" width="3.28515625" style="122" customWidth="1"/>
    <col min="9195" max="9195" width="5.85546875" style="122" customWidth="1"/>
    <col min="9196" max="9196" width="6.5703125" style="122" customWidth="1"/>
    <col min="9197" max="9197" width="3.28515625" style="122" customWidth="1"/>
    <col min="9198" max="9198" width="5.85546875" style="122" customWidth="1"/>
    <col min="9199" max="9199" width="6.5703125" style="122" customWidth="1"/>
    <col min="9200" max="9200" width="3.28515625" style="122" customWidth="1"/>
    <col min="9201" max="9201" width="5.85546875" style="122" customWidth="1"/>
    <col min="9202" max="9202" width="6.5703125" style="122" customWidth="1"/>
    <col min="9203" max="9203" width="3.28515625" style="122" customWidth="1"/>
    <col min="9204" max="9204" width="5.85546875" style="122" customWidth="1"/>
    <col min="9205" max="9205" width="6.5703125" style="122" customWidth="1"/>
    <col min="9206" max="9206" width="3.28515625" style="122" customWidth="1"/>
    <col min="9207" max="9207" width="5.85546875" style="122" customWidth="1"/>
    <col min="9208" max="9208" width="6.5703125" style="122" customWidth="1"/>
    <col min="9209" max="9209" width="3.28515625" style="122" customWidth="1"/>
    <col min="9210" max="9210" width="5.85546875" style="122" customWidth="1"/>
    <col min="9211" max="9211" width="6.5703125" style="122" customWidth="1"/>
    <col min="9212" max="9212" width="3.28515625" style="122" customWidth="1"/>
    <col min="9213" max="9213" width="5.85546875" style="122" customWidth="1"/>
    <col min="9214" max="9214" width="6.5703125" style="122" customWidth="1"/>
    <col min="9215" max="9215" width="3.28515625" style="122" customWidth="1"/>
    <col min="9216" max="9216" width="5.85546875" style="122" customWidth="1"/>
    <col min="9217" max="9217" width="6.5703125" style="122" customWidth="1"/>
    <col min="9218" max="9218" width="3.28515625" style="122" customWidth="1"/>
    <col min="9219" max="9219" width="5.85546875" style="122" customWidth="1"/>
    <col min="9220" max="9220" width="6.5703125" style="122" customWidth="1"/>
    <col min="9221" max="9221" width="3.28515625" style="122" customWidth="1"/>
    <col min="9222" max="9222" width="5.85546875" style="122" customWidth="1"/>
    <col min="9223" max="9223" width="6.5703125" style="122" customWidth="1"/>
    <col min="9224" max="9224" width="3.28515625" style="122" customWidth="1"/>
    <col min="9225" max="9225" width="5.85546875" style="122" customWidth="1"/>
    <col min="9226" max="9226" width="6.5703125" style="122" customWidth="1"/>
    <col min="9227" max="9227" width="3.28515625" style="122" customWidth="1"/>
    <col min="9228" max="9228" width="5.85546875" style="122" customWidth="1"/>
    <col min="9229" max="9229" width="6.5703125" style="122" customWidth="1"/>
    <col min="9230" max="9230" width="9.42578125" style="122" customWidth="1"/>
    <col min="9231" max="9433" width="9.140625" style="122"/>
    <col min="9434" max="9434" width="4.85546875" style="122" customWidth="1"/>
    <col min="9435" max="9435" width="5.140625" style="122" customWidth="1"/>
    <col min="9436" max="9436" width="13.7109375" style="122" customWidth="1"/>
    <col min="9437" max="9437" width="9.42578125" style="122" customWidth="1"/>
    <col min="9438" max="9438" width="7.85546875" style="122" bestFit="1" customWidth="1"/>
    <col min="9439" max="9439" width="9.42578125" style="122" customWidth="1"/>
    <col min="9440" max="9440" width="7.42578125" style="122" customWidth="1"/>
    <col min="9441" max="9441" width="7.85546875" style="122" customWidth="1"/>
    <col min="9442" max="9442" width="11" style="122" customWidth="1"/>
    <col min="9443" max="9443" width="7.5703125" style="122" customWidth="1"/>
    <col min="9444" max="9444" width="3.28515625" style="122" customWidth="1"/>
    <col min="9445" max="9445" width="5.85546875" style="122" customWidth="1"/>
    <col min="9446" max="9446" width="6.5703125" style="122" customWidth="1"/>
    <col min="9447" max="9447" width="3.28515625" style="122" customWidth="1"/>
    <col min="9448" max="9448" width="5.85546875" style="122" customWidth="1"/>
    <col min="9449" max="9449" width="6.5703125" style="122" customWidth="1"/>
    <col min="9450" max="9450" width="3.28515625" style="122" customWidth="1"/>
    <col min="9451" max="9451" width="5.85546875" style="122" customWidth="1"/>
    <col min="9452" max="9452" width="6.5703125" style="122" customWidth="1"/>
    <col min="9453" max="9453" width="3.28515625" style="122" customWidth="1"/>
    <col min="9454" max="9454" width="5.85546875" style="122" customWidth="1"/>
    <col min="9455" max="9455" width="6.5703125" style="122" customWidth="1"/>
    <col min="9456" max="9456" width="3.28515625" style="122" customWidth="1"/>
    <col min="9457" max="9457" width="5.85546875" style="122" customWidth="1"/>
    <col min="9458" max="9458" width="6.5703125" style="122" customWidth="1"/>
    <col min="9459" max="9459" width="3.28515625" style="122" customWidth="1"/>
    <col min="9460" max="9460" width="5.85546875" style="122" customWidth="1"/>
    <col min="9461" max="9461" width="6.5703125" style="122" customWidth="1"/>
    <col min="9462" max="9462" width="3.28515625" style="122" customWidth="1"/>
    <col min="9463" max="9463" width="5.85546875" style="122" customWidth="1"/>
    <col min="9464" max="9464" width="6.5703125" style="122" customWidth="1"/>
    <col min="9465" max="9465" width="3.28515625" style="122" customWidth="1"/>
    <col min="9466" max="9466" width="5.85546875" style="122" customWidth="1"/>
    <col min="9467" max="9467" width="6.5703125" style="122" customWidth="1"/>
    <col min="9468" max="9468" width="3.28515625" style="122" customWidth="1"/>
    <col min="9469" max="9469" width="5.85546875" style="122" customWidth="1"/>
    <col min="9470" max="9470" width="6.5703125" style="122" customWidth="1"/>
    <col min="9471" max="9471" width="3.28515625" style="122" customWidth="1"/>
    <col min="9472" max="9472" width="5.85546875" style="122" customWidth="1"/>
    <col min="9473" max="9473" width="6.5703125" style="122" customWidth="1"/>
    <col min="9474" max="9474" width="3.28515625" style="122" customWidth="1"/>
    <col min="9475" max="9475" width="5.85546875" style="122" customWidth="1"/>
    <col min="9476" max="9476" width="6.5703125" style="122" customWidth="1"/>
    <col min="9477" max="9477" width="3.28515625" style="122" customWidth="1"/>
    <col min="9478" max="9478" width="5.85546875" style="122" customWidth="1"/>
    <col min="9479" max="9479" width="6.5703125" style="122" customWidth="1"/>
    <col min="9480" max="9480" width="3.28515625" style="122" customWidth="1"/>
    <col min="9481" max="9481" width="5.85546875" style="122" customWidth="1"/>
    <col min="9482" max="9482" width="6.5703125" style="122" customWidth="1"/>
    <col min="9483" max="9483" width="3.28515625" style="122" customWidth="1"/>
    <col min="9484" max="9484" width="5.85546875" style="122" customWidth="1"/>
    <col min="9485" max="9485" width="6.5703125" style="122" customWidth="1"/>
    <col min="9486" max="9486" width="9.42578125" style="122" customWidth="1"/>
    <col min="9487" max="9689" width="9.140625" style="122"/>
    <col min="9690" max="9690" width="4.85546875" style="122" customWidth="1"/>
    <col min="9691" max="9691" width="5.140625" style="122" customWidth="1"/>
    <col min="9692" max="9692" width="13.7109375" style="122" customWidth="1"/>
    <col min="9693" max="9693" width="9.42578125" style="122" customWidth="1"/>
    <col min="9694" max="9694" width="7.85546875" style="122" bestFit="1" customWidth="1"/>
    <col min="9695" max="9695" width="9.42578125" style="122" customWidth="1"/>
    <col min="9696" max="9696" width="7.42578125" style="122" customWidth="1"/>
    <col min="9697" max="9697" width="7.85546875" style="122" customWidth="1"/>
    <col min="9698" max="9698" width="11" style="122" customWidth="1"/>
    <col min="9699" max="9699" width="7.5703125" style="122" customWidth="1"/>
    <col min="9700" max="9700" width="3.28515625" style="122" customWidth="1"/>
    <col min="9701" max="9701" width="5.85546875" style="122" customWidth="1"/>
    <col min="9702" max="9702" width="6.5703125" style="122" customWidth="1"/>
    <col min="9703" max="9703" width="3.28515625" style="122" customWidth="1"/>
    <col min="9704" max="9704" width="5.85546875" style="122" customWidth="1"/>
    <col min="9705" max="9705" width="6.5703125" style="122" customWidth="1"/>
    <col min="9706" max="9706" width="3.28515625" style="122" customWidth="1"/>
    <col min="9707" max="9707" width="5.85546875" style="122" customWidth="1"/>
    <col min="9708" max="9708" width="6.5703125" style="122" customWidth="1"/>
    <col min="9709" max="9709" width="3.28515625" style="122" customWidth="1"/>
    <col min="9710" max="9710" width="5.85546875" style="122" customWidth="1"/>
    <col min="9711" max="9711" width="6.5703125" style="122" customWidth="1"/>
    <col min="9712" max="9712" width="3.28515625" style="122" customWidth="1"/>
    <col min="9713" max="9713" width="5.85546875" style="122" customWidth="1"/>
    <col min="9714" max="9714" width="6.5703125" style="122" customWidth="1"/>
    <col min="9715" max="9715" width="3.28515625" style="122" customWidth="1"/>
    <col min="9716" max="9716" width="5.85546875" style="122" customWidth="1"/>
    <col min="9717" max="9717" width="6.5703125" style="122" customWidth="1"/>
    <col min="9718" max="9718" width="3.28515625" style="122" customWidth="1"/>
    <col min="9719" max="9719" width="5.85546875" style="122" customWidth="1"/>
    <col min="9720" max="9720" width="6.5703125" style="122" customWidth="1"/>
    <col min="9721" max="9721" width="3.28515625" style="122" customWidth="1"/>
    <col min="9722" max="9722" width="5.85546875" style="122" customWidth="1"/>
    <col min="9723" max="9723" width="6.5703125" style="122" customWidth="1"/>
    <col min="9724" max="9724" width="3.28515625" style="122" customWidth="1"/>
    <col min="9725" max="9725" width="5.85546875" style="122" customWidth="1"/>
    <col min="9726" max="9726" width="6.5703125" style="122" customWidth="1"/>
    <col min="9727" max="9727" width="3.28515625" style="122" customWidth="1"/>
    <col min="9728" max="9728" width="5.85546875" style="122" customWidth="1"/>
    <col min="9729" max="9729" width="6.5703125" style="122" customWidth="1"/>
    <col min="9730" max="9730" width="3.28515625" style="122" customWidth="1"/>
    <col min="9731" max="9731" width="5.85546875" style="122" customWidth="1"/>
    <col min="9732" max="9732" width="6.5703125" style="122" customWidth="1"/>
    <col min="9733" max="9733" width="3.28515625" style="122" customWidth="1"/>
    <col min="9734" max="9734" width="5.85546875" style="122" customWidth="1"/>
    <col min="9735" max="9735" width="6.5703125" style="122" customWidth="1"/>
    <col min="9736" max="9736" width="3.28515625" style="122" customWidth="1"/>
    <col min="9737" max="9737" width="5.85546875" style="122" customWidth="1"/>
    <col min="9738" max="9738" width="6.5703125" style="122" customWidth="1"/>
    <col min="9739" max="9739" width="3.28515625" style="122" customWidth="1"/>
    <col min="9740" max="9740" width="5.85546875" style="122" customWidth="1"/>
    <col min="9741" max="9741" width="6.5703125" style="122" customWidth="1"/>
    <col min="9742" max="9742" width="9.42578125" style="122" customWidth="1"/>
    <col min="9743" max="9945" width="9.140625" style="122"/>
    <col min="9946" max="9946" width="4.85546875" style="122" customWidth="1"/>
    <col min="9947" max="9947" width="5.140625" style="122" customWidth="1"/>
    <col min="9948" max="9948" width="13.7109375" style="122" customWidth="1"/>
    <col min="9949" max="9949" width="9.42578125" style="122" customWidth="1"/>
    <col min="9950" max="9950" width="7.85546875" style="122" bestFit="1" customWidth="1"/>
    <col min="9951" max="9951" width="9.42578125" style="122" customWidth="1"/>
    <col min="9952" max="9952" width="7.42578125" style="122" customWidth="1"/>
    <col min="9953" max="9953" width="7.85546875" style="122" customWidth="1"/>
    <col min="9954" max="9954" width="11" style="122" customWidth="1"/>
    <col min="9955" max="9955" width="7.5703125" style="122" customWidth="1"/>
    <col min="9956" max="9956" width="3.28515625" style="122" customWidth="1"/>
    <col min="9957" max="9957" width="5.85546875" style="122" customWidth="1"/>
    <col min="9958" max="9958" width="6.5703125" style="122" customWidth="1"/>
    <col min="9959" max="9959" width="3.28515625" style="122" customWidth="1"/>
    <col min="9960" max="9960" width="5.85546875" style="122" customWidth="1"/>
    <col min="9961" max="9961" width="6.5703125" style="122" customWidth="1"/>
    <col min="9962" max="9962" width="3.28515625" style="122" customWidth="1"/>
    <col min="9963" max="9963" width="5.85546875" style="122" customWidth="1"/>
    <col min="9964" max="9964" width="6.5703125" style="122" customWidth="1"/>
    <col min="9965" max="9965" width="3.28515625" style="122" customWidth="1"/>
    <col min="9966" max="9966" width="5.85546875" style="122" customWidth="1"/>
    <col min="9967" max="9967" width="6.5703125" style="122" customWidth="1"/>
    <col min="9968" max="9968" width="3.28515625" style="122" customWidth="1"/>
    <col min="9969" max="9969" width="5.85546875" style="122" customWidth="1"/>
    <col min="9970" max="9970" width="6.5703125" style="122" customWidth="1"/>
    <col min="9971" max="9971" width="3.28515625" style="122" customWidth="1"/>
    <col min="9972" max="9972" width="5.85546875" style="122" customWidth="1"/>
    <col min="9973" max="9973" width="6.5703125" style="122" customWidth="1"/>
    <col min="9974" max="9974" width="3.28515625" style="122" customWidth="1"/>
    <col min="9975" max="9975" width="5.85546875" style="122" customWidth="1"/>
    <col min="9976" max="9976" width="6.5703125" style="122" customWidth="1"/>
    <col min="9977" max="9977" width="3.28515625" style="122" customWidth="1"/>
    <col min="9978" max="9978" width="5.85546875" style="122" customWidth="1"/>
    <col min="9979" max="9979" width="6.5703125" style="122" customWidth="1"/>
    <col min="9980" max="9980" width="3.28515625" style="122" customWidth="1"/>
    <col min="9981" max="9981" width="5.85546875" style="122" customWidth="1"/>
    <col min="9982" max="9982" width="6.5703125" style="122" customWidth="1"/>
    <col min="9983" max="9983" width="3.28515625" style="122" customWidth="1"/>
    <col min="9984" max="9984" width="5.85546875" style="122" customWidth="1"/>
    <col min="9985" max="9985" width="6.5703125" style="122" customWidth="1"/>
    <col min="9986" max="9986" width="3.28515625" style="122" customWidth="1"/>
    <col min="9987" max="9987" width="5.85546875" style="122" customWidth="1"/>
    <col min="9988" max="9988" width="6.5703125" style="122" customWidth="1"/>
    <col min="9989" max="9989" width="3.28515625" style="122" customWidth="1"/>
    <col min="9990" max="9990" width="5.85546875" style="122" customWidth="1"/>
    <col min="9991" max="9991" width="6.5703125" style="122" customWidth="1"/>
    <col min="9992" max="9992" width="3.28515625" style="122" customWidth="1"/>
    <col min="9993" max="9993" width="5.85546875" style="122" customWidth="1"/>
    <col min="9994" max="9994" width="6.5703125" style="122" customWidth="1"/>
    <col min="9995" max="9995" width="3.28515625" style="122" customWidth="1"/>
    <col min="9996" max="9996" width="5.85546875" style="122" customWidth="1"/>
    <col min="9997" max="9997" width="6.5703125" style="122" customWidth="1"/>
    <col min="9998" max="9998" width="9.42578125" style="122" customWidth="1"/>
    <col min="9999" max="10201" width="9.140625" style="122"/>
    <col min="10202" max="10202" width="4.85546875" style="122" customWidth="1"/>
    <col min="10203" max="10203" width="5.140625" style="122" customWidth="1"/>
    <col min="10204" max="10204" width="13.7109375" style="122" customWidth="1"/>
    <col min="10205" max="10205" width="9.42578125" style="122" customWidth="1"/>
    <col min="10206" max="10206" width="7.85546875" style="122" bestFit="1" customWidth="1"/>
    <col min="10207" max="10207" width="9.42578125" style="122" customWidth="1"/>
    <col min="10208" max="10208" width="7.42578125" style="122" customWidth="1"/>
    <col min="10209" max="10209" width="7.85546875" style="122" customWidth="1"/>
    <col min="10210" max="10210" width="11" style="122" customWidth="1"/>
    <col min="10211" max="10211" width="7.5703125" style="122" customWidth="1"/>
    <col min="10212" max="10212" width="3.28515625" style="122" customWidth="1"/>
    <col min="10213" max="10213" width="5.85546875" style="122" customWidth="1"/>
    <col min="10214" max="10214" width="6.5703125" style="122" customWidth="1"/>
    <col min="10215" max="10215" width="3.28515625" style="122" customWidth="1"/>
    <col min="10216" max="10216" width="5.85546875" style="122" customWidth="1"/>
    <col min="10217" max="10217" width="6.5703125" style="122" customWidth="1"/>
    <col min="10218" max="10218" width="3.28515625" style="122" customWidth="1"/>
    <col min="10219" max="10219" width="5.85546875" style="122" customWidth="1"/>
    <col min="10220" max="10220" width="6.5703125" style="122" customWidth="1"/>
    <col min="10221" max="10221" width="3.28515625" style="122" customWidth="1"/>
    <col min="10222" max="10222" width="5.85546875" style="122" customWidth="1"/>
    <col min="10223" max="10223" width="6.5703125" style="122" customWidth="1"/>
    <col min="10224" max="10224" width="3.28515625" style="122" customWidth="1"/>
    <col min="10225" max="10225" width="5.85546875" style="122" customWidth="1"/>
    <col min="10226" max="10226" width="6.5703125" style="122" customWidth="1"/>
    <col min="10227" max="10227" width="3.28515625" style="122" customWidth="1"/>
    <col min="10228" max="10228" width="5.85546875" style="122" customWidth="1"/>
    <col min="10229" max="10229" width="6.5703125" style="122" customWidth="1"/>
    <col min="10230" max="10230" width="3.28515625" style="122" customWidth="1"/>
    <col min="10231" max="10231" width="5.85546875" style="122" customWidth="1"/>
    <col min="10232" max="10232" width="6.5703125" style="122" customWidth="1"/>
    <col min="10233" max="10233" width="3.28515625" style="122" customWidth="1"/>
    <col min="10234" max="10234" width="5.85546875" style="122" customWidth="1"/>
    <col min="10235" max="10235" width="6.5703125" style="122" customWidth="1"/>
    <col min="10236" max="10236" width="3.28515625" style="122" customWidth="1"/>
    <col min="10237" max="10237" width="5.85546875" style="122" customWidth="1"/>
    <col min="10238" max="10238" width="6.5703125" style="122" customWidth="1"/>
    <col min="10239" max="10239" width="3.28515625" style="122" customWidth="1"/>
    <col min="10240" max="10240" width="5.85546875" style="122" customWidth="1"/>
    <col min="10241" max="10241" width="6.5703125" style="122" customWidth="1"/>
    <col min="10242" max="10242" width="3.28515625" style="122" customWidth="1"/>
    <col min="10243" max="10243" width="5.85546875" style="122" customWidth="1"/>
    <col min="10244" max="10244" width="6.5703125" style="122" customWidth="1"/>
    <col min="10245" max="10245" width="3.28515625" style="122" customWidth="1"/>
    <col min="10246" max="10246" width="5.85546875" style="122" customWidth="1"/>
    <col min="10247" max="10247" width="6.5703125" style="122" customWidth="1"/>
    <col min="10248" max="10248" width="3.28515625" style="122" customWidth="1"/>
    <col min="10249" max="10249" width="5.85546875" style="122" customWidth="1"/>
    <col min="10250" max="10250" width="6.5703125" style="122" customWidth="1"/>
    <col min="10251" max="10251" width="3.28515625" style="122" customWidth="1"/>
    <col min="10252" max="10252" width="5.85546875" style="122" customWidth="1"/>
    <col min="10253" max="10253" width="6.5703125" style="122" customWidth="1"/>
    <col min="10254" max="10254" width="9.42578125" style="122" customWidth="1"/>
    <col min="10255" max="10457" width="9.140625" style="122"/>
    <col min="10458" max="10458" width="4.85546875" style="122" customWidth="1"/>
    <col min="10459" max="10459" width="5.140625" style="122" customWidth="1"/>
    <col min="10460" max="10460" width="13.7109375" style="122" customWidth="1"/>
    <col min="10461" max="10461" width="9.42578125" style="122" customWidth="1"/>
    <col min="10462" max="10462" width="7.85546875" style="122" bestFit="1" customWidth="1"/>
    <col min="10463" max="10463" width="9.42578125" style="122" customWidth="1"/>
    <col min="10464" max="10464" width="7.42578125" style="122" customWidth="1"/>
    <col min="10465" max="10465" width="7.85546875" style="122" customWidth="1"/>
    <col min="10466" max="10466" width="11" style="122" customWidth="1"/>
    <col min="10467" max="10467" width="7.5703125" style="122" customWidth="1"/>
    <col min="10468" max="10468" width="3.28515625" style="122" customWidth="1"/>
    <col min="10469" max="10469" width="5.85546875" style="122" customWidth="1"/>
    <col min="10470" max="10470" width="6.5703125" style="122" customWidth="1"/>
    <col min="10471" max="10471" width="3.28515625" style="122" customWidth="1"/>
    <col min="10472" max="10472" width="5.85546875" style="122" customWidth="1"/>
    <col min="10473" max="10473" width="6.5703125" style="122" customWidth="1"/>
    <col min="10474" max="10474" width="3.28515625" style="122" customWidth="1"/>
    <col min="10475" max="10475" width="5.85546875" style="122" customWidth="1"/>
    <col min="10476" max="10476" width="6.5703125" style="122" customWidth="1"/>
    <col min="10477" max="10477" width="3.28515625" style="122" customWidth="1"/>
    <col min="10478" max="10478" width="5.85546875" style="122" customWidth="1"/>
    <col min="10479" max="10479" width="6.5703125" style="122" customWidth="1"/>
    <col min="10480" max="10480" width="3.28515625" style="122" customWidth="1"/>
    <col min="10481" max="10481" width="5.85546875" style="122" customWidth="1"/>
    <col min="10482" max="10482" width="6.5703125" style="122" customWidth="1"/>
    <col min="10483" max="10483" width="3.28515625" style="122" customWidth="1"/>
    <col min="10484" max="10484" width="5.85546875" style="122" customWidth="1"/>
    <col min="10485" max="10485" width="6.5703125" style="122" customWidth="1"/>
    <col min="10486" max="10486" width="3.28515625" style="122" customWidth="1"/>
    <col min="10487" max="10487" width="5.85546875" style="122" customWidth="1"/>
    <col min="10488" max="10488" width="6.5703125" style="122" customWidth="1"/>
    <col min="10489" max="10489" width="3.28515625" style="122" customWidth="1"/>
    <col min="10490" max="10490" width="5.85546875" style="122" customWidth="1"/>
    <col min="10491" max="10491" width="6.5703125" style="122" customWidth="1"/>
    <col min="10492" max="10492" width="3.28515625" style="122" customWidth="1"/>
    <col min="10493" max="10493" width="5.85546875" style="122" customWidth="1"/>
    <col min="10494" max="10494" width="6.5703125" style="122" customWidth="1"/>
    <col min="10495" max="10495" width="3.28515625" style="122" customWidth="1"/>
    <col min="10496" max="10496" width="5.85546875" style="122" customWidth="1"/>
    <col min="10497" max="10497" width="6.5703125" style="122" customWidth="1"/>
    <col min="10498" max="10498" width="3.28515625" style="122" customWidth="1"/>
    <col min="10499" max="10499" width="5.85546875" style="122" customWidth="1"/>
    <col min="10500" max="10500" width="6.5703125" style="122" customWidth="1"/>
    <col min="10501" max="10501" width="3.28515625" style="122" customWidth="1"/>
    <col min="10502" max="10502" width="5.85546875" style="122" customWidth="1"/>
    <col min="10503" max="10503" width="6.5703125" style="122" customWidth="1"/>
    <col min="10504" max="10504" width="3.28515625" style="122" customWidth="1"/>
    <col min="10505" max="10505" width="5.85546875" style="122" customWidth="1"/>
    <col min="10506" max="10506" width="6.5703125" style="122" customWidth="1"/>
    <col min="10507" max="10507" width="3.28515625" style="122" customWidth="1"/>
    <col min="10508" max="10508" width="5.85546875" style="122" customWidth="1"/>
    <col min="10509" max="10509" width="6.5703125" style="122" customWidth="1"/>
    <col min="10510" max="10510" width="9.42578125" style="122" customWidth="1"/>
    <col min="10511" max="10713" width="9.140625" style="122"/>
    <col min="10714" max="10714" width="4.85546875" style="122" customWidth="1"/>
    <col min="10715" max="10715" width="5.140625" style="122" customWidth="1"/>
    <col min="10716" max="10716" width="13.7109375" style="122" customWidth="1"/>
    <col min="10717" max="10717" width="9.42578125" style="122" customWidth="1"/>
    <col min="10718" max="10718" width="7.85546875" style="122" bestFit="1" customWidth="1"/>
    <col min="10719" max="10719" width="9.42578125" style="122" customWidth="1"/>
    <col min="10720" max="10720" width="7.42578125" style="122" customWidth="1"/>
    <col min="10721" max="10721" width="7.85546875" style="122" customWidth="1"/>
    <col min="10722" max="10722" width="11" style="122" customWidth="1"/>
    <col min="10723" max="10723" width="7.5703125" style="122" customWidth="1"/>
    <col min="10724" max="10724" width="3.28515625" style="122" customWidth="1"/>
    <col min="10725" max="10725" width="5.85546875" style="122" customWidth="1"/>
    <col min="10726" max="10726" width="6.5703125" style="122" customWidth="1"/>
    <col min="10727" max="10727" width="3.28515625" style="122" customWidth="1"/>
    <col min="10728" max="10728" width="5.85546875" style="122" customWidth="1"/>
    <col min="10729" max="10729" width="6.5703125" style="122" customWidth="1"/>
    <col min="10730" max="10730" width="3.28515625" style="122" customWidth="1"/>
    <col min="10731" max="10731" width="5.85546875" style="122" customWidth="1"/>
    <col min="10732" max="10732" width="6.5703125" style="122" customWidth="1"/>
    <col min="10733" max="10733" width="3.28515625" style="122" customWidth="1"/>
    <col min="10734" max="10734" width="5.85546875" style="122" customWidth="1"/>
    <col min="10735" max="10735" width="6.5703125" style="122" customWidth="1"/>
    <col min="10736" max="10736" width="3.28515625" style="122" customWidth="1"/>
    <col min="10737" max="10737" width="5.85546875" style="122" customWidth="1"/>
    <col min="10738" max="10738" width="6.5703125" style="122" customWidth="1"/>
    <col min="10739" max="10739" width="3.28515625" style="122" customWidth="1"/>
    <col min="10740" max="10740" width="5.85546875" style="122" customWidth="1"/>
    <col min="10741" max="10741" width="6.5703125" style="122" customWidth="1"/>
    <col min="10742" max="10742" width="3.28515625" style="122" customWidth="1"/>
    <col min="10743" max="10743" width="5.85546875" style="122" customWidth="1"/>
    <col min="10744" max="10744" width="6.5703125" style="122" customWidth="1"/>
    <col min="10745" max="10745" width="3.28515625" style="122" customWidth="1"/>
    <col min="10746" max="10746" width="5.85546875" style="122" customWidth="1"/>
    <col min="10747" max="10747" width="6.5703125" style="122" customWidth="1"/>
    <col min="10748" max="10748" width="3.28515625" style="122" customWidth="1"/>
    <col min="10749" max="10749" width="5.85546875" style="122" customWidth="1"/>
    <col min="10750" max="10750" width="6.5703125" style="122" customWidth="1"/>
    <col min="10751" max="10751" width="3.28515625" style="122" customWidth="1"/>
    <col min="10752" max="10752" width="5.85546875" style="122" customWidth="1"/>
    <col min="10753" max="10753" width="6.5703125" style="122" customWidth="1"/>
    <col min="10754" max="10754" width="3.28515625" style="122" customWidth="1"/>
    <col min="10755" max="10755" width="5.85546875" style="122" customWidth="1"/>
    <col min="10756" max="10756" width="6.5703125" style="122" customWidth="1"/>
    <col min="10757" max="10757" width="3.28515625" style="122" customWidth="1"/>
    <col min="10758" max="10758" width="5.85546875" style="122" customWidth="1"/>
    <col min="10759" max="10759" width="6.5703125" style="122" customWidth="1"/>
    <col min="10760" max="10760" width="3.28515625" style="122" customWidth="1"/>
    <col min="10761" max="10761" width="5.85546875" style="122" customWidth="1"/>
    <col min="10762" max="10762" width="6.5703125" style="122" customWidth="1"/>
    <col min="10763" max="10763" width="3.28515625" style="122" customWidth="1"/>
    <col min="10764" max="10764" width="5.85546875" style="122" customWidth="1"/>
    <col min="10765" max="10765" width="6.5703125" style="122" customWidth="1"/>
    <col min="10766" max="10766" width="9.42578125" style="122" customWidth="1"/>
    <col min="10767" max="10969" width="9.140625" style="122"/>
    <col min="10970" max="10970" width="4.85546875" style="122" customWidth="1"/>
    <col min="10971" max="10971" width="5.140625" style="122" customWidth="1"/>
    <col min="10972" max="10972" width="13.7109375" style="122" customWidth="1"/>
    <col min="10973" max="10973" width="9.42578125" style="122" customWidth="1"/>
    <col min="10974" max="10974" width="7.85546875" style="122" bestFit="1" customWidth="1"/>
    <col min="10975" max="10975" width="9.42578125" style="122" customWidth="1"/>
    <col min="10976" max="10976" width="7.42578125" style="122" customWidth="1"/>
    <col min="10977" max="10977" width="7.85546875" style="122" customWidth="1"/>
    <col min="10978" max="10978" width="11" style="122" customWidth="1"/>
    <col min="10979" max="10979" width="7.5703125" style="122" customWidth="1"/>
    <col min="10980" max="10980" width="3.28515625" style="122" customWidth="1"/>
    <col min="10981" max="10981" width="5.85546875" style="122" customWidth="1"/>
    <col min="10982" max="10982" width="6.5703125" style="122" customWidth="1"/>
    <col min="10983" max="10983" width="3.28515625" style="122" customWidth="1"/>
    <col min="10984" max="10984" width="5.85546875" style="122" customWidth="1"/>
    <col min="10985" max="10985" width="6.5703125" style="122" customWidth="1"/>
    <col min="10986" max="10986" width="3.28515625" style="122" customWidth="1"/>
    <col min="10987" max="10987" width="5.85546875" style="122" customWidth="1"/>
    <col min="10988" max="10988" width="6.5703125" style="122" customWidth="1"/>
    <col min="10989" max="10989" width="3.28515625" style="122" customWidth="1"/>
    <col min="10990" max="10990" width="5.85546875" style="122" customWidth="1"/>
    <col min="10991" max="10991" width="6.5703125" style="122" customWidth="1"/>
    <col min="10992" max="10992" width="3.28515625" style="122" customWidth="1"/>
    <col min="10993" max="10993" width="5.85546875" style="122" customWidth="1"/>
    <col min="10994" max="10994" width="6.5703125" style="122" customWidth="1"/>
    <col min="10995" max="10995" width="3.28515625" style="122" customWidth="1"/>
    <col min="10996" max="10996" width="5.85546875" style="122" customWidth="1"/>
    <col min="10997" max="10997" width="6.5703125" style="122" customWidth="1"/>
    <col min="10998" max="10998" width="3.28515625" style="122" customWidth="1"/>
    <col min="10999" max="10999" width="5.85546875" style="122" customWidth="1"/>
    <col min="11000" max="11000" width="6.5703125" style="122" customWidth="1"/>
    <col min="11001" max="11001" width="3.28515625" style="122" customWidth="1"/>
    <col min="11002" max="11002" width="5.85546875" style="122" customWidth="1"/>
    <col min="11003" max="11003" width="6.5703125" style="122" customWidth="1"/>
    <col min="11004" max="11004" width="3.28515625" style="122" customWidth="1"/>
    <col min="11005" max="11005" width="5.85546875" style="122" customWidth="1"/>
    <col min="11006" max="11006" width="6.5703125" style="122" customWidth="1"/>
    <col min="11007" max="11007" width="3.28515625" style="122" customWidth="1"/>
    <col min="11008" max="11008" width="5.85546875" style="122" customWidth="1"/>
    <col min="11009" max="11009" width="6.5703125" style="122" customWidth="1"/>
    <col min="11010" max="11010" width="3.28515625" style="122" customWidth="1"/>
    <col min="11011" max="11011" width="5.85546875" style="122" customWidth="1"/>
    <col min="11012" max="11012" width="6.5703125" style="122" customWidth="1"/>
    <col min="11013" max="11013" width="3.28515625" style="122" customWidth="1"/>
    <col min="11014" max="11014" width="5.85546875" style="122" customWidth="1"/>
    <col min="11015" max="11015" width="6.5703125" style="122" customWidth="1"/>
    <col min="11016" max="11016" width="3.28515625" style="122" customWidth="1"/>
    <col min="11017" max="11017" width="5.85546875" style="122" customWidth="1"/>
    <col min="11018" max="11018" width="6.5703125" style="122" customWidth="1"/>
    <col min="11019" max="11019" width="3.28515625" style="122" customWidth="1"/>
    <col min="11020" max="11020" width="5.85546875" style="122" customWidth="1"/>
    <col min="11021" max="11021" width="6.5703125" style="122" customWidth="1"/>
    <col min="11022" max="11022" width="9.42578125" style="122" customWidth="1"/>
    <col min="11023" max="11225" width="9.140625" style="122"/>
    <col min="11226" max="11226" width="4.85546875" style="122" customWidth="1"/>
    <col min="11227" max="11227" width="5.140625" style="122" customWidth="1"/>
    <col min="11228" max="11228" width="13.7109375" style="122" customWidth="1"/>
    <col min="11229" max="11229" width="9.42578125" style="122" customWidth="1"/>
    <col min="11230" max="11230" width="7.85546875" style="122" bestFit="1" customWidth="1"/>
    <col min="11231" max="11231" width="9.42578125" style="122" customWidth="1"/>
    <col min="11232" max="11232" width="7.42578125" style="122" customWidth="1"/>
    <col min="11233" max="11233" width="7.85546875" style="122" customWidth="1"/>
    <col min="11234" max="11234" width="11" style="122" customWidth="1"/>
    <col min="11235" max="11235" width="7.5703125" style="122" customWidth="1"/>
    <col min="11236" max="11236" width="3.28515625" style="122" customWidth="1"/>
    <col min="11237" max="11237" width="5.85546875" style="122" customWidth="1"/>
    <col min="11238" max="11238" width="6.5703125" style="122" customWidth="1"/>
    <col min="11239" max="11239" width="3.28515625" style="122" customWidth="1"/>
    <col min="11240" max="11240" width="5.85546875" style="122" customWidth="1"/>
    <col min="11241" max="11241" width="6.5703125" style="122" customWidth="1"/>
    <col min="11242" max="11242" width="3.28515625" style="122" customWidth="1"/>
    <col min="11243" max="11243" width="5.85546875" style="122" customWidth="1"/>
    <col min="11244" max="11244" width="6.5703125" style="122" customWidth="1"/>
    <col min="11245" max="11245" width="3.28515625" style="122" customWidth="1"/>
    <col min="11246" max="11246" width="5.85546875" style="122" customWidth="1"/>
    <col min="11247" max="11247" width="6.5703125" style="122" customWidth="1"/>
    <col min="11248" max="11248" width="3.28515625" style="122" customWidth="1"/>
    <col min="11249" max="11249" width="5.85546875" style="122" customWidth="1"/>
    <col min="11250" max="11250" width="6.5703125" style="122" customWidth="1"/>
    <col min="11251" max="11251" width="3.28515625" style="122" customWidth="1"/>
    <col min="11252" max="11252" width="5.85546875" style="122" customWidth="1"/>
    <col min="11253" max="11253" width="6.5703125" style="122" customWidth="1"/>
    <col min="11254" max="11254" width="3.28515625" style="122" customWidth="1"/>
    <col min="11255" max="11255" width="5.85546875" style="122" customWidth="1"/>
    <col min="11256" max="11256" width="6.5703125" style="122" customWidth="1"/>
    <col min="11257" max="11257" width="3.28515625" style="122" customWidth="1"/>
    <col min="11258" max="11258" width="5.85546875" style="122" customWidth="1"/>
    <col min="11259" max="11259" width="6.5703125" style="122" customWidth="1"/>
    <col min="11260" max="11260" width="3.28515625" style="122" customWidth="1"/>
    <col min="11261" max="11261" width="5.85546875" style="122" customWidth="1"/>
    <col min="11262" max="11262" width="6.5703125" style="122" customWidth="1"/>
    <col min="11263" max="11263" width="3.28515625" style="122" customWidth="1"/>
    <col min="11264" max="11264" width="5.85546875" style="122" customWidth="1"/>
    <col min="11265" max="11265" width="6.5703125" style="122" customWidth="1"/>
    <col min="11266" max="11266" width="3.28515625" style="122" customWidth="1"/>
    <col min="11267" max="11267" width="5.85546875" style="122" customWidth="1"/>
    <col min="11268" max="11268" width="6.5703125" style="122" customWidth="1"/>
    <col min="11269" max="11269" width="3.28515625" style="122" customWidth="1"/>
    <col min="11270" max="11270" width="5.85546875" style="122" customWidth="1"/>
    <col min="11271" max="11271" width="6.5703125" style="122" customWidth="1"/>
    <col min="11272" max="11272" width="3.28515625" style="122" customWidth="1"/>
    <col min="11273" max="11273" width="5.85546875" style="122" customWidth="1"/>
    <col min="11274" max="11274" width="6.5703125" style="122" customWidth="1"/>
    <col min="11275" max="11275" width="3.28515625" style="122" customWidth="1"/>
    <col min="11276" max="11276" width="5.85546875" style="122" customWidth="1"/>
    <col min="11277" max="11277" width="6.5703125" style="122" customWidth="1"/>
    <col min="11278" max="11278" width="9.42578125" style="122" customWidth="1"/>
    <col min="11279" max="11481" width="9.140625" style="122"/>
    <col min="11482" max="11482" width="4.85546875" style="122" customWidth="1"/>
    <col min="11483" max="11483" width="5.140625" style="122" customWidth="1"/>
    <col min="11484" max="11484" width="13.7109375" style="122" customWidth="1"/>
    <col min="11485" max="11485" width="9.42578125" style="122" customWidth="1"/>
    <col min="11486" max="11486" width="7.85546875" style="122" bestFit="1" customWidth="1"/>
    <col min="11487" max="11487" width="9.42578125" style="122" customWidth="1"/>
    <col min="11488" max="11488" width="7.42578125" style="122" customWidth="1"/>
    <col min="11489" max="11489" width="7.85546875" style="122" customWidth="1"/>
    <col min="11490" max="11490" width="11" style="122" customWidth="1"/>
    <col min="11491" max="11491" width="7.5703125" style="122" customWidth="1"/>
    <col min="11492" max="11492" width="3.28515625" style="122" customWidth="1"/>
    <col min="11493" max="11493" width="5.85546875" style="122" customWidth="1"/>
    <col min="11494" max="11494" width="6.5703125" style="122" customWidth="1"/>
    <col min="11495" max="11495" width="3.28515625" style="122" customWidth="1"/>
    <col min="11496" max="11496" width="5.85546875" style="122" customWidth="1"/>
    <col min="11497" max="11497" width="6.5703125" style="122" customWidth="1"/>
    <col min="11498" max="11498" width="3.28515625" style="122" customWidth="1"/>
    <col min="11499" max="11499" width="5.85546875" style="122" customWidth="1"/>
    <col min="11500" max="11500" width="6.5703125" style="122" customWidth="1"/>
    <col min="11501" max="11501" width="3.28515625" style="122" customWidth="1"/>
    <col min="11502" max="11502" width="5.85546875" style="122" customWidth="1"/>
    <col min="11503" max="11503" width="6.5703125" style="122" customWidth="1"/>
    <col min="11504" max="11504" width="3.28515625" style="122" customWidth="1"/>
    <col min="11505" max="11505" width="5.85546875" style="122" customWidth="1"/>
    <col min="11506" max="11506" width="6.5703125" style="122" customWidth="1"/>
    <col min="11507" max="11507" width="3.28515625" style="122" customWidth="1"/>
    <col min="11508" max="11508" width="5.85546875" style="122" customWidth="1"/>
    <col min="11509" max="11509" width="6.5703125" style="122" customWidth="1"/>
    <col min="11510" max="11510" width="3.28515625" style="122" customWidth="1"/>
    <col min="11511" max="11511" width="5.85546875" style="122" customWidth="1"/>
    <col min="11512" max="11512" width="6.5703125" style="122" customWidth="1"/>
    <col min="11513" max="11513" width="3.28515625" style="122" customWidth="1"/>
    <col min="11514" max="11514" width="5.85546875" style="122" customWidth="1"/>
    <col min="11515" max="11515" width="6.5703125" style="122" customWidth="1"/>
    <col min="11516" max="11516" width="3.28515625" style="122" customWidth="1"/>
    <col min="11517" max="11517" width="5.85546875" style="122" customWidth="1"/>
    <col min="11518" max="11518" width="6.5703125" style="122" customWidth="1"/>
    <col min="11519" max="11519" width="3.28515625" style="122" customWidth="1"/>
    <col min="11520" max="11520" width="5.85546875" style="122" customWidth="1"/>
    <col min="11521" max="11521" width="6.5703125" style="122" customWidth="1"/>
    <col min="11522" max="11522" width="3.28515625" style="122" customWidth="1"/>
    <col min="11523" max="11523" width="5.85546875" style="122" customWidth="1"/>
    <col min="11524" max="11524" width="6.5703125" style="122" customWidth="1"/>
    <col min="11525" max="11525" width="3.28515625" style="122" customWidth="1"/>
    <col min="11526" max="11526" width="5.85546875" style="122" customWidth="1"/>
    <col min="11527" max="11527" width="6.5703125" style="122" customWidth="1"/>
    <col min="11528" max="11528" width="3.28515625" style="122" customWidth="1"/>
    <col min="11529" max="11529" width="5.85546875" style="122" customWidth="1"/>
    <col min="11530" max="11530" width="6.5703125" style="122" customWidth="1"/>
    <col min="11531" max="11531" width="3.28515625" style="122" customWidth="1"/>
    <col min="11532" max="11532" width="5.85546875" style="122" customWidth="1"/>
    <col min="11533" max="11533" width="6.5703125" style="122" customWidth="1"/>
    <col min="11534" max="11534" width="9.42578125" style="122" customWidth="1"/>
    <col min="11535" max="11737" width="9.140625" style="122"/>
    <col min="11738" max="11738" width="4.85546875" style="122" customWidth="1"/>
    <col min="11739" max="11739" width="5.140625" style="122" customWidth="1"/>
    <col min="11740" max="11740" width="13.7109375" style="122" customWidth="1"/>
    <col min="11741" max="11741" width="9.42578125" style="122" customWidth="1"/>
    <col min="11742" max="11742" width="7.85546875" style="122" bestFit="1" customWidth="1"/>
    <col min="11743" max="11743" width="9.42578125" style="122" customWidth="1"/>
    <col min="11744" max="11744" width="7.42578125" style="122" customWidth="1"/>
    <col min="11745" max="11745" width="7.85546875" style="122" customWidth="1"/>
    <col min="11746" max="11746" width="11" style="122" customWidth="1"/>
    <col min="11747" max="11747" width="7.5703125" style="122" customWidth="1"/>
    <col min="11748" max="11748" width="3.28515625" style="122" customWidth="1"/>
    <col min="11749" max="11749" width="5.85546875" style="122" customWidth="1"/>
    <col min="11750" max="11750" width="6.5703125" style="122" customWidth="1"/>
    <col min="11751" max="11751" width="3.28515625" style="122" customWidth="1"/>
    <col min="11752" max="11752" width="5.85546875" style="122" customWidth="1"/>
    <col min="11753" max="11753" width="6.5703125" style="122" customWidth="1"/>
    <col min="11754" max="11754" width="3.28515625" style="122" customWidth="1"/>
    <col min="11755" max="11755" width="5.85546875" style="122" customWidth="1"/>
    <col min="11756" max="11756" width="6.5703125" style="122" customWidth="1"/>
    <col min="11757" max="11757" width="3.28515625" style="122" customWidth="1"/>
    <col min="11758" max="11758" width="5.85546875" style="122" customWidth="1"/>
    <col min="11759" max="11759" width="6.5703125" style="122" customWidth="1"/>
    <col min="11760" max="11760" width="3.28515625" style="122" customWidth="1"/>
    <col min="11761" max="11761" width="5.85546875" style="122" customWidth="1"/>
    <col min="11762" max="11762" width="6.5703125" style="122" customWidth="1"/>
    <col min="11763" max="11763" width="3.28515625" style="122" customWidth="1"/>
    <col min="11764" max="11764" width="5.85546875" style="122" customWidth="1"/>
    <col min="11765" max="11765" width="6.5703125" style="122" customWidth="1"/>
    <col min="11766" max="11766" width="3.28515625" style="122" customWidth="1"/>
    <col min="11767" max="11767" width="5.85546875" style="122" customWidth="1"/>
    <col min="11768" max="11768" width="6.5703125" style="122" customWidth="1"/>
    <col min="11769" max="11769" width="3.28515625" style="122" customWidth="1"/>
    <col min="11770" max="11770" width="5.85546875" style="122" customWidth="1"/>
    <col min="11771" max="11771" width="6.5703125" style="122" customWidth="1"/>
    <col min="11772" max="11772" width="3.28515625" style="122" customWidth="1"/>
    <col min="11773" max="11773" width="5.85546875" style="122" customWidth="1"/>
    <col min="11774" max="11774" width="6.5703125" style="122" customWidth="1"/>
    <col min="11775" max="11775" width="3.28515625" style="122" customWidth="1"/>
    <col min="11776" max="11776" width="5.85546875" style="122" customWidth="1"/>
    <col min="11777" max="11777" width="6.5703125" style="122" customWidth="1"/>
    <col min="11778" max="11778" width="3.28515625" style="122" customWidth="1"/>
    <col min="11779" max="11779" width="5.85546875" style="122" customWidth="1"/>
    <col min="11780" max="11780" width="6.5703125" style="122" customWidth="1"/>
    <col min="11781" max="11781" width="3.28515625" style="122" customWidth="1"/>
    <col min="11782" max="11782" width="5.85546875" style="122" customWidth="1"/>
    <col min="11783" max="11783" width="6.5703125" style="122" customWidth="1"/>
    <col min="11784" max="11784" width="3.28515625" style="122" customWidth="1"/>
    <col min="11785" max="11785" width="5.85546875" style="122" customWidth="1"/>
    <col min="11786" max="11786" width="6.5703125" style="122" customWidth="1"/>
    <col min="11787" max="11787" width="3.28515625" style="122" customWidth="1"/>
    <col min="11788" max="11788" width="5.85546875" style="122" customWidth="1"/>
    <col min="11789" max="11789" width="6.5703125" style="122" customWidth="1"/>
    <col min="11790" max="11790" width="9.42578125" style="122" customWidth="1"/>
    <col min="11791" max="11993" width="9.140625" style="122"/>
    <col min="11994" max="11994" width="4.85546875" style="122" customWidth="1"/>
    <col min="11995" max="11995" width="5.140625" style="122" customWidth="1"/>
    <col min="11996" max="11996" width="13.7109375" style="122" customWidth="1"/>
    <col min="11997" max="11997" width="9.42578125" style="122" customWidth="1"/>
    <col min="11998" max="11998" width="7.85546875" style="122" bestFit="1" customWidth="1"/>
    <col min="11999" max="11999" width="9.42578125" style="122" customWidth="1"/>
    <col min="12000" max="12000" width="7.42578125" style="122" customWidth="1"/>
    <col min="12001" max="12001" width="7.85546875" style="122" customWidth="1"/>
    <col min="12002" max="12002" width="11" style="122" customWidth="1"/>
    <col min="12003" max="12003" width="7.5703125" style="122" customWidth="1"/>
    <col min="12004" max="12004" width="3.28515625" style="122" customWidth="1"/>
    <col min="12005" max="12005" width="5.85546875" style="122" customWidth="1"/>
    <col min="12006" max="12006" width="6.5703125" style="122" customWidth="1"/>
    <col min="12007" max="12007" width="3.28515625" style="122" customWidth="1"/>
    <col min="12008" max="12008" width="5.85546875" style="122" customWidth="1"/>
    <col min="12009" max="12009" width="6.5703125" style="122" customWidth="1"/>
    <col min="12010" max="12010" width="3.28515625" style="122" customWidth="1"/>
    <col min="12011" max="12011" width="5.85546875" style="122" customWidth="1"/>
    <col min="12012" max="12012" width="6.5703125" style="122" customWidth="1"/>
    <col min="12013" max="12013" width="3.28515625" style="122" customWidth="1"/>
    <col min="12014" max="12014" width="5.85546875" style="122" customWidth="1"/>
    <col min="12015" max="12015" width="6.5703125" style="122" customWidth="1"/>
    <col min="12016" max="12016" width="3.28515625" style="122" customWidth="1"/>
    <col min="12017" max="12017" width="5.85546875" style="122" customWidth="1"/>
    <col min="12018" max="12018" width="6.5703125" style="122" customWidth="1"/>
    <col min="12019" max="12019" width="3.28515625" style="122" customWidth="1"/>
    <col min="12020" max="12020" width="5.85546875" style="122" customWidth="1"/>
    <col min="12021" max="12021" width="6.5703125" style="122" customWidth="1"/>
    <col min="12022" max="12022" width="3.28515625" style="122" customWidth="1"/>
    <col min="12023" max="12023" width="5.85546875" style="122" customWidth="1"/>
    <col min="12024" max="12024" width="6.5703125" style="122" customWidth="1"/>
    <col min="12025" max="12025" width="3.28515625" style="122" customWidth="1"/>
    <col min="12026" max="12026" width="5.85546875" style="122" customWidth="1"/>
    <col min="12027" max="12027" width="6.5703125" style="122" customWidth="1"/>
    <col min="12028" max="12028" width="3.28515625" style="122" customWidth="1"/>
    <col min="12029" max="12029" width="5.85546875" style="122" customWidth="1"/>
    <col min="12030" max="12030" width="6.5703125" style="122" customWidth="1"/>
    <col min="12031" max="12031" width="3.28515625" style="122" customWidth="1"/>
    <col min="12032" max="12032" width="5.85546875" style="122" customWidth="1"/>
    <col min="12033" max="12033" width="6.5703125" style="122" customWidth="1"/>
    <col min="12034" max="12034" width="3.28515625" style="122" customWidth="1"/>
    <col min="12035" max="12035" width="5.85546875" style="122" customWidth="1"/>
    <col min="12036" max="12036" width="6.5703125" style="122" customWidth="1"/>
    <col min="12037" max="12037" width="3.28515625" style="122" customWidth="1"/>
    <col min="12038" max="12038" width="5.85546875" style="122" customWidth="1"/>
    <col min="12039" max="12039" width="6.5703125" style="122" customWidth="1"/>
    <col min="12040" max="12040" width="3.28515625" style="122" customWidth="1"/>
    <col min="12041" max="12041" width="5.85546875" style="122" customWidth="1"/>
    <col min="12042" max="12042" width="6.5703125" style="122" customWidth="1"/>
    <col min="12043" max="12043" width="3.28515625" style="122" customWidth="1"/>
    <col min="12044" max="12044" width="5.85546875" style="122" customWidth="1"/>
    <col min="12045" max="12045" width="6.5703125" style="122" customWidth="1"/>
    <col min="12046" max="12046" width="9.42578125" style="122" customWidth="1"/>
    <col min="12047" max="12249" width="9.140625" style="122"/>
    <col min="12250" max="12250" width="4.85546875" style="122" customWidth="1"/>
    <col min="12251" max="12251" width="5.140625" style="122" customWidth="1"/>
    <col min="12252" max="12252" width="13.7109375" style="122" customWidth="1"/>
    <col min="12253" max="12253" width="9.42578125" style="122" customWidth="1"/>
    <col min="12254" max="12254" width="7.85546875" style="122" bestFit="1" customWidth="1"/>
    <col min="12255" max="12255" width="9.42578125" style="122" customWidth="1"/>
    <col min="12256" max="12256" width="7.42578125" style="122" customWidth="1"/>
    <col min="12257" max="12257" width="7.85546875" style="122" customWidth="1"/>
    <col min="12258" max="12258" width="11" style="122" customWidth="1"/>
    <col min="12259" max="12259" width="7.5703125" style="122" customWidth="1"/>
    <col min="12260" max="12260" width="3.28515625" style="122" customWidth="1"/>
    <col min="12261" max="12261" width="5.85546875" style="122" customWidth="1"/>
    <col min="12262" max="12262" width="6.5703125" style="122" customWidth="1"/>
    <col min="12263" max="12263" width="3.28515625" style="122" customWidth="1"/>
    <col min="12264" max="12264" width="5.85546875" style="122" customWidth="1"/>
    <col min="12265" max="12265" width="6.5703125" style="122" customWidth="1"/>
    <col min="12266" max="12266" width="3.28515625" style="122" customWidth="1"/>
    <col min="12267" max="12267" width="5.85546875" style="122" customWidth="1"/>
    <col min="12268" max="12268" width="6.5703125" style="122" customWidth="1"/>
    <col min="12269" max="12269" width="3.28515625" style="122" customWidth="1"/>
    <col min="12270" max="12270" width="5.85546875" style="122" customWidth="1"/>
    <col min="12271" max="12271" width="6.5703125" style="122" customWidth="1"/>
    <col min="12272" max="12272" width="3.28515625" style="122" customWidth="1"/>
    <col min="12273" max="12273" width="5.85546875" style="122" customWidth="1"/>
    <col min="12274" max="12274" width="6.5703125" style="122" customWidth="1"/>
    <col min="12275" max="12275" width="3.28515625" style="122" customWidth="1"/>
    <col min="12276" max="12276" width="5.85546875" style="122" customWidth="1"/>
    <col min="12277" max="12277" width="6.5703125" style="122" customWidth="1"/>
    <col min="12278" max="12278" width="3.28515625" style="122" customWidth="1"/>
    <col min="12279" max="12279" width="5.85546875" style="122" customWidth="1"/>
    <col min="12280" max="12280" width="6.5703125" style="122" customWidth="1"/>
    <col min="12281" max="12281" width="3.28515625" style="122" customWidth="1"/>
    <col min="12282" max="12282" width="5.85546875" style="122" customWidth="1"/>
    <col min="12283" max="12283" width="6.5703125" style="122" customWidth="1"/>
    <col min="12284" max="12284" width="3.28515625" style="122" customWidth="1"/>
    <col min="12285" max="12285" width="5.85546875" style="122" customWidth="1"/>
    <col min="12286" max="12286" width="6.5703125" style="122" customWidth="1"/>
    <col min="12287" max="12287" width="3.28515625" style="122" customWidth="1"/>
    <col min="12288" max="12288" width="5.85546875" style="122" customWidth="1"/>
    <col min="12289" max="12289" width="6.5703125" style="122" customWidth="1"/>
    <col min="12290" max="12290" width="3.28515625" style="122" customWidth="1"/>
    <col min="12291" max="12291" width="5.85546875" style="122" customWidth="1"/>
    <col min="12292" max="12292" width="6.5703125" style="122" customWidth="1"/>
    <col min="12293" max="12293" width="3.28515625" style="122" customWidth="1"/>
    <col min="12294" max="12294" width="5.85546875" style="122" customWidth="1"/>
    <col min="12295" max="12295" width="6.5703125" style="122" customWidth="1"/>
    <col min="12296" max="12296" width="3.28515625" style="122" customWidth="1"/>
    <col min="12297" max="12297" width="5.85546875" style="122" customWidth="1"/>
    <col min="12298" max="12298" width="6.5703125" style="122" customWidth="1"/>
    <col min="12299" max="12299" width="3.28515625" style="122" customWidth="1"/>
    <col min="12300" max="12300" width="5.85546875" style="122" customWidth="1"/>
    <col min="12301" max="12301" width="6.5703125" style="122" customWidth="1"/>
    <col min="12302" max="12302" width="9.42578125" style="122" customWidth="1"/>
    <col min="12303" max="12505" width="9.140625" style="122"/>
    <col min="12506" max="12506" width="4.85546875" style="122" customWidth="1"/>
    <col min="12507" max="12507" width="5.140625" style="122" customWidth="1"/>
    <col min="12508" max="12508" width="13.7109375" style="122" customWidth="1"/>
    <col min="12509" max="12509" width="9.42578125" style="122" customWidth="1"/>
    <col min="12510" max="12510" width="7.85546875" style="122" bestFit="1" customWidth="1"/>
    <col min="12511" max="12511" width="9.42578125" style="122" customWidth="1"/>
    <col min="12512" max="12512" width="7.42578125" style="122" customWidth="1"/>
    <col min="12513" max="12513" width="7.85546875" style="122" customWidth="1"/>
    <col min="12514" max="12514" width="11" style="122" customWidth="1"/>
    <col min="12515" max="12515" width="7.5703125" style="122" customWidth="1"/>
    <col min="12516" max="12516" width="3.28515625" style="122" customWidth="1"/>
    <col min="12517" max="12517" width="5.85546875" style="122" customWidth="1"/>
    <col min="12518" max="12518" width="6.5703125" style="122" customWidth="1"/>
    <col min="12519" max="12519" width="3.28515625" style="122" customWidth="1"/>
    <col min="12520" max="12520" width="5.85546875" style="122" customWidth="1"/>
    <col min="12521" max="12521" width="6.5703125" style="122" customWidth="1"/>
    <col min="12522" max="12522" width="3.28515625" style="122" customWidth="1"/>
    <col min="12523" max="12523" width="5.85546875" style="122" customWidth="1"/>
    <col min="12524" max="12524" width="6.5703125" style="122" customWidth="1"/>
    <col min="12525" max="12525" width="3.28515625" style="122" customWidth="1"/>
    <col min="12526" max="12526" width="5.85546875" style="122" customWidth="1"/>
    <col min="12527" max="12527" width="6.5703125" style="122" customWidth="1"/>
    <col min="12528" max="12528" width="3.28515625" style="122" customWidth="1"/>
    <col min="12529" max="12529" width="5.85546875" style="122" customWidth="1"/>
    <col min="12530" max="12530" width="6.5703125" style="122" customWidth="1"/>
    <col min="12531" max="12531" width="3.28515625" style="122" customWidth="1"/>
    <col min="12532" max="12532" width="5.85546875" style="122" customWidth="1"/>
    <col min="12533" max="12533" width="6.5703125" style="122" customWidth="1"/>
    <col min="12534" max="12534" width="3.28515625" style="122" customWidth="1"/>
    <col min="12535" max="12535" width="5.85546875" style="122" customWidth="1"/>
    <col min="12536" max="12536" width="6.5703125" style="122" customWidth="1"/>
    <col min="12537" max="12537" width="3.28515625" style="122" customWidth="1"/>
    <col min="12538" max="12538" width="5.85546875" style="122" customWidth="1"/>
    <col min="12539" max="12539" width="6.5703125" style="122" customWidth="1"/>
    <col min="12540" max="12540" width="3.28515625" style="122" customWidth="1"/>
    <col min="12541" max="12541" width="5.85546875" style="122" customWidth="1"/>
    <col min="12542" max="12542" width="6.5703125" style="122" customWidth="1"/>
    <col min="12543" max="12543" width="3.28515625" style="122" customWidth="1"/>
    <col min="12544" max="12544" width="5.85546875" style="122" customWidth="1"/>
    <col min="12545" max="12545" width="6.5703125" style="122" customWidth="1"/>
    <col min="12546" max="12546" width="3.28515625" style="122" customWidth="1"/>
    <col min="12547" max="12547" width="5.85546875" style="122" customWidth="1"/>
    <col min="12548" max="12548" width="6.5703125" style="122" customWidth="1"/>
    <col min="12549" max="12549" width="3.28515625" style="122" customWidth="1"/>
    <col min="12550" max="12550" width="5.85546875" style="122" customWidth="1"/>
    <col min="12551" max="12551" width="6.5703125" style="122" customWidth="1"/>
    <col min="12552" max="12552" width="3.28515625" style="122" customWidth="1"/>
    <col min="12553" max="12553" width="5.85546875" style="122" customWidth="1"/>
    <col min="12554" max="12554" width="6.5703125" style="122" customWidth="1"/>
    <col min="12555" max="12555" width="3.28515625" style="122" customWidth="1"/>
    <col min="12556" max="12556" width="5.85546875" style="122" customWidth="1"/>
    <col min="12557" max="12557" width="6.5703125" style="122" customWidth="1"/>
    <col min="12558" max="12558" width="9.42578125" style="122" customWidth="1"/>
    <col min="12559" max="12761" width="9.140625" style="122"/>
    <col min="12762" max="12762" width="4.85546875" style="122" customWidth="1"/>
    <col min="12763" max="12763" width="5.140625" style="122" customWidth="1"/>
    <col min="12764" max="12764" width="13.7109375" style="122" customWidth="1"/>
    <col min="12765" max="12765" width="9.42578125" style="122" customWidth="1"/>
    <col min="12766" max="12766" width="7.85546875" style="122" bestFit="1" customWidth="1"/>
    <col min="12767" max="12767" width="9.42578125" style="122" customWidth="1"/>
    <col min="12768" max="12768" width="7.42578125" style="122" customWidth="1"/>
    <col min="12769" max="12769" width="7.85546875" style="122" customWidth="1"/>
    <col min="12770" max="12770" width="11" style="122" customWidth="1"/>
    <col min="12771" max="12771" width="7.5703125" style="122" customWidth="1"/>
    <col min="12772" max="12772" width="3.28515625" style="122" customWidth="1"/>
    <col min="12773" max="12773" width="5.85546875" style="122" customWidth="1"/>
    <col min="12774" max="12774" width="6.5703125" style="122" customWidth="1"/>
    <col min="12775" max="12775" width="3.28515625" style="122" customWidth="1"/>
    <col min="12776" max="12776" width="5.85546875" style="122" customWidth="1"/>
    <col min="12777" max="12777" width="6.5703125" style="122" customWidth="1"/>
    <col min="12778" max="12778" width="3.28515625" style="122" customWidth="1"/>
    <col min="12779" max="12779" width="5.85546875" style="122" customWidth="1"/>
    <col min="12780" max="12780" width="6.5703125" style="122" customWidth="1"/>
    <col min="12781" max="12781" width="3.28515625" style="122" customWidth="1"/>
    <col min="12782" max="12782" width="5.85546875" style="122" customWidth="1"/>
    <col min="12783" max="12783" width="6.5703125" style="122" customWidth="1"/>
    <col min="12784" max="12784" width="3.28515625" style="122" customWidth="1"/>
    <col min="12785" max="12785" width="5.85546875" style="122" customWidth="1"/>
    <col min="12786" max="12786" width="6.5703125" style="122" customWidth="1"/>
    <col min="12787" max="12787" width="3.28515625" style="122" customWidth="1"/>
    <col min="12788" max="12788" width="5.85546875" style="122" customWidth="1"/>
    <col min="12789" max="12789" width="6.5703125" style="122" customWidth="1"/>
    <col min="12790" max="12790" width="3.28515625" style="122" customWidth="1"/>
    <col min="12791" max="12791" width="5.85546875" style="122" customWidth="1"/>
    <col min="12792" max="12792" width="6.5703125" style="122" customWidth="1"/>
    <col min="12793" max="12793" width="3.28515625" style="122" customWidth="1"/>
    <col min="12794" max="12794" width="5.85546875" style="122" customWidth="1"/>
    <col min="12795" max="12795" width="6.5703125" style="122" customWidth="1"/>
    <col min="12796" max="12796" width="3.28515625" style="122" customWidth="1"/>
    <col min="12797" max="12797" width="5.85546875" style="122" customWidth="1"/>
    <col min="12798" max="12798" width="6.5703125" style="122" customWidth="1"/>
    <col min="12799" max="12799" width="3.28515625" style="122" customWidth="1"/>
    <col min="12800" max="12800" width="5.85546875" style="122" customWidth="1"/>
    <col min="12801" max="12801" width="6.5703125" style="122" customWidth="1"/>
    <col min="12802" max="12802" width="3.28515625" style="122" customWidth="1"/>
    <col min="12803" max="12803" width="5.85546875" style="122" customWidth="1"/>
    <col min="12804" max="12804" width="6.5703125" style="122" customWidth="1"/>
    <col min="12805" max="12805" width="3.28515625" style="122" customWidth="1"/>
    <col min="12806" max="12806" width="5.85546875" style="122" customWidth="1"/>
    <col min="12807" max="12807" width="6.5703125" style="122" customWidth="1"/>
    <col min="12808" max="12808" width="3.28515625" style="122" customWidth="1"/>
    <col min="12809" max="12809" width="5.85546875" style="122" customWidth="1"/>
    <col min="12810" max="12810" width="6.5703125" style="122" customWidth="1"/>
    <col min="12811" max="12811" width="3.28515625" style="122" customWidth="1"/>
    <col min="12812" max="12812" width="5.85546875" style="122" customWidth="1"/>
    <col min="12813" max="12813" width="6.5703125" style="122" customWidth="1"/>
    <col min="12814" max="12814" width="9.42578125" style="122" customWidth="1"/>
    <col min="12815" max="13017" width="9.140625" style="122"/>
    <col min="13018" max="13018" width="4.85546875" style="122" customWidth="1"/>
    <col min="13019" max="13019" width="5.140625" style="122" customWidth="1"/>
    <col min="13020" max="13020" width="13.7109375" style="122" customWidth="1"/>
    <col min="13021" max="13021" width="9.42578125" style="122" customWidth="1"/>
    <col min="13022" max="13022" width="7.85546875" style="122" bestFit="1" customWidth="1"/>
    <col min="13023" max="13023" width="9.42578125" style="122" customWidth="1"/>
    <col min="13024" max="13024" width="7.42578125" style="122" customWidth="1"/>
    <col min="13025" max="13025" width="7.85546875" style="122" customWidth="1"/>
    <col min="13026" max="13026" width="11" style="122" customWidth="1"/>
    <col min="13027" max="13027" width="7.5703125" style="122" customWidth="1"/>
    <col min="13028" max="13028" width="3.28515625" style="122" customWidth="1"/>
    <col min="13029" max="13029" width="5.85546875" style="122" customWidth="1"/>
    <col min="13030" max="13030" width="6.5703125" style="122" customWidth="1"/>
    <col min="13031" max="13031" width="3.28515625" style="122" customWidth="1"/>
    <col min="13032" max="13032" width="5.85546875" style="122" customWidth="1"/>
    <col min="13033" max="13033" width="6.5703125" style="122" customWidth="1"/>
    <col min="13034" max="13034" width="3.28515625" style="122" customWidth="1"/>
    <col min="13035" max="13035" width="5.85546875" style="122" customWidth="1"/>
    <col min="13036" max="13036" width="6.5703125" style="122" customWidth="1"/>
    <col min="13037" max="13037" width="3.28515625" style="122" customWidth="1"/>
    <col min="13038" max="13038" width="5.85546875" style="122" customWidth="1"/>
    <col min="13039" max="13039" width="6.5703125" style="122" customWidth="1"/>
    <col min="13040" max="13040" width="3.28515625" style="122" customWidth="1"/>
    <col min="13041" max="13041" width="5.85546875" style="122" customWidth="1"/>
    <col min="13042" max="13042" width="6.5703125" style="122" customWidth="1"/>
    <col min="13043" max="13043" width="3.28515625" style="122" customWidth="1"/>
    <col min="13044" max="13044" width="5.85546875" style="122" customWidth="1"/>
    <col min="13045" max="13045" width="6.5703125" style="122" customWidth="1"/>
    <col min="13046" max="13046" width="3.28515625" style="122" customWidth="1"/>
    <col min="13047" max="13047" width="5.85546875" style="122" customWidth="1"/>
    <col min="13048" max="13048" width="6.5703125" style="122" customWidth="1"/>
    <col min="13049" max="13049" width="3.28515625" style="122" customWidth="1"/>
    <col min="13050" max="13050" width="5.85546875" style="122" customWidth="1"/>
    <col min="13051" max="13051" width="6.5703125" style="122" customWidth="1"/>
    <col min="13052" max="13052" width="3.28515625" style="122" customWidth="1"/>
    <col min="13053" max="13053" width="5.85546875" style="122" customWidth="1"/>
    <col min="13054" max="13054" width="6.5703125" style="122" customWidth="1"/>
    <col min="13055" max="13055" width="3.28515625" style="122" customWidth="1"/>
    <col min="13056" max="13056" width="5.85546875" style="122" customWidth="1"/>
    <col min="13057" max="13057" width="6.5703125" style="122" customWidth="1"/>
    <col min="13058" max="13058" width="3.28515625" style="122" customWidth="1"/>
    <col min="13059" max="13059" width="5.85546875" style="122" customWidth="1"/>
    <col min="13060" max="13060" width="6.5703125" style="122" customWidth="1"/>
    <col min="13061" max="13061" width="3.28515625" style="122" customWidth="1"/>
    <col min="13062" max="13062" width="5.85546875" style="122" customWidth="1"/>
    <col min="13063" max="13063" width="6.5703125" style="122" customWidth="1"/>
    <col min="13064" max="13064" width="3.28515625" style="122" customWidth="1"/>
    <col min="13065" max="13065" width="5.85546875" style="122" customWidth="1"/>
    <col min="13066" max="13066" width="6.5703125" style="122" customWidth="1"/>
    <col min="13067" max="13067" width="3.28515625" style="122" customWidth="1"/>
    <col min="13068" max="13068" width="5.85546875" style="122" customWidth="1"/>
    <col min="13069" max="13069" width="6.5703125" style="122" customWidth="1"/>
    <col min="13070" max="13070" width="9.42578125" style="122" customWidth="1"/>
    <col min="13071" max="13273" width="9.140625" style="122"/>
    <col min="13274" max="13274" width="4.85546875" style="122" customWidth="1"/>
    <col min="13275" max="13275" width="5.140625" style="122" customWidth="1"/>
    <col min="13276" max="13276" width="13.7109375" style="122" customWidth="1"/>
    <col min="13277" max="13277" width="9.42578125" style="122" customWidth="1"/>
    <col min="13278" max="13278" width="7.85546875" style="122" bestFit="1" customWidth="1"/>
    <col min="13279" max="13279" width="9.42578125" style="122" customWidth="1"/>
    <col min="13280" max="13280" width="7.42578125" style="122" customWidth="1"/>
    <col min="13281" max="13281" width="7.85546875" style="122" customWidth="1"/>
    <col min="13282" max="13282" width="11" style="122" customWidth="1"/>
    <col min="13283" max="13283" width="7.5703125" style="122" customWidth="1"/>
    <col min="13284" max="13284" width="3.28515625" style="122" customWidth="1"/>
    <col min="13285" max="13285" width="5.85546875" style="122" customWidth="1"/>
    <col min="13286" max="13286" width="6.5703125" style="122" customWidth="1"/>
    <col min="13287" max="13287" width="3.28515625" style="122" customWidth="1"/>
    <col min="13288" max="13288" width="5.85546875" style="122" customWidth="1"/>
    <col min="13289" max="13289" width="6.5703125" style="122" customWidth="1"/>
    <col min="13290" max="13290" width="3.28515625" style="122" customWidth="1"/>
    <col min="13291" max="13291" width="5.85546875" style="122" customWidth="1"/>
    <col min="13292" max="13292" width="6.5703125" style="122" customWidth="1"/>
    <col min="13293" max="13293" width="3.28515625" style="122" customWidth="1"/>
    <col min="13294" max="13294" width="5.85546875" style="122" customWidth="1"/>
    <col min="13295" max="13295" width="6.5703125" style="122" customWidth="1"/>
    <col min="13296" max="13296" width="3.28515625" style="122" customWidth="1"/>
    <col min="13297" max="13297" width="5.85546875" style="122" customWidth="1"/>
    <col min="13298" max="13298" width="6.5703125" style="122" customWidth="1"/>
    <col min="13299" max="13299" width="3.28515625" style="122" customWidth="1"/>
    <col min="13300" max="13300" width="5.85546875" style="122" customWidth="1"/>
    <col min="13301" max="13301" width="6.5703125" style="122" customWidth="1"/>
    <col min="13302" max="13302" width="3.28515625" style="122" customWidth="1"/>
    <col min="13303" max="13303" width="5.85546875" style="122" customWidth="1"/>
    <col min="13304" max="13304" width="6.5703125" style="122" customWidth="1"/>
    <col min="13305" max="13305" width="3.28515625" style="122" customWidth="1"/>
    <col min="13306" max="13306" width="5.85546875" style="122" customWidth="1"/>
    <col min="13307" max="13307" width="6.5703125" style="122" customWidth="1"/>
    <col min="13308" max="13308" width="3.28515625" style="122" customWidth="1"/>
    <col min="13309" max="13309" width="5.85546875" style="122" customWidth="1"/>
    <col min="13310" max="13310" width="6.5703125" style="122" customWidth="1"/>
    <col min="13311" max="13311" width="3.28515625" style="122" customWidth="1"/>
    <col min="13312" max="13312" width="5.85546875" style="122" customWidth="1"/>
    <col min="13313" max="13313" width="6.5703125" style="122" customWidth="1"/>
    <col min="13314" max="13314" width="3.28515625" style="122" customWidth="1"/>
    <col min="13315" max="13315" width="5.85546875" style="122" customWidth="1"/>
    <col min="13316" max="13316" width="6.5703125" style="122" customWidth="1"/>
    <col min="13317" max="13317" width="3.28515625" style="122" customWidth="1"/>
    <col min="13318" max="13318" width="5.85546875" style="122" customWidth="1"/>
    <col min="13319" max="13319" width="6.5703125" style="122" customWidth="1"/>
    <col min="13320" max="13320" width="3.28515625" style="122" customWidth="1"/>
    <col min="13321" max="13321" width="5.85546875" style="122" customWidth="1"/>
    <col min="13322" max="13322" width="6.5703125" style="122" customWidth="1"/>
    <col min="13323" max="13323" width="3.28515625" style="122" customWidth="1"/>
    <col min="13324" max="13324" width="5.85546875" style="122" customWidth="1"/>
    <col min="13325" max="13325" width="6.5703125" style="122" customWidth="1"/>
    <col min="13326" max="13326" width="9.42578125" style="122" customWidth="1"/>
    <col min="13327" max="13529" width="9.140625" style="122"/>
    <col min="13530" max="13530" width="4.85546875" style="122" customWidth="1"/>
    <col min="13531" max="13531" width="5.140625" style="122" customWidth="1"/>
    <col min="13532" max="13532" width="13.7109375" style="122" customWidth="1"/>
    <col min="13533" max="13533" width="9.42578125" style="122" customWidth="1"/>
    <col min="13534" max="13534" width="7.85546875" style="122" bestFit="1" customWidth="1"/>
    <col min="13535" max="13535" width="9.42578125" style="122" customWidth="1"/>
    <col min="13536" max="13536" width="7.42578125" style="122" customWidth="1"/>
    <col min="13537" max="13537" width="7.85546875" style="122" customWidth="1"/>
    <col min="13538" max="13538" width="11" style="122" customWidth="1"/>
    <col min="13539" max="13539" width="7.5703125" style="122" customWidth="1"/>
    <col min="13540" max="13540" width="3.28515625" style="122" customWidth="1"/>
    <col min="13541" max="13541" width="5.85546875" style="122" customWidth="1"/>
    <col min="13542" max="13542" width="6.5703125" style="122" customWidth="1"/>
    <col min="13543" max="13543" width="3.28515625" style="122" customWidth="1"/>
    <col min="13544" max="13544" width="5.85546875" style="122" customWidth="1"/>
    <col min="13545" max="13545" width="6.5703125" style="122" customWidth="1"/>
    <col min="13546" max="13546" width="3.28515625" style="122" customWidth="1"/>
    <col min="13547" max="13547" width="5.85546875" style="122" customWidth="1"/>
    <col min="13548" max="13548" width="6.5703125" style="122" customWidth="1"/>
    <col min="13549" max="13549" width="3.28515625" style="122" customWidth="1"/>
    <col min="13550" max="13550" width="5.85546875" style="122" customWidth="1"/>
    <col min="13551" max="13551" width="6.5703125" style="122" customWidth="1"/>
    <col min="13552" max="13552" width="3.28515625" style="122" customWidth="1"/>
    <col min="13553" max="13553" width="5.85546875" style="122" customWidth="1"/>
    <col min="13554" max="13554" width="6.5703125" style="122" customWidth="1"/>
    <col min="13555" max="13555" width="3.28515625" style="122" customWidth="1"/>
    <col min="13556" max="13556" width="5.85546875" style="122" customWidth="1"/>
    <col min="13557" max="13557" width="6.5703125" style="122" customWidth="1"/>
    <col min="13558" max="13558" width="3.28515625" style="122" customWidth="1"/>
    <col min="13559" max="13559" width="5.85546875" style="122" customWidth="1"/>
    <col min="13560" max="13560" width="6.5703125" style="122" customWidth="1"/>
    <col min="13561" max="13561" width="3.28515625" style="122" customWidth="1"/>
    <col min="13562" max="13562" width="5.85546875" style="122" customWidth="1"/>
    <col min="13563" max="13563" width="6.5703125" style="122" customWidth="1"/>
    <col min="13564" max="13564" width="3.28515625" style="122" customWidth="1"/>
    <col min="13565" max="13565" width="5.85546875" style="122" customWidth="1"/>
    <col min="13566" max="13566" width="6.5703125" style="122" customWidth="1"/>
    <col min="13567" max="13567" width="3.28515625" style="122" customWidth="1"/>
    <col min="13568" max="13568" width="5.85546875" style="122" customWidth="1"/>
    <col min="13569" max="13569" width="6.5703125" style="122" customWidth="1"/>
    <col min="13570" max="13570" width="3.28515625" style="122" customWidth="1"/>
    <col min="13571" max="13571" width="5.85546875" style="122" customWidth="1"/>
    <col min="13572" max="13572" width="6.5703125" style="122" customWidth="1"/>
    <col min="13573" max="13573" width="3.28515625" style="122" customWidth="1"/>
    <col min="13574" max="13574" width="5.85546875" style="122" customWidth="1"/>
    <col min="13575" max="13575" width="6.5703125" style="122" customWidth="1"/>
    <col min="13576" max="13576" width="3.28515625" style="122" customWidth="1"/>
    <col min="13577" max="13577" width="5.85546875" style="122" customWidth="1"/>
    <col min="13578" max="13578" width="6.5703125" style="122" customWidth="1"/>
    <col min="13579" max="13579" width="3.28515625" style="122" customWidth="1"/>
    <col min="13580" max="13580" width="5.85546875" style="122" customWidth="1"/>
    <col min="13581" max="13581" width="6.5703125" style="122" customWidth="1"/>
    <col min="13582" max="13582" width="9.42578125" style="122" customWidth="1"/>
    <col min="13583" max="13785" width="9.140625" style="122"/>
    <col min="13786" max="13786" width="4.85546875" style="122" customWidth="1"/>
    <col min="13787" max="13787" width="5.140625" style="122" customWidth="1"/>
    <col min="13788" max="13788" width="13.7109375" style="122" customWidth="1"/>
    <col min="13789" max="13789" width="9.42578125" style="122" customWidth="1"/>
    <col min="13790" max="13790" width="7.85546875" style="122" bestFit="1" customWidth="1"/>
    <col min="13791" max="13791" width="9.42578125" style="122" customWidth="1"/>
    <col min="13792" max="13792" width="7.42578125" style="122" customWidth="1"/>
    <col min="13793" max="13793" width="7.85546875" style="122" customWidth="1"/>
    <col min="13794" max="13794" width="11" style="122" customWidth="1"/>
    <col min="13795" max="13795" width="7.5703125" style="122" customWidth="1"/>
    <col min="13796" max="13796" width="3.28515625" style="122" customWidth="1"/>
    <col min="13797" max="13797" width="5.85546875" style="122" customWidth="1"/>
    <col min="13798" max="13798" width="6.5703125" style="122" customWidth="1"/>
    <col min="13799" max="13799" width="3.28515625" style="122" customWidth="1"/>
    <col min="13800" max="13800" width="5.85546875" style="122" customWidth="1"/>
    <col min="13801" max="13801" width="6.5703125" style="122" customWidth="1"/>
    <col min="13802" max="13802" width="3.28515625" style="122" customWidth="1"/>
    <col min="13803" max="13803" width="5.85546875" style="122" customWidth="1"/>
    <col min="13804" max="13804" width="6.5703125" style="122" customWidth="1"/>
    <col min="13805" max="13805" width="3.28515625" style="122" customWidth="1"/>
    <col min="13806" max="13806" width="5.85546875" style="122" customWidth="1"/>
    <col min="13807" max="13807" width="6.5703125" style="122" customWidth="1"/>
    <col min="13808" max="13808" width="3.28515625" style="122" customWidth="1"/>
    <col min="13809" max="13809" width="5.85546875" style="122" customWidth="1"/>
    <col min="13810" max="13810" width="6.5703125" style="122" customWidth="1"/>
    <col min="13811" max="13811" width="3.28515625" style="122" customWidth="1"/>
    <col min="13812" max="13812" width="5.85546875" style="122" customWidth="1"/>
    <col min="13813" max="13813" width="6.5703125" style="122" customWidth="1"/>
    <col min="13814" max="13814" width="3.28515625" style="122" customWidth="1"/>
    <col min="13815" max="13815" width="5.85546875" style="122" customWidth="1"/>
    <col min="13816" max="13816" width="6.5703125" style="122" customWidth="1"/>
    <col min="13817" max="13817" width="3.28515625" style="122" customWidth="1"/>
    <col min="13818" max="13818" width="5.85546875" style="122" customWidth="1"/>
    <col min="13819" max="13819" width="6.5703125" style="122" customWidth="1"/>
    <col min="13820" max="13820" width="3.28515625" style="122" customWidth="1"/>
    <col min="13821" max="13821" width="5.85546875" style="122" customWidth="1"/>
    <col min="13822" max="13822" width="6.5703125" style="122" customWidth="1"/>
    <col min="13823" max="13823" width="3.28515625" style="122" customWidth="1"/>
    <col min="13824" max="13824" width="5.85546875" style="122" customWidth="1"/>
    <col min="13825" max="13825" width="6.5703125" style="122" customWidth="1"/>
    <col min="13826" max="13826" width="3.28515625" style="122" customWidth="1"/>
    <col min="13827" max="13827" width="5.85546875" style="122" customWidth="1"/>
    <col min="13828" max="13828" width="6.5703125" style="122" customWidth="1"/>
    <col min="13829" max="13829" width="3.28515625" style="122" customWidth="1"/>
    <col min="13830" max="13830" width="5.85546875" style="122" customWidth="1"/>
    <col min="13831" max="13831" width="6.5703125" style="122" customWidth="1"/>
    <col min="13832" max="13832" width="3.28515625" style="122" customWidth="1"/>
    <col min="13833" max="13833" width="5.85546875" style="122" customWidth="1"/>
    <col min="13834" max="13834" width="6.5703125" style="122" customWidth="1"/>
    <col min="13835" max="13835" width="3.28515625" style="122" customWidth="1"/>
    <col min="13836" max="13836" width="5.85546875" style="122" customWidth="1"/>
    <col min="13837" max="13837" width="6.5703125" style="122" customWidth="1"/>
    <col min="13838" max="13838" width="9.42578125" style="122" customWidth="1"/>
    <col min="13839" max="14041" width="9.140625" style="122"/>
    <col min="14042" max="14042" width="4.85546875" style="122" customWidth="1"/>
    <col min="14043" max="14043" width="5.140625" style="122" customWidth="1"/>
    <col min="14044" max="14044" width="13.7109375" style="122" customWidth="1"/>
    <col min="14045" max="14045" width="9.42578125" style="122" customWidth="1"/>
    <col min="14046" max="14046" width="7.85546875" style="122" bestFit="1" customWidth="1"/>
    <col min="14047" max="14047" width="9.42578125" style="122" customWidth="1"/>
    <col min="14048" max="14048" width="7.42578125" style="122" customWidth="1"/>
    <col min="14049" max="14049" width="7.85546875" style="122" customWidth="1"/>
    <col min="14050" max="14050" width="11" style="122" customWidth="1"/>
    <col min="14051" max="14051" width="7.5703125" style="122" customWidth="1"/>
    <col min="14052" max="14052" width="3.28515625" style="122" customWidth="1"/>
    <col min="14053" max="14053" width="5.85546875" style="122" customWidth="1"/>
    <col min="14054" max="14054" width="6.5703125" style="122" customWidth="1"/>
    <col min="14055" max="14055" width="3.28515625" style="122" customWidth="1"/>
    <col min="14056" max="14056" width="5.85546875" style="122" customWidth="1"/>
    <col min="14057" max="14057" width="6.5703125" style="122" customWidth="1"/>
    <col min="14058" max="14058" width="3.28515625" style="122" customWidth="1"/>
    <col min="14059" max="14059" width="5.85546875" style="122" customWidth="1"/>
    <col min="14060" max="14060" width="6.5703125" style="122" customWidth="1"/>
    <col min="14061" max="14061" width="3.28515625" style="122" customWidth="1"/>
    <col min="14062" max="14062" width="5.85546875" style="122" customWidth="1"/>
    <col min="14063" max="14063" width="6.5703125" style="122" customWidth="1"/>
    <col min="14064" max="14064" width="3.28515625" style="122" customWidth="1"/>
    <col min="14065" max="14065" width="5.85546875" style="122" customWidth="1"/>
    <col min="14066" max="14066" width="6.5703125" style="122" customWidth="1"/>
    <col min="14067" max="14067" width="3.28515625" style="122" customWidth="1"/>
    <col min="14068" max="14068" width="5.85546875" style="122" customWidth="1"/>
    <col min="14069" max="14069" width="6.5703125" style="122" customWidth="1"/>
    <col min="14070" max="14070" width="3.28515625" style="122" customWidth="1"/>
    <col min="14071" max="14071" width="5.85546875" style="122" customWidth="1"/>
    <col min="14072" max="14072" width="6.5703125" style="122" customWidth="1"/>
    <col min="14073" max="14073" width="3.28515625" style="122" customWidth="1"/>
    <col min="14074" max="14074" width="5.85546875" style="122" customWidth="1"/>
    <col min="14075" max="14075" width="6.5703125" style="122" customWidth="1"/>
    <col min="14076" max="14076" width="3.28515625" style="122" customWidth="1"/>
    <col min="14077" max="14077" width="5.85546875" style="122" customWidth="1"/>
    <col min="14078" max="14078" width="6.5703125" style="122" customWidth="1"/>
    <col min="14079" max="14079" width="3.28515625" style="122" customWidth="1"/>
    <col min="14080" max="14080" width="5.85546875" style="122" customWidth="1"/>
    <col min="14081" max="14081" width="6.5703125" style="122" customWidth="1"/>
    <col min="14082" max="14082" width="3.28515625" style="122" customWidth="1"/>
    <col min="14083" max="14083" width="5.85546875" style="122" customWidth="1"/>
    <col min="14084" max="14084" width="6.5703125" style="122" customWidth="1"/>
    <col min="14085" max="14085" width="3.28515625" style="122" customWidth="1"/>
    <col min="14086" max="14086" width="5.85546875" style="122" customWidth="1"/>
    <col min="14087" max="14087" width="6.5703125" style="122" customWidth="1"/>
    <col min="14088" max="14088" width="3.28515625" style="122" customWidth="1"/>
    <col min="14089" max="14089" width="5.85546875" style="122" customWidth="1"/>
    <col min="14090" max="14090" width="6.5703125" style="122" customWidth="1"/>
    <col min="14091" max="14091" width="3.28515625" style="122" customWidth="1"/>
    <col min="14092" max="14092" width="5.85546875" style="122" customWidth="1"/>
    <col min="14093" max="14093" width="6.5703125" style="122" customWidth="1"/>
    <col min="14094" max="14094" width="9.42578125" style="122" customWidth="1"/>
    <col min="14095" max="14297" width="9.140625" style="122"/>
    <col min="14298" max="14298" width="4.85546875" style="122" customWidth="1"/>
    <col min="14299" max="14299" width="5.140625" style="122" customWidth="1"/>
    <col min="14300" max="14300" width="13.7109375" style="122" customWidth="1"/>
    <col min="14301" max="14301" width="9.42578125" style="122" customWidth="1"/>
    <col min="14302" max="14302" width="7.85546875" style="122" bestFit="1" customWidth="1"/>
    <col min="14303" max="14303" width="9.42578125" style="122" customWidth="1"/>
    <col min="14304" max="14304" width="7.42578125" style="122" customWidth="1"/>
    <col min="14305" max="14305" width="7.85546875" style="122" customWidth="1"/>
    <col min="14306" max="14306" width="11" style="122" customWidth="1"/>
    <col min="14307" max="14307" width="7.5703125" style="122" customWidth="1"/>
    <col min="14308" max="14308" width="3.28515625" style="122" customWidth="1"/>
    <col min="14309" max="14309" width="5.85546875" style="122" customWidth="1"/>
    <col min="14310" max="14310" width="6.5703125" style="122" customWidth="1"/>
    <col min="14311" max="14311" width="3.28515625" style="122" customWidth="1"/>
    <col min="14312" max="14312" width="5.85546875" style="122" customWidth="1"/>
    <col min="14313" max="14313" width="6.5703125" style="122" customWidth="1"/>
    <col min="14314" max="14314" width="3.28515625" style="122" customWidth="1"/>
    <col min="14315" max="14315" width="5.85546875" style="122" customWidth="1"/>
    <col min="14316" max="14316" width="6.5703125" style="122" customWidth="1"/>
    <col min="14317" max="14317" width="3.28515625" style="122" customWidth="1"/>
    <col min="14318" max="14318" width="5.85546875" style="122" customWidth="1"/>
    <col min="14319" max="14319" width="6.5703125" style="122" customWidth="1"/>
    <col min="14320" max="14320" width="3.28515625" style="122" customWidth="1"/>
    <col min="14321" max="14321" width="5.85546875" style="122" customWidth="1"/>
    <col min="14322" max="14322" width="6.5703125" style="122" customWidth="1"/>
    <col min="14323" max="14323" width="3.28515625" style="122" customWidth="1"/>
    <col min="14324" max="14324" width="5.85546875" style="122" customWidth="1"/>
    <col min="14325" max="14325" width="6.5703125" style="122" customWidth="1"/>
    <col min="14326" max="14326" width="3.28515625" style="122" customWidth="1"/>
    <col min="14327" max="14327" width="5.85546875" style="122" customWidth="1"/>
    <col min="14328" max="14328" width="6.5703125" style="122" customWidth="1"/>
    <col min="14329" max="14329" width="3.28515625" style="122" customWidth="1"/>
    <col min="14330" max="14330" width="5.85546875" style="122" customWidth="1"/>
    <col min="14331" max="14331" width="6.5703125" style="122" customWidth="1"/>
    <col min="14332" max="14332" width="3.28515625" style="122" customWidth="1"/>
    <col min="14333" max="14333" width="5.85546875" style="122" customWidth="1"/>
    <col min="14334" max="14334" width="6.5703125" style="122" customWidth="1"/>
    <col min="14335" max="14335" width="3.28515625" style="122" customWidth="1"/>
    <col min="14336" max="14336" width="5.85546875" style="122" customWidth="1"/>
    <col min="14337" max="14337" width="6.5703125" style="122" customWidth="1"/>
    <col min="14338" max="14338" width="3.28515625" style="122" customWidth="1"/>
    <col min="14339" max="14339" width="5.85546875" style="122" customWidth="1"/>
    <col min="14340" max="14340" width="6.5703125" style="122" customWidth="1"/>
    <col min="14341" max="14341" width="3.28515625" style="122" customWidth="1"/>
    <col min="14342" max="14342" width="5.85546875" style="122" customWidth="1"/>
    <col min="14343" max="14343" width="6.5703125" style="122" customWidth="1"/>
    <col min="14344" max="14344" width="3.28515625" style="122" customWidth="1"/>
    <col min="14345" max="14345" width="5.85546875" style="122" customWidth="1"/>
    <col min="14346" max="14346" width="6.5703125" style="122" customWidth="1"/>
    <col min="14347" max="14347" width="3.28515625" style="122" customWidth="1"/>
    <col min="14348" max="14348" width="5.85546875" style="122" customWidth="1"/>
    <col min="14349" max="14349" width="6.5703125" style="122" customWidth="1"/>
    <col min="14350" max="14350" width="9.42578125" style="122" customWidth="1"/>
    <col min="14351" max="14553" width="9.140625" style="122"/>
    <col min="14554" max="14554" width="4.85546875" style="122" customWidth="1"/>
    <col min="14555" max="14555" width="5.140625" style="122" customWidth="1"/>
    <col min="14556" max="14556" width="13.7109375" style="122" customWidth="1"/>
    <col min="14557" max="14557" width="9.42578125" style="122" customWidth="1"/>
    <col min="14558" max="14558" width="7.85546875" style="122" bestFit="1" customWidth="1"/>
    <col min="14559" max="14559" width="9.42578125" style="122" customWidth="1"/>
    <col min="14560" max="14560" width="7.42578125" style="122" customWidth="1"/>
    <col min="14561" max="14561" width="7.85546875" style="122" customWidth="1"/>
    <col min="14562" max="14562" width="11" style="122" customWidth="1"/>
    <col min="14563" max="14563" width="7.5703125" style="122" customWidth="1"/>
    <col min="14564" max="14564" width="3.28515625" style="122" customWidth="1"/>
    <col min="14565" max="14565" width="5.85546875" style="122" customWidth="1"/>
    <col min="14566" max="14566" width="6.5703125" style="122" customWidth="1"/>
    <col min="14567" max="14567" width="3.28515625" style="122" customWidth="1"/>
    <col min="14568" max="14568" width="5.85546875" style="122" customWidth="1"/>
    <col min="14569" max="14569" width="6.5703125" style="122" customWidth="1"/>
    <col min="14570" max="14570" width="3.28515625" style="122" customWidth="1"/>
    <col min="14571" max="14571" width="5.85546875" style="122" customWidth="1"/>
    <col min="14572" max="14572" width="6.5703125" style="122" customWidth="1"/>
    <col min="14573" max="14573" width="3.28515625" style="122" customWidth="1"/>
    <col min="14574" max="14574" width="5.85546875" style="122" customWidth="1"/>
    <col min="14575" max="14575" width="6.5703125" style="122" customWidth="1"/>
    <col min="14576" max="14576" width="3.28515625" style="122" customWidth="1"/>
    <col min="14577" max="14577" width="5.85546875" style="122" customWidth="1"/>
    <col min="14578" max="14578" width="6.5703125" style="122" customWidth="1"/>
    <col min="14579" max="14579" width="3.28515625" style="122" customWidth="1"/>
    <col min="14580" max="14580" width="5.85546875" style="122" customWidth="1"/>
    <col min="14581" max="14581" width="6.5703125" style="122" customWidth="1"/>
    <col min="14582" max="14582" width="3.28515625" style="122" customWidth="1"/>
    <col min="14583" max="14583" width="5.85546875" style="122" customWidth="1"/>
    <col min="14584" max="14584" width="6.5703125" style="122" customWidth="1"/>
    <col min="14585" max="14585" width="3.28515625" style="122" customWidth="1"/>
    <col min="14586" max="14586" width="5.85546875" style="122" customWidth="1"/>
    <col min="14587" max="14587" width="6.5703125" style="122" customWidth="1"/>
    <col min="14588" max="14588" width="3.28515625" style="122" customWidth="1"/>
    <col min="14589" max="14589" width="5.85546875" style="122" customWidth="1"/>
    <col min="14590" max="14590" width="6.5703125" style="122" customWidth="1"/>
    <col min="14591" max="14591" width="3.28515625" style="122" customWidth="1"/>
    <col min="14592" max="14592" width="5.85546875" style="122" customWidth="1"/>
    <col min="14593" max="14593" width="6.5703125" style="122" customWidth="1"/>
    <col min="14594" max="14594" width="3.28515625" style="122" customWidth="1"/>
    <col min="14595" max="14595" width="5.85546875" style="122" customWidth="1"/>
    <col min="14596" max="14596" width="6.5703125" style="122" customWidth="1"/>
    <col min="14597" max="14597" width="3.28515625" style="122" customWidth="1"/>
    <col min="14598" max="14598" width="5.85546875" style="122" customWidth="1"/>
    <col min="14599" max="14599" width="6.5703125" style="122" customWidth="1"/>
    <col min="14600" max="14600" width="3.28515625" style="122" customWidth="1"/>
    <col min="14601" max="14601" width="5.85546875" style="122" customWidth="1"/>
    <col min="14602" max="14602" width="6.5703125" style="122" customWidth="1"/>
    <col min="14603" max="14603" width="3.28515625" style="122" customWidth="1"/>
    <col min="14604" max="14604" width="5.85546875" style="122" customWidth="1"/>
    <col min="14605" max="14605" width="6.5703125" style="122" customWidth="1"/>
    <col min="14606" max="14606" width="9.42578125" style="122" customWidth="1"/>
    <col min="14607" max="14809" width="9.140625" style="122"/>
    <col min="14810" max="14810" width="4.85546875" style="122" customWidth="1"/>
    <col min="14811" max="14811" width="5.140625" style="122" customWidth="1"/>
    <col min="14812" max="14812" width="13.7109375" style="122" customWidth="1"/>
    <col min="14813" max="14813" width="9.42578125" style="122" customWidth="1"/>
    <col min="14814" max="14814" width="7.85546875" style="122" bestFit="1" customWidth="1"/>
    <col min="14815" max="14815" width="9.42578125" style="122" customWidth="1"/>
    <col min="14816" max="14816" width="7.42578125" style="122" customWidth="1"/>
    <col min="14817" max="14817" width="7.85546875" style="122" customWidth="1"/>
    <col min="14818" max="14818" width="11" style="122" customWidth="1"/>
    <col min="14819" max="14819" width="7.5703125" style="122" customWidth="1"/>
    <col min="14820" max="14820" width="3.28515625" style="122" customWidth="1"/>
    <col min="14821" max="14821" width="5.85546875" style="122" customWidth="1"/>
    <col min="14822" max="14822" width="6.5703125" style="122" customWidth="1"/>
    <col min="14823" max="14823" width="3.28515625" style="122" customWidth="1"/>
    <col min="14824" max="14824" width="5.85546875" style="122" customWidth="1"/>
    <col min="14825" max="14825" width="6.5703125" style="122" customWidth="1"/>
    <col min="14826" max="14826" width="3.28515625" style="122" customWidth="1"/>
    <col min="14827" max="14827" width="5.85546875" style="122" customWidth="1"/>
    <col min="14828" max="14828" width="6.5703125" style="122" customWidth="1"/>
    <col min="14829" max="14829" width="3.28515625" style="122" customWidth="1"/>
    <col min="14830" max="14830" width="5.85546875" style="122" customWidth="1"/>
    <col min="14831" max="14831" width="6.5703125" style="122" customWidth="1"/>
    <col min="14832" max="14832" width="3.28515625" style="122" customWidth="1"/>
    <col min="14833" max="14833" width="5.85546875" style="122" customWidth="1"/>
    <col min="14834" max="14834" width="6.5703125" style="122" customWidth="1"/>
    <col min="14835" max="14835" width="3.28515625" style="122" customWidth="1"/>
    <col min="14836" max="14836" width="5.85546875" style="122" customWidth="1"/>
    <col min="14837" max="14837" width="6.5703125" style="122" customWidth="1"/>
    <col min="14838" max="14838" width="3.28515625" style="122" customWidth="1"/>
    <col min="14839" max="14839" width="5.85546875" style="122" customWidth="1"/>
    <col min="14840" max="14840" width="6.5703125" style="122" customWidth="1"/>
    <col min="14841" max="14841" width="3.28515625" style="122" customWidth="1"/>
    <col min="14842" max="14842" width="5.85546875" style="122" customWidth="1"/>
    <col min="14843" max="14843" width="6.5703125" style="122" customWidth="1"/>
    <col min="14844" max="14844" width="3.28515625" style="122" customWidth="1"/>
    <col min="14845" max="14845" width="5.85546875" style="122" customWidth="1"/>
    <col min="14846" max="14846" width="6.5703125" style="122" customWidth="1"/>
    <col min="14847" max="14847" width="3.28515625" style="122" customWidth="1"/>
    <col min="14848" max="14848" width="5.85546875" style="122" customWidth="1"/>
    <col min="14849" max="14849" width="6.5703125" style="122" customWidth="1"/>
    <col min="14850" max="14850" width="3.28515625" style="122" customWidth="1"/>
    <col min="14851" max="14851" width="5.85546875" style="122" customWidth="1"/>
    <col min="14852" max="14852" width="6.5703125" style="122" customWidth="1"/>
    <col min="14853" max="14853" width="3.28515625" style="122" customWidth="1"/>
    <col min="14854" max="14854" width="5.85546875" style="122" customWidth="1"/>
    <col min="14855" max="14855" width="6.5703125" style="122" customWidth="1"/>
    <col min="14856" max="14856" width="3.28515625" style="122" customWidth="1"/>
    <col min="14857" max="14857" width="5.85546875" style="122" customWidth="1"/>
    <col min="14858" max="14858" width="6.5703125" style="122" customWidth="1"/>
    <col min="14859" max="14859" width="3.28515625" style="122" customWidth="1"/>
    <col min="14860" max="14860" width="5.85546875" style="122" customWidth="1"/>
    <col min="14861" max="14861" width="6.5703125" style="122" customWidth="1"/>
    <col min="14862" max="14862" width="9.42578125" style="122" customWidth="1"/>
    <col min="14863" max="15065" width="9.140625" style="122"/>
    <col min="15066" max="15066" width="4.85546875" style="122" customWidth="1"/>
    <col min="15067" max="15067" width="5.140625" style="122" customWidth="1"/>
    <col min="15068" max="15068" width="13.7109375" style="122" customWidth="1"/>
    <col min="15069" max="15069" width="9.42578125" style="122" customWidth="1"/>
    <col min="15070" max="15070" width="7.85546875" style="122" bestFit="1" customWidth="1"/>
    <col min="15071" max="15071" width="9.42578125" style="122" customWidth="1"/>
    <col min="15072" max="15072" width="7.42578125" style="122" customWidth="1"/>
    <col min="15073" max="15073" width="7.85546875" style="122" customWidth="1"/>
    <col min="15074" max="15074" width="11" style="122" customWidth="1"/>
    <col min="15075" max="15075" width="7.5703125" style="122" customWidth="1"/>
    <col min="15076" max="15076" width="3.28515625" style="122" customWidth="1"/>
    <col min="15077" max="15077" width="5.85546875" style="122" customWidth="1"/>
    <col min="15078" max="15078" width="6.5703125" style="122" customWidth="1"/>
    <col min="15079" max="15079" width="3.28515625" style="122" customWidth="1"/>
    <col min="15080" max="15080" width="5.85546875" style="122" customWidth="1"/>
    <col min="15081" max="15081" width="6.5703125" style="122" customWidth="1"/>
    <col min="15082" max="15082" width="3.28515625" style="122" customWidth="1"/>
    <col min="15083" max="15083" width="5.85546875" style="122" customWidth="1"/>
    <col min="15084" max="15084" width="6.5703125" style="122" customWidth="1"/>
    <col min="15085" max="15085" width="3.28515625" style="122" customWidth="1"/>
    <col min="15086" max="15086" width="5.85546875" style="122" customWidth="1"/>
    <col min="15087" max="15087" width="6.5703125" style="122" customWidth="1"/>
    <col min="15088" max="15088" width="3.28515625" style="122" customWidth="1"/>
    <col min="15089" max="15089" width="5.85546875" style="122" customWidth="1"/>
    <col min="15090" max="15090" width="6.5703125" style="122" customWidth="1"/>
    <col min="15091" max="15091" width="3.28515625" style="122" customWidth="1"/>
    <col min="15092" max="15092" width="5.85546875" style="122" customWidth="1"/>
    <col min="15093" max="15093" width="6.5703125" style="122" customWidth="1"/>
    <col min="15094" max="15094" width="3.28515625" style="122" customWidth="1"/>
    <col min="15095" max="15095" width="5.85546875" style="122" customWidth="1"/>
    <col min="15096" max="15096" width="6.5703125" style="122" customWidth="1"/>
    <col min="15097" max="15097" width="3.28515625" style="122" customWidth="1"/>
    <col min="15098" max="15098" width="5.85546875" style="122" customWidth="1"/>
    <col min="15099" max="15099" width="6.5703125" style="122" customWidth="1"/>
    <col min="15100" max="15100" width="3.28515625" style="122" customWidth="1"/>
    <col min="15101" max="15101" width="5.85546875" style="122" customWidth="1"/>
    <col min="15102" max="15102" width="6.5703125" style="122" customWidth="1"/>
    <col min="15103" max="15103" width="3.28515625" style="122" customWidth="1"/>
    <col min="15104" max="15104" width="5.85546875" style="122" customWidth="1"/>
    <col min="15105" max="15105" width="6.5703125" style="122" customWidth="1"/>
    <col min="15106" max="15106" width="3.28515625" style="122" customWidth="1"/>
    <col min="15107" max="15107" width="5.85546875" style="122" customWidth="1"/>
    <col min="15108" max="15108" width="6.5703125" style="122" customWidth="1"/>
    <col min="15109" max="15109" width="3.28515625" style="122" customWidth="1"/>
    <col min="15110" max="15110" width="5.85546875" style="122" customWidth="1"/>
    <col min="15111" max="15111" width="6.5703125" style="122" customWidth="1"/>
    <col min="15112" max="15112" width="3.28515625" style="122" customWidth="1"/>
    <col min="15113" max="15113" width="5.85546875" style="122" customWidth="1"/>
    <col min="15114" max="15114" width="6.5703125" style="122" customWidth="1"/>
    <col min="15115" max="15115" width="3.28515625" style="122" customWidth="1"/>
    <col min="15116" max="15116" width="5.85546875" style="122" customWidth="1"/>
    <col min="15117" max="15117" width="6.5703125" style="122" customWidth="1"/>
    <col min="15118" max="15118" width="9.42578125" style="122" customWidth="1"/>
    <col min="15119" max="15321" width="9.140625" style="122"/>
    <col min="15322" max="15322" width="4.85546875" style="122" customWidth="1"/>
    <col min="15323" max="15323" width="5.140625" style="122" customWidth="1"/>
    <col min="15324" max="15324" width="13.7109375" style="122" customWidth="1"/>
    <col min="15325" max="15325" width="9.42578125" style="122" customWidth="1"/>
    <col min="15326" max="15326" width="7.85546875" style="122" bestFit="1" customWidth="1"/>
    <col min="15327" max="15327" width="9.42578125" style="122" customWidth="1"/>
    <col min="15328" max="15328" width="7.42578125" style="122" customWidth="1"/>
    <col min="15329" max="15329" width="7.85546875" style="122" customWidth="1"/>
    <col min="15330" max="15330" width="11" style="122" customWidth="1"/>
    <col min="15331" max="15331" width="7.5703125" style="122" customWidth="1"/>
    <col min="15332" max="15332" width="3.28515625" style="122" customWidth="1"/>
    <col min="15333" max="15333" width="5.85546875" style="122" customWidth="1"/>
    <col min="15334" max="15334" width="6.5703125" style="122" customWidth="1"/>
    <col min="15335" max="15335" width="3.28515625" style="122" customWidth="1"/>
    <col min="15336" max="15336" width="5.85546875" style="122" customWidth="1"/>
    <col min="15337" max="15337" width="6.5703125" style="122" customWidth="1"/>
    <col min="15338" max="15338" width="3.28515625" style="122" customWidth="1"/>
    <col min="15339" max="15339" width="5.85546875" style="122" customWidth="1"/>
    <col min="15340" max="15340" width="6.5703125" style="122" customWidth="1"/>
    <col min="15341" max="15341" width="3.28515625" style="122" customWidth="1"/>
    <col min="15342" max="15342" width="5.85546875" style="122" customWidth="1"/>
    <col min="15343" max="15343" width="6.5703125" style="122" customWidth="1"/>
    <col min="15344" max="15344" width="3.28515625" style="122" customWidth="1"/>
    <col min="15345" max="15345" width="5.85546875" style="122" customWidth="1"/>
    <col min="15346" max="15346" width="6.5703125" style="122" customWidth="1"/>
    <col min="15347" max="15347" width="3.28515625" style="122" customWidth="1"/>
    <col min="15348" max="15348" width="5.85546875" style="122" customWidth="1"/>
    <col min="15349" max="15349" width="6.5703125" style="122" customWidth="1"/>
    <col min="15350" max="15350" width="3.28515625" style="122" customWidth="1"/>
    <col min="15351" max="15351" width="5.85546875" style="122" customWidth="1"/>
    <col min="15352" max="15352" width="6.5703125" style="122" customWidth="1"/>
    <col min="15353" max="15353" width="3.28515625" style="122" customWidth="1"/>
    <col min="15354" max="15354" width="5.85546875" style="122" customWidth="1"/>
    <col min="15355" max="15355" width="6.5703125" style="122" customWidth="1"/>
    <col min="15356" max="15356" width="3.28515625" style="122" customWidth="1"/>
    <col min="15357" max="15357" width="5.85546875" style="122" customWidth="1"/>
    <col min="15358" max="15358" width="6.5703125" style="122" customWidth="1"/>
    <col min="15359" max="15359" width="3.28515625" style="122" customWidth="1"/>
    <col min="15360" max="15360" width="5.85546875" style="122" customWidth="1"/>
    <col min="15361" max="15361" width="6.5703125" style="122" customWidth="1"/>
    <col min="15362" max="15362" width="3.28515625" style="122" customWidth="1"/>
    <col min="15363" max="15363" width="5.85546875" style="122" customWidth="1"/>
    <col min="15364" max="15364" width="6.5703125" style="122" customWidth="1"/>
    <col min="15365" max="15365" width="3.28515625" style="122" customWidth="1"/>
    <col min="15366" max="15366" width="5.85546875" style="122" customWidth="1"/>
    <col min="15367" max="15367" width="6.5703125" style="122" customWidth="1"/>
    <col min="15368" max="15368" width="3.28515625" style="122" customWidth="1"/>
    <col min="15369" max="15369" width="5.85546875" style="122" customWidth="1"/>
    <col min="15370" max="15370" width="6.5703125" style="122" customWidth="1"/>
    <col min="15371" max="15371" width="3.28515625" style="122" customWidth="1"/>
    <col min="15372" max="15372" width="5.85546875" style="122" customWidth="1"/>
    <col min="15373" max="15373" width="6.5703125" style="122" customWidth="1"/>
    <col min="15374" max="15374" width="9.42578125" style="122" customWidth="1"/>
    <col min="15375" max="15577" width="9.140625" style="122"/>
    <col min="15578" max="15578" width="4.85546875" style="122" customWidth="1"/>
    <col min="15579" max="15579" width="5.140625" style="122" customWidth="1"/>
    <col min="15580" max="15580" width="13.7109375" style="122" customWidth="1"/>
    <col min="15581" max="15581" width="9.42578125" style="122" customWidth="1"/>
    <col min="15582" max="15582" width="7.85546875" style="122" bestFit="1" customWidth="1"/>
    <col min="15583" max="15583" width="9.42578125" style="122" customWidth="1"/>
    <col min="15584" max="15584" width="7.42578125" style="122" customWidth="1"/>
    <col min="15585" max="15585" width="7.85546875" style="122" customWidth="1"/>
    <col min="15586" max="15586" width="11" style="122" customWidth="1"/>
    <col min="15587" max="15587" width="7.5703125" style="122" customWidth="1"/>
    <col min="15588" max="15588" width="3.28515625" style="122" customWidth="1"/>
    <col min="15589" max="15589" width="5.85546875" style="122" customWidth="1"/>
    <col min="15590" max="15590" width="6.5703125" style="122" customWidth="1"/>
    <col min="15591" max="15591" width="3.28515625" style="122" customWidth="1"/>
    <col min="15592" max="15592" width="5.85546875" style="122" customWidth="1"/>
    <col min="15593" max="15593" width="6.5703125" style="122" customWidth="1"/>
    <col min="15594" max="15594" width="3.28515625" style="122" customWidth="1"/>
    <col min="15595" max="15595" width="5.85546875" style="122" customWidth="1"/>
    <col min="15596" max="15596" width="6.5703125" style="122" customWidth="1"/>
    <col min="15597" max="15597" width="3.28515625" style="122" customWidth="1"/>
    <col min="15598" max="15598" width="5.85546875" style="122" customWidth="1"/>
    <col min="15599" max="15599" width="6.5703125" style="122" customWidth="1"/>
    <col min="15600" max="15600" width="3.28515625" style="122" customWidth="1"/>
    <col min="15601" max="15601" width="5.85546875" style="122" customWidth="1"/>
    <col min="15602" max="15602" width="6.5703125" style="122" customWidth="1"/>
    <col min="15603" max="15603" width="3.28515625" style="122" customWidth="1"/>
    <col min="15604" max="15604" width="5.85546875" style="122" customWidth="1"/>
    <col min="15605" max="15605" width="6.5703125" style="122" customWidth="1"/>
    <col min="15606" max="15606" width="3.28515625" style="122" customWidth="1"/>
    <col min="15607" max="15607" width="5.85546875" style="122" customWidth="1"/>
    <col min="15608" max="15608" width="6.5703125" style="122" customWidth="1"/>
    <col min="15609" max="15609" width="3.28515625" style="122" customWidth="1"/>
    <col min="15610" max="15610" width="5.85546875" style="122" customWidth="1"/>
    <col min="15611" max="15611" width="6.5703125" style="122" customWidth="1"/>
    <col min="15612" max="15612" width="3.28515625" style="122" customWidth="1"/>
    <col min="15613" max="15613" width="5.85546875" style="122" customWidth="1"/>
    <col min="15614" max="15614" width="6.5703125" style="122" customWidth="1"/>
    <col min="15615" max="15615" width="3.28515625" style="122" customWidth="1"/>
    <col min="15616" max="15616" width="5.85546875" style="122" customWidth="1"/>
    <col min="15617" max="15617" width="6.5703125" style="122" customWidth="1"/>
    <col min="15618" max="15618" width="3.28515625" style="122" customWidth="1"/>
    <col min="15619" max="15619" width="5.85546875" style="122" customWidth="1"/>
    <col min="15620" max="15620" width="6.5703125" style="122" customWidth="1"/>
    <col min="15621" max="15621" width="3.28515625" style="122" customWidth="1"/>
    <col min="15622" max="15622" width="5.85546875" style="122" customWidth="1"/>
    <col min="15623" max="15623" width="6.5703125" style="122" customWidth="1"/>
    <col min="15624" max="15624" width="3.28515625" style="122" customWidth="1"/>
    <col min="15625" max="15625" width="5.85546875" style="122" customWidth="1"/>
    <col min="15626" max="15626" width="6.5703125" style="122" customWidth="1"/>
    <col min="15627" max="15627" width="3.28515625" style="122" customWidth="1"/>
    <col min="15628" max="15628" width="5.85546875" style="122" customWidth="1"/>
    <col min="15629" max="15629" width="6.5703125" style="122" customWidth="1"/>
    <col min="15630" max="15630" width="9.42578125" style="122" customWidth="1"/>
    <col min="15631" max="15833" width="9.140625" style="122"/>
    <col min="15834" max="15834" width="4.85546875" style="122" customWidth="1"/>
    <col min="15835" max="15835" width="5.140625" style="122" customWidth="1"/>
    <col min="15836" max="15836" width="13.7109375" style="122" customWidth="1"/>
    <col min="15837" max="15837" width="9.42578125" style="122" customWidth="1"/>
    <col min="15838" max="15838" width="7.85546875" style="122" bestFit="1" customWidth="1"/>
    <col min="15839" max="15839" width="9.42578125" style="122" customWidth="1"/>
    <col min="15840" max="15840" width="7.42578125" style="122" customWidth="1"/>
    <col min="15841" max="15841" width="7.85546875" style="122" customWidth="1"/>
    <col min="15842" max="15842" width="11" style="122" customWidth="1"/>
    <col min="15843" max="15843" width="7.5703125" style="122" customWidth="1"/>
    <col min="15844" max="15844" width="3.28515625" style="122" customWidth="1"/>
    <col min="15845" max="15845" width="5.85546875" style="122" customWidth="1"/>
    <col min="15846" max="15846" width="6.5703125" style="122" customWidth="1"/>
    <col min="15847" max="15847" width="3.28515625" style="122" customWidth="1"/>
    <col min="15848" max="15848" width="5.85546875" style="122" customWidth="1"/>
    <col min="15849" max="15849" width="6.5703125" style="122" customWidth="1"/>
    <col min="15850" max="15850" width="3.28515625" style="122" customWidth="1"/>
    <col min="15851" max="15851" width="5.85546875" style="122" customWidth="1"/>
    <col min="15852" max="15852" width="6.5703125" style="122" customWidth="1"/>
    <col min="15853" max="15853" width="3.28515625" style="122" customWidth="1"/>
    <col min="15854" max="15854" width="5.85546875" style="122" customWidth="1"/>
    <col min="15855" max="15855" width="6.5703125" style="122" customWidth="1"/>
    <col min="15856" max="15856" width="3.28515625" style="122" customWidth="1"/>
    <col min="15857" max="15857" width="5.85546875" style="122" customWidth="1"/>
    <col min="15858" max="15858" width="6.5703125" style="122" customWidth="1"/>
    <col min="15859" max="15859" width="3.28515625" style="122" customWidth="1"/>
    <col min="15860" max="15860" width="5.85546875" style="122" customWidth="1"/>
    <col min="15861" max="15861" width="6.5703125" style="122" customWidth="1"/>
    <col min="15862" max="15862" width="3.28515625" style="122" customWidth="1"/>
    <col min="15863" max="15863" width="5.85546875" style="122" customWidth="1"/>
    <col min="15864" max="15864" width="6.5703125" style="122" customWidth="1"/>
    <col min="15865" max="15865" width="3.28515625" style="122" customWidth="1"/>
    <col min="15866" max="15866" width="5.85546875" style="122" customWidth="1"/>
    <col min="15867" max="15867" width="6.5703125" style="122" customWidth="1"/>
    <col min="15868" max="15868" width="3.28515625" style="122" customWidth="1"/>
    <col min="15869" max="15869" width="5.85546875" style="122" customWidth="1"/>
    <col min="15870" max="15870" width="6.5703125" style="122" customWidth="1"/>
    <col min="15871" max="15871" width="3.28515625" style="122" customWidth="1"/>
    <col min="15872" max="15872" width="5.85546875" style="122" customWidth="1"/>
    <col min="15873" max="15873" width="6.5703125" style="122" customWidth="1"/>
    <col min="15874" max="15874" width="3.28515625" style="122" customWidth="1"/>
    <col min="15875" max="15875" width="5.85546875" style="122" customWidth="1"/>
    <col min="15876" max="15876" width="6.5703125" style="122" customWidth="1"/>
    <col min="15877" max="15877" width="3.28515625" style="122" customWidth="1"/>
    <col min="15878" max="15878" width="5.85546875" style="122" customWidth="1"/>
    <col min="15879" max="15879" width="6.5703125" style="122" customWidth="1"/>
    <col min="15880" max="15880" width="3.28515625" style="122" customWidth="1"/>
    <col min="15881" max="15881" width="5.85546875" style="122" customWidth="1"/>
    <col min="15882" max="15882" width="6.5703125" style="122" customWidth="1"/>
    <col min="15883" max="15883" width="3.28515625" style="122" customWidth="1"/>
    <col min="15884" max="15884" width="5.85546875" style="122" customWidth="1"/>
    <col min="15885" max="15885" width="6.5703125" style="122" customWidth="1"/>
    <col min="15886" max="15886" width="9.42578125" style="122" customWidth="1"/>
    <col min="15887" max="16089" width="9.140625" style="122"/>
    <col min="16090" max="16090" width="4.85546875" style="122" customWidth="1"/>
    <col min="16091" max="16091" width="5.140625" style="122" customWidth="1"/>
    <col min="16092" max="16092" width="13.7109375" style="122" customWidth="1"/>
    <col min="16093" max="16093" width="9.42578125" style="122" customWidth="1"/>
    <col min="16094" max="16094" width="7.85546875" style="122" bestFit="1" customWidth="1"/>
    <col min="16095" max="16095" width="9.42578125" style="122" customWidth="1"/>
    <col min="16096" max="16096" width="7.42578125" style="122" customWidth="1"/>
    <col min="16097" max="16097" width="7.85546875" style="122" customWidth="1"/>
    <col min="16098" max="16098" width="11" style="122" customWidth="1"/>
    <col min="16099" max="16099" width="7.5703125" style="122" customWidth="1"/>
    <col min="16100" max="16100" width="3.28515625" style="122" customWidth="1"/>
    <col min="16101" max="16101" width="5.85546875" style="122" customWidth="1"/>
    <col min="16102" max="16102" width="6.5703125" style="122" customWidth="1"/>
    <col min="16103" max="16103" width="3.28515625" style="122" customWidth="1"/>
    <col min="16104" max="16104" width="5.85546875" style="122" customWidth="1"/>
    <col min="16105" max="16105" width="6.5703125" style="122" customWidth="1"/>
    <col min="16106" max="16106" width="3.28515625" style="122" customWidth="1"/>
    <col min="16107" max="16107" width="5.85546875" style="122" customWidth="1"/>
    <col min="16108" max="16108" width="6.5703125" style="122" customWidth="1"/>
    <col min="16109" max="16109" width="3.28515625" style="122" customWidth="1"/>
    <col min="16110" max="16110" width="5.85546875" style="122" customWidth="1"/>
    <col min="16111" max="16111" width="6.5703125" style="122" customWidth="1"/>
    <col min="16112" max="16112" width="3.28515625" style="122" customWidth="1"/>
    <col min="16113" max="16113" width="5.85546875" style="122" customWidth="1"/>
    <col min="16114" max="16114" width="6.5703125" style="122" customWidth="1"/>
    <col min="16115" max="16115" width="3.28515625" style="122" customWidth="1"/>
    <col min="16116" max="16116" width="5.85546875" style="122" customWidth="1"/>
    <col min="16117" max="16117" width="6.5703125" style="122" customWidth="1"/>
    <col min="16118" max="16118" width="3.28515625" style="122" customWidth="1"/>
    <col min="16119" max="16119" width="5.85546875" style="122" customWidth="1"/>
    <col min="16120" max="16120" width="6.5703125" style="122" customWidth="1"/>
    <col min="16121" max="16121" width="3.28515625" style="122" customWidth="1"/>
    <col min="16122" max="16122" width="5.85546875" style="122" customWidth="1"/>
    <col min="16123" max="16123" width="6.5703125" style="122" customWidth="1"/>
    <col min="16124" max="16124" width="3.28515625" style="122" customWidth="1"/>
    <col min="16125" max="16125" width="5.85546875" style="122" customWidth="1"/>
    <col min="16126" max="16126" width="6.5703125" style="122" customWidth="1"/>
    <col min="16127" max="16127" width="3.28515625" style="122" customWidth="1"/>
    <col min="16128" max="16128" width="5.85546875" style="122" customWidth="1"/>
    <col min="16129" max="16129" width="6.5703125" style="122" customWidth="1"/>
    <col min="16130" max="16130" width="3.28515625" style="122" customWidth="1"/>
    <col min="16131" max="16131" width="5.85546875" style="122" customWidth="1"/>
    <col min="16132" max="16132" width="6.5703125" style="122" customWidth="1"/>
    <col min="16133" max="16133" width="3.28515625" style="122" customWidth="1"/>
    <col min="16134" max="16134" width="5.85546875" style="122" customWidth="1"/>
    <col min="16135" max="16135" width="6.5703125" style="122" customWidth="1"/>
    <col min="16136" max="16136" width="3.28515625" style="122" customWidth="1"/>
    <col min="16137" max="16137" width="5.85546875" style="122" customWidth="1"/>
    <col min="16138" max="16138" width="6.5703125" style="122" customWidth="1"/>
    <col min="16139" max="16139" width="3.28515625" style="122" customWidth="1"/>
    <col min="16140" max="16140" width="5.85546875" style="122" customWidth="1"/>
    <col min="16141" max="16141" width="6.5703125" style="122" customWidth="1"/>
    <col min="16142" max="16142" width="9.42578125" style="122" customWidth="1"/>
    <col min="16143" max="16384" width="9.140625" style="122"/>
  </cols>
  <sheetData>
    <row r="1" spans="1:14" ht="15.75" customHeight="1">
      <c r="A1" s="316" t="s">
        <v>686</v>
      </c>
      <c r="B1" s="299"/>
      <c r="C1" s="299"/>
      <c r="D1" s="299"/>
      <c r="E1" s="299"/>
      <c r="F1" s="137"/>
    </row>
    <row r="2" spans="1:14" ht="15.75" customHeight="1">
      <c r="A2" s="317" t="s">
        <v>687</v>
      </c>
      <c r="B2" s="297"/>
      <c r="C2" s="297"/>
      <c r="D2" s="297"/>
      <c r="E2" s="297"/>
      <c r="F2" s="137"/>
    </row>
    <row r="3" spans="1:14" s="124" customFormat="1" ht="20.25" customHeight="1">
      <c r="A3" s="318" t="s">
        <v>688</v>
      </c>
      <c r="B3" s="298"/>
      <c r="C3" s="298"/>
      <c r="D3" s="298"/>
      <c r="E3" s="298"/>
      <c r="F3" s="123"/>
      <c r="G3" s="123"/>
      <c r="H3" s="123"/>
      <c r="I3" s="123"/>
      <c r="J3" s="123"/>
      <c r="K3" s="123"/>
      <c r="L3" s="123"/>
      <c r="M3" s="123"/>
      <c r="N3" s="123"/>
    </row>
    <row r="4" spans="1:14" s="124" customFormat="1" ht="20.25" customHeight="1">
      <c r="A4" s="318" t="s">
        <v>689</v>
      </c>
      <c r="B4" s="298"/>
      <c r="C4" s="298"/>
      <c r="D4" s="298"/>
      <c r="E4" s="298"/>
      <c r="F4" s="123"/>
      <c r="G4" s="123"/>
      <c r="H4" s="123"/>
      <c r="I4" s="123"/>
      <c r="J4" s="123"/>
      <c r="K4" s="123"/>
      <c r="L4" s="123"/>
      <c r="M4" s="123"/>
      <c r="N4" s="123"/>
    </row>
    <row r="5" spans="1:14" s="124" customFormat="1" ht="20.25" customHeight="1">
      <c r="A5" s="318" t="s">
        <v>1068</v>
      </c>
      <c r="B5" s="298"/>
      <c r="C5" s="298"/>
      <c r="D5" s="298"/>
      <c r="E5" s="298"/>
      <c r="F5" s="138"/>
      <c r="G5" s="123"/>
      <c r="H5" s="123"/>
      <c r="I5" s="123"/>
      <c r="J5" s="123"/>
      <c r="K5" s="123"/>
      <c r="L5" s="123"/>
      <c r="M5" s="123"/>
      <c r="N5" s="123"/>
    </row>
    <row r="6" spans="1:14" s="124" customFormat="1" ht="20.25" customHeight="1">
      <c r="A6" s="318" t="s">
        <v>1159</v>
      </c>
      <c r="B6" s="298"/>
      <c r="C6" s="298"/>
      <c r="D6" s="298"/>
      <c r="E6" s="298"/>
      <c r="F6" s="138"/>
      <c r="G6" s="123"/>
      <c r="H6" s="123"/>
      <c r="I6" s="123"/>
      <c r="J6" s="123"/>
      <c r="K6" s="123"/>
      <c r="L6" s="123"/>
      <c r="M6" s="123"/>
      <c r="N6" s="123"/>
    </row>
    <row r="7" spans="1:14" s="124" customFormat="1" ht="61.5" customHeight="1">
      <c r="A7" s="125" t="s">
        <v>690</v>
      </c>
      <c r="B7" s="125" t="s">
        <v>673</v>
      </c>
      <c r="C7" s="125" t="s">
        <v>691</v>
      </c>
      <c r="D7" s="126" t="s">
        <v>692</v>
      </c>
      <c r="E7" s="126" t="s">
        <v>693</v>
      </c>
    </row>
    <row r="8" spans="1:14" s="124" customFormat="1">
      <c r="A8" s="125">
        <v>1</v>
      </c>
      <c r="B8" s="125">
        <v>2</v>
      </c>
      <c r="C8" s="125">
        <v>3</v>
      </c>
      <c r="D8" s="125">
        <v>4</v>
      </c>
      <c r="E8" s="125">
        <v>5</v>
      </c>
    </row>
    <row r="9" spans="1:14" s="124" customFormat="1">
      <c r="A9" s="142">
        <v>1</v>
      </c>
      <c r="B9" s="48" t="s">
        <v>85</v>
      </c>
      <c r="C9" s="125"/>
      <c r="D9" s="145" t="s">
        <v>9</v>
      </c>
      <c r="E9" s="125"/>
    </row>
    <row r="10" spans="1:14" s="124" customFormat="1">
      <c r="A10" s="142">
        <v>2</v>
      </c>
      <c r="B10" s="48" t="s">
        <v>156</v>
      </c>
      <c r="C10" s="125"/>
      <c r="D10" s="145" t="s">
        <v>9</v>
      </c>
      <c r="E10" s="125"/>
    </row>
    <row r="11" spans="1:14" s="124" customFormat="1">
      <c r="A11" s="142">
        <v>3</v>
      </c>
      <c r="B11" s="48" t="s">
        <v>165</v>
      </c>
      <c r="C11" s="125"/>
      <c r="D11" s="145" t="s">
        <v>9</v>
      </c>
      <c r="E11" s="125"/>
    </row>
    <row r="12" spans="1:14" s="124" customFormat="1">
      <c r="A12" s="142">
        <v>4</v>
      </c>
      <c r="B12" s="48" t="s">
        <v>158</v>
      </c>
      <c r="C12" s="125"/>
      <c r="D12" s="145" t="s">
        <v>9</v>
      </c>
      <c r="E12" s="125"/>
    </row>
    <row r="13" spans="1:14" s="124" customFormat="1">
      <c r="A13" s="142">
        <v>5</v>
      </c>
      <c r="B13" s="48" t="s">
        <v>159</v>
      </c>
      <c r="C13" s="125"/>
      <c r="D13" s="145" t="s">
        <v>9</v>
      </c>
      <c r="E13" s="125"/>
    </row>
    <row r="14" spans="1:14" s="124" customFormat="1">
      <c r="A14" s="142">
        <v>6</v>
      </c>
      <c r="B14" s="48" t="s">
        <v>166</v>
      </c>
      <c r="C14" s="125"/>
      <c r="D14" s="145" t="s">
        <v>9</v>
      </c>
      <c r="E14" s="125"/>
    </row>
    <row r="15" spans="1:14" s="124" customFormat="1">
      <c r="A15" s="142">
        <v>7</v>
      </c>
      <c r="B15" s="48" t="s">
        <v>86</v>
      </c>
      <c r="C15" s="125"/>
      <c r="D15" s="145" t="s">
        <v>9</v>
      </c>
      <c r="E15" s="125"/>
    </row>
    <row r="16" spans="1:14" s="124" customFormat="1">
      <c r="A16" s="142">
        <v>8</v>
      </c>
      <c r="B16" s="48" t="s">
        <v>161</v>
      </c>
      <c r="C16" s="125"/>
      <c r="D16" s="145" t="s">
        <v>9</v>
      </c>
      <c r="E16" s="125"/>
    </row>
    <row r="17" spans="1:8" s="124" customFormat="1">
      <c r="A17" s="142">
        <v>9</v>
      </c>
      <c r="B17" s="47" t="s">
        <v>10</v>
      </c>
      <c r="C17" s="125"/>
      <c r="D17" s="145" t="s">
        <v>9</v>
      </c>
      <c r="E17" s="125"/>
    </row>
    <row r="18" spans="1:8" s="124" customFormat="1" ht="15.75" customHeight="1">
      <c r="A18" s="146" t="s">
        <v>154</v>
      </c>
      <c r="B18" s="147"/>
      <c r="C18" s="125">
        <f>SUM(C9:C17)</f>
        <v>0</v>
      </c>
      <c r="D18" s="145" t="s">
        <v>9</v>
      </c>
      <c r="E18" s="125">
        <f>SUM(E9:E17)</f>
        <v>0</v>
      </c>
    </row>
    <row r="19" spans="1:8" s="124" customFormat="1" ht="37.5" customHeight="1">
      <c r="A19" s="319" t="s">
        <v>694</v>
      </c>
      <c r="B19" s="319"/>
      <c r="C19" s="319"/>
      <c r="D19" s="319"/>
      <c r="E19" s="319"/>
    </row>
    <row r="20" spans="1:8" s="124" customFormat="1">
      <c r="A20" s="143"/>
      <c r="B20" s="143"/>
    </row>
    <row r="21" spans="1:8" s="124" customFormat="1">
      <c r="A21" s="143"/>
      <c r="B21" s="143"/>
    </row>
    <row r="22" spans="1:8" s="72" customFormat="1" ht="18.75" customHeight="1">
      <c r="A22" s="294" t="s">
        <v>650</v>
      </c>
      <c r="B22" s="294"/>
      <c r="C22" s="294"/>
      <c r="D22" s="204" t="s">
        <v>695</v>
      </c>
      <c r="E22" s="204"/>
      <c r="F22" s="130"/>
      <c r="G22" s="131"/>
      <c r="H22" s="130"/>
    </row>
    <row r="23" spans="1:8" s="72" customFormat="1" ht="21" customHeight="1">
      <c r="A23" s="206" t="s">
        <v>164</v>
      </c>
      <c r="B23" s="206"/>
      <c r="C23" s="206"/>
      <c r="D23" s="312"/>
      <c r="E23" s="312"/>
      <c r="F23" s="131"/>
      <c r="G23" s="105"/>
    </row>
    <row r="24" spans="1:8" s="72" customFormat="1" ht="21" customHeight="1">
      <c r="A24" s="112"/>
      <c r="B24" s="112"/>
      <c r="C24" s="112"/>
      <c r="D24" s="144"/>
      <c r="E24" s="144"/>
      <c r="F24" s="131"/>
      <c r="G24" s="105"/>
    </row>
    <row r="25" spans="1:8">
      <c r="A25" s="125" t="s">
        <v>641</v>
      </c>
      <c r="B25" s="301" t="s">
        <v>696</v>
      </c>
      <c r="C25" s="302"/>
      <c r="D25" s="314" t="s">
        <v>697</v>
      </c>
      <c r="E25" s="315"/>
    </row>
    <row r="26" spans="1:8">
      <c r="A26" s="125">
        <v>1</v>
      </c>
      <c r="B26" s="301">
        <v>2</v>
      </c>
      <c r="C26" s="302"/>
      <c r="D26" s="301">
        <v>3</v>
      </c>
      <c r="E26" s="302"/>
    </row>
    <row r="27" spans="1:8">
      <c r="A27" s="142">
        <v>1</v>
      </c>
      <c r="B27" s="301"/>
      <c r="C27" s="302"/>
      <c r="D27" s="301"/>
      <c r="E27" s="302"/>
    </row>
    <row r="28" spans="1:8">
      <c r="A28" s="142">
        <v>2</v>
      </c>
      <c r="B28" s="301"/>
      <c r="C28" s="302"/>
      <c r="D28" s="301"/>
      <c r="E28" s="302"/>
    </row>
    <row r="29" spans="1:8">
      <c r="A29" s="142">
        <v>3</v>
      </c>
      <c r="B29" s="301"/>
      <c r="C29" s="302"/>
      <c r="D29" s="301"/>
      <c r="E29" s="302"/>
    </row>
    <row r="30" spans="1:8">
      <c r="A30" s="142">
        <v>4</v>
      </c>
      <c r="B30" s="301"/>
      <c r="C30" s="302"/>
      <c r="D30" s="301"/>
      <c r="E30" s="302"/>
    </row>
    <row r="31" spans="1:8">
      <c r="A31" s="142">
        <v>5</v>
      </c>
      <c r="B31" s="301"/>
      <c r="C31" s="302"/>
      <c r="D31" s="301"/>
      <c r="E31" s="302"/>
    </row>
    <row r="32" spans="1:8">
      <c r="A32" s="142">
        <v>6</v>
      </c>
      <c r="B32" s="301"/>
      <c r="C32" s="302"/>
      <c r="D32" s="301"/>
      <c r="E32" s="302"/>
    </row>
    <row r="33" spans="1:5">
      <c r="A33" s="142">
        <v>7</v>
      </c>
      <c r="B33" s="301"/>
      <c r="C33" s="302"/>
      <c r="D33" s="301"/>
      <c r="E33" s="302"/>
    </row>
    <row r="34" spans="1:5">
      <c r="A34" s="142">
        <v>8</v>
      </c>
      <c r="B34" s="301"/>
      <c r="C34" s="302"/>
      <c r="D34" s="301"/>
      <c r="E34" s="302"/>
    </row>
    <row r="35" spans="1:5">
      <c r="A35" s="142">
        <v>9</v>
      </c>
      <c r="B35" s="301"/>
      <c r="C35" s="302"/>
      <c r="D35" s="301"/>
      <c r="E35" s="302"/>
    </row>
    <row r="36" spans="1:5">
      <c r="A36" s="143"/>
      <c r="B36" s="143"/>
      <c r="C36" s="124"/>
      <c r="D36" s="124"/>
      <c r="E36" s="124"/>
    </row>
    <row r="37" spans="1:5">
      <c r="A37" s="143"/>
      <c r="B37" s="143"/>
      <c r="C37" s="124"/>
      <c r="D37" s="124"/>
      <c r="E37" s="124"/>
    </row>
    <row r="38" spans="1:5" ht="18.75">
      <c r="A38" s="294" t="s">
        <v>650</v>
      </c>
      <c r="B38" s="294"/>
      <c r="C38" s="294"/>
      <c r="D38" s="204" t="s">
        <v>127</v>
      </c>
      <c r="E38" s="204"/>
    </row>
    <row r="39" spans="1:5" ht="18.75" customHeight="1">
      <c r="A39" s="206" t="s">
        <v>164</v>
      </c>
      <c r="B39" s="206"/>
      <c r="C39" s="206"/>
      <c r="D39" s="312" t="s">
        <v>128</v>
      </c>
      <c r="E39" s="312"/>
    </row>
  </sheetData>
  <mergeCells count="37">
    <mergeCell ref="B35:C35"/>
    <mergeCell ref="D35:E35"/>
    <mergeCell ref="A38:C38"/>
    <mergeCell ref="D38:E38"/>
    <mergeCell ref="A39:C39"/>
    <mergeCell ref="D39:E39"/>
    <mergeCell ref="B32:C32"/>
    <mergeCell ref="D32:E32"/>
    <mergeCell ref="B33:C33"/>
    <mergeCell ref="D33:E33"/>
    <mergeCell ref="B34:C34"/>
    <mergeCell ref="D34:E34"/>
    <mergeCell ref="B29:C29"/>
    <mergeCell ref="D29:E29"/>
    <mergeCell ref="B30:C30"/>
    <mergeCell ref="D30:E30"/>
    <mergeCell ref="B31:C31"/>
    <mergeCell ref="D31:E31"/>
    <mergeCell ref="B26:C26"/>
    <mergeCell ref="D26:E26"/>
    <mergeCell ref="B27:C27"/>
    <mergeCell ref="D27:E27"/>
    <mergeCell ref="B28:C28"/>
    <mergeCell ref="D28:E28"/>
    <mergeCell ref="B25:C25"/>
    <mergeCell ref="D25:E25"/>
    <mergeCell ref="A1:E1"/>
    <mergeCell ref="A2:E2"/>
    <mergeCell ref="A3:E3"/>
    <mergeCell ref="A4:E4"/>
    <mergeCell ref="A5:E5"/>
    <mergeCell ref="A6:E6"/>
    <mergeCell ref="A19:E19"/>
    <mergeCell ref="A22:C22"/>
    <mergeCell ref="D22:E22"/>
    <mergeCell ref="A23:C23"/>
    <mergeCell ref="D23:E23"/>
  </mergeCells>
  <pageMargins left="0.49" right="0.15" top="0.97" bottom="0.39" header="0.3" footer="0.16"/>
  <pageSetup paperSize="5" scale="88" orientation="portrait" r:id="rId1"/>
  <headerFooter>
    <oddFooter>&amp;L&amp;Z&amp;F&amp;R&amp;P to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7</vt:i4>
      </vt:variant>
    </vt:vector>
  </HeadingPairs>
  <TitlesOfParts>
    <vt:vector size="22" baseType="lpstr">
      <vt:lpstr>POSTAL BALLOT H</vt:lpstr>
      <vt:lpstr>POSTAL BALLOT 1 (2)</vt:lpstr>
      <vt:lpstr>POSTAL BALLOT 1</vt:lpstr>
      <vt:lpstr>PRARUP- 17G- 2</vt:lpstr>
      <vt:lpstr>PRARUP- 17G- 1</vt:lpstr>
      <vt:lpstr>Refer Para 27</vt:lpstr>
      <vt:lpstr>round-wise</vt:lpstr>
      <vt:lpstr>66 SYANA PRAROOP-20</vt:lpstr>
      <vt:lpstr>66 SYANA RESULT BUTH WISE-2022</vt:lpstr>
      <vt:lpstr>All Data</vt:lpstr>
      <vt:lpstr>Annexure-A</vt:lpstr>
      <vt:lpstr>Annexure-B</vt:lpstr>
      <vt:lpstr>Annexure- C</vt:lpstr>
      <vt:lpstr>Annexure- D</vt:lpstr>
      <vt:lpstr>Annexure- E</vt:lpstr>
      <vt:lpstr>'Annexure- D'!Print_Area</vt:lpstr>
      <vt:lpstr>'66 SYANA PRAROOP-20'!Print_Titles</vt:lpstr>
      <vt:lpstr>'66 SYANA RESULT BUTH WISE-2022'!Print_Titles</vt:lpstr>
      <vt:lpstr>'All Data'!Print_Titles</vt:lpstr>
      <vt:lpstr>'Annexure- C'!Print_Titles</vt:lpstr>
      <vt:lpstr>'Annexure-B'!Print_Titles</vt:lpstr>
      <vt:lpstr>'round-wise'!Print_Titles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2022-03-21T08:01:56Z</dcterms:modified>
</cp:coreProperties>
</file>